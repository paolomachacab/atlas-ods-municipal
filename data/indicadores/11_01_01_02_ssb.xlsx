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Comparacion Atlas 2020" sheetId="2" r:id="rId5"/>
    <sheet state="visible" name="Datos procesados" sheetId="3" r:id="rId6"/>
    <sheet state="visible" name="Indicador_MUN" sheetId="4" r:id="rId7"/>
    <sheet state="visible" name="Absoluto_MUN" sheetId="5" r:id="rId8"/>
    <sheet state="visible" name="Indicador_DEP" sheetId="6" r:id="rId9"/>
    <sheet state="visible" name="Absoluto_DEP" sheetId="7" r:id="rId10"/>
    <sheet state="visible" name="Umbral" sheetId="8" r:id="rId11"/>
  </sheets>
  <definedNames>
    <definedName hidden="1" localSheetId="0" name="_xlnm._FilterDatabase">'Datos originales'!$A$5:$Y$1406</definedName>
    <definedName hidden="1" localSheetId="3" name="_xlnm._FilterDatabase">Indicador_MUN!$A$1:$D$344</definedName>
    <definedName hidden="1" localSheetId="4" name="_xlnm._FilterDatabase">Absoluto_MUN!$A$1:$D$344</definedName>
  </definedNames>
  <calcPr/>
  <extLst>
    <ext uri="GoogleSheetsCustomDataVersion2">
      <go:sheetsCustomData xmlns:go="http://customooxmlschemas.google.com/" r:id="rId12" roundtripDataChecksum="Cr7lEjL2dDODtjksk8J8rNrZzcSf8bmMk4ipDrpE6Mg="/>
    </ext>
  </extLst>
</workbook>
</file>

<file path=xl/sharedStrings.xml><?xml version="1.0" encoding="utf-8"?>
<sst xmlns="http://schemas.openxmlformats.org/spreadsheetml/2006/main" count="8094" uniqueCount="551">
  <si>
    <t>BOLIVIA: VIVIENDAS PARTICULARES OCUPADAS CON PERSONAS PRESENTES POR DISPONIBILIDAD Y USO DEL BAÑO O SERVICIO SANITARIO, SEGÚN DEPARTAMENTO, PROVINCIA, MUNICIPIO O TERRITORIO INDÍGENA ORIGINARIO CAMPESINO (TIOC) Y ÁREA, CENSOS 2001,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</si>
  <si>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</si>
  <si>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</si>
  <si>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</si>
  <si>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</si>
  <si>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</si>
  <si>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</si>
  <si>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</si>
  <si>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t>Total</t>
  </si>
  <si>
    <t>Total con baño</t>
  </si>
  <si>
    <t>Tiene de uso privado</t>
  </si>
  <si>
    <t>Tiene de uso compartido</t>
  </si>
  <si>
    <t>No tiene baño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</si>
  <si>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</si>
  <si>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</si>
  <si>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</si>
  <si>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</si>
  <si>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</si>
  <si>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</si>
  <si>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</si>
  <si>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</si>
  <si>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</si>
  <si>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</si>
  <si>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</si>
  <si>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</si>
  <si>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</si>
  <si>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</si>
  <si>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</si>
  <si>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</si>
  <si>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</si>
  <si>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</si>
  <si>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</si>
  <si>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</si>
  <si>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</si>
  <si>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</si>
  <si>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</si>
  <si>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</si>
  <si>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</si>
  <si>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</si>
  <si>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</si>
  <si>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</si>
  <si>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</si>
  <si>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</si>
  <si>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</si>
  <si>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</si>
  <si>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</si>
  <si>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</si>
  <si>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</si>
  <si>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</si>
  <si>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</si>
  <si>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</si>
  <si>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</si>
  <si>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</si>
  <si>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</si>
  <si>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</si>
  <si>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</si>
  <si>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</si>
  <si>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</si>
  <si>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</si>
  <si>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</si>
  <si>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</si>
  <si>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</si>
  <si>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</si>
  <si>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</si>
  <si>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</si>
  <si>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</si>
  <si>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</si>
  <si>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</si>
  <si>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</si>
  <si>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</si>
  <si>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</si>
  <si>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</si>
  <si>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</si>
  <si>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</si>
  <si>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</si>
  <si>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</si>
  <si>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</si>
  <si>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</si>
  <si>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</si>
  <si>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</si>
  <si>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</si>
  <si>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</si>
  <si>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</si>
  <si>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</si>
  <si>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</si>
  <si>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</si>
  <si>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</si>
  <si>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</si>
  <si>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</si>
  <si>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</si>
  <si>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</si>
  <si>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</si>
  <si>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</si>
  <si>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</si>
  <si>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</si>
  <si>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</si>
  <si>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</si>
  <si>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</si>
  <si>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</si>
  <si>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</si>
  <si>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</si>
  <si>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</si>
  <si>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</si>
  <si>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</si>
  <si>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</si>
  <si>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</si>
  <si>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</si>
  <si>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</si>
  <si>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</si>
  <si>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</si>
  <si>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</si>
  <si>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</si>
  <si>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</si>
  <si>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</si>
  <si>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</si>
  <si>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</si>
  <si>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</si>
  <si>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</si>
  <si>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</si>
  <si>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</si>
  <si>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</si>
  <si>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</si>
  <si>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</si>
  <si>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</si>
  <si>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</si>
  <si>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</si>
  <si>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</si>
  <si>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</si>
  <si>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</si>
  <si>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</si>
  <si>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</si>
  <si>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</si>
  <si>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</si>
  <si>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</si>
  <si>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</si>
  <si>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</si>
  <si>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</si>
  <si>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</si>
  <si>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</si>
  <si>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</si>
  <si>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</si>
  <si>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</si>
  <si>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</si>
  <si>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</si>
  <si>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</si>
  <si>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</si>
  <si>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</si>
  <si>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</si>
  <si>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</si>
  <si>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</si>
  <si>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</si>
  <si>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</si>
  <si>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</si>
  <si>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</si>
  <si>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</si>
  <si>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</si>
  <si>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</si>
  <si>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</si>
  <si>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</si>
  <si>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</si>
  <si>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</si>
  <si>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</si>
  <si>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</si>
  <si>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</si>
  <si>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</si>
  <si>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</si>
  <si>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</si>
  <si>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</si>
  <si>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</si>
  <si>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</si>
  <si>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</si>
  <si>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</si>
  <si>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</si>
  <si>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</si>
  <si>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</si>
  <si>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</si>
  <si>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</si>
  <si>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</si>
  <si>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</si>
  <si>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</si>
  <si>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</si>
  <si>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</si>
  <si>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</si>
  <si>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</si>
  <si>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</si>
  <si>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</si>
  <si>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</si>
  <si>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</si>
  <si>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</si>
  <si>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</si>
  <si>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</si>
  <si>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</si>
  <si>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</si>
  <si>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</si>
  <si>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</si>
  <si>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</si>
  <si>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</si>
  <si>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</si>
  <si>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</si>
  <si>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</si>
  <si>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</si>
  <si>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</si>
  <si>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</si>
  <si>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</si>
  <si>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</si>
  <si>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</si>
  <si>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</si>
  <si>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</si>
  <si>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</si>
  <si>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</si>
  <si>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</si>
  <si>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</si>
  <si>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</si>
  <si>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</si>
  <si>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</si>
  <si>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</si>
  <si>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</si>
  <si>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</si>
  <si>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</si>
  <si>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</si>
  <si>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</si>
  <si>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</si>
  <si>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</si>
  <si>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</si>
  <si>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</si>
  <si>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</si>
  <si>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</si>
  <si>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</si>
  <si>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</si>
  <si>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</si>
  <si>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</si>
  <si>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</si>
  <si>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</si>
  <si>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</si>
  <si>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</si>
  <si>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</si>
  <si>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</si>
  <si>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</si>
  <si>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</si>
  <si>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</si>
  <si>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</si>
  <si>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</si>
  <si>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</si>
  <si>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</si>
  <si>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</si>
  <si>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</si>
  <si>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</si>
  <si>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</si>
  <si>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</si>
  <si>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</si>
  <si>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</si>
  <si>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</si>
  <si>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</si>
  <si>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</si>
  <si>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</si>
  <si>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</si>
  <si>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</si>
  <si>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</si>
  <si>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</si>
  <si>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</si>
  <si>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</si>
  <si>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</si>
  <si>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</si>
  <si>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</si>
  <si>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</si>
  <si>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</si>
  <si>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</si>
  <si>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</si>
  <si>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</si>
  <si>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</si>
  <si>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</si>
  <si>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</si>
  <si>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</si>
  <si>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</si>
  <si>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</si>
  <si>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</si>
  <si>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</si>
  <si>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</si>
  <si>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</si>
  <si>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</si>
  <si>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</si>
  <si>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</si>
  <si>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</si>
  <si>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</si>
  <si>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</si>
  <si>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</si>
  <si>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</si>
  <si>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</si>
  <si>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</si>
  <si>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</si>
  <si>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</si>
  <si>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</si>
  <si>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</si>
  <si>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</si>
  <si>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</si>
  <si>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</si>
  <si>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</si>
  <si>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</si>
  <si>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</si>
  <si>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</si>
  <si>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</si>
  <si>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</si>
  <si>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</si>
  <si>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</si>
  <si>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</si>
  <si>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</si>
  <si>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</si>
  <si>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</si>
  <si>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</si>
  <si>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</si>
  <si>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</si>
  <si>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</si>
  <si>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</si>
  <si>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</si>
  <si>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</si>
  <si>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</si>
  <si>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</si>
  <si>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</si>
  <si>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</si>
  <si>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</si>
  <si>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</si>
  <si>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</si>
  <si>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</si>
  <si>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</si>
  <si>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</si>
  <si>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</si>
  <si>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</si>
  <si>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</si>
  <si>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</si>
  <si>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</si>
  <si>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</si>
  <si>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</si>
  <si>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</si>
  <si>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</si>
  <si>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</si>
  <si>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</si>
  <si>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</si>
  <si>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</si>
  <si>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</si>
  <si>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</si>
  <si>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</si>
  <si>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</si>
  <si>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</si>
  <si>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</si>
  <si>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</si>
  <si>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</si>
  <si>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</si>
  <si>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</si>
  <si>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</si>
  <si>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</si>
  <si>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</si>
  <si>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</si>
  <si>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</si>
  <si>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</si>
  <si>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</si>
  <si>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</si>
  <si>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</si>
  <si>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</si>
  <si>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</si>
  <si>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</si>
  <si>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</si>
  <si>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</si>
  <si>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</si>
  <si>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</si>
  <si>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</si>
  <si>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</si>
  <si>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</si>
  <si>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</si>
  <si>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</si>
  <si>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</si>
  <si>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</si>
  <si>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</si>
  <si>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</si>
  <si>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</si>
  <si>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</si>
  <si>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</si>
  <si>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</si>
  <si>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</si>
  <si>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</si>
  <si>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</si>
  <si>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</si>
  <si>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</si>
  <si>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</si>
  <si>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</si>
  <si>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</si>
  <si>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</si>
  <si>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</si>
  <si>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</si>
  <si>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</si>
  <si>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</si>
  <si>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</si>
  <si>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</si>
  <si>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</si>
  <si>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</si>
  <si>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</si>
  <si>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</si>
  <si>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</si>
  <si>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</si>
  <si>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</si>
  <si>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</si>
  <si>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</si>
  <si>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</si>
  <si>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</si>
  <si>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</si>
  <si>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</si>
  <si>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</si>
  <si>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</si>
  <si>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</si>
  <si>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</si>
  <si>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</si>
  <si>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</si>
  <si>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</si>
  <si>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</si>
  <si>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</si>
  <si>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</si>
  <si>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</si>
  <si>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</si>
  <si>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</si>
  <si>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</si>
  <si>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</si>
  <si>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</si>
  <si>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</si>
  <si>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</si>
  <si>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</si>
  <si>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</si>
  <si>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</si>
  <si>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</si>
  <si>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</si>
  <si>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</si>
  <si>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</si>
  <si>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</si>
  <si>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</si>
  <si>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</si>
  <si>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</si>
  <si>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</si>
  <si>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</si>
  <si>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</si>
  <si>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</si>
  <si>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</si>
  <si>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</si>
  <si>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</si>
  <si>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</si>
  <si>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</si>
  <si>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</si>
  <si>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</si>
  <si>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</si>
  <si>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 xml:space="preserve">En el Censo 2001 se diferenció entre hogar y vivienda particular con personas presentes. </t>
  </si>
  <si>
    <t>En los censos 2012 y 2024 una vivienda particular con personas presentes es un hogar.</t>
  </si>
  <si>
    <t>ATLAS 2020</t>
  </si>
  <si>
    <t>Censo 2012</t>
  </si>
  <si>
    <t>Censo 2024 (año 2012)</t>
  </si>
  <si>
    <t>Municipio</t>
  </si>
  <si>
    <t>NO</t>
  </si>
  <si>
    <t>Si</t>
  </si>
  <si>
    <t>Porcentaje de hogares que no tienen servicio santitario, baño o letrina</t>
  </si>
  <si>
    <t>Porcentaje de hogares que SI tienen servicio santitario, baño o letrina</t>
  </si>
  <si>
    <t>Disponibilidad de Baño</t>
  </si>
  <si>
    <t>Diferencia %</t>
  </si>
  <si>
    <t>Diferencia</t>
  </si>
  <si>
    <t>Zudañez</t>
  </si>
  <si>
    <t>Villa Alcalá</t>
  </si>
  <si>
    <t>Muyupampa</t>
  </si>
  <si>
    <t>Huacaya</t>
  </si>
  <si>
    <t>Ancoraimes</t>
  </si>
  <si>
    <t>Coro Coro</t>
  </si>
  <si>
    <t>Waldo Ballivian</t>
  </si>
  <si>
    <t>Callapa</t>
  </si>
  <si>
    <t>Pto. Carabuco</t>
  </si>
  <si>
    <t>Guaqui</t>
  </si>
  <si>
    <t>San Andrés de Machaca</t>
  </si>
  <si>
    <t>Jesús de Machaca</t>
  </si>
  <si>
    <t>Sica Sica</t>
  </si>
  <si>
    <t>San Pedro Cuarahuara</t>
  </si>
  <si>
    <t>Independencia</t>
  </si>
  <si>
    <t>Santivañez</t>
  </si>
  <si>
    <t>Toko</t>
  </si>
  <si>
    <t>Sipe Sipe</t>
  </si>
  <si>
    <t>Entre Rios</t>
  </si>
  <si>
    <t>Cuchumuela</t>
  </si>
  <si>
    <t>Soracachi</t>
  </si>
  <si>
    <t>Quillacas</t>
  </si>
  <si>
    <t>Choque Cota</t>
  </si>
  <si>
    <t>Yunguyo de Litoral</t>
  </si>
  <si>
    <t>Salinas de García Mendoza</t>
  </si>
  <si>
    <t>Chipaya</t>
  </si>
  <si>
    <t>Santiago de Andamarca</t>
  </si>
  <si>
    <t>Huari</t>
  </si>
  <si>
    <t>Huayllamarca</t>
  </si>
  <si>
    <t>Chuquihuta</t>
  </si>
  <si>
    <t>S.P. De Buena Vista</t>
  </si>
  <si>
    <t>Villa de Sacaca</t>
  </si>
  <si>
    <t>Colcha K</t>
  </si>
  <si>
    <t>San Pablo de Lipez</t>
  </si>
  <si>
    <t>Caiza D</t>
  </si>
  <si>
    <t>Villamontes</t>
  </si>
  <si>
    <t>Villa San Lorenzo</t>
  </si>
  <si>
    <t>San Ignacio de Velasco</t>
  </si>
  <si>
    <t>San Miguel de Velasco</t>
  </si>
  <si>
    <t>San Juan de Yapacani</t>
  </si>
  <si>
    <t>San Joséde Chiquitos</t>
  </si>
  <si>
    <t>Santa Rosa del Sara</t>
  </si>
  <si>
    <t>Colpa Belgica</t>
  </si>
  <si>
    <t>Charagua</t>
  </si>
  <si>
    <t>Gutiérrez</t>
  </si>
  <si>
    <t>Moro Moro</t>
  </si>
  <si>
    <t>Postrer Valle</t>
  </si>
  <si>
    <t>Pucara</t>
  </si>
  <si>
    <t>Pampa Grande</t>
  </si>
  <si>
    <t>Gral. Saavedra</t>
  </si>
  <si>
    <t>San Antonio de Lomerío</t>
  </si>
  <si>
    <t>Puerto Suarez</t>
  </si>
  <si>
    <t>Carmen Rivero Torrez</t>
  </si>
  <si>
    <t>Ascensión de Guarayos</t>
  </si>
  <si>
    <t>Rurrenabaque</t>
  </si>
  <si>
    <t>Santa Ana de Yacuma</t>
  </si>
  <si>
    <t>Puerto Gonzales Moreno</t>
  </si>
  <si>
    <t>EL Sena</t>
  </si>
  <si>
    <t>Villa Nueva - Loma Alta</t>
  </si>
  <si>
    <t>Promedio</t>
  </si>
  <si>
    <t>Desv. Est.</t>
  </si>
  <si>
    <t>Min</t>
  </si>
  <si>
    <t>Max</t>
  </si>
  <si>
    <t>Obs</t>
  </si>
  <si>
    <t>Id</t>
  </si>
  <si>
    <t>DUM_SANITARIO</t>
  </si>
  <si>
    <t>Count</t>
  </si>
  <si>
    <t>Hogares que no tienen servicio sanitario, 2012</t>
  </si>
  <si>
    <t>Hogares con servicio sanitario, 2012</t>
  </si>
  <si>
    <t>Porcentaje de hogares que no tienen servicio santitario, baño o letrina, 2012</t>
  </si>
  <si>
    <t>Hogares que no tienen servicio sanitario, 2024</t>
  </si>
  <si>
    <t>Hogares con servicio sanitario, 2024</t>
  </si>
  <si>
    <t>Porcentaje de hogares que no tienen servicio santitario, baño o letrina, 2024</t>
  </si>
  <si>
    <t>Potosi</t>
  </si>
  <si>
    <t>sdg11_1_servicio_sanitario_2012</t>
  </si>
  <si>
    <t>sdg11_1_servicio_sanitario_2024</t>
  </si>
  <si>
    <t>sdg11_1_servicio_sanitario_abs_2012</t>
  </si>
  <si>
    <t>sdg11_1_servicio_sanitario_abs_2024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</si>
  <si>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</si>
  <si>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</si>
  <si>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</si>
  <si>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</si>
  <si>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</si>
  <si>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</si>
  <si>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</si>
  <si>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</si>
  <si>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</si>
  <si>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</si>
  <si>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</si>
  <si>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</si>
  <si>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Hogares que no tienen servicio sanitario, baño o letrina (%)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</si>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</sst>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1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/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rial"/>
    </font>
    <font>
      <b/>
      <sz val="9.0"/>
      <color theme="1"/>
      <name val="Play"/>
    </font>
  </fonts>
  <fills count="19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theme="0"/>
        <bgColor theme="0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3" xfId="0" applyFont="1" applyNumberFormat="1"/>
    <xf borderId="0" fillId="0" fontId="1" numFmtId="164" xfId="0" applyFont="1" applyNumberFormat="1"/>
    <xf borderId="0" fillId="0" fontId="2" numFmtId="0" xfId="0" applyAlignment="1" applyFont="1">
      <alignment horizontal="left"/>
    </xf>
    <xf borderId="0" fillId="0" fontId="2" numFmtId="3" xfId="0" applyFont="1" applyNumberFormat="1"/>
    <xf borderId="0" fillId="0" fontId="2" numFmtId="164" xfId="0" applyFont="1" applyNumberFormat="1"/>
    <xf borderId="1" fillId="2" fontId="1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2" fontId="1" numFmtId="164" xfId="0" applyAlignment="1" applyBorder="1" applyFont="1" applyNumberForma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6" fillId="2" fontId="1" numFmtId="1" xfId="0" applyAlignment="1" applyBorder="1" applyFont="1" applyNumberFormat="1">
      <alignment horizontal="center" shrinkToFit="0" vertical="center" wrapText="1"/>
    </xf>
    <xf borderId="6" fillId="2" fontId="1" numFmtId="164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ill="1" applyFont="1">
      <alignment horizontal="right" vertical="center"/>
    </xf>
    <xf borderId="5" fillId="3" fontId="4" numFmtId="0" xfId="0" applyAlignment="1" applyBorder="1" applyFont="1">
      <alignment horizontal="left" vertical="center"/>
    </xf>
    <xf borderId="5" fillId="3" fontId="4" numFmtId="3" xfId="0" applyAlignment="1" applyBorder="1" applyFont="1" applyNumberFormat="1">
      <alignment horizontal="right" vertical="center"/>
    </xf>
    <xf borderId="5" fillId="3" fontId="4" numFmtId="164" xfId="0" applyAlignment="1" applyBorder="1" applyFont="1" applyNumberFormat="1">
      <alignment horizontal="right" vertical="center"/>
    </xf>
    <xf borderId="4" fillId="4" fontId="4" numFmtId="0" xfId="0" applyAlignment="1" applyBorder="1" applyFill="1" applyFont="1">
      <alignment horizontal="right" vertical="center"/>
    </xf>
    <xf borderId="4" fillId="4" fontId="4" numFmtId="0" xfId="0" applyAlignment="1" applyBorder="1" applyFont="1">
      <alignment horizontal="left" vertical="center"/>
    </xf>
    <xf borderId="4" fillId="4" fontId="4" numFmtId="3" xfId="0" applyAlignment="1" applyBorder="1" applyFont="1" applyNumberFormat="1">
      <alignment horizontal="right" vertical="center"/>
    </xf>
    <xf borderId="4" fillId="4" fontId="4" numFmtId="164" xfId="0" applyAlignment="1" applyBorder="1" applyFont="1" applyNumberFormat="1">
      <alignment horizontal="right" vertical="center"/>
    </xf>
    <xf borderId="4" fillId="5" fontId="4" numFmtId="0" xfId="0" applyAlignment="1" applyBorder="1" applyFill="1" applyFont="1">
      <alignment horizontal="right" vertical="center"/>
    </xf>
    <xf borderId="4" fillId="5" fontId="4" numFmtId="0" xfId="0" applyAlignment="1" applyBorder="1" applyFont="1">
      <alignment horizontal="left" vertical="center"/>
    </xf>
    <xf borderId="4" fillId="5" fontId="4" numFmtId="3" xfId="0" applyAlignment="1" applyBorder="1" applyFont="1" applyNumberFormat="1">
      <alignment horizontal="right" vertical="center"/>
    </xf>
    <xf borderId="4" fillId="5" fontId="4" numFmtId="164" xfId="0" applyAlignment="1" applyBorder="1" applyFont="1" applyNumberFormat="1">
      <alignment horizontal="right" vertical="center"/>
    </xf>
    <xf borderId="7" fillId="0" fontId="5" numFmtId="0" xfId="0" applyAlignment="1" applyBorder="1" applyFont="1">
      <alignment horizontal="right" vertical="center"/>
    </xf>
    <xf borderId="7" fillId="0" fontId="5" numFmtId="0" xfId="0" applyAlignment="1" applyBorder="1" applyFont="1">
      <alignment vertical="center"/>
    </xf>
    <xf borderId="4" fillId="6" fontId="5" numFmtId="0" xfId="0" applyAlignment="1" applyBorder="1" applyFill="1" applyFont="1">
      <alignment horizontal="left" vertical="center"/>
    </xf>
    <xf borderId="4" fillId="6" fontId="5" numFmtId="3" xfId="0" applyAlignment="1" applyBorder="1" applyFont="1" applyNumberFormat="1">
      <alignment horizontal="right" vertical="center"/>
    </xf>
    <xf borderId="4" fillId="6" fontId="5" numFmtId="164" xfId="0" applyAlignment="1" applyBorder="1" applyFont="1" applyNumberFormat="1">
      <alignment horizontal="right" vertical="center"/>
    </xf>
    <xf borderId="4" fillId="7" fontId="5" numFmtId="0" xfId="0" applyAlignment="1" applyBorder="1" applyFill="1" applyFont="1">
      <alignment horizontal="right" vertical="center"/>
    </xf>
    <xf borderId="4" fillId="7" fontId="5" numFmtId="0" xfId="0" applyAlignment="1" applyBorder="1" applyFont="1">
      <alignment horizontal="left" vertical="center"/>
    </xf>
    <xf borderId="4" fillId="7" fontId="5" numFmtId="3" xfId="0" applyAlignment="1" applyBorder="1" applyFont="1" applyNumberFormat="1">
      <alignment horizontal="right" vertical="center"/>
    </xf>
    <xf borderId="4" fillId="7" fontId="5" numFmtId="164" xfId="0" applyAlignment="1" applyBorder="1" applyFont="1" applyNumberFormat="1">
      <alignment horizontal="right" vertical="center"/>
    </xf>
    <xf borderId="4" fillId="4" fontId="4" numFmtId="0" xfId="0" applyAlignment="1" applyBorder="1" applyFont="1">
      <alignment vertical="center"/>
    </xf>
    <xf borderId="4" fillId="5" fontId="4" numFmtId="0" xfId="0" applyAlignment="1" applyBorder="1" applyFont="1">
      <alignment vertical="center"/>
    </xf>
    <xf borderId="4" fillId="7" fontId="5" numFmtId="1" xfId="0" applyAlignment="1" applyBorder="1" applyFont="1" applyNumberFormat="1">
      <alignment vertical="center"/>
    </xf>
    <xf borderId="4" fillId="7" fontId="5" numFmtId="1" xfId="0" applyAlignment="1" applyBorder="1" applyFont="1" applyNumberFormat="1">
      <alignment horizontal="left" vertical="center"/>
    </xf>
    <xf borderId="8" fillId="0" fontId="5" numFmtId="0" xfId="0" applyAlignment="1" applyBorder="1" applyFont="1">
      <alignment horizontal="right" vertical="center"/>
    </xf>
    <xf borderId="8" fillId="0" fontId="5" numFmtId="0" xfId="0" applyAlignment="1" applyBorder="1" applyFont="1">
      <alignment vertical="center"/>
    </xf>
    <xf borderId="9" fillId="6" fontId="5" numFmtId="0" xfId="0" applyAlignment="1" applyBorder="1" applyFont="1">
      <alignment horizontal="left" vertical="center"/>
    </xf>
    <xf borderId="9" fillId="6" fontId="5" numFmtId="3" xfId="0" applyAlignment="1" applyBorder="1" applyFont="1" applyNumberFormat="1">
      <alignment horizontal="right" vertical="center"/>
    </xf>
    <xf borderId="9" fillId="6" fontId="5" numFmtId="164" xfId="0" applyAlignment="1" applyBorder="1" applyFont="1" applyNumberFormat="1">
      <alignment horizontal="right" vertical="center"/>
    </xf>
    <xf borderId="0" fillId="0" fontId="2" numFmtId="0" xfId="0" applyFont="1"/>
    <xf borderId="10" fillId="4" fontId="6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0" fillId="0" fontId="6" numFmtId="164" xfId="0" applyFont="1" applyNumberFormat="1"/>
    <xf borderId="10" fillId="8" fontId="7" numFmtId="0" xfId="0" applyAlignment="1" applyBorder="1" applyFill="1" applyFont="1">
      <alignment horizontal="center" shrinkToFit="0" vertical="center" wrapText="1"/>
    </xf>
    <xf borderId="11" fillId="8" fontId="8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0" fillId="9" fontId="8" numFmtId="0" xfId="0" applyAlignment="1" applyBorder="1" applyFill="1" applyFont="1">
      <alignment horizontal="center" shrinkToFit="0" vertical="center" wrapText="1"/>
    </xf>
    <xf borderId="10" fillId="10" fontId="8" numFmtId="0" xfId="0" applyAlignment="1" applyBorder="1" applyFill="1" applyFont="1">
      <alignment horizontal="center" shrinkToFit="0" vertical="center" wrapText="1"/>
    </xf>
    <xf borderId="0" fillId="0" fontId="8" numFmtId="2" xfId="0" applyAlignment="1" applyFont="1" applyNumberFormat="1">
      <alignment shrinkToFit="0" vertical="center" wrapText="1"/>
    </xf>
    <xf borderId="0" fillId="0" fontId="8" numFmtId="0" xfId="0" applyFont="1"/>
    <xf borderId="10" fillId="8" fontId="8" numFmtId="0" xfId="0" applyAlignment="1" applyBorder="1" applyFont="1">
      <alignment horizontal="center" shrinkToFit="0" vertical="center" wrapText="1"/>
    </xf>
    <xf borderId="10" fillId="11" fontId="8" numFmtId="2" xfId="0" applyAlignment="1" applyBorder="1" applyFill="1" applyFont="1" applyNumberFormat="1">
      <alignment shrinkToFit="0" vertical="center" wrapText="1"/>
    </xf>
    <xf borderId="10" fillId="11" fontId="8" numFmtId="0" xfId="0" applyAlignment="1" applyBorder="1" applyFont="1">
      <alignment vertical="center"/>
    </xf>
    <xf borderId="0" fillId="0" fontId="7" numFmtId="0" xfId="0" applyFont="1"/>
    <xf borderId="0" fillId="0" fontId="7" numFmtId="164" xfId="0" applyFont="1" applyNumberFormat="1"/>
    <xf borderId="0" fillId="0" fontId="7" numFmtId="2" xfId="0" applyAlignment="1" applyFont="1" applyNumberFormat="1">
      <alignment shrinkToFit="0" vertical="center" wrapText="1"/>
    </xf>
    <xf borderId="10" fillId="12" fontId="7" numFmtId="0" xfId="0" applyBorder="1" applyFill="1" applyFont="1"/>
    <xf borderId="10" fillId="12" fontId="7" numFmtId="164" xfId="0" applyBorder="1" applyFont="1" applyNumberFormat="1"/>
    <xf borderId="10" fillId="12" fontId="7" numFmtId="2" xfId="0" applyAlignment="1" applyBorder="1" applyFont="1" applyNumberFormat="1">
      <alignment shrinkToFit="0" vertical="center" wrapText="1"/>
    </xf>
    <xf borderId="0" fillId="0" fontId="7" numFmtId="165" xfId="0" applyFont="1" applyNumberFormat="1"/>
    <xf borderId="1" fillId="0" fontId="4" numFmtId="0" xfId="0" applyAlignment="1" applyBorder="1" applyFont="1">
      <alignment horizontal="center" shrinkToFit="0" wrapText="1"/>
    </xf>
    <xf borderId="14" fillId="0" fontId="4" numFmtId="0" xfId="0" applyAlignment="1" applyBorder="1" applyFont="1">
      <alignment horizontal="center" shrinkToFit="0" wrapText="1"/>
    </xf>
    <xf borderId="14" fillId="0" fontId="9" numFmtId="0" xfId="0" applyAlignment="1" applyBorder="1" applyFont="1">
      <alignment horizontal="center" shrinkToFit="0" wrapText="1"/>
    </xf>
    <xf borderId="7" fillId="0" fontId="3" numFmtId="0" xfId="0" applyBorder="1" applyFont="1"/>
    <xf borderId="6" fillId="0" fontId="4" numFmtId="0" xfId="0" applyAlignment="1" applyBorder="1" applyFont="1">
      <alignment horizontal="center"/>
    </xf>
    <xf borderId="8" fillId="0" fontId="3" numFmtId="0" xfId="0" applyBorder="1" applyFont="1"/>
    <xf borderId="6" fillId="0" fontId="4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shrinkToFit="0" wrapText="1"/>
    </xf>
    <xf borderId="6" fillId="0" fontId="7" numFmtId="0" xfId="0" applyBorder="1" applyFont="1"/>
    <xf borderId="6" fillId="0" fontId="7" numFmtId="3" xfId="0" applyBorder="1" applyFont="1" applyNumberFormat="1"/>
    <xf borderId="6" fillId="0" fontId="7" numFmtId="164" xfId="0" applyBorder="1" applyFont="1" applyNumberFormat="1"/>
    <xf borderId="6" fillId="0" fontId="7" numFmtId="3" xfId="0" applyAlignment="1" applyBorder="1" applyFont="1" applyNumberFormat="1">
      <alignment horizontal="right"/>
    </xf>
    <xf borderId="6" fillId="0" fontId="7" numFmtId="164" xfId="0" applyAlignment="1" applyBorder="1" applyFont="1" applyNumberFormat="1">
      <alignment horizontal="right"/>
    </xf>
    <xf borderId="14" fillId="0" fontId="7" numFmtId="0" xfId="0" applyBorder="1" applyFont="1"/>
    <xf borderId="14" fillId="0" fontId="7" numFmtId="3" xfId="0" applyAlignment="1" applyBorder="1" applyFont="1" applyNumberFormat="1">
      <alignment horizontal="right"/>
    </xf>
    <xf borderId="14" fillId="0" fontId="7" numFmtId="164" xfId="0" applyAlignment="1" applyBorder="1" applyFont="1" applyNumberFormat="1">
      <alignment horizontal="right"/>
    </xf>
    <xf borderId="14" fillId="0" fontId="7" numFmtId="3" xfId="0" applyBorder="1" applyFont="1" applyNumberFormat="1"/>
    <xf borderId="14" fillId="0" fontId="7" numFmtId="164" xfId="0" applyBorder="1" applyFont="1" applyNumberFormat="1"/>
    <xf borderId="6" fillId="0" fontId="7" numFmtId="1" xfId="0" applyBorder="1" applyFont="1" applyNumberFormat="1"/>
    <xf borderId="0" fillId="0" fontId="7" numFmtId="165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6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6" fillId="0" fontId="7" numFmtId="0" xfId="0" applyAlignment="1" applyBorder="1" applyFont="1">
      <alignment horizontal="right"/>
    </xf>
    <xf borderId="14" fillId="0" fontId="7" numFmtId="0" xfId="0" applyAlignment="1" applyBorder="1" applyFont="1">
      <alignment horizontal="right"/>
    </xf>
    <xf borderId="0" fillId="0" fontId="7" numFmtId="3" xfId="0" applyFont="1" applyNumberFormat="1"/>
    <xf borderId="6" fillId="13" fontId="8" numFmtId="0" xfId="0" applyAlignment="1" applyBorder="1" applyFill="1" applyFont="1">
      <alignment shrinkToFit="0" wrapText="1"/>
    </xf>
    <xf borderId="6" fillId="14" fontId="10" numFmtId="0" xfId="0" applyAlignment="1" applyBorder="1" applyFill="1" applyFont="1">
      <alignment horizontal="center" shrinkToFit="0" wrapText="1"/>
    </xf>
    <xf borderId="6" fillId="15" fontId="10" numFmtId="0" xfId="0" applyAlignment="1" applyBorder="1" applyFill="1" applyFont="1">
      <alignment horizontal="center" shrinkToFit="0" wrapText="1"/>
    </xf>
    <xf borderId="6" fillId="16" fontId="10" numFmtId="0" xfId="0" applyAlignment="1" applyBorder="1" applyFill="1" applyFont="1">
      <alignment horizontal="center" shrinkToFit="0" wrapText="1"/>
    </xf>
    <xf borderId="6" fillId="17" fontId="10" numFmtId="0" xfId="0" applyAlignment="1" applyBorder="1" applyFill="1" applyFont="1">
      <alignment horizontal="center" shrinkToFit="0" wrapText="1"/>
    </xf>
    <xf borderId="6" fillId="18" fontId="8" numFmtId="0" xfId="0" applyAlignment="1" applyBorder="1" applyFill="1" applyFont="1">
      <alignment horizontal="center" vertical="bottom"/>
    </xf>
    <xf borderId="6" fillId="0" fontId="7" numFmtId="0" xfId="0" applyAlignment="1" applyBorder="1" applyFont="1">
      <alignment horizontal="right" shrinkToFit="0" vertical="center" wrapText="1"/>
    </xf>
    <xf borderId="6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4.43" defaultRowHeight="15.0"/>
  <cols>
    <col customWidth="1" min="1" max="1" width="7.0"/>
    <col customWidth="1" min="2" max="2" width="6.71"/>
    <col customWidth="1" min="3" max="3" width="15.57"/>
    <col customWidth="1" min="4" max="4" width="17.0"/>
    <col customWidth="1" min="5" max="5" width="31.57"/>
    <col customWidth="1" min="6" max="7" width="30.71"/>
    <col customWidth="1" min="8" max="25" width="15.71"/>
  </cols>
  <sheetData>
    <row r="1" ht="15.0" customHeight="1">
      <c r="B1" s="1" t="s">
        <v>0</v>
      </c>
      <c r="C1" s="2"/>
      <c r="D1" s="3"/>
      <c r="E1" s="2"/>
      <c r="F1" s="2"/>
      <c r="G1" s="2"/>
      <c r="H1" s="2"/>
      <c r="I1" s="2"/>
      <c r="J1" s="2"/>
      <c r="K1" s="2"/>
      <c r="L1" s="3"/>
      <c r="M1" s="3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</row>
    <row r="2" ht="15.0" customHeight="1">
      <c r="B2" s="5" t="s">
        <v>1</v>
      </c>
      <c r="L2" s="6"/>
      <c r="M2" s="6"/>
      <c r="Q2" s="6"/>
      <c r="R2" s="7"/>
      <c r="S2" s="7"/>
      <c r="T2" s="7"/>
      <c r="U2" s="7"/>
      <c r="V2" s="7"/>
      <c r="W2" s="7"/>
      <c r="X2" s="7"/>
      <c r="Y2" s="7"/>
    </row>
    <row r="3" ht="30.0" customHeight="1">
      <c r="H3" s="8"/>
      <c r="I3" s="9"/>
      <c r="J3" s="9"/>
      <c r="K3" s="9"/>
      <c r="L3" s="9"/>
      <c r="M3" s="9"/>
      <c r="N3" s="9"/>
      <c r="O3" s="9"/>
      <c r="P3" s="9"/>
      <c r="Q3" s="10"/>
      <c r="R3" s="11"/>
      <c r="S3" s="9"/>
      <c r="T3" s="9"/>
      <c r="U3" s="9"/>
      <c r="V3" s="9"/>
      <c r="W3" s="9"/>
      <c r="X3" s="9"/>
      <c r="Y3" s="10"/>
    </row>
    <row r="4" ht="30.0" customHeight="1">
      <c r="B4" s="12"/>
      <c r="C4" s="12"/>
      <c r="D4" s="12"/>
      <c r="E4" s="12"/>
      <c r="F4" s="12"/>
      <c r="G4" s="12"/>
      <c r="H4" s="13">
        <v>2012.0</v>
      </c>
      <c r="I4" s="9"/>
      <c r="J4" s="9"/>
      <c r="K4" s="9"/>
      <c r="L4" s="10"/>
      <c r="M4" s="13">
        <v>2024.0</v>
      </c>
      <c r="N4" s="9"/>
      <c r="O4" s="9"/>
      <c r="P4" s="9"/>
      <c r="Q4" s="10"/>
      <c r="R4" s="13">
        <v>2012.0</v>
      </c>
      <c r="S4" s="9"/>
      <c r="T4" s="9"/>
      <c r="U4" s="10"/>
      <c r="V4" s="13">
        <v>2024.0</v>
      </c>
      <c r="W4" s="9"/>
      <c r="X4" s="9"/>
      <c r="Y4" s="10"/>
    </row>
    <row r="5" ht="45.0" customHeight="1">
      <c r="B5" s="14" t="s">
        <v>2</v>
      </c>
      <c r="C5" s="14" t="s">
        <v>3</v>
      </c>
      <c r="D5" s="14" t="s">
        <v>4</v>
      </c>
      <c r="E5" s="14" t="s">
        <v>5</v>
      </c>
      <c r="F5" s="14" t="s">
        <v>6</v>
      </c>
      <c r="G5" s="14" t="s">
        <v>7</v>
      </c>
      <c r="H5" s="15" t="s">
        <v>8</v>
      </c>
      <c r="I5" s="16" t="s">
        <v>9</v>
      </c>
      <c r="J5" s="15" t="s">
        <v>10</v>
      </c>
      <c r="K5" s="15" t="s">
        <v>11</v>
      </c>
      <c r="L5" s="15" t="s">
        <v>12</v>
      </c>
      <c r="M5" s="15" t="s">
        <v>8</v>
      </c>
      <c r="N5" s="16" t="s">
        <v>9</v>
      </c>
      <c r="O5" s="15" t="s">
        <v>10</v>
      </c>
      <c r="P5" s="15" t="s">
        <v>11</v>
      </c>
      <c r="Q5" s="15" t="s">
        <v>12</v>
      </c>
      <c r="R5" s="17" t="s">
        <v>9</v>
      </c>
      <c r="S5" s="17" t="s">
        <v>10</v>
      </c>
      <c r="T5" s="17" t="s">
        <v>11</v>
      </c>
      <c r="U5" s="17" t="s">
        <v>12</v>
      </c>
      <c r="V5" s="17" t="s">
        <v>9</v>
      </c>
      <c r="W5" s="17" t="s">
        <v>10</v>
      </c>
      <c r="X5" s="17" t="s">
        <v>11</v>
      </c>
      <c r="Y5" s="17" t="s">
        <v>12</v>
      </c>
    </row>
    <row r="6" ht="15.0" hidden="1" customHeight="1">
      <c r="B6" s="18">
        <v>1.0</v>
      </c>
      <c r="C6" s="19" t="s">
        <v>13</v>
      </c>
      <c r="D6" s="19"/>
      <c r="E6" s="19"/>
      <c r="F6" s="19"/>
      <c r="G6" s="19" t="s">
        <v>14</v>
      </c>
      <c r="H6" s="20">
        <v>2803982.0</v>
      </c>
      <c r="I6" s="20">
        <v>1958814.0</v>
      </c>
      <c r="J6" s="20">
        <v>1076725.0</v>
      </c>
      <c r="K6" s="20">
        <v>882089.0</v>
      </c>
      <c r="L6" s="20">
        <v>845168.0</v>
      </c>
      <c r="M6" s="20">
        <v>3623711.0</v>
      </c>
      <c r="N6" s="20">
        <v>2889454.0</v>
      </c>
      <c r="O6" s="20">
        <v>2390728.0</v>
      </c>
      <c r="P6" s="20">
        <v>498726.0</v>
      </c>
      <c r="Q6" s="20">
        <v>734257.0</v>
      </c>
      <c r="R6" s="21">
        <v>69.8582944</v>
      </c>
      <c r="S6" s="21">
        <v>38.3998542</v>
      </c>
      <c r="T6" s="21">
        <v>31.4584402</v>
      </c>
      <c r="U6" s="21">
        <v>30.1417056</v>
      </c>
      <c r="V6" s="21">
        <v>79.7374294</v>
      </c>
      <c r="W6" s="21">
        <v>65.9745769</v>
      </c>
      <c r="X6" s="21">
        <v>13.7628525</v>
      </c>
      <c r="Y6" s="21">
        <v>20.2625706</v>
      </c>
    </row>
    <row r="7" ht="15.0" hidden="1" customHeight="1">
      <c r="B7" s="22">
        <v>2.0</v>
      </c>
      <c r="C7" s="23" t="s">
        <v>13</v>
      </c>
      <c r="D7" s="23"/>
      <c r="E7" s="23"/>
      <c r="F7" s="23"/>
      <c r="G7" s="23" t="s">
        <v>15</v>
      </c>
      <c r="H7" s="24">
        <v>1826480.0</v>
      </c>
      <c r="I7" s="24">
        <v>1591976.0</v>
      </c>
      <c r="J7" s="24">
        <v>861520.0</v>
      </c>
      <c r="K7" s="24">
        <v>730456.0</v>
      </c>
      <c r="L7" s="24">
        <v>234504.0</v>
      </c>
      <c r="M7" s="24">
        <v>2386919.0</v>
      </c>
      <c r="N7" s="24">
        <v>2244232.0</v>
      </c>
      <c r="O7" s="24">
        <v>1827380.0</v>
      </c>
      <c r="P7" s="24">
        <v>416852.0</v>
      </c>
      <c r="Q7" s="24">
        <v>142687.0</v>
      </c>
      <c r="R7" s="25">
        <v>87.1608778</v>
      </c>
      <c r="S7" s="25">
        <v>47.1683238</v>
      </c>
      <c r="T7" s="25">
        <v>39.992554</v>
      </c>
      <c r="U7" s="25">
        <v>12.8391222</v>
      </c>
      <c r="V7" s="25">
        <v>94.0221264</v>
      </c>
      <c r="W7" s="25">
        <v>76.5581069</v>
      </c>
      <c r="X7" s="25">
        <v>17.4640195</v>
      </c>
      <c r="Y7" s="25">
        <v>5.9778736</v>
      </c>
    </row>
    <row r="8" ht="15.0" hidden="1" customHeight="1">
      <c r="B8" s="22">
        <v>3.0</v>
      </c>
      <c r="C8" s="23" t="s">
        <v>13</v>
      </c>
      <c r="D8" s="23"/>
      <c r="E8" s="23"/>
      <c r="F8" s="23"/>
      <c r="G8" s="23" t="s">
        <v>16</v>
      </c>
      <c r="H8" s="24">
        <v>977502.0</v>
      </c>
      <c r="I8" s="24">
        <v>366838.0</v>
      </c>
      <c r="J8" s="24">
        <v>215205.0</v>
      </c>
      <c r="K8" s="24">
        <v>151633.0</v>
      </c>
      <c r="L8" s="24">
        <v>610664.0</v>
      </c>
      <c r="M8" s="24">
        <v>1236792.0</v>
      </c>
      <c r="N8" s="24">
        <v>645222.0</v>
      </c>
      <c r="O8" s="24">
        <v>563348.0</v>
      </c>
      <c r="P8" s="24">
        <v>81874.0</v>
      </c>
      <c r="Q8" s="24">
        <v>591570.0</v>
      </c>
      <c r="R8" s="25">
        <v>37.5281074</v>
      </c>
      <c r="S8" s="25">
        <v>22.0158117</v>
      </c>
      <c r="T8" s="25">
        <v>15.5122956</v>
      </c>
      <c r="U8" s="25">
        <v>62.4718926</v>
      </c>
      <c r="V8" s="25">
        <v>52.1689985</v>
      </c>
      <c r="W8" s="25">
        <v>45.5491303</v>
      </c>
      <c r="X8" s="25">
        <v>6.6198682</v>
      </c>
      <c r="Y8" s="25">
        <v>47.8310015</v>
      </c>
    </row>
    <row r="9" ht="15.0" hidden="1" customHeight="1">
      <c r="B9" s="18">
        <v>4.0</v>
      </c>
      <c r="C9" s="19" t="s">
        <v>17</v>
      </c>
      <c r="D9" s="19" t="s">
        <v>18</v>
      </c>
      <c r="E9" s="19"/>
      <c r="F9" s="19"/>
      <c r="G9" s="19" t="s">
        <v>18</v>
      </c>
      <c r="H9" s="20">
        <v>150081.0</v>
      </c>
      <c r="I9" s="20">
        <v>84802.0</v>
      </c>
      <c r="J9" s="20">
        <v>44575.0</v>
      </c>
      <c r="K9" s="20">
        <v>40227.0</v>
      </c>
      <c r="L9" s="20">
        <v>65279.0</v>
      </c>
      <c r="M9" s="20">
        <v>184969.0</v>
      </c>
      <c r="N9" s="20">
        <v>132058.0</v>
      </c>
      <c r="O9" s="20">
        <v>106640.0</v>
      </c>
      <c r="P9" s="20">
        <v>25418.0</v>
      </c>
      <c r="Q9" s="20">
        <v>52911.0</v>
      </c>
      <c r="R9" s="21">
        <v>56.5041544</v>
      </c>
      <c r="S9" s="21">
        <v>29.7006283</v>
      </c>
      <c r="T9" s="21">
        <v>26.8035261</v>
      </c>
      <c r="U9" s="21">
        <v>43.4958456</v>
      </c>
      <c r="V9" s="21">
        <v>71.3946661</v>
      </c>
      <c r="W9" s="21">
        <v>57.652904</v>
      </c>
      <c r="X9" s="21">
        <v>13.7417621</v>
      </c>
      <c r="Y9" s="21">
        <v>28.6053339</v>
      </c>
    </row>
    <row r="10" ht="15.0" hidden="1" customHeight="1">
      <c r="B10" s="22">
        <v>5.0</v>
      </c>
      <c r="C10" s="23" t="s">
        <v>17</v>
      </c>
      <c r="D10" s="23" t="s">
        <v>18</v>
      </c>
      <c r="E10" s="23"/>
      <c r="F10" s="23"/>
      <c r="G10" s="23" t="s">
        <v>15</v>
      </c>
      <c r="H10" s="24">
        <v>74401.0</v>
      </c>
      <c r="I10" s="24">
        <v>64836.0</v>
      </c>
      <c r="J10" s="24">
        <v>32907.0</v>
      </c>
      <c r="K10" s="24">
        <v>31929.0</v>
      </c>
      <c r="L10" s="24">
        <v>9565.0</v>
      </c>
      <c r="M10" s="24">
        <v>102961.0</v>
      </c>
      <c r="N10" s="24">
        <v>96451.0</v>
      </c>
      <c r="O10" s="24">
        <v>75216.0</v>
      </c>
      <c r="P10" s="24">
        <v>21235.0</v>
      </c>
      <c r="Q10" s="24">
        <v>6510.0</v>
      </c>
      <c r="R10" s="25">
        <v>87.14399</v>
      </c>
      <c r="S10" s="25">
        <v>44.2292442</v>
      </c>
      <c r="T10" s="25">
        <v>42.9147458</v>
      </c>
      <c r="U10" s="25">
        <v>12.85601</v>
      </c>
      <c r="V10" s="25">
        <v>93.6772176</v>
      </c>
      <c r="W10" s="25">
        <v>73.0529035</v>
      </c>
      <c r="X10" s="25">
        <v>20.6243141</v>
      </c>
      <c r="Y10" s="25">
        <v>6.3227824</v>
      </c>
    </row>
    <row r="11" ht="15.0" hidden="1" customHeight="1">
      <c r="B11" s="22">
        <v>6.0</v>
      </c>
      <c r="C11" s="23" t="s">
        <v>17</v>
      </c>
      <c r="D11" s="23" t="s">
        <v>18</v>
      </c>
      <c r="E11" s="23"/>
      <c r="F11" s="23"/>
      <c r="G11" s="23" t="s">
        <v>16</v>
      </c>
      <c r="H11" s="24">
        <v>75680.0</v>
      </c>
      <c r="I11" s="24">
        <v>19966.0</v>
      </c>
      <c r="J11" s="24">
        <v>11668.0</v>
      </c>
      <c r="K11" s="24">
        <v>8298.0</v>
      </c>
      <c r="L11" s="24">
        <v>55714.0</v>
      </c>
      <c r="M11" s="24">
        <v>82008.0</v>
      </c>
      <c r="N11" s="24">
        <v>35607.0</v>
      </c>
      <c r="O11" s="24">
        <v>31424.0</v>
      </c>
      <c r="P11" s="24">
        <v>4183.0</v>
      </c>
      <c r="Q11" s="24">
        <v>46401.0</v>
      </c>
      <c r="R11" s="25">
        <v>26.3821353</v>
      </c>
      <c r="S11" s="25">
        <v>15.4175476</v>
      </c>
      <c r="T11" s="25">
        <v>10.9645877</v>
      </c>
      <c r="U11" s="25">
        <v>73.6178647</v>
      </c>
      <c r="V11" s="25">
        <v>43.4189347</v>
      </c>
      <c r="W11" s="25">
        <v>38.3182129</v>
      </c>
      <c r="X11" s="25">
        <v>5.1007219</v>
      </c>
      <c r="Y11" s="25">
        <v>56.5810653</v>
      </c>
    </row>
    <row r="12" ht="15.0" hidden="1" customHeight="1">
      <c r="B12" s="26">
        <v>7.0</v>
      </c>
      <c r="C12" s="27" t="s">
        <v>19</v>
      </c>
      <c r="D12" s="27" t="s">
        <v>18</v>
      </c>
      <c r="E12" s="27" t="s">
        <v>20</v>
      </c>
      <c r="F12" s="27"/>
      <c r="G12" s="27" t="s">
        <v>20</v>
      </c>
      <c r="H12" s="28">
        <v>77255.0</v>
      </c>
      <c r="I12" s="28">
        <v>59111.0</v>
      </c>
      <c r="J12" s="28">
        <v>30918.0</v>
      </c>
      <c r="K12" s="28">
        <v>28193.0</v>
      </c>
      <c r="L12" s="28">
        <v>18144.0</v>
      </c>
      <c r="M12" s="28">
        <v>100241.0</v>
      </c>
      <c r="N12" s="28">
        <v>86276.0</v>
      </c>
      <c r="O12" s="28">
        <v>68343.0</v>
      </c>
      <c r="P12" s="28">
        <v>17933.0</v>
      </c>
      <c r="Q12" s="28">
        <v>13965.0</v>
      </c>
      <c r="R12" s="29">
        <v>76.5141415</v>
      </c>
      <c r="S12" s="29">
        <v>40.0207106</v>
      </c>
      <c r="T12" s="29">
        <v>36.4934308</v>
      </c>
      <c r="U12" s="29">
        <v>23.4858585</v>
      </c>
      <c r="V12" s="29">
        <v>86.0685747</v>
      </c>
      <c r="W12" s="29">
        <v>68.1786894</v>
      </c>
      <c r="X12" s="29">
        <v>17.8898854</v>
      </c>
      <c r="Y12" s="29">
        <v>13.9314253</v>
      </c>
    </row>
    <row r="13" ht="15.0" hidden="1" customHeight="1">
      <c r="B13" s="30">
        <v>8.0</v>
      </c>
      <c r="C13" s="31" t="s">
        <v>19</v>
      </c>
      <c r="D13" s="31" t="s">
        <v>18</v>
      </c>
      <c r="E13" s="31" t="s">
        <v>20</v>
      </c>
      <c r="F13" s="31"/>
      <c r="G13" s="32" t="s">
        <v>15</v>
      </c>
      <c r="H13" s="33">
        <v>63108.0</v>
      </c>
      <c r="I13" s="33">
        <v>55623.0</v>
      </c>
      <c r="J13" s="33">
        <v>28592.0</v>
      </c>
      <c r="K13" s="33">
        <v>27031.0</v>
      </c>
      <c r="L13" s="33">
        <v>7485.0</v>
      </c>
      <c r="M13" s="33">
        <v>84913.0</v>
      </c>
      <c r="N13" s="33">
        <v>79958.0</v>
      </c>
      <c r="O13" s="33">
        <v>62539.0</v>
      </c>
      <c r="P13" s="33">
        <v>17419.0</v>
      </c>
      <c r="Q13" s="33">
        <v>4955.0</v>
      </c>
      <c r="R13" s="34">
        <v>88.1393801</v>
      </c>
      <c r="S13" s="34">
        <v>45.3064588</v>
      </c>
      <c r="T13" s="34">
        <v>42.8329213</v>
      </c>
      <c r="U13" s="34">
        <v>11.8606199</v>
      </c>
      <c r="V13" s="34">
        <v>94.1646155</v>
      </c>
      <c r="W13" s="34">
        <v>73.6506778</v>
      </c>
      <c r="X13" s="34">
        <v>20.5139378</v>
      </c>
      <c r="Y13" s="34">
        <v>5.8353845</v>
      </c>
    </row>
    <row r="14" ht="15.0" hidden="1" customHeight="1">
      <c r="B14" s="30">
        <v>9.0</v>
      </c>
      <c r="C14" s="31" t="s">
        <v>19</v>
      </c>
      <c r="D14" s="31" t="s">
        <v>18</v>
      </c>
      <c r="E14" s="31" t="s">
        <v>20</v>
      </c>
      <c r="F14" s="31"/>
      <c r="G14" s="32" t="s">
        <v>16</v>
      </c>
      <c r="H14" s="33">
        <v>14147.0</v>
      </c>
      <c r="I14" s="33">
        <v>3488.0</v>
      </c>
      <c r="J14" s="33">
        <v>2326.0</v>
      </c>
      <c r="K14" s="33">
        <v>1162.0</v>
      </c>
      <c r="L14" s="33">
        <v>10659.0</v>
      </c>
      <c r="M14" s="33">
        <v>15328.0</v>
      </c>
      <c r="N14" s="33">
        <v>6318.0</v>
      </c>
      <c r="O14" s="33">
        <v>5804.0</v>
      </c>
      <c r="P14" s="33">
        <v>514.0</v>
      </c>
      <c r="Q14" s="33">
        <v>9010.0</v>
      </c>
      <c r="R14" s="34">
        <v>24.655404</v>
      </c>
      <c r="S14" s="34">
        <v>16.4416484</v>
      </c>
      <c r="T14" s="34">
        <v>8.2137556</v>
      </c>
      <c r="U14" s="34">
        <v>75.344596</v>
      </c>
      <c r="V14" s="34">
        <v>41.2186848</v>
      </c>
      <c r="W14" s="34">
        <v>37.8653445</v>
      </c>
      <c r="X14" s="34">
        <v>3.3533403</v>
      </c>
      <c r="Y14" s="34">
        <v>58.7813152</v>
      </c>
    </row>
    <row r="15" ht="15.0" customHeight="1">
      <c r="B15" s="35">
        <v>10.0</v>
      </c>
      <c r="C15" s="36" t="s">
        <v>21</v>
      </c>
      <c r="D15" s="36" t="s">
        <v>18</v>
      </c>
      <c r="E15" s="36" t="s">
        <v>20</v>
      </c>
      <c r="F15" s="36" t="s">
        <v>22</v>
      </c>
      <c r="G15" s="36" t="s">
        <v>22</v>
      </c>
      <c r="H15" s="37">
        <v>69949.0</v>
      </c>
      <c r="I15" s="37">
        <v>57270.0</v>
      </c>
      <c r="J15" s="37">
        <v>29757.0</v>
      </c>
      <c r="K15" s="37">
        <v>27513.0</v>
      </c>
      <c r="L15" s="37">
        <v>12679.0</v>
      </c>
      <c r="M15" s="37">
        <v>92531.0</v>
      </c>
      <c r="N15" s="37">
        <v>83249.0</v>
      </c>
      <c r="O15" s="37">
        <v>65636.0</v>
      </c>
      <c r="P15" s="37">
        <v>17613.0</v>
      </c>
      <c r="Q15" s="37">
        <v>9282.0</v>
      </c>
      <c r="R15" s="38">
        <v>81.8739367</v>
      </c>
      <c r="S15" s="38">
        <v>42.5409942</v>
      </c>
      <c r="T15" s="38">
        <v>39.3329426</v>
      </c>
      <c r="U15" s="38">
        <v>18.1260633</v>
      </c>
      <c r="V15" s="38">
        <v>89.9687672</v>
      </c>
      <c r="W15" s="38">
        <v>70.9340653</v>
      </c>
      <c r="X15" s="38">
        <v>19.0347019</v>
      </c>
      <c r="Y15" s="38">
        <v>10.0312328</v>
      </c>
    </row>
    <row r="16" ht="15.0" hidden="1" customHeight="1">
      <c r="B16" s="30">
        <v>11.0</v>
      </c>
      <c r="C16" s="31" t="s">
        <v>21</v>
      </c>
      <c r="D16" s="31" t="s">
        <v>18</v>
      </c>
      <c r="E16" s="31" t="s">
        <v>20</v>
      </c>
      <c r="F16" s="31" t="s">
        <v>22</v>
      </c>
      <c r="G16" s="32" t="s">
        <v>15</v>
      </c>
      <c r="H16" s="33">
        <v>63108.0</v>
      </c>
      <c r="I16" s="33">
        <v>55623.0</v>
      </c>
      <c r="J16" s="33">
        <v>28592.0</v>
      </c>
      <c r="K16" s="33">
        <v>27031.0</v>
      </c>
      <c r="L16" s="33">
        <v>7485.0</v>
      </c>
      <c r="M16" s="33">
        <v>84913.0</v>
      </c>
      <c r="N16" s="33">
        <v>79958.0</v>
      </c>
      <c r="O16" s="33">
        <v>62539.0</v>
      </c>
      <c r="P16" s="33">
        <v>17419.0</v>
      </c>
      <c r="Q16" s="33">
        <v>4955.0</v>
      </c>
      <c r="R16" s="34">
        <v>88.1393801</v>
      </c>
      <c r="S16" s="34">
        <v>45.3064588</v>
      </c>
      <c r="T16" s="34">
        <v>42.8329213</v>
      </c>
      <c r="U16" s="34">
        <v>11.8606199</v>
      </c>
      <c r="V16" s="34">
        <v>94.1646155</v>
      </c>
      <c r="W16" s="34">
        <v>73.6506778</v>
      </c>
      <c r="X16" s="34">
        <v>20.5139378</v>
      </c>
      <c r="Y16" s="34">
        <v>5.8353845</v>
      </c>
    </row>
    <row r="17" ht="15.0" hidden="1" customHeight="1">
      <c r="B17" s="30">
        <v>12.0</v>
      </c>
      <c r="C17" s="31" t="s">
        <v>21</v>
      </c>
      <c r="D17" s="31" t="s">
        <v>18</v>
      </c>
      <c r="E17" s="31" t="s">
        <v>20</v>
      </c>
      <c r="F17" s="31" t="s">
        <v>22</v>
      </c>
      <c r="G17" s="32" t="s">
        <v>16</v>
      </c>
      <c r="H17" s="33">
        <v>6841.0</v>
      </c>
      <c r="I17" s="33">
        <v>1647.0</v>
      </c>
      <c r="J17" s="33">
        <v>1165.0</v>
      </c>
      <c r="K17" s="33">
        <v>482.0</v>
      </c>
      <c r="L17" s="33">
        <v>5194.0</v>
      </c>
      <c r="M17" s="33">
        <v>7618.0</v>
      </c>
      <c r="N17" s="33">
        <v>3291.0</v>
      </c>
      <c r="O17" s="33">
        <v>3097.0</v>
      </c>
      <c r="P17" s="33">
        <v>194.0</v>
      </c>
      <c r="Q17" s="33">
        <v>4327.0</v>
      </c>
      <c r="R17" s="34">
        <v>24.0754276</v>
      </c>
      <c r="S17" s="34">
        <v>17.029674</v>
      </c>
      <c r="T17" s="34">
        <v>7.0457535</v>
      </c>
      <c r="U17" s="34">
        <v>75.9245724</v>
      </c>
      <c r="V17" s="34">
        <v>43.200315</v>
      </c>
      <c r="W17" s="34">
        <v>40.6537149</v>
      </c>
      <c r="X17" s="34">
        <v>2.5466002</v>
      </c>
      <c r="Y17" s="34">
        <v>56.799685</v>
      </c>
    </row>
    <row r="18" ht="15.0" customHeight="1">
      <c r="B18" s="35">
        <v>13.0</v>
      </c>
      <c r="C18" s="36" t="s">
        <v>21</v>
      </c>
      <c r="D18" s="36" t="s">
        <v>18</v>
      </c>
      <c r="E18" s="36" t="s">
        <v>20</v>
      </c>
      <c r="F18" s="36" t="s">
        <v>23</v>
      </c>
      <c r="G18" s="36" t="s">
        <v>23</v>
      </c>
      <c r="H18" s="37">
        <v>2646.0</v>
      </c>
      <c r="I18" s="37">
        <v>1572.0</v>
      </c>
      <c r="J18" s="37">
        <v>1018.0</v>
      </c>
      <c r="K18" s="37">
        <v>554.0</v>
      </c>
      <c r="L18" s="37">
        <v>1074.0</v>
      </c>
      <c r="M18" s="37">
        <v>3056.0</v>
      </c>
      <c r="N18" s="37">
        <v>2240.0</v>
      </c>
      <c r="O18" s="37">
        <v>2069.0</v>
      </c>
      <c r="P18" s="37">
        <v>171.0</v>
      </c>
      <c r="Q18" s="37">
        <v>816.0</v>
      </c>
      <c r="R18" s="38">
        <v>59.4104308</v>
      </c>
      <c r="S18" s="38">
        <v>38.473167</v>
      </c>
      <c r="T18" s="38">
        <v>20.9372638</v>
      </c>
      <c r="U18" s="38">
        <v>40.5895692</v>
      </c>
      <c r="V18" s="38">
        <v>73.2984293</v>
      </c>
      <c r="W18" s="38">
        <v>67.7028796</v>
      </c>
      <c r="X18" s="38">
        <v>5.5955497</v>
      </c>
      <c r="Y18" s="38">
        <v>26.7015707</v>
      </c>
    </row>
    <row r="19" ht="15.0" hidden="1" customHeight="1">
      <c r="B19" s="30">
        <v>14.0</v>
      </c>
      <c r="C19" s="31" t="s">
        <v>21</v>
      </c>
      <c r="D19" s="31" t="s">
        <v>18</v>
      </c>
      <c r="E19" s="31" t="s">
        <v>20</v>
      </c>
      <c r="F19" s="31" t="s">
        <v>23</v>
      </c>
      <c r="G19" s="32" t="s">
        <v>15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4"/>
      <c r="S19" s="34"/>
      <c r="T19" s="34"/>
      <c r="U19" s="34"/>
      <c r="V19" s="34"/>
      <c r="W19" s="34"/>
      <c r="X19" s="34"/>
      <c r="Y19" s="34"/>
    </row>
    <row r="20" ht="15.0" hidden="1" customHeight="1">
      <c r="B20" s="30">
        <v>15.0</v>
      </c>
      <c r="C20" s="31" t="s">
        <v>21</v>
      </c>
      <c r="D20" s="31" t="s">
        <v>18</v>
      </c>
      <c r="E20" s="31" t="s">
        <v>20</v>
      </c>
      <c r="F20" s="31" t="s">
        <v>23</v>
      </c>
      <c r="G20" s="32" t="s">
        <v>16</v>
      </c>
      <c r="H20" s="33">
        <v>2646.0</v>
      </c>
      <c r="I20" s="33">
        <v>1572.0</v>
      </c>
      <c r="J20" s="33">
        <v>1018.0</v>
      </c>
      <c r="K20" s="33">
        <v>554.0</v>
      </c>
      <c r="L20" s="33">
        <v>1074.0</v>
      </c>
      <c r="M20" s="33">
        <v>3056.0</v>
      </c>
      <c r="N20" s="33">
        <v>2240.0</v>
      </c>
      <c r="O20" s="33">
        <v>2069.0</v>
      </c>
      <c r="P20" s="33">
        <v>171.0</v>
      </c>
      <c r="Q20" s="33">
        <v>816.0</v>
      </c>
      <c r="R20" s="34">
        <v>59.4104308</v>
      </c>
      <c r="S20" s="34">
        <v>38.473167</v>
      </c>
      <c r="T20" s="34">
        <v>20.9372638</v>
      </c>
      <c r="U20" s="34">
        <v>40.5895692</v>
      </c>
      <c r="V20" s="34">
        <v>73.2984293</v>
      </c>
      <c r="W20" s="34">
        <v>67.7028796</v>
      </c>
      <c r="X20" s="34">
        <v>5.5955497</v>
      </c>
      <c r="Y20" s="34">
        <v>26.7015707</v>
      </c>
    </row>
    <row r="21" ht="15.0" customHeight="1">
      <c r="B21" s="35">
        <v>16.0</v>
      </c>
      <c r="C21" s="36" t="s">
        <v>21</v>
      </c>
      <c r="D21" s="36" t="s">
        <v>18</v>
      </c>
      <c r="E21" s="36" t="s">
        <v>20</v>
      </c>
      <c r="F21" s="36" t="s">
        <v>24</v>
      </c>
      <c r="G21" s="36" t="s">
        <v>24</v>
      </c>
      <c r="H21" s="37">
        <v>4660.0</v>
      </c>
      <c r="I21" s="37">
        <v>269.0</v>
      </c>
      <c r="J21" s="37">
        <v>143.0</v>
      </c>
      <c r="K21" s="37">
        <v>126.0</v>
      </c>
      <c r="L21" s="37">
        <v>4391.0</v>
      </c>
      <c r="M21" s="37">
        <v>4654.0</v>
      </c>
      <c r="N21" s="37">
        <v>787.0</v>
      </c>
      <c r="O21" s="37">
        <v>638.0</v>
      </c>
      <c r="P21" s="37">
        <v>149.0</v>
      </c>
      <c r="Q21" s="37">
        <v>3867.0</v>
      </c>
      <c r="R21" s="38">
        <v>5.7725322</v>
      </c>
      <c r="S21" s="38">
        <v>3.0686695</v>
      </c>
      <c r="T21" s="38">
        <v>2.7038627</v>
      </c>
      <c r="U21" s="38">
        <v>94.2274678</v>
      </c>
      <c r="V21" s="38">
        <v>16.9101848</v>
      </c>
      <c r="W21" s="38">
        <v>13.7086377</v>
      </c>
      <c r="X21" s="38">
        <v>3.2015471</v>
      </c>
      <c r="Y21" s="38">
        <v>83.0898152</v>
      </c>
    </row>
    <row r="22" ht="15.0" hidden="1" customHeight="1">
      <c r="B22" s="30">
        <v>17.0</v>
      </c>
      <c r="C22" s="31" t="s">
        <v>21</v>
      </c>
      <c r="D22" s="31" t="s">
        <v>18</v>
      </c>
      <c r="E22" s="31" t="s">
        <v>20</v>
      </c>
      <c r="F22" s="31" t="s">
        <v>24</v>
      </c>
      <c r="G22" s="32" t="s">
        <v>15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4"/>
      <c r="S22" s="34"/>
      <c r="T22" s="34"/>
      <c r="U22" s="34"/>
      <c r="V22" s="34"/>
      <c r="W22" s="34"/>
      <c r="X22" s="34"/>
      <c r="Y22" s="34"/>
    </row>
    <row r="23" ht="15.0" hidden="1" customHeight="1">
      <c r="B23" s="30">
        <v>18.0</v>
      </c>
      <c r="C23" s="31" t="s">
        <v>21</v>
      </c>
      <c r="D23" s="31" t="s">
        <v>18</v>
      </c>
      <c r="E23" s="31" t="s">
        <v>20</v>
      </c>
      <c r="F23" s="31" t="s">
        <v>24</v>
      </c>
      <c r="G23" s="32" t="s">
        <v>16</v>
      </c>
      <c r="H23" s="33">
        <v>4660.0</v>
      </c>
      <c r="I23" s="33">
        <v>269.0</v>
      </c>
      <c r="J23" s="33">
        <v>143.0</v>
      </c>
      <c r="K23" s="33">
        <v>126.0</v>
      </c>
      <c r="L23" s="33">
        <v>4391.0</v>
      </c>
      <c r="M23" s="33">
        <v>4654.0</v>
      </c>
      <c r="N23" s="33">
        <v>787.0</v>
      </c>
      <c r="O23" s="33">
        <v>638.0</v>
      </c>
      <c r="P23" s="33">
        <v>149.0</v>
      </c>
      <c r="Q23" s="33">
        <v>3867.0</v>
      </c>
      <c r="R23" s="34">
        <v>5.7725322</v>
      </c>
      <c r="S23" s="34">
        <v>3.0686695</v>
      </c>
      <c r="T23" s="34">
        <v>2.7038627</v>
      </c>
      <c r="U23" s="34">
        <v>94.2274678</v>
      </c>
      <c r="V23" s="34">
        <v>16.9101848</v>
      </c>
      <c r="W23" s="34">
        <v>13.7086377</v>
      </c>
      <c r="X23" s="34">
        <v>3.2015471</v>
      </c>
      <c r="Y23" s="34">
        <v>83.0898152</v>
      </c>
    </row>
    <row r="24" ht="15.0" hidden="1" customHeight="1">
      <c r="B24" s="26">
        <v>19.0</v>
      </c>
      <c r="C24" s="27" t="s">
        <v>19</v>
      </c>
      <c r="D24" s="27" t="s">
        <v>18</v>
      </c>
      <c r="E24" s="27" t="s">
        <v>25</v>
      </c>
      <c r="F24" s="27"/>
      <c r="G24" s="27" t="s">
        <v>25</v>
      </c>
      <c r="H24" s="28">
        <v>5956.0</v>
      </c>
      <c r="I24" s="28">
        <v>1228.0</v>
      </c>
      <c r="J24" s="28">
        <v>696.0</v>
      </c>
      <c r="K24" s="28">
        <v>532.0</v>
      </c>
      <c r="L24" s="28">
        <v>4728.0</v>
      </c>
      <c r="M24" s="28">
        <v>7048.0</v>
      </c>
      <c r="N24" s="28">
        <v>2667.0</v>
      </c>
      <c r="O24" s="28">
        <v>2242.0</v>
      </c>
      <c r="P24" s="28">
        <v>425.0</v>
      </c>
      <c r="Q24" s="28">
        <v>4381.0</v>
      </c>
      <c r="R24" s="29">
        <v>20.6178643</v>
      </c>
      <c r="S24" s="29">
        <v>11.6856951</v>
      </c>
      <c r="T24" s="29">
        <v>8.9321692</v>
      </c>
      <c r="U24" s="29">
        <v>79.3821357</v>
      </c>
      <c r="V24" s="29">
        <v>37.8405221</v>
      </c>
      <c r="W24" s="29">
        <v>31.8104427</v>
      </c>
      <c r="X24" s="29">
        <v>6.0300795</v>
      </c>
      <c r="Y24" s="29">
        <v>62.1594779</v>
      </c>
    </row>
    <row r="25" ht="15.0" hidden="1" customHeight="1">
      <c r="B25" s="30">
        <v>20.0</v>
      </c>
      <c r="C25" s="31" t="s">
        <v>19</v>
      </c>
      <c r="D25" s="31" t="s">
        <v>18</v>
      </c>
      <c r="E25" s="31" t="s">
        <v>25</v>
      </c>
      <c r="F25" s="31"/>
      <c r="G25" s="32" t="s">
        <v>15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4"/>
      <c r="S25" s="34"/>
      <c r="T25" s="34"/>
      <c r="U25" s="34"/>
      <c r="V25" s="34"/>
      <c r="W25" s="34"/>
      <c r="X25" s="34"/>
      <c r="Y25" s="34"/>
    </row>
    <row r="26" ht="15.0" hidden="1" customHeight="1">
      <c r="B26" s="30">
        <v>21.0</v>
      </c>
      <c r="C26" s="31" t="s">
        <v>19</v>
      </c>
      <c r="D26" s="31" t="s">
        <v>18</v>
      </c>
      <c r="E26" s="31" t="s">
        <v>25</v>
      </c>
      <c r="F26" s="31"/>
      <c r="G26" s="32" t="s">
        <v>16</v>
      </c>
      <c r="H26" s="33">
        <v>5956.0</v>
      </c>
      <c r="I26" s="33">
        <v>1228.0</v>
      </c>
      <c r="J26" s="33">
        <v>696.0</v>
      </c>
      <c r="K26" s="33">
        <v>532.0</v>
      </c>
      <c r="L26" s="33">
        <v>4728.0</v>
      </c>
      <c r="M26" s="33">
        <v>7048.0</v>
      </c>
      <c r="N26" s="33">
        <v>2667.0</v>
      </c>
      <c r="O26" s="33">
        <v>2242.0</v>
      </c>
      <c r="P26" s="33">
        <v>425.0</v>
      </c>
      <c r="Q26" s="33">
        <v>4381.0</v>
      </c>
      <c r="R26" s="34">
        <v>20.6178643</v>
      </c>
      <c r="S26" s="34">
        <v>11.6856951</v>
      </c>
      <c r="T26" s="34">
        <v>8.9321692</v>
      </c>
      <c r="U26" s="34">
        <v>79.3821357</v>
      </c>
      <c r="V26" s="34">
        <v>37.8405221</v>
      </c>
      <c r="W26" s="34">
        <v>31.8104427</v>
      </c>
      <c r="X26" s="34">
        <v>6.0300795</v>
      </c>
      <c r="Y26" s="34">
        <v>62.1594779</v>
      </c>
    </row>
    <row r="27" ht="15.0" customHeight="1">
      <c r="B27" s="35">
        <v>22.0</v>
      </c>
      <c r="C27" s="36" t="s">
        <v>21</v>
      </c>
      <c r="D27" s="36" t="s">
        <v>18</v>
      </c>
      <c r="E27" s="36" t="s">
        <v>25</v>
      </c>
      <c r="F27" s="36" t="s">
        <v>25</v>
      </c>
      <c r="G27" s="36" t="s">
        <v>25</v>
      </c>
      <c r="H27" s="37">
        <v>2538.0</v>
      </c>
      <c r="I27" s="37">
        <v>567.0</v>
      </c>
      <c r="J27" s="37">
        <v>325.0</v>
      </c>
      <c r="K27" s="37">
        <v>242.0</v>
      </c>
      <c r="L27" s="37">
        <v>1971.0</v>
      </c>
      <c r="M27" s="37">
        <v>2450.0</v>
      </c>
      <c r="N27" s="37">
        <v>911.0</v>
      </c>
      <c r="O27" s="37">
        <v>766.0</v>
      </c>
      <c r="P27" s="37">
        <v>145.0</v>
      </c>
      <c r="Q27" s="37">
        <v>1539.0</v>
      </c>
      <c r="R27" s="38">
        <v>22.3404255</v>
      </c>
      <c r="S27" s="38">
        <v>12.8053586</v>
      </c>
      <c r="T27" s="38">
        <v>9.535067</v>
      </c>
      <c r="U27" s="38">
        <v>77.6595745</v>
      </c>
      <c r="V27" s="38">
        <v>37.1836735</v>
      </c>
      <c r="W27" s="38">
        <v>31.2653061</v>
      </c>
      <c r="X27" s="38">
        <v>5.9183673</v>
      </c>
      <c r="Y27" s="38">
        <v>62.8163265</v>
      </c>
    </row>
    <row r="28" ht="15.0" hidden="1" customHeight="1">
      <c r="B28" s="30">
        <v>23.0</v>
      </c>
      <c r="C28" s="31" t="s">
        <v>21</v>
      </c>
      <c r="D28" s="31" t="s">
        <v>18</v>
      </c>
      <c r="E28" s="31" t="s">
        <v>25</v>
      </c>
      <c r="F28" s="31" t="s">
        <v>25</v>
      </c>
      <c r="G28" s="32" t="s">
        <v>15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4"/>
      <c r="S28" s="34"/>
      <c r="T28" s="34"/>
      <c r="U28" s="34"/>
      <c r="V28" s="34"/>
      <c r="W28" s="34"/>
      <c r="X28" s="34"/>
      <c r="Y28" s="34"/>
    </row>
    <row r="29" ht="15.0" hidden="1" customHeight="1">
      <c r="B29" s="30">
        <v>24.0</v>
      </c>
      <c r="C29" s="31" t="s">
        <v>21</v>
      </c>
      <c r="D29" s="31" t="s">
        <v>18</v>
      </c>
      <c r="E29" s="31" t="s">
        <v>25</v>
      </c>
      <c r="F29" s="31" t="s">
        <v>25</v>
      </c>
      <c r="G29" s="32" t="s">
        <v>16</v>
      </c>
      <c r="H29" s="33">
        <v>2538.0</v>
      </c>
      <c r="I29" s="33">
        <v>567.0</v>
      </c>
      <c r="J29" s="33">
        <v>325.0</v>
      </c>
      <c r="K29" s="33">
        <v>242.0</v>
      </c>
      <c r="L29" s="33">
        <v>1971.0</v>
      </c>
      <c r="M29" s="33">
        <v>2450.0</v>
      </c>
      <c r="N29" s="33">
        <v>911.0</v>
      </c>
      <c r="O29" s="33">
        <v>766.0</v>
      </c>
      <c r="P29" s="33">
        <v>145.0</v>
      </c>
      <c r="Q29" s="33">
        <v>1539.0</v>
      </c>
      <c r="R29" s="34">
        <v>22.3404255</v>
      </c>
      <c r="S29" s="34">
        <v>12.8053586</v>
      </c>
      <c r="T29" s="34">
        <v>9.535067</v>
      </c>
      <c r="U29" s="34">
        <v>77.6595745</v>
      </c>
      <c r="V29" s="34">
        <v>37.1836735</v>
      </c>
      <c r="W29" s="34">
        <v>31.2653061</v>
      </c>
      <c r="X29" s="34">
        <v>5.9183673</v>
      </c>
      <c r="Y29" s="34">
        <v>62.8163265</v>
      </c>
    </row>
    <row r="30" ht="15.0" customHeight="1">
      <c r="B30" s="35">
        <v>25.0</v>
      </c>
      <c r="C30" s="36" t="s">
        <v>21</v>
      </c>
      <c r="D30" s="36" t="s">
        <v>18</v>
      </c>
      <c r="E30" s="36" t="s">
        <v>25</v>
      </c>
      <c r="F30" s="36" t="s">
        <v>26</v>
      </c>
      <c r="G30" s="36" t="s">
        <v>26</v>
      </c>
      <c r="H30" s="37">
        <v>3418.0</v>
      </c>
      <c r="I30" s="37">
        <v>661.0</v>
      </c>
      <c r="J30" s="37">
        <v>371.0</v>
      </c>
      <c r="K30" s="37">
        <v>290.0</v>
      </c>
      <c r="L30" s="37">
        <v>2757.0</v>
      </c>
      <c r="M30" s="37">
        <v>4598.0</v>
      </c>
      <c r="N30" s="37">
        <v>1756.0</v>
      </c>
      <c r="O30" s="37">
        <v>1476.0</v>
      </c>
      <c r="P30" s="37">
        <v>280.0</v>
      </c>
      <c r="Q30" s="37">
        <v>2842.0</v>
      </c>
      <c r="R30" s="38">
        <v>19.3387946</v>
      </c>
      <c r="S30" s="38">
        <v>10.8543008</v>
      </c>
      <c r="T30" s="38">
        <v>8.4844939</v>
      </c>
      <c r="U30" s="38">
        <v>80.6612054</v>
      </c>
      <c r="V30" s="38">
        <v>38.1905176</v>
      </c>
      <c r="W30" s="38">
        <v>32.1009134</v>
      </c>
      <c r="X30" s="38">
        <v>6.0896042</v>
      </c>
      <c r="Y30" s="38">
        <v>61.8094824</v>
      </c>
    </row>
    <row r="31" ht="15.0" hidden="1" customHeight="1">
      <c r="B31" s="30">
        <v>26.0</v>
      </c>
      <c r="C31" s="31" t="s">
        <v>21</v>
      </c>
      <c r="D31" s="31" t="s">
        <v>18</v>
      </c>
      <c r="E31" s="31" t="s">
        <v>25</v>
      </c>
      <c r="F31" s="31" t="s">
        <v>26</v>
      </c>
      <c r="G31" s="32" t="s">
        <v>15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4"/>
      <c r="S31" s="34"/>
      <c r="T31" s="34"/>
      <c r="U31" s="34"/>
      <c r="V31" s="34"/>
      <c r="W31" s="34"/>
      <c r="X31" s="34"/>
      <c r="Y31" s="34"/>
    </row>
    <row r="32" ht="15.0" hidden="1" customHeight="1">
      <c r="B32" s="30">
        <v>27.0</v>
      </c>
      <c r="C32" s="31" t="s">
        <v>21</v>
      </c>
      <c r="D32" s="31" t="s">
        <v>18</v>
      </c>
      <c r="E32" s="31" t="s">
        <v>25</v>
      </c>
      <c r="F32" s="31" t="s">
        <v>26</v>
      </c>
      <c r="G32" s="32" t="s">
        <v>16</v>
      </c>
      <c r="H32" s="33">
        <v>3418.0</v>
      </c>
      <c r="I32" s="33">
        <v>661.0</v>
      </c>
      <c r="J32" s="33">
        <v>371.0</v>
      </c>
      <c r="K32" s="33">
        <v>290.0</v>
      </c>
      <c r="L32" s="33">
        <v>2757.0</v>
      </c>
      <c r="M32" s="33">
        <v>4598.0</v>
      </c>
      <c r="N32" s="33">
        <v>1756.0</v>
      </c>
      <c r="O32" s="33">
        <v>1476.0</v>
      </c>
      <c r="P32" s="33">
        <v>280.0</v>
      </c>
      <c r="Q32" s="33">
        <v>2842.0</v>
      </c>
      <c r="R32" s="34">
        <v>19.3387946</v>
      </c>
      <c r="S32" s="34">
        <v>10.8543008</v>
      </c>
      <c r="T32" s="34">
        <v>8.4844939</v>
      </c>
      <c r="U32" s="34">
        <v>80.6612054</v>
      </c>
      <c r="V32" s="34">
        <v>38.1905176</v>
      </c>
      <c r="W32" s="34">
        <v>32.1009134</v>
      </c>
      <c r="X32" s="34">
        <v>6.0896042</v>
      </c>
      <c r="Y32" s="34">
        <v>61.8094824</v>
      </c>
    </row>
    <row r="33" ht="15.0" hidden="1" customHeight="1">
      <c r="B33" s="26">
        <v>28.0</v>
      </c>
      <c r="C33" s="27" t="s">
        <v>19</v>
      </c>
      <c r="D33" s="27" t="s">
        <v>18</v>
      </c>
      <c r="E33" s="27" t="s">
        <v>27</v>
      </c>
      <c r="F33" s="27"/>
      <c r="G33" s="27" t="s">
        <v>27</v>
      </c>
      <c r="H33" s="28">
        <v>9116.0</v>
      </c>
      <c r="I33" s="28">
        <v>3134.0</v>
      </c>
      <c r="J33" s="28">
        <v>1749.0</v>
      </c>
      <c r="K33" s="28">
        <v>1385.0</v>
      </c>
      <c r="L33" s="28">
        <v>5982.0</v>
      </c>
      <c r="M33" s="28">
        <v>11636.0</v>
      </c>
      <c r="N33" s="28">
        <v>5831.0</v>
      </c>
      <c r="O33" s="28">
        <v>4906.0</v>
      </c>
      <c r="P33" s="28">
        <v>925.0</v>
      </c>
      <c r="Q33" s="28">
        <v>5805.0</v>
      </c>
      <c r="R33" s="29">
        <v>34.3791136</v>
      </c>
      <c r="S33" s="29">
        <v>19.1860465</v>
      </c>
      <c r="T33" s="29">
        <v>15.1930671</v>
      </c>
      <c r="U33" s="29">
        <v>65.6208864</v>
      </c>
      <c r="V33" s="29">
        <v>50.1117222</v>
      </c>
      <c r="W33" s="29">
        <v>42.1622551</v>
      </c>
      <c r="X33" s="29">
        <v>7.9494672</v>
      </c>
      <c r="Y33" s="29">
        <v>49.8882778</v>
      </c>
    </row>
    <row r="34" ht="15.0" hidden="1" customHeight="1">
      <c r="B34" s="30">
        <v>29.0</v>
      </c>
      <c r="C34" s="31" t="s">
        <v>19</v>
      </c>
      <c r="D34" s="31" t="s">
        <v>18</v>
      </c>
      <c r="E34" s="31" t="s">
        <v>27</v>
      </c>
      <c r="F34" s="31"/>
      <c r="G34" s="32" t="s">
        <v>15</v>
      </c>
      <c r="H34" s="33">
        <v>1385.0</v>
      </c>
      <c r="I34" s="33">
        <v>987.0</v>
      </c>
      <c r="J34" s="33">
        <v>463.0</v>
      </c>
      <c r="K34" s="33">
        <v>524.0</v>
      </c>
      <c r="L34" s="33">
        <v>398.0</v>
      </c>
      <c r="M34" s="33">
        <v>2686.0</v>
      </c>
      <c r="N34" s="33">
        <v>2449.0</v>
      </c>
      <c r="O34" s="33">
        <v>1888.0</v>
      </c>
      <c r="P34" s="33">
        <v>561.0</v>
      </c>
      <c r="Q34" s="33">
        <v>237.0</v>
      </c>
      <c r="R34" s="34">
        <v>71.2635379</v>
      </c>
      <c r="S34" s="34">
        <v>33.4296029</v>
      </c>
      <c r="T34" s="34">
        <v>37.833935</v>
      </c>
      <c r="U34" s="34">
        <v>28.7364621</v>
      </c>
      <c r="V34" s="34">
        <v>91.1764706</v>
      </c>
      <c r="W34" s="34">
        <v>70.2903946</v>
      </c>
      <c r="X34" s="34">
        <v>20.8860759</v>
      </c>
      <c r="Y34" s="34">
        <v>8.8235294</v>
      </c>
    </row>
    <row r="35" ht="15.0" hidden="1" customHeight="1">
      <c r="B35" s="30">
        <v>30.0</v>
      </c>
      <c r="C35" s="31" t="s">
        <v>19</v>
      </c>
      <c r="D35" s="31" t="s">
        <v>18</v>
      </c>
      <c r="E35" s="31" t="s">
        <v>27</v>
      </c>
      <c r="F35" s="31"/>
      <c r="G35" s="32" t="s">
        <v>16</v>
      </c>
      <c r="H35" s="33">
        <v>7731.0</v>
      </c>
      <c r="I35" s="33">
        <v>2147.0</v>
      </c>
      <c r="J35" s="33">
        <v>1286.0</v>
      </c>
      <c r="K35" s="33">
        <v>861.0</v>
      </c>
      <c r="L35" s="33">
        <v>5584.0</v>
      </c>
      <c r="M35" s="33">
        <v>8950.0</v>
      </c>
      <c r="N35" s="33">
        <v>3382.0</v>
      </c>
      <c r="O35" s="33">
        <v>3018.0</v>
      </c>
      <c r="P35" s="33">
        <v>364.0</v>
      </c>
      <c r="Q35" s="33">
        <v>5568.0</v>
      </c>
      <c r="R35" s="34">
        <v>27.7713103</v>
      </c>
      <c r="S35" s="34">
        <v>16.6343293</v>
      </c>
      <c r="T35" s="34">
        <v>11.136981</v>
      </c>
      <c r="U35" s="34">
        <v>72.2286897</v>
      </c>
      <c r="V35" s="34">
        <v>37.7877095</v>
      </c>
      <c r="W35" s="34">
        <v>33.7206704</v>
      </c>
      <c r="X35" s="34">
        <v>4.0670391</v>
      </c>
      <c r="Y35" s="34">
        <v>62.2122905</v>
      </c>
    </row>
    <row r="36" ht="15.0" customHeight="1">
      <c r="B36" s="35">
        <v>31.0</v>
      </c>
      <c r="C36" s="36" t="s">
        <v>21</v>
      </c>
      <c r="D36" s="36" t="s">
        <v>18</v>
      </c>
      <c r="E36" s="36" t="s">
        <v>27</v>
      </c>
      <c r="F36" s="36" t="s">
        <v>27</v>
      </c>
      <c r="G36" s="36" t="s">
        <v>27</v>
      </c>
      <c r="H36" s="37">
        <v>2586.0</v>
      </c>
      <c r="I36" s="37">
        <v>848.0</v>
      </c>
      <c r="J36" s="37">
        <v>453.0</v>
      </c>
      <c r="K36" s="37">
        <v>395.0</v>
      </c>
      <c r="L36" s="37">
        <v>1738.0</v>
      </c>
      <c r="M36" s="37">
        <v>3187.0</v>
      </c>
      <c r="N36" s="37">
        <v>1538.0</v>
      </c>
      <c r="O36" s="37">
        <v>1229.0</v>
      </c>
      <c r="P36" s="37">
        <v>309.0</v>
      </c>
      <c r="Q36" s="37">
        <v>1649.0</v>
      </c>
      <c r="R36" s="38">
        <v>32.7919567</v>
      </c>
      <c r="S36" s="38">
        <v>17.5174014</v>
      </c>
      <c r="T36" s="38">
        <v>15.2745553</v>
      </c>
      <c r="U36" s="38">
        <v>67.2080433</v>
      </c>
      <c r="V36" s="38">
        <v>48.2585504</v>
      </c>
      <c r="W36" s="38">
        <v>38.5629118</v>
      </c>
      <c r="X36" s="38">
        <v>9.6956385</v>
      </c>
      <c r="Y36" s="38">
        <v>51.7414496</v>
      </c>
    </row>
    <row r="37" ht="15.0" hidden="1" customHeight="1">
      <c r="B37" s="30">
        <v>32.0</v>
      </c>
      <c r="C37" s="31" t="s">
        <v>21</v>
      </c>
      <c r="D37" s="31" t="s">
        <v>18</v>
      </c>
      <c r="E37" s="31" t="s">
        <v>27</v>
      </c>
      <c r="F37" s="31" t="s">
        <v>27</v>
      </c>
      <c r="G37" s="32" t="s">
        <v>15</v>
      </c>
      <c r="H37" s="33">
        <v>825.0</v>
      </c>
      <c r="I37" s="33">
        <v>619.0</v>
      </c>
      <c r="J37" s="33">
        <v>296.0</v>
      </c>
      <c r="K37" s="33">
        <v>323.0</v>
      </c>
      <c r="L37" s="33">
        <v>206.0</v>
      </c>
      <c r="M37" s="33">
        <v>1220.0</v>
      </c>
      <c r="N37" s="33">
        <v>1109.0</v>
      </c>
      <c r="O37" s="33">
        <v>829.0</v>
      </c>
      <c r="P37" s="33">
        <v>280.0</v>
      </c>
      <c r="Q37" s="33">
        <v>111.0</v>
      </c>
      <c r="R37" s="34">
        <v>75.030303</v>
      </c>
      <c r="S37" s="34">
        <v>35.8787879</v>
      </c>
      <c r="T37" s="34">
        <v>39.1515152</v>
      </c>
      <c r="U37" s="34">
        <v>24.969697</v>
      </c>
      <c r="V37" s="34">
        <v>90.9016393</v>
      </c>
      <c r="W37" s="34">
        <v>67.9508197</v>
      </c>
      <c r="X37" s="34">
        <v>22.9508197</v>
      </c>
      <c r="Y37" s="34">
        <v>9.0983607</v>
      </c>
    </row>
    <row r="38" ht="15.0" hidden="1" customHeight="1">
      <c r="B38" s="30">
        <v>33.0</v>
      </c>
      <c r="C38" s="31" t="s">
        <v>21</v>
      </c>
      <c r="D38" s="31" t="s">
        <v>18</v>
      </c>
      <c r="E38" s="31" t="s">
        <v>27</v>
      </c>
      <c r="F38" s="31" t="s">
        <v>27</v>
      </c>
      <c r="G38" s="32" t="s">
        <v>16</v>
      </c>
      <c r="H38" s="33">
        <v>1761.0</v>
      </c>
      <c r="I38" s="33">
        <v>229.0</v>
      </c>
      <c r="J38" s="33">
        <v>157.0</v>
      </c>
      <c r="K38" s="33">
        <v>72.0</v>
      </c>
      <c r="L38" s="33">
        <v>1532.0</v>
      </c>
      <c r="M38" s="33">
        <v>1967.0</v>
      </c>
      <c r="N38" s="33">
        <v>429.0</v>
      </c>
      <c r="O38" s="33">
        <v>400.0</v>
      </c>
      <c r="P38" s="33">
        <v>29.0</v>
      </c>
      <c r="Q38" s="33">
        <v>1538.0</v>
      </c>
      <c r="R38" s="34">
        <v>13.003975</v>
      </c>
      <c r="S38" s="34">
        <v>8.915389</v>
      </c>
      <c r="T38" s="34">
        <v>4.088586</v>
      </c>
      <c r="U38" s="34">
        <v>86.996025</v>
      </c>
      <c r="V38" s="34">
        <v>21.8098627</v>
      </c>
      <c r="W38" s="34">
        <v>20.3355363</v>
      </c>
      <c r="X38" s="34">
        <v>1.4743264</v>
      </c>
      <c r="Y38" s="34">
        <v>78.1901373</v>
      </c>
    </row>
    <row r="39" ht="15.0" customHeight="1">
      <c r="B39" s="35">
        <v>34.0</v>
      </c>
      <c r="C39" s="36" t="s">
        <v>21</v>
      </c>
      <c r="D39" s="36" t="s">
        <v>18</v>
      </c>
      <c r="E39" s="36" t="s">
        <v>27</v>
      </c>
      <c r="F39" s="36" t="s">
        <v>28</v>
      </c>
      <c r="G39" s="36" t="s">
        <v>28</v>
      </c>
      <c r="H39" s="37">
        <v>2717.0</v>
      </c>
      <c r="I39" s="37">
        <v>566.0</v>
      </c>
      <c r="J39" s="37">
        <v>288.0</v>
      </c>
      <c r="K39" s="37">
        <v>278.0</v>
      </c>
      <c r="L39" s="37">
        <v>2151.0</v>
      </c>
      <c r="M39" s="37">
        <v>3271.0</v>
      </c>
      <c r="N39" s="37">
        <v>1435.0</v>
      </c>
      <c r="O39" s="37">
        <v>1229.0</v>
      </c>
      <c r="P39" s="37">
        <v>206.0</v>
      </c>
      <c r="Q39" s="37">
        <v>1836.0</v>
      </c>
      <c r="R39" s="38">
        <v>20.8317998</v>
      </c>
      <c r="S39" s="38">
        <v>10.5999264</v>
      </c>
      <c r="T39" s="38">
        <v>10.2318734</v>
      </c>
      <c r="U39" s="38">
        <v>79.1682002</v>
      </c>
      <c r="V39" s="38">
        <v>43.870376</v>
      </c>
      <c r="W39" s="38">
        <v>37.5726078</v>
      </c>
      <c r="X39" s="38">
        <v>6.2977683</v>
      </c>
      <c r="Y39" s="38">
        <v>56.129624</v>
      </c>
    </row>
    <row r="40" ht="15.0" hidden="1" customHeight="1">
      <c r="B40" s="30">
        <v>35.0</v>
      </c>
      <c r="C40" s="31" t="s">
        <v>21</v>
      </c>
      <c r="D40" s="31" t="s">
        <v>18</v>
      </c>
      <c r="E40" s="31" t="s">
        <v>27</v>
      </c>
      <c r="F40" s="31" t="s">
        <v>28</v>
      </c>
      <c r="G40" s="32" t="s">
        <v>15</v>
      </c>
      <c r="H40" s="33">
        <v>560.0</v>
      </c>
      <c r="I40" s="33">
        <v>368.0</v>
      </c>
      <c r="J40" s="33">
        <v>167.0</v>
      </c>
      <c r="K40" s="33">
        <v>201.0</v>
      </c>
      <c r="L40" s="33">
        <v>192.0</v>
      </c>
      <c r="M40" s="33">
        <v>609.0</v>
      </c>
      <c r="N40" s="33">
        <v>544.0</v>
      </c>
      <c r="O40" s="33">
        <v>428.0</v>
      </c>
      <c r="P40" s="33">
        <v>116.0</v>
      </c>
      <c r="Q40" s="33">
        <v>65.0</v>
      </c>
      <c r="R40" s="34">
        <v>65.7142857</v>
      </c>
      <c r="S40" s="34">
        <v>29.8214286</v>
      </c>
      <c r="T40" s="34">
        <v>35.8928571</v>
      </c>
      <c r="U40" s="34">
        <v>34.2857143</v>
      </c>
      <c r="V40" s="34">
        <v>89.3267652</v>
      </c>
      <c r="W40" s="34">
        <v>70.2791461</v>
      </c>
      <c r="X40" s="34">
        <v>19.047619</v>
      </c>
      <c r="Y40" s="34">
        <v>10.6732348</v>
      </c>
    </row>
    <row r="41" ht="15.0" hidden="1" customHeight="1">
      <c r="B41" s="30">
        <v>36.0</v>
      </c>
      <c r="C41" s="31" t="s">
        <v>21</v>
      </c>
      <c r="D41" s="31" t="s">
        <v>18</v>
      </c>
      <c r="E41" s="31" t="s">
        <v>27</v>
      </c>
      <c r="F41" s="31" t="s">
        <v>28</v>
      </c>
      <c r="G41" s="32" t="s">
        <v>16</v>
      </c>
      <c r="H41" s="33">
        <v>2157.0</v>
      </c>
      <c r="I41" s="33">
        <v>198.0</v>
      </c>
      <c r="J41" s="33">
        <v>121.0</v>
      </c>
      <c r="K41" s="33">
        <v>77.0</v>
      </c>
      <c r="L41" s="33">
        <v>1959.0</v>
      </c>
      <c r="M41" s="33">
        <v>2662.0</v>
      </c>
      <c r="N41" s="33">
        <v>891.0</v>
      </c>
      <c r="O41" s="33">
        <v>801.0</v>
      </c>
      <c r="P41" s="33">
        <v>90.0</v>
      </c>
      <c r="Q41" s="33">
        <v>1771.0</v>
      </c>
      <c r="R41" s="34">
        <v>9.1794159</v>
      </c>
      <c r="S41" s="34">
        <v>5.609643</v>
      </c>
      <c r="T41" s="34">
        <v>3.5697728</v>
      </c>
      <c r="U41" s="34">
        <v>90.8205841</v>
      </c>
      <c r="V41" s="34">
        <v>33.4710744</v>
      </c>
      <c r="W41" s="34">
        <v>30.0901578</v>
      </c>
      <c r="X41" s="34">
        <v>3.3809166</v>
      </c>
      <c r="Y41" s="34">
        <v>66.5289256</v>
      </c>
    </row>
    <row r="42" ht="15.0" customHeight="1">
      <c r="B42" s="35">
        <v>37.0</v>
      </c>
      <c r="C42" s="36" t="s">
        <v>21</v>
      </c>
      <c r="D42" s="36" t="s">
        <v>18</v>
      </c>
      <c r="E42" s="36" t="s">
        <v>27</v>
      </c>
      <c r="F42" s="36" t="s">
        <v>29</v>
      </c>
      <c r="G42" s="36" t="s">
        <v>29</v>
      </c>
      <c r="H42" s="37">
        <v>1982.0</v>
      </c>
      <c r="I42" s="37">
        <v>715.0</v>
      </c>
      <c r="J42" s="37">
        <v>358.0</v>
      </c>
      <c r="K42" s="37">
        <v>357.0</v>
      </c>
      <c r="L42" s="37">
        <v>1267.0</v>
      </c>
      <c r="M42" s="37">
        <v>2543.0</v>
      </c>
      <c r="N42" s="37">
        <v>1487.0</v>
      </c>
      <c r="O42" s="37">
        <v>1250.0</v>
      </c>
      <c r="P42" s="37">
        <v>237.0</v>
      </c>
      <c r="Q42" s="37">
        <v>1056.0</v>
      </c>
      <c r="R42" s="38">
        <v>36.074672</v>
      </c>
      <c r="S42" s="38">
        <v>18.0625631</v>
      </c>
      <c r="T42" s="38">
        <v>18.012109</v>
      </c>
      <c r="U42" s="38">
        <v>63.925328</v>
      </c>
      <c r="V42" s="38">
        <v>58.474243</v>
      </c>
      <c r="W42" s="38">
        <v>49.1545419</v>
      </c>
      <c r="X42" s="38">
        <v>9.3197011</v>
      </c>
      <c r="Y42" s="38">
        <v>41.525757</v>
      </c>
    </row>
    <row r="43" ht="15.0" hidden="1" customHeight="1">
      <c r="B43" s="30">
        <v>38.0</v>
      </c>
      <c r="C43" s="31" t="s">
        <v>21</v>
      </c>
      <c r="D43" s="31" t="s">
        <v>18</v>
      </c>
      <c r="E43" s="31" t="s">
        <v>27</v>
      </c>
      <c r="F43" s="31" t="s">
        <v>29</v>
      </c>
      <c r="G43" s="32" t="s">
        <v>15</v>
      </c>
      <c r="H43" s="33"/>
      <c r="I43" s="33"/>
      <c r="J43" s="33"/>
      <c r="K43" s="33"/>
      <c r="L43" s="33"/>
      <c r="M43" s="33">
        <v>857.0</v>
      </c>
      <c r="N43" s="33">
        <v>796.0</v>
      </c>
      <c r="O43" s="33">
        <v>631.0</v>
      </c>
      <c r="P43" s="33">
        <v>165.0</v>
      </c>
      <c r="Q43" s="33">
        <v>61.0</v>
      </c>
      <c r="R43" s="34"/>
      <c r="S43" s="34"/>
      <c r="T43" s="34"/>
      <c r="U43" s="34"/>
      <c r="V43" s="34">
        <v>92.882147</v>
      </c>
      <c r="W43" s="34">
        <v>73.6289382</v>
      </c>
      <c r="X43" s="34">
        <v>19.2532089</v>
      </c>
      <c r="Y43" s="34">
        <v>7.117853</v>
      </c>
    </row>
    <row r="44" ht="15.0" hidden="1" customHeight="1">
      <c r="B44" s="30">
        <v>39.0</v>
      </c>
      <c r="C44" s="31" t="s">
        <v>21</v>
      </c>
      <c r="D44" s="31" t="s">
        <v>18</v>
      </c>
      <c r="E44" s="31" t="s">
        <v>27</v>
      </c>
      <c r="F44" s="31" t="s">
        <v>29</v>
      </c>
      <c r="G44" s="32" t="s">
        <v>16</v>
      </c>
      <c r="H44" s="33">
        <v>1982.0</v>
      </c>
      <c r="I44" s="33">
        <v>715.0</v>
      </c>
      <c r="J44" s="33">
        <v>358.0</v>
      </c>
      <c r="K44" s="33">
        <v>357.0</v>
      </c>
      <c r="L44" s="33">
        <v>1267.0</v>
      </c>
      <c r="M44" s="33">
        <v>1686.0</v>
      </c>
      <c r="N44" s="33">
        <v>691.0</v>
      </c>
      <c r="O44" s="33">
        <v>619.0</v>
      </c>
      <c r="P44" s="33">
        <v>72.0</v>
      </c>
      <c r="Q44" s="33">
        <v>995.0</v>
      </c>
      <c r="R44" s="34">
        <v>36.074672</v>
      </c>
      <c r="S44" s="34">
        <v>18.0625631</v>
      </c>
      <c r="T44" s="34">
        <v>18.012109</v>
      </c>
      <c r="U44" s="34">
        <v>63.925328</v>
      </c>
      <c r="V44" s="34">
        <v>40.9845789</v>
      </c>
      <c r="W44" s="34">
        <v>36.7141163</v>
      </c>
      <c r="X44" s="34">
        <v>4.2704626</v>
      </c>
      <c r="Y44" s="34">
        <v>59.0154211</v>
      </c>
    </row>
    <row r="45" ht="15.0" customHeight="1">
      <c r="B45" s="35">
        <v>40.0</v>
      </c>
      <c r="C45" s="36" t="s">
        <v>21</v>
      </c>
      <c r="D45" s="36" t="s">
        <v>18</v>
      </c>
      <c r="E45" s="36" t="s">
        <v>27</v>
      </c>
      <c r="F45" s="36" t="s">
        <v>30</v>
      </c>
      <c r="G45" s="36" t="s">
        <v>30</v>
      </c>
      <c r="H45" s="37">
        <v>1831.0</v>
      </c>
      <c r="I45" s="37">
        <v>1005.0</v>
      </c>
      <c r="J45" s="37">
        <v>650.0</v>
      </c>
      <c r="K45" s="37">
        <v>355.0</v>
      </c>
      <c r="L45" s="37">
        <v>826.0</v>
      </c>
      <c r="M45" s="37">
        <v>2635.0</v>
      </c>
      <c r="N45" s="37">
        <v>1371.0</v>
      </c>
      <c r="O45" s="37">
        <v>1198.0</v>
      </c>
      <c r="P45" s="37">
        <v>173.0</v>
      </c>
      <c r="Q45" s="37">
        <v>1264.0</v>
      </c>
      <c r="R45" s="38">
        <v>54.8880393</v>
      </c>
      <c r="S45" s="38">
        <v>35.4997269</v>
      </c>
      <c r="T45" s="38">
        <v>19.3883124</v>
      </c>
      <c r="U45" s="38">
        <v>45.1119607</v>
      </c>
      <c r="V45" s="38">
        <v>52.0303605</v>
      </c>
      <c r="W45" s="38">
        <v>45.4648956</v>
      </c>
      <c r="X45" s="38">
        <v>6.5654649</v>
      </c>
      <c r="Y45" s="38">
        <v>47.9696395</v>
      </c>
    </row>
    <row r="46" ht="15.0" hidden="1" customHeight="1">
      <c r="B46" s="30">
        <v>41.0</v>
      </c>
      <c r="C46" s="31" t="s">
        <v>21</v>
      </c>
      <c r="D46" s="31" t="s">
        <v>18</v>
      </c>
      <c r="E46" s="31" t="s">
        <v>27</v>
      </c>
      <c r="F46" s="31" t="s">
        <v>30</v>
      </c>
      <c r="G46" s="32" t="s">
        <v>15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4"/>
      <c r="S46" s="34"/>
      <c r="T46" s="34"/>
      <c r="U46" s="34"/>
      <c r="V46" s="34"/>
      <c r="W46" s="34"/>
      <c r="X46" s="34"/>
      <c r="Y46" s="34"/>
    </row>
    <row r="47" ht="15.0" hidden="1" customHeight="1">
      <c r="B47" s="30">
        <v>42.0</v>
      </c>
      <c r="C47" s="31" t="s">
        <v>21</v>
      </c>
      <c r="D47" s="31" t="s">
        <v>18</v>
      </c>
      <c r="E47" s="31" t="s">
        <v>27</v>
      </c>
      <c r="F47" s="31" t="s">
        <v>30</v>
      </c>
      <c r="G47" s="32" t="s">
        <v>16</v>
      </c>
      <c r="H47" s="33">
        <v>1831.0</v>
      </c>
      <c r="I47" s="33">
        <v>1005.0</v>
      </c>
      <c r="J47" s="33">
        <v>650.0</v>
      </c>
      <c r="K47" s="33">
        <v>355.0</v>
      </c>
      <c r="L47" s="33">
        <v>826.0</v>
      </c>
      <c r="M47" s="33">
        <v>2635.0</v>
      </c>
      <c r="N47" s="33">
        <v>1371.0</v>
      </c>
      <c r="O47" s="33">
        <v>1198.0</v>
      </c>
      <c r="P47" s="33">
        <v>173.0</v>
      </c>
      <c r="Q47" s="33">
        <v>1264.0</v>
      </c>
      <c r="R47" s="34">
        <v>54.8880393</v>
      </c>
      <c r="S47" s="34">
        <v>35.4997269</v>
      </c>
      <c r="T47" s="34">
        <v>19.3883124</v>
      </c>
      <c r="U47" s="34">
        <v>45.1119607</v>
      </c>
      <c r="V47" s="34">
        <v>52.0303605</v>
      </c>
      <c r="W47" s="34">
        <v>45.4648956</v>
      </c>
      <c r="X47" s="34">
        <v>6.5654649</v>
      </c>
      <c r="Y47" s="34">
        <v>47.9696395</v>
      </c>
    </row>
    <row r="48" ht="15.0" hidden="1" customHeight="1">
      <c r="B48" s="26">
        <v>43.0</v>
      </c>
      <c r="C48" s="27" t="s">
        <v>19</v>
      </c>
      <c r="D48" s="27" t="s">
        <v>18</v>
      </c>
      <c r="E48" s="27" t="s">
        <v>31</v>
      </c>
      <c r="F48" s="27"/>
      <c r="G48" s="27" t="s">
        <v>31</v>
      </c>
      <c r="H48" s="28">
        <v>9217.0</v>
      </c>
      <c r="I48" s="28">
        <v>3376.0</v>
      </c>
      <c r="J48" s="28">
        <v>1750.0</v>
      </c>
      <c r="K48" s="28">
        <v>1626.0</v>
      </c>
      <c r="L48" s="28">
        <v>5841.0</v>
      </c>
      <c r="M48" s="28">
        <v>10144.0</v>
      </c>
      <c r="N48" s="28">
        <v>5876.0</v>
      </c>
      <c r="O48" s="28">
        <v>4913.0</v>
      </c>
      <c r="P48" s="28">
        <v>963.0</v>
      </c>
      <c r="Q48" s="28">
        <v>4268.0</v>
      </c>
      <c r="R48" s="29">
        <v>36.6279701</v>
      </c>
      <c r="S48" s="29">
        <v>18.9866551</v>
      </c>
      <c r="T48" s="29">
        <v>17.641315</v>
      </c>
      <c r="U48" s="29">
        <v>63.3720299</v>
      </c>
      <c r="V48" s="29">
        <v>57.9258675</v>
      </c>
      <c r="W48" s="29">
        <v>48.432571</v>
      </c>
      <c r="X48" s="29">
        <v>9.4932965</v>
      </c>
      <c r="Y48" s="29">
        <v>42.0741325</v>
      </c>
    </row>
    <row r="49" ht="15.0" hidden="1" customHeight="1">
      <c r="B49" s="30">
        <v>44.0</v>
      </c>
      <c r="C49" s="31" t="s">
        <v>19</v>
      </c>
      <c r="D49" s="31" t="s">
        <v>18</v>
      </c>
      <c r="E49" s="31" t="s">
        <v>31</v>
      </c>
      <c r="F49" s="31"/>
      <c r="G49" s="32" t="s">
        <v>15</v>
      </c>
      <c r="H49" s="33">
        <v>1590.0</v>
      </c>
      <c r="I49" s="33">
        <v>1257.0</v>
      </c>
      <c r="J49" s="33">
        <v>582.0</v>
      </c>
      <c r="K49" s="33">
        <v>675.0</v>
      </c>
      <c r="L49" s="33">
        <v>333.0</v>
      </c>
      <c r="M49" s="33">
        <v>2053.0</v>
      </c>
      <c r="N49" s="33">
        <v>1882.0</v>
      </c>
      <c r="O49" s="33">
        <v>1469.0</v>
      </c>
      <c r="P49" s="33">
        <v>413.0</v>
      </c>
      <c r="Q49" s="33">
        <v>171.0</v>
      </c>
      <c r="R49" s="34">
        <v>79.0566038</v>
      </c>
      <c r="S49" s="34">
        <v>36.6037736</v>
      </c>
      <c r="T49" s="34">
        <v>42.4528302</v>
      </c>
      <c r="U49" s="34">
        <v>20.9433962</v>
      </c>
      <c r="V49" s="34">
        <v>91.6707258</v>
      </c>
      <c r="W49" s="34">
        <v>71.5538237</v>
      </c>
      <c r="X49" s="34">
        <v>20.1169021</v>
      </c>
      <c r="Y49" s="34">
        <v>8.3292742</v>
      </c>
    </row>
    <row r="50" ht="15.0" hidden="1" customHeight="1">
      <c r="B50" s="30">
        <v>45.0</v>
      </c>
      <c r="C50" s="31" t="s">
        <v>19</v>
      </c>
      <c r="D50" s="31" t="s">
        <v>18</v>
      </c>
      <c r="E50" s="31" t="s">
        <v>31</v>
      </c>
      <c r="F50" s="31"/>
      <c r="G50" s="32" t="s">
        <v>16</v>
      </c>
      <c r="H50" s="33">
        <v>7627.0</v>
      </c>
      <c r="I50" s="33">
        <v>2119.0</v>
      </c>
      <c r="J50" s="33">
        <v>1168.0</v>
      </c>
      <c r="K50" s="33">
        <v>951.0</v>
      </c>
      <c r="L50" s="33">
        <v>5508.0</v>
      </c>
      <c r="M50" s="33">
        <v>8091.0</v>
      </c>
      <c r="N50" s="33">
        <v>3994.0</v>
      </c>
      <c r="O50" s="33">
        <v>3444.0</v>
      </c>
      <c r="P50" s="33">
        <v>550.0</v>
      </c>
      <c r="Q50" s="33">
        <v>4097.0</v>
      </c>
      <c r="R50" s="34">
        <v>27.7828766</v>
      </c>
      <c r="S50" s="34">
        <v>15.314016</v>
      </c>
      <c r="T50" s="34">
        <v>12.4688606</v>
      </c>
      <c r="U50" s="34">
        <v>72.2171234</v>
      </c>
      <c r="V50" s="34">
        <v>49.3634903</v>
      </c>
      <c r="W50" s="34">
        <v>42.5658139</v>
      </c>
      <c r="X50" s="34">
        <v>6.7976764</v>
      </c>
      <c r="Y50" s="34">
        <v>50.6365097</v>
      </c>
    </row>
    <row r="51" ht="15.0" customHeight="1">
      <c r="B51" s="35">
        <v>46.0</v>
      </c>
      <c r="C51" s="36" t="s">
        <v>21</v>
      </c>
      <c r="D51" s="36" t="s">
        <v>18</v>
      </c>
      <c r="E51" s="36" t="s">
        <v>31</v>
      </c>
      <c r="F51" s="36" t="s">
        <v>32</v>
      </c>
      <c r="G51" s="36" t="s">
        <v>32</v>
      </c>
      <c r="H51" s="37">
        <v>2810.0</v>
      </c>
      <c r="I51" s="37">
        <v>1089.0</v>
      </c>
      <c r="J51" s="37">
        <v>523.0</v>
      </c>
      <c r="K51" s="37">
        <v>566.0</v>
      </c>
      <c r="L51" s="37">
        <v>1721.0</v>
      </c>
      <c r="M51" s="37">
        <v>3186.0</v>
      </c>
      <c r="N51" s="37">
        <v>1919.0</v>
      </c>
      <c r="O51" s="37">
        <v>1551.0</v>
      </c>
      <c r="P51" s="37">
        <v>368.0</v>
      </c>
      <c r="Q51" s="37">
        <v>1267.0</v>
      </c>
      <c r="R51" s="38">
        <v>38.7544484</v>
      </c>
      <c r="S51" s="38">
        <v>18.6120996</v>
      </c>
      <c r="T51" s="38">
        <v>20.1423488</v>
      </c>
      <c r="U51" s="38">
        <v>61.2455516</v>
      </c>
      <c r="V51" s="38">
        <v>60.2322662</v>
      </c>
      <c r="W51" s="38">
        <v>48.6817326</v>
      </c>
      <c r="X51" s="38">
        <v>11.5505336</v>
      </c>
      <c r="Y51" s="38">
        <v>39.7677338</v>
      </c>
    </row>
    <row r="52" ht="15.0" hidden="1" customHeight="1">
      <c r="B52" s="30">
        <v>47.0</v>
      </c>
      <c r="C52" s="31" t="s">
        <v>21</v>
      </c>
      <c r="D52" s="31" t="s">
        <v>18</v>
      </c>
      <c r="E52" s="31" t="s">
        <v>31</v>
      </c>
      <c r="F52" s="31" t="s">
        <v>32</v>
      </c>
      <c r="G52" s="32" t="s">
        <v>15</v>
      </c>
      <c r="H52" s="33">
        <v>986.0</v>
      </c>
      <c r="I52" s="33">
        <v>772.0</v>
      </c>
      <c r="J52" s="33">
        <v>300.0</v>
      </c>
      <c r="K52" s="33">
        <v>472.0</v>
      </c>
      <c r="L52" s="33">
        <v>214.0</v>
      </c>
      <c r="M52" s="33">
        <v>1489.0</v>
      </c>
      <c r="N52" s="33">
        <v>1373.0</v>
      </c>
      <c r="O52" s="33">
        <v>1074.0</v>
      </c>
      <c r="P52" s="33">
        <v>299.0</v>
      </c>
      <c r="Q52" s="33">
        <v>116.0</v>
      </c>
      <c r="R52" s="34">
        <v>78.296146</v>
      </c>
      <c r="S52" s="34">
        <v>30.4259635</v>
      </c>
      <c r="T52" s="34">
        <v>47.8701826</v>
      </c>
      <c r="U52" s="34">
        <v>21.703854</v>
      </c>
      <c r="V52" s="34">
        <v>92.2095366</v>
      </c>
      <c r="W52" s="34">
        <v>72.1289456</v>
      </c>
      <c r="X52" s="34">
        <v>20.080591</v>
      </c>
      <c r="Y52" s="34">
        <v>7.7904634</v>
      </c>
    </row>
    <row r="53" ht="15.0" hidden="1" customHeight="1">
      <c r="B53" s="30">
        <v>48.0</v>
      </c>
      <c r="C53" s="31" t="s">
        <v>21</v>
      </c>
      <c r="D53" s="31" t="s">
        <v>18</v>
      </c>
      <c r="E53" s="31" t="s">
        <v>31</v>
      </c>
      <c r="F53" s="31" t="s">
        <v>32</v>
      </c>
      <c r="G53" s="32" t="s">
        <v>16</v>
      </c>
      <c r="H53" s="33">
        <v>1824.0</v>
      </c>
      <c r="I53" s="33">
        <v>317.0</v>
      </c>
      <c r="J53" s="33">
        <v>223.0</v>
      </c>
      <c r="K53" s="33">
        <v>94.0</v>
      </c>
      <c r="L53" s="33">
        <v>1507.0</v>
      </c>
      <c r="M53" s="33">
        <v>1697.0</v>
      </c>
      <c r="N53" s="33">
        <v>546.0</v>
      </c>
      <c r="O53" s="33">
        <v>477.0</v>
      </c>
      <c r="P53" s="33">
        <v>69.0</v>
      </c>
      <c r="Q53" s="33">
        <v>1151.0</v>
      </c>
      <c r="R53" s="34">
        <v>17.379386</v>
      </c>
      <c r="S53" s="34">
        <v>12.2258772</v>
      </c>
      <c r="T53" s="34">
        <v>5.1535088</v>
      </c>
      <c r="U53" s="34">
        <v>82.620614</v>
      </c>
      <c r="V53" s="34">
        <v>32.1744255</v>
      </c>
      <c r="W53" s="34">
        <v>28.1084266</v>
      </c>
      <c r="X53" s="34">
        <v>4.0659988</v>
      </c>
      <c r="Y53" s="34">
        <v>67.8255745</v>
      </c>
    </row>
    <row r="54" ht="15.0" customHeight="1">
      <c r="B54" s="35">
        <v>49.0</v>
      </c>
      <c r="C54" s="36" t="s">
        <v>21</v>
      </c>
      <c r="D54" s="36" t="s">
        <v>18</v>
      </c>
      <c r="E54" s="36" t="s">
        <v>31</v>
      </c>
      <c r="F54" s="36" t="s">
        <v>31</v>
      </c>
      <c r="G54" s="36" t="s">
        <v>31</v>
      </c>
      <c r="H54" s="37">
        <v>2113.0</v>
      </c>
      <c r="I54" s="37">
        <v>895.0</v>
      </c>
      <c r="J54" s="37">
        <v>445.0</v>
      </c>
      <c r="K54" s="37">
        <v>450.0</v>
      </c>
      <c r="L54" s="37">
        <v>1218.0</v>
      </c>
      <c r="M54" s="37">
        <v>2243.0</v>
      </c>
      <c r="N54" s="37">
        <v>1462.0</v>
      </c>
      <c r="O54" s="37">
        <v>1273.0</v>
      </c>
      <c r="P54" s="37">
        <v>189.0</v>
      </c>
      <c r="Q54" s="37">
        <v>781.0</v>
      </c>
      <c r="R54" s="38">
        <v>42.3568386</v>
      </c>
      <c r="S54" s="38">
        <v>21.0601041</v>
      </c>
      <c r="T54" s="38">
        <v>21.2967345</v>
      </c>
      <c r="U54" s="38">
        <v>57.6431614</v>
      </c>
      <c r="V54" s="38">
        <v>65.1805617</v>
      </c>
      <c r="W54" s="38">
        <v>56.7543469</v>
      </c>
      <c r="X54" s="38">
        <v>8.4262149</v>
      </c>
      <c r="Y54" s="38">
        <v>34.8194383</v>
      </c>
    </row>
    <row r="55" ht="15.0" hidden="1" customHeight="1">
      <c r="B55" s="30">
        <v>50.0</v>
      </c>
      <c r="C55" s="31" t="s">
        <v>21</v>
      </c>
      <c r="D55" s="31" t="s">
        <v>18</v>
      </c>
      <c r="E55" s="31" t="s">
        <v>31</v>
      </c>
      <c r="F55" s="31" t="s">
        <v>31</v>
      </c>
      <c r="G55" s="32" t="s">
        <v>15</v>
      </c>
      <c r="H55" s="33"/>
      <c r="I55" s="33"/>
      <c r="J55" s="33"/>
      <c r="K55" s="33"/>
      <c r="L55" s="33"/>
      <c r="M55" s="33">
        <v>564.0</v>
      </c>
      <c r="N55" s="33">
        <v>509.0</v>
      </c>
      <c r="O55" s="33">
        <v>395.0</v>
      </c>
      <c r="P55" s="33">
        <v>114.0</v>
      </c>
      <c r="Q55" s="33">
        <v>55.0</v>
      </c>
      <c r="R55" s="34"/>
      <c r="S55" s="34"/>
      <c r="T55" s="34"/>
      <c r="U55" s="34"/>
      <c r="V55" s="34">
        <v>90.248227</v>
      </c>
      <c r="W55" s="34">
        <v>70.035461</v>
      </c>
      <c r="X55" s="34">
        <v>20.212766</v>
      </c>
      <c r="Y55" s="34">
        <v>9.751773</v>
      </c>
    </row>
    <row r="56" ht="15.0" hidden="1" customHeight="1">
      <c r="B56" s="30">
        <v>51.0</v>
      </c>
      <c r="C56" s="31" t="s">
        <v>21</v>
      </c>
      <c r="D56" s="31" t="s">
        <v>18</v>
      </c>
      <c r="E56" s="31" t="s">
        <v>31</v>
      </c>
      <c r="F56" s="31" t="s">
        <v>31</v>
      </c>
      <c r="G56" s="32" t="s">
        <v>16</v>
      </c>
      <c r="H56" s="33">
        <v>2113.0</v>
      </c>
      <c r="I56" s="33">
        <v>895.0</v>
      </c>
      <c r="J56" s="33">
        <v>445.0</v>
      </c>
      <c r="K56" s="33">
        <v>450.0</v>
      </c>
      <c r="L56" s="33">
        <v>1218.0</v>
      </c>
      <c r="M56" s="33">
        <v>1679.0</v>
      </c>
      <c r="N56" s="33">
        <v>953.0</v>
      </c>
      <c r="O56" s="33">
        <v>878.0</v>
      </c>
      <c r="P56" s="33">
        <v>75.0</v>
      </c>
      <c r="Q56" s="33">
        <v>726.0</v>
      </c>
      <c r="R56" s="34">
        <v>42.3568386</v>
      </c>
      <c r="S56" s="34">
        <v>21.0601041</v>
      </c>
      <c r="T56" s="34">
        <v>21.2967345</v>
      </c>
      <c r="U56" s="34">
        <v>57.6431614</v>
      </c>
      <c r="V56" s="34">
        <v>56.7599762</v>
      </c>
      <c r="W56" s="34">
        <v>52.2930316</v>
      </c>
      <c r="X56" s="34">
        <v>4.4669446</v>
      </c>
      <c r="Y56" s="34">
        <v>43.2400238</v>
      </c>
    </row>
    <row r="57" ht="15.0" customHeight="1">
      <c r="B57" s="35">
        <v>52.0</v>
      </c>
      <c r="C57" s="36" t="s">
        <v>21</v>
      </c>
      <c r="D57" s="36" t="s">
        <v>18</v>
      </c>
      <c r="E57" s="36" t="s">
        <v>31</v>
      </c>
      <c r="F57" s="36" t="s">
        <v>33</v>
      </c>
      <c r="G57" s="36" t="s">
        <v>33</v>
      </c>
      <c r="H57" s="37">
        <v>2010.0</v>
      </c>
      <c r="I57" s="37">
        <v>658.0</v>
      </c>
      <c r="J57" s="37">
        <v>364.0</v>
      </c>
      <c r="K57" s="37">
        <v>294.0</v>
      </c>
      <c r="L57" s="37">
        <v>1352.0</v>
      </c>
      <c r="M57" s="37">
        <v>2087.0</v>
      </c>
      <c r="N57" s="37">
        <v>968.0</v>
      </c>
      <c r="O57" s="37">
        <v>856.0</v>
      </c>
      <c r="P57" s="37">
        <v>112.0</v>
      </c>
      <c r="Q57" s="37">
        <v>1119.0</v>
      </c>
      <c r="R57" s="38">
        <v>32.7363184</v>
      </c>
      <c r="S57" s="38">
        <v>18.1094527</v>
      </c>
      <c r="T57" s="38">
        <v>14.6268657</v>
      </c>
      <c r="U57" s="38">
        <v>67.2636816</v>
      </c>
      <c r="V57" s="38">
        <v>46.382367</v>
      </c>
      <c r="W57" s="38">
        <v>41.0158122</v>
      </c>
      <c r="X57" s="38">
        <v>5.3665549</v>
      </c>
      <c r="Y57" s="38">
        <v>53.617633</v>
      </c>
    </row>
    <row r="58" ht="15.0" hidden="1" customHeight="1">
      <c r="B58" s="30">
        <v>53.0</v>
      </c>
      <c r="C58" s="31" t="s">
        <v>21</v>
      </c>
      <c r="D58" s="31" t="s">
        <v>18</v>
      </c>
      <c r="E58" s="31" t="s">
        <v>31</v>
      </c>
      <c r="F58" s="31" t="s">
        <v>33</v>
      </c>
      <c r="G58" s="32" t="s">
        <v>15</v>
      </c>
      <c r="H58" s="33">
        <v>604.0</v>
      </c>
      <c r="I58" s="33">
        <v>485.0</v>
      </c>
      <c r="J58" s="33">
        <v>282.0</v>
      </c>
      <c r="K58" s="33">
        <v>203.0</v>
      </c>
      <c r="L58" s="33">
        <v>119.0</v>
      </c>
      <c r="M58" s="33"/>
      <c r="N58" s="33"/>
      <c r="O58" s="33"/>
      <c r="P58" s="33"/>
      <c r="Q58" s="33"/>
      <c r="R58" s="34">
        <v>80.2980132</v>
      </c>
      <c r="S58" s="34">
        <v>46.6887417</v>
      </c>
      <c r="T58" s="34">
        <v>33.6092715</v>
      </c>
      <c r="U58" s="34">
        <v>19.7019868</v>
      </c>
      <c r="V58" s="34"/>
      <c r="W58" s="34"/>
      <c r="X58" s="34"/>
      <c r="Y58" s="34"/>
    </row>
    <row r="59" ht="15.0" hidden="1" customHeight="1">
      <c r="B59" s="30">
        <v>54.0</v>
      </c>
      <c r="C59" s="31" t="s">
        <v>21</v>
      </c>
      <c r="D59" s="31" t="s">
        <v>18</v>
      </c>
      <c r="E59" s="31" t="s">
        <v>31</v>
      </c>
      <c r="F59" s="31" t="s">
        <v>33</v>
      </c>
      <c r="G59" s="32" t="s">
        <v>16</v>
      </c>
      <c r="H59" s="33">
        <v>1406.0</v>
      </c>
      <c r="I59" s="33">
        <v>173.0</v>
      </c>
      <c r="J59" s="33">
        <v>82.0</v>
      </c>
      <c r="K59" s="33">
        <v>91.0</v>
      </c>
      <c r="L59" s="33">
        <v>1233.0</v>
      </c>
      <c r="M59" s="33">
        <v>2087.0</v>
      </c>
      <c r="N59" s="33">
        <v>968.0</v>
      </c>
      <c r="O59" s="33">
        <v>856.0</v>
      </c>
      <c r="P59" s="33">
        <v>112.0</v>
      </c>
      <c r="Q59" s="33">
        <v>1119.0</v>
      </c>
      <c r="R59" s="34">
        <v>12.3044097</v>
      </c>
      <c r="S59" s="34">
        <v>5.8321479</v>
      </c>
      <c r="T59" s="34">
        <v>6.4722617</v>
      </c>
      <c r="U59" s="34">
        <v>87.6955903</v>
      </c>
      <c r="V59" s="34">
        <v>46.382367</v>
      </c>
      <c r="W59" s="34">
        <v>41.0158122</v>
      </c>
      <c r="X59" s="34">
        <v>5.3665549</v>
      </c>
      <c r="Y59" s="34">
        <v>53.617633</v>
      </c>
    </row>
    <row r="60" ht="15.0" customHeight="1">
      <c r="B60" s="35">
        <v>55.0</v>
      </c>
      <c r="C60" s="36" t="s">
        <v>21</v>
      </c>
      <c r="D60" s="36" t="s">
        <v>18</v>
      </c>
      <c r="E60" s="36" t="s">
        <v>31</v>
      </c>
      <c r="F60" s="36" t="s">
        <v>34</v>
      </c>
      <c r="G60" s="36" t="s">
        <v>34</v>
      </c>
      <c r="H60" s="37">
        <v>1072.0</v>
      </c>
      <c r="I60" s="37">
        <v>269.0</v>
      </c>
      <c r="J60" s="37">
        <v>169.0</v>
      </c>
      <c r="K60" s="37">
        <v>100.0</v>
      </c>
      <c r="L60" s="37">
        <v>803.0</v>
      </c>
      <c r="M60" s="37">
        <v>1189.0</v>
      </c>
      <c r="N60" s="37">
        <v>730.0</v>
      </c>
      <c r="O60" s="37">
        <v>613.0</v>
      </c>
      <c r="P60" s="37">
        <v>117.0</v>
      </c>
      <c r="Q60" s="37">
        <v>459.0</v>
      </c>
      <c r="R60" s="38">
        <v>25.0932836</v>
      </c>
      <c r="S60" s="38">
        <v>15.7649254</v>
      </c>
      <c r="T60" s="38">
        <v>9.3283582</v>
      </c>
      <c r="U60" s="38">
        <v>74.9067164</v>
      </c>
      <c r="V60" s="38">
        <v>61.3961312</v>
      </c>
      <c r="W60" s="38">
        <v>51.5559294</v>
      </c>
      <c r="X60" s="38">
        <v>9.8402019</v>
      </c>
      <c r="Y60" s="38">
        <v>38.6038688</v>
      </c>
    </row>
    <row r="61" ht="15.0" hidden="1" customHeight="1">
      <c r="B61" s="30">
        <v>56.0</v>
      </c>
      <c r="C61" s="31" t="s">
        <v>21</v>
      </c>
      <c r="D61" s="31" t="s">
        <v>18</v>
      </c>
      <c r="E61" s="31" t="s">
        <v>31</v>
      </c>
      <c r="F61" s="31" t="s">
        <v>34</v>
      </c>
      <c r="G61" s="32" t="s">
        <v>15</v>
      </c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4"/>
      <c r="S61" s="34"/>
      <c r="T61" s="34"/>
      <c r="U61" s="34"/>
      <c r="V61" s="34"/>
      <c r="W61" s="34"/>
      <c r="X61" s="34"/>
      <c r="Y61" s="34"/>
    </row>
    <row r="62" ht="15.0" hidden="1" customHeight="1">
      <c r="B62" s="30">
        <v>57.0</v>
      </c>
      <c r="C62" s="31" t="s">
        <v>21</v>
      </c>
      <c r="D62" s="31" t="s">
        <v>18</v>
      </c>
      <c r="E62" s="31" t="s">
        <v>31</v>
      </c>
      <c r="F62" s="31" t="s">
        <v>34</v>
      </c>
      <c r="G62" s="32" t="s">
        <v>16</v>
      </c>
      <c r="H62" s="33">
        <v>1072.0</v>
      </c>
      <c r="I62" s="33">
        <v>269.0</v>
      </c>
      <c r="J62" s="33">
        <v>169.0</v>
      </c>
      <c r="K62" s="33">
        <v>100.0</v>
      </c>
      <c r="L62" s="33">
        <v>803.0</v>
      </c>
      <c r="M62" s="33">
        <v>1189.0</v>
      </c>
      <c r="N62" s="33">
        <v>730.0</v>
      </c>
      <c r="O62" s="33">
        <v>613.0</v>
      </c>
      <c r="P62" s="33">
        <v>117.0</v>
      </c>
      <c r="Q62" s="33">
        <v>459.0</v>
      </c>
      <c r="R62" s="34">
        <v>25.0932836</v>
      </c>
      <c r="S62" s="34">
        <v>15.7649254</v>
      </c>
      <c r="T62" s="34">
        <v>9.3283582</v>
      </c>
      <c r="U62" s="34">
        <v>74.9067164</v>
      </c>
      <c r="V62" s="34">
        <v>61.3961312</v>
      </c>
      <c r="W62" s="34">
        <v>51.5559294</v>
      </c>
      <c r="X62" s="34">
        <v>9.8402019</v>
      </c>
      <c r="Y62" s="34">
        <v>38.6038688</v>
      </c>
    </row>
    <row r="63" ht="15.0" customHeight="1">
      <c r="B63" s="35">
        <v>58.0</v>
      </c>
      <c r="C63" s="36" t="s">
        <v>21</v>
      </c>
      <c r="D63" s="36" t="s">
        <v>18</v>
      </c>
      <c r="E63" s="36" t="s">
        <v>31</v>
      </c>
      <c r="F63" s="36" t="s">
        <v>35</v>
      </c>
      <c r="G63" s="36" t="s">
        <v>35</v>
      </c>
      <c r="H63" s="37">
        <v>1212.0</v>
      </c>
      <c r="I63" s="37">
        <v>465.0</v>
      </c>
      <c r="J63" s="37">
        <v>249.0</v>
      </c>
      <c r="K63" s="37">
        <v>216.0</v>
      </c>
      <c r="L63" s="37">
        <v>747.0</v>
      </c>
      <c r="M63" s="37">
        <v>1439.0</v>
      </c>
      <c r="N63" s="37">
        <v>797.0</v>
      </c>
      <c r="O63" s="37">
        <v>620.0</v>
      </c>
      <c r="P63" s="37">
        <v>177.0</v>
      </c>
      <c r="Q63" s="37">
        <v>642.0</v>
      </c>
      <c r="R63" s="38">
        <v>38.3663366</v>
      </c>
      <c r="S63" s="38">
        <v>20.5445545</v>
      </c>
      <c r="T63" s="38">
        <v>17.8217822</v>
      </c>
      <c r="U63" s="38">
        <v>61.6336634</v>
      </c>
      <c r="V63" s="38">
        <v>55.3856845</v>
      </c>
      <c r="W63" s="38">
        <v>43.085476</v>
      </c>
      <c r="X63" s="38">
        <v>12.3002085</v>
      </c>
      <c r="Y63" s="38">
        <v>44.6143155</v>
      </c>
    </row>
    <row r="64" ht="15.0" hidden="1" customHeight="1">
      <c r="B64" s="30">
        <v>59.0</v>
      </c>
      <c r="C64" s="31" t="s">
        <v>21</v>
      </c>
      <c r="D64" s="31" t="s">
        <v>18</v>
      </c>
      <c r="E64" s="31" t="s">
        <v>31</v>
      </c>
      <c r="F64" s="31" t="s">
        <v>35</v>
      </c>
      <c r="G64" s="32" t="s">
        <v>15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4"/>
      <c r="S64" s="34"/>
      <c r="T64" s="34"/>
      <c r="U64" s="34"/>
      <c r="V64" s="34"/>
      <c r="W64" s="34"/>
      <c r="X64" s="34"/>
      <c r="Y64" s="34"/>
    </row>
    <row r="65" ht="15.0" hidden="1" customHeight="1">
      <c r="B65" s="30">
        <v>60.0</v>
      </c>
      <c r="C65" s="31" t="s">
        <v>21</v>
      </c>
      <c r="D65" s="31" t="s">
        <v>18</v>
      </c>
      <c r="E65" s="31" t="s">
        <v>31</v>
      </c>
      <c r="F65" s="31" t="s">
        <v>35</v>
      </c>
      <c r="G65" s="32" t="s">
        <v>16</v>
      </c>
      <c r="H65" s="33">
        <v>1212.0</v>
      </c>
      <c r="I65" s="33">
        <v>465.0</v>
      </c>
      <c r="J65" s="33">
        <v>249.0</v>
      </c>
      <c r="K65" s="33">
        <v>216.0</v>
      </c>
      <c r="L65" s="33">
        <v>747.0</v>
      </c>
      <c r="M65" s="33">
        <v>1439.0</v>
      </c>
      <c r="N65" s="33">
        <v>797.0</v>
      </c>
      <c r="O65" s="33">
        <v>620.0</v>
      </c>
      <c r="P65" s="33">
        <v>177.0</v>
      </c>
      <c r="Q65" s="33">
        <v>642.0</v>
      </c>
      <c r="R65" s="34">
        <v>38.3663366</v>
      </c>
      <c r="S65" s="34">
        <v>20.5445545</v>
      </c>
      <c r="T65" s="34">
        <v>17.8217822</v>
      </c>
      <c r="U65" s="34">
        <v>61.6336634</v>
      </c>
      <c r="V65" s="34">
        <v>55.3856845</v>
      </c>
      <c r="W65" s="34">
        <v>43.085476</v>
      </c>
      <c r="X65" s="34">
        <v>12.3002085</v>
      </c>
      <c r="Y65" s="34">
        <v>44.6143155</v>
      </c>
    </row>
    <row r="66" ht="15.0" hidden="1" customHeight="1">
      <c r="B66" s="26">
        <v>61.0</v>
      </c>
      <c r="C66" s="27" t="s">
        <v>19</v>
      </c>
      <c r="D66" s="27" t="s">
        <v>18</v>
      </c>
      <c r="E66" s="27" t="s">
        <v>36</v>
      </c>
      <c r="F66" s="27"/>
      <c r="G66" s="27" t="s">
        <v>36</v>
      </c>
      <c r="H66" s="28">
        <v>8158.0</v>
      </c>
      <c r="I66" s="28">
        <v>4035.0</v>
      </c>
      <c r="J66" s="28">
        <v>2024.0</v>
      </c>
      <c r="K66" s="28">
        <v>2011.0</v>
      </c>
      <c r="L66" s="28">
        <v>4123.0</v>
      </c>
      <c r="M66" s="28">
        <v>10043.0</v>
      </c>
      <c r="N66" s="28">
        <v>7282.0</v>
      </c>
      <c r="O66" s="28">
        <v>5941.0</v>
      </c>
      <c r="P66" s="28">
        <v>1341.0</v>
      </c>
      <c r="Q66" s="28">
        <v>2761.0</v>
      </c>
      <c r="R66" s="29">
        <v>49.4606521</v>
      </c>
      <c r="S66" s="29">
        <v>24.8100025</v>
      </c>
      <c r="T66" s="29">
        <v>24.6506497</v>
      </c>
      <c r="U66" s="29">
        <v>50.5393479</v>
      </c>
      <c r="V66" s="29">
        <v>72.5082147</v>
      </c>
      <c r="W66" s="29">
        <v>59.1556308</v>
      </c>
      <c r="X66" s="29">
        <v>13.3525839</v>
      </c>
      <c r="Y66" s="29">
        <v>27.4917853</v>
      </c>
    </row>
    <row r="67" ht="15.0" hidden="1" customHeight="1">
      <c r="B67" s="30">
        <v>62.0</v>
      </c>
      <c r="C67" s="31" t="s">
        <v>19</v>
      </c>
      <c r="D67" s="31" t="s">
        <v>18</v>
      </c>
      <c r="E67" s="31" t="s">
        <v>36</v>
      </c>
      <c r="F67" s="31"/>
      <c r="G67" s="32" t="s">
        <v>15</v>
      </c>
      <c r="H67" s="33">
        <v>2765.0</v>
      </c>
      <c r="I67" s="33">
        <v>2451.0</v>
      </c>
      <c r="J67" s="33">
        <v>1115.0</v>
      </c>
      <c r="K67" s="33">
        <v>1336.0</v>
      </c>
      <c r="L67" s="33">
        <v>314.0</v>
      </c>
      <c r="M67" s="33">
        <v>4068.0</v>
      </c>
      <c r="N67" s="33">
        <v>3940.0</v>
      </c>
      <c r="O67" s="33">
        <v>2971.0</v>
      </c>
      <c r="P67" s="33">
        <v>969.0</v>
      </c>
      <c r="Q67" s="33">
        <v>128.0</v>
      </c>
      <c r="R67" s="34">
        <v>88.6437613</v>
      </c>
      <c r="S67" s="34">
        <v>40.3254973</v>
      </c>
      <c r="T67" s="34">
        <v>48.318264</v>
      </c>
      <c r="U67" s="34">
        <v>11.3562387</v>
      </c>
      <c r="V67" s="34">
        <v>96.8534907</v>
      </c>
      <c r="W67" s="34">
        <v>73.0334317</v>
      </c>
      <c r="X67" s="34">
        <v>23.820059</v>
      </c>
      <c r="Y67" s="34">
        <v>3.1465093</v>
      </c>
    </row>
    <row r="68" ht="15.0" hidden="1" customHeight="1">
      <c r="B68" s="30">
        <v>63.0</v>
      </c>
      <c r="C68" s="31" t="s">
        <v>19</v>
      </c>
      <c r="D68" s="31" t="s">
        <v>18</v>
      </c>
      <c r="E68" s="31" t="s">
        <v>36</v>
      </c>
      <c r="F68" s="31"/>
      <c r="G68" s="32" t="s">
        <v>16</v>
      </c>
      <c r="H68" s="33">
        <v>5393.0</v>
      </c>
      <c r="I68" s="33">
        <v>1584.0</v>
      </c>
      <c r="J68" s="33">
        <v>909.0</v>
      </c>
      <c r="K68" s="33">
        <v>675.0</v>
      </c>
      <c r="L68" s="33">
        <v>3809.0</v>
      </c>
      <c r="M68" s="33">
        <v>5975.0</v>
      </c>
      <c r="N68" s="33">
        <v>3342.0</v>
      </c>
      <c r="O68" s="33">
        <v>2970.0</v>
      </c>
      <c r="P68" s="33">
        <v>372.0</v>
      </c>
      <c r="Q68" s="33">
        <v>2633.0</v>
      </c>
      <c r="R68" s="34">
        <v>29.3714074</v>
      </c>
      <c r="S68" s="34">
        <v>16.8551826</v>
      </c>
      <c r="T68" s="34">
        <v>12.5162247</v>
      </c>
      <c r="U68" s="34">
        <v>70.6285926</v>
      </c>
      <c r="V68" s="34">
        <v>55.9330544</v>
      </c>
      <c r="W68" s="34">
        <v>49.707113</v>
      </c>
      <c r="X68" s="34">
        <v>6.2259414</v>
      </c>
      <c r="Y68" s="34">
        <v>44.0669456</v>
      </c>
    </row>
    <row r="69" ht="15.0" customHeight="1">
      <c r="B69" s="35">
        <v>64.0</v>
      </c>
      <c r="C69" s="36" t="s">
        <v>21</v>
      </c>
      <c r="D69" s="36" t="s">
        <v>18</v>
      </c>
      <c r="E69" s="36" t="s">
        <v>36</v>
      </c>
      <c r="F69" s="36" t="s">
        <v>37</v>
      </c>
      <c r="G69" s="36" t="s">
        <v>37</v>
      </c>
      <c r="H69" s="37">
        <v>6079.0</v>
      </c>
      <c r="I69" s="37">
        <v>3356.0</v>
      </c>
      <c r="J69" s="37">
        <v>1660.0</v>
      </c>
      <c r="K69" s="37">
        <v>1696.0</v>
      </c>
      <c r="L69" s="37">
        <v>2723.0</v>
      </c>
      <c r="M69" s="37">
        <v>7742.0</v>
      </c>
      <c r="N69" s="37">
        <v>6055.0</v>
      </c>
      <c r="O69" s="37">
        <v>4893.0</v>
      </c>
      <c r="P69" s="37">
        <v>1162.0</v>
      </c>
      <c r="Q69" s="37">
        <v>1687.0</v>
      </c>
      <c r="R69" s="38">
        <v>55.2064484</v>
      </c>
      <c r="S69" s="38">
        <v>27.3071229</v>
      </c>
      <c r="T69" s="38">
        <v>27.8993255</v>
      </c>
      <c r="U69" s="38">
        <v>44.7935516</v>
      </c>
      <c r="V69" s="38">
        <v>78.2097649</v>
      </c>
      <c r="W69" s="38">
        <v>63.2007233</v>
      </c>
      <c r="X69" s="38">
        <v>15.0090416</v>
      </c>
      <c r="Y69" s="38">
        <v>21.7902351</v>
      </c>
    </row>
    <row r="70" ht="15.0" hidden="1" customHeight="1">
      <c r="B70" s="30">
        <v>65.0</v>
      </c>
      <c r="C70" s="31" t="s">
        <v>21</v>
      </c>
      <c r="D70" s="31" t="s">
        <v>18</v>
      </c>
      <c r="E70" s="31" t="s">
        <v>36</v>
      </c>
      <c r="F70" s="31" t="s">
        <v>37</v>
      </c>
      <c r="G70" s="32" t="s">
        <v>15</v>
      </c>
      <c r="H70" s="33">
        <v>2765.0</v>
      </c>
      <c r="I70" s="33">
        <v>2451.0</v>
      </c>
      <c r="J70" s="33">
        <v>1115.0</v>
      </c>
      <c r="K70" s="33">
        <v>1336.0</v>
      </c>
      <c r="L70" s="33">
        <v>314.0</v>
      </c>
      <c r="M70" s="33">
        <v>4068.0</v>
      </c>
      <c r="N70" s="33">
        <v>3940.0</v>
      </c>
      <c r="O70" s="33">
        <v>2971.0</v>
      </c>
      <c r="P70" s="33">
        <v>969.0</v>
      </c>
      <c r="Q70" s="33">
        <v>128.0</v>
      </c>
      <c r="R70" s="34">
        <v>88.6437613</v>
      </c>
      <c r="S70" s="34">
        <v>40.3254973</v>
      </c>
      <c r="T70" s="34">
        <v>48.318264</v>
      </c>
      <c r="U70" s="34">
        <v>11.3562387</v>
      </c>
      <c r="V70" s="34">
        <v>96.8534907</v>
      </c>
      <c r="W70" s="34">
        <v>73.0334317</v>
      </c>
      <c r="X70" s="34">
        <v>23.820059</v>
      </c>
      <c r="Y70" s="34">
        <v>3.1465093</v>
      </c>
    </row>
    <row r="71" ht="15.0" hidden="1" customHeight="1">
      <c r="B71" s="30">
        <v>66.0</v>
      </c>
      <c r="C71" s="31" t="s">
        <v>21</v>
      </c>
      <c r="D71" s="31" t="s">
        <v>18</v>
      </c>
      <c r="E71" s="31" t="s">
        <v>36</v>
      </c>
      <c r="F71" s="31" t="s">
        <v>37</v>
      </c>
      <c r="G71" s="32" t="s">
        <v>16</v>
      </c>
      <c r="H71" s="33">
        <v>3314.0</v>
      </c>
      <c r="I71" s="33">
        <v>905.0</v>
      </c>
      <c r="J71" s="33">
        <v>545.0</v>
      </c>
      <c r="K71" s="33">
        <v>360.0</v>
      </c>
      <c r="L71" s="33">
        <v>2409.0</v>
      </c>
      <c r="M71" s="33">
        <v>3674.0</v>
      </c>
      <c r="N71" s="33">
        <v>2115.0</v>
      </c>
      <c r="O71" s="33">
        <v>1922.0</v>
      </c>
      <c r="P71" s="33">
        <v>193.0</v>
      </c>
      <c r="Q71" s="33">
        <v>1559.0</v>
      </c>
      <c r="R71" s="34">
        <v>27.3083887</v>
      </c>
      <c r="S71" s="34">
        <v>16.4453832</v>
      </c>
      <c r="T71" s="34">
        <v>10.8630054</v>
      </c>
      <c r="U71" s="34">
        <v>72.6916113</v>
      </c>
      <c r="V71" s="34">
        <v>57.5666848</v>
      </c>
      <c r="W71" s="34">
        <v>52.3135547</v>
      </c>
      <c r="X71" s="34">
        <v>5.2531301</v>
      </c>
      <c r="Y71" s="34">
        <v>42.4333152</v>
      </c>
    </row>
    <row r="72" ht="15.0" customHeight="1">
      <c r="B72" s="35">
        <v>67.0</v>
      </c>
      <c r="C72" s="36" t="s">
        <v>21</v>
      </c>
      <c r="D72" s="36" t="s">
        <v>18</v>
      </c>
      <c r="E72" s="36" t="s">
        <v>36</v>
      </c>
      <c r="F72" s="36" t="s">
        <v>38</v>
      </c>
      <c r="G72" s="36" t="s">
        <v>38</v>
      </c>
      <c r="H72" s="37">
        <v>2079.0</v>
      </c>
      <c r="I72" s="37">
        <v>679.0</v>
      </c>
      <c r="J72" s="37">
        <v>364.0</v>
      </c>
      <c r="K72" s="37">
        <v>315.0</v>
      </c>
      <c r="L72" s="37">
        <v>1400.0</v>
      </c>
      <c r="M72" s="37">
        <v>2301.0</v>
      </c>
      <c r="N72" s="37">
        <v>1227.0</v>
      </c>
      <c r="O72" s="37">
        <v>1048.0</v>
      </c>
      <c r="P72" s="37">
        <v>179.0</v>
      </c>
      <c r="Q72" s="37">
        <v>1074.0</v>
      </c>
      <c r="R72" s="38">
        <v>32.6599327</v>
      </c>
      <c r="S72" s="38">
        <v>17.5084175</v>
      </c>
      <c r="T72" s="38">
        <v>15.1515152</v>
      </c>
      <c r="U72" s="38">
        <v>67.3400673</v>
      </c>
      <c r="V72" s="38">
        <v>53.3246415</v>
      </c>
      <c r="W72" s="38">
        <v>45.545415</v>
      </c>
      <c r="X72" s="38">
        <v>7.7792264</v>
      </c>
      <c r="Y72" s="38">
        <v>46.6753585</v>
      </c>
    </row>
    <row r="73" ht="15.0" hidden="1" customHeight="1">
      <c r="B73" s="30">
        <v>68.0</v>
      </c>
      <c r="C73" s="31" t="s">
        <v>21</v>
      </c>
      <c r="D73" s="31" t="s">
        <v>18</v>
      </c>
      <c r="E73" s="31" t="s">
        <v>36</v>
      </c>
      <c r="F73" s="31" t="s">
        <v>38</v>
      </c>
      <c r="G73" s="32" t="s">
        <v>15</v>
      </c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4"/>
      <c r="S73" s="34"/>
      <c r="T73" s="34"/>
      <c r="U73" s="34"/>
      <c r="V73" s="34"/>
      <c r="W73" s="34"/>
      <c r="X73" s="34"/>
      <c r="Y73" s="34"/>
    </row>
    <row r="74" ht="15.0" hidden="1" customHeight="1">
      <c r="B74" s="30">
        <v>69.0</v>
      </c>
      <c r="C74" s="31" t="s">
        <v>21</v>
      </c>
      <c r="D74" s="31" t="s">
        <v>18</v>
      </c>
      <c r="E74" s="31" t="s">
        <v>36</v>
      </c>
      <c r="F74" s="31" t="s">
        <v>38</v>
      </c>
      <c r="G74" s="32" t="s">
        <v>16</v>
      </c>
      <c r="H74" s="33">
        <v>2079.0</v>
      </c>
      <c r="I74" s="33">
        <v>679.0</v>
      </c>
      <c r="J74" s="33">
        <v>364.0</v>
      </c>
      <c r="K74" s="33">
        <v>315.0</v>
      </c>
      <c r="L74" s="33">
        <v>1400.0</v>
      </c>
      <c r="M74" s="33">
        <v>2301.0</v>
      </c>
      <c r="N74" s="33">
        <v>1227.0</v>
      </c>
      <c r="O74" s="33">
        <v>1048.0</v>
      </c>
      <c r="P74" s="33">
        <v>179.0</v>
      </c>
      <c r="Q74" s="33">
        <v>1074.0</v>
      </c>
      <c r="R74" s="34">
        <v>32.6599327</v>
      </c>
      <c r="S74" s="34">
        <v>17.5084175</v>
      </c>
      <c r="T74" s="34">
        <v>15.1515152</v>
      </c>
      <c r="U74" s="34">
        <v>67.3400673</v>
      </c>
      <c r="V74" s="34">
        <v>53.3246415</v>
      </c>
      <c r="W74" s="34">
        <v>45.545415</v>
      </c>
      <c r="X74" s="34">
        <v>7.7792264</v>
      </c>
      <c r="Y74" s="34">
        <v>46.6753585</v>
      </c>
    </row>
    <row r="75" ht="15.0" hidden="1" customHeight="1">
      <c r="B75" s="26">
        <v>70.0</v>
      </c>
      <c r="C75" s="27" t="s">
        <v>19</v>
      </c>
      <c r="D75" s="27" t="s">
        <v>18</v>
      </c>
      <c r="E75" s="27" t="s">
        <v>39</v>
      </c>
      <c r="F75" s="27"/>
      <c r="G75" s="27" t="s">
        <v>39</v>
      </c>
      <c r="H75" s="28">
        <v>7336.0</v>
      </c>
      <c r="I75" s="28">
        <v>2047.0</v>
      </c>
      <c r="J75" s="28">
        <v>1151.0</v>
      </c>
      <c r="K75" s="28">
        <v>896.0</v>
      </c>
      <c r="L75" s="28">
        <v>5289.0</v>
      </c>
      <c r="M75" s="28">
        <v>7348.0</v>
      </c>
      <c r="N75" s="28">
        <v>3737.0</v>
      </c>
      <c r="O75" s="28">
        <v>3288.0</v>
      </c>
      <c r="P75" s="28">
        <v>449.0</v>
      </c>
      <c r="Q75" s="28">
        <v>3611.0</v>
      </c>
      <c r="R75" s="29">
        <v>27.9034896</v>
      </c>
      <c r="S75" s="29">
        <v>15.6897492</v>
      </c>
      <c r="T75" s="29">
        <v>12.2137405</v>
      </c>
      <c r="U75" s="29">
        <v>72.0965104</v>
      </c>
      <c r="V75" s="29">
        <v>50.8573762</v>
      </c>
      <c r="W75" s="29">
        <v>44.7468699</v>
      </c>
      <c r="X75" s="29">
        <v>6.1105063</v>
      </c>
      <c r="Y75" s="29">
        <v>49.1426238</v>
      </c>
    </row>
    <row r="76" ht="15.0" hidden="1" customHeight="1">
      <c r="B76" s="30">
        <v>71.0</v>
      </c>
      <c r="C76" s="31" t="s">
        <v>19</v>
      </c>
      <c r="D76" s="31" t="s">
        <v>18</v>
      </c>
      <c r="E76" s="31" t="s">
        <v>39</v>
      </c>
      <c r="F76" s="31"/>
      <c r="G76" s="32" t="s">
        <v>15</v>
      </c>
      <c r="H76" s="33">
        <v>781.0</v>
      </c>
      <c r="I76" s="33">
        <v>472.0</v>
      </c>
      <c r="J76" s="33">
        <v>202.0</v>
      </c>
      <c r="K76" s="33">
        <v>270.0</v>
      </c>
      <c r="L76" s="33">
        <v>309.0</v>
      </c>
      <c r="M76" s="33">
        <v>913.0</v>
      </c>
      <c r="N76" s="33">
        <v>679.0</v>
      </c>
      <c r="O76" s="33">
        <v>593.0</v>
      </c>
      <c r="P76" s="33">
        <v>86.0</v>
      </c>
      <c r="Q76" s="33">
        <v>234.0</v>
      </c>
      <c r="R76" s="34">
        <v>60.4353393</v>
      </c>
      <c r="S76" s="34">
        <v>25.8642766</v>
      </c>
      <c r="T76" s="34">
        <v>34.5710627</v>
      </c>
      <c r="U76" s="34">
        <v>39.5646607</v>
      </c>
      <c r="V76" s="34">
        <v>74.3702081</v>
      </c>
      <c r="W76" s="34">
        <v>64.9507119</v>
      </c>
      <c r="X76" s="34">
        <v>9.4194962</v>
      </c>
      <c r="Y76" s="34">
        <v>25.6297919</v>
      </c>
    </row>
    <row r="77" ht="15.0" hidden="1" customHeight="1">
      <c r="B77" s="30">
        <v>72.0</v>
      </c>
      <c r="C77" s="31" t="s">
        <v>19</v>
      </c>
      <c r="D77" s="31" t="s">
        <v>18</v>
      </c>
      <c r="E77" s="31" t="s">
        <v>39</v>
      </c>
      <c r="F77" s="31"/>
      <c r="G77" s="32" t="s">
        <v>16</v>
      </c>
      <c r="H77" s="33">
        <v>6555.0</v>
      </c>
      <c r="I77" s="33">
        <v>1575.0</v>
      </c>
      <c r="J77" s="33">
        <v>949.0</v>
      </c>
      <c r="K77" s="33">
        <v>626.0</v>
      </c>
      <c r="L77" s="33">
        <v>4980.0</v>
      </c>
      <c r="M77" s="33">
        <v>6435.0</v>
      </c>
      <c r="N77" s="33">
        <v>3058.0</v>
      </c>
      <c r="O77" s="33">
        <v>2695.0</v>
      </c>
      <c r="P77" s="33">
        <v>363.0</v>
      </c>
      <c r="Q77" s="33">
        <v>3377.0</v>
      </c>
      <c r="R77" s="34">
        <v>24.02746</v>
      </c>
      <c r="S77" s="34">
        <v>14.4774981</v>
      </c>
      <c r="T77" s="34">
        <v>9.5499619</v>
      </c>
      <c r="U77" s="34">
        <v>75.97254</v>
      </c>
      <c r="V77" s="34">
        <v>47.5213675</v>
      </c>
      <c r="W77" s="34">
        <v>41.8803419</v>
      </c>
      <c r="X77" s="34">
        <v>5.6410256</v>
      </c>
      <c r="Y77" s="34">
        <v>52.4786325</v>
      </c>
    </row>
    <row r="78" ht="15.0" customHeight="1">
      <c r="B78" s="35">
        <v>73.0</v>
      </c>
      <c r="C78" s="36" t="s">
        <v>21</v>
      </c>
      <c r="D78" s="36" t="s">
        <v>18</v>
      </c>
      <c r="E78" s="36" t="s">
        <v>39</v>
      </c>
      <c r="F78" s="36" t="s">
        <v>40</v>
      </c>
      <c r="G78" s="36" t="s">
        <v>40</v>
      </c>
      <c r="H78" s="37">
        <v>4386.0</v>
      </c>
      <c r="I78" s="37">
        <v>1140.0</v>
      </c>
      <c r="J78" s="37">
        <v>534.0</v>
      </c>
      <c r="K78" s="37">
        <v>606.0</v>
      </c>
      <c r="L78" s="37">
        <v>3246.0</v>
      </c>
      <c r="M78" s="37">
        <v>4279.0</v>
      </c>
      <c r="N78" s="37">
        <v>2152.0</v>
      </c>
      <c r="O78" s="37">
        <v>1932.0</v>
      </c>
      <c r="P78" s="37">
        <v>220.0</v>
      </c>
      <c r="Q78" s="37">
        <v>2127.0</v>
      </c>
      <c r="R78" s="38">
        <v>25.9917921</v>
      </c>
      <c r="S78" s="38">
        <v>12.1751026</v>
      </c>
      <c r="T78" s="38">
        <v>13.8166895</v>
      </c>
      <c r="U78" s="38">
        <v>74.0082079</v>
      </c>
      <c r="V78" s="38">
        <v>50.2921243</v>
      </c>
      <c r="W78" s="38">
        <v>45.1507362</v>
      </c>
      <c r="X78" s="38">
        <v>5.1413882</v>
      </c>
      <c r="Y78" s="38">
        <v>49.7078757</v>
      </c>
    </row>
    <row r="79" ht="15.0" hidden="1" customHeight="1">
      <c r="B79" s="30">
        <v>74.0</v>
      </c>
      <c r="C79" s="31" t="s">
        <v>21</v>
      </c>
      <c r="D79" s="31" t="s">
        <v>18</v>
      </c>
      <c r="E79" s="31" t="s">
        <v>39</v>
      </c>
      <c r="F79" s="31" t="s">
        <v>40</v>
      </c>
      <c r="G79" s="32" t="s">
        <v>15</v>
      </c>
      <c r="H79" s="33">
        <v>781.0</v>
      </c>
      <c r="I79" s="33">
        <v>472.0</v>
      </c>
      <c r="J79" s="33">
        <v>202.0</v>
      </c>
      <c r="K79" s="33">
        <v>270.0</v>
      </c>
      <c r="L79" s="33">
        <v>309.0</v>
      </c>
      <c r="M79" s="33">
        <v>913.0</v>
      </c>
      <c r="N79" s="33">
        <v>679.0</v>
      </c>
      <c r="O79" s="33">
        <v>593.0</v>
      </c>
      <c r="P79" s="33">
        <v>86.0</v>
      </c>
      <c r="Q79" s="33">
        <v>234.0</v>
      </c>
      <c r="R79" s="34">
        <v>60.4353393</v>
      </c>
      <c r="S79" s="34">
        <v>25.8642766</v>
      </c>
      <c r="T79" s="34">
        <v>34.5710627</v>
      </c>
      <c r="U79" s="34">
        <v>39.5646607</v>
      </c>
      <c r="V79" s="34">
        <v>74.3702081</v>
      </c>
      <c r="W79" s="34">
        <v>64.9507119</v>
      </c>
      <c r="X79" s="34">
        <v>9.4194962</v>
      </c>
      <c r="Y79" s="34">
        <v>25.6297919</v>
      </c>
    </row>
    <row r="80" ht="15.0" hidden="1" customHeight="1">
      <c r="B80" s="30">
        <v>75.0</v>
      </c>
      <c r="C80" s="31" t="s">
        <v>21</v>
      </c>
      <c r="D80" s="31" t="s">
        <v>18</v>
      </c>
      <c r="E80" s="31" t="s">
        <v>39</v>
      </c>
      <c r="F80" s="31" t="s">
        <v>40</v>
      </c>
      <c r="G80" s="32" t="s">
        <v>16</v>
      </c>
      <c r="H80" s="33">
        <v>3605.0</v>
      </c>
      <c r="I80" s="33">
        <v>668.0</v>
      </c>
      <c r="J80" s="33">
        <v>332.0</v>
      </c>
      <c r="K80" s="33">
        <v>336.0</v>
      </c>
      <c r="L80" s="33">
        <v>2937.0</v>
      </c>
      <c r="M80" s="33">
        <v>3366.0</v>
      </c>
      <c r="N80" s="33">
        <v>1473.0</v>
      </c>
      <c r="O80" s="33">
        <v>1339.0</v>
      </c>
      <c r="P80" s="33">
        <v>134.0</v>
      </c>
      <c r="Q80" s="33">
        <v>1893.0</v>
      </c>
      <c r="R80" s="34">
        <v>18.5298197</v>
      </c>
      <c r="S80" s="34">
        <v>9.2094313</v>
      </c>
      <c r="T80" s="34">
        <v>9.3203883</v>
      </c>
      <c r="U80" s="34">
        <v>81.4701803</v>
      </c>
      <c r="V80" s="34">
        <v>43.7611408</v>
      </c>
      <c r="W80" s="34">
        <v>39.7801545</v>
      </c>
      <c r="X80" s="34">
        <v>3.9809863</v>
      </c>
      <c r="Y80" s="34">
        <v>56.2388592</v>
      </c>
    </row>
    <row r="81" ht="15.0" customHeight="1">
      <c r="B81" s="35">
        <v>76.0</v>
      </c>
      <c r="C81" s="36" t="s">
        <v>21</v>
      </c>
      <c r="D81" s="36" t="s">
        <v>18</v>
      </c>
      <c r="E81" s="36" t="s">
        <v>39</v>
      </c>
      <c r="F81" s="36" t="s">
        <v>39</v>
      </c>
      <c r="G81" s="36" t="s">
        <v>39</v>
      </c>
      <c r="H81" s="37">
        <v>2950.0</v>
      </c>
      <c r="I81" s="37">
        <v>907.0</v>
      </c>
      <c r="J81" s="37">
        <v>617.0</v>
      </c>
      <c r="K81" s="37">
        <v>290.0</v>
      </c>
      <c r="L81" s="37">
        <v>2043.0</v>
      </c>
      <c r="M81" s="37">
        <v>3069.0</v>
      </c>
      <c r="N81" s="37">
        <v>1585.0</v>
      </c>
      <c r="O81" s="37">
        <v>1356.0</v>
      </c>
      <c r="P81" s="37">
        <v>229.0</v>
      </c>
      <c r="Q81" s="37">
        <v>1484.0</v>
      </c>
      <c r="R81" s="38">
        <v>30.7457627</v>
      </c>
      <c r="S81" s="38">
        <v>20.9152542</v>
      </c>
      <c r="T81" s="38">
        <v>9.8305085</v>
      </c>
      <c r="U81" s="38">
        <v>69.2542373</v>
      </c>
      <c r="V81" s="38">
        <v>51.6454871</v>
      </c>
      <c r="W81" s="38">
        <v>44.1837732</v>
      </c>
      <c r="X81" s="38">
        <v>7.4617139</v>
      </c>
      <c r="Y81" s="38">
        <v>48.3545129</v>
      </c>
    </row>
    <row r="82" ht="15.0" hidden="1" customHeight="1">
      <c r="B82" s="30">
        <v>77.0</v>
      </c>
      <c r="C82" s="31" t="s">
        <v>21</v>
      </c>
      <c r="D82" s="31" t="s">
        <v>18</v>
      </c>
      <c r="E82" s="31" t="s">
        <v>39</v>
      </c>
      <c r="F82" s="31" t="s">
        <v>39</v>
      </c>
      <c r="G82" s="32" t="s">
        <v>15</v>
      </c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4"/>
      <c r="S82" s="34"/>
      <c r="T82" s="34"/>
      <c r="U82" s="34"/>
      <c r="V82" s="34"/>
      <c r="W82" s="34"/>
      <c r="X82" s="34"/>
      <c r="Y82" s="34"/>
    </row>
    <row r="83" ht="15.0" hidden="1" customHeight="1">
      <c r="B83" s="30">
        <v>78.0</v>
      </c>
      <c r="C83" s="31" t="s">
        <v>21</v>
      </c>
      <c r="D83" s="31" t="s">
        <v>18</v>
      </c>
      <c r="E83" s="31" t="s">
        <v>39</v>
      </c>
      <c r="F83" s="31" t="s">
        <v>39</v>
      </c>
      <c r="G83" s="32" t="s">
        <v>16</v>
      </c>
      <c r="H83" s="33">
        <v>2950.0</v>
      </c>
      <c r="I83" s="33">
        <v>907.0</v>
      </c>
      <c r="J83" s="33">
        <v>617.0</v>
      </c>
      <c r="K83" s="33">
        <v>290.0</v>
      </c>
      <c r="L83" s="33">
        <v>2043.0</v>
      </c>
      <c r="M83" s="33">
        <v>3069.0</v>
      </c>
      <c r="N83" s="33">
        <v>1585.0</v>
      </c>
      <c r="O83" s="33">
        <v>1356.0</v>
      </c>
      <c r="P83" s="33">
        <v>229.0</v>
      </c>
      <c r="Q83" s="33">
        <v>1484.0</v>
      </c>
      <c r="R83" s="34">
        <v>30.7457627</v>
      </c>
      <c r="S83" s="34">
        <v>20.9152542</v>
      </c>
      <c r="T83" s="34">
        <v>9.8305085</v>
      </c>
      <c r="U83" s="34">
        <v>69.2542373</v>
      </c>
      <c r="V83" s="34">
        <v>51.6454871</v>
      </c>
      <c r="W83" s="34">
        <v>44.1837732</v>
      </c>
      <c r="X83" s="34">
        <v>7.4617139</v>
      </c>
      <c r="Y83" s="34">
        <v>48.3545129</v>
      </c>
    </row>
    <row r="84" ht="15.0" hidden="1" customHeight="1">
      <c r="B84" s="26">
        <v>79.0</v>
      </c>
      <c r="C84" s="27" t="s">
        <v>19</v>
      </c>
      <c r="D84" s="27" t="s">
        <v>18</v>
      </c>
      <c r="E84" s="27" t="s">
        <v>41</v>
      </c>
      <c r="F84" s="27"/>
      <c r="G84" s="27" t="s">
        <v>41</v>
      </c>
      <c r="H84" s="28">
        <v>18587.0</v>
      </c>
      <c r="I84" s="28">
        <v>5062.0</v>
      </c>
      <c r="J84" s="28">
        <v>2806.0</v>
      </c>
      <c r="K84" s="28">
        <v>2256.0</v>
      </c>
      <c r="L84" s="28">
        <v>13525.0</v>
      </c>
      <c r="M84" s="28">
        <v>21769.0</v>
      </c>
      <c r="N84" s="28">
        <v>9512.0</v>
      </c>
      <c r="O84" s="28">
        <v>7974.0</v>
      </c>
      <c r="P84" s="28">
        <v>1538.0</v>
      </c>
      <c r="Q84" s="28">
        <v>12257.0</v>
      </c>
      <c r="R84" s="29">
        <v>27.2340883</v>
      </c>
      <c r="S84" s="29">
        <v>15.0965729</v>
      </c>
      <c r="T84" s="29">
        <v>12.1375155</v>
      </c>
      <c r="U84" s="29">
        <v>72.7659117</v>
      </c>
      <c r="V84" s="29">
        <v>43.6951628</v>
      </c>
      <c r="W84" s="29">
        <v>36.6300703</v>
      </c>
      <c r="X84" s="29">
        <v>7.0650926</v>
      </c>
      <c r="Y84" s="29">
        <v>56.3048372</v>
      </c>
    </row>
    <row r="85" ht="15.0" hidden="1" customHeight="1">
      <c r="B85" s="30">
        <v>80.0</v>
      </c>
      <c r="C85" s="31" t="s">
        <v>19</v>
      </c>
      <c r="D85" s="31" t="s">
        <v>18</v>
      </c>
      <c r="E85" s="31" t="s">
        <v>41</v>
      </c>
      <c r="F85" s="31"/>
      <c r="G85" s="32" t="s">
        <v>15</v>
      </c>
      <c r="H85" s="33">
        <v>2069.0</v>
      </c>
      <c r="I85" s="33">
        <v>1725.0</v>
      </c>
      <c r="J85" s="33">
        <v>934.0</v>
      </c>
      <c r="K85" s="33">
        <v>791.0</v>
      </c>
      <c r="L85" s="33">
        <v>344.0</v>
      </c>
      <c r="M85" s="33">
        <v>4332.0</v>
      </c>
      <c r="N85" s="33">
        <v>3874.0</v>
      </c>
      <c r="O85" s="33">
        <v>3041.0</v>
      </c>
      <c r="P85" s="33">
        <v>833.0</v>
      </c>
      <c r="Q85" s="33">
        <v>458.0</v>
      </c>
      <c r="R85" s="34">
        <v>83.3736104</v>
      </c>
      <c r="S85" s="34">
        <v>45.142581</v>
      </c>
      <c r="T85" s="34">
        <v>38.2310295</v>
      </c>
      <c r="U85" s="34">
        <v>16.6263896</v>
      </c>
      <c r="V85" s="34">
        <v>89.4275162</v>
      </c>
      <c r="W85" s="34">
        <v>70.1985226</v>
      </c>
      <c r="X85" s="34">
        <v>19.2289935</v>
      </c>
      <c r="Y85" s="34">
        <v>10.5724838</v>
      </c>
    </row>
    <row r="86" ht="15.0" hidden="1" customHeight="1">
      <c r="B86" s="30">
        <v>81.0</v>
      </c>
      <c r="C86" s="31" t="s">
        <v>19</v>
      </c>
      <c r="D86" s="31" t="s">
        <v>18</v>
      </c>
      <c r="E86" s="31" t="s">
        <v>41</v>
      </c>
      <c r="F86" s="31"/>
      <c r="G86" s="32" t="s">
        <v>16</v>
      </c>
      <c r="H86" s="33">
        <v>16518.0</v>
      </c>
      <c r="I86" s="33">
        <v>3337.0</v>
      </c>
      <c r="J86" s="33">
        <v>1872.0</v>
      </c>
      <c r="K86" s="33">
        <v>1465.0</v>
      </c>
      <c r="L86" s="33">
        <v>13181.0</v>
      </c>
      <c r="M86" s="33">
        <v>17437.0</v>
      </c>
      <c r="N86" s="33">
        <v>5638.0</v>
      </c>
      <c r="O86" s="33">
        <v>4933.0</v>
      </c>
      <c r="P86" s="33">
        <v>705.0</v>
      </c>
      <c r="Q86" s="33">
        <v>11799.0</v>
      </c>
      <c r="R86" s="34">
        <v>20.2022037</v>
      </c>
      <c r="S86" s="34">
        <v>11.3330912</v>
      </c>
      <c r="T86" s="34">
        <v>8.8691125</v>
      </c>
      <c r="U86" s="34">
        <v>79.7977963</v>
      </c>
      <c r="V86" s="34">
        <v>32.3335436</v>
      </c>
      <c r="W86" s="34">
        <v>28.2904169</v>
      </c>
      <c r="X86" s="34">
        <v>4.0431267</v>
      </c>
      <c r="Y86" s="34">
        <v>67.6664564</v>
      </c>
    </row>
    <row r="87" ht="15.0" customHeight="1">
      <c r="B87" s="35">
        <v>82.0</v>
      </c>
      <c r="C87" s="36" t="s">
        <v>21</v>
      </c>
      <c r="D87" s="36" t="s">
        <v>18</v>
      </c>
      <c r="E87" s="36" t="s">
        <v>41</v>
      </c>
      <c r="F87" s="36" t="s">
        <v>42</v>
      </c>
      <c r="G87" s="36" t="s">
        <v>42</v>
      </c>
      <c r="H87" s="37">
        <v>4325.0</v>
      </c>
      <c r="I87" s="37">
        <v>2021.0</v>
      </c>
      <c r="J87" s="37">
        <v>1174.0</v>
      </c>
      <c r="K87" s="37">
        <v>847.0</v>
      </c>
      <c r="L87" s="37">
        <v>2304.0</v>
      </c>
      <c r="M87" s="37">
        <v>5047.0</v>
      </c>
      <c r="N87" s="37">
        <v>3177.0</v>
      </c>
      <c r="O87" s="37">
        <v>2691.0</v>
      </c>
      <c r="P87" s="37">
        <v>486.0</v>
      </c>
      <c r="Q87" s="37">
        <v>1870.0</v>
      </c>
      <c r="R87" s="38">
        <v>46.7283237</v>
      </c>
      <c r="S87" s="38">
        <v>27.1445087</v>
      </c>
      <c r="T87" s="38">
        <v>19.583815</v>
      </c>
      <c r="U87" s="38">
        <v>53.2716763</v>
      </c>
      <c r="V87" s="38">
        <v>62.9482861</v>
      </c>
      <c r="W87" s="38">
        <v>53.3188032</v>
      </c>
      <c r="X87" s="38">
        <v>9.6294829</v>
      </c>
      <c r="Y87" s="38">
        <v>37.0517139</v>
      </c>
    </row>
    <row r="88" ht="15.0" hidden="1" customHeight="1">
      <c r="B88" s="30">
        <v>83.0</v>
      </c>
      <c r="C88" s="31" t="s">
        <v>21</v>
      </c>
      <c r="D88" s="31" t="s">
        <v>18</v>
      </c>
      <c r="E88" s="31" t="s">
        <v>41</v>
      </c>
      <c r="F88" s="31" t="s">
        <v>42</v>
      </c>
      <c r="G88" s="32" t="s">
        <v>15</v>
      </c>
      <c r="H88" s="33">
        <v>1492.0</v>
      </c>
      <c r="I88" s="33">
        <v>1340.0</v>
      </c>
      <c r="J88" s="33">
        <v>702.0</v>
      </c>
      <c r="K88" s="33">
        <v>638.0</v>
      </c>
      <c r="L88" s="33">
        <v>152.0</v>
      </c>
      <c r="M88" s="33">
        <v>1817.0</v>
      </c>
      <c r="N88" s="33">
        <v>1771.0</v>
      </c>
      <c r="O88" s="33">
        <v>1414.0</v>
      </c>
      <c r="P88" s="33">
        <v>357.0</v>
      </c>
      <c r="Q88" s="33">
        <v>46.0</v>
      </c>
      <c r="R88" s="34">
        <v>89.8123324</v>
      </c>
      <c r="S88" s="34">
        <v>47.0509383</v>
      </c>
      <c r="T88" s="34">
        <v>42.7613941</v>
      </c>
      <c r="U88" s="34">
        <v>10.1876676</v>
      </c>
      <c r="V88" s="34">
        <v>97.4683544</v>
      </c>
      <c r="W88" s="34">
        <v>77.8205834</v>
      </c>
      <c r="X88" s="34">
        <v>19.6477711</v>
      </c>
      <c r="Y88" s="34">
        <v>2.5316456</v>
      </c>
    </row>
    <row r="89" ht="15.0" hidden="1" customHeight="1">
      <c r="B89" s="30">
        <v>84.0</v>
      </c>
      <c r="C89" s="31" t="s">
        <v>21</v>
      </c>
      <c r="D89" s="31" t="s">
        <v>18</v>
      </c>
      <c r="E89" s="31" t="s">
        <v>41</v>
      </c>
      <c r="F89" s="31" t="s">
        <v>42</v>
      </c>
      <c r="G89" s="32" t="s">
        <v>16</v>
      </c>
      <c r="H89" s="33">
        <v>2833.0</v>
      </c>
      <c r="I89" s="33">
        <v>681.0</v>
      </c>
      <c r="J89" s="33">
        <v>472.0</v>
      </c>
      <c r="K89" s="33">
        <v>209.0</v>
      </c>
      <c r="L89" s="33">
        <v>2152.0</v>
      </c>
      <c r="M89" s="33">
        <v>3230.0</v>
      </c>
      <c r="N89" s="33">
        <v>1406.0</v>
      </c>
      <c r="O89" s="33">
        <v>1277.0</v>
      </c>
      <c r="P89" s="33">
        <v>129.0</v>
      </c>
      <c r="Q89" s="33">
        <v>1824.0</v>
      </c>
      <c r="R89" s="34">
        <v>24.0381221</v>
      </c>
      <c r="S89" s="34">
        <v>16.6607836</v>
      </c>
      <c r="T89" s="34">
        <v>7.3773385</v>
      </c>
      <c r="U89" s="34">
        <v>75.9618779</v>
      </c>
      <c r="V89" s="34">
        <v>43.5294118</v>
      </c>
      <c r="W89" s="34">
        <v>39.5356037</v>
      </c>
      <c r="X89" s="34">
        <v>3.993808</v>
      </c>
      <c r="Y89" s="34">
        <v>56.4705882</v>
      </c>
    </row>
    <row r="90" ht="15.0" customHeight="1">
      <c r="B90" s="35">
        <v>85.0</v>
      </c>
      <c r="C90" s="36" t="s">
        <v>21</v>
      </c>
      <c r="D90" s="36" t="s">
        <v>18</v>
      </c>
      <c r="E90" s="36" t="s">
        <v>41</v>
      </c>
      <c r="F90" s="36" t="s">
        <v>43</v>
      </c>
      <c r="G90" s="36" t="s">
        <v>43</v>
      </c>
      <c r="H90" s="37">
        <v>8008.0</v>
      </c>
      <c r="I90" s="37">
        <v>1832.0</v>
      </c>
      <c r="J90" s="37">
        <v>1036.0</v>
      </c>
      <c r="K90" s="37">
        <v>796.0</v>
      </c>
      <c r="L90" s="37">
        <v>6176.0</v>
      </c>
      <c r="M90" s="37">
        <v>8651.0</v>
      </c>
      <c r="N90" s="37">
        <v>3387.0</v>
      </c>
      <c r="O90" s="37">
        <v>2876.0</v>
      </c>
      <c r="P90" s="37">
        <v>511.0</v>
      </c>
      <c r="Q90" s="37">
        <v>5264.0</v>
      </c>
      <c r="R90" s="38">
        <v>22.8771229</v>
      </c>
      <c r="S90" s="38">
        <v>12.9370629</v>
      </c>
      <c r="T90" s="38">
        <v>9.9400599</v>
      </c>
      <c r="U90" s="38">
        <v>77.1228771</v>
      </c>
      <c r="V90" s="38">
        <v>39.1515432</v>
      </c>
      <c r="W90" s="38">
        <v>33.2447116</v>
      </c>
      <c r="X90" s="38">
        <v>5.9068316</v>
      </c>
      <c r="Y90" s="38">
        <v>60.8484568</v>
      </c>
    </row>
    <row r="91" ht="15.0" hidden="1" customHeight="1">
      <c r="B91" s="30">
        <v>86.0</v>
      </c>
      <c r="C91" s="31" t="s">
        <v>21</v>
      </c>
      <c r="D91" s="31" t="s">
        <v>18</v>
      </c>
      <c r="E91" s="31" t="s">
        <v>41</v>
      </c>
      <c r="F91" s="31" t="s">
        <v>43</v>
      </c>
      <c r="G91" s="32" t="s">
        <v>15</v>
      </c>
      <c r="H91" s="33"/>
      <c r="I91" s="33"/>
      <c r="J91" s="33"/>
      <c r="K91" s="33"/>
      <c r="L91" s="33"/>
      <c r="M91" s="33">
        <v>990.0</v>
      </c>
      <c r="N91" s="33">
        <v>768.0</v>
      </c>
      <c r="O91" s="33">
        <v>609.0</v>
      </c>
      <c r="P91" s="33">
        <v>159.0</v>
      </c>
      <c r="Q91" s="33">
        <v>222.0</v>
      </c>
      <c r="R91" s="34"/>
      <c r="S91" s="34"/>
      <c r="T91" s="34"/>
      <c r="U91" s="34"/>
      <c r="V91" s="34">
        <v>77.5757576</v>
      </c>
      <c r="W91" s="34">
        <v>61.5151515</v>
      </c>
      <c r="X91" s="34">
        <v>16.0606061</v>
      </c>
      <c r="Y91" s="34">
        <v>22.4242424</v>
      </c>
    </row>
    <row r="92" ht="15.0" hidden="1" customHeight="1">
      <c r="B92" s="30">
        <v>87.0</v>
      </c>
      <c r="C92" s="31" t="s">
        <v>21</v>
      </c>
      <c r="D92" s="31" t="s">
        <v>18</v>
      </c>
      <c r="E92" s="31" t="s">
        <v>41</v>
      </c>
      <c r="F92" s="31" t="s">
        <v>43</v>
      </c>
      <c r="G92" s="32" t="s">
        <v>16</v>
      </c>
      <c r="H92" s="33">
        <v>8008.0</v>
      </c>
      <c r="I92" s="33">
        <v>1832.0</v>
      </c>
      <c r="J92" s="33">
        <v>1036.0</v>
      </c>
      <c r="K92" s="33">
        <v>796.0</v>
      </c>
      <c r="L92" s="33">
        <v>6176.0</v>
      </c>
      <c r="M92" s="33">
        <v>7661.0</v>
      </c>
      <c r="N92" s="33">
        <v>2619.0</v>
      </c>
      <c r="O92" s="33">
        <v>2267.0</v>
      </c>
      <c r="P92" s="33">
        <v>352.0</v>
      </c>
      <c r="Q92" s="33">
        <v>5042.0</v>
      </c>
      <c r="R92" s="34">
        <v>22.8771229</v>
      </c>
      <c r="S92" s="34">
        <v>12.9370629</v>
      </c>
      <c r="T92" s="34">
        <v>9.9400599</v>
      </c>
      <c r="U92" s="34">
        <v>77.1228771</v>
      </c>
      <c r="V92" s="34">
        <v>34.1861376</v>
      </c>
      <c r="W92" s="34">
        <v>29.5914371</v>
      </c>
      <c r="X92" s="34">
        <v>4.5947004</v>
      </c>
      <c r="Y92" s="34">
        <v>65.8138624</v>
      </c>
    </row>
    <row r="93" ht="15.0" customHeight="1">
      <c r="B93" s="35">
        <v>88.0</v>
      </c>
      <c r="C93" s="36" t="s">
        <v>21</v>
      </c>
      <c r="D93" s="36" t="s">
        <v>18</v>
      </c>
      <c r="E93" s="36" t="s">
        <v>41</v>
      </c>
      <c r="F93" s="36" t="s">
        <v>44</v>
      </c>
      <c r="G93" s="36" t="s">
        <v>44</v>
      </c>
      <c r="H93" s="37">
        <v>2779.0</v>
      </c>
      <c r="I93" s="37">
        <v>470.0</v>
      </c>
      <c r="J93" s="37">
        <v>163.0</v>
      </c>
      <c r="K93" s="37">
        <v>307.0</v>
      </c>
      <c r="L93" s="37">
        <v>2309.0</v>
      </c>
      <c r="M93" s="37">
        <v>4071.0</v>
      </c>
      <c r="N93" s="37">
        <v>1354.0</v>
      </c>
      <c r="O93" s="37">
        <v>1135.0</v>
      </c>
      <c r="P93" s="37">
        <v>219.0</v>
      </c>
      <c r="Q93" s="37">
        <v>2717.0</v>
      </c>
      <c r="R93" s="38">
        <v>16.9125585</v>
      </c>
      <c r="S93" s="38">
        <v>5.8654192</v>
      </c>
      <c r="T93" s="38">
        <v>11.0471393</v>
      </c>
      <c r="U93" s="38">
        <v>83.0874415</v>
      </c>
      <c r="V93" s="38">
        <v>33.2596414</v>
      </c>
      <c r="W93" s="38">
        <v>27.8801277</v>
      </c>
      <c r="X93" s="38">
        <v>5.3795136</v>
      </c>
      <c r="Y93" s="38">
        <v>66.7403586</v>
      </c>
    </row>
    <row r="94" ht="15.0" hidden="1" customHeight="1">
      <c r="B94" s="30">
        <v>89.0</v>
      </c>
      <c r="C94" s="31" t="s">
        <v>21</v>
      </c>
      <c r="D94" s="31" t="s">
        <v>18</v>
      </c>
      <c r="E94" s="31" t="s">
        <v>41</v>
      </c>
      <c r="F94" s="31" t="s">
        <v>44</v>
      </c>
      <c r="G94" s="32" t="s">
        <v>15</v>
      </c>
      <c r="H94" s="33"/>
      <c r="I94" s="33"/>
      <c r="J94" s="33"/>
      <c r="K94" s="33"/>
      <c r="L94" s="33"/>
      <c r="M94" s="33">
        <v>700.0</v>
      </c>
      <c r="N94" s="33">
        <v>570.0</v>
      </c>
      <c r="O94" s="33">
        <v>455.0</v>
      </c>
      <c r="P94" s="33">
        <v>115.0</v>
      </c>
      <c r="Q94" s="33">
        <v>130.0</v>
      </c>
      <c r="R94" s="34"/>
      <c r="S94" s="34"/>
      <c r="T94" s="34"/>
      <c r="U94" s="34"/>
      <c r="V94" s="34">
        <v>81.4285714</v>
      </c>
      <c r="W94" s="34">
        <v>65.0</v>
      </c>
      <c r="X94" s="34">
        <v>16.4285714</v>
      </c>
      <c r="Y94" s="34">
        <v>18.5714286</v>
      </c>
    </row>
    <row r="95" ht="15.0" hidden="1" customHeight="1">
      <c r="B95" s="30">
        <v>90.0</v>
      </c>
      <c r="C95" s="31" t="s">
        <v>21</v>
      </c>
      <c r="D95" s="31" t="s">
        <v>18</v>
      </c>
      <c r="E95" s="31" t="s">
        <v>41</v>
      </c>
      <c r="F95" s="31" t="s">
        <v>44</v>
      </c>
      <c r="G95" s="32" t="s">
        <v>16</v>
      </c>
      <c r="H95" s="33">
        <v>2779.0</v>
      </c>
      <c r="I95" s="33">
        <v>470.0</v>
      </c>
      <c r="J95" s="33">
        <v>163.0</v>
      </c>
      <c r="K95" s="33">
        <v>307.0</v>
      </c>
      <c r="L95" s="33">
        <v>2309.0</v>
      </c>
      <c r="M95" s="33">
        <v>3371.0</v>
      </c>
      <c r="N95" s="33">
        <v>784.0</v>
      </c>
      <c r="O95" s="33">
        <v>680.0</v>
      </c>
      <c r="P95" s="33">
        <v>104.0</v>
      </c>
      <c r="Q95" s="33">
        <v>2587.0</v>
      </c>
      <c r="R95" s="34">
        <v>16.9125585</v>
      </c>
      <c r="S95" s="34">
        <v>5.8654192</v>
      </c>
      <c r="T95" s="34">
        <v>11.0471393</v>
      </c>
      <c r="U95" s="34">
        <v>83.0874415</v>
      </c>
      <c r="V95" s="34">
        <v>23.2571937</v>
      </c>
      <c r="W95" s="34">
        <v>20.1720558</v>
      </c>
      <c r="X95" s="34">
        <v>3.0851379</v>
      </c>
      <c r="Y95" s="34">
        <v>76.7428063</v>
      </c>
    </row>
    <row r="96" ht="15.0" customHeight="1">
      <c r="B96" s="35">
        <v>91.0</v>
      </c>
      <c r="C96" s="36" t="s">
        <v>21</v>
      </c>
      <c r="D96" s="36" t="s">
        <v>18</v>
      </c>
      <c r="E96" s="36" t="s">
        <v>41</v>
      </c>
      <c r="F96" s="36" t="s">
        <v>45</v>
      </c>
      <c r="G96" s="36" t="s">
        <v>45</v>
      </c>
      <c r="H96" s="37">
        <v>3475.0</v>
      </c>
      <c r="I96" s="37">
        <v>739.0</v>
      </c>
      <c r="J96" s="37">
        <v>433.0</v>
      </c>
      <c r="K96" s="37">
        <v>306.0</v>
      </c>
      <c r="L96" s="37">
        <v>2736.0</v>
      </c>
      <c r="M96" s="37">
        <v>4000.0</v>
      </c>
      <c r="N96" s="37">
        <v>1594.0</v>
      </c>
      <c r="O96" s="37">
        <v>1272.0</v>
      </c>
      <c r="P96" s="37">
        <v>322.0</v>
      </c>
      <c r="Q96" s="37">
        <v>2406.0</v>
      </c>
      <c r="R96" s="38">
        <v>21.2661871</v>
      </c>
      <c r="S96" s="38">
        <v>12.4604317</v>
      </c>
      <c r="T96" s="38">
        <v>8.8057554</v>
      </c>
      <c r="U96" s="38">
        <v>78.7338129</v>
      </c>
      <c r="V96" s="38">
        <v>39.85</v>
      </c>
      <c r="W96" s="38">
        <v>31.8</v>
      </c>
      <c r="X96" s="38">
        <v>8.05</v>
      </c>
      <c r="Y96" s="38">
        <v>60.15</v>
      </c>
    </row>
    <row r="97" ht="15.0" hidden="1" customHeight="1">
      <c r="B97" s="30">
        <v>92.0</v>
      </c>
      <c r="C97" s="31" t="s">
        <v>21</v>
      </c>
      <c r="D97" s="31" t="s">
        <v>18</v>
      </c>
      <c r="E97" s="31" t="s">
        <v>41</v>
      </c>
      <c r="F97" s="31" t="s">
        <v>45</v>
      </c>
      <c r="G97" s="32" t="s">
        <v>15</v>
      </c>
      <c r="H97" s="33">
        <v>577.0</v>
      </c>
      <c r="I97" s="33">
        <v>385.0</v>
      </c>
      <c r="J97" s="33">
        <v>232.0</v>
      </c>
      <c r="K97" s="33">
        <v>153.0</v>
      </c>
      <c r="L97" s="33">
        <v>192.0</v>
      </c>
      <c r="M97" s="33">
        <v>825.0</v>
      </c>
      <c r="N97" s="33">
        <v>765.0</v>
      </c>
      <c r="O97" s="33">
        <v>563.0</v>
      </c>
      <c r="P97" s="33">
        <v>202.0</v>
      </c>
      <c r="Q97" s="33">
        <v>60.0</v>
      </c>
      <c r="R97" s="34">
        <v>66.7244367</v>
      </c>
      <c r="S97" s="34">
        <v>40.2079723</v>
      </c>
      <c r="T97" s="34">
        <v>26.5164645</v>
      </c>
      <c r="U97" s="34">
        <v>33.2755633</v>
      </c>
      <c r="V97" s="34">
        <v>92.7272727</v>
      </c>
      <c r="W97" s="34">
        <v>68.2424242</v>
      </c>
      <c r="X97" s="34">
        <v>24.4848485</v>
      </c>
      <c r="Y97" s="34">
        <v>7.2727273</v>
      </c>
    </row>
    <row r="98" ht="15.0" hidden="1" customHeight="1">
      <c r="B98" s="30">
        <v>93.0</v>
      </c>
      <c r="C98" s="31" t="s">
        <v>21</v>
      </c>
      <c r="D98" s="31" t="s">
        <v>18</v>
      </c>
      <c r="E98" s="31" t="s">
        <v>41</v>
      </c>
      <c r="F98" s="31" t="s">
        <v>45</v>
      </c>
      <c r="G98" s="32" t="s">
        <v>16</v>
      </c>
      <c r="H98" s="33">
        <v>2898.0</v>
      </c>
      <c r="I98" s="33">
        <v>354.0</v>
      </c>
      <c r="J98" s="33">
        <v>201.0</v>
      </c>
      <c r="K98" s="33">
        <v>153.0</v>
      </c>
      <c r="L98" s="33">
        <v>2544.0</v>
      </c>
      <c r="M98" s="33">
        <v>3175.0</v>
      </c>
      <c r="N98" s="33">
        <v>829.0</v>
      </c>
      <c r="O98" s="33">
        <v>709.0</v>
      </c>
      <c r="P98" s="33">
        <v>120.0</v>
      </c>
      <c r="Q98" s="33">
        <v>2346.0</v>
      </c>
      <c r="R98" s="34">
        <v>12.2153209</v>
      </c>
      <c r="S98" s="34">
        <v>6.9358178</v>
      </c>
      <c r="T98" s="34">
        <v>5.2795031</v>
      </c>
      <c r="U98" s="34">
        <v>87.7846791</v>
      </c>
      <c r="V98" s="34">
        <v>26.1102362</v>
      </c>
      <c r="W98" s="34">
        <v>22.3307087</v>
      </c>
      <c r="X98" s="34">
        <v>3.7795276</v>
      </c>
      <c r="Y98" s="34">
        <v>73.8897638</v>
      </c>
    </row>
    <row r="99" ht="15.0" hidden="1" customHeight="1">
      <c r="B99" s="26">
        <v>94.0</v>
      </c>
      <c r="C99" s="27" t="s">
        <v>19</v>
      </c>
      <c r="D99" s="27" t="s">
        <v>18</v>
      </c>
      <c r="E99" s="27" t="s">
        <v>46</v>
      </c>
      <c r="F99" s="27"/>
      <c r="G99" s="27" t="s">
        <v>46</v>
      </c>
      <c r="H99" s="28">
        <v>3196.0</v>
      </c>
      <c r="I99" s="28">
        <v>1495.0</v>
      </c>
      <c r="J99" s="28">
        <v>753.0</v>
      </c>
      <c r="K99" s="28">
        <v>742.0</v>
      </c>
      <c r="L99" s="28">
        <v>1701.0</v>
      </c>
      <c r="M99" s="28">
        <v>3187.0</v>
      </c>
      <c r="N99" s="28">
        <v>2050.0</v>
      </c>
      <c r="O99" s="28">
        <v>1732.0</v>
      </c>
      <c r="P99" s="28">
        <v>318.0</v>
      </c>
      <c r="Q99" s="28">
        <v>1137.0</v>
      </c>
      <c r="R99" s="29">
        <v>46.7772215</v>
      </c>
      <c r="S99" s="29">
        <v>23.5607009</v>
      </c>
      <c r="T99" s="29">
        <v>23.2165207</v>
      </c>
      <c r="U99" s="29">
        <v>53.2227785</v>
      </c>
      <c r="V99" s="29">
        <v>64.3238155</v>
      </c>
      <c r="W99" s="29">
        <v>54.3457797</v>
      </c>
      <c r="X99" s="29">
        <v>9.9780358</v>
      </c>
      <c r="Y99" s="29">
        <v>35.6761845</v>
      </c>
    </row>
    <row r="100" ht="15.0" hidden="1" customHeight="1">
      <c r="B100" s="30">
        <v>95.0</v>
      </c>
      <c r="C100" s="31" t="s">
        <v>19</v>
      </c>
      <c r="D100" s="31" t="s">
        <v>18</v>
      </c>
      <c r="E100" s="31" t="s">
        <v>46</v>
      </c>
      <c r="F100" s="31"/>
      <c r="G100" s="32" t="s">
        <v>15</v>
      </c>
      <c r="H100" s="33">
        <v>1035.0</v>
      </c>
      <c r="I100" s="33">
        <v>902.0</v>
      </c>
      <c r="J100" s="33">
        <v>390.0</v>
      </c>
      <c r="K100" s="33">
        <v>512.0</v>
      </c>
      <c r="L100" s="33">
        <v>133.0</v>
      </c>
      <c r="M100" s="33">
        <v>1189.0</v>
      </c>
      <c r="N100" s="33">
        <v>1129.0</v>
      </c>
      <c r="O100" s="33">
        <v>875.0</v>
      </c>
      <c r="P100" s="33">
        <v>254.0</v>
      </c>
      <c r="Q100" s="33">
        <v>60.0</v>
      </c>
      <c r="R100" s="34">
        <v>87.1497585</v>
      </c>
      <c r="S100" s="34">
        <v>37.6811594</v>
      </c>
      <c r="T100" s="34">
        <v>49.468599</v>
      </c>
      <c r="U100" s="34">
        <v>12.8502415</v>
      </c>
      <c r="V100" s="34">
        <v>94.9537426</v>
      </c>
      <c r="W100" s="34">
        <v>73.5912532</v>
      </c>
      <c r="X100" s="34">
        <v>21.3624895</v>
      </c>
      <c r="Y100" s="34">
        <v>5.0462574</v>
      </c>
    </row>
    <row r="101" ht="15.0" hidden="1" customHeight="1">
      <c r="B101" s="30">
        <v>96.0</v>
      </c>
      <c r="C101" s="31" t="s">
        <v>19</v>
      </c>
      <c r="D101" s="31" t="s">
        <v>18</v>
      </c>
      <c r="E101" s="31" t="s">
        <v>46</v>
      </c>
      <c r="F101" s="31"/>
      <c r="G101" s="32" t="s">
        <v>16</v>
      </c>
      <c r="H101" s="33">
        <v>2161.0</v>
      </c>
      <c r="I101" s="33">
        <v>593.0</v>
      </c>
      <c r="J101" s="33">
        <v>363.0</v>
      </c>
      <c r="K101" s="33">
        <v>230.0</v>
      </c>
      <c r="L101" s="33">
        <v>1568.0</v>
      </c>
      <c r="M101" s="33">
        <v>1998.0</v>
      </c>
      <c r="N101" s="33">
        <v>921.0</v>
      </c>
      <c r="O101" s="33">
        <v>857.0</v>
      </c>
      <c r="P101" s="33">
        <v>64.0</v>
      </c>
      <c r="Q101" s="33">
        <v>1077.0</v>
      </c>
      <c r="R101" s="34">
        <v>27.4409995</v>
      </c>
      <c r="S101" s="34">
        <v>16.7977788</v>
      </c>
      <c r="T101" s="34">
        <v>10.6432207</v>
      </c>
      <c r="U101" s="34">
        <v>72.5590005</v>
      </c>
      <c r="V101" s="34">
        <v>46.0960961</v>
      </c>
      <c r="W101" s="34">
        <v>42.8928929</v>
      </c>
      <c r="X101" s="34">
        <v>3.2032032</v>
      </c>
      <c r="Y101" s="34">
        <v>53.9039039</v>
      </c>
    </row>
    <row r="102" ht="15.0" customHeight="1">
      <c r="B102" s="35">
        <v>97.0</v>
      </c>
      <c r="C102" s="36" t="s">
        <v>21</v>
      </c>
      <c r="D102" s="36" t="s">
        <v>18</v>
      </c>
      <c r="E102" s="36" t="s">
        <v>46</v>
      </c>
      <c r="F102" s="36" t="s">
        <v>47</v>
      </c>
      <c r="G102" s="36" t="s">
        <v>47</v>
      </c>
      <c r="H102" s="37">
        <v>3196.0</v>
      </c>
      <c r="I102" s="37">
        <v>1495.0</v>
      </c>
      <c r="J102" s="37">
        <v>753.0</v>
      </c>
      <c r="K102" s="37">
        <v>742.0</v>
      </c>
      <c r="L102" s="37">
        <v>1701.0</v>
      </c>
      <c r="M102" s="37">
        <v>3187.0</v>
      </c>
      <c r="N102" s="37">
        <v>2050.0</v>
      </c>
      <c r="O102" s="37">
        <v>1732.0</v>
      </c>
      <c r="P102" s="37">
        <v>318.0</v>
      </c>
      <c r="Q102" s="37">
        <v>1137.0</v>
      </c>
      <c r="R102" s="38">
        <v>46.7772215</v>
      </c>
      <c r="S102" s="38">
        <v>23.5607009</v>
      </c>
      <c r="T102" s="38">
        <v>23.2165207</v>
      </c>
      <c r="U102" s="38">
        <v>53.2227785</v>
      </c>
      <c r="V102" s="38">
        <v>64.3238155</v>
      </c>
      <c r="W102" s="38">
        <v>54.3457797</v>
      </c>
      <c r="X102" s="38">
        <v>9.9780358</v>
      </c>
      <c r="Y102" s="38">
        <v>35.6761845</v>
      </c>
    </row>
    <row r="103" ht="15.0" hidden="1" customHeight="1">
      <c r="B103" s="30">
        <v>98.0</v>
      </c>
      <c r="C103" s="31" t="s">
        <v>21</v>
      </c>
      <c r="D103" s="31" t="s">
        <v>18</v>
      </c>
      <c r="E103" s="31" t="s">
        <v>46</v>
      </c>
      <c r="F103" s="31" t="s">
        <v>47</v>
      </c>
      <c r="G103" s="32" t="s">
        <v>15</v>
      </c>
      <c r="H103" s="33">
        <v>1035.0</v>
      </c>
      <c r="I103" s="33">
        <v>902.0</v>
      </c>
      <c r="J103" s="33">
        <v>390.0</v>
      </c>
      <c r="K103" s="33">
        <v>512.0</v>
      </c>
      <c r="L103" s="33">
        <v>133.0</v>
      </c>
      <c r="M103" s="33">
        <v>1189.0</v>
      </c>
      <c r="N103" s="33">
        <v>1129.0</v>
      </c>
      <c r="O103" s="33">
        <v>875.0</v>
      </c>
      <c r="P103" s="33">
        <v>254.0</v>
      </c>
      <c r="Q103" s="33">
        <v>60.0</v>
      </c>
      <c r="R103" s="34">
        <v>87.1497585</v>
      </c>
      <c r="S103" s="34">
        <v>37.6811594</v>
      </c>
      <c r="T103" s="34">
        <v>49.468599</v>
      </c>
      <c r="U103" s="34">
        <v>12.8502415</v>
      </c>
      <c r="V103" s="34">
        <v>94.9537426</v>
      </c>
      <c r="W103" s="34">
        <v>73.5912532</v>
      </c>
      <c r="X103" s="34">
        <v>21.3624895</v>
      </c>
      <c r="Y103" s="34">
        <v>5.0462574</v>
      </c>
    </row>
    <row r="104" ht="15.0" hidden="1" customHeight="1">
      <c r="B104" s="30">
        <v>99.0</v>
      </c>
      <c r="C104" s="31" t="s">
        <v>21</v>
      </c>
      <c r="D104" s="31" t="s">
        <v>18</v>
      </c>
      <c r="E104" s="31" t="s">
        <v>46</v>
      </c>
      <c r="F104" s="31" t="s">
        <v>47</v>
      </c>
      <c r="G104" s="32" t="s">
        <v>16</v>
      </c>
      <c r="H104" s="33">
        <v>2161.0</v>
      </c>
      <c r="I104" s="33">
        <v>593.0</v>
      </c>
      <c r="J104" s="33">
        <v>363.0</v>
      </c>
      <c r="K104" s="33">
        <v>230.0</v>
      </c>
      <c r="L104" s="33">
        <v>1568.0</v>
      </c>
      <c r="M104" s="33">
        <v>1998.0</v>
      </c>
      <c r="N104" s="33">
        <v>921.0</v>
      </c>
      <c r="O104" s="33">
        <v>857.0</v>
      </c>
      <c r="P104" s="33">
        <v>64.0</v>
      </c>
      <c r="Q104" s="33">
        <v>1077.0</v>
      </c>
      <c r="R104" s="34">
        <v>27.4409995</v>
      </c>
      <c r="S104" s="34">
        <v>16.7977788</v>
      </c>
      <c r="T104" s="34">
        <v>10.6432207</v>
      </c>
      <c r="U104" s="34">
        <v>72.5590005</v>
      </c>
      <c r="V104" s="34">
        <v>46.0960961</v>
      </c>
      <c r="W104" s="34">
        <v>42.8928929</v>
      </c>
      <c r="X104" s="34">
        <v>3.2032032</v>
      </c>
      <c r="Y104" s="34">
        <v>53.9039039</v>
      </c>
    </row>
    <row r="105" ht="15.0" hidden="1" customHeight="1">
      <c r="B105" s="26">
        <v>100.0</v>
      </c>
      <c r="C105" s="27" t="s">
        <v>19</v>
      </c>
      <c r="D105" s="27" t="s">
        <v>18</v>
      </c>
      <c r="E105" s="27" t="s">
        <v>48</v>
      </c>
      <c r="F105" s="27"/>
      <c r="G105" s="27" t="s">
        <v>48</v>
      </c>
      <c r="H105" s="28">
        <v>6374.0</v>
      </c>
      <c r="I105" s="28">
        <v>2522.0</v>
      </c>
      <c r="J105" s="28">
        <v>1471.0</v>
      </c>
      <c r="K105" s="28">
        <v>1051.0</v>
      </c>
      <c r="L105" s="28">
        <v>3852.0</v>
      </c>
      <c r="M105" s="28">
        <v>7311.0</v>
      </c>
      <c r="N105" s="28">
        <v>4130.0</v>
      </c>
      <c r="O105" s="28">
        <v>3529.0</v>
      </c>
      <c r="P105" s="28">
        <v>601.0</v>
      </c>
      <c r="Q105" s="28">
        <v>3181.0</v>
      </c>
      <c r="R105" s="29">
        <v>39.5669909</v>
      </c>
      <c r="S105" s="29">
        <v>23.0781299</v>
      </c>
      <c r="T105" s="29">
        <v>16.488861</v>
      </c>
      <c r="U105" s="29">
        <v>60.4330091</v>
      </c>
      <c r="V105" s="29">
        <v>56.4902202</v>
      </c>
      <c r="W105" s="29">
        <v>48.2697305</v>
      </c>
      <c r="X105" s="29">
        <v>8.2204897</v>
      </c>
      <c r="Y105" s="29">
        <v>43.5097798</v>
      </c>
    </row>
    <row r="106" ht="15.0" hidden="1" customHeight="1">
      <c r="B106" s="30">
        <v>101.0</v>
      </c>
      <c r="C106" s="31" t="s">
        <v>19</v>
      </c>
      <c r="D106" s="31" t="s">
        <v>18</v>
      </c>
      <c r="E106" s="31" t="s">
        <v>48</v>
      </c>
      <c r="F106" s="31"/>
      <c r="G106" s="32" t="s">
        <v>15</v>
      </c>
      <c r="H106" s="33">
        <v>736.0</v>
      </c>
      <c r="I106" s="33">
        <v>579.0</v>
      </c>
      <c r="J106" s="33">
        <v>355.0</v>
      </c>
      <c r="K106" s="33">
        <v>224.0</v>
      </c>
      <c r="L106" s="33">
        <v>157.0</v>
      </c>
      <c r="M106" s="33">
        <v>1645.0</v>
      </c>
      <c r="N106" s="33">
        <v>1426.0</v>
      </c>
      <c r="O106" s="33">
        <v>1174.0</v>
      </c>
      <c r="P106" s="33">
        <v>252.0</v>
      </c>
      <c r="Q106" s="33">
        <v>219.0</v>
      </c>
      <c r="R106" s="34">
        <v>78.6684783</v>
      </c>
      <c r="S106" s="34">
        <v>48.2336957</v>
      </c>
      <c r="T106" s="34">
        <v>30.4347826</v>
      </c>
      <c r="U106" s="34">
        <v>21.3315217</v>
      </c>
      <c r="V106" s="34">
        <v>86.6869301</v>
      </c>
      <c r="W106" s="34">
        <v>71.3677812</v>
      </c>
      <c r="X106" s="34">
        <v>15.3191489</v>
      </c>
      <c r="Y106" s="34">
        <v>13.3130699</v>
      </c>
    </row>
    <row r="107" ht="15.0" hidden="1" customHeight="1">
      <c r="B107" s="30">
        <v>102.0</v>
      </c>
      <c r="C107" s="31" t="s">
        <v>19</v>
      </c>
      <c r="D107" s="31" t="s">
        <v>18</v>
      </c>
      <c r="E107" s="31" t="s">
        <v>48</v>
      </c>
      <c r="F107" s="31"/>
      <c r="G107" s="32" t="s">
        <v>16</v>
      </c>
      <c r="H107" s="33">
        <v>5638.0</v>
      </c>
      <c r="I107" s="33">
        <v>1943.0</v>
      </c>
      <c r="J107" s="33">
        <v>1116.0</v>
      </c>
      <c r="K107" s="33">
        <v>827.0</v>
      </c>
      <c r="L107" s="33">
        <v>3695.0</v>
      </c>
      <c r="M107" s="33">
        <v>5666.0</v>
      </c>
      <c r="N107" s="33">
        <v>2704.0</v>
      </c>
      <c r="O107" s="33">
        <v>2355.0</v>
      </c>
      <c r="P107" s="33">
        <v>349.0</v>
      </c>
      <c r="Q107" s="33">
        <v>2962.0</v>
      </c>
      <c r="R107" s="34">
        <v>34.4625754</v>
      </c>
      <c r="S107" s="34">
        <v>19.7942533</v>
      </c>
      <c r="T107" s="34">
        <v>14.6683221</v>
      </c>
      <c r="U107" s="34">
        <v>65.5374246</v>
      </c>
      <c r="V107" s="34">
        <v>47.7232616</v>
      </c>
      <c r="W107" s="34">
        <v>41.5637134</v>
      </c>
      <c r="X107" s="34">
        <v>6.1595482</v>
      </c>
      <c r="Y107" s="34">
        <v>52.2767384</v>
      </c>
    </row>
    <row r="108" ht="15.0" customHeight="1">
      <c r="B108" s="35">
        <v>103.0</v>
      </c>
      <c r="C108" s="36" t="s">
        <v>21</v>
      </c>
      <c r="D108" s="36" t="s">
        <v>18</v>
      </c>
      <c r="E108" s="36" t="s">
        <v>48</v>
      </c>
      <c r="F108" s="36" t="s">
        <v>49</v>
      </c>
      <c r="G108" s="36" t="s">
        <v>49</v>
      </c>
      <c r="H108" s="37">
        <v>965.0</v>
      </c>
      <c r="I108" s="37">
        <v>317.0</v>
      </c>
      <c r="J108" s="37">
        <v>154.0</v>
      </c>
      <c r="K108" s="37">
        <v>163.0</v>
      </c>
      <c r="L108" s="37">
        <v>648.0</v>
      </c>
      <c r="M108" s="37">
        <v>1371.0</v>
      </c>
      <c r="N108" s="37">
        <v>861.0</v>
      </c>
      <c r="O108" s="37">
        <v>686.0</v>
      </c>
      <c r="P108" s="37">
        <v>175.0</v>
      </c>
      <c r="Q108" s="37">
        <v>510.0</v>
      </c>
      <c r="R108" s="38">
        <v>32.8497409</v>
      </c>
      <c r="S108" s="38">
        <v>15.9585492</v>
      </c>
      <c r="T108" s="38">
        <v>16.8911917</v>
      </c>
      <c r="U108" s="38">
        <v>67.1502591</v>
      </c>
      <c r="V108" s="38">
        <v>62.8008753</v>
      </c>
      <c r="W108" s="38">
        <v>50.0364697</v>
      </c>
      <c r="X108" s="38">
        <v>12.7644055</v>
      </c>
      <c r="Y108" s="38">
        <v>37.1991247</v>
      </c>
    </row>
    <row r="109" ht="15.0" hidden="1" customHeight="1">
      <c r="B109" s="30">
        <v>104.0</v>
      </c>
      <c r="C109" s="31" t="s">
        <v>21</v>
      </c>
      <c r="D109" s="31" t="s">
        <v>18</v>
      </c>
      <c r="E109" s="31" t="s">
        <v>48</v>
      </c>
      <c r="F109" s="31" t="s">
        <v>49</v>
      </c>
      <c r="G109" s="32" t="s">
        <v>15</v>
      </c>
      <c r="H109" s="33"/>
      <c r="I109" s="33"/>
      <c r="J109" s="33"/>
      <c r="K109" s="33"/>
      <c r="L109" s="33"/>
      <c r="M109" s="33">
        <v>567.0</v>
      </c>
      <c r="N109" s="33">
        <v>510.0</v>
      </c>
      <c r="O109" s="33">
        <v>393.0</v>
      </c>
      <c r="P109" s="33">
        <v>117.0</v>
      </c>
      <c r="Q109" s="33">
        <v>57.0</v>
      </c>
      <c r="R109" s="34"/>
      <c r="S109" s="34"/>
      <c r="T109" s="34"/>
      <c r="U109" s="34"/>
      <c r="V109" s="34">
        <v>89.9470899</v>
      </c>
      <c r="W109" s="34">
        <v>69.3121693</v>
      </c>
      <c r="X109" s="34">
        <v>20.6349206</v>
      </c>
      <c r="Y109" s="34">
        <v>10.0529101</v>
      </c>
    </row>
    <row r="110" ht="15.0" hidden="1" customHeight="1">
      <c r="B110" s="30">
        <v>105.0</v>
      </c>
      <c r="C110" s="31" t="s">
        <v>21</v>
      </c>
      <c r="D110" s="31" t="s">
        <v>18</v>
      </c>
      <c r="E110" s="31" t="s">
        <v>48</v>
      </c>
      <c r="F110" s="31" t="s">
        <v>49</v>
      </c>
      <c r="G110" s="32" t="s">
        <v>16</v>
      </c>
      <c r="H110" s="33">
        <v>965.0</v>
      </c>
      <c r="I110" s="33">
        <v>317.0</v>
      </c>
      <c r="J110" s="33">
        <v>154.0</v>
      </c>
      <c r="K110" s="33">
        <v>163.0</v>
      </c>
      <c r="L110" s="33">
        <v>648.0</v>
      </c>
      <c r="M110" s="33">
        <v>804.0</v>
      </c>
      <c r="N110" s="33">
        <v>351.0</v>
      </c>
      <c r="O110" s="33">
        <v>293.0</v>
      </c>
      <c r="P110" s="33">
        <v>58.0</v>
      </c>
      <c r="Q110" s="33">
        <v>453.0</v>
      </c>
      <c r="R110" s="34">
        <v>32.8497409</v>
      </c>
      <c r="S110" s="34">
        <v>15.9585492</v>
      </c>
      <c r="T110" s="34">
        <v>16.8911917</v>
      </c>
      <c r="U110" s="34">
        <v>67.1502591</v>
      </c>
      <c r="V110" s="34">
        <v>43.6567164</v>
      </c>
      <c r="W110" s="34">
        <v>36.4427861</v>
      </c>
      <c r="X110" s="34">
        <v>7.2139303</v>
      </c>
      <c r="Y110" s="34">
        <v>56.3432836</v>
      </c>
    </row>
    <row r="111" ht="15.0" customHeight="1">
      <c r="B111" s="35">
        <v>106.0</v>
      </c>
      <c r="C111" s="36" t="s">
        <v>21</v>
      </c>
      <c r="D111" s="36" t="s">
        <v>18</v>
      </c>
      <c r="E111" s="36" t="s">
        <v>48</v>
      </c>
      <c r="F111" s="36" t="s">
        <v>50</v>
      </c>
      <c r="G111" s="36" t="s">
        <v>50</v>
      </c>
      <c r="H111" s="37">
        <v>4347.0</v>
      </c>
      <c r="I111" s="37">
        <v>1655.0</v>
      </c>
      <c r="J111" s="37">
        <v>1008.0</v>
      </c>
      <c r="K111" s="37">
        <v>647.0</v>
      </c>
      <c r="L111" s="37">
        <v>2692.0</v>
      </c>
      <c r="M111" s="37">
        <v>4660.0</v>
      </c>
      <c r="N111" s="37">
        <v>2306.0</v>
      </c>
      <c r="O111" s="37">
        <v>2032.0</v>
      </c>
      <c r="P111" s="37">
        <v>274.0</v>
      </c>
      <c r="Q111" s="37">
        <v>2354.0</v>
      </c>
      <c r="R111" s="38">
        <v>38.0722337</v>
      </c>
      <c r="S111" s="38">
        <v>23.1884058</v>
      </c>
      <c r="T111" s="38">
        <v>14.8838279</v>
      </c>
      <c r="U111" s="38">
        <v>61.9277663</v>
      </c>
      <c r="V111" s="38">
        <v>49.4849785</v>
      </c>
      <c r="W111" s="38">
        <v>43.6051502</v>
      </c>
      <c r="X111" s="38">
        <v>5.8798283</v>
      </c>
      <c r="Y111" s="38">
        <v>50.5150215</v>
      </c>
    </row>
    <row r="112" ht="15.0" hidden="1" customHeight="1">
      <c r="B112" s="30">
        <v>107.0</v>
      </c>
      <c r="C112" s="31" t="s">
        <v>21</v>
      </c>
      <c r="D112" s="31" t="s">
        <v>18</v>
      </c>
      <c r="E112" s="31" t="s">
        <v>48</v>
      </c>
      <c r="F112" s="31" t="s">
        <v>50</v>
      </c>
      <c r="G112" s="32" t="s">
        <v>15</v>
      </c>
      <c r="H112" s="33">
        <v>736.0</v>
      </c>
      <c r="I112" s="33">
        <v>579.0</v>
      </c>
      <c r="J112" s="33">
        <v>355.0</v>
      </c>
      <c r="K112" s="33">
        <v>224.0</v>
      </c>
      <c r="L112" s="33">
        <v>157.0</v>
      </c>
      <c r="M112" s="33">
        <v>1078.0</v>
      </c>
      <c r="N112" s="33">
        <v>916.0</v>
      </c>
      <c r="O112" s="33">
        <v>781.0</v>
      </c>
      <c r="P112" s="33">
        <v>135.0</v>
      </c>
      <c r="Q112" s="33">
        <v>162.0</v>
      </c>
      <c r="R112" s="34">
        <v>78.6684783</v>
      </c>
      <c r="S112" s="34">
        <v>48.2336957</v>
      </c>
      <c r="T112" s="34">
        <v>30.4347826</v>
      </c>
      <c r="U112" s="34">
        <v>21.3315217</v>
      </c>
      <c r="V112" s="34">
        <v>84.9721707</v>
      </c>
      <c r="W112" s="34">
        <v>72.4489796</v>
      </c>
      <c r="X112" s="34">
        <v>12.5231911</v>
      </c>
      <c r="Y112" s="34">
        <v>15.0278293</v>
      </c>
    </row>
    <row r="113" ht="15.0" hidden="1" customHeight="1">
      <c r="B113" s="30">
        <v>108.0</v>
      </c>
      <c r="C113" s="31" t="s">
        <v>21</v>
      </c>
      <c r="D113" s="31" t="s">
        <v>18</v>
      </c>
      <c r="E113" s="31" t="s">
        <v>48</v>
      </c>
      <c r="F113" s="31" t="s">
        <v>50</v>
      </c>
      <c r="G113" s="32" t="s">
        <v>16</v>
      </c>
      <c r="H113" s="33">
        <v>3611.0</v>
      </c>
      <c r="I113" s="33">
        <v>1076.0</v>
      </c>
      <c r="J113" s="33">
        <v>653.0</v>
      </c>
      <c r="K113" s="33">
        <v>423.0</v>
      </c>
      <c r="L113" s="33">
        <v>2535.0</v>
      </c>
      <c r="M113" s="33">
        <v>3582.0</v>
      </c>
      <c r="N113" s="33">
        <v>1390.0</v>
      </c>
      <c r="O113" s="33">
        <v>1251.0</v>
      </c>
      <c r="P113" s="33">
        <v>139.0</v>
      </c>
      <c r="Q113" s="33">
        <v>2192.0</v>
      </c>
      <c r="R113" s="34">
        <v>29.7978399</v>
      </c>
      <c r="S113" s="34">
        <v>18.0836333</v>
      </c>
      <c r="T113" s="34">
        <v>11.7142066</v>
      </c>
      <c r="U113" s="34">
        <v>70.2021601</v>
      </c>
      <c r="V113" s="34">
        <v>38.8051368</v>
      </c>
      <c r="W113" s="34">
        <v>34.9246231</v>
      </c>
      <c r="X113" s="34">
        <v>3.8805137</v>
      </c>
      <c r="Y113" s="34">
        <v>61.1948632</v>
      </c>
    </row>
    <row r="114" ht="15.0" customHeight="1">
      <c r="B114" s="35">
        <v>109.0</v>
      </c>
      <c r="C114" s="36" t="s">
        <v>21</v>
      </c>
      <c r="D114" s="36" t="s">
        <v>18</v>
      </c>
      <c r="E114" s="36" t="s">
        <v>48</v>
      </c>
      <c r="F114" s="36" t="s">
        <v>51</v>
      </c>
      <c r="G114" s="36" t="s">
        <v>51</v>
      </c>
      <c r="H114" s="37">
        <v>1062.0</v>
      </c>
      <c r="I114" s="37">
        <v>550.0</v>
      </c>
      <c r="J114" s="37">
        <v>309.0</v>
      </c>
      <c r="K114" s="37">
        <v>241.0</v>
      </c>
      <c r="L114" s="37">
        <v>512.0</v>
      </c>
      <c r="M114" s="37">
        <v>1280.0</v>
      </c>
      <c r="N114" s="37">
        <v>963.0</v>
      </c>
      <c r="O114" s="37">
        <v>811.0</v>
      </c>
      <c r="P114" s="37">
        <v>152.0</v>
      </c>
      <c r="Q114" s="37">
        <v>317.0</v>
      </c>
      <c r="R114" s="38">
        <v>51.7890772</v>
      </c>
      <c r="S114" s="38">
        <v>29.0960452</v>
      </c>
      <c r="T114" s="38">
        <v>22.693032</v>
      </c>
      <c r="U114" s="38">
        <v>48.2109228</v>
      </c>
      <c r="V114" s="38">
        <v>75.234375</v>
      </c>
      <c r="W114" s="38">
        <v>63.359375</v>
      </c>
      <c r="X114" s="38">
        <v>11.875</v>
      </c>
      <c r="Y114" s="38">
        <v>24.765625</v>
      </c>
    </row>
    <row r="115" ht="15.0" hidden="1" customHeight="1">
      <c r="B115" s="30">
        <v>110.0</v>
      </c>
      <c r="C115" s="31" t="s">
        <v>21</v>
      </c>
      <c r="D115" s="31" t="s">
        <v>18</v>
      </c>
      <c r="E115" s="31" t="s">
        <v>48</v>
      </c>
      <c r="F115" s="31" t="s">
        <v>51</v>
      </c>
      <c r="G115" s="32" t="s">
        <v>15</v>
      </c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4"/>
      <c r="S115" s="34"/>
      <c r="T115" s="34"/>
      <c r="U115" s="34"/>
      <c r="V115" s="34"/>
      <c r="W115" s="34"/>
      <c r="X115" s="34"/>
      <c r="Y115" s="34"/>
    </row>
    <row r="116" ht="15.0" hidden="1" customHeight="1">
      <c r="B116" s="30">
        <v>111.0</v>
      </c>
      <c r="C116" s="31" t="s">
        <v>21</v>
      </c>
      <c r="D116" s="31" t="s">
        <v>18</v>
      </c>
      <c r="E116" s="31" t="s">
        <v>48</v>
      </c>
      <c r="F116" s="31" t="s">
        <v>51</v>
      </c>
      <c r="G116" s="32" t="s">
        <v>16</v>
      </c>
      <c r="H116" s="33">
        <v>1062.0</v>
      </c>
      <c r="I116" s="33">
        <v>550.0</v>
      </c>
      <c r="J116" s="33">
        <v>309.0</v>
      </c>
      <c r="K116" s="33">
        <v>241.0</v>
      </c>
      <c r="L116" s="33">
        <v>512.0</v>
      </c>
      <c r="M116" s="33">
        <v>1280.0</v>
      </c>
      <c r="N116" s="33">
        <v>963.0</v>
      </c>
      <c r="O116" s="33">
        <v>811.0</v>
      </c>
      <c r="P116" s="33">
        <v>152.0</v>
      </c>
      <c r="Q116" s="33">
        <v>317.0</v>
      </c>
      <c r="R116" s="34">
        <v>51.7890772</v>
      </c>
      <c r="S116" s="34">
        <v>29.0960452</v>
      </c>
      <c r="T116" s="34">
        <v>22.693032</v>
      </c>
      <c r="U116" s="34">
        <v>48.2109228</v>
      </c>
      <c r="V116" s="34">
        <v>75.234375</v>
      </c>
      <c r="W116" s="34">
        <v>63.359375</v>
      </c>
      <c r="X116" s="34">
        <v>11.875</v>
      </c>
      <c r="Y116" s="34">
        <v>24.765625</v>
      </c>
    </row>
    <row r="117" ht="15.0" hidden="1" customHeight="1">
      <c r="B117" s="26">
        <v>112.0</v>
      </c>
      <c r="C117" s="27" t="s">
        <v>19</v>
      </c>
      <c r="D117" s="27" t="s">
        <v>18</v>
      </c>
      <c r="E117" s="27" t="s">
        <v>52</v>
      </c>
      <c r="F117" s="27"/>
      <c r="G117" s="27" t="s">
        <v>52</v>
      </c>
      <c r="H117" s="28">
        <v>4886.0</v>
      </c>
      <c r="I117" s="28">
        <v>2792.0</v>
      </c>
      <c r="J117" s="28">
        <v>1257.0</v>
      </c>
      <c r="K117" s="28">
        <v>1535.0</v>
      </c>
      <c r="L117" s="28">
        <v>2094.0</v>
      </c>
      <c r="M117" s="28">
        <v>6242.0</v>
      </c>
      <c r="N117" s="28">
        <v>4697.0</v>
      </c>
      <c r="O117" s="28">
        <v>3772.0</v>
      </c>
      <c r="P117" s="28">
        <v>925.0</v>
      </c>
      <c r="Q117" s="28">
        <v>1545.0</v>
      </c>
      <c r="R117" s="29">
        <v>57.1428571</v>
      </c>
      <c r="S117" s="29">
        <v>25.7265657</v>
      </c>
      <c r="T117" s="29">
        <v>31.4162914</v>
      </c>
      <c r="U117" s="29">
        <v>42.8571429</v>
      </c>
      <c r="V117" s="29">
        <v>75.2483178</v>
      </c>
      <c r="W117" s="29">
        <v>60.4293496</v>
      </c>
      <c r="X117" s="29">
        <v>14.8189683</v>
      </c>
      <c r="Y117" s="29">
        <v>24.7516822</v>
      </c>
    </row>
    <row r="118" ht="15.0" hidden="1" customHeight="1">
      <c r="B118" s="30">
        <v>113.0</v>
      </c>
      <c r="C118" s="31" t="s">
        <v>19</v>
      </c>
      <c r="D118" s="31" t="s">
        <v>18</v>
      </c>
      <c r="E118" s="31" t="s">
        <v>52</v>
      </c>
      <c r="F118" s="31"/>
      <c r="G118" s="32" t="s">
        <v>15</v>
      </c>
      <c r="H118" s="33">
        <v>932.0</v>
      </c>
      <c r="I118" s="33">
        <v>840.0</v>
      </c>
      <c r="J118" s="33">
        <v>274.0</v>
      </c>
      <c r="K118" s="33">
        <v>566.0</v>
      </c>
      <c r="L118" s="33">
        <v>92.0</v>
      </c>
      <c r="M118" s="33">
        <v>1162.0</v>
      </c>
      <c r="N118" s="33">
        <v>1114.0</v>
      </c>
      <c r="O118" s="33">
        <v>666.0</v>
      </c>
      <c r="P118" s="33">
        <v>448.0</v>
      </c>
      <c r="Q118" s="33">
        <v>48.0</v>
      </c>
      <c r="R118" s="34">
        <v>90.1287554</v>
      </c>
      <c r="S118" s="34">
        <v>29.3991416</v>
      </c>
      <c r="T118" s="34">
        <v>60.7296137</v>
      </c>
      <c r="U118" s="34">
        <v>9.8712446</v>
      </c>
      <c r="V118" s="34">
        <v>95.869191</v>
      </c>
      <c r="W118" s="34">
        <v>57.3149742</v>
      </c>
      <c r="X118" s="34">
        <v>38.5542169</v>
      </c>
      <c r="Y118" s="34">
        <v>4.130809</v>
      </c>
    </row>
    <row r="119" ht="15.0" hidden="1" customHeight="1">
      <c r="B119" s="30">
        <v>114.0</v>
      </c>
      <c r="C119" s="31" t="s">
        <v>19</v>
      </c>
      <c r="D119" s="31" t="s">
        <v>18</v>
      </c>
      <c r="E119" s="31" t="s">
        <v>52</v>
      </c>
      <c r="F119" s="31"/>
      <c r="G119" s="32" t="s">
        <v>16</v>
      </c>
      <c r="H119" s="33">
        <v>3954.0</v>
      </c>
      <c r="I119" s="33">
        <v>1952.0</v>
      </c>
      <c r="J119" s="33">
        <v>983.0</v>
      </c>
      <c r="K119" s="33">
        <v>969.0</v>
      </c>
      <c r="L119" s="33">
        <v>2002.0</v>
      </c>
      <c r="M119" s="33">
        <v>5080.0</v>
      </c>
      <c r="N119" s="33">
        <v>3583.0</v>
      </c>
      <c r="O119" s="33">
        <v>3106.0</v>
      </c>
      <c r="P119" s="33">
        <v>477.0</v>
      </c>
      <c r="Q119" s="33">
        <v>1497.0</v>
      </c>
      <c r="R119" s="34">
        <v>49.3677289</v>
      </c>
      <c r="S119" s="34">
        <v>24.8609004</v>
      </c>
      <c r="T119" s="34">
        <v>24.5068285</v>
      </c>
      <c r="U119" s="34">
        <v>50.6322711</v>
      </c>
      <c r="V119" s="34">
        <v>70.5314961</v>
      </c>
      <c r="W119" s="34">
        <v>61.1417323</v>
      </c>
      <c r="X119" s="34">
        <v>9.3897638</v>
      </c>
      <c r="Y119" s="34">
        <v>29.4685039</v>
      </c>
    </row>
    <row r="120" ht="15.0" customHeight="1">
      <c r="B120" s="35">
        <v>115.0</v>
      </c>
      <c r="C120" s="36" t="s">
        <v>21</v>
      </c>
      <c r="D120" s="36" t="s">
        <v>18</v>
      </c>
      <c r="E120" s="36" t="s">
        <v>52</v>
      </c>
      <c r="F120" s="36" t="s">
        <v>53</v>
      </c>
      <c r="G120" s="36" t="s">
        <v>53</v>
      </c>
      <c r="H120" s="37">
        <v>2532.0</v>
      </c>
      <c r="I120" s="37">
        <v>1349.0</v>
      </c>
      <c r="J120" s="37">
        <v>583.0</v>
      </c>
      <c r="K120" s="37">
        <v>766.0</v>
      </c>
      <c r="L120" s="37">
        <v>1183.0</v>
      </c>
      <c r="M120" s="37">
        <v>3136.0</v>
      </c>
      <c r="N120" s="37">
        <v>2162.0</v>
      </c>
      <c r="O120" s="37">
        <v>1539.0</v>
      </c>
      <c r="P120" s="37">
        <v>623.0</v>
      </c>
      <c r="Q120" s="37">
        <v>974.0</v>
      </c>
      <c r="R120" s="38">
        <v>53.2780411</v>
      </c>
      <c r="S120" s="38">
        <v>23.0252765</v>
      </c>
      <c r="T120" s="38">
        <v>30.2527646</v>
      </c>
      <c r="U120" s="38">
        <v>46.7219589</v>
      </c>
      <c r="V120" s="38">
        <v>68.9413265</v>
      </c>
      <c r="W120" s="38">
        <v>49.0752551</v>
      </c>
      <c r="X120" s="38">
        <v>19.8660714</v>
      </c>
      <c r="Y120" s="38">
        <v>31.0586735</v>
      </c>
    </row>
    <row r="121" ht="15.0" hidden="1" customHeight="1">
      <c r="B121" s="30">
        <v>116.0</v>
      </c>
      <c r="C121" s="31" t="s">
        <v>21</v>
      </c>
      <c r="D121" s="31" t="s">
        <v>18</v>
      </c>
      <c r="E121" s="31" t="s">
        <v>52</v>
      </c>
      <c r="F121" s="31" t="s">
        <v>53</v>
      </c>
      <c r="G121" s="32" t="s">
        <v>15</v>
      </c>
      <c r="H121" s="33">
        <v>932.0</v>
      </c>
      <c r="I121" s="33">
        <v>840.0</v>
      </c>
      <c r="J121" s="33">
        <v>274.0</v>
      </c>
      <c r="K121" s="33">
        <v>566.0</v>
      </c>
      <c r="L121" s="33">
        <v>92.0</v>
      </c>
      <c r="M121" s="33">
        <v>1162.0</v>
      </c>
      <c r="N121" s="33">
        <v>1114.0</v>
      </c>
      <c r="O121" s="33">
        <v>666.0</v>
      </c>
      <c r="P121" s="33">
        <v>448.0</v>
      </c>
      <c r="Q121" s="33">
        <v>48.0</v>
      </c>
      <c r="R121" s="34">
        <v>90.1287554</v>
      </c>
      <c r="S121" s="34">
        <v>29.3991416</v>
      </c>
      <c r="T121" s="34">
        <v>60.7296137</v>
      </c>
      <c r="U121" s="34">
        <v>9.8712446</v>
      </c>
      <c r="V121" s="34">
        <v>95.869191</v>
      </c>
      <c r="W121" s="34">
        <v>57.3149742</v>
      </c>
      <c r="X121" s="34">
        <v>38.5542169</v>
      </c>
      <c r="Y121" s="34">
        <v>4.130809</v>
      </c>
    </row>
    <row r="122" ht="15.0" hidden="1" customHeight="1">
      <c r="B122" s="30">
        <v>117.0</v>
      </c>
      <c r="C122" s="31" t="s">
        <v>21</v>
      </c>
      <c r="D122" s="31" t="s">
        <v>18</v>
      </c>
      <c r="E122" s="31" t="s">
        <v>52</v>
      </c>
      <c r="F122" s="31" t="s">
        <v>53</v>
      </c>
      <c r="G122" s="32" t="s">
        <v>16</v>
      </c>
      <c r="H122" s="33">
        <v>1600.0</v>
      </c>
      <c r="I122" s="33">
        <v>509.0</v>
      </c>
      <c r="J122" s="33">
        <v>309.0</v>
      </c>
      <c r="K122" s="33">
        <v>200.0</v>
      </c>
      <c r="L122" s="33">
        <v>1091.0</v>
      </c>
      <c r="M122" s="33">
        <v>1974.0</v>
      </c>
      <c r="N122" s="33">
        <v>1048.0</v>
      </c>
      <c r="O122" s="33">
        <v>873.0</v>
      </c>
      <c r="P122" s="33">
        <v>175.0</v>
      </c>
      <c r="Q122" s="33">
        <v>926.0</v>
      </c>
      <c r="R122" s="34">
        <v>31.8125</v>
      </c>
      <c r="S122" s="34">
        <v>19.3125</v>
      </c>
      <c r="T122" s="34">
        <v>12.5</v>
      </c>
      <c r="U122" s="34">
        <v>68.1875</v>
      </c>
      <c r="V122" s="34">
        <v>53.0901722</v>
      </c>
      <c r="W122" s="34">
        <v>44.224924</v>
      </c>
      <c r="X122" s="34">
        <v>8.8652482</v>
      </c>
      <c r="Y122" s="34">
        <v>46.9098278</v>
      </c>
    </row>
    <row r="123" ht="15.0" customHeight="1">
      <c r="B123" s="35">
        <v>118.0</v>
      </c>
      <c r="C123" s="36" t="s">
        <v>21</v>
      </c>
      <c r="D123" s="36" t="s">
        <v>18</v>
      </c>
      <c r="E123" s="36" t="s">
        <v>52</v>
      </c>
      <c r="F123" s="36" t="s">
        <v>54</v>
      </c>
      <c r="G123" s="36" t="s">
        <v>54</v>
      </c>
      <c r="H123" s="37">
        <v>603.0</v>
      </c>
      <c r="I123" s="37">
        <v>257.0</v>
      </c>
      <c r="J123" s="37">
        <v>150.0</v>
      </c>
      <c r="K123" s="37">
        <v>107.0</v>
      </c>
      <c r="L123" s="37">
        <v>346.0</v>
      </c>
      <c r="M123" s="37">
        <v>818.0</v>
      </c>
      <c r="N123" s="37">
        <v>629.0</v>
      </c>
      <c r="O123" s="37">
        <v>549.0</v>
      </c>
      <c r="P123" s="37">
        <v>80.0</v>
      </c>
      <c r="Q123" s="37">
        <v>189.0</v>
      </c>
      <c r="R123" s="38">
        <v>42.6202322</v>
      </c>
      <c r="S123" s="38">
        <v>24.8756219</v>
      </c>
      <c r="T123" s="38">
        <v>17.7446103</v>
      </c>
      <c r="U123" s="38">
        <v>57.3797678</v>
      </c>
      <c r="V123" s="38">
        <v>76.8948655</v>
      </c>
      <c r="W123" s="38">
        <v>67.1149144</v>
      </c>
      <c r="X123" s="38">
        <v>9.7799511</v>
      </c>
      <c r="Y123" s="38">
        <v>23.1051345</v>
      </c>
    </row>
    <row r="124" ht="15.0" hidden="1" customHeight="1">
      <c r="B124" s="30">
        <v>119.0</v>
      </c>
      <c r="C124" s="31" t="s">
        <v>21</v>
      </c>
      <c r="D124" s="31" t="s">
        <v>18</v>
      </c>
      <c r="E124" s="31" t="s">
        <v>52</v>
      </c>
      <c r="F124" s="31" t="s">
        <v>54</v>
      </c>
      <c r="G124" s="32" t="s">
        <v>15</v>
      </c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4"/>
      <c r="S124" s="34"/>
      <c r="T124" s="34"/>
      <c r="U124" s="34"/>
      <c r="V124" s="34"/>
      <c r="W124" s="34"/>
      <c r="X124" s="34"/>
      <c r="Y124" s="34"/>
    </row>
    <row r="125" ht="15.0" hidden="1" customHeight="1">
      <c r="B125" s="30">
        <v>120.0</v>
      </c>
      <c r="C125" s="31" t="s">
        <v>21</v>
      </c>
      <c r="D125" s="31" t="s">
        <v>18</v>
      </c>
      <c r="E125" s="31" t="s">
        <v>52</v>
      </c>
      <c r="F125" s="31" t="s">
        <v>54</v>
      </c>
      <c r="G125" s="32" t="s">
        <v>16</v>
      </c>
      <c r="H125" s="33">
        <v>603.0</v>
      </c>
      <c r="I125" s="33">
        <v>257.0</v>
      </c>
      <c r="J125" s="33">
        <v>150.0</v>
      </c>
      <c r="K125" s="33">
        <v>107.0</v>
      </c>
      <c r="L125" s="33">
        <v>346.0</v>
      </c>
      <c r="M125" s="33">
        <v>818.0</v>
      </c>
      <c r="N125" s="33">
        <v>629.0</v>
      </c>
      <c r="O125" s="33">
        <v>549.0</v>
      </c>
      <c r="P125" s="33">
        <v>80.0</v>
      </c>
      <c r="Q125" s="33">
        <v>189.0</v>
      </c>
      <c r="R125" s="34">
        <v>42.6202322</v>
      </c>
      <c r="S125" s="34">
        <v>24.8756219</v>
      </c>
      <c r="T125" s="34">
        <v>17.7446103</v>
      </c>
      <c r="U125" s="34">
        <v>57.3797678</v>
      </c>
      <c r="V125" s="34">
        <v>76.8948655</v>
      </c>
      <c r="W125" s="34">
        <v>67.1149144</v>
      </c>
      <c r="X125" s="34">
        <v>9.7799511</v>
      </c>
      <c r="Y125" s="34">
        <v>23.1051345</v>
      </c>
    </row>
    <row r="126" ht="15.0" customHeight="1">
      <c r="B126" s="35">
        <v>121.0</v>
      </c>
      <c r="C126" s="36" t="s">
        <v>21</v>
      </c>
      <c r="D126" s="36" t="s">
        <v>18</v>
      </c>
      <c r="E126" s="36" t="s">
        <v>52</v>
      </c>
      <c r="F126" s="36" t="s">
        <v>55</v>
      </c>
      <c r="G126" s="36" t="s">
        <v>55</v>
      </c>
      <c r="H126" s="37">
        <v>1751.0</v>
      </c>
      <c r="I126" s="37">
        <v>1186.0</v>
      </c>
      <c r="J126" s="37">
        <v>524.0</v>
      </c>
      <c r="K126" s="37">
        <v>662.0</v>
      </c>
      <c r="L126" s="37">
        <v>565.0</v>
      </c>
      <c r="M126" s="37">
        <v>2288.0</v>
      </c>
      <c r="N126" s="37">
        <v>1906.0</v>
      </c>
      <c r="O126" s="37">
        <v>1684.0</v>
      </c>
      <c r="P126" s="37">
        <v>222.0</v>
      </c>
      <c r="Q126" s="37">
        <v>382.0</v>
      </c>
      <c r="R126" s="38">
        <v>67.7327242</v>
      </c>
      <c r="S126" s="38">
        <v>29.9257567</v>
      </c>
      <c r="T126" s="38">
        <v>37.8069674</v>
      </c>
      <c r="U126" s="38">
        <v>32.2672758</v>
      </c>
      <c r="V126" s="38">
        <v>83.3041958</v>
      </c>
      <c r="W126" s="38">
        <v>73.6013986</v>
      </c>
      <c r="X126" s="38">
        <v>9.7027972</v>
      </c>
      <c r="Y126" s="38">
        <v>16.6958042</v>
      </c>
    </row>
    <row r="127" ht="15.0" hidden="1" customHeight="1">
      <c r="B127" s="30">
        <v>122.0</v>
      </c>
      <c r="C127" s="31" t="s">
        <v>21</v>
      </c>
      <c r="D127" s="31" t="s">
        <v>18</v>
      </c>
      <c r="E127" s="31" t="s">
        <v>52</v>
      </c>
      <c r="F127" s="31" t="s">
        <v>55</v>
      </c>
      <c r="G127" s="32" t="s">
        <v>15</v>
      </c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4"/>
      <c r="S127" s="34"/>
      <c r="T127" s="34"/>
      <c r="U127" s="34"/>
      <c r="V127" s="34"/>
      <c r="W127" s="34"/>
      <c r="X127" s="34"/>
      <c r="Y127" s="34"/>
    </row>
    <row r="128" ht="15.0" hidden="1" customHeight="1">
      <c r="B128" s="30">
        <v>123.0</v>
      </c>
      <c r="C128" s="31" t="s">
        <v>21</v>
      </c>
      <c r="D128" s="31" t="s">
        <v>18</v>
      </c>
      <c r="E128" s="31" t="s">
        <v>52</v>
      </c>
      <c r="F128" s="31" t="s">
        <v>55</v>
      </c>
      <c r="G128" s="32" t="s">
        <v>16</v>
      </c>
      <c r="H128" s="33">
        <v>1751.0</v>
      </c>
      <c r="I128" s="33">
        <v>1186.0</v>
      </c>
      <c r="J128" s="33">
        <v>524.0</v>
      </c>
      <c r="K128" s="33">
        <v>662.0</v>
      </c>
      <c r="L128" s="33">
        <v>565.0</v>
      </c>
      <c r="M128" s="33">
        <v>2288.0</v>
      </c>
      <c r="N128" s="33">
        <v>1906.0</v>
      </c>
      <c r="O128" s="33">
        <v>1684.0</v>
      </c>
      <c r="P128" s="33">
        <v>222.0</v>
      </c>
      <c r="Q128" s="33">
        <v>382.0</v>
      </c>
      <c r="R128" s="34">
        <v>67.7327242</v>
      </c>
      <c r="S128" s="34">
        <v>29.9257567</v>
      </c>
      <c r="T128" s="34">
        <v>37.8069674</v>
      </c>
      <c r="U128" s="34">
        <v>32.2672758</v>
      </c>
      <c r="V128" s="34">
        <v>83.3041958</v>
      </c>
      <c r="W128" s="34">
        <v>73.6013986</v>
      </c>
      <c r="X128" s="34">
        <v>9.7027972</v>
      </c>
      <c r="Y128" s="34">
        <v>16.6958042</v>
      </c>
    </row>
    <row r="129" ht="15.0" hidden="1" customHeight="1">
      <c r="B129" s="18">
        <v>124.0</v>
      </c>
      <c r="C129" s="19" t="s">
        <v>17</v>
      </c>
      <c r="D129" s="19" t="s">
        <v>56</v>
      </c>
      <c r="E129" s="19"/>
      <c r="F129" s="19"/>
      <c r="G129" s="19" t="s">
        <v>56</v>
      </c>
      <c r="H129" s="20">
        <v>852573.0</v>
      </c>
      <c r="I129" s="20">
        <v>556000.0</v>
      </c>
      <c r="J129" s="20">
        <v>328233.0</v>
      </c>
      <c r="K129" s="20">
        <v>227767.0</v>
      </c>
      <c r="L129" s="20">
        <v>296573.0</v>
      </c>
      <c r="M129" s="20">
        <v>1069838.0</v>
      </c>
      <c r="N129" s="20">
        <v>822284.0</v>
      </c>
      <c r="O129" s="20">
        <v>704654.0</v>
      </c>
      <c r="P129" s="20">
        <v>117630.0</v>
      </c>
      <c r="Q129" s="20">
        <v>247554.0</v>
      </c>
      <c r="R129" s="21">
        <v>65.214357</v>
      </c>
      <c r="S129" s="21">
        <v>38.499108</v>
      </c>
      <c r="T129" s="21">
        <v>26.715249</v>
      </c>
      <c r="U129" s="21">
        <v>34.785643</v>
      </c>
      <c r="V129" s="21">
        <v>76.8606088</v>
      </c>
      <c r="W129" s="21">
        <v>65.8654862</v>
      </c>
      <c r="X129" s="21">
        <v>10.9951226</v>
      </c>
      <c r="Y129" s="21">
        <v>23.1393912</v>
      </c>
    </row>
    <row r="130" ht="15.0" hidden="1" customHeight="1">
      <c r="B130" s="22">
        <v>125.0</v>
      </c>
      <c r="C130" s="23" t="s">
        <v>17</v>
      </c>
      <c r="D130" s="39" t="s">
        <v>56</v>
      </c>
      <c r="E130" s="39"/>
      <c r="F130" s="39"/>
      <c r="G130" s="23" t="s">
        <v>15</v>
      </c>
      <c r="H130" s="24">
        <v>543729.0</v>
      </c>
      <c r="I130" s="24">
        <v>449427.0</v>
      </c>
      <c r="J130" s="24">
        <v>266776.0</v>
      </c>
      <c r="K130" s="24">
        <v>182651.0</v>
      </c>
      <c r="L130" s="24">
        <v>94302.0</v>
      </c>
      <c r="M130" s="24">
        <v>664447.0</v>
      </c>
      <c r="N130" s="24">
        <v>612478.0</v>
      </c>
      <c r="O130" s="24">
        <v>528255.0</v>
      </c>
      <c r="P130" s="24">
        <v>84223.0</v>
      </c>
      <c r="Q130" s="24">
        <v>51969.0</v>
      </c>
      <c r="R130" s="25">
        <v>82.6564336</v>
      </c>
      <c r="S130" s="25">
        <v>49.0641478</v>
      </c>
      <c r="T130" s="25">
        <v>33.5922859</v>
      </c>
      <c r="U130" s="25">
        <v>17.3435664</v>
      </c>
      <c r="V130" s="25">
        <v>92.1786087</v>
      </c>
      <c r="W130" s="25">
        <v>79.5029551</v>
      </c>
      <c r="X130" s="25">
        <v>12.6756536</v>
      </c>
      <c r="Y130" s="25">
        <v>7.8213913</v>
      </c>
    </row>
    <row r="131" ht="15.0" hidden="1" customHeight="1">
      <c r="B131" s="22">
        <v>126.0</v>
      </c>
      <c r="C131" s="23" t="s">
        <v>17</v>
      </c>
      <c r="D131" s="39" t="s">
        <v>56</v>
      </c>
      <c r="E131" s="39"/>
      <c r="F131" s="39"/>
      <c r="G131" s="23" t="s">
        <v>16</v>
      </c>
      <c r="H131" s="24">
        <v>308844.0</v>
      </c>
      <c r="I131" s="24">
        <v>106573.0</v>
      </c>
      <c r="J131" s="24">
        <v>61457.0</v>
      </c>
      <c r="K131" s="24">
        <v>45116.0</v>
      </c>
      <c r="L131" s="24">
        <v>202271.0</v>
      </c>
      <c r="M131" s="24">
        <v>405391.0</v>
      </c>
      <c r="N131" s="24">
        <v>209806.0</v>
      </c>
      <c r="O131" s="24">
        <v>176399.0</v>
      </c>
      <c r="P131" s="24">
        <v>33407.0</v>
      </c>
      <c r="Q131" s="24">
        <v>195585.0</v>
      </c>
      <c r="R131" s="25">
        <v>34.5070651</v>
      </c>
      <c r="S131" s="25">
        <v>19.8990429</v>
      </c>
      <c r="T131" s="25">
        <v>14.6080222</v>
      </c>
      <c r="U131" s="25">
        <v>65.4929349</v>
      </c>
      <c r="V131" s="25">
        <v>51.7539857</v>
      </c>
      <c r="W131" s="25">
        <v>43.5132995</v>
      </c>
      <c r="X131" s="25">
        <v>8.2406862</v>
      </c>
      <c r="Y131" s="25">
        <v>48.2460143</v>
      </c>
    </row>
    <row r="132" ht="15.0" hidden="1" customHeight="1">
      <c r="B132" s="26">
        <v>127.0</v>
      </c>
      <c r="C132" s="27" t="s">
        <v>19</v>
      </c>
      <c r="D132" s="40" t="s">
        <v>56</v>
      </c>
      <c r="E132" s="40" t="s">
        <v>57</v>
      </c>
      <c r="F132" s="40"/>
      <c r="G132" s="27" t="s">
        <v>57</v>
      </c>
      <c r="H132" s="28">
        <v>500086.0</v>
      </c>
      <c r="I132" s="28">
        <v>418770.0</v>
      </c>
      <c r="J132" s="28">
        <v>250647.0</v>
      </c>
      <c r="K132" s="28">
        <v>168123.0</v>
      </c>
      <c r="L132" s="28">
        <v>81316.0</v>
      </c>
      <c r="M132" s="28">
        <v>579560.0</v>
      </c>
      <c r="N132" s="28">
        <v>540388.0</v>
      </c>
      <c r="O132" s="28">
        <v>466644.0</v>
      </c>
      <c r="P132" s="28">
        <v>73744.0</v>
      </c>
      <c r="Q132" s="28">
        <v>39172.0</v>
      </c>
      <c r="R132" s="29">
        <v>83.7395968</v>
      </c>
      <c r="S132" s="29">
        <v>50.1207792</v>
      </c>
      <c r="T132" s="29">
        <v>33.6188176</v>
      </c>
      <c r="U132" s="29">
        <v>16.2604032</v>
      </c>
      <c r="V132" s="29">
        <v>93.2410794</v>
      </c>
      <c r="W132" s="29">
        <v>80.5169439</v>
      </c>
      <c r="X132" s="29">
        <v>12.7241356</v>
      </c>
      <c r="Y132" s="29">
        <v>6.7589206</v>
      </c>
    </row>
    <row r="133" ht="15.0" hidden="1" customHeight="1">
      <c r="B133" s="30">
        <v>128.0</v>
      </c>
      <c r="C133" s="31" t="s">
        <v>19</v>
      </c>
      <c r="D133" s="31" t="s">
        <v>56</v>
      </c>
      <c r="E133" s="31" t="s">
        <v>57</v>
      </c>
      <c r="F133" s="31"/>
      <c r="G133" s="32" t="s">
        <v>15</v>
      </c>
      <c r="H133" s="33">
        <v>485960.0</v>
      </c>
      <c r="I133" s="33">
        <v>414945.0</v>
      </c>
      <c r="J133" s="33">
        <v>248066.0</v>
      </c>
      <c r="K133" s="33">
        <v>166879.0</v>
      </c>
      <c r="L133" s="33">
        <v>71015.0</v>
      </c>
      <c r="M133" s="33">
        <v>560106.0</v>
      </c>
      <c r="N133" s="33">
        <v>530212.0</v>
      </c>
      <c r="O133" s="33">
        <v>458029.0</v>
      </c>
      <c r="P133" s="33">
        <v>72183.0</v>
      </c>
      <c r="Q133" s="33">
        <v>29894.0</v>
      </c>
      <c r="R133" s="34">
        <v>85.3866573</v>
      </c>
      <c r="S133" s="34">
        <v>51.0465882</v>
      </c>
      <c r="T133" s="34">
        <v>34.3400691</v>
      </c>
      <c r="U133" s="34">
        <v>14.6133427</v>
      </c>
      <c r="V133" s="34">
        <v>94.662796</v>
      </c>
      <c r="W133" s="34">
        <v>81.7754139</v>
      </c>
      <c r="X133" s="34">
        <v>12.887382</v>
      </c>
      <c r="Y133" s="34">
        <v>5.337204</v>
      </c>
    </row>
    <row r="134" ht="15.0" hidden="1" customHeight="1">
      <c r="B134" s="30">
        <v>129.0</v>
      </c>
      <c r="C134" s="31" t="s">
        <v>19</v>
      </c>
      <c r="D134" s="31" t="s">
        <v>56</v>
      </c>
      <c r="E134" s="31" t="s">
        <v>57</v>
      </c>
      <c r="F134" s="31"/>
      <c r="G134" s="32" t="s">
        <v>16</v>
      </c>
      <c r="H134" s="33">
        <v>14126.0</v>
      </c>
      <c r="I134" s="33">
        <v>3825.0</v>
      </c>
      <c r="J134" s="33">
        <v>2581.0</v>
      </c>
      <c r="K134" s="33">
        <v>1244.0</v>
      </c>
      <c r="L134" s="33">
        <v>10301.0</v>
      </c>
      <c r="M134" s="33">
        <v>19454.0</v>
      </c>
      <c r="N134" s="33">
        <v>10176.0</v>
      </c>
      <c r="O134" s="33">
        <v>8615.0</v>
      </c>
      <c r="P134" s="33">
        <v>1561.0</v>
      </c>
      <c r="Q134" s="33">
        <v>9278.0</v>
      </c>
      <c r="R134" s="34">
        <v>27.077729</v>
      </c>
      <c r="S134" s="34">
        <v>18.2712728</v>
      </c>
      <c r="T134" s="34">
        <v>8.8064562</v>
      </c>
      <c r="U134" s="34">
        <v>72.922271</v>
      </c>
      <c r="V134" s="34">
        <v>52.3080086</v>
      </c>
      <c r="W134" s="34">
        <v>44.2839519</v>
      </c>
      <c r="X134" s="34">
        <v>8.0240567</v>
      </c>
      <c r="Y134" s="34">
        <v>47.6919914</v>
      </c>
    </row>
    <row r="135" ht="15.0" customHeight="1">
      <c r="B135" s="35">
        <v>130.0</v>
      </c>
      <c r="C135" s="36" t="s">
        <v>21</v>
      </c>
      <c r="D135" s="36" t="s">
        <v>56</v>
      </c>
      <c r="E135" s="36" t="s">
        <v>57</v>
      </c>
      <c r="F135" s="36" t="s">
        <v>58</v>
      </c>
      <c r="G135" s="36" t="s">
        <v>58</v>
      </c>
      <c r="H135" s="37">
        <v>226458.0</v>
      </c>
      <c r="I135" s="37">
        <v>211358.0</v>
      </c>
      <c r="J135" s="37">
        <v>143110.0</v>
      </c>
      <c r="K135" s="37">
        <v>68248.0</v>
      </c>
      <c r="L135" s="37">
        <v>15100.0</v>
      </c>
      <c r="M135" s="37">
        <v>250931.0</v>
      </c>
      <c r="N135" s="37">
        <v>242700.0</v>
      </c>
      <c r="O135" s="37">
        <v>210379.0</v>
      </c>
      <c r="P135" s="37">
        <v>32321.0</v>
      </c>
      <c r="Q135" s="37">
        <v>8231.0</v>
      </c>
      <c r="R135" s="38">
        <v>93.3320969</v>
      </c>
      <c r="S135" s="38">
        <v>63.1949412</v>
      </c>
      <c r="T135" s="38">
        <v>30.1371557</v>
      </c>
      <c r="U135" s="38">
        <v>6.6679031</v>
      </c>
      <c r="V135" s="38">
        <v>96.7198154</v>
      </c>
      <c r="W135" s="38">
        <v>83.8393821</v>
      </c>
      <c r="X135" s="38">
        <v>12.8804333</v>
      </c>
      <c r="Y135" s="38">
        <v>3.2801846</v>
      </c>
    </row>
    <row r="136" ht="15.0" hidden="1" customHeight="1">
      <c r="B136" s="30">
        <v>131.0</v>
      </c>
      <c r="C136" s="31" t="s">
        <v>21</v>
      </c>
      <c r="D136" s="31" t="s">
        <v>56</v>
      </c>
      <c r="E136" s="31" t="s">
        <v>57</v>
      </c>
      <c r="F136" s="31" t="s">
        <v>58</v>
      </c>
      <c r="G136" s="32" t="s">
        <v>15</v>
      </c>
      <c r="H136" s="33">
        <v>223734.0</v>
      </c>
      <c r="I136" s="33">
        <v>210891.0</v>
      </c>
      <c r="J136" s="33">
        <v>142826.0</v>
      </c>
      <c r="K136" s="33">
        <v>68065.0</v>
      </c>
      <c r="L136" s="33">
        <v>12843.0</v>
      </c>
      <c r="M136" s="33">
        <v>247917.0</v>
      </c>
      <c r="N136" s="33">
        <v>241235.0</v>
      </c>
      <c r="O136" s="33">
        <v>209152.0</v>
      </c>
      <c r="P136" s="33">
        <v>32083.0</v>
      </c>
      <c r="Q136" s="33">
        <v>6682.0</v>
      </c>
      <c r="R136" s="34">
        <v>94.2597013</v>
      </c>
      <c r="S136" s="34">
        <v>63.8374141</v>
      </c>
      <c r="T136" s="34">
        <v>30.4222872</v>
      </c>
      <c r="U136" s="34">
        <v>5.7402987</v>
      </c>
      <c r="V136" s="34">
        <v>97.3047431</v>
      </c>
      <c r="W136" s="34">
        <v>84.3637185</v>
      </c>
      <c r="X136" s="34">
        <v>12.9410246</v>
      </c>
      <c r="Y136" s="34">
        <v>2.6952569</v>
      </c>
    </row>
    <row r="137" ht="15.0" hidden="1" customHeight="1">
      <c r="B137" s="30">
        <v>132.0</v>
      </c>
      <c r="C137" s="31" t="s">
        <v>21</v>
      </c>
      <c r="D137" s="31" t="s">
        <v>56</v>
      </c>
      <c r="E137" s="31" t="s">
        <v>57</v>
      </c>
      <c r="F137" s="31" t="s">
        <v>58</v>
      </c>
      <c r="G137" s="32" t="s">
        <v>16</v>
      </c>
      <c r="H137" s="33">
        <v>2724.0</v>
      </c>
      <c r="I137" s="33">
        <v>467.0</v>
      </c>
      <c r="J137" s="33">
        <v>284.0</v>
      </c>
      <c r="K137" s="33">
        <v>183.0</v>
      </c>
      <c r="L137" s="33">
        <v>2257.0</v>
      </c>
      <c r="M137" s="33">
        <v>3014.0</v>
      </c>
      <c r="N137" s="33">
        <v>1465.0</v>
      </c>
      <c r="O137" s="33">
        <v>1227.0</v>
      </c>
      <c r="P137" s="33">
        <v>238.0</v>
      </c>
      <c r="Q137" s="33">
        <v>1549.0</v>
      </c>
      <c r="R137" s="34">
        <v>17.143906</v>
      </c>
      <c r="S137" s="34">
        <v>10.4258443</v>
      </c>
      <c r="T137" s="34">
        <v>6.7180617</v>
      </c>
      <c r="U137" s="34">
        <v>82.856094</v>
      </c>
      <c r="V137" s="34">
        <v>48.606503</v>
      </c>
      <c r="W137" s="34">
        <v>40.7100199</v>
      </c>
      <c r="X137" s="34">
        <v>7.8964831</v>
      </c>
      <c r="Y137" s="34">
        <v>51.393497</v>
      </c>
    </row>
    <row r="138" ht="15.0" customHeight="1">
      <c r="B138" s="35">
        <v>133.0</v>
      </c>
      <c r="C138" s="36" t="s">
        <v>21</v>
      </c>
      <c r="D138" s="41" t="s">
        <v>56</v>
      </c>
      <c r="E138" s="41" t="s">
        <v>57</v>
      </c>
      <c r="F138" s="41" t="s">
        <v>59</v>
      </c>
      <c r="G138" s="42" t="s">
        <v>59</v>
      </c>
      <c r="H138" s="37">
        <v>4853.0</v>
      </c>
      <c r="I138" s="37">
        <v>1035.0</v>
      </c>
      <c r="J138" s="37">
        <v>594.0</v>
      </c>
      <c r="K138" s="37">
        <v>441.0</v>
      </c>
      <c r="L138" s="37">
        <v>3818.0</v>
      </c>
      <c r="M138" s="37">
        <v>7585.0</v>
      </c>
      <c r="N138" s="37">
        <v>3404.0</v>
      </c>
      <c r="O138" s="37">
        <v>2669.0</v>
      </c>
      <c r="P138" s="37">
        <v>735.0</v>
      </c>
      <c r="Q138" s="37">
        <v>4181.0</v>
      </c>
      <c r="R138" s="38">
        <v>21.3270142</v>
      </c>
      <c r="S138" s="38">
        <v>12.2398516</v>
      </c>
      <c r="T138" s="38">
        <v>9.0871626</v>
      </c>
      <c r="U138" s="38">
        <v>78.6729858</v>
      </c>
      <c r="V138" s="38">
        <v>44.8780488</v>
      </c>
      <c r="W138" s="38">
        <v>35.1878708</v>
      </c>
      <c r="X138" s="38">
        <v>9.690178</v>
      </c>
      <c r="Y138" s="38">
        <v>55.1219512</v>
      </c>
    </row>
    <row r="139" ht="15.0" hidden="1" customHeight="1">
      <c r="B139" s="30">
        <v>134.0</v>
      </c>
      <c r="C139" s="31" t="s">
        <v>21</v>
      </c>
      <c r="D139" s="31" t="s">
        <v>56</v>
      </c>
      <c r="E139" s="31" t="s">
        <v>57</v>
      </c>
      <c r="F139" s="31" t="s">
        <v>59</v>
      </c>
      <c r="G139" s="32" t="s">
        <v>15</v>
      </c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4"/>
      <c r="S139" s="34"/>
      <c r="T139" s="34"/>
      <c r="U139" s="34"/>
      <c r="V139" s="34"/>
      <c r="W139" s="34"/>
      <c r="X139" s="34"/>
      <c r="Y139" s="34"/>
    </row>
    <row r="140" ht="15.0" hidden="1" customHeight="1">
      <c r="B140" s="30">
        <v>135.0</v>
      </c>
      <c r="C140" s="31" t="s">
        <v>21</v>
      </c>
      <c r="D140" s="31" t="s">
        <v>56</v>
      </c>
      <c r="E140" s="31" t="s">
        <v>57</v>
      </c>
      <c r="F140" s="31" t="s">
        <v>59</v>
      </c>
      <c r="G140" s="32" t="s">
        <v>16</v>
      </c>
      <c r="H140" s="33">
        <v>4853.0</v>
      </c>
      <c r="I140" s="33">
        <v>1035.0</v>
      </c>
      <c r="J140" s="33">
        <v>594.0</v>
      </c>
      <c r="K140" s="33">
        <v>441.0</v>
      </c>
      <c r="L140" s="33">
        <v>3818.0</v>
      </c>
      <c r="M140" s="33">
        <v>7585.0</v>
      </c>
      <c r="N140" s="33">
        <v>3404.0</v>
      </c>
      <c r="O140" s="33">
        <v>2669.0</v>
      </c>
      <c r="P140" s="33">
        <v>735.0</v>
      </c>
      <c r="Q140" s="33">
        <v>4181.0</v>
      </c>
      <c r="R140" s="34">
        <v>21.3270142</v>
      </c>
      <c r="S140" s="34">
        <v>12.2398516</v>
      </c>
      <c r="T140" s="34">
        <v>9.0871626</v>
      </c>
      <c r="U140" s="34">
        <v>78.6729858</v>
      </c>
      <c r="V140" s="34">
        <v>44.8780488</v>
      </c>
      <c r="W140" s="34">
        <v>35.1878708</v>
      </c>
      <c r="X140" s="34">
        <v>9.690178</v>
      </c>
      <c r="Y140" s="34">
        <v>55.1219512</v>
      </c>
    </row>
    <row r="141" ht="15.0" customHeight="1">
      <c r="B141" s="35">
        <v>136.0</v>
      </c>
      <c r="C141" s="36" t="s">
        <v>21</v>
      </c>
      <c r="D141" s="41" t="s">
        <v>56</v>
      </c>
      <c r="E141" s="41" t="s">
        <v>57</v>
      </c>
      <c r="F141" s="41" t="s">
        <v>60</v>
      </c>
      <c r="G141" s="42" t="s">
        <v>60</v>
      </c>
      <c r="H141" s="37">
        <v>4772.0</v>
      </c>
      <c r="I141" s="37">
        <v>2069.0</v>
      </c>
      <c r="J141" s="37">
        <v>1530.0</v>
      </c>
      <c r="K141" s="37">
        <v>539.0</v>
      </c>
      <c r="L141" s="37">
        <v>2703.0</v>
      </c>
      <c r="M141" s="37">
        <v>6849.0</v>
      </c>
      <c r="N141" s="37">
        <v>4293.0</v>
      </c>
      <c r="O141" s="37">
        <v>3899.0</v>
      </c>
      <c r="P141" s="37">
        <v>394.0</v>
      </c>
      <c r="Q141" s="37">
        <v>2556.0</v>
      </c>
      <c r="R141" s="38">
        <v>43.357083</v>
      </c>
      <c r="S141" s="38">
        <v>32.0620285</v>
      </c>
      <c r="T141" s="38">
        <v>11.2950545</v>
      </c>
      <c r="U141" s="38">
        <v>56.642917</v>
      </c>
      <c r="V141" s="38">
        <v>62.6806833</v>
      </c>
      <c r="W141" s="38">
        <v>56.9280187</v>
      </c>
      <c r="X141" s="38">
        <v>5.7526646</v>
      </c>
      <c r="Y141" s="38">
        <v>37.3193167</v>
      </c>
    </row>
    <row r="142" ht="15.0" hidden="1" customHeight="1">
      <c r="B142" s="30">
        <v>137.0</v>
      </c>
      <c r="C142" s="31" t="s">
        <v>21</v>
      </c>
      <c r="D142" s="31" t="s">
        <v>56</v>
      </c>
      <c r="E142" s="31" t="s">
        <v>57</v>
      </c>
      <c r="F142" s="31" t="s">
        <v>60</v>
      </c>
      <c r="G142" s="32" t="s">
        <v>15</v>
      </c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4"/>
      <c r="S142" s="34"/>
      <c r="T142" s="34"/>
      <c r="U142" s="34"/>
      <c r="V142" s="34"/>
      <c r="W142" s="34"/>
      <c r="X142" s="34"/>
      <c r="Y142" s="34"/>
    </row>
    <row r="143" ht="15.0" hidden="1" customHeight="1">
      <c r="B143" s="30">
        <v>138.0</v>
      </c>
      <c r="C143" s="31" t="s">
        <v>21</v>
      </c>
      <c r="D143" s="31" t="s">
        <v>56</v>
      </c>
      <c r="E143" s="31" t="s">
        <v>57</v>
      </c>
      <c r="F143" s="31" t="s">
        <v>60</v>
      </c>
      <c r="G143" s="32" t="s">
        <v>16</v>
      </c>
      <c r="H143" s="33">
        <v>4772.0</v>
      </c>
      <c r="I143" s="33">
        <v>2069.0</v>
      </c>
      <c r="J143" s="33">
        <v>1530.0</v>
      </c>
      <c r="K143" s="33">
        <v>539.0</v>
      </c>
      <c r="L143" s="33">
        <v>2703.0</v>
      </c>
      <c r="M143" s="33">
        <v>6849.0</v>
      </c>
      <c r="N143" s="33">
        <v>4293.0</v>
      </c>
      <c r="O143" s="33">
        <v>3899.0</v>
      </c>
      <c r="P143" s="33">
        <v>394.0</v>
      </c>
      <c r="Q143" s="33">
        <v>2556.0</v>
      </c>
      <c r="R143" s="34">
        <v>43.357083</v>
      </c>
      <c r="S143" s="34">
        <v>32.0620285</v>
      </c>
      <c r="T143" s="34">
        <v>11.2950545</v>
      </c>
      <c r="U143" s="34">
        <v>56.642917</v>
      </c>
      <c r="V143" s="34">
        <v>62.6806833</v>
      </c>
      <c r="W143" s="34">
        <v>56.9280187</v>
      </c>
      <c r="X143" s="34">
        <v>5.7526646</v>
      </c>
      <c r="Y143" s="34">
        <v>37.3193167</v>
      </c>
    </row>
    <row r="144" ht="15.0" customHeight="1">
      <c r="B144" s="35">
        <v>139.0</v>
      </c>
      <c r="C144" s="36" t="s">
        <v>21</v>
      </c>
      <c r="D144" s="41" t="s">
        <v>56</v>
      </c>
      <c r="E144" s="41" t="s">
        <v>57</v>
      </c>
      <c r="F144" s="41" t="s">
        <v>61</v>
      </c>
      <c r="G144" s="42" t="s">
        <v>61</v>
      </c>
      <c r="H144" s="37">
        <v>7151.0</v>
      </c>
      <c r="I144" s="37">
        <v>2375.0</v>
      </c>
      <c r="J144" s="37">
        <v>1613.0</v>
      </c>
      <c r="K144" s="37">
        <v>762.0</v>
      </c>
      <c r="L144" s="37">
        <v>4776.0</v>
      </c>
      <c r="M144" s="37">
        <v>16297.0</v>
      </c>
      <c r="N144" s="37">
        <v>10840.0</v>
      </c>
      <c r="O144" s="37">
        <v>9790.0</v>
      </c>
      <c r="P144" s="37">
        <v>1050.0</v>
      </c>
      <c r="Q144" s="37">
        <v>5457.0</v>
      </c>
      <c r="R144" s="38">
        <v>33.2121382</v>
      </c>
      <c r="S144" s="38">
        <v>22.5562858</v>
      </c>
      <c r="T144" s="38">
        <v>10.6558523</v>
      </c>
      <c r="U144" s="38">
        <v>66.7878618</v>
      </c>
      <c r="V144" s="38">
        <v>66.5153096</v>
      </c>
      <c r="W144" s="38">
        <v>60.072406</v>
      </c>
      <c r="X144" s="38">
        <v>6.4429036</v>
      </c>
      <c r="Y144" s="38">
        <v>33.4846904</v>
      </c>
    </row>
    <row r="145" ht="15.0" hidden="1" customHeight="1">
      <c r="B145" s="30">
        <v>140.0</v>
      </c>
      <c r="C145" s="31" t="s">
        <v>21</v>
      </c>
      <c r="D145" s="31" t="s">
        <v>56</v>
      </c>
      <c r="E145" s="31" t="s">
        <v>57</v>
      </c>
      <c r="F145" s="31" t="s">
        <v>61</v>
      </c>
      <c r="G145" s="32" t="s">
        <v>15</v>
      </c>
      <c r="H145" s="33">
        <v>6010.0</v>
      </c>
      <c r="I145" s="33">
        <v>2131.0</v>
      </c>
      <c r="J145" s="33">
        <v>1446.0</v>
      </c>
      <c r="K145" s="33">
        <v>685.0</v>
      </c>
      <c r="L145" s="33">
        <v>3879.0</v>
      </c>
      <c r="M145" s="33">
        <v>14474.0</v>
      </c>
      <c r="N145" s="33">
        <v>9947.0</v>
      </c>
      <c r="O145" s="33">
        <v>9016.0</v>
      </c>
      <c r="P145" s="33">
        <v>931.0</v>
      </c>
      <c r="Q145" s="33">
        <v>4527.0</v>
      </c>
      <c r="R145" s="34">
        <v>35.4575707</v>
      </c>
      <c r="S145" s="34">
        <v>24.0599002</v>
      </c>
      <c r="T145" s="34">
        <v>11.3976705</v>
      </c>
      <c r="U145" s="34">
        <v>64.5424293</v>
      </c>
      <c r="V145" s="34">
        <v>68.7232279</v>
      </c>
      <c r="W145" s="34">
        <v>62.2910046</v>
      </c>
      <c r="X145" s="34">
        <v>6.4322233</v>
      </c>
      <c r="Y145" s="34">
        <v>31.2767721</v>
      </c>
    </row>
    <row r="146" ht="15.0" hidden="1" customHeight="1">
      <c r="B146" s="30">
        <v>141.0</v>
      </c>
      <c r="C146" s="31" t="s">
        <v>21</v>
      </c>
      <c r="D146" s="31" t="s">
        <v>56</v>
      </c>
      <c r="E146" s="31" t="s">
        <v>57</v>
      </c>
      <c r="F146" s="31" t="s">
        <v>61</v>
      </c>
      <c r="G146" s="32" t="s">
        <v>16</v>
      </c>
      <c r="H146" s="33">
        <v>1141.0</v>
      </c>
      <c r="I146" s="33">
        <v>244.0</v>
      </c>
      <c r="J146" s="33">
        <v>167.0</v>
      </c>
      <c r="K146" s="33">
        <v>77.0</v>
      </c>
      <c r="L146" s="33">
        <v>897.0</v>
      </c>
      <c r="M146" s="33">
        <v>1823.0</v>
      </c>
      <c r="N146" s="33">
        <v>893.0</v>
      </c>
      <c r="O146" s="33">
        <v>774.0</v>
      </c>
      <c r="P146" s="33">
        <v>119.0</v>
      </c>
      <c r="Q146" s="33">
        <v>930.0</v>
      </c>
      <c r="R146" s="34">
        <v>21.3847502</v>
      </c>
      <c r="S146" s="34">
        <v>14.636284</v>
      </c>
      <c r="T146" s="34">
        <v>6.7484663</v>
      </c>
      <c r="U146" s="34">
        <v>78.6152498</v>
      </c>
      <c r="V146" s="34">
        <v>48.9851892</v>
      </c>
      <c r="W146" s="34">
        <v>42.4574877</v>
      </c>
      <c r="X146" s="34">
        <v>6.5277016</v>
      </c>
      <c r="Y146" s="34">
        <v>51.0148108</v>
      </c>
    </row>
    <row r="147" ht="15.0" customHeight="1">
      <c r="B147" s="35">
        <v>142.0</v>
      </c>
      <c r="C147" s="36" t="s">
        <v>21</v>
      </c>
      <c r="D147" s="41" t="s">
        <v>56</v>
      </c>
      <c r="E147" s="41" t="s">
        <v>57</v>
      </c>
      <c r="F147" s="41" t="s">
        <v>62</v>
      </c>
      <c r="G147" s="42" t="s">
        <v>62</v>
      </c>
      <c r="H147" s="37">
        <v>256852.0</v>
      </c>
      <c r="I147" s="37">
        <v>201933.0</v>
      </c>
      <c r="J147" s="37">
        <v>103800.0</v>
      </c>
      <c r="K147" s="37">
        <v>98133.0</v>
      </c>
      <c r="L147" s="37">
        <v>54919.0</v>
      </c>
      <c r="M147" s="37">
        <v>297898.0</v>
      </c>
      <c r="N147" s="37">
        <v>279151.0</v>
      </c>
      <c r="O147" s="37">
        <v>239907.0</v>
      </c>
      <c r="P147" s="37">
        <v>39244.0</v>
      </c>
      <c r="Q147" s="37">
        <v>18747.0</v>
      </c>
      <c r="R147" s="38">
        <v>78.6184262</v>
      </c>
      <c r="S147" s="38">
        <v>40.4123776</v>
      </c>
      <c r="T147" s="38">
        <v>38.2060486</v>
      </c>
      <c r="U147" s="38">
        <v>21.3815738</v>
      </c>
      <c r="V147" s="38">
        <v>93.7069064</v>
      </c>
      <c r="W147" s="38">
        <v>80.5332698</v>
      </c>
      <c r="X147" s="38">
        <v>13.1736366</v>
      </c>
      <c r="Y147" s="38">
        <v>6.2930936</v>
      </c>
    </row>
    <row r="148" ht="15.0" hidden="1" customHeight="1">
      <c r="B148" s="30">
        <v>143.0</v>
      </c>
      <c r="C148" s="31" t="s">
        <v>21</v>
      </c>
      <c r="D148" s="31" t="s">
        <v>56</v>
      </c>
      <c r="E148" s="31" t="s">
        <v>57</v>
      </c>
      <c r="F148" s="31" t="s">
        <v>62</v>
      </c>
      <c r="G148" s="32" t="s">
        <v>15</v>
      </c>
      <c r="H148" s="33">
        <v>256216.0</v>
      </c>
      <c r="I148" s="33">
        <v>201923.0</v>
      </c>
      <c r="J148" s="33">
        <v>103794.0</v>
      </c>
      <c r="K148" s="33">
        <v>98129.0</v>
      </c>
      <c r="L148" s="33">
        <v>54293.0</v>
      </c>
      <c r="M148" s="33">
        <v>297715.0</v>
      </c>
      <c r="N148" s="33">
        <v>279030.0</v>
      </c>
      <c r="O148" s="33">
        <v>239861.0</v>
      </c>
      <c r="P148" s="33">
        <v>39169.0</v>
      </c>
      <c r="Q148" s="33">
        <v>18685.0</v>
      </c>
      <c r="R148" s="34">
        <v>78.8096762</v>
      </c>
      <c r="S148" s="34">
        <v>40.5103506</v>
      </c>
      <c r="T148" s="34">
        <v>38.2993256</v>
      </c>
      <c r="U148" s="34">
        <v>21.1903238</v>
      </c>
      <c r="V148" s="34">
        <v>93.7238634</v>
      </c>
      <c r="W148" s="34">
        <v>80.5673211</v>
      </c>
      <c r="X148" s="34">
        <v>13.1565423</v>
      </c>
      <c r="Y148" s="34">
        <v>6.2761366</v>
      </c>
    </row>
    <row r="149" ht="15.0" hidden="1" customHeight="1">
      <c r="B149" s="30">
        <v>144.0</v>
      </c>
      <c r="C149" s="31" t="s">
        <v>21</v>
      </c>
      <c r="D149" s="31" t="s">
        <v>56</v>
      </c>
      <c r="E149" s="31" t="s">
        <v>57</v>
      </c>
      <c r="F149" s="31" t="s">
        <v>62</v>
      </c>
      <c r="G149" s="32" t="s">
        <v>16</v>
      </c>
      <c r="H149" s="33">
        <v>636.0</v>
      </c>
      <c r="I149" s="33">
        <v>10.0</v>
      </c>
      <c r="J149" s="33">
        <v>6.0</v>
      </c>
      <c r="K149" s="33">
        <v>4.0</v>
      </c>
      <c r="L149" s="33">
        <v>626.0</v>
      </c>
      <c r="M149" s="33">
        <v>183.0</v>
      </c>
      <c r="N149" s="33">
        <v>121.0</v>
      </c>
      <c r="O149" s="33">
        <v>46.0</v>
      </c>
      <c r="P149" s="33">
        <v>75.0</v>
      </c>
      <c r="Q149" s="33">
        <v>62.0</v>
      </c>
      <c r="R149" s="34">
        <v>1.572327</v>
      </c>
      <c r="S149" s="34">
        <v>0.9433962</v>
      </c>
      <c r="T149" s="34">
        <v>0.6289308</v>
      </c>
      <c r="U149" s="34">
        <v>98.427673</v>
      </c>
      <c r="V149" s="34">
        <v>66.1202186</v>
      </c>
      <c r="W149" s="34">
        <v>25.136612</v>
      </c>
      <c r="X149" s="34">
        <v>40.9836066</v>
      </c>
      <c r="Y149" s="34">
        <v>33.8797814</v>
      </c>
    </row>
    <row r="150" ht="15.0" hidden="1" customHeight="1">
      <c r="B150" s="26">
        <v>145.0</v>
      </c>
      <c r="C150" s="27" t="s">
        <v>19</v>
      </c>
      <c r="D150" s="40" t="s">
        <v>56</v>
      </c>
      <c r="E150" s="40" t="s">
        <v>63</v>
      </c>
      <c r="F150" s="40"/>
      <c r="G150" s="27" t="s">
        <v>63</v>
      </c>
      <c r="H150" s="28">
        <v>32043.0</v>
      </c>
      <c r="I150" s="28">
        <v>14700.0</v>
      </c>
      <c r="J150" s="28">
        <v>8863.0</v>
      </c>
      <c r="K150" s="28">
        <v>5837.0</v>
      </c>
      <c r="L150" s="28">
        <v>17343.0</v>
      </c>
      <c r="M150" s="28">
        <v>38628.0</v>
      </c>
      <c r="N150" s="28">
        <v>24894.0</v>
      </c>
      <c r="O150" s="28">
        <v>21993.0</v>
      </c>
      <c r="P150" s="28">
        <v>2901.0</v>
      </c>
      <c r="Q150" s="28">
        <v>13734.0</v>
      </c>
      <c r="R150" s="29">
        <v>45.8758543</v>
      </c>
      <c r="S150" s="29">
        <v>27.6597073</v>
      </c>
      <c r="T150" s="29">
        <v>18.2161471</v>
      </c>
      <c r="U150" s="29">
        <v>54.1241457</v>
      </c>
      <c r="V150" s="29">
        <v>64.44548</v>
      </c>
      <c r="W150" s="29">
        <v>56.9353837</v>
      </c>
      <c r="X150" s="29">
        <v>7.5100963</v>
      </c>
      <c r="Y150" s="29">
        <v>35.55452</v>
      </c>
    </row>
    <row r="151" ht="15.0" hidden="1" customHeight="1">
      <c r="B151" s="30">
        <v>146.0</v>
      </c>
      <c r="C151" s="31" t="s">
        <v>19</v>
      </c>
      <c r="D151" s="31" t="s">
        <v>56</v>
      </c>
      <c r="E151" s="31" t="s">
        <v>63</v>
      </c>
      <c r="F151" s="31"/>
      <c r="G151" s="32" t="s">
        <v>15</v>
      </c>
      <c r="H151" s="33">
        <v>3307.0</v>
      </c>
      <c r="I151" s="33">
        <v>2148.0</v>
      </c>
      <c r="J151" s="33">
        <v>1113.0</v>
      </c>
      <c r="K151" s="33">
        <v>1035.0</v>
      </c>
      <c r="L151" s="33">
        <v>1159.0</v>
      </c>
      <c r="M151" s="33">
        <v>3554.0</v>
      </c>
      <c r="N151" s="33">
        <v>3112.0</v>
      </c>
      <c r="O151" s="33">
        <v>2944.0</v>
      </c>
      <c r="P151" s="33">
        <v>168.0</v>
      </c>
      <c r="Q151" s="33">
        <v>442.0</v>
      </c>
      <c r="R151" s="34">
        <v>64.9531297</v>
      </c>
      <c r="S151" s="34">
        <v>33.6558815</v>
      </c>
      <c r="T151" s="34">
        <v>31.2972483</v>
      </c>
      <c r="U151" s="34">
        <v>35.0468703</v>
      </c>
      <c r="V151" s="34">
        <v>87.5633089</v>
      </c>
      <c r="W151" s="34">
        <v>82.8362409</v>
      </c>
      <c r="X151" s="34">
        <v>4.7270681</v>
      </c>
      <c r="Y151" s="34">
        <v>12.4366911</v>
      </c>
    </row>
    <row r="152" ht="15.0" hidden="1" customHeight="1">
      <c r="B152" s="30">
        <v>147.0</v>
      </c>
      <c r="C152" s="31" t="s">
        <v>19</v>
      </c>
      <c r="D152" s="31" t="s">
        <v>56</v>
      </c>
      <c r="E152" s="31" t="s">
        <v>63</v>
      </c>
      <c r="F152" s="31"/>
      <c r="G152" s="32" t="s">
        <v>16</v>
      </c>
      <c r="H152" s="33">
        <v>28736.0</v>
      </c>
      <c r="I152" s="33">
        <v>12552.0</v>
      </c>
      <c r="J152" s="33">
        <v>7750.0</v>
      </c>
      <c r="K152" s="33">
        <v>4802.0</v>
      </c>
      <c r="L152" s="33">
        <v>16184.0</v>
      </c>
      <c r="M152" s="33">
        <v>35074.0</v>
      </c>
      <c r="N152" s="33">
        <v>21782.0</v>
      </c>
      <c r="O152" s="33">
        <v>19049.0</v>
      </c>
      <c r="P152" s="33">
        <v>2733.0</v>
      </c>
      <c r="Q152" s="33">
        <v>13292.0</v>
      </c>
      <c r="R152" s="34">
        <v>43.6804009</v>
      </c>
      <c r="S152" s="34">
        <v>26.9696548</v>
      </c>
      <c r="T152" s="34">
        <v>16.7107461</v>
      </c>
      <c r="U152" s="34">
        <v>56.3195991</v>
      </c>
      <c r="V152" s="34">
        <v>62.1029823</v>
      </c>
      <c r="W152" s="34">
        <v>54.3108856</v>
      </c>
      <c r="X152" s="34">
        <v>7.7920967</v>
      </c>
      <c r="Y152" s="34">
        <v>37.8970177</v>
      </c>
    </row>
    <row r="153" ht="15.0" customHeight="1">
      <c r="B153" s="35">
        <v>148.0</v>
      </c>
      <c r="C153" s="36" t="s">
        <v>21</v>
      </c>
      <c r="D153" s="41" t="s">
        <v>56</v>
      </c>
      <c r="E153" s="41" t="s">
        <v>63</v>
      </c>
      <c r="F153" s="41" t="s">
        <v>64</v>
      </c>
      <c r="G153" s="42" t="s">
        <v>64</v>
      </c>
      <c r="H153" s="37">
        <v>16228.0</v>
      </c>
      <c r="I153" s="37">
        <v>8055.0</v>
      </c>
      <c r="J153" s="37">
        <v>4615.0</v>
      </c>
      <c r="K153" s="37">
        <v>3440.0</v>
      </c>
      <c r="L153" s="37">
        <v>8173.0</v>
      </c>
      <c r="M153" s="37">
        <v>18316.0</v>
      </c>
      <c r="N153" s="37">
        <v>12759.0</v>
      </c>
      <c r="O153" s="37">
        <v>11502.0</v>
      </c>
      <c r="P153" s="37">
        <v>1257.0</v>
      </c>
      <c r="Q153" s="37">
        <v>5557.0</v>
      </c>
      <c r="R153" s="38">
        <v>49.6364309</v>
      </c>
      <c r="S153" s="38">
        <v>28.4385014</v>
      </c>
      <c r="T153" s="38">
        <v>21.1979295</v>
      </c>
      <c r="U153" s="38">
        <v>50.3635691</v>
      </c>
      <c r="V153" s="38">
        <v>69.6604062</v>
      </c>
      <c r="W153" s="38">
        <v>62.7975541</v>
      </c>
      <c r="X153" s="38">
        <v>6.8628522</v>
      </c>
      <c r="Y153" s="38">
        <v>30.3395938</v>
      </c>
    </row>
    <row r="154" ht="15.0" hidden="1" customHeight="1">
      <c r="B154" s="30">
        <v>149.0</v>
      </c>
      <c r="C154" s="31" t="s">
        <v>21</v>
      </c>
      <c r="D154" s="31" t="s">
        <v>56</v>
      </c>
      <c r="E154" s="31" t="s">
        <v>63</v>
      </c>
      <c r="F154" s="31" t="s">
        <v>64</v>
      </c>
      <c r="G154" s="32" t="s">
        <v>15</v>
      </c>
      <c r="H154" s="33">
        <v>3307.0</v>
      </c>
      <c r="I154" s="33">
        <v>2148.0</v>
      </c>
      <c r="J154" s="33">
        <v>1113.0</v>
      </c>
      <c r="K154" s="33">
        <v>1035.0</v>
      </c>
      <c r="L154" s="33">
        <v>1159.0</v>
      </c>
      <c r="M154" s="33">
        <v>3554.0</v>
      </c>
      <c r="N154" s="33">
        <v>3112.0</v>
      </c>
      <c r="O154" s="33">
        <v>2944.0</v>
      </c>
      <c r="P154" s="33">
        <v>168.0</v>
      </c>
      <c r="Q154" s="33">
        <v>442.0</v>
      </c>
      <c r="R154" s="34">
        <v>64.9531297</v>
      </c>
      <c r="S154" s="34">
        <v>33.6558815</v>
      </c>
      <c r="T154" s="34">
        <v>31.2972483</v>
      </c>
      <c r="U154" s="34">
        <v>35.0468703</v>
      </c>
      <c r="V154" s="34">
        <v>87.5633089</v>
      </c>
      <c r="W154" s="34">
        <v>82.8362409</v>
      </c>
      <c r="X154" s="34">
        <v>4.7270681</v>
      </c>
      <c r="Y154" s="34">
        <v>12.4366911</v>
      </c>
    </row>
    <row r="155" ht="15.0" hidden="1" customHeight="1">
      <c r="B155" s="30">
        <v>150.0</v>
      </c>
      <c r="C155" s="31" t="s">
        <v>21</v>
      </c>
      <c r="D155" s="31" t="s">
        <v>56</v>
      </c>
      <c r="E155" s="31" t="s">
        <v>63</v>
      </c>
      <c r="F155" s="31" t="s">
        <v>64</v>
      </c>
      <c r="G155" s="32" t="s">
        <v>16</v>
      </c>
      <c r="H155" s="33">
        <v>12921.0</v>
      </c>
      <c r="I155" s="33">
        <v>5907.0</v>
      </c>
      <c r="J155" s="33">
        <v>3502.0</v>
      </c>
      <c r="K155" s="33">
        <v>2405.0</v>
      </c>
      <c r="L155" s="33">
        <v>7014.0</v>
      </c>
      <c r="M155" s="33">
        <v>14762.0</v>
      </c>
      <c r="N155" s="33">
        <v>9647.0</v>
      </c>
      <c r="O155" s="33">
        <v>8558.0</v>
      </c>
      <c r="P155" s="33">
        <v>1089.0</v>
      </c>
      <c r="Q155" s="33">
        <v>5115.0</v>
      </c>
      <c r="R155" s="34">
        <v>45.7162758</v>
      </c>
      <c r="S155" s="34">
        <v>27.1031654</v>
      </c>
      <c r="T155" s="34">
        <v>18.6131104</v>
      </c>
      <c r="U155" s="34">
        <v>54.2837242</v>
      </c>
      <c r="V155" s="34">
        <v>65.3502235</v>
      </c>
      <c r="W155" s="34">
        <v>57.9731744</v>
      </c>
      <c r="X155" s="34">
        <v>7.3770492</v>
      </c>
      <c r="Y155" s="34">
        <v>34.6497765</v>
      </c>
    </row>
    <row r="156" ht="15.0" customHeight="1">
      <c r="B156" s="35">
        <v>151.0</v>
      </c>
      <c r="C156" s="36" t="s">
        <v>21</v>
      </c>
      <c r="D156" s="41" t="s">
        <v>56</v>
      </c>
      <c r="E156" s="41" t="s">
        <v>63</v>
      </c>
      <c r="F156" s="41" t="s">
        <v>65</v>
      </c>
      <c r="G156" s="42" t="s">
        <v>65</v>
      </c>
      <c r="H156" s="37">
        <v>5027.0</v>
      </c>
      <c r="I156" s="37">
        <v>1696.0</v>
      </c>
      <c r="J156" s="37">
        <v>1349.0</v>
      </c>
      <c r="K156" s="37">
        <v>347.0</v>
      </c>
      <c r="L156" s="37">
        <v>3331.0</v>
      </c>
      <c r="M156" s="37">
        <v>6737.0</v>
      </c>
      <c r="N156" s="37">
        <v>3263.0</v>
      </c>
      <c r="O156" s="37">
        <v>2874.0</v>
      </c>
      <c r="P156" s="37">
        <v>389.0</v>
      </c>
      <c r="Q156" s="37">
        <v>3474.0</v>
      </c>
      <c r="R156" s="38">
        <v>33.7378158</v>
      </c>
      <c r="S156" s="38">
        <v>26.8350905</v>
      </c>
      <c r="T156" s="38">
        <v>6.9027253</v>
      </c>
      <c r="U156" s="38">
        <v>66.2621842</v>
      </c>
      <c r="V156" s="38">
        <v>48.4340211</v>
      </c>
      <c r="W156" s="38">
        <v>42.6599377</v>
      </c>
      <c r="X156" s="38">
        <v>5.7740834</v>
      </c>
      <c r="Y156" s="38">
        <v>51.5659789</v>
      </c>
    </row>
    <row r="157" ht="15.0" hidden="1" customHeight="1">
      <c r="B157" s="30">
        <v>152.0</v>
      </c>
      <c r="C157" s="31" t="s">
        <v>21</v>
      </c>
      <c r="D157" s="31" t="s">
        <v>56</v>
      </c>
      <c r="E157" s="31" t="s">
        <v>63</v>
      </c>
      <c r="F157" s="31" t="s">
        <v>65</v>
      </c>
      <c r="G157" s="32" t="s">
        <v>15</v>
      </c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4"/>
      <c r="S157" s="34"/>
      <c r="T157" s="34"/>
      <c r="U157" s="34"/>
      <c r="V157" s="34"/>
      <c r="W157" s="34"/>
      <c r="X157" s="34"/>
      <c r="Y157" s="34"/>
    </row>
    <row r="158" ht="15.0" hidden="1" customHeight="1">
      <c r="B158" s="30">
        <v>153.0</v>
      </c>
      <c r="C158" s="31" t="s">
        <v>21</v>
      </c>
      <c r="D158" s="31" t="s">
        <v>56</v>
      </c>
      <c r="E158" s="31" t="s">
        <v>63</v>
      </c>
      <c r="F158" s="31" t="s">
        <v>65</v>
      </c>
      <c r="G158" s="32" t="s">
        <v>16</v>
      </c>
      <c r="H158" s="33">
        <v>5027.0</v>
      </c>
      <c r="I158" s="33">
        <v>1696.0</v>
      </c>
      <c r="J158" s="33">
        <v>1349.0</v>
      </c>
      <c r="K158" s="33">
        <v>347.0</v>
      </c>
      <c r="L158" s="33">
        <v>3331.0</v>
      </c>
      <c r="M158" s="33">
        <v>6737.0</v>
      </c>
      <c r="N158" s="33">
        <v>3263.0</v>
      </c>
      <c r="O158" s="33">
        <v>2874.0</v>
      </c>
      <c r="P158" s="33">
        <v>389.0</v>
      </c>
      <c r="Q158" s="33">
        <v>3474.0</v>
      </c>
      <c r="R158" s="34">
        <v>33.7378158</v>
      </c>
      <c r="S158" s="34">
        <v>26.8350905</v>
      </c>
      <c r="T158" s="34">
        <v>6.9027253</v>
      </c>
      <c r="U158" s="34">
        <v>66.2621842</v>
      </c>
      <c r="V158" s="34">
        <v>48.4340211</v>
      </c>
      <c r="W158" s="34">
        <v>42.6599377</v>
      </c>
      <c r="X158" s="34">
        <v>5.7740834</v>
      </c>
      <c r="Y158" s="34">
        <v>51.5659789</v>
      </c>
    </row>
    <row r="159" ht="15.0" customHeight="1">
      <c r="B159" s="35">
        <v>154.0</v>
      </c>
      <c r="C159" s="36" t="s">
        <v>21</v>
      </c>
      <c r="D159" s="41" t="s">
        <v>56</v>
      </c>
      <c r="E159" s="41" t="s">
        <v>63</v>
      </c>
      <c r="F159" s="41" t="s">
        <v>66</v>
      </c>
      <c r="G159" s="42" t="s">
        <v>66</v>
      </c>
      <c r="H159" s="37">
        <v>3297.0</v>
      </c>
      <c r="I159" s="37">
        <v>1642.0</v>
      </c>
      <c r="J159" s="37">
        <v>1118.0</v>
      </c>
      <c r="K159" s="37">
        <v>524.0</v>
      </c>
      <c r="L159" s="37">
        <v>1655.0</v>
      </c>
      <c r="M159" s="37">
        <v>3956.0</v>
      </c>
      <c r="N159" s="37">
        <v>2582.0</v>
      </c>
      <c r="O159" s="37">
        <v>2218.0</v>
      </c>
      <c r="P159" s="37">
        <v>364.0</v>
      </c>
      <c r="Q159" s="37">
        <v>1374.0</v>
      </c>
      <c r="R159" s="38">
        <v>49.8028511</v>
      </c>
      <c r="S159" s="38">
        <v>33.9096148</v>
      </c>
      <c r="T159" s="38">
        <v>15.8932363</v>
      </c>
      <c r="U159" s="38">
        <v>50.1971489</v>
      </c>
      <c r="V159" s="38">
        <v>65.2679474</v>
      </c>
      <c r="W159" s="38">
        <v>56.0667341</v>
      </c>
      <c r="X159" s="38">
        <v>9.2012133</v>
      </c>
      <c r="Y159" s="38">
        <v>34.7320526</v>
      </c>
    </row>
    <row r="160" ht="15.0" hidden="1" customHeight="1">
      <c r="B160" s="30">
        <v>155.0</v>
      </c>
      <c r="C160" s="31" t="s">
        <v>21</v>
      </c>
      <c r="D160" s="31" t="s">
        <v>56</v>
      </c>
      <c r="E160" s="31" t="s">
        <v>63</v>
      </c>
      <c r="F160" s="31" t="s">
        <v>66</v>
      </c>
      <c r="G160" s="32" t="s">
        <v>15</v>
      </c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4"/>
      <c r="S160" s="34"/>
      <c r="T160" s="34"/>
      <c r="U160" s="34"/>
      <c r="V160" s="34"/>
      <c r="W160" s="34"/>
      <c r="X160" s="34"/>
      <c r="Y160" s="34"/>
    </row>
    <row r="161" ht="15.0" hidden="1" customHeight="1">
      <c r="B161" s="30">
        <v>156.0</v>
      </c>
      <c r="C161" s="31" t="s">
        <v>21</v>
      </c>
      <c r="D161" s="31" t="s">
        <v>56</v>
      </c>
      <c r="E161" s="31" t="s">
        <v>63</v>
      </c>
      <c r="F161" s="31" t="s">
        <v>66</v>
      </c>
      <c r="G161" s="32" t="s">
        <v>16</v>
      </c>
      <c r="H161" s="33">
        <v>3297.0</v>
      </c>
      <c r="I161" s="33">
        <v>1642.0</v>
      </c>
      <c r="J161" s="33">
        <v>1118.0</v>
      </c>
      <c r="K161" s="33">
        <v>524.0</v>
      </c>
      <c r="L161" s="33">
        <v>1655.0</v>
      </c>
      <c r="M161" s="33">
        <v>3956.0</v>
      </c>
      <c r="N161" s="33">
        <v>2582.0</v>
      </c>
      <c r="O161" s="33">
        <v>2218.0</v>
      </c>
      <c r="P161" s="33">
        <v>364.0</v>
      </c>
      <c r="Q161" s="33">
        <v>1374.0</v>
      </c>
      <c r="R161" s="34">
        <v>49.8028511</v>
      </c>
      <c r="S161" s="34">
        <v>33.9096148</v>
      </c>
      <c r="T161" s="34">
        <v>15.8932363</v>
      </c>
      <c r="U161" s="34">
        <v>50.1971489</v>
      </c>
      <c r="V161" s="34">
        <v>65.2679474</v>
      </c>
      <c r="W161" s="34">
        <v>56.0667341</v>
      </c>
      <c r="X161" s="34">
        <v>9.2012133</v>
      </c>
      <c r="Y161" s="34">
        <v>34.7320526</v>
      </c>
    </row>
    <row r="162" ht="15.0" customHeight="1">
      <c r="B162" s="35">
        <v>157.0</v>
      </c>
      <c r="C162" s="36" t="s">
        <v>21</v>
      </c>
      <c r="D162" s="41" t="s">
        <v>56</v>
      </c>
      <c r="E162" s="41" t="s">
        <v>63</v>
      </c>
      <c r="F162" s="41" t="s">
        <v>67</v>
      </c>
      <c r="G162" s="42" t="s">
        <v>67</v>
      </c>
      <c r="H162" s="37">
        <v>3797.0</v>
      </c>
      <c r="I162" s="37">
        <v>1633.0</v>
      </c>
      <c r="J162" s="37">
        <v>896.0</v>
      </c>
      <c r="K162" s="37">
        <v>737.0</v>
      </c>
      <c r="L162" s="37">
        <v>2164.0</v>
      </c>
      <c r="M162" s="37">
        <v>4479.0</v>
      </c>
      <c r="N162" s="37">
        <v>2932.0</v>
      </c>
      <c r="O162" s="37">
        <v>2510.0</v>
      </c>
      <c r="P162" s="37">
        <v>422.0</v>
      </c>
      <c r="Q162" s="37">
        <v>1547.0</v>
      </c>
      <c r="R162" s="38">
        <v>43.0076376</v>
      </c>
      <c r="S162" s="38">
        <v>23.597577</v>
      </c>
      <c r="T162" s="38">
        <v>19.4100606</v>
      </c>
      <c r="U162" s="38">
        <v>56.9923624</v>
      </c>
      <c r="V162" s="38">
        <v>65.4610404</v>
      </c>
      <c r="W162" s="38">
        <v>56.0392945</v>
      </c>
      <c r="X162" s="38">
        <v>9.4217459</v>
      </c>
      <c r="Y162" s="38">
        <v>34.5389596</v>
      </c>
    </row>
    <row r="163" ht="15.0" hidden="1" customHeight="1">
      <c r="B163" s="30">
        <v>158.0</v>
      </c>
      <c r="C163" s="31" t="s">
        <v>21</v>
      </c>
      <c r="D163" s="31" t="s">
        <v>56</v>
      </c>
      <c r="E163" s="31" t="s">
        <v>63</v>
      </c>
      <c r="F163" s="31" t="s">
        <v>67</v>
      </c>
      <c r="G163" s="32" t="s">
        <v>15</v>
      </c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4"/>
      <c r="S163" s="34"/>
      <c r="T163" s="34"/>
      <c r="U163" s="34"/>
      <c r="V163" s="34"/>
      <c r="W163" s="34"/>
      <c r="X163" s="34"/>
      <c r="Y163" s="34"/>
    </row>
    <row r="164" ht="15.0" hidden="1" customHeight="1">
      <c r="B164" s="30">
        <v>159.0</v>
      </c>
      <c r="C164" s="31" t="s">
        <v>21</v>
      </c>
      <c r="D164" s="31" t="s">
        <v>56</v>
      </c>
      <c r="E164" s="31" t="s">
        <v>63</v>
      </c>
      <c r="F164" s="31" t="s">
        <v>67</v>
      </c>
      <c r="G164" s="32" t="s">
        <v>16</v>
      </c>
      <c r="H164" s="33">
        <v>3797.0</v>
      </c>
      <c r="I164" s="33">
        <v>1633.0</v>
      </c>
      <c r="J164" s="33">
        <v>896.0</v>
      </c>
      <c r="K164" s="33">
        <v>737.0</v>
      </c>
      <c r="L164" s="33">
        <v>2164.0</v>
      </c>
      <c r="M164" s="33">
        <v>4479.0</v>
      </c>
      <c r="N164" s="33">
        <v>2932.0</v>
      </c>
      <c r="O164" s="33">
        <v>2510.0</v>
      </c>
      <c r="P164" s="33">
        <v>422.0</v>
      </c>
      <c r="Q164" s="33">
        <v>1547.0</v>
      </c>
      <c r="R164" s="34">
        <v>43.0076376</v>
      </c>
      <c r="S164" s="34">
        <v>23.597577</v>
      </c>
      <c r="T164" s="34">
        <v>19.4100606</v>
      </c>
      <c r="U164" s="34">
        <v>56.9923624</v>
      </c>
      <c r="V164" s="34">
        <v>65.4610404</v>
      </c>
      <c r="W164" s="34">
        <v>56.0392945</v>
      </c>
      <c r="X164" s="34">
        <v>9.4217459</v>
      </c>
      <c r="Y164" s="34">
        <v>34.5389596</v>
      </c>
    </row>
    <row r="165" ht="15.0" customHeight="1">
      <c r="B165" s="35">
        <v>160.0</v>
      </c>
      <c r="C165" s="36" t="s">
        <v>21</v>
      </c>
      <c r="D165" s="41" t="s">
        <v>56</v>
      </c>
      <c r="E165" s="41" t="s">
        <v>63</v>
      </c>
      <c r="F165" s="41" t="s">
        <v>68</v>
      </c>
      <c r="G165" s="42" t="s">
        <v>68</v>
      </c>
      <c r="H165" s="37">
        <v>1662.0</v>
      </c>
      <c r="I165" s="37">
        <v>966.0</v>
      </c>
      <c r="J165" s="37">
        <v>540.0</v>
      </c>
      <c r="K165" s="37">
        <v>426.0</v>
      </c>
      <c r="L165" s="37">
        <v>696.0</v>
      </c>
      <c r="M165" s="37">
        <v>2509.0</v>
      </c>
      <c r="N165" s="37">
        <v>1901.0</v>
      </c>
      <c r="O165" s="37">
        <v>1638.0</v>
      </c>
      <c r="P165" s="37">
        <v>263.0</v>
      </c>
      <c r="Q165" s="37">
        <v>608.0</v>
      </c>
      <c r="R165" s="38">
        <v>58.1227437</v>
      </c>
      <c r="S165" s="38">
        <v>32.4909747</v>
      </c>
      <c r="T165" s="38">
        <v>25.631769</v>
      </c>
      <c r="U165" s="38">
        <v>41.8772563</v>
      </c>
      <c r="V165" s="38">
        <v>75.7672379</v>
      </c>
      <c r="W165" s="38">
        <v>65.2849741</v>
      </c>
      <c r="X165" s="38">
        <v>10.4822639</v>
      </c>
      <c r="Y165" s="38">
        <v>24.2327621</v>
      </c>
    </row>
    <row r="166" ht="15.0" hidden="1" customHeight="1">
      <c r="B166" s="30">
        <v>161.0</v>
      </c>
      <c r="C166" s="31" t="s">
        <v>21</v>
      </c>
      <c r="D166" s="31" t="s">
        <v>56</v>
      </c>
      <c r="E166" s="31" t="s">
        <v>63</v>
      </c>
      <c r="F166" s="31" t="s">
        <v>68</v>
      </c>
      <c r="G166" s="32" t="s">
        <v>15</v>
      </c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4"/>
      <c r="S166" s="34"/>
      <c r="T166" s="34"/>
      <c r="U166" s="34"/>
      <c r="V166" s="34"/>
      <c r="W166" s="34"/>
      <c r="X166" s="34"/>
      <c r="Y166" s="34"/>
    </row>
    <row r="167" ht="15.0" hidden="1" customHeight="1">
      <c r="B167" s="30">
        <v>162.0</v>
      </c>
      <c r="C167" s="31" t="s">
        <v>21</v>
      </c>
      <c r="D167" s="31" t="s">
        <v>56</v>
      </c>
      <c r="E167" s="31" t="s">
        <v>63</v>
      </c>
      <c r="F167" s="31" t="s">
        <v>68</v>
      </c>
      <c r="G167" s="32" t="s">
        <v>16</v>
      </c>
      <c r="H167" s="33">
        <v>1662.0</v>
      </c>
      <c r="I167" s="33">
        <v>966.0</v>
      </c>
      <c r="J167" s="33">
        <v>540.0</v>
      </c>
      <c r="K167" s="33">
        <v>426.0</v>
      </c>
      <c r="L167" s="33">
        <v>696.0</v>
      </c>
      <c r="M167" s="33">
        <v>2509.0</v>
      </c>
      <c r="N167" s="33">
        <v>1901.0</v>
      </c>
      <c r="O167" s="33">
        <v>1638.0</v>
      </c>
      <c r="P167" s="33">
        <v>263.0</v>
      </c>
      <c r="Q167" s="33">
        <v>608.0</v>
      </c>
      <c r="R167" s="34">
        <v>58.1227437</v>
      </c>
      <c r="S167" s="34">
        <v>32.4909747</v>
      </c>
      <c r="T167" s="34">
        <v>25.631769</v>
      </c>
      <c r="U167" s="34">
        <v>41.8772563</v>
      </c>
      <c r="V167" s="34">
        <v>75.7672379</v>
      </c>
      <c r="W167" s="34">
        <v>65.2849741</v>
      </c>
      <c r="X167" s="34">
        <v>10.4822639</v>
      </c>
      <c r="Y167" s="34">
        <v>24.2327621</v>
      </c>
    </row>
    <row r="168" ht="15.0" customHeight="1">
      <c r="B168" s="35">
        <v>163.0</v>
      </c>
      <c r="C168" s="36" t="s">
        <v>21</v>
      </c>
      <c r="D168" s="41" t="s">
        <v>56</v>
      </c>
      <c r="E168" s="41" t="s">
        <v>63</v>
      </c>
      <c r="F168" s="41" t="s">
        <v>69</v>
      </c>
      <c r="G168" s="42" t="s">
        <v>69</v>
      </c>
      <c r="H168" s="37">
        <v>2032.0</v>
      </c>
      <c r="I168" s="37">
        <v>708.0</v>
      </c>
      <c r="J168" s="37">
        <v>345.0</v>
      </c>
      <c r="K168" s="37">
        <v>363.0</v>
      </c>
      <c r="L168" s="37">
        <v>1324.0</v>
      </c>
      <c r="M168" s="37">
        <v>2631.0</v>
      </c>
      <c r="N168" s="37">
        <v>1457.0</v>
      </c>
      <c r="O168" s="37">
        <v>1251.0</v>
      </c>
      <c r="P168" s="37">
        <v>206.0</v>
      </c>
      <c r="Q168" s="37">
        <v>1174.0</v>
      </c>
      <c r="R168" s="38">
        <v>34.8425197</v>
      </c>
      <c r="S168" s="38">
        <v>16.9783465</v>
      </c>
      <c r="T168" s="38">
        <v>17.8641732</v>
      </c>
      <c r="U168" s="38">
        <v>65.1574803</v>
      </c>
      <c r="V168" s="38">
        <v>55.3781832</v>
      </c>
      <c r="W168" s="38">
        <v>47.5484607</v>
      </c>
      <c r="X168" s="38">
        <v>7.8297225</v>
      </c>
      <c r="Y168" s="38">
        <v>44.6218168</v>
      </c>
    </row>
    <row r="169" ht="15.0" hidden="1" customHeight="1">
      <c r="B169" s="30">
        <v>164.0</v>
      </c>
      <c r="C169" s="31" t="s">
        <v>21</v>
      </c>
      <c r="D169" s="31" t="s">
        <v>56</v>
      </c>
      <c r="E169" s="31" t="s">
        <v>63</v>
      </c>
      <c r="F169" s="31" t="s">
        <v>69</v>
      </c>
      <c r="G169" s="32" t="s">
        <v>15</v>
      </c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4"/>
      <c r="S169" s="34"/>
      <c r="T169" s="34"/>
      <c r="U169" s="34"/>
      <c r="V169" s="34"/>
      <c r="W169" s="34"/>
      <c r="X169" s="34"/>
      <c r="Y169" s="34"/>
    </row>
    <row r="170" ht="15.0" hidden="1" customHeight="1">
      <c r="B170" s="30">
        <v>165.0</v>
      </c>
      <c r="C170" s="31" t="s">
        <v>21</v>
      </c>
      <c r="D170" s="31" t="s">
        <v>56</v>
      </c>
      <c r="E170" s="31" t="s">
        <v>63</v>
      </c>
      <c r="F170" s="31" t="s">
        <v>69</v>
      </c>
      <c r="G170" s="32" t="s">
        <v>16</v>
      </c>
      <c r="H170" s="33">
        <v>2032.0</v>
      </c>
      <c r="I170" s="33">
        <v>708.0</v>
      </c>
      <c r="J170" s="33">
        <v>345.0</v>
      </c>
      <c r="K170" s="33">
        <v>363.0</v>
      </c>
      <c r="L170" s="33">
        <v>1324.0</v>
      </c>
      <c r="M170" s="33">
        <v>2631.0</v>
      </c>
      <c r="N170" s="33">
        <v>1457.0</v>
      </c>
      <c r="O170" s="33">
        <v>1251.0</v>
      </c>
      <c r="P170" s="33">
        <v>206.0</v>
      </c>
      <c r="Q170" s="33">
        <v>1174.0</v>
      </c>
      <c r="R170" s="34">
        <v>34.8425197</v>
      </c>
      <c r="S170" s="34">
        <v>16.9783465</v>
      </c>
      <c r="T170" s="34">
        <v>17.8641732</v>
      </c>
      <c r="U170" s="34">
        <v>65.1574803</v>
      </c>
      <c r="V170" s="34">
        <v>55.3781832</v>
      </c>
      <c r="W170" s="34">
        <v>47.5484607</v>
      </c>
      <c r="X170" s="34">
        <v>7.8297225</v>
      </c>
      <c r="Y170" s="34">
        <v>44.6218168</v>
      </c>
    </row>
    <row r="171" ht="15.0" hidden="1" customHeight="1">
      <c r="B171" s="26">
        <v>166.0</v>
      </c>
      <c r="C171" s="27" t="s">
        <v>19</v>
      </c>
      <c r="D171" s="40" t="s">
        <v>56</v>
      </c>
      <c r="E171" s="40" t="s">
        <v>70</v>
      </c>
      <c r="F171" s="40"/>
      <c r="G171" s="27" t="s">
        <v>70</v>
      </c>
      <c r="H171" s="28">
        <v>18161.0</v>
      </c>
      <c r="I171" s="28">
        <v>4729.0</v>
      </c>
      <c r="J171" s="28">
        <v>2100.0</v>
      </c>
      <c r="K171" s="28">
        <v>2629.0</v>
      </c>
      <c r="L171" s="28">
        <v>13432.0</v>
      </c>
      <c r="M171" s="28">
        <v>25502.0</v>
      </c>
      <c r="N171" s="28">
        <v>10880.0</v>
      </c>
      <c r="O171" s="28">
        <v>8287.0</v>
      </c>
      <c r="P171" s="28">
        <v>2593.0</v>
      </c>
      <c r="Q171" s="28">
        <v>14622.0</v>
      </c>
      <c r="R171" s="29">
        <v>26.039315</v>
      </c>
      <c r="S171" s="29">
        <v>11.5632399</v>
      </c>
      <c r="T171" s="29">
        <v>14.4760751</v>
      </c>
      <c r="U171" s="29">
        <v>73.960685</v>
      </c>
      <c r="V171" s="29">
        <v>42.6633205</v>
      </c>
      <c r="W171" s="29">
        <v>32.4954905</v>
      </c>
      <c r="X171" s="29">
        <v>10.16783</v>
      </c>
      <c r="Y171" s="29">
        <v>57.3366795</v>
      </c>
    </row>
    <row r="172" ht="15.0" hidden="1" customHeight="1">
      <c r="B172" s="30">
        <v>167.0</v>
      </c>
      <c r="C172" s="31" t="s">
        <v>19</v>
      </c>
      <c r="D172" s="31" t="s">
        <v>56</v>
      </c>
      <c r="E172" s="31" t="s">
        <v>70</v>
      </c>
      <c r="F172" s="31"/>
      <c r="G172" s="32" t="s">
        <v>15</v>
      </c>
      <c r="H172" s="33">
        <v>362.0</v>
      </c>
      <c r="I172" s="33">
        <v>76.0</v>
      </c>
      <c r="J172" s="33">
        <v>37.0</v>
      </c>
      <c r="K172" s="33">
        <v>39.0</v>
      </c>
      <c r="L172" s="33">
        <v>286.0</v>
      </c>
      <c r="M172" s="33">
        <v>1345.0</v>
      </c>
      <c r="N172" s="33">
        <v>824.0</v>
      </c>
      <c r="O172" s="33">
        <v>726.0</v>
      </c>
      <c r="P172" s="33">
        <v>98.0</v>
      </c>
      <c r="Q172" s="33">
        <v>521.0</v>
      </c>
      <c r="R172" s="34">
        <v>20.9944751</v>
      </c>
      <c r="S172" s="34">
        <v>10.2209945</v>
      </c>
      <c r="T172" s="34">
        <v>10.7734807</v>
      </c>
      <c r="U172" s="34">
        <v>79.0055249</v>
      </c>
      <c r="V172" s="34">
        <v>61.2639405</v>
      </c>
      <c r="W172" s="34">
        <v>53.9776952</v>
      </c>
      <c r="X172" s="34">
        <v>7.2862454</v>
      </c>
      <c r="Y172" s="34">
        <v>38.7360595</v>
      </c>
    </row>
    <row r="173" ht="15.0" hidden="1" customHeight="1">
      <c r="B173" s="30">
        <v>168.0</v>
      </c>
      <c r="C173" s="31" t="s">
        <v>19</v>
      </c>
      <c r="D173" s="31" t="s">
        <v>56</v>
      </c>
      <c r="E173" s="31" t="s">
        <v>70</v>
      </c>
      <c r="F173" s="31"/>
      <c r="G173" s="32" t="s">
        <v>16</v>
      </c>
      <c r="H173" s="33">
        <v>17799.0</v>
      </c>
      <c r="I173" s="33">
        <v>4653.0</v>
      </c>
      <c r="J173" s="33">
        <v>2063.0</v>
      </c>
      <c r="K173" s="33">
        <v>2590.0</v>
      </c>
      <c r="L173" s="33">
        <v>13146.0</v>
      </c>
      <c r="M173" s="33">
        <v>24157.0</v>
      </c>
      <c r="N173" s="33">
        <v>10056.0</v>
      </c>
      <c r="O173" s="33">
        <v>7561.0</v>
      </c>
      <c r="P173" s="33">
        <v>2495.0</v>
      </c>
      <c r="Q173" s="33">
        <v>14101.0</v>
      </c>
      <c r="R173" s="34">
        <v>26.1419181</v>
      </c>
      <c r="S173" s="34">
        <v>11.5905388</v>
      </c>
      <c r="T173" s="34">
        <v>14.5513793</v>
      </c>
      <c r="U173" s="34">
        <v>73.8580819</v>
      </c>
      <c r="V173" s="34">
        <v>41.6276856</v>
      </c>
      <c r="W173" s="34">
        <v>31.2994163</v>
      </c>
      <c r="X173" s="34">
        <v>10.3282692</v>
      </c>
      <c r="Y173" s="34">
        <v>58.3723144</v>
      </c>
    </row>
    <row r="174" ht="15.0" customHeight="1">
      <c r="B174" s="35">
        <v>169.0</v>
      </c>
      <c r="C174" s="36" t="s">
        <v>21</v>
      </c>
      <c r="D174" s="41" t="s">
        <v>56</v>
      </c>
      <c r="E174" s="41" t="s">
        <v>70</v>
      </c>
      <c r="F174" s="41" t="s">
        <v>71</v>
      </c>
      <c r="G174" s="42" t="s">
        <v>71</v>
      </c>
      <c r="H174" s="37">
        <v>3740.0</v>
      </c>
      <c r="I174" s="37">
        <v>660.0</v>
      </c>
      <c r="J174" s="37">
        <v>377.0</v>
      </c>
      <c r="K174" s="37">
        <v>283.0</v>
      </c>
      <c r="L174" s="37">
        <v>3080.0</v>
      </c>
      <c r="M174" s="37">
        <v>5244.0</v>
      </c>
      <c r="N174" s="37">
        <v>2016.0</v>
      </c>
      <c r="O174" s="37">
        <v>1617.0</v>
      </c>
      <c r="P174" s="37">
        <v>399.0</v>
      </c>
      <c r="Q174" s="37">
        <v>3228.0</v>
      </c>
      <c r="R174" s="38">
        <v>17.6470588</v>
      </c>
      <c r="S174" s="38">
        <v>10.0802139</v>
      </c>
      <c r="T174" s="38">
        <v>7.5668449</v>
      </c>
      <c r="U174" s="38">
        <v>82.3529412</v>
      </c>
      <c r="V174" s="38">
        <v>38.4439359</v>
      </c>
      <c r="W174" s="38">
        <v>30.8352403</v>
      </c>
      <c r="X174" s="38">
        <v>7.6086957</v>
      </c>
      <c r="Y174" s="38">
        <v>61.5560641</v>
      </c>
    </row>
    <row r="175" ht="15.0" hidden="1" customHeight="1">
      <c r="B175" s="30">
        <v>170.0</v>
      </c>
      <c r="C175" s="31" t="s">
        <v>21</v>
      </c>
      <c r="D175" s="31" t="s">
        <v>56</v>
      </c>
      <c r="E175" s="31" t="s">
        <v>70</v>
      </c>
      <c r="F175" s="31" t="s">
        <v>71</v>
      </c>
      <c r="G175" s="32" t="s">
        <v>15</v>
      </c>
      <c r="H175" s="33"/>
      <c r="I175" s="33"/>
      <c r="J175" s="33"/>
      <c r="K175" s="33"/>
      <c r="L175" s="33"/>
      <c r="M175" s="33">
        <v>857.0</v>
      </c>
      <c r="N175" s="33">
        <v>619.0</v>
      </c>
      <c r="O175" s="33">
        <v>553.0</v>
      </c>
      <c r="P175" s="33">
        <v>66.0</v>
      </c>
      <c r="Q175" s="33">
        <v>238.0</v>
      </c>
      <c r="R175" s="34"/>
      <c r="S175" s="34"/>
      <c r="T175" s="34"/>
      <c r="U175" s="34"/>
      <c r="V175" s="34">
        <v>72.2287048</v>
      </c>
      <c r="W175" s="34">
        <v>64.5274212</v>
      </c>
      <c r="X175" s="34">
        <v>7.7012835</v>
      </c>
      <c r="Y175" s="34">
        <v>27.7712952</v>
      </c>
    </row>
    <row r="176" ht="15.0" hidden="1" customHeight="1">
      <c r="B176" s="30">
        <v>171.0</v>
      </c>
      <c r="C176" s="31" t="s">
        <v>21</v>
      </c>
      <c r="D176" s="31" t="s">
        <v>56</v>
      </c>
      <c r="E176" s="31" t="s">
        <v>70</v>
      </c>
      <c r="F176" s="31" t="s">
        <v>71</v>
      </c>
      <c r="G176" s="32" t="s">
        <v>16</v>
      </c>
      <c r="H176" s="33">
        <v>3740.0</v>
      </c>
      <c r="I176" s="33">
        <v>660.0</v>
      </c>
      <c r="J176" s="33">
        <v>377.0</v>
      </c>
      <c r="K176" s="33">
        <v>283.0</v>
      </c>
      <c r="L176" s="33">
        <v>3080.0</v>
      </c>
      <c r="M176" s="33">
        <v>4387.0</v>
      </c>
      <c r="N176" s="33">
        <v>1397.0</v>
      </c>
      <c r="O176" s="33">
        <v>1064.0</v>
      </c>
      <c r="P176" s="33">
        <v>333.0</v>
      </c>
      <c r="Q176" s="33">
        <v>2990.0</v>
      </c>
      <c r="R176" s="34">
        <v>17.6470588</v>
      </c>
      <c r="S176" s="34">
        <v>10.0802139</v>
      </c>
      <c r="T176" s="34">
        <v>7.5668449</v>
      </c>
      <c r="U176" s="34">
        <v>82.3529412</v>
      </c>
      <c r="V176" s="34">
        <v>31.8440848</v>
      </c>
      <c r="W176" s="34">
        <v>24.2534762</v>
      </c>
      <c r="X176" s="34">
        <v>7.5906086</v>
      </c>
      <c r="Y176" s="34">
        <v>68.1559152</v>
      </c>
    </row>
    <row r="177" ht="15.0" customHeight="1">
      <c r="B177" s="35">
        <v>172.0</v>
      </c>
      <c r="C177" s="36" t="s">
        <v>21</v>
      </c>
      <c r="D177" s="41" t="s">
        <v>56</v>
      </c>
      <c r="E177" s="41" t="s">
        <v>70</v>
      </c>
      <c r="F177" s="41" t="s">
        <v>72</v>
      </c>
      <c r="G177" s="42" t="s">
        <v>72</v>
      </c>
      <c r="H177" s="37">
        <v>4269.0</v>
      </c>
      <c r="I177" s="37">
        <v>1545.0</v>
      </c>
      <c r="J177" s="37">
        <v>792.0</v>
      </c>
      <c r="K177" s="37">
        <v>753.0</v>
      </c>
      <c r="L177" s="37">
        <v>2724.0</v>
      </c>
      <c r="M177" s="37">
        <v>5233.0</v>
      </c>
      <c r="N177" s="37">
        <v>2663.0</v>
      </c>
      <c r="O177" s="37">
        <v>1917.0</v>
      </c>
      <c r="P177" s="37">
        <v>746.0</v>
      </c>
      <c r="Q177" s="37">
        <v>2570.0</v>
      </c>
      <c r="R177" s="38">
        <v>36.1911455</v>
      </c>
      <c r="S177" s="38">
        <v>18.5523542</v>
      </c>
      <c r="T177" s="38">
        <v>17.6387913</v>
      </c>
      <c r="U177" s="38">
        <v>63.8088545</v>
      </c>
      <c r="V177" s="38">
        <v>50.8885916</v>
      </c>
      <c r="W177" s="38">
        <v>36.6329066</v>
      </c>
      <c r="X177" s="38">
        <v>14.2556851</v>
      </c>
      <c r="Y177" s="38">
        <v>49.1114084</v>
      </c>
    </row>
    <row r="178" ht="15.0" hidden="1" customHeight="1">
      <c r="B178" s="30">
        <v>173.0</v>
      </c>
      <c r="C178" s="31" t="s">
        <v>21</v>
      </c>
      <c r="D178" s="31" t="s">
        <v>56</v>
      </c>
      <c r="E178" s="31" t="s">
        <v>70</v>
      </c>
      <c r="F178" s="31" t="s">
        <v>72</v>
      </c>
      <c r="G178" s="32" t="s">
        <v>15</v>
      </c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4"/>
      <c r="S178" s="34"/>
      <c r="T178" s="34"/>
      <c r="U178" s="34"/>
      <c r="V178" s="34"/>
      <c r="W178" s="34"/>
      <c r="X178" s="34"/>
      <c r="Y178" s="34"/>
    </row>
    <row r="179" ht="15.0" hidden="1" customHeight="1">
      <c r="B179" s="30">
        <v>174.0</v>
      </c>
      <c r="C179" s="31" t="s">
        <v>21</v>
      </c>
      <c r="D179" s="31" t="s">
        <v>56</v>
      </c>
      <c r="E179" s="31" t="s">
        <v>70</v>
      </c>
      <c r="F179" s="31" t="s">
        <v>72</v>
      </c>
      <c r="G179" s="32" t="s">
        <v>16</v>
      </c>
      <c r="H179" s="33">
        <v>4269.0</v>
      </c>
      <c r="I179" s="33">
        <v>1545.0</v>
      </c>
      <c r="J179" s="33">
        <v>792.0</v>
      </c>
      <c r="K179" s="33">
        <v>753.0</v>
      </c>
      <c r="L179" s="33">
        <v>2724.0</v>
      </c>
      <c r="M179" s="33">
        <v>5233.0</v>
      </c>
      <c r="N179" s="33">
        <v>2663.0</v>
      </c>
      <c r="O179" s="33">
        <v>1917.0</v>
      </c>
      <c r="P179" s="33">
        <v>746.0</v>
      </c>
      <c r="Q179" s="33">
        <v>2570.0</v>
      </c>
      <c r="R179" s="34">
        <v>36.1911455</v>
      </c>
      <c r="S179" s="34">
        <v>18.5523542</v>
      </c>
      <c r="T179" s="34">
        <v>17.6387913</v>
      </c>
      <c r="U179" s="34">
        <v>63.8088545</v>
      </c>
      <c r="V179" s="34">
        <v>50.8885916</v>
      </c>
      <c r="W179" s="34">
        <v>36.6329066</v>
      </c>
      <c r="X179" s="34">
        <v>14.2556851</v>
      </c>
      <c r="Y179" s="34">
        <v>49.1114084</v>
      </c>
    </row>
    <row r="180" ht="15.0" customHeight="1">
      <c r="B180" s="35">
        <v>175.0</v>
      </c>
      <c r="C180" s="36" t="s">
        <v>21</v>
      </c>
      <c r="D180" s="41" t="s">
        <v>56</v>
      </c>
      <c r="E180" s="41" t="s">
        <v>70</v>
      </c>
      <c r="F180" s="41" t="s">
        <v>73</v>
      </c>
      <c r="G180" s="42" t="s">
        <v>73</v>
      </c>
      <c r="H180" s="37">
        <v>3533.0</v>
      </c>
      <c r="I180" s="37">
        <v>1293.0</v>
      </c>
      <c r="J180" s="37">
        <v>390.0</v>
      </c>
      <c r="K180" s="37">
        <v>903.0</v>
      </c>
      <c r="L180" s="37">
        <v>2240.0</v>
      </c>
      <c r="M180" s="37">
        <v>5108.0</v>
      </c>
      <c r="N180" s="37">
        <v>2592.0</v>
      </c>
      <c r="O180" s="37">
        <v>1845.0</v>
      </c>
      <c r="P180" s="37">
        <v>747.0</v>
      </c>
      <c r="Q180" s="37">
        <v>2516.0</v>
      </c>
      <c r="R180" s="38">
        <v>36.5977922</v>
      </c>
      <c r="S180" s="38">
        <v>11.0387772</v>
      </c>
      <c r="T180" s="38">
        <v>25.559015</v>
      </c>
      <c r="U180" s="38">
        <v>63.4022078</v>
      </c>
      <c r="V180" s="38">
        <v>50.7439311</v>
      </c>
      <c r="W180" s="38">
        <v>36.1198121</v>
      </c>
      <c r="X180" s="38">
        <v>14.624119</v>
      </c>
      <c r="Y180" s="38">
        <v>49.2560689</v>
      </c>
    </row>
    <row r="181" ht="15.0" hidden="1" customHeight="1">
      <c r="B181" s="30">
        <v>176.0</v>
      </c>
      <c r="C181" s="31" t="s">
        <v>21</v>
      </c>
      <c r="D181" s="31" t="s">
        <v>56</v>
      </c>
      <c r="E181" s="31" t="s">
        <v>70</v>
      </c>
      <c r="F181" s="31" t="s">
        <v>73</v>
      </c>
      <c r="G181" s="32" t="s">
        <v>15</v>
      </c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4"/>
      <c r="S181" s="34"/>
      <c r="T181" s="34"/>
      <c r="U181" s="34"/>
      <c r="V181" s="34"/>
      <c r="W181" s="34"/>
      <c r="X181" s="34"/>
      <c r="Y181" s="34"/>
    </row>
    <row r="182" ht="15.0" hidden="1" customHeight="1">
      <c r="B182" s="30">
        <v>177.0</v>
      </c>
      <c r="C182" s="31" t="s">
        <v>21</v>
      </c>
      <c r="D182" s="31" t="s">
        <v>56</v>
      </c>
      <c r="E182" s="31" t="s">
        <v>70</v>
      </c>
      <c r="F182" s="31" t="s">
        <v>73</v>
      </c>
      <c r="G182" s="32" t="s">
        <v>16</v>
      </c>
      <c r="H182" s="33">
        <v>3533.0</v>
      </c>
      <c r="I182" s="33">
        <v>1293.0</v>
      </c>
      <c r="J182" s="33">
        <v>390.0</v>
      </c>
      <c r="K182" s="33">
        <v>903.0</v>
      </c>
      <c r="L182" s="33">
        <v>2240.0</v>
      </c>
      <c r="M182" s="33">
        <v>5108.0</v>
      </c>
      <c r="N182" s="33">
        <v>2592.0</v>
      </c>
      <c r="O182" s="33">
        <v>1845.0</v>
      </c>
      <c r="P182" s="33">
        <v>747.0</v>
      </c>
      <c r="Q182" s="33">
        <v>2516.0</v>
      </c>
      <c r="R182" s="34">
        <v>36.5977922</v>
      </c>
      <c r="S182" s="34">
        <v>11.0387772</v>
      </c>
      <c r="T182" s="34">
        <v>25.559015</v>
      </c>
      <c r="U182" s="34">
        <v>63.4022078</v>
      </c>
      <c r="V182" s="34">
        <v>50.7439311</v>
      </c>
      <c r="W182" s="34">
        <v>36.1198121</v>
      </c>
      <c r="X182" s="34">
        <v>14.624119</v>
      </c>
      <c r="Y182" s="34">
        <v>49.2560689</v>
      </c>
    </row>
    <row r="183" ht="15.0" customHeight="1">
      <c r="B183" s="35">
        <v>178.0</v>
      </c>
      <c r="C183" s="36" t="s">
        <v>21</v>
      </c>
      <c r="D183" s="41" t="s">
        <v>56</v>
      </c>
      <c r="E183" s="41" t="s">
        <v>70</v>
      </c>
      <c r="F183" s="41" t="s">
        <v>74</v>
      </c>
      <c r="G183" s="42" t="s">
        <v>74</v>
      </c>
      <c r="H183" s="37">
        <v>1311.0</v>
      </c>
      <c r="I183" s="37">
        <v>330.0</v>
      </c>
      <c r="J183" s="37">
        <v>205.0</v>
      </c>
      <c r="K183" s="37">
        <v>125.0</v>
      </c>
      <c r="L183" s="37">
        <v>981.0</v>
      </c>
      <c r="M183" s="37">
        <v>1930.0</v>
      </c>
      <c r="N183" s="37">
        <v>971.0</v>
      </c>
      <c r="O183" s="37">
        <v>777.0</v>
      </c>
      <c r="P183" s="37">
        <v>194.0</v>
      </c>
      <c r="Q183" s="37">
        <v>959.0</v>
      </c>
      <c r="R183" s="38">
        <v>25.1716247</v>
      </c>
      <c r="S183" s="38">
        <v>15.6369184</v>
      </c>
      <c r="T183" s="38">
        <v>9.5347063</v>
      </c>
      <c r="U183" s="38">
        <v>74.8283753</v>
      </c>
      <c r="V183" s="38">
        <v>50.3108808</v>
      </c>
      <c r="W183" s="38">
        <v>40.2590674</v>
      </c>
      <c r="X183" s="38">
        <v>10.0518135</v>
      </c>
      <c r="Y183" s="38">
        <v>49.6891192</v>
      </c>
    </row>
    <row r="184" ht="15.0" hidden="1" customHeight="1">
      <c r="B184" s="30">
        <v>179.0</v>
      </c>
      <c r="C184" s="31" t="s">
        <v>21</v>
      </c>
      <c r="D184" s="31" t="s">
        <v>56</v>
      </c>
      <c r="E184" s="31" t="s">
        <v>70</v>
      </c>
      <c r="F184" s="31" t="s">
        <v>74</v>
      </c>
      <c r="G184" s="32" t="s">
        <v>15</v>
      </c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4"/>
      <c r="S184" s="34"/>
      <c r="T184" s="34"/>
      <c r="U184" s="34"/>
      <c r="V184" s="34"/>
      <c r="W184" s="34"/>
      <c r="X184" s="34"/>
      <c r="Y184" s="34"/>
    </row>
    <row r="185" ht="15.0" hidden="1" customHeight="1">
      <c r="B185" s="30">
        <v>180.0</v>
      </c>
      <c r="C185" s="31" t="s">
        <v>21</v>
      </c>
      <c r="D185" s="31" t="s">
        <v>56</v>
      </c>
      <c r="E185" s="31" t="s">
        <v>70</v>
      </c>
      <c r="F185" s="31" t="s">
        <v>74</v>
      </c>
      <c r="G185" s="32" t="s">
        <v>16</v>
      </c>
      <c r="H185" s="33">
        <v>1311.0</v>
      </c>
      <c r="I185" s="33">
        <v>330.0</v>
      </c>
      <c r="J185" s="33">
        <v>205.0</v>
      </c>
      <c r="K185" s="33">
        <v>125.0</v>
      </c>
      <c r="L185" s="33">
        <v>981.0</v>
      </c>
      <c r="M185" s="33">
        <v>1930.0</v>
      </c>
      <c r="N185" s="33">
        <v>971.0</v>
      </c>
      <c r="O185" s="33">
        <v>777.0</v>
      </c>
      <c r="P185" s="33">
        <v>194.0</v>
      </c>
      <c r="Q185" s="33">
        <v>959.0</v>
      </c>
      <c r="R185" s="34">
        <v>25.1716247</v>
      </c>
      <c r="S185" s="34">
        <v>15.6369184</v>
      </c>
      <c r="T185" s="34">
        <v>9.5347063</v>
      </c>
      <c r="U185" s="34">
        <v>74.8283753</v>
      </c>
      <c r="V185" s="34">
        <v>50.3108808</v>
      </c>
      <c r="W185" s="34">
        <v>40.2590674</v>
      </c>
      <c r="X185" s="34">
        <v>10.0518135</v>
      </c>
      <c r="Y185" s="34">
        <v>49.6891192</v>
      </c>
    </row>
    <row r="186" ht="15.0" customHeight="1">
      <c r="B186" s="35">
        <v>181.0</v>
      </c>
      <c r="C186" s="36" t="s">
        <v>21</v>
      </c>
      <c r="D186" s="41" t="s">
        <v>56</v>
      </c>
      <c r="E186" s="41" t="s">
        <v>70</v>
      </c>
      <c r="F186" s="41" t="s">
        <v>75</v>
      </c>
      <c r="G186" s="42" t="s">
        <v>75</v>
      </c>
      <c r="H186" s="37">
        <v>1159.0</v>
      </c>
      <c r="I186" s="37">
        <v>272.0</v>
      </c>
      <c r="J186" s="37">
        <v>125.0</v>
      </c>
      <c r="K186" s="37">
        <v>147.0</v>
      </c>
      <c r="L186" s="37">
        <v>887.0</v>
      </c>
      <c r="M186" s="37">
        <v>1742.0</v>
      </c>
      <c r="N186" s="37">
        <v>865.0</v>
      </c>
      <c r="O186" s="37">
        <v>624.0</v>
      </c>
      <c r="P186" s="37">
        <v>241.0</v>
      </c>
      <c r="Q186" s="37">
        <v>877.0</v>
      </c>
      <c r="R186" s="38">
        <v>23.4685073</v>
      </c>
      <c r="S186" s="38">
        <v>10.7851596</v>
      </c>
      <c r="T186" s="38">
        <v>12.6833477</v>
      </c>
      <c r="U186" s="38">
        <v>76.5314927</v>
      </c>
      <c r="V186" s="38">
        <v>49.6555683</v>
      </c>
      <c r="W186" s="38">
        <v>35.8208955</v>
      </c>
      <c r="X186" s="38">
        <v>13.8346728</v>
      </c>
      <c r="Y186" s="38">
        <v>50.3444317</v>
      </c>
    </row>
    <row r="187" ht="15.0" hidden="1" customHeight="1">
      <c r="B187" s="30">
        <v>182.0</v>
      </c>
      <c r="C187" s="31" t="s">
        <v>21</v>
      </c>
      <c r="D187" s="31" t="s">
        <v>56</v>
      </c>
      <c r="E187" s="31" t="s">
        <v>70</v>
      </c>
      <c r="F187" s="31" t="s">
        <v>75</v>
      </c>
      <c r="G187" s="32" t="s">
        <v>15</v>
      </c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4"/>
      <c r="S187" s="34"/>
      <c r="T187" s="34"/>
      <c r="U187" s="34"/>
      <c r="V187" s="34"/>
      <c r="W187" s="34"/>
      <c r="X187" s="34"/>
      <c r="Y187" s="34"/>
    </row>
    <row r="188" ht="15.0" hidden="1" customHeight="1">
      <c r="B188" s="30">
        <v>183.0</v>
      </c>
      <c r="C188" s="31" t="s">
        <v>21</v>
      </c>
      <c r="D188" s="31" t="s">
        <v>56</v>
      </c>
      <c r="E188" s="31" t="s">
        <v>70</v>
      </c>
      <c r="F188" s="31" t="s">
        <v>75</v>
      </c>
      <c r="G188" s="32" t="s">
        <v>16</v>
      </c>
      <c r="H188" s="33">
        <v>1159.0</v>
      </c>
      <c r="I188" s="33">
        <v>272.0</v>
      </c>
      <c r="J188" s="33">
        <v>125.0</v>
      </c>
      <c r="K188" s="33">
        <v>147.0</v>
      </c>
      <c r="L188" s="33">
        <v>887.0</v>
      </c>
      <c r="M188" s="33">
        <v>1742.0</v>
      </c>
      <c r="N188" s="33">
        <v>865.0</v>
      </c>
      <c r="O188" s="33">
        <v>624.0</v>
      </c>
      <c r="P188" s="33">
        <v>241.0</v>
      </c>
      <c r="Q188" s="33">
        <v>877.0</v>
      </c>
      <c r="R188" s="34">
        <v>23.4685073</v>
      </c>
      <c r="S188" s="34">
        <v>10.7851596</v>
      </c>
      <c r="T188" s="34">
        <v>12.6833477</v>
      </c>
      <c r="U188" s="34">
        <v>76.5314927</v>
      </c>
      <c r="V188" s="34">
        <v>49.6555683</v>
      </c>
      <c r="W188" s="34">
        <v>35.8208955</v>
      </c>
      <c r="X188" s="34">
        <v>13.8346728</v>
      </c>
      <c r="Y188" s="34">
        <v>50.3444317</v>
      </c>
    </row>
    <row r="189" ht="15.0" customHeight="1">
      <c r="B189" s="35">
        <v>184.0</v>
      </c>
      <c r="C189" s="36" t="s">
        <v>21</v>
      </c>
      <c r="D189" s="41" t="s">
        <v>56</v>
      </c>
      <c r="E189" s="41" t="s">
        <v>70</v>
      </c>
      <c r="F189" s="41" t="s">
        <v>76</v>
      </c>
      <c r="G189" s="42" t="s">
        <v>76</v>
      </c>
      <c r="H189" s="37">
        <v>1070.0</v>
      </c>
      <c r="I189" s="37">
        <v>176.0</v>
      </c>
      <c r="J189" s="37">
        <v>87.0</v>
      </c>
      <c r="K189" s="37">
        <v>89.0</v>
      </c>
      <c r="L189" s="37">
        <v>894.0</v>
      </c>
      <c r="M189" s="37">
        <v>1463.0</v>
      </c>
      <c r="N189" s="37">
        <v>580.0</v>
      </c>
      <c r="O189" s="37">
        <v>501.0</v>
      </c>
      <c r="P189" s="37">
        <v>79.0</v>
      </c>
      <c r="Q189" s="37">
        <v>883.0</v>
      </c>
      <c r="R189" s="38">
        <v>16.4485981</v>
      </c>
      <c r="S189" s="38">
        <v>8.1308411</v>
      </c>
      <c r="T189" s="38">
        <v>8.317757</v>
      </c>
      <c r="U189" s="38">
        <v>83.5514019</v>
      </c>
      <c r="V189" s="38">
        <v>39.644566</v>
      </c>
      <c r="W189" s="38">
        <v>34.2447027</v>
      </c>
      <c r="X189" s="38">
        <v>5.3998633</v>
      </c>
      <c r="Y189" s="38">
        <v>60.355434</v>
      </c>
    </row>
    <row r="190" ht="15.0" hidden="1" customHeight="1">
      <c r="B190" s="30">
        <v>185.0</v>
      </c>
      <c r="C190" s="31" t="s">
        <v>21</v>
      </c>
      <c r="D190" s="31" t="s">
        <v>56</v>
      </c>
      <c r="E190" s="31" t="s">
        <v>70</v>
      </c>
      <c r="F190" s="31" t="s">
        <v>76</v>
      </c>
      <c r="G190" s="32" t="s">
        <v>15</v>
      </c>
      <c r="H190" s="33">
        <v>362.0</v>
      </c>
      <c r="I190" s="33">
        <v>76.0</v>
      </c>
      <c r="J190" s="33">
        <v>37.0</v>
      </c>
      <c r="K190" s="33">
        <v>39.0</v>
      </c>
      <c r="L190" s="33">
        <v>286.0</v>
      </c>
      <c r="M190" s="33">
        <v>488.0</v>
      </c>
      <c r="N190" s="33">
        <v>205.0</v>
      </c>
      <c r="O190" s="33">
        <v>173.0</v>
      </c>
      <c r="P190" s="33">
        <v>32.0</v>
      </c>
      <c r="Q190" s="33">
        <v>283.0</v>
      </c>
      <c r="R190" s="34">
        <v>20.9944751</v>
      </c>
      <c r="S190" s="34">
        <v>10.2209945</v>
      </c>
      <c r="T190" s="34">
        <v>10.7734807</v>
      </c>
      <c r="U190" s="34">
        <v>79.0055249</v>
      </c>
      <c r="V190" s="34">
        <v>42.0081967</v>
      </c>
      <c r="W190" s="34">
        <v>35.4508197</v>
      </c>
      <c r="X190" s="34">
        <v>6.557377</v>
      </c>
      <c r="Y190" s="34">
        <v>57.9918033</v>
      </c>
    </row>
    <row r="191" ht="15.0" hidden="1" customHeight="1">
      <c r="B191" s="30">
        <v>186.0</v>
      </c>
      <c r="C191" s="31" t="s">
        <v>21</v>
      </c>
      <c r="D191" s="31" t="s">
        <v>56</v>
      </c>
      <c r="E191" s="31" t="s">
        <v>70</v>
      </c>
      <c r="F191" s="31" t="s">
        <v>76</v>
      </c>
      <c r="G191" s="32" t="s">
        <v>16</v>
      </c>
      <c r="H191" s="33">
        <v>708.0</v>
      </c>
      <c r="I191" s="33">
        <v>100.0</v>
      </c>
      <c r="J191" s="33">
        <v>50.0</v>
      </c>
      <c r="K191" s="33">
        <v>50.0</v>
      </c>
      <c r="L191" s="33">
        <v>608.0</v>
      </c>
      <c r="M191" s="33">
        <v>975.0</v>
      </c>
      <c r="N191" s="33">
        <v>375.0</v>
      </c>
      <c r="O191" s="33">
        <v>328.0</v>
      </c>
      <c r="P191" s="33">
        <v>47.0</v>
      </c>
      <c r="Q191" s="33">
        <v>600.0</v>
      </c>
      <c r="R191" s="34">
        <v>14.1242938</v>
      </c>
      <c r="S191" s="34">
        <v>7.0621469</v>
      </c>
      <c r="T191" s="34">
        <v>7.0621469</v>
      </c>
      <c r="U191" s="34">
        <v>85.8757062</v>
      </c>
      <c r="V191" s="34">
        <v>38.4615385</v>
      </c>
      <c r="W191" s="34">
        <v>33.6410256</v>
      </c>
      <c r="X191" s="34">
        <v>4.8205128</v>
      </c>
      <c r="Y191" s="34">
        <v>61.5384615</v>
      </c>
    </row>
    <row r="192" ht="15.0" customHeight="1">
      <c r="B192" s="35">
        <v>187.0</v>
      </c>
      <c r="C192" s="36" t="s">
        <v>21</v>
      </c>
      <c r="D192" s="41" t="s">
        <v>56</v>
      </c>
      <c r="E192" s="41" t="s">
        <v>70</v>
      </c>
      <c r="F192" s="41" t="s">
        <v>77</v>
      </c>
      <c r="G192" s="42" t="s">
        <v>77</v>
      </c>
      <c r="H192" s="37">
        <v>289.0</v>
      </c>
      <c r="I192" s="37">
        <v>130.0</v>
      </c>
      <c r="J192" s="37">
        <v>14.0</v>
      </c>
      <c r="K192" s="37">
        <v>116.0</v>
      </c>
      <c r="L192" s="37">
        <v>159.0</v>
      </c>
      <c r="M192" s="37">
        <v>1213.0</v>
      </c>
      <c r="N192" s="37">
        <v>547.0</v>
      </c>
      <c r="O192" s="37">
        <v>498.0</v>
      </c>
      <c r="P192" s="37">
        <v>49.0</v>
      </c>
      <c r="Q192" s="37">
        <v>666.0</v>
      </c>
      <c r="R192" s="38">
        <v>44.982699</v>
      </c>
      <c r="S192" s="38">
        <v>4.8442907</v>
      </c>
      <c r="T192" s="38">
        <v>40.1384083</v>
      </c>
      <c r="U192" s="38">
        <v>55.017301</v>
      </c>
      <c r="V192" s="38">
        <v>45.0948063</v>
      </c>
      <c r="W192" s="38">
        <v>41.055235</v>
      </c>
      <c r="X192" s="38">
        <v>4.0395713</v>
      </c>
      <c r="Y192" s="38">
        <v>54.9051937</v>
      </c>
    </row>
    <row r="193" ht="15.0" hidden="1" customHeight="1">
      <c r="B193" s="30">
        <v>188.0</v>
      </c>
      <c r="C193" s="31" t="s">
        <v>21</v>
      </c>
      <c r="D193" s="31" t="s">
        <v>56</v>
      </c>
      <c r="E193" s="31" t="s">
        <v>70</v>
      </c>
      <c r="F193" s="31" t="s">
        <v>77</v>
      </c>
      <c r="G193" s="32" t="s">
        <v>15</v>
      </c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4"/>
      <c r="S193" s="34"/>
      <c r="T193" s="34"/>
      <c r="U193" s="34"/>
      <c r="V193" s="34"/>
      <c r="W193" s="34"/>
      <c r="X193" s="34"/>
      <c r="Y193" s="34"/>
    </row>
    <row r="194" ht="15.0" hidden="1" customHeight="1">
      <c r="B194" s="30">
        <v>189.0</v>
      </c>
      <c r="C194" s="31" t="s">
        <v>21</v>
      </c>
      <c r="D194" s="31" t="s">
        <v>56</v>
      </c>
      <c r="E194" s="31" t="s">
        <v>70</v>
      </c>
      <c r="F194" s="31" t="s">
        <v>77</v>
      </c>
      <c r="G194" s="32" t="s">
        <v>16</v>
      </c>
      <c r="H194" s="33">
        <v>289.0</v>
      </c>
      <c r="I194" s="33">
        <v>130.0</v>
      </c>
      <c r="J194" s="33">
        <v>14.0</v>
      </c>
      <c r="K194" s="33">
        <v>116.0</v>
      </c>
      <c r="L194" s="33">
        <v>159.0</v>
      </c>
      <c r="M194" s="33">
        <v>1213.0</v>
      </c>
      <c r="N194" s="33">
        <v>547.0</v>
      </c>
      <c r="O194" s="33">
        <v>498.0</v>
      </c>
      <c r="P194" s="33">
        <v>49.0</v>
      </c>
      <c r="Q194" s="33">
        <v>666.0</v>
      </c>
      <c r="R194" s="34">
        <v>44.982699</v>
      </c>
      <c r="S194" s="34">
        <v>4.8442907</v>
      </c>
      <c r="T194" s="34">
        <v>40.1384083</v>
      </c>
      <c r="U194" s="34">
        <v>55.017301</v>
      </c>
      <c r="V194" s="34">
        <v>45.0948063</v>
      </c>
      <c r="W194" s="34">
        <v>41.055235</v>
      </c>
      <c r="X194" s="34">
        <v>4.0395713</v>
      </c>
      <c r="Y194" s="34">
        <v>54.9051937</v>
      </c>
    </row>
    <row r="195" ht="15.0" customHeight="1">
      <c r="B195" s="35">
        <v>190.0</v>
      </c>
      <c r="C195" s="36" t="s">
        <v>21</v>
      </c>
      <c r="D195" s="41" t="s">
        <v>56</v>
      </c>
      <c r="E195" s="41" t="s">
        <v>70</v>
      </c>
      <c r="F195" s="41" t="s">
        <v>78</v>
      </c>
      <c r="G195" s="42" t="s">
        <v>78</v>
      </c>
      <c r="H195" s="37">
        <v>2790.0</v>
      </c>
      <c r="I195" s="37">
        <v>323.0</v>
      </c>
      <c r="J195" s="37">
        <v>110.0</v>
      </c>
      <c r="K195" s="37">
        <v>213.0</v>
      </c>
      <c r="L195" s="37">
        <v>2467.0</v>
      </c>
      <c r="M195" s="37">
        <v>3569.0</v>
      </c>
      <c r="N195" s="37">
        <v>646.0</v>
      </c>
      <c r="O195" s="37">
        <v>508.0</v>
      </c>
      <c r="P195" s="37">
        <v>138.0</v>
      </c>
      <c r="Q195" s="37">
        <v>2923.0</v>
      </c>
      <c r="R195" s="38">
        <v>11.5770609</v>
      </c>
      <c r="S195" s="38">
        <v>3.9426523</v>
      </c>
      <c r="T195" s="38">
        <v>7.6344086</v>
      </c>
      <c r="U195" s="38">
        <v>88.4229391</v>
      </c>
      <c r="V195" s="38">
        <v>18.1003082</v>
      </c>
      <c r="W195" s="38">
        <v>14.2336789</v>
      </c>
      <c r="X195" s="38">
        <v>3.8666293</v>
      </c>
      <c r="Y195" s="38">
        <v>81.8996918</v>
      </c>
    </row>
    <row r="196" ht="15.0" hidden="1" customHeight="1">
      <c r="B196" s="30">
        <v>191.0</v>
      </c>
      <c r="C196" s="31" t="s">
        <v>21</v>
      </c>
      <c r="D196" s="31" t="s">
        <v>56</v>
      </c>
      <c r="E196" s="31" t="s">
        <v>70</v>
      </c>
      <c r="F196" s="31" t="s">
        <v>78</v>
      </c>
      <c r="G196" s="32" t="s">
        <v>15</v>
      </c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4"/>
      <c r="S196" s="34"/>
      <c r="T196" s="34"/>
      <c r="U196" s="34"/>
      <c r="V196" s="34"/>
      <c r="W196" s="34"/>
      <c r="X196" s="34"/>
      <c r="Y196" s="34"/>
    </row>
    <row r="197" ht="15.0" hidden="1" customHeight="1">
      <c r="B197" s="30">
        <v>192.0</v>
      </c>
      <c r="C197" s="31" t="s">
        <v>21</v>
      </c>
      <c r="D197" s="31" t="s">
        <v>56</v>
      </c>
      <c r="E197" s="31" t="s">
        <v>70</v>
      </c>
      <c r="F197" s="31" t="s">
        <v>78</v>
      </c>
      <c r="G197" s="32" t="s">
        <v>16</v>
      </c>
      <c r="H197" s="33">
        <v>2790.0</v>
      </c>
      <c r="I197" s="33">
        <v>323.0</v>
      </c>
      <c r="J197" s="33">
        <v>110.0</v>
      </c>
      <c r="K197" s="33">
        <v>213.0</v>
      </c>
      <c r="L197" s="33">
        <v>2467.0</v>
      </c>
      <c r="M197" s="33">
        <v>3569.0</v>
      </c>
      <c r="N197" s="33">
        <v>646.0</v>
      </c>
      <c r="O197" s="33">
        <v>508.0</v>
      </c>
      <c r="P197" s="33">
        <v>138.0</v>
      </c>
      <c r="Q197" s="33">
        <v>2923.0</v>
      </c>
      <c r="R197" s="34">
        <v>11.5770609</v>
      </c>
      <c r="S197" s="34">
        <v>3.9426523</v>
      </c>
      <c r="T197" s="34">
        <v>7.6344086</v>
      </c>
      <c r="U197" s="34">
        <v>88.4229391</v>
      </c>
      <c r="V197" s="34">
        <v>18.1003082</v>
      </c>
      <c r="W197" s="34">
        <v>14.2336789</v>
      </c>
      <c r="X197" s="34">
        <v>3.8666293</v>
      </c>
      <c r="Y197" s="34">
        <v>81.8996918</v>
      </c>
    </row>
    <row r="198" ht="15.0" hidden="1" customHeight="1">
      <c r="B198" s="26">
        <v>193.0</v>
      </c>
      <c r="C198" s="27" t="s">
        <v>19</v>
      </c>
      <c r="D198" s="40" t="s">
        <v>56</v>
      </c>
      <c r="E198" s="40" t="s">
        <v>79</v>
      </c>
      <c r="F198" s="40"/>
      <c r="G198" s="27" t="s">
        <v>79</v>
      </c>
      <c r="H198" s="28">
        <v>22099.0</v>
      </c>
      <c r="I198" s="28">
        <v>4618.0</v>
      </c>
      <c r="J198" s="28">
        <v>2894.0</v>
      </c>
      <c r="K198" s="28">
        <v>1724.0</v>
      </c>
      <c r="L198" s="28">
        <v>17481.0</v>
      </c>
      <c r="M198" s="28">
        <v>28325.0</v>
      </c>
      <c r="N198" s="28">
        <v>10081.0</v>
      </c>
      <c r="O198" s="28">
        <v>8973.0</v>
      </c>
      <c r="P198" s="28">
        <v>1108.0</v>
      </c>
      <c r="Q198" s="28">
        <v>18244.0</v>
      </c>
      <c r="R198" s="29">
        <v>20.8968732</v>
      </c>
      <c r="S198" s="29">
        <v>13.0956152</v>
      </c>
      <c r="T198" s="29">
        <v>7.801258</v>
      </c>
      <c r="U198" s="29">
        <v>79.1031268</v>
      </c>
      <c r="V198" s="29">
        <v>35.5904678</v>
      </c>
      <c r="W198" s="29">
        <v>31.678729</v>
      </c>
      <c r="X198" s="29">
        <v>3.9117387</v>
      </c>
      <c r="Y198" s="29">
        <v>64.4095322</v>
      </c>
    </row>
    <row r="199" ht="15.0" hidden="1" customHeight="1">
      <c r="B199" s="30">
        <v>194.0</v>
      </c>
      <c r="C199" s="31" t="s">
        <v>19</v>
      </c>
      <c r="D199" s="31" t="s">
        <v>56</v>
      </c>
      <c r="E199" s="31" t="s">
        <v>79</v>
      </c>
      <c r="F199" s="31"/>
      <c r="G199" s="32" t="s">
        <v>15</v>
      </c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4"/>
      <c r="V199" s="34"/>
      <c r="W199" s="34"/>
      <c r="X199" s="34"/>
      <c r="Y199" s="34"/>
    </row>
    <row r="200" ht="15.0" hidden="1" customHeight="1">
      <c r="B200" s="30">
        <v>195.0</v>
      </c>
      <c r="C200" s="31" t="s">
        <v>19</v>
      </c>
      <c r="D200" s="31" t="s">
        <v>56</v>
      </c>
      <c r="E200" s="31" t="s">
        <v>79</v>
      </c>
      <c r="F200" s="31"/>
      <c r="G200" s="32" t="s">
        <v>16</v>
      </c>
      <c r="H200" s="33">
        <v>22099.0</v>
      </c>
      <c r="I200" s="33">
        <v>4618.0</v>
      </c>
      <c r="J200" s="33">
        <v>2894.0</v>
      </c>
      <c r="K200" s="33">
        <v>1724.0</v>
      </c>
      <c r="L200" s="33">
        <v>17481.0</v>
      </c>
      <c r="M200" s="33">
        <v>28325.0</v>
      </c>
      <c r="N200" s="33">
        <v>10081.0</v>
      </c>
      <c r="O200" s="33">
        <v>8973.0</v>
      </c>
      <c r="P200" s="33">
        <v>1108.0</v>
      </c>
      <c r="Q200" s="33">
        <v>18244.0</v>
      </c>
      <c r="R200" s="34">
        <v>20.8968732</v>
      </c>
      <c r="S200" s="34">
        <v>13.0956152</v>
      </c>
      <c r="T200" s="34">
        <v>7.801258</v>
      </c>
      <c r="U200" s="34">
        <v>79.1031268</v>
      </c>
      <c r="V200" s="34">
        <v>35.5904678</v>
      </c>
      <c r="W200" s="34">
        <v>31.678729</v>
      </c>
      <c r="X200" s="34">
        <v>3.9117387</v>
      </c>
      <c r="Y200" s="34">
        <v>64.4095322</v>
      </c>
    </row>
    <row r="201" ht="15.0" customHeight="1">
      <c r="B201" s="35">
        <v>196.0</v>
      </c>
      <c r="C201" s="36" t="s">
        <v>21</v>
      </c>
      <c r="D201" s="41" t="s">
        <v>56</v>
      </c>
      <c r="E201" s="41" t="s">
        <v>79</v>
      </c>
      <c r="F201" s="41" t="s">
        <v>80</v>
      </c>
      <c r="G201" s="42" t="s">
        <v>80</v>
      </c>
      <c r="H201" s="37">
        <v>5011.0</v>
      </c>
      <c r="I201" s="37">
        <v>791.0</v>
      </c>
      <c r="J201" s="37">
        <v>468.0</v>
      </c>
      <c r="K201" s="37">
        <v>323.0</v>
      </c>
      <c r="L201" s="37">
        <v>4220.0</v>
      </c>
      <c r="M201" s="37">
        <v>6604.0</v>
      </c>
      <c r="N201" s="37">
        <v>1892.0</v>
      </c>
      <c r="O201" s="37">
        <v>1559.0</v>
      </c>
      <c r="P201" s="37">
        <v>333.0</v>
      </c>
      <c r="Q201" s="37">
        <v>4712.0</v>
      </c>
      <c r="R201" s="38">
        <v>15.7852724</v>
      </c>
      <c r="S201" s="38">
        <v>9.3394532</v>
      </c>
      <c r="T201" s="38">
        <v>6.4458192</v>
      </c>
      <c r="U201" s="38">
        <v>84.2147276</v>
      </c>
      <c r="V201" s="38">
        <v>28.6493035</v>
      </c>
      <c r="W201" s="38">
        <v>23.6069049</v>
      </c>
      <c r="X201" s="38">
        <v>5.0423985</v>
      </c>
      <c r="Y201" s="38">
        <v>71.3506965</v>
      </c>
    </row>
    <row r="202" ht="15.0" hidden="1" customHeight="1">
      <c r="B202" s="30">
        <v>197.0</v>
      </c>
      <c r="C202" s="31" t="s">
        <v>21</v>
      </c>
      <c r="D202" s="31" t="s">
        <v>56</v>
      </c>
      <c r="E202" s="31" t="s">
        <v>79</v>
      </c>
      <c r="F202" s="31" t="s">
        <v>80</v>
      </c>
      <c r="G202" s="32" t="s">
        <v>15</v>
      </c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4"/>
      <c r="S202" s="34"/>
      <c r="T202" s="34"/>
      <c r="U202" s="34"/>
      <c r="V202" s="34"/>
      <c r="W202" s="34"/>
      <c r="X202" s="34"/>
      <c r="Y202" s="34"/>
    </row>
    <row r="203" ht="15.0" hidden="1" customHeight="1">
      <c r="B203" s="30">
        <v>198.0</v>
      </c>
      <c r="C203" s="31" t="s">
        <v>21</v>
      </c>
      <c r="D203" s="31" t="s">
        <v>56</v>
      </c>
      <c r="E203" s="31" t="s">
        <v>79</v>
      </c>
      <c r="F203" s="31" t="s">
        <v>80</v>
      </c>
      <c r="G203" s="32" t="s">
        <v>16</v>
      </c>
      <c r="H203" s="33">
        <v>5011.0</v>
      </c>
      <c r="I203" s="33">
        <v>791.0</v>
      </c>
      <c r="J203" s="33">
        <v>468.0</v>
      </c>
      <c r="K203" s="33">
        <v>323.0</v>
      </c>
      <c r="L203" s="33">
        <v>4220.0</v>
      </c>
      <c r="M203" s="33">
        <v>6604.0</v>
      </c>
      <c r="N203" s="33">
        <v>1892.0</v>
      </c>
      <c r="O203" s="33">
        <v>1559.0</v>
      </c>
      <c r="P203" s="33">
        <v>333.0</v>
      </c>
      <c r="Q203" s="33">
        <v>4712.0</v>
      </c>
      <c r="R203" s="34">
        <v>15.7852724</v>
      </c>
      <c r="S203" s="34">
        <v>9.3394532</v>
      </c>
      <c r="T203" s="34">
        <v>6.4458192</v>
      </c>
      <c r="U203" s="34">
        <v>84.2147276</v>
      </c>
      <c r="V203" s="34">
        <v>28.6493035</v>
      </c>
      <c r="W203" s="34">
        <v>23.6069049</v>
      </c>
      <c r="X203" s="34">
        <v>5.0423985</v>
      </c>
      <c r="Y203" s="34">
        <v>71.3506965</v>
      </c>
    </row>
    <row r="204" ht="15.0" customHeight="1">
      <c r="B204" s="35">
        <v>199.0</v>
      </c>
      <c r="C204" s="36" t="s">
        <v>21</v>
      </c>
      <c r="D204" s="41" t="s">
        <v>56</v>
      </c>
      <c r="E204" s="41" t="s">
        <v>79</v>
      </c>
      <c r="F204" s="41" t="s">
        <v>81</v>
      </c>
      <c r="G204" s="42" t="s">
        <v>81</v>
      </c>
      <c r="H204" s="37">
        <v>6606.0</v>
      </c>
      <c r="I204" s="37">
        <v>1811.0</v>
      </c>
      <c r="J204" s="37">
        <v>1164.0</v>
      </c>
      <c r="K204" s="37">
        <v>647.0</v>
      </c>
      <c r="L204" s="37">
        <v>4795.0</v>
      </c>
      <c r="M204" s="37">
        <v>8013.0</v>
      </c>
      <c r="N204" s="37">
        <v>3379.0</v>
      </c>
      <c r="O204" s="37">
        <v>3096.0</v>
      </c>
      <c r="P204" s="37">
        <v>283.0</v>
      </c>
      <c r="Q204" s="37">
        <v>4634.0</v>
      </c>
      <c r="R204" s="38">
        <v>27.4144717</v>
      </c>
      <c r="S204" s="38">
        <v>17.6203451</v>
      </c>
      <c r="T204" s="38">
        <v>9.7941266</v>
      </c>
      <c r="U204" s="38">
        <v>72.5855283</v>
      </c>
      <c r="V204" s="38">
        <v>42.1689754</v>
      </c>
      <c r="W204" s="38">
        <v>38.6372145</v>
      </c>
      <c r="X204" s="38">
        <v>3.5317609</v>
      </c>
      <c r="Y204" s="38">
        <v>57.8310246</v>
      </c>
    </row>
    <row r="205" ht="15.0" hidden="1" customHeight="1">
      <c r="B205" s="30">
        <v>200.0</v>
      </c>
      <c r="C205" s="31" t="s">
        <v>21</v>
      </c>
      <c r="D205" s="31" t="s">
        <v>56</v>
      </c>
      <c r="E205" s="31" t="s">
        <v>79</v>
      </c>
      <c r="F205" s="31" t="s">
        <v>81</v>
      </c>
      <c r="G205" s="32" t="s">
        <v>15</v>
      </c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4"/>
      <c r="S205" s="34"/>
      <c r="T205" s="34"/>
      <c r="U205" s="34"/>
      <c r="V205" s="34"/>
      <c r="W205" s="34"/>
      <c r="X205" s="34"/>
      <c r="Y205" s="34"/>
    </row>
    <row r="206" ht="15.0" hidden="1" customHeight="1">
      <c r="B206" s="30">
        <v>201.0</v>
      </c>
      <c r="C206" s="31" t="s">
        <v>21</v>
      </c>
      <c r="D206" s="31" t="s">
        <v>56</v>
      </c>
      <c r="E206" s="31" t="s">
        <v>79</v>
      </c>
      <c r="F206" s="31" t="s">
        <v>81</v>
      </c>
      <c r="G206" s="32" t="s">
        <v>16</v>
      </c>
      <c r="H206" s="33">
        <v>6606.0</v>
      </c>
      <c r="I206" s="33">
        <v>1811.0</v>
      </c>
      <c r="J206" s="33">
        <v>1164.0</v>
      </c>
      <c r="K206" s="33">
        <v>647.0</v>
      </c>
      <c r="L206" s="33">
        <v>4795.0</v>
      </c>
      <c r="M206" s="33">
        <v>8013.0</v>
      </c>
      <c r="N206" s="33">
        <v>3379.0</v>
      </c>
      <c r="O206" s="33">
        <v>3096.0</v>
      </c>
      <c r="P206" s="33">
        <v>283.0</v>
      </c>
      <c r="Q206" s="33">
        <v>4634.0</v>
      </c>
      <c r="R206" s="34">
        <v>27.4144717</v>
      </c>
      <c r="S206" s="34">
        <v>17.6203451</v>
      </c>
      <c r="T206" s="34">
        <v>9.7941266</v>
      </c>
      <c r="U206" s="34">
        <v>72.5855283</v>
      </c>
      <c r="V206" s="34">
        <v>42.1689754</v>
      </c>
      <c r="W206" s="34">
        <v>38.6372145</v>
      </c>
      <c r="X206" s="34">
        <v>3.5317609</v>
      </c>
      <c r="Y206" s="34">
        <v>57.8310246</v>
      </c>
    </row>
    <row r="207" ht="15.0" customHeight="1">
      <c r="B207" s="35">
        <v>202.0</v>
      </c>
      <c r="C207" s="36" t="s">
        <v>21</v>
      </c>
      <c r="D207" s="41" t="s">
        <v>56</v>
      </c>
      <c r="E207" s="41" t="s">
        <v>79</v>
      </c>
      <c r="F207" s="41" t="s">
        <v>82</v>
      </c>
      <c r="G207" s="42" t="s">
        <v>82</v>
      </c>
      <c r="H207" s="37">
        <v>5347.0</v>
      </c>
      <c r="I207" s="37">
        <v>1201.0</v>
      </c>
      <c r="J207" s="37">
        <v>901.0</v>
      </c>
      <c r="K207" s="37">
        <v>300.0</v>
      </c>
      <c r="L207" s="37">
        <v>4146.0</v>
      </c>
      <c r="M207" s="37">
        <v>7065.0</v>
      </c>
      <c r="N207" s="37">
        <v>2733.0</v>
      </c>
      <c r="O207" s="37">
        <v>2469.0</v>
      </c>
      <c r="P207" s="37">
        <v>264.0</v>
      </c>
      <c r="Q207" s="37">
        <v>4332.0</v>
      </c>
      <c r="R207" s="38">
        <v>22.4611932</v>
      </c>
      <c r="S207" s="38">
        <v>16.8505704</v>
      </c>
      <c r="T207" s="38">
        <v>5.6106228</v>
      </c>
      <c r="U207" s="38">
        <v>77.5388068</v>
      </c>
      <c r="V207" s="38">
        <v>38.6836518</v>
      </c>
      <c r="W207" s="38">
        <v>34.9469214</v>
      </c>
      <c r="X207" s="38">
        <v>3.7367304</v>
      </c>
      <c r="Y207" s="38">
        <v>61.3163482</v>
      </c>
    </row>
    <row r="208" ht="15.0" hidden="1" customHeight="1">
      <c r="B208" s="30">
        <v>203.0</v>
      </c>
      <c r="C208" s="31" t="s">
        <v>21</v>
      </c>
      <c r="D208" s="31" t="s">
        <v>56</v>
      </c>
      <c r="E208" s="31" t="s">
        <v>79</v>
      </c>
      <c r="F208" s="31" t="s">
        <v>82</v>
      </c>
      <c r="G208" s="32" t="s">
        <v>15</v>
      </c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4"/>
      <c r="S208" s="34"/>
      <c r="T208" s="34"/>
      <c r="U208" s="34"/>
      <c r="V208" s="34"/>
      <c r="W208" s="34"/>
      <c r="X208" s="34"/>
      <c r="Y208" s="34"/>
    </row>
    <row r="209" ht="15.0" hidden="1" customHeight="1">
      <c r="B209" s="30">
        <v>204.0</v>
      </c>
      <c r="C209" s="31" t="s">
        <v>21</v>
      </c>
      <c r="D209" s="31" t="s">
        <v>56</v>
      </c>
      <c r="E209" s="31" t="s">
        <v>79</v>
      </c>
      <c r="F209" s="31" t="s">
        <v>82</v>
      </c>
      <c r="G209" s="32" t="s">
        <v>16</v>
      </c>
      <c r="H209" s="33">
        <v>5347.0</v>
      </c>
      <c r="I209" s="33">
        <v>1201.0</v>
      </c>
      <c r="J209" s="33">
        <v>901.0</v>
      </c>
      <c r="K209" s="33">
        <v>300.0</v>
      </c>
      <c r="L209" s="33">
        <v>4146.0</v>
      </c>
      <c r="M209" s="33">
        <v>7065.0</v>
      </c>
      <c r="N209" s="33">
        <v>2733.0</v>
      </c>
      <c r="O209" s="33">
        <v>2469.0</v>
      </c>
      <c r="P209" s="33">
        <v>264.0</v>
      </c>
      <c r="Q209" s="33">
        <v>4332.0</v>
      </c>
      <c r="R209" s="34">
        <v>22.4611932</v>
      </c>
      <c r="S209" s="34">
        <v>16.8505704</v>
      </c>
      <c r="T209" s="34">
        <v>5.6106228</v>
      </c>
      <c r="U209" s="34">
        <v>77.5388068</v>
      </c>
      <c r="V209" s="34">
        <v>38.6836518</v>
      </c>
      <c r="W209" s="34">
        <v>34.9469214</v>
      </c>
      <c r="X209" s="34">
        <v>3.7367304</v>
      </c>
      <c r="Y209" s="34">
        <v>61.3163482</v>
      </c>
    </row>
    <row r="210" ht="15.0" customHeight="1">
      <c r="B210" s="35">
        <v>205.0</v>
      </c>
      <c r="C210" s="36" t="s">
        <v>21</v>
      </c>
      <c r="D210" s="41" t="s">
        <v>56</v>
      </c>
      <c r="E210" s="41" t="s">
        <v>79</v>
      </c>
      <c r="F210" s="41" t="s">
        <v>83</v>
      </c>
      <c r="G210" s="42" t="s">
        <v>83</v>
      </c>
      <c r="H210" s="37">
        <v>2108.0</v>
      </c>
      <c r="I210" s="37">
        <v>445.0</v>
      </c>
      <c r="J210" s="37">
        <v>110.0</v>
      </c>
      <c r="K210" s="37">
        <v>335.0</v>
      </c>
      <c r="L210" s="37">
        <v>1663.0</v>
      </c>
      <c r="M210" s="37">
        <v>2527.0</v>
      </c>
      <c r="N210" s="37">
        <v>737.0</v>
      </c>
      <c r="O210" s="37">
        <v>617.0</v>
      </c>
      <c r="P210" s="37">
        <v>120.0</v>
      </c>
      <c r="Q210" s="37">
        <v>1790.0</v>
      </c>
      <c r="R210" s="38">
        <v>21.1100569</v>
      </c>
      <c r="S210" s="38">
        <v>5.2182163</v>
      </c>
      <c r="T210" s="38">
        <v>15.8918406</v>
      </c>
      <c r="U210" s="38">
        <v>78.8899431</v>
      </c>
      <c r="V210" s="38">
        <v>29.1650178</v>
      </c>
      <c r="W210" s="38">
        <v>24.4163039</v>
      </c>
      <c r="X210" s="38">
        <v>4.7487139</v>
      </c>
      <c r="Y210" s="38">
        <v>70.8349822</v>
      </c>
    </row>
    <row r="211" ht="15.0" hidden="1" customHeight="1">
      <c r="B211" s="30">
        <v>206.0</v>
      </c>
      <c r="C211" s="31" t="s">
        <v>21</v>
      </c>
      <c r="D211" s="31" t="s">
        <v>56</v>
      </c>
      <c r="E211" s="31" t="s">
        <v>79</v>
      </c>
      <c r="F211" s="31" t="s">
        <v>83</v>
      </c>
      <c r="G211" s="32" t="s">
        <v>15</v>
      </c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4"/>
      <c r="S211" s="34"/>
      <c r="T211" s="34"/>
      <c r="U211" s="34"/>
      <c r="V211" s="34"/>
      <c r="W211" s="34"/>
      <c r="X211" s="34"/>
      <c r="Y211" s="34"/>
    </row>
    <row r="212" ht="15.0" hidden="1" customHeight="1">
      <c r="B212" s="30">
        <v>207.0</v>
      </c>
      <c r="C212" s="31" t="s">
        <v>21</v>
      </c>
      <c r="D212" s="31" t="s">
        <v>56</v>
      </c>
      <c r="E212" s="31" t="s">
        <v>79</v>
      </c>
      <c r="F212" s="31" t="s">
        <v>83</v>
      </c>
      <c r="G212" s="32" t="s">
        <v>16</v>
      </c>
      <c r="H212" s="33">
        <v>2108.0</v>
      </c>
      <c r="I212" s="33">
        <v>445.0</v>
      </c>
      <c r="J212" s="33">
        <v>110.0</v>
      </c>
      <c r="K212" s="33">
        <v>335.0</v>
      </c>
      <c r="L212" s="33">
        <v>1663.0</v>
      </c>
      <c r="M212" s="33">
        <v>2527.0</v>
      </c>
      <c r="N212" s="33">
        <v>737.0</v>
      </c>
      <c r="O212" s="33">
        <v>617.0</v>
      </c>
      <c r="P212" s="33">
        <v>120.0</v>
      </c>
      <c r="Q212" s="33">
        <v>1790.0</v>
      </c>
      <c r="R212" s="34">
        <v>21.1100569</v>
      </c>
      <c r="S212" s="34">
        <v>5.2182163</v>
      </c>
      <c r="T212" s="34">
        <v>15.8918406</v>
      </c>
      <c r="U212" s="34">
        <v>78.8899431</v>
      </c>
      <c r="V212" s="34">
        <v>29.1650178</v>
      </c>
      <c r="W212" s="34">
        <v>24.4163039</v>
      </c>
      <c r="X212" s="34">
        <v>4.7487139</v>
      </c>
      <c r="Y212" s="34">
        <v>70.8349822</v>
      </c>
    </row>
    <row r="213" ht="15.0" customHeight="1">
      <c r="B213" s="35">
        <v>208.0</v>
      </c>
      <c r="C213" s="36" t="s">
        <v>21</v>
      </c>
      <c r="D213" s="41" t="s">
        <v>56</v>
      </c>
      <c r="E213" s="41" t="s">
        <v>79</v>
      </c>
      <c r="F213" s="41" t="s">
        <v>84</v>
      </c>
      <c r="G213" s="42" t="s">
        <v>84</v>
      </c>
      <c r="H213" s="37">
        <v>3027.0</v>
      </c>
      <c r="I213" s="37">
        <v>370.0</v>
      </c>
      <c r="J213" s="37">
        <v>251.0</v>
      </c>
      <c r="K213" s="37">
        <v>119.0</v>
      </c>
      <c r="L213" s="37">
        <v>2657.0</v>
      </c>
      <c r="M213" s="37">
        <v>4116.0</v>
      </c>
      <c r="N213" s="37">
        <v>1340.0</v>
      </c>
      <c r="O213" s="37">
        <v>1232.0</v>
      </c>
      <c r="P213" s="37">
        <v>108.0</v>
      </c>
      <c r="Q213" s="37">
        <v>2776.0</v>
      </c>
      <c r="R213" s="38">
        <v>12.2233234</v>
      </c>
      <c r="S213" s="38">
        <v>8.2920383</v>
      </c>
      <c r="T213" s="38">
        <v>3.9312851</v>
      </c>
      <c r="U213" s="38">
        <v>87.7766766</v>
      </c>
      <c r="V213" s="38">
        <v>32.5558795</v>
      </c>
      <c r="W213" s="38">
        <v>29.9319728</v>
      </c>
      <c r="X213" s="38">
        <v>2.6239067</v>
      </c>
      <c r="Y213" s="38">
        <v>67.4441205</v>
      </c>
    </row>
    <row r="214" ht="15.0" hidden="1" customHeight="1">
      <c r="B214" s="30">
        <v>209.0</v>
      </c>
      <c r="C214" s="31" t="s">
        <v>21</v>
      </c>
      <c r="D214" s="31" t="s">
        <v>56</v>
      </c>
      <c r="E214" s="31" t="s">
        <v>79</v>
      </c>
      <c r="F214" s="31" t="s">
        <v>84</v>
      </c>
      <c r="G214" s="32" t="s">
        <v>15</v>
      </c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4"/>
      <c r="S214" s="34"/>
      <c r="T214" s="34"/>
      <c r="U214" s="34"/>
      <c r="V214" s="34"/>
      <c r="W214" s="34"/>
      <c r="X214" s="34"/>
      <c r="Y214" s="34"/>
    </row>
    <row r="215" ht="15.0" hidden="1" customHeight="1">
      <c r="B215" s="30">
        <v>210.0</v>
      </c>
      <c r="C215" s="31" t="s">
        <v>21</v>
      </c>
      <c r="D215" s="31" t="s">
        <v>56</v>
      </c>
      <c r="E215" s="31" t="s">
        <v>79</v>
      </c>
      <c r="F215" s="31" t="s">
        <v>84</v>
      </c>
      <c r="G215" s="32" t="s">
        <v>16</v>
      </c>
      <c r="H215" s="33">
        <v>3027.0</v>
      </c>
      <c r="I215" s="33">
        <v>370.0</v>
      </c>
      <c r="J215" s="33">
        <v>251.0</v>
      </c>
      <c r="K215" s="33">
        <v>119.0</v>
      </c>
      <c r="L215" s="33">
        <v>2657.0</v>
      </c>
      <c r="M215" s="33">
        <v>4116.0</v>
      </c>
      <c r="N215" s="33">
        <v>1340.0</v>
      </c>
      <c r="O215" s="33">
        <v>1232.0</v>
      </c>
      <c r="P215" s="33">
        <v>108.0</v>
      </c>
      <c r="Q215" s="33">
        <v>2776.0</v>
      </c>
      <c r="R215" s="34">
        <v>12.2233234</v>
      </c>
      <c r="S215" s="34">
        <v>8.2920383</v>
      </c>
      <c r="T215" s="34">
        <v>3.9312851</v>
      </c>
      <c r="U215" s="34">
        <v>87.7766766</v>
      </c>
      <c r="V215" s="34">
        <v>32.5558795</v>
      </c>
      <c r="W215" s="34">
        <v>29.9319728</v>
      </c>
      <c r="X215" s="34">
        <v>2.6239067</v>
      </c>
      <c r="Y215" s="34">
        <v>67.4441205</v>
      </c>
    </row>
    <row r="216" ht="15.0" hidden="1" customHeight="1">
      <c r="B216" s="26">
        <v>211.0</v>
      </c>
      <c r="C216" s="27" t="s">
        <v>19</v>
      </c>
      <c r="D216" s="40" t="s">
        <v>56</v>
      </c>
      <c r="E216" s="40" t="s">
        <v>85</v>
      </c>
      <c r="F216" s="40"/>
      <c r="G216" s="27" t="s">
        <v>85</v>
      </c>
      <c r="H216" s="28">
        <v>8623.0</v>
      </c>
      <c r="I216" s="28">
        <v>2529.0</v>
      </c>
      <c r="J216" s="28">
        <v>1530.0</v>
      </c>
      <c r="K216" s="28">
        <v>999.0</v>
      </c>
      <c r="L216" s="28">
        <v>6094.0</v>
      </c>
      <c r="M216" s="28">
        <v>12382.0</v>
      </c>
      <c r="N216" s="28">
        <v>5799.0</v>
      </c>
      <c r="O216" s="28">
        <v>5079.0</v>
      </c>
      <c r="P216" s="28">
        <v>720.0</v>
      </c>
      <c r="Q216" s="28">
        <v>6583.0</v>
      </c>
      <c r="R216" s="29">
        <v>29.32854</v>
      </c>
      <c r="S216" s="29">
        <v>17.7432448</v>
      </c>
      <c r="T216" s="29">
        <v>11.5852951</v>
      </c>
      <c r="U216" s="29">
        <v>70.67146</v>
      </c>
      <c r="V216" s="29">
        <v>46.834114</v>
      </c>
      <c r="W216" s="29">
        <v>41.0192215</v>
      </c>
      <c r="X216" s="29">
        <v>5.8148926</v>
      </c>
      <c r="Y216" s="29">
        <v>53.165886</v>
      </c>
    </row>
    <row r="217" ht="15.0" hidden="1" customHeight="1">
      <c r="B217" s="30">
        <v>212.0</v>
      </c>
      <c r="C217" s="31" t="s">
        <v>19</v>
      </c>
      <c r="D217" s="31" t="s">
        <v>56</v>
      </c>
      <c r="E217" s="31" t="s">
        <v>85</v>
      </c>
      <c r="F217" s="31"/>
      <c r="G217" s="32" t="s">
        <v>15</v>
      </c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4"/>
      <c r="S217" s="34"/>
      <c r="T217" s="34"/>
      <c r="U217" s="34"/>
      <c r="V217" s="34"/>
      <c r="W217" s="34"/>
      <c r="X217" s="34"/>
      <c r="Y217" s="34"/>
    </row>
    <row r="218" ht="15.0" hidden="1" customHeight="1">
      <c r="B218" s="30">
        <v>213.0</v>
      </c>
      <c r="C218" s="31" t="s">
        <v>19</v>
      </c>
      <c r="D218" s="31" t="s">
        <v>56</v>
      </c>
      <c r="E218" s="31" t="s">
        <v>85</v>
      </c>
      <c r="F218" s="31"/>
      <c r="G218" s="32" t="s">
        <v>16</v>
      </c>
      <c r="H218" s="33">
        <v>8623.0</v>
      </c>
      <c r="I218" s="33">
        <v>2529.0</v>
      </c>
      <c r="J218" s="33">
        <v>1530.0</v>
      </c>
      <c r="K218" s="33">
        <v>999.0</v>
      </c>
      <c r="L218" s="33">
        <v>6094.0</v>
      </c>
      <c r="M218" s="33">
        <v>12382.0</v>
      </c>
      <c r="N218" s="33">
        <v>5799.0</v>
      </c>
      <c r="O218" s="33">
        <v>5079.0</v>
      </c>
      <c r="P218" s="33">
        <v>720.0</v>
      </c>
      <c r="Q218" s="33">
        <v>6583.0</v>
      </c>
      <c r="R218" s="34">
        <v>29.32854</v>
      </c>
      <c r="S218" s="34">
        <v>17.7432448</v>
      </c>
      <c r="T218" s="34">
        <v>11.5852951</v>
      </c>
      <c r="U218" s="34">
        <v>70.67146</v>
      </c>
      <c r="V218" s="34">
        <v>46.834114</v>
      </c>
      <c r="W218" s="34">
        <v>41.0192215</v>
      </c>
      <c r="X218" s="34">
        <v>5.8148926</v>
      </c>
      <c r="Y218" s="34">
        <v>53.165886</v>
      </c>
    </row>
    <row r="219" ht="15.0" customHeight="1">
      <c r="B219" s="35">
        <v>214.0</v>
      </c>
      <c r="C219" s="36" t="s">
        <v>21</v>
      </c>
      <c r="D219" s="41" t="s">
        <v>56</v>
      </c>
      <c r="E219" s="41" t="s">
        <v>85</v>
      </c>
      <c r="F219" s="41" t="s">
        <v>86</v>
      </c>
      <c r="G219" s="42" t="s">
        <v>86</v>
      </c>
      <c r="H219" s="37">
        <v>3938.0</v>
      </c>
      <c r="I219" s="37">
        <v>1107.0</v>
      </c>
      <c r="J219" s="37">
        <v>632.0</v>
      </c>
      <c r="K219" s="37">
        <v>475.0</v>
      </c>
      <c r="L219" s="37">
        <v>2831.0</v>
      </c>
      <c r="M219" s="37">
        <v>6388.0</v>
      </c>
      <c r="N219" s="37">
        <v>3129.0</v>
      </c>
      <c r="O219" s="37">
        <v>2790.0</v>
      </c>
      <c r="P219" s="37">
        <v>339.0</v>
      </c>
      <c r="Q219" s="37">
        <v>3259.0</v>
      </c>
      <c r="R219" s="38">
        <v>28.1107161</v>
      </c>
      <c r="S219" s="38">
        <v>16.0487557</v>
      </c>
      <c r="T219" s="38">
        <v>12.0619604</v>
      </c>
      <c r="U219" s="38">
        <v>71.8892839</v>
      </c>
      <c r="V219" s="38">
        <v>48.9824671</v>
      </c>
      <c r="W219" s="38">
        <v>43.6756418</v>
      </c>
      <c r="X219" s="38">
        <v>5.3068253</v>
      </c>
      <c r="Y219" s="38">
        <v>51.0175329</v>
      </c>
    </row>
    <row r="220" ht="15.0" hidden="1" customHeight="1">
      <c r="B220" s="30">
        <v>215.0</v>
      </c>
      <c r="C220" s="31" t="s">
        <v>21</v>
      </c>
      <c r="D220" s="31" t="s">
        <v>56</v>
      </c>
      <c r="E220" s="31" t="s">
        <v>85</v>
      </c>
      <c r="F220" s="31" t="s">
        <v>86</v>
      </c>
      <c r="G220" s="32" t="s">
        <v>15</v>
      </c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4"/>
      <c r="S220" s="34"/>
      <c r="T220" s="34"/>
      <c r="U220" s="34"/>
      <c r="V220" s="34"/>
      <c r="W220" s="34"/>
      <c r="X220" s="34"/>
      <c r="Y220" s="34"/>
    </row>
    <row r="221" ht="15.0" hidden="1" customHeight="1">
      <c r="B221" s="30">
        <v>216.0</v>
      </c>
      <c r="C221" s="31" t="s">
        <v>21</v>
      </c>
      <c r="D221" s="31" t="s">
        <v>56</v>
      </c>
      <c r="E221" s="31" t="s">
        <v>85</v>
      </c>
      <c r="F221" s="31" t="s">
        <v>86</v>
      </c>
      <c r="G221" s="32" t="s">
        <v>16</v>
      </c>
      <c r="H221" s="33">
        <v>3938.0</v>
      </c>
      <c r="I221" s="33">
        <v>1107.0</v>
      </c>
      <c r="J221" s="33">
        <v>632.0</v>
      </c>
      <c r="K221" s="33">
        <v>475.0</v>
      </c>
      <c r="L221" s="33">
        <v>2831.0</v>
      </c>
      <c r="M221" s="33">
        <v>6388.0</v>
      </c>
      <c r="N221" s="33">
        <v>3129.0</v>
      </c>
      <c r="O221" s="33">
        <v>2790.0</v>
      </c>
      <c r="P221" s="33">
        <v>339.0</v>
      </c>
      <c r="Q221" s="33">
        <v>3259.0</v>
      </c>
      <c r="R221" s="34">
        <v>28.1107161</v>
      </c>
      <c r="S221" s="34">
        <v>16.0487557</v>
      </c>
      <c r="T221" s="34">
        <v>12.0619604</v>
      </c>
      <c r="U221" s="34">
        <v>71.8892839</v>
      </c>
      <c r="V221" s="34">
        <v>48.9824671</v>
      </c>
      <c r="W221" s="34">
        <v>43.6756418</v>
      </c>
      <c r="X221" s="34">
        <v>5.3068253</v>
      </c>
      <c r="Y221" s="34">
        <v>51.0175329</v>
      </c>
    </row>
    <row r="222" ht="15.0" customHeight="1">
      <c r="B222" s="35">
        <v>217.0</v>
      </c>
      <c r="C222" s="36" t="s">
        <v>21</v>
      </c>
      <c r="D222" s="41" t="s">
        <v>56</v>
      </c>
      <c r="E222" s="41" t="s">
        <v>85</v>
      </c>
      <c r="F222" s="41" t="s">
        <v>87</v>
      </c>
      <c r="G222" s="42" t="s">
        <v>87</v>
      </c>
      <c r="H222" s="37">
        <v>2747.0</v>
      </c>
      <c r="I222" s="37">
        <v>954.0</v>
      </c>
      <c r="J222" s="37">
        <v>725.0</v>
      </c>
      <c r="K222" s="37">
        <v>229.0</v>
      </c>
      <c r="L222" s="37">
        <v>1793.0</v>
      </c>
      <c r="M222" s="37">
        <v>3494.0</v>
      </c>
      <c r="N222" s="37">
        <v>1618.0</v>
      </c>
      <c r="O222" s="37">
        <v>1465.0</v>
      </c>
      <c r="P222" s="37">
        <v>153.0</v>
      </c>
      <c r="Q222" s="37">
        <v>1876.0</v>
      </c>
      <c r="R222" s="38">
        <v>34.728795</v>
      </c>
      <c r="S222" s="38">
        <v>26.3924281</v>
      </c>
      <c r="T222" s="38">
        <v>8.3363669</v>
      </c>
      <c r="U222" s="38">
        <v>65.271205</v>
      </c>
      <c r="V222" s="38">
        <v>46.3079565</v>
      </c>
      <c r="W222" s="38">
        <v>41.9290212</v>
      </c>
      <c r="X222" s="38">
        <v>4.3789353</v>
      </c>
      <c r="Y222" s="38">
        <v>53.6920435</v>
      </c>
    </row>
    <row r="223" ht="15.0" hidden="1" customHeight="1">
      <c r="B223" s="30">
        <v>218.0</v>
      </c>
      <c r="C223" s="31" t="s">
        <v>21</v>
      </c>
      <c r="D223" s="31" t="s">
        <v>56</v>
      </c>
      <c r="E223" s="31" t="s">
        <v>85</v>
      </c>
      <c r="F223" s="31" t="s">
        <v>87</v>
      </c>
      <c r="G223" s="32" t="s">
        <v>15</v>
      </c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4"/>
      <c r="S223" s="34"/>
      <c r="T223" s="34"/>
      <c r="U223" s="34"/>
      <c r="V223" s="34"/>
      <c r="W223" s="34"/>
      <c r="X223" s="34"/>
      <c r="Y223" s="34"/>
    </row>
    <row r="224" ht="15.0" hidden="1" customHeight="1">
      <c r="B224" s="30">
        <v>219.0</v>
      </c>
      <c r="C224" s="31" t="s">
        <v>21</v>
      </c>
      <c r="D224" s="31" t="s">
        <v>56</v>
      </c>
      <c r="E224" s="31" t="s">
        <v>85</v>
      </c>
      <c r="F224" s="31" t="s">
        <v>87</v>
      </c>
      <c r="G224" s="32" t="s">
        <v>16</v>
      </c>
      <c r="H224" s="33">
        <v>2747.0</v>
      </c>
      <c r="I224" s="33">
        <v>954.0</v>
      </c>
      <c r="J224" s="33">
        <v>725.0</v>
      </c>
      <c r="K224" s="33">
        <v>229.0</v>
      </c>
      <c r="L224" s="33">
        <v>1793.0</v>
      </c>
      <c r="M224" s="33">
        <v>3494.0</v>
      </c>
      <c r="N224" s="33">
        <v>1618.0</v>
      </c>
      <c r="O224" s="33">
        <v>1465.0</v>
      </c>
      <c r="P224" s="33">
        <v>153.0</v>
      </c>
      <c r="Q224" s="33">
        <v>1876.0</v>
      </c>
      <c r="R224" s="34">
        <v>34.728795</v>
      </c>
      <c r="S224" s="34">
        <v>26.3924281</v>
      </c>
      <c r="T224" s="34">
        <v>8.3363669</v>
      </c>
      <c r="U224" s="34">
        <v>65.271205</v>
      </c>
      <c r="V224" s="34">
        <v>46.3079565</v>
      </c>
      <c r="W224" s="34">
        <v>41.9290212</v>
      </c>
      <c r="X224" s="34">
        <v>4.3789353</v>
      </c>
      <c r="Y224" s="34">
        <v>53.6920435</v>
      </c>
    </row>
    <row r="225" ht="15.0" customHeight="1">
      <c r="B225" s="35">
        <v>220.0</v>
      </c>
      <c r="C225" s="36" t="s">
        <v>21</v>
      </c>
      <c r="D225" s="41" t="s">
        <v>56</v>
      </c>
      <c r="E225" s="41" t="s">
        <v>85</v>
      </c>
      <c r="F225" s="41" t="s">
        <v>88</v>
      </c>
      <c r="G225" s="42" t="s">
        <v>88</v>
      </c>
      <c r="H225" s="37">
        <v>1938.0</v>
      </c>
      <c r="I225" s="37">
        <v>468.0</v>
      </c>
      <c r="J225" s="37">
        <v>173.0</v>
      </c>
      <c r="K225" s="37">
        <v>295.0</v>
      </c>
      <c r="L225" s="37">
        <v>1470.0</v>
      </c>
      <c r="M225" s="37">
        <v>2500.0</v>
      </c>
      <c r="N225" s="37">
        <v>1052.0</v>
      </c>
      <c r="O225" s="37">
        <v>824.0</v>
      </c>
      <c r="P225" s="37">
        <v>228.0</v>
      </c>
      <c r="Q225" s="37">
        <v>1448.0</v>
      </c>
      <c r="R225" s="38">
        <v>24.1486068</v>
      </c>
      <c r="S225" s="38">
        <v>8.9267286</v>
      </c>
      <c r="T225" s="38">
        <v>15.2218782</v>
      </c>
      <c r="U225" s="38">
        <v>75.8513932</v>
      </c>
      <c r="V225" s="38">
        <v>42.08</v>
      </c>
      <c r="W225" s="38">
        <v>32.96</v>
      </c>
      <c r="X225" s="38">
        <v>9.12</v>
      </c>
      <c r="Y225" s="38">
        <v>57.92</v>
      </c>
    </row>
    <row r="226" ht="15.0" hidden="1" customHeight="1">
      <c r="B226" s="30">
        <v>221.0</v>
      </c>
      <c r="C226" s="31" t="s">
        <v>21</v>
      </c>
      <c r="D226" s="31" t="s">
        <v>56</v>
      </c>
      <c r="E226" s="31" t="s">
        <v>85</v>
      </c>
      <c r="F226" s="31" t="s">
        <v>88</v>
      </c>
      <c r="G226" s="32" t="s">
        <v>15</v>
      </c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4"/>
      <c r="S226" s="34"/>
      <c r="T226" s="34"/>
      <c r="U226" s="34"/>
      <c r="V226" s="34"/>
      <c r="W226" s="34"/>
      <c r="X226" s="34"/>
      <c r="Y226" s="34"/>
    </row>
    <row r="227" ht="15.0" hidden="1" customHeight="1">
      <c r="B227" s="30">
        <v>222.0</v>
      </c>
      <c r="C227" s="31" t="s">
        <v>21</v>
      </c>
      <c r="D227" s="31" t="s">
        <v>56</v>
      </c>
      <c r="E227" s="31" t="s">
        <v>85</v>
      </c>
      <c r="F227" s="31" t="s">
        <v>88</v>
      </c>
      <c r="G227" s="32" t="s">
        <v>16</v>
      </c>
      <c r="H227" s="33">
        <v>1938.0</v>
      </c>
      <c r="I227" s="33">
        <v>468.0</v>
      </c>
      <c r="J227" s="33">
        <v>173.0</v>
      </c>
      <c r="K227" s="33">
        <v>295.0</v>
      </c>
      <c r="L227" s="33">
        <v>1470.0</v>
      </c>
      <c r="M227" s="33">
        <v>2500.0</v>
      </c>
      <c r="N227" s="33">
        <v>1052.0</v>
      </c>
      <c r="O227" s="33">
        <v>824.0</v>
      </c>
      <c r="P227" s="33">
        <v>228.0</v>
      </c>
      <c r="Q227" s="33">
        <v>1448.0</v>
      </c>
      <c r="R227" s="34">
        <v>24.1486068</v>
      </c>
      <c r="S227" s="34">
        <v>8.9267286</v>
      </c>
      <c r="T227" s="34">
        <v>15.2218782</v>
      </c>
      <c r="U227" s="34">
        <v>75.8513932</v>
      </c>
      <c r="V227" s="34">
        <v>42.08</v>
      </c>
      <c r="W227" s="34">
        <v>32.96</v>
      </c>
      <c r="X227" s="34">
        <v>9.12</v>
      </c>
      <c r="Y227" s="34">
        <v>57.92</v>
      </c>
    </row>
    <row r="228" ht="15.0" hidden="1" customHeight="1">
      <c r="B228" s="26">
        <v>223.0</v>
      </c>
      <c r="C228" s="27" t="s">
        <v>19</v>
      </c>
      <c r="D228" s="40" t="s">
        <v>56</v>
      </c>
      <c r="E228" s="40" t="s">
        <v>89</v>
      </c>
      <c r="F228" s="40"/>
      <c r="G228" s="27" t="s">
        <v>89</v>
      </c>
      <c r="H228" s="28">
        <v>29451.0</v>
      </c>
      <c r="I228" s="28">
        <v>12091.0</v>
      </c>
      <c r="J228" s="28">
        <v>6297.0</v>
      </c>
      <c r="K228" s="28">
        <v>5794.0</v>
      </c>
      <c r="L228" s="28">
        <v>17360.0</v>
      </c>
      <c r="M228" s="28">
        <v>39439.0</v>
      </c>
      <c r="N228" s="28">
        <v>26209.0</v>
      </c>
      <c r="O228" s="28">
        <v>19079.0</v>
      </c>
      <c r="P228" s="28">
        <v>7130.0</v>
      </c>
      <c r="Q228" s="28">
        <v>13230.0</v>
      </c>
      <c r="R228" s="29">
        <v>41.0546331</v>
      </c>
      <c r="S228" s="29">
        <v>21.3812774</v>
      </c>
      <c r="T228" s="29">
        <v>19.6733557</v>
      </c>
      <c r="U228" s="29">
        <v>58.9453669</v>
      </c>
      <c r="V228" s="29">
        <v>66.4545247</v>
      </c>
      <c r="W228" s="29">
        <v>48.375973</v>
      </c>
      <c r="X228" s="29">
        <v>18.0785517</v>
      </c>
      <c r="Y228" s="29">
        <v>33.5454753</v>
      </c>
    </row>
    <row r="229" ht="15.0" hidden="1" customHeight="1">
      <c r="B229" s="30">
        <v>224.0</v>
      </c>
      <c r="C229" s="31" t="s">
        <v>19</v>
      </c>
      <c r="D229" s="31" t="s">
        <v>56</v>
      </c>
      <c r="E229" s="31" t="s">
        <v>89</v>
      </c>
      <c r="F229" s="31"/>
      <c r="G229" s="32" t="s">
        <v>15</v>
      </c>
      <c r="H229" s="33">
        <v>4928.0</v>
      </c>
      <c r="I229" s="33">
        <v>3706.0</v>
      </c>
      <c r="J229" s="33">
        <v>1782.0</v>
      </c>
      <c r="K229" s="33">
        <v>1924.0</v>
      </c>
      <c r="L229" s="33">
        <v>1222.0</v>
      </c>
      <c r="M229" s="33">
        <v>8590.0</v>
      </c>
      <c r="N229" s="33">
        <v>7809.0</v>
      </c>
      <c r="O229" s="33">
        <v>5527.0</v>
      </c>
      <c r="P229" s="33">
        <v>2282.0</v>
      </c>
      <c r="Q229" s="33">
        <v>781.0</v>
      </c>
      <c r="R229" s="34">
        <v>75.2029221</v>
      </c>
      <c r="S229" s="34">
        <v>36.1607143</v>
      </c>
      <c r="T229" s="34">
        <v>39.0422078</v>
      </c>
      <c r="U229" s="34">
        <v>24.7970779</v>
      </c>
      <c r="V229" s="34">
        <v>90.9080326</v>
      </c>
      <c r="W229" s="34">
        <v>64.3422584</v>
      </c>
      <c r="X229" s="34">
        <v>26.5657742</v>
      </c>
      <c r="Y229" s="34">
        <v>9.0919674</v>
      </c>
    </row>
    <row r="230" ht="15.0" hidden="1" customHeight="1">
      <c r="B230" s="30">
        <v>225.0</v>
      </c>
      <c r="C230" s="31" t="s">
        <v>19</v>
      </c>
      <c r="D230" s="31" t="s">
        <v>56</v>
      </c>
      <c r="E230" s="31" t="s">
        <v>89</v>
      </c>
      <c r="F230" s="31"/>
      <c r="G230" s="32" t="s">
        <v>16</v>
      </c>
      <c r="H230" s="33">
        <v>24523.0</v>
      </c>
      <c r="I230" s="33">
        <v>8385.0</v>
      </c>
      <c r="J230" s="33">
        <v>4515.0</v>
      </c>
      <c r="K230" s="33">
        <v>3870.0</v>
      </c>
      <c r="L230" s="33">
        <v>16138.0</v>
      </c>
      <c r="M230" s="33">
        <v>30849.0</v>
      </c>
      <c r="N230" s="33">
        <v>18400.0</v>
      </c>
      <c r="O230" s="33">
        <v>13552.0</v>
      </c>
      <c r="P230" s="33">
        <v>4848.0</v>
      </c>
      <c r="Q230" s="33">
        <v>12449.0</v>
      </c>
      <c r="R230" s="34">
        <v>34.1923908</v>
      </c>
      <c r="S230" s="34">
        <v>18.4112874</v>
      </c>
      <c r="T230" s="34">
        <v>15.7811035</v>
      </c>
      <c r="U230" s="34">
        <v>65.8076092</v>
      </c>
      <c r="V230" s="34">
        <v>59.6453694</v>
      </c>
      <c r="W230" s="34">
        <v>43.9301112</v>
      </c>
      <c r="X230" s="34">
        <v>15.7152582</v>
      </c>
      <c r="Y230" s="34">
        <v>40.3546306</v>
      </c>
    </row>
    <row r="231" ht="15.0" customHeight="1">
      <c r="B231" s="35">
        <v>226.0</v>
      </c>
      <c r="C231" s="36" t="s">
        <v>21</v>
      </c>
      <c r="D231" s="41" t="s">
        <v>56</v>
      </c>
      <c r="E231" s="41" t="s">
        <v>89</v>
      </c>
      <c r="F231" s="41" t="s">
        <v>90</v>
      </c>
      <c r="G231" s="42" t="s">
        <v>90</v>
      </c>
      <c r="H231" s="37">
        <v>8775.0</v>
      </c>
      <c r="I231" s="37">
        <v>3209.0</v>
      </c>
      <c r="J231" s="37">
        <v>1682.0</v>
      </c>
      <c r="K231" s="37">
        <v>1527.0</v>
      </c>
      <c r="L231" s="37">
        <v>5566.0</v>
      </c>
      <c r="M231" s="37">
        <v>11459.0</v>
      </c>
      <c r="N231" s="37">
        <v>6927.0</v>
      </c>
      <c r="O231" s="37">
        <v>5264.0</v>
      </c>
      <c r="P231" s="37">
        <v>1663.0</v>
      </c>
      <c r="Q231" s="37">
        <v>4532.0</v>
      </c>
      <c r="R231" s="38">
        <v>36.5698006</v>
      </c>
      <c r="S231" s="38">
        <v>19.1680912</v>
      </c>
      <c r="T231" s="38">
        <v>17.4017094</v>
      </c>
      <c r="U231" s="38">
        <v>63.4301994</v>
      </c>
      <c r="V231" s="38">
        <v>60.4503011</v>
      </c>
      <c r="W231" s="38">
        <v>45.9376909</v>
      </c>
      <c r="X231" s="38">
        <v>14.5126102</v>
      </c>
      <c r="Y231" s="38">
        <v>39.5496989</v>
      </c>
    </row>
    <row r="232" ht="15.0" hidden="1" customHeight="1">
      <c r="B232" s="30">
        <v>227.0</v>
      </c>
      <c r="C232" s="31" t="s">
        <v>21</v>
      </c>
      <c r="D232" s="31" t="s">
        <v>56</v>
      </c>
      <c r="E232" s="31" t="s">
        <v>89</v>
      </c>
      <c r="F232" s="31" t="s">
        <v>90</v>
      </c>
      <c r="G232" s="32" t="s">
        <v>15</v>
      </c>
      <c r="H232" s="33">
        <v>1125.0</v>
      </c>
      <c r="I232" s="33">
        <v>855.0</v>
      </c>
      <c r="J232" s="33">
        <v>403.0</v>
      </c>
      <c r="K232" s="33">
        <v>452.0</v>
      </c>
      <c r="L232" s="33">
        <v>270.0</v>
      </c>
      <c r="M232" s="33">
        <v>1792.0</v>
      </c>
      <c r="N232" s="33">
        <v>1540.0</v>
      </c>
      <c r="O232" s="33">
        <v>1310.0</v>
      </c>
      <c r="P232" s="33">
        <v>230.0</v>
      </c>
      <c r="Q232" s="33">
        <v>252.0</v>
      </c>
      <c r="R232" s="34">
        <v>76.0</v>
      </c>
      <c r="S232" s="34">
        <v>35.8222222</v>
      </c>
      <c r="T232" s="34">
        <v>40.1777778</v>
      </c>
      <c r="U232" s="34">
        <v>24.0</v>
      </c>
      <c r="V232" s="34">
        <v>85.9375</v>
      </c>
      <c r="W232" s="34">
        <v>73.1026786</v>
      </c>
      <c r="X232" s="34">
        <v>12.8348214</v>
      </c>
      <c r="Y232" s="34">
        <v>14.0625</v>
      </c>
    </row>
    <row r="233" ht="15.0" hidden="1" customHeight="1">
      <c r="B233" s="30">
        <v>228.0</v>
      </c>
      <c r="C233" s="31" t="s">
        <v>21</v>
      </c>
      <c r="D233" s="31" t="s">
        <v>56</v>
      </c>
      <c r="E233" s="31" t="s">
        <v>89</v>
      </c>
      <c r="F233" s="31" t="s">
        <v>90</v>
      </c>
      <c r="G233" s="32" t="s">
        <v>16</v>
      </c>
      <c r="H233" s="33">
        <v>7650.0</v>
      </c>
      <c r="I233" s="33">
        <v>2354.0</v>
      </c>
      <c r="J233" s="33">
        <v>1279.0</v>
      </c>
      <c r="K233" s="33">
        <v>1075.0</v>
      </c>
      <c r="L233" s="33">
        <v>5296.0</v>
      </c>
      <c r="M233" s="33">
        <v>9667.0</v>
      </c>
      <c r="N233" s="33">
        <v>5387.0</v>
      </c>
      <c r="O233" s="33">
        <v>3954.0</v>
      </c>
      <c r="P233" s="33">
        <v>1433.0</v>
      </c>
      <c r="Q233" s="33">
        <v>4280.0</v>
      </c>
      <c r="R233" s="34">
        <v>30.7712418</v>
      </c>
      <c r="S233" s="34">
        <v>16.7189542</v>
      </c>
      <c r="T233" s="34">
        <v>14.0522876</v>
      </c>
      <c r="U233" s="34">
        <v>69.2287582</v>
      </c>
      <c r="V233" s="34">
        <v>55.7256646</v>
      </c>
      <c r="W233" s="34">
        <v>40.9020379</v>
      </c>
      <c r="X233" s="34">
        <v>14.8236268</v>
      </c>
      <c r="Y233" s="34">
        <v>44.2743354</v>
      </c>
    </row>
    <row r="234" ht="15.0" customHeight="1">
      <c r="B234" s="35">
        <v>229.0</v>
      </c>
      <c r="C234" s="36" t="s">
        <v>21</v>
      </c>
      <c r="D234" s="41" t="s">
        <v>56</v>
      </c>
      <c r="E234" s="41" t="s">
        <v>89</v>
      </c>
      <c r="F234" s="41" t="s">
        <v>91</v>
      </c>
      <c r="G234" s="42" t="s">
        <v>91</v>
      </c>
      <c r="H234" s="37">
        <v>4681.0</v>
      </c>
      <c r="I234" s="37">
        <v>2013.0</v>
      </c>
      <c r="J234" s="37">
        <v>1135.0</v>
      </c>
      <c r="K234" s="37">
        <v>878.0</v>
      </c>
      <c r="L234" s="37">
        <v>2668.0</v>
      </c>
      <c r="M234" s="37">
        <v>6269.0</v>
      </c>
      <c r="N234" s="37">
        <v>4440.0</v>
      </c>
      <c r="O234" s="37">
        <v>3221.0</v>
      </c>
      <c r="P234" s="37">
        <v>1219.0</v>
      </c>
      <c r="Q234" s="37">
        <v>1829.0</v>
      </c>
      <c r="R234" s="38">
        <v>43.0036317</v>
      </c>
      <c r="S234" s="38">
        <v>24.2469558</v>
      </c>
      <c r="T234" s="38">
        <v>18.7566759</v>
      </c>
      <c r="U234" s="38">
        <v>56.9963683</v>
      </c>
      <c r="V234" s="38">
        <v>70.8246929</v>
      </c>
      <c r="W234" s="38">
        <v>51.3798054</v>
      </c>
      <c r="X234" s="38">
        <v>19.4448875</v>
      </c>
      <c r="Y234" s="38">
        <v>29.1753071</v>
      </c>
    </row>
    <row r="235" ht="15.0" hidden="1" customHeight="1">
      <c r="B235" s="30">
        <v>230.0</v>
      </c>
      <c r="C235" s="31" t="s">
        <v>21</v>
      </c>
      <c r="D235" s="31" t="s">
        <v>56</v>
      </c>
      <c r="E235" s="31" t="s">
        <v>89</v>
      </c>
      <c r="F235" s="31" t="s">
        <v>91</v>
      </c>
      <c r="G235" s="32" t="s">
        <v>15</v>
      </c>
      <c r="H235" s="33">
        <v>1290.0</v>
      </c>
      <c r="I235" s="33">
        <v>993.0</v>
      </c>
      <c r="J235" s="33">
        <v>519.0</v>
      </c>
      <c r="K235" s="33">
        <v>474.0</v>
      </c>
      <c r="L235" s="33">
        <v>297.0</v>
      </c>
      <c r="M235" s="33">
        <v>1505.0</v>
      </c>
      <c r="N235" s="33">
        <v>1403.0</v>
      </c>
      <c r="O235" s="33">
        <v>1012.0</v>
      </c>
      <c r="P235" s="33">
        <v>391.0</v>
      </c>
      <c r="Q235" s="33">
        <v>102.0</v>
      </c>
      <c r="R235" s="34">
        <v>76.9767442</v>
      </c>
      <c r="S235" s="34">
        <v>40.2325581</v>
      </c>
      <c r="T235" s="34">
        <v>36.744186</v>
      </c>
      <c r="U235" s="34">
        <v>23.0232558</v>
      </c>
      <c r="V235" s="34">
        <v>93.2225914</v>
      </c>
      <c r="W235" s="34">
        <v>67.2425249</v>
      </c>
      <c r="X235" s="34">
        <v>25.9800664</v>
      </c>
      <c r="Y235" s="34">
        <v>6.7774086</v>
      </c>
    </row>
    <row r="236" ht="15.0" hidden="1" customHeight="1">
      <c r="B236" s="30">
        <v>231.0</v>
      </c>
      <c r="C236" s="31" t="s">
        <v>21</v>
      </c>
      <c r="D236" s="31" t="s">
        <v>56</v>
      </c>
      <c r="E236" s="31" t="s">
        <v>89</v>
      </c>
      <c r="F236" s="31" t="s">
        <v>91</v>
      </c>
      <c r="G236" s="32" t="s">
        <v>16</v>
      </c>
      <c r="H236" s="33">
        <v>3391.0</v>
      </c>
      <c r="I236" s="33">
        <v>1020.0</v>
      </c>
      <c r="J236" s="33">
        <v>616.0</v>
      </c>
      <c r="K236" s="33">
        <v>404.0</v>
      </c>
      <c r="L236" s="33">
        <v>2371.0</v>
      </c>
      <c r="M236" s="33">
        <v>4764.0</v>
      </c>
      <c r="N236" s="33">
        <v>3037.0</v>
      </c>
      <c r="O236" s="33">
        <v>2209.0</v>
      </c>
      <c r="P236" s="33">
        <v>828.0</v>
      </c>
      <c r="Q236" s="33">
        <v>1727.0</v>
      </c>
      <c r="R236" s="34">
        <v>30.0796225</v>
      </c>
      <c r="S236" s="34">
        <v>18.1657328</v>
      </c>
      <c r="T236" s="34">
        <v>11.9138897</v>
      </c>
      <c r="U236" s="34">
        <v>69.9203775</v>
      </c>
      <c r="V236" s="34">
        <v>63.7489505</v>
      </c>
      <c r="W236" s="34">
        <v>46.3685978</v>
      </c>
      <c r="X236" s="34">
        <v>17.3803526</v>
      </c>
      <c r="Y236" s="34">
        <v>36.2510495</v>
      </c>
    </row>
    <row r="237" ht="15.0" customHeight="1">
      <c r="B237" s="35">
        <v>232.0</v>
      </c>
      <c r="C237" s="36" t="s">
        <v>21</v>
      </c>
      <c r="D237" s="41" t="s">
        <v>56</v>
      </c>
      <c r="E237" s="41" t="s">
        <v>89</v>
      </c>
      <c r="F237" s="41" t="s">
        <v>92</v>
      </c>
      <c r="G237" s="42" t="s">
        <v>92</v>
      </c>
      <c r="H237" s="37">
        <v>2980.0</v>
      </c>
      <c r="I237" s="37">
        <v>1258.0</v>
      </c>
      <c r="J237" s="37">
        <v>489.0</v>
      </c>
      <c r="K237" s="37">
        <v>769.0</v>
      </c>
      <c r="L237" s="37">
        <v>1722.0</v>
      </c>
      <c r="M237" s="37">
        <v>4152.0</v>
      </c>
      <c r="N237" s="37">
        <v>2733.0</v>
      </c>
      <c r="O237" s="37">
        <v>1822.0</v>
      </c>
      <c r="P237" s="37">
        <v>911.0</v>
      </c>
      <c r="Q237" s="37">
        <v>1419.0</v>
      </c>
      <c r="R237" s="38">
        <v>42.2147651</v>
      </c>
      <c r="S237" s="38">
        <v>16.409396</v>
      </c>
      <c r="T237" s="38">
        <v>25.8053691</v>
      </c>
      <c r="U237" s="38">
        <v>57.7852349</v>
      </c>
      <c r="V237" s="38">
        <v>65.8236994</v>
      </c>
      <c r="W237" s="38">
        <v>43.8824663</v>
      </c>
      <c r="X237" s="38">
        <v>21.9412331</v>
      </c>
      <c r="Y237" s="38">
        <v>34.1763006</v>
      </c>
    </row>
    <row r="238" ht="15.0" hidden="1" customHeight="1">
      <c r="B238" s="30">
        <v>233.0</v>
      </c>
      <c r="C238" s="31" t="s">
        <v>21</v>
      </c>
      <c r="D238" s="31" t="s">
        <v>56</v>
      </c>
      <c r="E238" s="31" t="s">
        <v>89</v>
      </c>
      <c r="F238" s="31" t="s">
        <v>92</v>
      </c>
      <c r="G238" s="32" t="s">
        <v>15</v>
      </c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4"/>
      <c r="S238" s="34"/>
      <c r="T238" s="34"/>
      <c r="U238" s="34"/>
      <c r="V238" s="34"/>
      <c r="W238" s="34"/>
      <c r="X238" s="34"/>
      <c r="Y238" s="34"/>
    </row>
    <row r="239" ht="15.0" hidden="1" customHeight="1">
      <c r="B239" s="30">
        <v>234.0</v>
      </c>
      <c r="C239" s="31" t="s">
        <v>21</v>
      </c>
      <c r="D239" s="31" t="s">
        <v>56</v>
      </c>
      <c r="E239" s="31" t="s">
        <v>89</v>
      </c>
      <c r="F239" s="31" t="s">
        <v>92</v>
      </c>
      <c r="G239" s="32" t="s">
        <v>16</v>
      </c>
      <c r="H239" s="33">
        <v>2980.0</v>
      </c>
      <c r="I239" s="33">
        <v>1258.0</v>
      </c>
      <c r="J239" s="33">
        <v>489.0</v>
      </c>
      <c r="K239" s="33">
        <v>769.0</v>
      </c>
      <c r="L239" s="33">
        <v>1722.0</v>
      </c>
      <c r="M239" s="33">
        <v>4152.0</v>
      </c>
      <c r="N239" s="33">
        <v>2733.0</v>
      </c>
      <c r="O239" s="33">
        <v>1822.0</v>
      </c>
      <c r="P239" s="33">
        <v>911.0</v>
      </c>
      <c r="Q239" s="33">
        <v>1419.0</v>
      </c>
      <c r="R239" s="34">
        <v>42.2147651</v>
      </c>
      <c r="S239" s="34">
        <v>16.409396</v>
      </c>
      <c r="T239" s="34">
        <v>25.8053691</v>
      </c>
      <c r="U239" s="34">
        <v>57.7852349</v>
      </c>
      <c r="V239" s="34">
        <v>65.8236994</v>
      </c>
      <c r="W239" s="34">
        <v>43.8824663</v>
      </c>
      <c r="X239" s="34">
        <v>21.9412331</v>
      </c>
      <c r="Y239" s="34">
        <v>34.1763006</v>
      </c>
    </row>
    <row r="240" ht="15.0" customHeight="1">
      <c r="B240" s="35">
        <v>235.0</v>
      </c>
      <c r="C240" s="36" t="s">
        <v>21</v>
      </c>
      <c r="D240" s="41" t="s">
        <v>56</v>
      </c>
      <c r="E240" s="41" t="s">
        <v>89</v>
      </c>
      <c r="F240" s="41" t="s">
        <v>93</v>
      </c>
      <c r="G240" s="42" t="s">
        <v>93</v>
      </c>
      <c r="H240" s="37">
        <v>1027.0</v>
      </c>
      <c r="I240" s="37">
        <v>369.0</v>
      </c>
      <c r="J240" s="37">
        <v>193.0</v>
      </c>
      <c r="K240" s="37">
        <v>176.0</v>
      </c>
      <c r="L240" s="37">
        <v>658.0</v>
      </c>
      <c r="M240" s="37">
        <v>1391.0</v>
      </c>
      <c r="N240" s="37">
        <v>574.0</v>
      </c>
      <c r="O240" s="37">
        <v>503.0</v>
      </c>
      <c r="P240" s="37">
        <v>71.0</v>
      </c>
      <c r="Q240" s="37">
        <v>817.0</v>
      </c>
      <c r="R240" s="38">
        <v>35.9298929</v>
      </c>
      <c r="S240" s="38">
        <v>18.7925998</v>
      </c>
      <c r="T240" s="38">
        <v>17.1372931</v>
      </c>
      <c r="U240" s="38">
        <v>64.0701071</v>
      </c>
      <c r="V240" s="38">
        <v>41.2652768</v>
      </c>
      <c r="W240" s="38">
        <v>36.1610352</v>
      </c>
      <c r="X240" s="38">
        <v>5.1042416</v>
      </c>
      <c r="Y240" s="38">
        <v>58.7347232</v>
      </c>
    </row>
    <row r="241" ht="15.0" hidden="1" customHeight="1">
      <c r="B241" s="30">
        <v>236.0</v>
      </c>
      <c r="C241" s="31" t="s">
        <v>21</v>
      </c>
      <c r="D241" s="31" t="s">
        <v>56</v>
      </c>
      <c r="E241" s="31" t="s">
        <v>89</v>
      </c>
      <c r="F241" s="31" t="s">
        <v>93</v>
      </c>
      <c r="G241" s="32" t="s">
        <v>15</v>
      </c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4"/>
      <c r="S241" s="34"/>
      <c r="T241" s="34"/>
      <c r="U241" s="34"/>
      <c r="V241" s="34"/>
      <c r="W241" s="34"/>
      <c r="X241" s="34"/>
      <c r="Y241" s="34"/>
    </row>
    <row r="242" ht="15.0" hidden="1" customHeight="1">
      <c r="B242" s="30">
        <v>237.0</v>
      </c>
      <c r="C242" s="31" t="s">
        <v>21</v>
      </c>
      <c r="D242" s="31" t="s">
        <v>56</v>
      </c>
      <c r="E242" s="31" t="s">
        <v>89</v>
      </c>
      <c r="F242" s="31" t="s">
        <v>93</v>
      </c>
      <c r="G242" s="32" t="s">
        <v>16</v>
      </c>
      <c r="H242" s="33">
        <v>1027.0</v>
      </c>
      <c r="I242" s="33">
        <v>369.0</v>
      </c>
      <c r="J242" s="33">
        <v>193.0</v>
      </c>
      <c r="K242" s="33">
        <v>176.0</v>
      </c>
      <c r="L242" s="33">
        <v>658.0</v>
      </c>
      <c r="M242" s="33">
        <v>1391.0</v>
      </c>
      <c r="N242" s="33">
        <v>574.0</v>
      </c>
      <c r="O242" s="33">
        <v>503.0</v>
      </c>
      <c r="P242" s="33">
        <v>71.0</v>
      </c>
      <c r="Q242" s="33">
        <v>817.0</v>
      </c>
      <c r="R242" s="34">
        <v>35.9298929</v>
      </c>
      <c r="S242" s="34">
        <v>18.7925998</v>
      </c>
      <c r="T242" s="34">
        <v>17.1372931</v>
      </c>
      <c r="U242" s="34">
        <v>64.0701071</v>
      </c>
      <c r="V242" s="34">
        <v>41.2652768</v>
      </c>
      <c r="W242" s="34">
        <v>36.1610352</v>
      </c>
      <c r="X242" s="34">
        <v>5.1042416</v>
      </c>
      <c r="Y242" s="34">
        <v>58.7347232</v>
      </c>
    </row>
    <row r="243" ht="15.0" customHeight="1">
      <c r="B243" s="35">
        <v>238.0</v>
      </c>
      <c r="C243" s="36" t="s">
        <v>21</v>
      </c>
      <c r="D243" s="41" t="s">
        <v>56</v>
      </c>
      <c r="E243" s="41" t="s">
        <v>89</v>
      </c>
      <c r="F243" s="41" t="s">
        <v>94</v>
      </c>
      <c r="G243" s="42" t="s">
        <v>94</v>
      </c>
      <c r="H243" s="37">
        <v>994.0</v>
      </c>
      <c r="I243" s="37">
        <v>285.0</v>
      </c>
      <c r="J243" s="37">
        <v>184.0</v>
      </c>
      <c r="K243" s="37">
        <v>101.0</v>
      </c>
      <c r="L243" s="37">
        <v>709.0</v>
      </c>
      <c r="M243" s="37">
        <v>1425.0</v>
      </c>
      <c r="N243" s="37">
        <v>589.0</v>
      </c>
      <c r="O243" s="37">
        <v>483.0</v>
      </c>
      <c r="P243" s="37">
        <v>106.0</v>
      </c>
      <c r="Q243" s="37">
        <v>836.0</v>
      </c>
      <c r="R243" s="38">
        <v>28.6720322</v>
      </c>
      <c r="S243" s="38">
        <v>18.5110664</v>
      </c>
      <c r="T243" s="38">
        <v>10.1609658</v>
      </c>
      <c r="U243" s="38">
        <v>71.3279678</v>
      </c>
      <c r="V243" s="38">
        <v>41.3333333</v>
      </c>
      <c r="W243" s="38">
        <v>33.8947368</v>
      </c>
      <c r="X243" s="38">
        <v>7.4385965</v>
      </c>
      <c r="Y243" s="38">
        <v>58.6666667</v>
      </c>
    </row>
    <row r="244" ht="15.0" hidden="1" customHeight="1">
      <c r="B244" s="30">
        <v>239.0</v>
      </c>
      <c r="C244" s="31" t="s">
        <v>21</v>
      </c>
      <c r="D244" s="31" t="s">
        <v>56</v>
      </c>
      <c r="E244" s="31" t="s">
        <v>89</v>
      </c>
      <c r="F244" s="31" t="s">
        <v>94</v>
      </c>
      <c r="G244" s="32" t="s">
        <v>15</v>
      </c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4"/>
      <c r="S244" s="34"/>
      <c r="T244" s="34"/>
      <c r="U244" s="34"/>
      <c r="V244" s="34"/>
      <c r="W244" s="34"/>
      <c r="X244" s="34"/>
      <c r="Y244" s="34"/>
    </row>
    <row r="245" ht="15.0" hidden="1" customHeight="1">
      <c r="B245" s="30">
        <v>240.0</v>
      </c>
      <c r="C245" s="31" t="s">
        <v>21</v>
      </c>
      <c r="D245" s="31" t="s">
        <v>56</v>
      </c>
      <c r="E245" s="31" t="s">
        <v>89</v>
      </c>
      <c r="F245" s="31" t="s">
        <v>94</v>
      </c>
      <c r="G245" s="32" t="s">
        <v>16</v>
      </c>
      <c r="H245" s="33">
        <v>994.0</v>
      </c>
      <c r="I245" s="33">
        <v>285.0</v>
      </c>
      <c r="J245" s="33">
        <v>184.0</v>
      </c>
      <c r="K245" s="33">
        <v>101.0</v>
      </c>
      <c r="L245" s="33">
        <v>709.0</v>
      </c>
      <c r="M245" s="33">
        <v>1425.0</v>
      </c>
      <c r="N245" s="33">
        <v>589.0</v>
      </c>
      <c r="O245" s="33">
        <v>483.0</v>
      </c>
      <c r="P245" s="33">
        <v>106.0</v>
      </c>
      <c r="Q245" s="33">
        <v>836.0</v>
      </c>
      <c r="R245" s="34">
        <v>28.6720322</v>
      </c>
      <c r="S245" s="34">
        <v>18.5110664</v>
      </c>
      <c r="T245" s="34">
        <v>10.1609658</v>
      </c>
      <c r="U245" s="34">
        <v>71.3279678</v>
      </c>
      <c r="V245" s="34">
        <v>41.3333333</v>
      </c>
      <c r="W245" s="34">
        <v>33.8947368</v>
      </c>
      <c r="X245" s="34">
        <v>7.4385965</v>
      </c>
      <c r="Y245" s="34">
        <v>58.6666667</v>
      </c>
    </row>
    <row r="246" ht="15.0" customHeight="1">
      <c r="B246" s="35">
        <v>241.0</v>
      </c>
      <c r="C246" s="36" t="s">
        <v>21</v>
      </c>
      <c r="D246" s="41" t="s">
        <v>56</v>
      </c>
      <c r="E246" s="41" t="s">
        <v>89</v>
      </c>
      <c r="F246" s="41" t="s">
        <v>95</v>
      </c>
      <c r="G246" s="42" t="s">
        <v>95</v>
      </c>
      <c r="H246" s="37">
        <v>3457.0</v>
      </c>
      <c r="I246" s="37">
        <v>1698.0</v>
      </c>
      <c r="J246" s="37">
        <v>896.0</v>
      </c>
      <c r="K246" s="37">
        <v>802.0</v>
      </c>
      <c r="L246" s="37">
        <v>1759.0</v>
      </c>
      <c r="M246" s="37">
        <v>3243.0</v>
      </c>
      <c r="N246" s="37">
        <v>2457.0</v>
      </c>
      <c r="O246" s="37">
        <v>1728.0</v>
      </c>
      <c r="P246" s="37">
        <v>729.0</v>
      </c>
      <c r="Q246" s="37">
        <v>786.0</v>
      </c>
      <c r="R246" s="38">
        <v>49.1177321</v>
      </c>
      <c r="S246" s="38">
        <v>25.9184264</v>
      </c>
      <c r="T246" s="38">
        <v>23.1993058</v>
      </c>
      <c r="U246" s="38">
        <v>50.8822679</v>
      </c>
      <c r="V246" s="38">
        <v>75.7631822</v>
      </c>
      <c r="W246" s="38">
        <v>53.2839963</v>
      </c>
      <c r="X246" s="38">
        <v>22.4791859</v>
      </c>
      <c r="Y246" s="38">
        <v>24.2368178</v>
      </c>
    </row>
    <row r="247" ht="15.0" hidden="1" customHeight="1">
      <c r="B247" s="30">
        <v>242.0</v>
      </c>
      <c r="C247" s="31" t="s">
        <v>21</v>
      </c>
      <c r="D247" s="31" t="s">
        <v>56</v>
      </c>
      <c r="E247" s="31" t="s">
        <v>89</v>
      </c>
      <c r="F247" s="31" t="s">
        <v>95</v>
      </c>
      <c r="G247" s="32" t="s">
        <v>15</v>
      </c>
      <c r="H247" s="33">
        <v>740.0</v>
      </c>
      <c r="I247" s="33">
        <v>548.0</v>
      </c>
      <c r="J247" s="33">
        <v>246.0</v>
      </c>
      <c r="K247" s="33">
        <v>302.0</v>
      </c>
      <c r="L247" s="33">
        <v>192.0</v>
      </c>
      <c r="M247" s="33">
        <v>893.0</v>
      </c>
      <c r="N247" s="33">
        <v>777.0</v>
      </c>
      <c r="O247" s="33">
        <v>576.0</v>
      </c>
      <c r="P247" s="33">
        <v>201.0</v>
      </c>
      <c r="Q247" s="33">
        <v>116.0</v>
      </c>
      <c r="R247" s="34">
        <v>74.0540541</v>
      </c>
      <c r="S247" s="34">
        <v>33.2432432</v>
      </c>
      <c r="T247" s="34">
        <v>40.8108108</v>
      </c>
      <c r="U247" s="34">
        <v>25.9459459</v>
      </c>
      <c r="V247" s="34">
        <v>87.0100784</v>
      </c>
      <c r="W247" s="34">
        <v>64.5016797</v>
      </c>
      <c r="X247" s="34">
        <v>22.5083987</v>
      </c>
      <c r="Y247" s="34">
        <v>12.9899216</v>
      </c>
    </row>
    <row r="248" ht="15.0" hidden="1" customHeight="1">
      <c r="B248" s="30">
        <v>243.0</v>
      </c>
      <c r="C248" s="31" t="s">
        <v>21</v>
      </c>
      <c r="D248" s="31" t="s">
        <v>56</v>
      </c>
      <c r="E248" s="31" t="s">
        <v>89</v>
      </c>
      <c r="F248" s="31" t="s">
        <v>95</v>
      </c>
      <c r="G248" s="32" t="s">
        <v>16</v>
      </c>
      <c r="H248" s="33">
        <v>2717.0</v>
      </c>
      <c r="I248" s="33">
        <v>1150.0</v>
      </c>
      <c r="J248" s="33">
        <v>650.0</v>
      </c>
      <c r="K248" s="33">
        <v>500.0</v>
      </c>
      <c r="L248" s="33">
        <v>1567.0</v>
      </c>
      <c r="M248" s="33">
        <v>2350.0</v>
      </c>
      <c r="N248" s="33">
        <v>1680.0</v>
      </c>
      <c r="O248" s="33">
        <v>1152.0</v>
      </c>
      <c r="P248" s="33">
        <v>528.0</v>
      </c>
      <c r="Q248" s="33">
        <v>670.0</v>
      </c>
      <c r="R248" s="34">
        <v>42.326095</v>
      </c>
      <c r="S248" s="34">
        <v>23.923445</v>
      </c>
      <c r="T248" s="34">
        <v>18.40265</v>
      </c>
      <c r="U248" s="34">
        <v>57.673905</v>
      </c>
      <c r="V248" s="34">
        <v>71.4893617</v>
      </c>
      <c r="W248" s="34">
        <v>49.0212766</v>
      </c>
      <c r="X248" s="34">
        <v>22.4680851</v>
      </c>
      <c r="Y248" s="34">
        <v>28.5106383</v>
      </c>
    </row>
    <row r="249" ht="15.0" customHeight="1">
      <c r="B249" s="35">
        <v>244.0</v>
      </c>
      <c r="C249" s="36" t="s">
        <v>21</v>
      </c>
      <c r="D249" s="41" t="s">
        <v>56</v>
      </c>
      <c r="E249" s="41" t="s">
        <v>89</v>
      </c>
      <c r="F249" s="41" t="s">
        <v>96</v>
      </c>
      <c r="G249" s="42" t="s">
        <v>96</v>
      </c>
      <c r="H249" s="37">
        <v>4050.0</v>
      </c>
      <c r="I249" s="37">
        <v>1910.0</v>
      </c>
      <c r="J249" s="37">
        <v>817.0</v>
      </c>
      <c r="K249" s="37">
        <v>1093.0</v>
      </c>
      <c r="L249" s="37">
        <v>2140.0</v>
      </c>
      <c r="M249" s="37">
        <v>6898.0</v>
      </c>
      <c r="N249" s="37">
        <v>5666.0</v>
      </c>
      <c r="O249" s="37">
        <v>3654.0</v>
      </c>
      <c r="P249" s="37">
        <v>2012.0</v>
      </c>
      <c r="Q249" s="37">
        <v>1232.0</v>
      </c>
      <c r="R249" s="38">
        <v>47.1604938</v>
      </c>
      <c r="S249" s="38">
        <v>20.1728395</v>
      </c>
      <c r="T249" s="38">
        <v>26.9876543</v>
      </c>
      <c r="U249" s="38">
        <v>52.8395062</v>
      </c>
      <c r="V249" s="38">
        <v>82.1397507</v>
      </c>
      <c r="W249" s="38">
        <v>52.9718759</v>
      </c>
      <c r="X249" s="38">
        <v>29.1678747</v>
      </c>
      <c r="Y249" s="38">
        <v>17.8602493</v>
      </c>
    </row>
    <row r="250" ht="15.0" hidden="1" customHeight="1">
      <c r="B250" s="30">
        <v>245.0</v>
      </c>
      <c r="C250" s="31" t="s">
        <v>21</v>
      </c>
      <c r="D250" s="31" t="s">
        <v>56</v>
      </c>
      <c r="E250" s="31" t="s">
        <v>89</v>
      </c>
      <c r="F250" s="31" t="s">
        <v>96</v>
      </c>
      <c r="G250" s="32" t="s">
        <v>15</v>
      </c>
      <c r="H250" s="33">
        <v>1773.0</v>
      </c>
      <c r="I250" s="33">
        <v>1310.0</v>
      </c>
      <c r="J250" s="33">
        <v>614.0</v>
      </c>
      <c r="K250" s="33">
        <v>696.0</v>
      </c>
      <c r="L250" s="33">
        <v>463.0</v>
      </c>
      <c r="M250" s="33">
        <v>3465.0</v>
      </c>
      <c r="N250" s="33">
        <v>3256.0</v>
      </c>
      <c r="O250" s="33">
        <v>2001.0</v>
      </c>
      <c r="P250" s="33">
        <v>1255.0</v>
      </c>
      <c r="Q250" s="33">
        <v>209.0</v>
      </c>
      <c r="R250" s="34">
        <v>73.8860688</v>
      </c>
      <c r="S250" s="34">
        <v>34.6305697</v>
      </c>
      <c r="T250" s="34">
        <v>39.2554992</v>
      </c>
      <c r="U250" s="34">
        <v>26.1139312</v>
      </c>
      <c r="V250" s="34">
        <v>93.968254</v>
      </c>
      <c r="W250" s="34">
        <v>57.7489177</v>
      </c>
      <c r="X250" s="34">
        <v>36.2193362</v>
      </c>
      <c r="Y250" s="34">
        <v>6.031746</v>
      </c>
    </row>
    <row r="251" ht="15.0" hidden="1" customHeight="1">
      <c r="B251" s="30">
        <v>246.0</v>
      </c>
      <c r="C251" s="31" t="s">
        <v>21</v>
      </c>
      <c r="D251" s="31" t="s">
        <v>56</v>
      </c>
      <c r="E251" s="31" t="s">
        <v>89</v>
      </c>
      <c r="F251" s="31" t="s">
        <v>96</v>
      </c>
      <c r="G251" s="32" t="s">
        <v>16</v>
      </c>
      <c r="H251" s="33">
        <v>2277.0</v>
      </c>
      <c r="I251" s="33">
        <v>600.0</v>
      </c>
      <c r="J251" s="33">
        <v>203.0</v>
      </c>
      <c r="K251" s="33">
        <v>397.0</v>
      </c>
      <c r="L251" s="33">
        <v>1677.0</v>
      </c>
      <c r="M251" s="33">
        <v>3433.0</v>
      </c>
      <c r="N251" s="33">
        <v>2410.0</v>
      </c>
      <c r="O251" s="33">
        <v>1653.0</v>
      </c>
      <c r="P251" s="33">
        <v>757.0</v>
      </c>
      <c r="Q251" s="33">
        <v>1023.0</v>
      </c>
      <c r="R251" s="34">
        <v>26.3504611</v>
      </c>
      <c r="S251" s="34">
        <v>8.9152394</v>
      </c>
      <c r="T251" s="34">
        <v>17.4352218</v>
      </c>
      <c r="U251" s="34">
        <v>73.6495389</v>
      </c>
      <c r="V251" s="34">
        <v>70.2009904</v>
      </c>
      <c r="W251" s="34">
        <v>48.1503059</v>
      </c>
      <c r="X251" s="34">
        <v>22.0506845</v>
      </c>
      <c r="Y251" s="34">
        <v>29.7990096</v>
      </c>
    </row>
    <row r="252" ht="15.0" customHeight="1">
      <c r="B252" s="35">
        <v>247.0</v>
      </c>
      <c r="C252" s="36" t="s">
        <v>21</v>
      </c>
      <c r="D252" s="41" t="s">
        <v>56</v>
      </c>
      <c r="E252" s="41" t="s">
        <v>89</v>
      </c>
      <c r="F252" s="41" t="s">
        <v>97</v>
      </c>
      <c r="G252" s="42" t="s">
        <v>97</v>
      </c>
      <c r="H252" s="37">
        <v>3487.0</v>
      </c>
      <c r="I252" s="37">
        <v>1349.0</v>
      </c>
      <c r="J252" s="37">
        <v>901.0</v>
      </c>
      <c r="K252" s="37">
        <v>448.0</v>
      </c>
      <c r="L252" s="37">
        <v>2138.0</v>
      </c>
      <c r="M252" s="37">
        <v>4602.0</v>
      </c>
      <c r="N252" s="37">
        <v>2823.0</v>
      </c>
      <c r="O252" s="37">
        <v>2404.0</v>
      </c>
      <c r="P252" s="37">
        <v>419.0</v>
      </c>
      <c r="Q252" s="37">
        <v>1779.0</v>
      </c>
      <c r="R252" s="38">
        <v>38.68655</v>
      </c>
      <c r="S252" s="38">
        <v>25.8388299</v>
      </c>
      <c r="T252" s="38">
        <v>12.8477201</v>
      </c>
      <c r="U252" s="38">
        <v>61.31345</v>
      </c>
      <c r="V252" s="38">
        <v>61.3428944</v>
      </c>
      <c r="W252" s="38">
        <v>52.2381573</v>
      </c>
      <c r="X252" s="38">
        <v>9.1047371</v>
      </c>
      <c r="Y252" s="38">
        <v>38.6571056</v>
      </c>
    </row>
    <row r="253" ht="15.0" hidden="1" customHeight="1">
      <c r="B253" s="30">
        <v>248.0</v>
      </c>
      <c r="C253" s="31" t="s">
        <v>21</v>
      </c>
      <c r="D253" s="31" t="s">
        <v>56</v>
      </c>
      <c r="E253" s="31" t="s">
        <v>89</v>
      </c>
      <c r="F253" s="31" t="s">
        <v>97</v>
      </c>
      <c r="G253" s="32" t="s">
        <v>15</v>
      </c>
      <c r="H253" s="33"/>
      <c r="I253" s="33"/>
      <c r="J253" s="33"/>
      <c r="K253" s="33"/>
      <c r="L253" s="33"/>
      <c r="M253" s="33">
        <v>935.0</v>
      </c>
      <c r="N253" s="33">
        <v>833.0</v>
      </c>
      <c r="O253" s="33">
        <v>628.0</v>
      </c>
      <c r="P253" s="33">
        <v>205.0</v>
      </c>
      <c r="Q253" s="33">
        <v>102.0</v>
      </c>
      <c r="R253" s="34"/>
      <c r="S253" s="34"/>
      <c r="T253" s="34"/>
      <c r="U253" s="34"/>
      <c r="V253" s="34">
        <v>89.0909091</v>
      </c>
      <c r="W253" s="34">
        <v>67.1657754</v>
      </c>
      <c r="X253" s="34">
        <v>21.9251337</v>
      </c>
      <c r="Y253" s="34">
        <v>10.9090909</v>
      </c>
    </row>
    <row r="254" ht="15.0" hidden="1" customHeight="1">
      <c r="B254" s="30">
        <v>249.0</v>
      </c>
      <c r="C254" s="31" t="s">
        <v>21</v>
      </c>
      <c r="D254" s="31" t="s">
        <v>56</v>
      </c>
      <c r="E254" s="31" t="s">
        <v>89</v>
      </c>
      <c r="F254" s="31" t="s">
        <v>97</v>
      </c>
      <c r="G254" s="32" t="s">
        <v>16</v>
      </c>
      <c r="H254" s="33">
        <v>3487.0</v>
      </c>
      <c r="I254" s="33">
        <v>1349.0</v>
      </c>
      <c r="J254" s="33">
        <v>901.0</v>
      </c>
      <c r="K254" s="33">
        <v>448.0</v>
      </c>
      <c r="L254" s="33">
        <v>2138.0</v>
      </c>
      <c r="M254" s="33">
        <v>3667.0</v>
      </c>
      <c r="N254" s="33">
        <v>1990.0</v>
      </c>
      <c r="O254" s="33">
        <v>1776.0</v>
      </c>
      <c r="P254" s="33">
        <v>214.0</v>
      </c>
      <c r="Q254" s="33">
        <v>1677.0</v>
      </c>
      <c r="R254" s="34">
        <v>38.68655</v>
      </c>
      <c r="S254" s="34">
        <v>25.8388299</v>
      </c>
      <c r="T254" s="34">
        <v>12.8477201</v>
      </c>
      <c r="U254" s="34">
        <v>61.31345</v>
      </c>
      <c r="V254" s="34">
        <v>54.2677938</v>
      </c>
      <c r="W254" s="34">
        <v>48.4319607</v>
      </c>
      <c r="X254" s="34">
        <v>5.8358331</v>
      </c>
      <c r="Y254" s="34">
        <v>45.7322062</v>
      </c>
    </row>
    <row r="255" ht="15.0" hidden="1" customHeight="1">
      <c r="B255" s="26">
        <v>250.0</v>
      </c>
      <c r="C255" s="27" t="s">
        <v>19</v>
      </c>
      <c r="D255" s="40" t="s">
        <v>56</v>
      </c>
      <c r="E255" s="40" t="s">
        <v>98</v>
      </c>
      <c r="F255" s="40"/>
      <c r="G255" s="27" t="s">
        <v>98</v>
      </c>
      <c r="H255" s="28">
        <v>6855.0</v>
      </c>
      <c r="I255" s="28">
        <v>2511.0</v>
      </c>
      <c r="J255" s="28">
        <v>1447.0</v>
      </c>
      <c r="K255" s="28">
        <v>1064.0</v>
      </c>
      <c r="L255" s="28">
        <v>4344.0</v>
      </c>
      <c r="M255" s="28">
        <v>9232.0</v>
      </c>
      <c r="N255" s="28">
        <v>5060.0</v>
      </c>
      <c r="O255" s="28">
        <v>4025.0</v>
      </c>
      <c r="P255" s="28">
        <v>1035.0</v>
      </c>
      <c r="Q255" s="28">
        <v>4172.0</v>
      </c>
      <c r="R255" s="29">
        <v>36.6301969</v>
      </c>
      <c r="S255" s="29">
        <v>21.1086798</v>
      </c>
      <c r="T255" s="29">
        <v>15.5215171</v>
      </c>
      <c r="U255" s="29">
        <v>63.3698031</v>
      </c>
      <c r="V255" s="29">
        <v>54.8093588</v>
      </c>
      <c r="W255" s="29">
        <v>43.5983536</v>
      </c>
      <c r="X255" s="29">
        <v>11.2110052</v>
      </c>
      <c r="Y255" s="29">
        <v>45.1906412</v>
      </c>
    </row>
    <row r="256" ht="15.0" hidden="1" customHeight="1">
      <c r="B256" s="30">
        <v>251.0</v>
      </c>
      <c r="C256" s="31" t="s">
        <v>19</v>
      </c>
      <c r="D256" s="31" t="s">
        <v>56</v>
      </c>
      <c r="E256" s="31" t="s">
        <v>98</v>
      </c>
      <c r="F256" s="31"/>
      <c r="G256" s="32" t="s">
        <v>15</v>
      </c>
      <c r="H256" s="33">
        <v>1420.0</v>
      </c>
      <c r="I256" s="33">
        <v>760.0</v>
      </c>
      <c r="J256" s="33">
        <v>441.0</v>
      </c>
      <c r="K256" s="33">
        <v>319.0</v>
      </c>
      <c r="L256" s="33">
        <v>660.0</v>
      </c>
      <c r="M256" s="33">
        <v>1835.0</v>
      </c>
      <c r="N256" s="33">
        <v>1453.0</v>
      </c>
      <c r="O256" s="33">
        <v>1205.0</v>
      </c>
      <c r="P256" s="33">
        <v>248.0</v>
      </c>
      <c r="Q256" s="33">
        <v>382.0</v>
      </c>
      <c r="R256" s="34">
        <v>53.5211268</v>
      </c>
      <c r="S256" s="34">
        <v>31.056338</v>
      </c>
      <c r="T256" s="34">
        <v>22.4647887</v>
      </c>
      <c r="U256" s="34">
        <v>46.4788732</v>
      </c>
      <c r="V256" s="34">
        <v>79.1825613</v>
      </c>
      <c r="W256" s="34">
        <v>65.6675749</v>
      </c>
      <c r="X256" s="34">
        <v>13.5149864</v>
      </c>
      <c r="Y256" s="34">
        <v>20.8174387</v>
      </c>
    </row>
    <row r="257" ht="15.0" hidden="1" customHeight="1">
      <c r="B257" s="30">
        <v>252.0</v>
      </c>
      <c r="C257" s="31" t="s">
        <v>19</v>
      </c>
      <c r="D257" s="31" t="s">
        <v>56</v>
      </c>
      <c r="E257" s="31" t="s">
        <v>98</v>
      </c>
      <c r="F257" s="31"/>
      <c r="G257" s="32" t="s">
        <v>16</v>
      </c>
      <c r="H257" s="33">
        <v>5435.0</v>
      </c>
      <c r="I257" s="33">
        <v>1751.0</v>
      </c>
      <c r="J257" s="33">
        <v>1006.0</v>
      </c>
      <c r="K257" s="33">
        <v>745.0</v>
      </c>
      <c r="L257" s="33">
        <v>3684.0</v>
      </c>
      <c r="M257" s="33">
        <v>7397.0</v>
      </c>
      <c r="N257" s="33">
        <v>3607.0</v>
      </c>
      <c r="O257" s="33">
        <v>2820.0</v>
      </c>
      <c r="P257" s="33">
        <v>787.0</v>
      </c>
      <c r="Q257" s="33">
        <v>3790.0</v>
      </c>
      <c r="R257" s="34">
        <v>32.2171113</v>
      </c>
      <c r="S257" s="34">
        <v>18.5096596</v>
      </c>
      <c r="T257" s="34">
        <v>13.7074517</v>
      </c>
      <c r="U257" s="34">
        <v>67.7828887</v>
      </c>
      <c r="V257" s="34">
        <v>48.763012</v>
      </c>
      <c r="W257" s="34">
        <v>38.1235636</v>
      </c>
      <c r="X257" s="34">
        <v>10.6394484</v>
      </c>
      <c r="Y257" s="34">
        <v>51.236988</v>
      </c>
    </row>
    <row r="258" ht="15.0" customHeight="1">
      <c r="B258" s="35">
        <v>253.0</v>
      </c>
      <c r="C258" s="36" t="s">
        <v>21</v>
      </c>
      <c r="D258" s="41" t="s">
        <v>56</v>
      </c>
      <c r="E258" s="41" t="s">
        <v>98</v>
      </c>
      <c r="F258" s="41" t="s">
        <v>99</v>
      </c>
      <c r="G258" s="42" t="s">
        <v>99</v>
      </c>
      <c r="H258" s="37">
        <v>4625.0</v>
      </c>
      <c r="I258" s="37">
        <v>1716.0</v>
      </c>
      <c r="J258" s="37">
        <v>970.0</v>
      </c>
      <c r="K258" s="37">
        <v>746.0</v>
      </c>
      <c r="L258" s="37">
        <v>2909.0</v>
      </c>
      <c r="M258" s="37">
        <v>6164.0</v>
      </c>
      <c r="N258" s="37">
        <v>2964.0</v>
      </c>
      <c r="O258" s="37">
        <v>2508.0</v>
      </c>
      <c r="P258" s="37">
        <v>456.0</v>
      </c>
      <c r="Q258" s="37">
        <v>3200.0</v>
      </c>
      <c r="R258" s="38">
        <v>37.1027027</v>
      </c>
      <c r="S258" s="38">
        <v>20.972973</v>
      </c>
      <c r="T258" s="38">
        <v>16.1297297</v>
      </c>
      <c r="U258" s="38">
        <v>62.8972973</v>
      </c>
      <c r="V258" s="38">
        <v>48.0856587</v>
      </c>
      <c r="W258" s="38">
        <v>40.687865</v>
      </c>
      <c r="X258" s="38">
        <v>7.3977936</v>
      </c>
      <c r="Y258" s="38">
        <v>51.9143413</v>
      </c>
    </row>
    <row r="259" ht="15.0" hidden="1" customHeight="1">
      <c r="B259" s="30">
        <v>254.0</v>
      </c>
      <c r="C259" s="31" t="s">
        <v>21</v>
      </c>
      <c r="D259" s="31" t="s">
        <v>56</v>
      </c>
      <c r="E259" s="31" t="s">
        <v>98</v>
      </c>
      <c r="F259" s="31" t="s">
        <v>99</v>
      </c>
      <c r="G259" s="32" t="s">
        <v>15</v>
      </c>
      <c r="H259" s="33">
        <v>1420.0</v>
      </c>
      <c r="I259" s="33">
        <v>760.0</v>
      </c>
      <c r="J259" s="33">
        <v>441.0</v>
      </c>
      <c r="K259" s="33">
        <v>319.0</v>
      </c>
      <c r="L259" s="33">
        <v>660.0</v>
      </c>
      <c r="M259" s="33">
        <v>1835.0</v>
      </c>
      <c r="N259" s="33">
        <v>1453.0</v>
      </c>
      <c r="O259" s="33">
        <v>1205.0</v>
      </c>
      <c r="P259" s="33">
        <v>248.0</v>
      </c>
      <c r="Q259" s="33">
        <v>382.0</v>
      </c>
      <c r="R259" s="34">
        <v>53.5211268</v>
      </c>
      <c r="S259" s="34">
        <v>31.056338</v>
      </c>
      <c r="T259" s="34">
        <v>22.4647887</v>
      </c>
      <c r="U259" s="34">
        <v>46.4788732</v>
      </c>
      <c r="V259" s="34">
        <v>79.1825613</v>
      </c>
      <c r="W259" s="34">
        <v>65.6675749</v>
      </c>
      <c r="X259" s="34">
        <v>13.5149864</v>
      </c>
      <c r="Y259" s="34">
        <v>20.8174387</v>
      </c>
    </row>
    <row r="260" ht="15.0" hidden="1" customHeight="1">
      <c r="B260" s="30">
        <v>255.0</v>
      </c>
      <c r="C260" s="31" t="s">
        <v>21</v>
      </c>
      <c r="D260" s="31" t="s">
        <v>56</v>
      </c>
      <c r="E260" s="31" t="s">
        <v>98</v>
      </c>
      <c r="F260" s="31" t="s">
        <v>99</v>
      </c>
      <c r="G260" s="32" t="s">
        <v>16</v>
      </c>
      <c r="H260" s="33">
        <v>3205.0</v>
      </c>
      <c r="I260" s="33">
        <v>956.0</v>
      </c>
      <c r="J260" s="33">
        <v>529.0</v>
      </c>
      <c r="K260" s="33">
        <v>427.0</v>
      </c>
      <c r="L260" s="33">
        <v>2249.0</v>
      </c>
      <c r="M260" s="33">
        <v>4329.0</v>
      </c>
      <c r="N260" s="33">
        <v>1511.0</v>
      </c>
      <c r="O260" s="33">
        <v>1303.0</v>
      </c>
      <c r="P260" s="33">
        <v>208.0</v>
      </c>
      <c r="Q260" s="33">
        <v>2818.0</v>
      </c>
      <c r="R260" s="34">
        <v>29.8283931</v>
      </c>
      <c r="S260" s="34">
        <v>16.5054602</v>
      </c>
      <c r="T260" s="34">
        <v>13.3229329</v>
      </c>
      <c r="U260" s="34">
        <v>70.1716069</v>
      </c>
      <c r="V260" s="34">
        <v>34.9041349</v>
      </c>
      <c r="W260" s="34">
        <v>30.0993301</v>
      </c>
      <c r="X260" s="34">
        <v>4.8048048</v>
      </c>
      <c r="Y260" s="34">
        <v>65.0958651</v>
      </c>
    </row>
    <row r="261" ht="15.0" customHeight="1">
      <c r="B261" s="35">
        <v>256.0</v>
      </c>
      <c r="C261" s="36" t="s">
        <v>21</v>
      </c>
      <c r="D261" s="41" t="s">
        <v>56</v>
      </c>
      <c r="E261" s="41" t="s">
        <v>98</v>
      </c>
      <c r="F261" s="41" t="s">
        <v>100</v>
      </c>
      <c r="G261" s="42" t="s">
        <v>100</v>
      </c>
      <c r="H261" s="37">
        <v>2230.0</v>
      </c>
      <c r="I261" s="37">
        <v>795.0</v>
      </c>
      <c r="J261" s="37">
        <v>477.0</v>
      </c>
      <c r="K261" s="37">
        <v>318.0</v>
      </c>
      <c r="L261" s="37">
        <v>1435.0</v>
      </c>
      <c r="M261" s="37">
        <v>3068.0</v>
      </c>
      <c r="N261" s="37">
        <v>2096.0</v>
      </c>
      <c r="O261" s="37">
        <v>1517.0</v>
      </c>
      <c r="P261" s="37">
        <v>579.0</v>
      </c>
      <c r="Q261" s="37">
        <v>972.0</v>
      </c>
      <c r="R261" s="38">
        <v>35.6502242</v>
      </c>
      <c r="S261" s="38">
        <v>21.3901345</v>
      </c>
      <c r="T261" s="38">
        <v>14.2600897</v>
      </c>
      <c r="U261" s="38">
        <v>64.3497758</v>
      </c>
      <c r="V261" s="38">
        <v>68.3181226</v>
      </c>
      <c r="W261" s="38">
        <v>49.4458931</v>
      </c>
      <c r="X261" s="38">
        <v>18.8722295</v>
      </c>
      <c r="Y261" s="38">
        <v>31.6818774</v>
      </c>
    </row>
    <row r="262" ht="15.0" hidden="1" customHeight="1">
      <c r="B262" s="30">
        <v>257.0</v>
      </c>
      <c r="C262" s="31" t="s">
        <v>21</v>
      </c>
      <c r="D262" s="31" t="s">
        <v>56</v>
      </c>
      <c r="E262" s="31" t="s">
        <v>98</v>
      </c>
      <c r="F262" s="31" t="s">
        <v>100</v>
      </c>
      <c r="G262" s="32" t="s">
        <v>15</v>
      </c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4"/>
      <c r="S262" s="34"/>
      <c r="T262" s="34"/>
      <c r="U262" s="34"/>
      <c r="V262" s="34"/>
      <c r="W262" s="34"/>
      <c r="X262" s="34"/>
      <c r="Y262" s="34"/>
    </row>
    <row r="263" ht="15.0" hidden="1" customHeight="1">
      <c r="B263" s="30">
        <v>258.0</v>
      </c>
      <c r="C263" s="31" t="s">
        <v>21</v>
      </c>
      <c r="D263" s="31" t="s">
        <v>56</v>
      </c>
      <c r="E263" s="31" t="s">
        <v>98</v>
      </c>
      <c r="F263" s="31" t="s">
        <v>100</v>
      </c>
      <c r="G263" s="32" t="s">
        <v>16</v>
      </c>
      <c r="H263" s="33">
        <v>2230.0</v>
      </c>
      <c r="I263" s="33">
        <v>795.0</v>
      </c>
      <c r="J263" s="33">
        <v>477.0</v>
      </c>
      <c r="K263" s="33">
        <v>318.0</v>
      </c>
      <c r="L263" s="33">
        <v>1435.0</v>
      </c>
      <c r="M263" s="33">
        <v>3068.0</v>
      </c>
      <c r="N263" s="33">
        <v>2096.0</v>
      </c>
      <c r="O263" s="33">
        <v>1517.0</v>
      </c>
      <c r="P263" s="33">
        <v>579.0</v>
      </c>
      <c r="Q263" s="33">
        <v>972.0</v>
      </c>
      <c r="R263" s="34">
        <v>35.6502242</v>
      </c>
      <c r="S263" s="34">
        <v>21.3901345</v>
      </c>
      <c r="T263" s="34">
        <v>14.2600897</v>
      </c>
      <c r="U263" s="34">
        <v>64.3497758</v>
      </c>
      <c r="V263" s="34">
        <v>68.3181226</v>
      </c>
      <c r="W263" s="34">
        <v>49.4458931</v>
      </c>
      <c r="X263" s="34">
        <v>18.8722295</v>
      </c>
      <c r="Y263" s="34">
        <v>31.6818774</v>
      </c>
    </row>
    <row r="264" ht="15.0" hidden="1" customHeight="1">
      <c r="B264" s="26">
        <v>259.0</v>
      </c>
      <c r="C264" s="27" t="s">
        <v>19</v>
      </c>
      <c r="D264" s="40" t="s">
        <v>56</v>
      </c>
      <c r="E264" s="40" t="s">
        <v>101</v>
      </c>
      <c r="F264" s="40"/>
      <c r="G264" s="27" t="s">
        <v>101</v>
      </c>
      <c r="H264" s="28">
        <v>44000.0</v>
      </c>
      <c r="I264" s="28">
        <v>22413.0</v>
      </c>
      <c r="J264" s="28">
        <v>12300.0</v>
      </c>
      <c r="K264" s="28">
        <v>10113.0</v>
      </c>
      <c r="L264" s="28">
        <v>21587.0</v>
      </c>
      <c r="M264" s="28">
        <v>64052.0</v>
      </c>
      <c r="N264" s="28">
        <v>46969.0</v>
      </c>
      <c r="O264" s="28">
        <v>42428.0</v>
      </c>
      <c r="P264" s="28">
        <v>4541.0</v>
      </c>
      <c r="Q264" s="28">
        <v>17083.0</v>
      </c>
      <c r="R264" s="29">
        <v>50.9386364</v>
      </c>
      <c r="S264" s="29">
        <v>27.9545455</v>
      </c>
      <c r="T264" s="29">
        <v>22.9840909</v>
      </c>
      <c r="U264" s="29">
        <v>49.0613636</v>
      </c>
      <c r="V264" s="29">
        <v>73.3294823</v>
      </c>
      <c r="W264" s="29">
        <v>66.2399301</v>
      </c>
      <c r="X264" s="29">
        <v>7.0895522</v>
      </c>
      <c r="Y264" s="29">
        <v>26.6705177</v>
      </c>
    </row>
    <row r="265" ht="15.0" hidden="1" customHeight="1">
      <c r="B265" s="30">
        <v>260.0</v>
      </c>
      <c r="C265" s="31" t="s">
        <v>19</v>
      </c>
      <c r="D265" s="31" t="s">
        <v>56</v>
      </c>
      <c r="E265" s="31" t="s">
        <v>101</v>
      </c>
      <c r="F265" s="31"/>
      <c r="G265" s="32" t="s">
        <v>15</v>
      </c>
      <c r="H265" s="33">
        <v>21261.0</v>
      </c>
      <c r="I265" s="33">
        <v>11762.0</v>
      </c>
      <c r="J265" s="33">
        <v>7073.0</v>
      </c>
      <c r="K265" s="33">
        <v>4689.0</v>
      </c>
      <c r="L265" s="33">
        <v>9499.0</v>
      </c>
      <c r="M265" s="33">
        <v>34456.0</v>
      </c>
      <c r="N265" s="33">
        <v>29122.0</v>
      </c>
      <c r="O265" s="33">
        <v>26512.0</v>
      </c>
      <c r="P265" s="33">
        <v>2610.0</v>
      </c>
      <c r="Q265" s="33">
        <v>5334.0</v>
      </c>
      <c r="R265" s="34">
        <v>55.321951</v>
      </c>
      <c r="S265" s="34">
        <v>33.2674851</v>
      </c>
      <c r="T265" s="34">
        <v>22.0544659</v>
      </c>
      <c r="U265" s="34">
        <v>44.678049</v>
      </c>
      <c r="V265" s="34">
        <v>84.519387</v>
      </c>
      <c r="W265" s="34">
        <v>76.9445089</v>
      </c>
      <c r="X265" s="34">
        <v>7.5748781</v>
      </c>
      <c r="Y265" s="34">
        <v>15.480613</v>
      </c>
    </row>
    <row r="266" ht="15.0" hidden="1" customHeight="1">
      <c r="B266" s="30">
        <v>261.0</v>
      </c>
      <c r="C266" s="31" t="s">
        <v>19</v>
      </c>
      <c r="D266" s="31" t="s">
        <v>56</v>
      </c>
      <c r="E266" s="31" t="s">
        <v>101</v>
      </c>
      <c r="F266" s="31"/>
      <c r="G266" s="32" t="s">
        <v>16</v>
      </c>
      <c r="H266" s="33">
        <v>22739.0</v>
      </c>
      <c r="I266" s="33">
        <v>10651.0</v>
      </c>
      <c r="J266" s="33">
        <v>5227.0</v>
      </c>
      <c r="K266" s="33">
        <v>5424.0</v>
      </c>
      <c r="L266" s="33">
        <v>12088.0</v>
      </c>
      <c r="M266" s="33">
        <v>29596.0</v>
      </c>
      <c r="N266" s="33">
        <v>17847.0</v>
      </c>
      <c r="O266" s="33">
        <v>15916.0</v>
      </c>
      <c r="P266" s="33">
        <v>1931.0</v>
      </c>
      <c r="Q266" s="33">
        <v>11749.0</v>
      </c>
      <c r="R266" s="34">
        <v>46.8402304</v>
      </c>
      <c r="S266" s="34">
        <v>22.9869387</v>
      </c>
      <c r="T266" s="34">
        <v>23.8532917</v>
      </c>
      <c r="U266" s="34">
        <v>53.1597696</v>
      </c>
      <c r="V266" s="34">
        <v>60.3020678</v>
      </c>
      <c r="W266" s="34">
        <v>53.7775375</v>
      </c>
      <c r="X266" s="34">
        <v>6.5245303</v>
      </c>
      <c r="Y266" s="34">
        <v>39.6979322</v>
      </c>
    </row>
    <row r="267" ht="15.0" customHeight="1">
      <c r="B267" s="35">
        <v>262.0</v>
      </c>
      <c r="C267" s="36" t="s">
        <v>21</v>
      </c>
      <c r="D267" s="41" t="s">
        <v>56</v>
      </c>
      <c r="E267" s="41" t="s">
        <v>101</v>
      </c>
      <c r="F267" s="41" t="s">
        <v>102</v>
      </c>
      <c r="G267" s="42" t="s">
        <v>102</v>
      </c>
      <c r="H267" s="37">
        <v>26248.0</v>
      </c>
      <c r="I267" s="37">
        <v>14259.0</v>
      </c>
      <c r="J267" s="37">
        <v>8456.0</v>
      </c>
      <c r="K267" s="37">
        <v>5803.0</v>
      </c>
      <c r="L267" s="37">
        <v>11989.0</v>
      </c>
      <c r="M267" s="37">
        <v>41941.0</v>
      </c>
      <c r="N267" s="37">
        <v>33166.0</v>
      </c>
      <c r="O267" s="37">
        <v>30276.0</v>
      </c>
      <c r="P267" s="37">
        <v>2890.0</v>
      </c>
      <c r="Q267" s="37">
        <v>8775.0</v>
      </c>
      <c r="R267" s="38">
        <v>54.324139</v>
      </c>
      <c r="S267" s="38">
        <v>32.2157879</v>
      </c>
      <c r="T267" s="38">
        <v>22.1083511</v>
      </c>
      <c r="U267" s="38">
        <v>45.675861</v>
      </c>
      <c r="V267" s="38">
        <v>79.0777521</v>
      </c>
      <c r="W267" s="38">
        <v>72.18712</v>
      </c>
      <c r="X267" s="38">
        <v>6.8906321</v>
      </c>
      <c r="Y267" s="38">
        <v>20.9222479</v>
      </c>
    </row>
    <row r="268" ht="15.0" hidden="1" customHeight="1">
      <c r="B268" s="30">
        <v>263.0</v>
      </c>
      <c r="C268" s="31" t="s">
        <v>21</v>
      </c>
      <c r="D268" s="31" t="s">
        <v>56</v>
      </c>
      <c r="E268" s="31" t="s">
        <v>101</v>
      </c>
      <c r="F268" s="31" t="s">
        <v>102</v>
      </c>
      <c r="G268" s="32" t="s">
        <v>15</v>
      </c>
      <c r="H268" s="33">
        <v>19740.0</v>
      </c>
      <c r="I268" s="33">
        <v>11176.0</v>
      </c>
      <c r="J268" s="33">
        <v>6722.0</v>
      </c>
      <c r="K268" s="33">
        <v>4454.0</v>
      </c>
      <c r="L268" s="33">
        <v>8564.0</v>
      </c>
      <c r="M268" s="33">
        <v>32953.0</v>
      </c>
      <c r="N268" s="33">
        <v>27852.0</v>
      </c>
      <c r="O268" s="33">
        <v>25461.0</v>
      </c>
      <c r="P268" s="33">
        <v>2391.0</v>
      </c>
      <c r="Q268" s="33">
        <v>5101.0</v>
      </c>
      <c r="R268" s="34">
        <v>56.6160081</v>
      </c>
      <c r="S268" s="34">
        <v>34.0526849</v>
      </c>
      <c r="T268" s="34">
        <v>22.5633232</v>
      </c>
      <c r="U268" s="34">
        <v>43.3839919</v>
      </c>
      <c r="V268" s="34">
        <v>84.5203775</v>
      </c>
      <c r="W268" s="34">
        <v>77.264589</v>
      </c>
      <c r="X268" s="34">
        <v>7.2557885</v>
      </c>
      <c r="Y268" s="34">
        <v>15.4796225</v>
      </c>
    </row>
    <row r="269" ht="15.0" hidden="1" customHeight="1">
      <c r="B269" s="30">
        <v>264.0</v>
      </c>
      <c r="C269" s="31" t="s">
        <v>21</v>
      </c>
      <c r="D269" s="31" t="s">
        <v>56</v>
      </c>
      <c r="E269" s="31" t="s">
        <v>101</v>
      </c>
      <c r="F269" s="31" t="s">
        <v>102</v>
      </c>
      <c r="G269" s="32" t="s">
        <v>16</v>
      </c>
      <c r="H269" s="33">
        <v>6508.0</v>
      </c>
      <c r="I269" s="33">
        <v>3083.0</v>
      </c>
      <c r="J269" s="33">
        <v>1734.0</v>
      </c>
      <c r="K269" s="33">
        <v>1349.0</v>
      </c>
      <c r="L269" s="33">
        <v>3425.0</v>
      </c>
      <c r="M269" s="33">
        <v>8988.0</v>
      </c>
      <c r="N269" s="33">
        <v>5314.0</v>
      </c>
      <c r="O269" s="33">
        <v>4815.0</v>
      </c>
      <c r="P269" s="33">
        <v>499.0</v>
      </c>
      <c r="Q269" s="33">
        <v>3674.0</v>
      </c>
      <c r="R269" s="34">
        <v>47.3724647</v>
      </c>
      <c r="S269" s="34">
        <v>26.6441303</v>
      </c>
      <c r="T269" s="34">
        <v>20.7283344</v>
      </c>
      <c r="U269" s="34">
        <v>52.6275353</v>
      </c>
      <c r="V269" s="34">
        <v>59.1232755</v>
      </c>
      <c r="W269" s="34">
        <v>53.5714286</v>
      </c>
      <c r="X269" s="34">
        <v>5.5518469</v>
      </c>
      <c r="Y269" s="34">
        <v>40.8767245</v>
      </c>
    </row>
    <row r="270" ht="15.0" customHeight="1">
      <c r="B270" s="35">
        <v>265.0</v>
      </c>
      <c r="C270" s="36" t="s">
        <v>21</v>
      </c>
      <c r="D270" s="41" t="s">
        <v>56</v>
      </c>
      <c r="E270" s="41" t="s">
        <v>101</v>
      </c>
      <c r="F270" s="41" t="s">
        <v>103</v>
      </c>
      <c r="G270" s="42" t="s">
        <v>103</v>
      </c>
      <c r="H270" s="37">
        <v>2731.0</v>
      </c>
      <c r="I270" s="37">
        <v>922.0</v>
      </c>
      <c r="J270" s="37">
        <v>636.0</v>
      </c>
      <c r="K270" s="37">
        <v>286.0</v>
      </c>
      <c r="L270" s="37">
        <v>1809.0</v>
      </c>
      <c r="M270" s="37">
        <v>3220.0</v>
      </c>
      <c r="N270" s="37">
        <v>2172.0</v>
      </c>
      <c r="O270" s="37">
        <v>1998.0</v>
      </c>
      <c r="P270" s="37">
        <v>174.0</v>
      </c>
      <c r="Q270" s="37">
        <v>1048.0</v>
      </c>
      <c r="R270" s="38">
        <v>33.7605273</v>
      </c>
      <c r="S270" s="38">
        <v>23.2881728</v>
      </c>
      <c r="T270" s="38">
        <v>10.4723544</v>
      </c>
      <c r="U270" s="38">
        <v>66.2394727</v>
      </c>
      <c r="V270" s="38">
        <v>67.4534161</v>
      </c>
      <c r="W270" s="38">
        <v>62.0496894</v>
      </c>
      <c r="X270" s="38">
        <v>5.4037267</v>
      </c>
      <c r="Y270" s="38">
        <v>32.5465839</v>
      </c>
    </row>
    <row r="271" ht="15.0" hidden="1" customHeight="1">
      <c r="B271" s="30">
        <v>266.0</v>
      </c>
      <c r="C271" s="31" t="s">
        <v>21</v>
      </c>
      <c r="D271" s="31" t="s">
        <v>56</v>
      </c>
      <c r="E271" s="31" t="s">
        <v>101</v>
      </c>
      <c r="F271" s="31" t="s">
        <v>103</v>
      </c>
      <c r="G271" s="32" t="s">
        <v>15</v>
      </c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4"/>
      <c r="S271" s="34"/>
      <c r="T271" s="34"/>
      <c r="U271" s="34"/>
      <c r="V271" s="34"/>
      <c r="W271" s="34"/>
      <c r="X271" s="34"/>
      <c r="Y271" s="34"/>
    </row>
    <row r="272" ht="15.0" hidden="1" customHeight="1">
      <c r="B272" s="30">
        <v>267.0</v>
      </c>
      <c r="C272" s="31" t="s">
        <v>21</v>
      </c>
      <c r="D272" s="31" t="s">
        <v>56</v>
      </c>
      <c r="E272" s="31" t="s">
        <v>101</v>
      </c>
      <c r="F272" s="31" t="s">
        <v>103</v>
      </c>
      <c r="G272" s="32" t="s">
        <v>16</v>
      </c>
      <c r="H272" s="33">
        <v>2731.0</v>
      </c>
      <c r="I272" s="33">
        <v>922.0</v>
      </c>
      <c r="J272" s="33">
        <v>636.0</v>
      </c>
      <c r="K272" s="33">
        <v>286.0</v>
      </c>
      <c r="L272" s="33">
        <v>1809.0</v>
      </c>
      <c r="M272" s="33">
        <v>3220.0</v>
      </c>
      <c r="N272" s="33">
        <v>2172.0</v>
      </c>
      <c r="O272" s="33">
        <v>1998.0</v>
      </c>
      <c r="P272" s="33">
        <v>174.0</v>
      </c>
      <c r="Q272" s="33">
        <v>1048.0</v>
      </c>
      <c r="R272" s="34">
        <v>33.7605273</v>
      </c>
      <c r="S272" s="34">
        <v>23.2881728</v>
      </c>
      <c r="T272" s="34">
        <v>10.4723544</v>
      </c>
      <c r="U272" s="34">
        <v>66.2394727</v>
      </c>
      <c r="V272" s="34">
        <v>67.4534161</v>
      </c>
      <c r="W272" s="34">
        <v>62.0496894</v>
      </c>
      <c r="X272" s="34">
        <v>5.4037267</v>
      </c>
      <c r="Y272" s="34">
        <v>32.5465839</v>
      </c>
    </row>
    <row r="273" ht="15.0" customHeight="1">
      <c r="B273" s="35">
        <v>268.0</v>
      </c>
      <c r="C273" s="36" t="s">
        <v>21</v>
      </c>
      <c r="D273" s="41" t="s">
        <v>56</v>
      </c>
      <c r="E273" s="41" t="s">
        <v>101</v>
      </c>
      <c r="F273" s="41" t="s">
        <v>104</v>
      </c>
      <c r="G273" s="42" t="s">
        <v>104</v>
      </c>
      <c r="H273" s="37">
        <v>3594.0</v>
      </c>
      <c r="I273" s="37">
        <v>1485.0</v>
      </c>
      <c r="J273" s="37">
        <v>816.0</v>
      </c>
      <c r="K273" s="37">
        <v>669.0</v>
      </c>
      <c r="L273" s="37">
        <v>2109.0</v>
      </c>
      <c r="M273" s="37">
        <v>4653.0</v>
      </c>
      <c r="N273" s="37">
        <v>2554.0</v>
      </c>
      <c r="O273" s="37">
        <v>2376.0</v>
      </c>
      <c r="P273" s="37">
        <v>178.0</v>
      </c>
      <c r="Q273" s="37">
        <v>2099.0</v>
      </c>
      <c r="R273" s="38">
        <v>41.3188648</v>
      </c>
      <c r="S273" s="38">
        <v>22.7045075</v>
      </c>
      <c r="T273" s="38">
        <v>18.6143573</v>
      </c>
      <c r="U273" s="38">
        <v>58.6811352</v>
      </c>
      <c r="V273" s="38">
        <v>54.8893187</v>
      </c>
      <c r="W273" s="38">
        <v>51.0638298</v>
      </c>
      <c r="X273" s="38">
        <v>3.8254889</v>
      </c>
      <c r="Y273" s="38">
        <v>45.1106813</v>
      </c>
    </row>
    <row r="274" ht="15.0" hidden="1" customHeight="1">
      <c r="B274" s="30">
        <v>269.0</v>
      </c>
      <c r="C274" s="31" t="s">
        <v>21</v>
      </c>
      <c r="D274" s="31" t="s">
        <v>56</v>
      </c>
      <c r="E274" s="31" t="s">
        <v>101</v>
      </c>
      <c r="F274" s="31" t="s">
        <v>104</v>
      </c>
      <c r="G274" s="32" t="s">
        <v>15</v>
      </c>
      <c r="H274" s="33">
        <v>440.0</v>
      </c>
      <c r="I274" s="33">
        <v>33.0</v>
      </c>
      <c r="J274" s="33">
        <v>29.0</v>
      </c>
      <c r="K274" s="33">
        <v>4.0</v>
      </c>
      <c r="L274" s="33">
        <v>407.0</v>
      </c>
      <c r="M274" s="33"/>
      <c r="N274" s="33"/>
      <c r="O274" s="33"/>
      <c r="P274" s="33"/>
      <c r="Q274" s="33"/>
      <c r="R274" s="34">
        <v>7.5</v>
      </c>
      <c r="S274" s="34">
        <v>6.5909091</v>
      </c>
      <c r="T274" s="34">
        <v>0.9090909</v>
      </c>
      <c r="U274" s="34">
        <v>92.5</v>
      </c>
      <c r="V274" s="34"/>
      <c r="W274" s="34"/>
      <c r="X274" s="34"/>
      <c r="Y274" s="34"/>
    </row>
    <row r="275" ht="15.0" hidden="1" customHeight="1">
      <c r="B275" s="30">
        <v>270.0</v>
      </c>
      <c r="C275" s="31" t="s">
        <v>21</v>
      </c>
      <c r="D275" s="31" t="s">
        <v>56</v>
      </c>
      <c r="E275" s="31" t="s">
        <v>101</v>
      </c>
      <c r="F275" s="31" t="s">
        <v>104</v>
      </c>
      <c r="G275" s="32" t="s">
        <v>16</v>
      </c>
      <c r="H275" s="33">
        <v>3154.0</v>
      </c>
      <c r="I275" s="33">
        <v>1452.0</v>
      </c>
      <c r="J275" s="33">
        <v>787.0</v>
      </c>
      <c r="K275" s="33">
        <v>665.0</v>
      </c>
      <c r="L275" s="33">
        <v>1702.0</v>
      </c>
      <c r="M275" s="33">
        <v>4653.0</v>
      </c>
      <c r="N275" s="33">
        <v>2554.0</v>
      </c>
      <c r="O275" s="33">
        <v>2376.0</v>
      </c>
      <c r="P275" s="33">
        <v>178.0</v>
      </c>
      <c r="Q275" s="33">
        <v>2099.0</v>
      </c>
      <c r="R275" s="34">
        <v>46.0367787</v>
      </c>
      <c r="S275" s="34">
        <v>24.9524413</v>
      </c>
      <c r="T275" s="34">
        <v>21.0843373</v>
      </c>
      <c r="U275" s="34">
        <v>53.9632213</v>
      </c>
      <c r="V275" s="34">
        <v>54.8893187</v>
      </c>
      <c r="W275" s="34">
        <v>51.0638298</v>
      </c>
      <c r="X275" s="34">
        <v>3.8254889</v>
      </c>
      <c r="Y275" s="34">
        <v>45.1106813</v>
      </c>
    </row>
    <row r="276" ht="15.0" customHeight="1">
      <c r="B276" s="35">
        <v>271.0</v>
      </c>
      <c r="C276" s="36" t="s">
        <v>21</v>
      </c>
      <c r="D276" s="41" t="s">
        <v>56</v>
      </c>
      <c r="E276" s="41" t="s">
        <v>101</v>
      </c>
      <c r="F276" s="41" t="s">
        <v>105</v>
      </c>
      <c r="G276" s="42" t="s">
        <v>105</v>
      </c>
      <c r="H276" s="37">
        <v>2250.0</v>
      </c>
      <c r="I276" s="37">
        <v>832.0</v>
      </c>
      <c r="J276" s="37">
        <v>431.0</v>
      </c>
      <c r="K276" s="37">
        <v>401.0</v>
      </c>
      <c r="L276" s="37">
        <v>1418.0</v>
      </c>
      <c r="M276" s="37">
        <v>2675.0</v>
      </c>
      <c r="N276" s="37">
        <v>1962.0</v>
      </c>
      <c r="O276" s="37">
        <v>1660.0</v>
      </c>
      <c r="P276" s="37">
        <v>302.0</v>
      </c>
      <c r="Q276" s="37">
        <v>713.0</v>
      </c>
      <c r="R276" s="38">
        <v>36.9777778</v>
      </c>
      <c r="S276" s="38">
        <v>19.1555556</v>
      </c>
      <c r="T276" s="38">
        <v>17.8222222</v>
      </c>
      <c r="U276" s="38">
        <v>63.0222222</v>
      </c>
      <c r="V276" s="38">
        <v>73.3457944</v>
      </c>
      <c r="W276" s="38">
        <v>62.0560748</v>
      </c>
      <c r="X276" s="38">
        <v>11.2897196</v>
      </c>
      <c r="Y276" s="38">
        <v>26.6542056</v>
      </c>
    </row>
    <row r="277" ht="15.0" hidden="1" customHeight="1">
      <c r="B277" s="30">
        <v>272.0</v>
      </c>
      <c r="C277" s="31" t="s">
        <v>21</v>
      </c>
      <c r="D277" s="31" t="s">
        <v>56</v>
      </c>
      <c r="E277" s="31" t="s">
        <v>101</v>
      </c>
      <c r="F277" s="31" t="s">
        <v>105</v>
      </c>
      <c r="G277" s="32" t="s">
        <v>15</v>
      </c>
      <c r="H277" s="33">
        <v>1081.0</v>
      </c>
      <c r="I277" s="33">
        <v>553.0</v>
      </c>
      <c r="J277" s="33">
        <v>322.0</v>
      </c>
      <c r="K277" s="33">
        <v>231.0</v>
      </c>
      <c r="L277" s="33">
        <v>528.0</v>
      </c>
      <c r="M277" s="33">
        <v>1503.0</v>
      </c>
      <c r="N277" s="33">
        <v>1270.0</v>
      </c>
      <c r="O277" s="33">
        <v>1051.0</v>
      </c>
      <c r="P277" s="33">
        <v>219.0</v>
      </c>
      <c r="Q277" s="33">
        <v>233.0</v>
      </c>
      <c r="R277" s="34">
        <v>51.1563367</v>
      </c>
      <c r="S277" s="34">
        <v>29.787234</v>
      </c>
      <c r="T277" s="34">
        <v>21.3691027</v>
      </c>
      <c r="U277" s="34">
        <v>48.8436633</v>
      </c>
      <c r="V277" s="34">
        <v>84.4976713</v>
      </c>
      <c r="W277" s="34">
        <v>69.926813</v>
      </c>
      <c r="X277" s="34">
        <v>14.5708583</v>
      </c>
      <c r="Y277" s="34">
        <v>15.5023287</v>
      </c>
    </row>
    <row r="278" ht="15.0" hidden="1" customHeight="1">
      <c r="B278" s="30">
        <v>273.0</v>
      </c>
      <c r="C278" s="31" t="s">
        <v>21</v>
      </c>
      <c r="D278" s="31" t="s">
        <v>56</v>
      </c>
      <c r="E278" s="31" t="s">
        <v>101</v>
      </c>
      <c r="F278" s="31" t="s">
        <v>105</v>
      </c>
      <c r="G278" s="32" t="s">
        <v>16</v>
      </c>
      <c r="H278" s="33">
        <v>1169.0</v>
      </c>
      <c r="I278" s="33">
        <v>279.0</v>
      </c>
      <c r="J278" s="33">
        <v>109.0</v>
      </c>
      <c r="K278" s="33">
        <v>170.0</v>
      </c>
      <c r="L278" s="33">
        <v>890.0</v>
      </c>
      <c r="M278" s="33">
        <v>1172.0</v>
      </c>
      <c r="N278" s="33">
        <v>692.0</v>
      </c>
      <c r="O278" s="33">
        <v>609.0</v>
      </c>
      <c r="P278" s="33">
        <v>83.0</v>
      </c>
      <c r="Q278" s="33">
        <v>480.0</v>
      </c>
      <c r="R278" s="34">
        <v>23.8665526</v>
      </c>
      <c r="S278" s="34">
        <v>9.3242087</v>
      </c>
      <c r="T278" s="34">
        <v>14.5423439</v>
      </c>
      <c r="U278" s="34">
        <v>76.1334474</v>
      </c>
      <c r="V278" s="34">
        <v>59.0443686</v>
      </c>
      <c r="W278" s="34">
        <v>51.9624573</v>
      </c>
      <c r="X278" s="34">
        <v>7.0819113</v>
      </c>
      <c r="Y278" s="34">
        <v>40.9556314</v>
      </c>
    </row>
    <row r="279" ht="15.0" customHeight="1">
      <c r="B279" s="35">
        <v>274.0</v>
      </c>
      <c r="C279" s="36" t="s">
        <v>21</v>
      </c>
      <c r="D279" s="41" t="s">
        <v>56</v>
      </c>
      <c r="E279" s="41" t="s">
        <v>101</v>
      </c>
      <c r="F279" s="41" t="s">
        <v>106</v>
      </c>
      <c r="G279" s="42" t="s">
        <v>106</v>
      </c>
      <c r="H279" s="37">
        <v>2391.0</v>
      </c>
      <c r="I279" s="37">
        <v>1288.0</v>
      </c>
      <c r="J279" s="37">
        <v>458.0</v>
      </c>
      <c r="K279" s="37">
        <v>830.0</v>
      </c>
      <c r="L279" s="37">
        <v>1103.0</v>
      </c>
      <c r="M279" s="37">
        <v>3114.0</v>
      </c>
      <c r="N279" s="37">
        <v>1892.0</v>
      </c>
      <c r="O279" s="37">
        <v>1502.0</v>
      </c>
      <c r="P279" s="37">
        <v>390.0</v>
      </c>
      <c r="Q279" s="37">
        <v>1222.0</v>
      </c>
      <c r="R279" s="38">
        <v>53.8686742</v>
      </c>
      <c r="S279" s="38">
        <v>19.1551652</v>
      </c>
      <c r="T279" s="38">
        <v>34.713509</v>
      </c>
      <c r="U279" s="38">
        <v>46.1313258</v>
      </c>
      <c r="V279" s="38">
        <v>60.7578677</v>
      </c>
      <c r="W279" s="38">
        <v>48.2337829</v>
      </c>
      <c r="X279" s="38">
        <v>12.5240848</v>
      </c>
      <c r="Y279" s="38">
        <v>39.2421323</v>
      </c>
    </row>
    <row r="280" ht="15.0" hidden="1" customHeight="1">
      <c r="B280" s="30">
        <v>275.0</v>
      </c>
      <c r="C280" s="31" t="s">
        <v>21</v>
      </c>
      <c r="D280" s="31" t="s">
        <v>56</v>
      </c>
      <c r="E280" s="31" t="s">
        <v>101</v>
      </c>
      <c r="F280" s="31" t="s">
        <v>106</v>
      </c>
      <c r="G280" s="32" t="s">
        <v>15</v>
      </c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4"/>
      <c r="S280" s="34"/>
      <c r="T280" s="34"/>
      <c r="U280" s="34"/>
      <c r="V280" s="34"/>
      <c r="W280" s="34"/>
      <c r="X280" s="34"/>
      <c r="Y280" s="34"/>
    </row>
    <row r="281" ht="15.0" hidden="1" customHeight="1">
      <c r="B281" s="30">
        <v>276.0</v>
      </c>
      <c r="C281" s="31" t="s">
        <v>21</v>
      </c>
      <c r="D281" s="31" t="s">
        <v>56</v>
      </c>
      <c r="E281" s="31" t="s">
        <v>101</v>
      </c>
      <c r="F281" s="31" t="s">
        <v>106</v>
      </c>
      <c r="G281" s="32" t="s">
        <v>16</v>
      </c>
      <c r="H281" s="33">
        <v>2391.0</v>
      </c>
      <c r="I281" s="33">
        <v>1288.0</v>
      </c>
      <c r="J281" s="33">
        <v>458.0</v>
      </c>
      <c r="K281" s="33">
        <v>830.0</v>
      </c>
      <c r="L281" s="33">
        <v>1103.0</v>
      </c>
      <c r="M281" s="33">
        <v>3114.0</v>
      </c>
      <c r="N281" s="33">
        <v>1892.0</v>
      </c>
      <c r="O281" s="33">
        <v>1502.0</v>
      </c>
      <c r="P281" s="33">
        <v>390.0</v>
      </c>
      <c r="Q281" s="33">
        <v>1222.0</v>
      </c>
      <c r="R281" s="34">
        <v>53.8686742</v>
      </c>
      <c r="S281" s="34">
        <v>19.1551652</v>
      </c>
      <c r="T281" s="34">
        <v>34.713509</v>
      </c>
      <c r="U281" s="34">
        <v>46.1313258</v>
      </c>
      <c r="V281" s="34">
        <v>60.7578677</v>
      </c>
      <c r="W281" s="34">
        <v>48.2337829</v>
      </c>
      <c r="X281" s="34">
        <v>12.5240848</v>
      </c>
      <c r="Y281" s="34">
        <v>39.2421323</v>
      </c>
    </row>
    <row r="282" ht="15.0" customHeight="1">
      <c r="B282" s="35">
        <v>277.0</v>
      </c>
      <c r="C282" s="36" t="s">
        <v>21</v>
      </c>
      <c r="D282" s="41" t="s">
        <v>56</v>
      </c>
      <c r="E282" s="41" t="s">
        <v>101</v>
      </c>
      <c r="F282" s="41" t="s">
        <v>107</v>
      </c>
      <c r="G282" s="42" t="s">
        <v>107</v>
      </c>
      <c r="H282" s="37">
        <v>4967.0</v>
      </c>
      <c r="I282" s="37">
        <v>3088.0</v>
      </c>
      <c r="J282" s="37">
        <v>1100.0</v>
      </c>
      <c r="K282" s="37">
        <v>1988.0</v>
      </c>
      <c r="L282" s="37">
        <v>1879.0</v>
      </c>
      <c r="M282" s="37">
        <v>5887.0</v>
      </c>
      <c r="N282" s="37">
        <v>3945.0</v>
      </c>
      <c r="O282" s="37">
        <v>3508.0</v>
      </c>
      <c r="P282" s="37">
        <v>437.0</v>
      </c>
      <c r="Q282" s="37">
        <v>1942.0</v>
      </c>
      <c r="R282" s="38">
        <v>62.1703241</v>
      </c>
      <c r="S282" s="38">
        <v>22.1461647</v>
      </c>
      <c r="T282" s="38">
        <v>40.0241595</v>
      </c>
      <c r="U282" s="38">
        <v>37.8296759</v>
      </c>
      <c r="V282" s="38">
        <v>67.0120605</v>
      </c>
      <c r="W282" s="38">
        <v>59.5889247</v>
      </c>
      <c r="X282" s="38">
        <v>7.4231357</v>
      </c>
      <c r="Y282" s="38">
        <v>32.9879395</v>
      </c>
    </row>
    <row r="283" ht="15.0" hidden="1" customHeight="1">
      <c r="B283" s="30">
        <v>278.0</v>
      </c>
      <c r="C283" s="31" t="s">
        <v>21</v>
      </c>
      <c r="D283" s="31" t="s">
        <v>56</v>
      </c>
      <c r="E283" s="31" t="s">
        <v>101</v>
      </c>
      <c r="F283" s="31" t="s">
        <v>107</v>
      </c>
      <c r="G283" s="32" t="s">
        <v>15</v>
      </c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4"/>
      <c r="S283" s="34"/>
      <c r="T283" s="34"/>
      <c r="U283" s="34"/>
      <c r="V283" s="34"/>
      <c r="W283" s="34"/>
      <c r="X283" s="34"/>
      <c r="Y283" s="34"/>
    </row>
    <row r="284" ht="15.0" hidden="1" customHeight="1">
      <c r="B284" s="30">
        <v>279.0</v>
      </c>
      <c r="C284" s="31" t="s">
        <v>21</v>
      </c>
      <c r="D284" s="31" t="s">
        <v>56</v>
      </c>
      <c r="E284" s="31" t="s">
        <v>101</v>
      </c>
      <c r="F284" s="31" t="s">
        <v>107</v>
      </c>
      <c r="G284" s="32" t="s">
        <v>16</v>
      </c>
      <c r="H284" s="33">
        <v>4967.0</v>
      </c>
      <c r="I284" s="33">
        <v>3088.0</v>
      </c>
      <c r="J284" s="33">
        <v>1100.0</v>
      </c>
      <c r="K284" s="33">
        <v>1988.0</v>
      </c>
      <c r="L284" s="33">
        <v>1879.0</v>
      </c>
      <c r="M284" s="33">
        <v>5887.0</v>
      </c>
      <c r="N284" s="33">
        <v>3945.0</v>
      </c>
      <c r="O284" s="33">
        <v>3508.0</v>
      </c>
      <c r="P284" s="33">
        <v>437.0</v>
      </c>
      <c r="Q284" s="33">
        <v>1942.0</v>
      </c>
      <c r="R284" s="34">
        <v>62.1703241</v>
      </c>
      <c r="S284" s="34">
        <v>22.1461647</v>
      </c>
      <c r="T284" s="34">
        <v>40.0241595</v>
      </c>
      <c r="U284" s="34">
        <v>37.8296759</v>
      </c>
      <c r="V284" s="34">
        <v>67.0120605</v>
      </c>
      <c r="W284" s="34">
        <v>59.5889247</v>
      </c>
      <c r="X284" s="34">
        <v>7.4231357</v>
      </c>
      <c r="Y284" s="34">
        <v>32.9879395</v>
      </c>
    </row>
    <row r="285" ht="15.0" customHeight="1">
      <c r="B285" s="35">
        <v>280.0</v>
      </c>
      <c r="C285" s="36" t="s">
        <v>21</v>
      </c>
      <c r="D285" s="41" t="s">
        <v>56</v>
      </c>
      <c r="E285" s="41" t="s">
        <v>101</v>
      </c>
      <c r="F285" s="41" t="s">
        <v>108</v>
      </c>
      <c r="G285" s="42" t="s">
        <v>108</v>
      </c>
      <c r="H285" s="37">
        <v>1819.0</v>
      </c>
      <c r="I285" s="37">
        <v>539.0</v>
      </c>
      <c r="J285" s="37">
        <v>403.0</v>
      </c>
      <c r="K285" s="37">
        <v>136.0</v>
      </c>
      <c r="L285" s="37">
        <v>1280.0</v>
      </c>
      <c r="M285" s="37">
        <v>2562.0</v>
      </c>
      <c r="N285" s="37">
        <v>1278.0</v>
      </c>
      <c r="O285" s="37">
        <v>1108.0</v>
      </c>
      <c r="P285" s="37">
        <v>170.0</v>
      </c>
      <c r="Q285" s="37">
        <v>1284.0</v>
      </c>
      <c r="R285" s="38">
        <v>29.6316658</v>
      </c>
      <c r="S285" s="38">
        <v>22.1550302</v>
      </c>
      <c r="T285" s="38">
        <v>7.4766355</v>
      </c>
      <c r="U285" s="38">
        <v>70.3683342</v>
      </c>
      <c r="V285" s="38">
        <v>49.882904</v>
      </c>
      <c r="W285" s="38">
        <v>43.2474629</v>
      </c>
      <c r="X285" s="38">
        <v>6.6354411</v>
      </c>
      <c r="Y285" s="38">
        <v>50.117096</v>
      </c>
    </row>
    <row r="286" ht="15.0" hidden="1" customHeight="1">
      <c r="B286" s="30">
        <v>281.0</v>
      </c>
      <c r="C286" s="31" t="s">
        <v>21</v>
      </c>
      <c r="D286" s="31" t="s">
        <v>56</v>
      </c>
      <c r="E286" s="31" t="s">
        <v>101</v>
      </c>
      <c r="F286" s="31" t="s">
        <v>108</v>
      </c>
      <c r="G286" s="32" t="s">
        <v>15</v>
      </c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4"/>
      <c r="S286" s="34"/>
      <c r="T286" s="34"/>
      <c r="U286" s="34"/>
      <c r="V286" s="34"/>
      <c r="W286" s="34"/>
      <c r="X286" s="34"/>
      <c r="Y286" s="34"/>
    </row>
    <row r="287" ht="15.0" hidden="1" customHeight="1">
      <c r="B287" s="30">
        <v>282.0</v>
      </c>
      <c r="C287" s="31" t="s">
        <v>21</v>
      </c>
      <c r="D287" s="31" t="s">
        <v>56</v>
      </c>
      <c r="E287" s="31" t="s">
        <v>101</v>
      </c>
      <c r="F287" s="31" t="s">
        <v>108</v>
      </c>
      <c r="G287" s="32" t="s">
        <v>16</v>
      </c>
      <c r="H287" s="33">
        <v>1819.0</v>
      </c>
      <c r="I287" s="33">
        <v>539.0</v>
      </c>
      <c r="J287" s="33">
        <v>403.0</v>
      </c>
      <c r="K287" s="33">
        <v>136.0</v>
      </c>
      <c r="L287" s="33">
        <v>1280.0</v>
      </c>
      <c r="M287" s="33">
        <v>2562.0</v>
      </c>
      <c r="N287" s="33">
        <v>1278.0</v>
      </c>
      <c r="O287" s="33">
        <v>1108.0</v>
      </c>
      <c r="P287" s="33">
        <v>170.0</v>
      </c>
      <c r="Q287" s="33">
        <v>1284.0</v>
      </c>
      <c r="R287" s="34">
        <v>29.6316658</v>
      </c>
      <c r="S287" s="34">
        <v>22.1550302</v>
      </c>
      <c r="T287" s="34">
        <v>7.4766355</v>
      </c>
      <c r="U287" s="34">
        <v>70.3683342</v>
      </c>
      <c r="V287" s="34">
        <v>49.882904</v>
      </c>
      <c r="W287" s="34">
        <v>43.2474629</v>
      </c>
      <c r="X287" s="34">
        <v>6.6354411</v>
      </c>
      <c r="Y287" s="34">
        <v>50.117096</v>
      </c>
    </row>
    <row r="288" ht="15.0" hidden="1" customHeight="1">
      <c r="B288" s="26">
        <v>283.0</v>
      </c>
      <c r="C288" s="27" t="s">
        <v>19</v>
      </c>
      <c r="D288" s="40" t="s">
        <v>56</v>
      </c>
      <c r="E288" s="40" t="s">
        <v>109</v>
      </c>
      <c r="F288" s="40"/>
      <c r="G288" s="27" t="s">
        <v>109</v>
      </c>
      <c r="H288" s="28">
        <v>15147.0</v>
      </c>
      <c r="I288" s="28">
        <v>3239.0</v>
      </c>
      <c r="J288" s="28">
        <v>2100.0</v>
      </c>
      <c r="K288" s="28">
        <v>1139.0</v>
      </c>
      <c r="L288" s="28">
        <v>11908.0</v>
      </c>
      <c r="M288" s="28">
        <v>21883.0</v>
      </c>
      <c r="N288" s="28">
        <v>8213.0</v>
      </c>
      <c r="O288" s="28">
        <v>6730.0</v>
      </c>
      <c r="P288" s="28">
        <v>1483.0</v>
      </c>
      <c r="Q288" s="28">
        <v>13670.0</v>
      </c>
      <c r="R288" s="29">
        <v>21.3837724</v>
      </c>
      <c r="S288" s="29">
        <v>13.8641315</v>
      </c>
      <c r="T288" s="29">
        <v>7.5196409</v>
      </c>
      <c r="U288" s="29">
        <v>78.6162276</v>
      </c>
      <c r="V288" s="29">
        <v>37.5314171</v>
      </c>
      <c r="W288" s="29">
        <v>30.7544669</v>
      </c>
      <c r="X288" s="29">
        <v>6.7769501</v>
      </c>
      <c r="Y288" s="29">
        <v>62.4685829</v>
      </c>
    </row>
    <row r="289" ht="15.0" hidden="1" customHeight="1">
      <c r="B289" s="30">
        <v>284.0</v>
      </c>
      <c r="C289" s="31" t="s">
        <v>19</v>
      </c>
      <c r="D289" s="31" t="s">
        <v>56</v>
      </c>
      <c r="E289" s="31" t="s">
        <v>109</v>
      </c>
      <c r="F289" s="31"/>
      <c r="G289" s="32" t="s">
        <v>15</v>
      </c>
      <c r="H289" s="33"/>
      <c r="I289" s="33"/>
      <c r="J289" s="33"/>
      <c r="K289" s="33"/>
      <c r="L289" s="33"/>
      <c r="M289" s="33">
        <v>444.0</v>
      </c>
      <c r="N289" s="33">
        <v>244.0</v>
      </c>
      <c r="O289" s="33">
        <v>218.0</v>
      </c>
      <c r="P289" s="33">
        <v>26.0</v>
      </c>
      <c r="Q289" s="33">
        <v>200.0</v>
      </c>
      <c r="R289" s="34"/>
      <c r="S289" s="34"/>
      <c r="T289" s="34"/>
      <c r="U289" s="34"/>
      <c r="V289" s="34">
        <v>54.954955</v>
      </c>
      <c r="W289" s="34">
        <v>49.0990991</v>
      </c>
      <c r="X289" s="34">
        <v>5.8558559</v>
      </c>
      <c r="Y289" s="34">
        <v>45.045045</v>
      </c>
    </row>
    <row r="290" ht="15.0" hidden="1" customHeight="1">
      <c r="B290" s="30">
        <v>285.0</v>
      </c>
      <c r="C290" s="31" t="s">
        <v>19</v>
      </c>
      <c r="D290" s="31" t="s">
        <v>56</v>
      </c>
      <c r="E290" s="31" t="s">
        <v>109</v>
      </c>
      <c r="F290" s="31"/>
      <c r="G290" s="32" t="s">
        <v>16</v>
      </c>
      <c r="H290" s="33">
        <v>15147.0</v>
      </c>
      <c r="I290" s="33">
        <v>3239.0</v>
      </c>
      <c r="J290" s="33">
        <v>2100.0</v>
      </c>
      <c r="K290" s="33">
        <v>1139.0</v>
      </c>
      <c r="L290" s="33">
        <v>11908.0</v>
      </c>
      <c r="M290" s="33">
        <v>21439.0</v>
      </c>
      <c r="N290" s="33">
        <v>7969.0</v>
      </c>
      <c r="O290" s="33">
        <v>6512.0</v>
      </c>
      <c r="P290" s="33">
        <v>1457.0</v>
      </c>
      <c r="Q290" s="33">
        <v>13470.0</v>
      </c>
      <c r="R290" s="34">
        <v>21.3837724</v>
      </c>
      <c r="S290" s="34">
        <v>13.8641315</v>
      </c>
      <c r="T290" s="34">
        <v>7.5196409</v>
      </c>
      <c r="U290" s="34">
        <v>78.6162276</v>
      </c>
      <c r="V290" s="34">
        <v>37.170577</v>
      </c>
      <c r="W290" s="34">
        <v>30.3745511</v>
      </c>
      <c r="X290" s="34">
        <v>6.7960259</v>
      </c>
      <c r="Y290" s="34">
        <v>62.829423</v>
      </c>
    </row>
    <row r="291" ht="15.0" customHeight="1">
      <c r="B291" s="35">
        <v>286.0</v>
      </c>
      <c r="C291" s="36" t="s">
        <v>21</v>
      </c>
      <c r="D291" s="41" t="s">
        <v>56</v>
      </c>
      <c r="E291" s="41" t="s">
        <v>109</v>
      </c>
      <c r="F291" s="41" t="s">
        <v>110</v>
      </c>
      <c r="G291" s="42" t="s">
        <v>110</v>
      </c>
      <c r="H291" s="37">
        <v>3913.0</v>
      </c>
      <c r="I291" s="37">
        <v>1412.0</v>
      </c>
      <c r="J291" s="37">
        <v>1026.0</v>
      </c>
      <c r="K291" s="37">
        <v>386.0</v>
      </c>
      <c r="L291" s="37">
        <v>2501.0</v>
      </c>
      <c r="M291" s="37">
        <v>4434.0</v>
      </c>
      <c r="N291" s="37">
        <v>2483.0</v>
      </c>
      <c r="O291" s="37">
        <v>2141.0</v>
      </c>
      <c r="P291" s="37">
        <v>342.0</v>
      </c>
      <c r="Q291" s="37">
        <v>1951.0</v>
      </c>
      <c r="R291" s="38">
        <v>36.0848454</v>
      </c>
      <c r="S291" s="38">
        <v>26.2202913</v>
      </c>
      <c r="T291" s="38">
        <v>9.8645541</v>
      </c>
      <c r="U291" s="38">
        <v>63.9151546</v>
      </c>
      <c r="V291" s="38">
        <v>55.9990979</v>
      </c>
      <c r="W291" s="38">
        <v>48.285972</v>
      </c>
      <c r="X291" s="38">
        <v>7.7131258</v>
      </c>
      <c r="Y291" s="38">
        <v>44.0009021</v>
      </c>
    </row>
    <row r="292" ht="15.0" hidden="1" customHeight="1">
      <c r="B292" s="30">
        <v>287.0</v>
      </c>
      <c r="C292" s="31" t="s">
        <v>21</v>
      </c>
      <c r="D292" s="31" t="s">
        <v>56</v>
      </c>
      <c r="E292" s="31" t="s">
        <v>109</v>
      </c>
      <c r="F292" s="31" t="s">
        <v>110</v>
      </c>
      <c r="G292" s="32" t="s">
        <v>15</v>
      </c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4"/>
      <c r="S292" s="34"/>
      <c r="T292" s="34"/>
      <c r="U292" s="34"/>
      <c r="V292" s="34"/>
      <c r="W292" s="34"/>
      <c r="X292" s="34"/>
      <c r="Y292" s="34"/>
    </row>
    <row r="293" ht="15.0" hidden="1" customHeight="1">
      <c r="B293" s="30">
        <v>288.0</v>
      </c>
      <c r="C293" s="31" t="s">
        <v>21</v>
      </c>
      <c r="D293" s="31" t="s">
        <v>56</v>
      </c>
      <c r="E293" s="31" t="s">
        <v>109</v>
      </c>
      <c r="F293" s="31" t="s">
        <v>110</v>
      </c>
      <c r="G293" s="32" t="s">
        <v>16</v>
      </c>
      <c r="H293" s="33">
        <v>3913.0</v>
      </c>
      <c r="I293" s="33">
        <v>1412.0</v>
      </c>
      <c r="J293" s="33">
        <v>1026.0</v>
      </c>
      <c r="K293" s="33">
        <v>386.0</v>
      </c>
      <c r="L293" s="33">
        <v>2501.0</v>
      </c>
      <c r="M293" s="33">
        <v>4434.0</v>
      </c>
      <c r="N293" s="33">
        <v>2483.0</v>
      </c>
      <c r="O293" s="33">
        <v>2141.0</v>
      </c>
      <c r="P293" s="33">
        <v>342.0</v>
      </c>
      <c r="Q293" s="33">
        <v>1951.0</v>
      </c>
      <c r="R293" s="34">
        <v>36.0848454</v>
      </c>
      <c r="S293" s="34">
        <v>26.2202913</v>
      </c>
      <c r="T293" s="34">
        <v>9.8645541</v>
      </c>
      <c r="U293" s="34">
        <v>63.9151546</v>
      </c>
      <c r="V293" s="34">
        <v>55.9990979</v>
      </c>
      <c r="W293" s="34">
        <v>48.285972</v>
      </c>
      <c r="X293" s="34">
        <v>7.7131258</v>
      </c>
      <c r="Y293" s="34">
        <v>44.0009021</v>
      </c>
    </row>
    <row r="294" ht="15.0" customHeight="1">
      <c r="B294" s="35">
        <v>289.0</v>
      </c>
      <c r="C294" s="36" t="s">
        <v>21</v>
      </c>
      <c r="D294" s="41" t="s">
        <v>56</v>
      </c>
      <c r="E294" s="41" t="s">
        <v>109</v>
      </c>
      <c r="F294" s="41" t="s">
        <v>111</v>
      </c>
      <c r="G294" s="42" t="s">
        <v>111</v>
      </c>
      <c r="H294" s="37">
        <v>4624.0</v>
      </c>
      <c r="I294" s="37">
        <v>627.0</v>
      </c>
      <c r="J294" s="37">
        <v>420.0</v>
      </c>
      <c r="K294" s="37">
        <v>207.0</v>
      </c>
      <c r="L294" s="37">
        <v>3997.0</v>
      </c>
      <c r="M294" s="37">
        <v>6638.0</v>
      </c>
      <c r="N294" s="37">
        <v>2505.0</v>
      </c>
      <c r="O294" s="37">
        <v>2135.0</v>
      </c>
      <c r="P294" s="37">
        <v>370.0</v>
      </c>
      <c r="Q294" s="37">
        <v>4133.0</v>
      </c>
      <c r="R294" s="38">
        <v>13.5596886</v>
      </c>
      <c r="S294" s="38">
        <v>9.083045</v>
      </c>
      <c r="T294" s="38">
        <v>4.4766436</v>
      </c>
      <c r="U294" s="38">
        <v>86.4403114</v>
      </c>
      <c r="V294" s="38">
        <v>37.7372703</v>
      </c>
      <c r="W294" s="38">
        <v>32.1633022</v>
      </c>
      <c r="X294" s="38">
        <v>5.5739681</v>
      </c>
      <c r="Y294" s="38">
        <v>62.2627297</v>
      </c>
    </row>
    <row r="295" ht="15.0" hidden="1" customHeight="1">
      <c r="B295" s="30">
        <v>290.0</v>
      </c>
      <c r="C295" s="31" t="s">
        <v>21</v>
      </c>
      <c r="D295" s="31" t="s">
        <v>56</v>
      </c>
      <c r="E295" s="31" t="s">
        <v>109</v>
      </c>
      <c r="F295" s="31" t="s">
        <v>111</v>
      </c>
      <c r="G295" s="32" t="s">
        <v>15</v>
      </c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4"/>
      <c r="S295" s="34"/>
      <c r="T295" s="34"/>
      <c r="U295" s="34"/>
      <c r="V295" s="34"/>
      <c r="W295" s="34"/>
      <c r="X295" s="34"/>
      <c r="Y295" s="34"/>
    </row>
    <row r="296" ht="15.0" hidden="1" customHeight="1">
      <c r="B296" s="30">
        <v>291.0</v>
      </c>
      <c r="C296" s="31" t="s">
        <v>21</v>
      </c>
      <c r="D296" s="31" t="s">
        <v>56</v>
      </c>
      <c r="E296" s="31" t="s">
        <v>109</v>
      </c>
      <c r="F296" s="31" t="s">
        <v>111</v>
      </c>
      <c r="G296" s="32" t="s">
        <v>16</v>
      </c>
      <c r="H296" s="33">
        <v>4624.0</v>
      </c>
      <c r="I296" s="33">
        <v>627.0</v>
      </c>
      <c r="J296" s="33">
        <v>420.0</v>
      </c>
      <c r="K296" s="33">
        <v>207.0</v>
      </c>
      <c r="L296" s="33">
        <v>3997.0</v>
      </c>
      <c r="M296" s="33">
        <v>6638.0</v>
      </c>
      <c r="N296" s="33">
        <v>2505.0</v>
      </c>
      <c r="O296" s="33">
        <v>2135.0</v>
      </c>
      <c r="P296" s="33">
        <v>370.0</v>
      </c>
      <c r="Q296" s="33">
        <v>4133.0</v>
      </c>
      <c r="R296" s="34">
        <v>13.5596886</v>
      </c>
      <c r="S296" s="34">
        <v>9.083045</v>
      </c>
      <c r="T296" s="34">
        <v>4.4766436</v>
      </c>
      <c r="U296" s="34">
        <v>86.4403114</v>
      </c>
      <c r="V296" s="34">
        <v>37.7372703</v>
      </c>
      <c r="W296" s="34">
        <v>32.1633022</v>
      </c>
      <c r="X296" s="34">
        <v>5.5739681</v>
      </c>
      <c r="Y296" s="34">
        <v>62.2627297</v>
      </c>
    </row>
    <row r="297" ht="15.0" customHeight="1">
      <c r="B297" s="35">
        <v>292.0</v>
      </c>
      <c r="C297" s="36" t="s">
        <v>21</v>
      </c>
      <c r="D297" s="41" t="s">
        <v>56</v>
      </c>
      <c r="E297" s="41" t="s">
        <v>109</v>
      </c>
      <c r="F297" s="41" t="s">
        <v>112</v>
      </c>
      <c r="G297" s="42" t="s">
        <v>112</v>
      </c>
      <c r="H297" s="37">
        <v>2306.0</v>
      </c>
      <c r="I297" s="37">
        <v>302.0</v>
      </c>
      <c r="J297" s="37">
        <v>178.0</v>
      </c>
      <c r="K297" s="37">
        <v>124.0</v>
      </c>
      <c r="L297" s="37">
        <v>2004.0</v>
      </c>
      <c r="M297" s="37">
        <v>4142.0</v>
      </c>
      <c r="N297" s="37">
        <v>1160.0</v>
      </c>
      <c r="O297" s="37">
        <v>942.0</v>
      </c>
      <c r="P297" s="37">
        <v>218.0</v>
      </c>
      <c r="Q297" s="37">
        <v>2982.0</v>
      </c>
      <c r="R297" s="38">
        <v>13.0962706</v>
      </c>
      <c r="S297" s="38">
        <v>7.7189939</v>
      </c>
      <c r="T297" s="38">
        <v>5.3772767</v>
      </c>
      <c r="U297" s="38">
        <v>86.9037294</v>
      </c>
      <c r="V297" s="38">
        <v>28.0057943</v>
      </c>
      <c r="W297" s="38">
        <v>22.7426364</v>
      </c>
      <c r="X297" s="38">
        <v>5.2631579</v>
      </c>
      <c r="Y297" s="38">
        <v>71.9942057</v>
      </c>
    </row>
    <row r="298" ht="15.0" hidden="1" customHeight="1">
      <c r="B298" s="30">
        <v>293.0</v>
      </c>
      <c r="C298" s="31" t="s">
        <v>21</v>
      </c>
      <c r="D298" s="31" t="s">
        <v>56</v>
      </c>
      <c r="E298" s="31" t="s">
        <v>109</v>
      </c>
      <c r="F298" s="31" t="s">
        <v>112</v>
      </c>
      <c r="G298" s="32" t="s">
        <v>15</v>
      </c>
      <c r="H298" s="33"/>
      <c r="I298" s="33"/>
      <c r="J298" s="33"/>
      <c r="K298" s="33"/>
      <c r="L298" s="33"/>
      <c r="M298" s="33">
        <v>444.0</v>
      </c>
      <c r="N298" s="33">
        <v>244.0</v>
      </c>
      <c r="O298" s="33">
        <v>218.0</v>
      </c>
      <c r="P298" s="33">
        <v>26.0</v>
      </c>
      <c r="Q298" s="33">
        <v>200.0</v>
      </c>
      <c r="R298" s="34"/>
      <c r="S298" s="34"/>
      <c r="T298" s="34"/>
      <c r="U298" s="34"/>
      <c r="V298" s="34">
        <v>54.954955</v>
      </c>
      <c r="W298" s="34">
        <v>49.0990991</v>
      </c>
      <c r="X298" s="34">
        <v>5.8558559</v>
      </c>
      <c r="Y298" s="34">
        <v>45.045045</v>
      </c>
    </row>
    <row r="299" ht="15.0" hidden="1" customHeight="1">
      <c r="B299" s="30">
        <v>294.0</v>
      </c>
      <c r="C299" s="31" t="s">
        <v>21</v>
      </c>
      <c r="D299" s="31" t="s">
        <v>56</v>
      </c>
      <c r="E299" s="31" t="s">
        <v>109</v>
      </c>
      <c r="F299" s="31" t="s">
        <v>112</v>
      </c>
      <c r="G299" s="32" t="s">
        <v>16</v>
      </c>
      <c r="H299" s="33">
        <v>2306.0</v>
      </c>
      <c r="I299" s="33">
        <v>302.0</v>
      </c>
      <c r="J299" s="33">
        <v>178.0</v>
      </c>
      <c r="K299" s="33">
        <v>124.0</v>
      </c>
      <c r="L299" s="33">
        <v>2004.0</v>
      </c>
      <c r="M299" s="33">
        <v>3698.0</v>
      </c>
      <c r="N299" s="33">
        <v>916.0</v>
      </c>
      <c r="O299" s="33">
        <v>724.0</v>
      </c>
      <c r="P299" s="33">
        <v>192.0</v>
      </c>
      <c r="Q299" s="33">
        <v>2782.0</v>
      </c>
      <c r="R299" s="34">
        <v>13.0962706</v>
      </c>
      <c r="S299" s="34">
        <v>7.7189939</v>
      </c>
      <c r="T299" s="34">
        <v>5.3772767</v>
      </c>
      <c r="U299" s="34">
        <v>86.9037294</v>
      </c>
      <c r="V299" s="34">
        <v>24.770146</v>
      </c>
      <c r="W299" s="34">
        <v>19.5781504</v>
      </c>
      <c r="X299" s="34">
        <v>5.1919957</v>
      </c>
      <c r="Y299" s="34">
        <v>75.229854</v>
      </c>
    </row>
    <row r="300" ht="15.0" customHeight="1">
      <c r="B300" s="35">
        <v>295.0</v>
      </c>
      <c r="C300" s="36" t="s">
        <v>21</v>
      </c>
      <c r="D300" s="41" t="s">
        <v>56</v>
      </c>
      <c r="E300" s="41" t="s">
        <v>109</v>
      </c>
      <c r="F300" s="41" t="s">
        <v>113</v>
      </c>
      <c r="G300" s="42" t="s">
        <v>113</v>
      </c>
      <c r="H300" s="37">
        <v>1234.0</v>
      </c>
      <c r="I300" s="37">
        <v>344.0</v>
      </c>
      <c r="J300" s="37">
        <v>177.0</v>
      </c>
      <c r="K300" s="37">
        <v>167.0</v>
      </c>
      <c r="L300" s="37">
        <v>890.0</v>
      </c>
      <c r="M300" s="37">
        <v>1777.0</v>
      </c>
      <c r="N300" s="37">
        <v>588.0</v>
      </c>
      <c r="O300" s="37">
        <v>356.0</v>
      </c>
      <c r="P300" s="37">
        <v>232.0</v>
      </c>
      <c r="Q300" s="37">
        <v>1189.0</v>
      </c>
      <c r="R300" s="38">
        <v>27.8768233</v>
      </c>
      <c r="S300" s="38">
        <v>14.3435981</v>
      </c>
      <c r="T300" s="38">
        <v>13.5332253</v>
      </c>
      <c r="U300" s="38">
        <v>72.1231767</v>
      </c>
      <c r="V300" s="38">
        <v>33.0894766</v>
      </c>
      <c r="W300" s="38">
        <v>20.0337648</v>
      </c>
      <c r="X300" s="38">
        <v>13.0557119</v>
      </c>
      <c r="Y300" s="38">
        <v>66.9105234</v>
      </c>
    </row>
    <row r="301" ht="15.0" hidden="1" customHeight="1">
      <c r="B301" s="30">
        <v>296.0</v>
      </c>
      <c r="C301" s="31" t="s">
        <v>21</v>
      </c>
      <c r="D301" s="31" t="s">
        <v>56</v>
      </c>
      <c r="E301" s="31" t="s">
        <v>109</v>
      </c>
      <c r="F301" s="31" t="s">
        <v>113</v>
      </c>
      <c r="G301" s="32" t="s">
        <v>15</v>
      </c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4"/>
      <c r="S301" s="34"/>
      <c r="T301" s="34"/>
      <c r="U301" s="34"/>
      <c r="V301" s="34"/>
      <c r="W301" s="34"/>
      <c r="X301" s="34"/>
      <c r="Y301" s="34"/>
    </row>
    <row r="302" ht="15.0" hidden="1" customHeight="1">
      <c r="B302" s="30">
        <v>297.0</v>
      </c>
      <c r="C302" s="31" t="s">
        <v>21</v>
      </c>
      <c r="D302" s="31" t="s">
        <v>56</v>
      </c>
      <c r="E302" s="31" t="s">
        <v>109</v>
      </c>
      <c r="F302" s="31" t="s">
        <v>113</v>
      </c>
      <c r="G302" s="32" t="s">
        <v>16</v>
      </c>
      <c r="H302" s="33">
        <v>1234.0</v>
      </c>
      <c r="I302" s="33">
        <v>344.0</v>
      </c>
      <c r="J302" s="33">
        <v>177.0</v>
      </c>
      <c r="K302" s="33">
        <v>167.0</v>
      </c>
      <c r="L302" s="33">
        <v>890.0</v>
      </c>
      <c r="M302" s="33">
        <v>1777.0</v>
      </c>
      <c r="N302" s="33">
        <v>588.0</v>
      </c>
      <c r="O302" s="33">
        <v>356.0</v>
      </c>
      <c r="P302" s="33">
        <v>232.0</v>
      </c>
      <c r="Q302" s="33">
        <v>1189.0</v>
      </c>
      <c r="R302" s="34">
        <v>27.8768233</v>
      </c>
      <c r="S302" s="34">
        <v>14.3435981</v>
      </c>
      <c r="T302" s="34">
        <v>13.5332253</v>
      </c>
      <c r="U302" s="34">
        <v>72.1231767</v>
      </c>
      <c r="V302" s="34">
        <v>33.0894766</v>
      </c>
      <c r="W302" s="34">
        <v>20.0337648</v>
      </c>
      <c r="X302" s="34">
        <v>13.0557119</v>
      </c>
      <c r="Y302" s="34">
        <v>66.9105234</v>
      </c>
    </row>
    <row r="303" ht="15.0" customHeight="1">
      <c r="B303" s="35">
        <v>298.0</v>
      </c>
      <c r="C303" s="36" t="s">
        <v>21</v>
      </c>
      <c r="D303" s="41" t="s">
        <v>56</v>
      </c>
      <c r="E303" s="41" t="s">
        <v>109</v>
      </c>
      <c r="F303" s="41" t="s">
        <v>114</v>
      </c>
      <c r="G303" s="42" t="s">
        <v>114</v>
      </c>
      <c r="H303" s="37">
        <v>3070.0</v>
      </c>
      <c r="I303" s="37">
        <v>554.0</v>
      </c>
      <c r="J303" s="37">
        <v>299.0</v>
      </c>
      <c r="K303" s="37">
        <v>255.0</v>
      </c>
      <c r="L303" s="37">
        <v>2516.0</v>
      </c>
      <c r="M303" s="37">
        <v>4892.0</v>
      </c>
      <c r="N303" s="37">
        <v>1477.0</v>
      </c>
      <c r="O303" s="37">
        <v>1156.0</v>
      </c>
      <c r="P303" s="37">
        <v>321.0</v>
      </c>
      <c r="Q303" s="37">
        <v>3415.0</v>
      </c>
      <c r="R303" s="38">
        <v>18.0456026</v>
      </c>
      <c r="S303" s="38">
        <v>9.7394137</v>
      </c>
      <c r="T303" s="38">
        <v>8.3061889</v>
      </c>
      <c r="U303" s="38">
        <v>81.9543974</v>
      </c>
      <c r="V303" s="38">
        <v>30.1921504</v>
      </c>
      <c r="W303" s="38">
        <v>23.630417</v>
      </c>
      <c r="X303" s="38">
        <v>6.5617334</v>
      </c>
      <c r="Y303" s="38">
        <v>69.8078496</v>
      </c>
    </row>
    <row r="304" ht="15.0" hidden="1" customHeight="1">
      <c r="B304" s="30">
        <v>299.0</v>
      </c>
      <c r="C304" s="31" t="s">
        <v>21</v>
      </c>
      <c r="D304" s="31" t="s">
        <v>56</v>
      </c>
      <c r="E304" s="31" t="s">
        <v>109</v>
      </c>
      <c r="F304" s="31" t="s">
        <v>114</v>
      </c>
      <c r="G304" s="32" t="s">
        <v>15</v>
      </c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4"/>
      <c r="S304" s="34"/>
      <c r="T304" s="34"/>
      <c r="U304" s="34"/>
      <c r="V304" s="34"/>
      <c r="W304" s="34"/>
      <c r="X304" s="34"/>
      <c r="Y304" s="34"/>
    </row>
    <row r="305" ht="15.0" hidden="1" customHeight="1">
      <c r="B305" s="30">
        <v>300.0</v>
      </c>
      <c r="C305" s="31" t="s">
        <v>21</v>
      </c>
      <c r="D305" s="31" t="s">
        <v>56</v>
      </c>
      <c r="E305" s="31" t="s">
        <v>109</v>
      </c>
      <c r="F305" s="31" t="s">
        <v>114</v>
      </c>
      <c r="G305" s="32" t="s">
        <v>16</v>
      </c>
      <c r="H305" s="33">
        <v>3070.0</v>
      </c>
      <c r="I305" s="33">
        <v>554.0</v>
      </c>
      <c r="J305" s="33">
        <v>299.0</v>
      </c>
      <c r="K305" s="33">
        <v>255.0</v>
      </c>
      <c r="L305" s="33">
        <v>2516.0</v>
      </c>
      <c r="M305" s="33">
        <v>4892.0</v>
      </c>
      <c r="N305" s="33">
        <v>1477.0</v>
      </c>
      <c r="O305" s="33">
        <v>1156.0</v>
      </c>
      <c r="P305" s="33">
        <v>321.0</v>
      </c>
      <c r="Q305" s="33">
        <v>3415.0</v>
      </c>
      <c r="R305" s="34">
        <v>18.0456026</v>
      </c>
      <c r="S305" s="34">
        <v>9.7394137</v>
      </c>
      <c r="T305" s="34">
        <v>8.3061889</v>
      </c>
      <c r="U305" s="34">
        <v>81.9543974</v>
      </c>
      <c r="V305" s="34">
        <v>30.1921504</v>
      </c>
      <c r="W305" s="34">
        <v>23.630417</v>
      </c>
      <c r="X305" s="34">
        <v>6.5617334</v>
      </c>
      <c r="Y305" s="34">
        <v>69.8078496</v>
      </c>
    </row>
    <row r="306" ht="15.0" hidden="1" customHeight="1">
      <c r="B306" s="26">
        <v>301.0</v>
      </c>
      <c r="C306" s="27" t="s">
        <v>19</v>
      </c>
      <c r="D306" s="40" t="s">
        <v>56</v>
      </c>
      <c r="E306" s="40" t="s">
        <v>115</v>
      </c>
      <c r="F306" s="40"/>
      <c r="G306" s="27" t="s">
        <v>115</v>
      </c>
      <c r="H306" s="28">
        <v>19846.0</v>
      </c>
      <c r="I306" s="28">
        <v>4709.0</v>
      </c>
      <c r="J306" s="28">
        <v>2561.0</v>
      </c>
      <c r="K306" s="28">
        <v>2148.0</v>
      </c>
      <c r="L306" s="28">
        <v>15137.0</v>
      </c>
      <c r="M306" s="28">
        <v>30583.0</v>
      </c>
      <c r="N306" s="28">
        <v>12582.0</v>
      </c>
      <c r="O306" s="28">
        <v>9762.0</v>
      </c>
      <c r="P306" s="28">
        <v>2820.0</v>
      </c>
      <c r="Q306" s="28">
        <v>18001.0</v>
      </c>
      <c r="R306" s="29">
        <v>23.7277033</v>
      </c>
      <c r="S306" s="29">
        <v>12.9043636</v>
      </c>
      <c r="T306" s="29">
        <v>10.8233397</v>
      </c>
      <c r="U306" s="29">
        <v>76.2722967</v>
      </c>
      <c r="V306" s="29">
        <v>41.1405029</v>
      </c>
      <c r="W306" s="29">
        <v>31.9196939</v>
      </c>
      <c r="X306" s="29">
        <v>9.2208089</v>
      </c>
      <c r="Y306" s="29">
        <v>58.8594971</v>
      </c>
    </row>
    <row r="307" ht="15.0" hidden="1" customHeight="1">
      <c r="B307" s="30">
        <v>302.0</v>
      </c>
      <c r="C307" s="31" t="s">
        <v>19</v>
      </c>
      <c r="D307" s="31" t="s">
        <v>56</v>
      </c>
      <c r="E307" s="31" t="s">
        <v>115</v>
      </c>
      <c r="F307" s="31"/>
      <c r="G307" s="32" t="s">
        <v>15</v>
      </c>
      <c r="H307" s="33">
        <v>3248.0</v>
      </c>
      <c r="I307" s="33">
        <v>1527.0</v>
      </c>
      <c r="J307" s="33">
        <v>813.0</v>
      </c>
      <c r="K307" s="33">
        <v>714.0</v>
      </c>
      <c r="L307" s="33">
        <v>1721.0</v>
      </c>
      <c r="M307" s="33">
        <v>5831.0</v>
      </c>
      <c r="N307" s="33">
        <v>4113.0</v>
      </c>
      <c r="O307" s="33">
        <v>3404.0</v>
      </c>
      <c r="P307" s="33">
        <v>709.0</v>
      </c>
      <c r="Q307" s="33">
        <v>1718.0</v>
      </c>
      <c r="R307" s="34">
        <v>47.0135468</v>
      </c>
      <c r="S307" s="34">
        <v>25.0307882</v>
      </c>
      <c r="T307" s="34">
        <v>21.9827586</v>
      </c>
      <c r="U307" s="34">
        <v>52.9864532</v>
      </c>
      <c r="V307" s="34">
        <v>70.5367861</v>
      </c>
      <c r="W307" s="34">
        <v>58.3776368</v>
      </c>
      <c r="X307" s="34">
        <v>12.1591494</v>
      </c>
      <c r="Y307" s="34">
        <v>29.4632139</v>
      </c>
    </row>
    <row r="308" ht="15.0" hidden="1" customHeight="1">
      <c r="B308" s="30">
        <v>303.0</v>
      </c>
      <c r="C308" s="31" t="s">
        <v>19</v>
      </c>
      <c r="D308" s="31" t="s">
        <v>56</v>
      </c>
      <c r="E308" s="31" t="s">
        <v>115</v>
      </c>
      <c r="F308" s="31"/>
      <c r="G308" s="32" t="s">
        <v>16</v>
      </c>
      <c r="H308" s="33">
        <v>16598.0</v>
      </c>
      <c r="I308" s="33">
        <v>3182.0</v>
      </c>
      <c r="J308" s="33">
        <v>1748.0</v>
      </c>
      <c r="K308" s="33">
        <v>1434.0</v>
      </c>
      <c r="L308" s="33">
        <v>13416.0</v>
      </c>
      <c r="M308" s="33">
        <v>24752.0</v>
      </c>
      <c r="N308" s="33">
        <v>8469.0</v>
      </c>
      <c r="O308" s="33">
        <v>6358.0</v>
      </c>
      <c r="P308" s="33">
        <v>2111.0</v>
      </c>
      <c r="Q308" s="33">
        <v>16283.0</v>
      </c>
      <c r="R308" s="34">
        <v>19.1709845</v>
      </c>
      <c r="S308" s="34">
        <v>10.5313893</v>
      </c>
      <c r="T308" s="34">
        <v>8.6395951</v>
      </c>
      <c r="U308" s="34">
        <v>80.8290155</v>
      </c>
      <c r="V308" s="34">
        <v>34.2154169</v>
      </c>
      <c r="W308" s="34">
        <v>25.6868132</v>
      </c>
      <c r="X308" s="34">
        <v>8.5286037</v>
      </c>
      <c r="Y308" s="34">
        <v>65.7845831</v>
      </c>
    </row>
    <row r="309" ht="15.0" customHeight="1">
      <c r="B309" s="35">
        <v>304.0</v>
      </c>
      <c r="C309" s="36" t="s">
        <v>21</v>
      </c>
      <c r="D309" s="41" t="s">
        <v>56</v>
      </c>
      <c r="E309" s="41" t="s">
        <v>115</v>
      </c>
      <c r="F309" s="41" t="s">
        <v>115</v>
      </c>
      <c r="G309" s="42" t="s">
        <v>115</v>
      </c>
      <c r="H309" s="37">
        <v>4894.0</v>
      </c>
      <c r="I309" s="37">
        <v>893.0</v>
      </c>
      <c r="J309" s="37">
        <v>582.0</v>
      </c>
      <c r="K309" s="37">
        <v>311.0</v>
      </c>
      <c r="L309" s="37">
        <v>4001.0</v>
      </c>
      <c r="M309" s="37">
        <v>7144.0</v>
      </c>
      <c r="N309" s="37">
        <v>2510.0</v>
      </c>
      <c r="O309" s="37">
        <v>1924.0</v>
      </c>
      <c r="P309" s="37">
        <v>586.0</v>
      </c>
      <c r="Q309" s="37">
        <v>4634.0</v>
      </c>
      <c r="R309" s="38">
        <v>18.2468329</v>
      </c>
      <c r="S309" s="38">
        <v>11.8921128</v>
      </c>
      <c r="T309" s="38">
        <v>6.3547201</v>
      </c>
      <c r="U309" s="38">
        <v>81.7531671</v>
      </c>
      <c r="V309" s="38">
        <v>35.1343785</v>
      </c>
      <c r="W309" s="38">
        <v>26.9316909</v>
      </c>
      <c r="X309" s="38">
        <v>8.2026876</v>
      </c>
      <c r="Y309" s="38">
        <v>64.8656215</v>
      </c>
    </row>
    <row r="310" ht="15.0" hidden="1" customHeight="1">
      <c r="B310" s="30">
        <v>305.0</v>
      </c>
      <c r="C310" s="31" t="s">
        <v>21</v>
      </c>
      <c r="D310" s="31" t="s">
        <v>56</v>
      </c>
      <c r="E310" s="31" t="s">
        <v>115</v>
      </c>
      <c r="F310" s="31" t="s">
        <v>115</v>
      </c>
      <c r="G310" s="32" t="s">
        <v>15</v>
      </c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4"/>
      <c r="S310" s="34"/>
      <c r="T310" s="34"/>
      <c r="U310" s="34"/>
      <c r="V310" s="34"/>
      <c r="W310" s="34"/>
      <c r="X310" s="34"/>
      <c r="Y310" s="34"/>
    </row>
    <row r="311" ht="15.0" hidden="1" customHeight="1">
      <c r="B311" s="30">
        <v>306.0</v>
      </c>
      <c r="C311" s="31" t="s">
        <v>21</v>
      </c>
      <c r="D311" s="31" t="s">
        <v>56</v>
      </c>
      <c r="E311" s="31" t="s">
        <v>115</v>
      </c>
      <c r="F311" s="31" t="s">
        <v>115</v>
      </c>
      <c r="G311" s="32" t="s">
        <v>16</v>
      </c>
      <c r="H311" s="33">
        <v>4894.0</v>
      </c>
      <c r="I311" s="33">
        <v>893.0</v>
      </c>
      <c r="J311" s="33">
        <v>582.0</v>
      </c>
      <c r="K311" s="33">
        <v>311.0</v>
      </c>
      <c r="L311" s="33">
        <v>4001.0</v>
      </c>
      <c r="M311" s="33">
        <v>7144.0</v>
      </c>
      <c r="N311" s="33">
        <v>2510.0</v>
      </c>
      <c r="O311" s="33">
        <v>1924.0</v>
      </c>
      <c r="P311" s="33">
        <v>586.0</v>
      </c>
      <c r="Q311" s="33">
        <v>4634.0</v>
      </c>
      <c r="R311" s="34">
        <v>18.2468329</v>
      </c>
      <c r="S311" s="34">
        <v>11.8921128</v>
      </c>
      <c r="T311" s="34">
        <v>6.3547201</v>
      </c>
      <c r="U311" s="34">
        <v>81.7531671</v>
      </c>
      <c r="V311" s="34">
        <v>35.1343785</v>
      </c>
      <c r="W311" s="34">
        <v>26.9316909</v>
      </c>
      <c r="X311" s="34">
        <v>8.2026876</v>
      </c>
      <c r="Y311" s="34">
        <v>64.8656215</v>
      </c>
    </row>
    <row r="312" ht="15.0" customHeight="1">
      <c r="B312" s="35">
        <v>307.0</v>
      </c>
      <c r="C312" s="36" t="s">
        <v>21</v>
      </c>
      <c r="D312" s="41" t="s">
        <v>56</v>
      </c>
      <c r="E312" s="41" t="s">
        <v>115</v>
      </c>
      <c r="F312" s="41" t="s">
        <v>116</v>
      </c>
      <c r="G312" s="42" t="s">
        <v>116</v>
      </c>
      <c r="H312" s="37">
        <v>3387.0</v>
      </c>
      <c r="I312" s="37">
        <v>1046.0</v>
      </c>
      <c r="J312" s="37">
        <v>499.0</v>
      </c>
      <c r="K312" s="37">
        <v>547.0</v>
      </c>
      <c r="L312" s="37">
        <v>2341.0</v>
      </c>
      <c r="M312" s="37">
        <v>4434.0</v>
      </c>
      <c r="N312" s="37">
        <v>2188.0</v>
      </c>
      <c r="O312" s="37">
        <v>1672.0</v>
      </c>
      <c r="P312" s="37">
        <v>516.0</v>
      </c>
      <c r="Q312" s="37">
        <v>2246.0</v>
      </c>
      <c r="R312" s="38">
        <v>30.8827871</v>
      </c>
      <c r="S312" s="38">
        <v>14.7328019</v>
      </c>
      <c r="T312" s="38">
        <v>16.1499852</v>
      </c>
      <c r="U312" s="38">
        <v>69.1172129</v>
      </c>
      <c r="V312" s="38">
        <v>49.345963</v>
      </c>
      <c r="W312" s="38">
        <v>37.7086152</v>
      </c>
      <c r="X312" s="38">
        <v>11.6373478</v>
      </c>
      <c r="Y312" s="38">
        <v>50.654037</v>
      </c>
    </row>
    <row r="313" ht="15.0" hidden="1" customHeight="1">
      <c r="B313" s="30">
        <v>308.0</v>
      </c>
      <c r="C313" s="31" t="s">
        <v>21</v>
      </c>
      <c r="D313" s="31" t="s">
        <v>56</v>
      </c>
      <c r="E313" s="31" t="s">
        <v>115</v>
      </c>
      <c r="F313" s="31" t="s">
        <v>116</v>
      </c>
      <c r="G313" s="32" t="s">
        <v>15</v>
      </c>
      <c r="H313" s="33">
        <v>1158.0</v>
      </c>
      <c r="I313" s="33">
        <v>625.0</v>
      </c>
      <c r="J313" s="33">
        <v>372.0</v>
      </c>
      <c r="K313" s="33">
        <v>253.0</v>
      </c>
      <c r="L313" s="33">
        <v>533.0</v>
      </c>
      <c r="M313" s="33">
        <v>1610.0</v>
      </c>
      <c r="N313" s="33">
        <v>1234.0</v>
      </c>
      <c r="O313" s="33">
        <v>1090.0</v>
      </c>
      <c r="P313" s="33">
        <v>144.0</v>
      </c>
      <c r="Q313" s="33">
        <v>376.0</v>
      </c>
      <c r="R313" s="34">
        <v>53.9723661</v>
      </c>
      <c r="S313" s="34">
        <v>32.1243523</v>
      </c>
      <c r="T313" s="34">
        <v>21.8480138</v>
      </c>
      <c r="U313" s="34">
        <v>46.0276339</v>
      </c>
      <c r="V313" s="34">
        <v>76.6459627</v>
      </c>
      <c r="W313" s="34">
        <v>67.7018634</v>
      </c>
      <c r="X313" s="34">
        <v>8.9440994</v>
      </c>
      <c r="Y313" s="34">
        <v>23.3540373</v>
      </c>
    </row>
    <row r="314" ht="15.0" hidden="1" customHeight="1">
      <c r="B314" s="30">
        <v>309.0</v>
      </c>
      <c r="C314" s="31" t="s">
        <v>21</v>
      </c>
      <c r="D314" s="31" t="s">
        <v>56</v>
      </c>
      <c r="E314" s="31" t="s">
        <v>115</v>
      </c>
      <c r="F314" s="31" t="s">
        <v>116</v>
      </c>
      <c r="G314" s="32" t="s">
        <v>16</v>
      </c>
      <c r="H314" s="33">
        <v>2229.0</v>
      </c>
      <c r="I314" s="33">
        <v>421.0</v>
      </c>
      <c r="J314" s="33">
        <v>127.0</v>
      </c>
      <c r="K314" s="33">
        <v>294.0</v>
      </c>
      <c r="L314" s="33">
        <v>1808.0</v>
      </c>
      <c r="M314" s="33">
        <v>2824.0</v>
      </c>
      <c r="N314" s="33">
        <v>954.0</v>
      </c>
      <c r="O314" s="33">
        <v>582.0</v>
      </c>
      <c r="P314" s="33">
        <v>372.0</v>
      </c>
      <c r="Q314" s="33">
        <v>1870.0</v>
      </c>
      <c r="R314" s="34">
        <v>18.8873934</v>
      </c>
      <c r="S314" s="34">
        <v>5.6976223</v>
      </c>
      <c r="T314" s="34">
        <v>13.1897712</v>
      </c>
      <c r="U314" s="34">
        <v>81.1126066</v>
      </c>
      <c r="V314" s="34">
        <v>33.7818697</v>
      </c>
      <c r="W314" s="34">
        <v>20.6090652</v>
      </c>
      <c r="X314" s="34">
        <v>13.1728045</v>
      </c>
      <c r="Y314" s="34">
        <v>66.2181303</v>
      </c>
    </row>
    <row r="315" ht="15.0" customHeight="1">
      <c r="B315" s="35">
        <v>310.0</v>
      </c>
      <c r="C315" s="36" t="s">
        <v>21</v>
      </c>
      <c r="D315" s="41" t="s">
        <v>56</v>
      </c>
      <c r="E315" s="41" t="s">
        <v>115</v>
      </c>
      <c r="F315" s="41" t="s">
        <v>117</v>
      </c>
      <c r="G315" s="42" t="s">
        <v>117</v>
      </c>
      <c r="H315" s="37">
        <v>3019.0</v>
      </c>
      <c r="I315" s="37">
        <v>1168.0</v>
      </c>
      <c r="J315" s="37">
        <v>628.0</v>
      </c>
      <c r="K315" s="37">
        <v>540.0</v>
      </c>
      <c r="L315" s="37">
        <v>1851.0</v>
      </c>
      <c r="M315" s="37">
        <v>5809.0</v>
      </c>
      <c r="N315" s="37">
        <v>3623.0</v>
      </c>
      <c r="O315" s="37">
        <v>2683.0</v>
      </c>
      <c r="P315" s="37">
        <v>940.0</v>
      </c>
      <c r="Q315" s="37">
        <v>2186.0</v>
      </c>
      <c r="R315" s="38">
        <v>38.6883074</v>
      </c>
      <c r="S315" s="38">
        <v>20.8015899</v>
      </c>
      <c r="T315" s="38">
        <v>17.8867175</v>
      </c>
      <c r="U315" s="38">
        <v>61.3116926</v>
      </c>
      <c r="V315" s="38">
        <v>62.3687382</v>
      </c>
      <c r="W315" s="38">
        <v>46.1869513</v>
      </c>
      <c r="X315" s="38">
        <v>16.1817869</v>
      </c>
      <c r="Y315" s="38">
        <v>37.6312618</v>
      </c>
    </row>
    <row r="316" ht="15.0" hidden="1" customHeight="1">
      <c r="B316" s="30">
        <v>311.0</v>
      </c>
      <c r="C316" s="31" t="s">
        <v>21</v>
      </c>
      <c r="D316" s="31" t="s">
        <v>56</v>
      </c>
      <c r="E316" s="31" t="s">
        <v>115</v>
      </c>
      <c r="F316" s="31" t="s">
        <v>117</v>
      </c>
      <c r="G316" s="32" t="s">
        <v>15</v>
      </c>
      <c r="H316" s="33"/>
      <c r="I316" s="33"/>
      <c r="J316" s="33"/>
      <c r="K316" s="33"/>
      <c r="L316" s="33"/>
      <c r="M316" s="33">
        <v>706.0</v>
      </c>
      <c r="N316" s="33">
        <v>452.0</v>
      </c>
      <c r="O316" s="33">
        <v>269.0</v>
      </c>
      <c r="P316" s="33">
        <v>183.0</v>
      </c>
      <c r="Q316" s="33">
        <v>254.0</v>
      </c>
      <c r="R316" s="34"/>
      <c r="S316" s="34"/>
      <c r="T316" s="34"/>
      <c r="U316" s="34"/>
      <c r="V316" s="34">
        <v>64.0226629</v>
      </c>
      <c r="W316" s="34">
        <v>38.101983</v>
      </c>
      <c r="X316" s="34">
        <v>25.9206799</v>
      </c>
      <c r="Y316" s="34">
        <v>35.9773371</v>
      </c>
    </row>
    <row r="317" ht="15.0" hidden="1" customHeight="1">
      <c r="B317" s="30">
        <v>312.0</v>
      </c>
      <c r="C317" s="31" t="s">
        <v>21</v>
      </c>
      <c r="D317" s="31" t="s">
        <v>56</v>
      </c>
      <c r="E317" s="31" t="s">
        <v>115</v>
      </c>
      <c r="F317" s="31" t="s">
        <v>117</v>
      </c>
      <c r="G317" s="32" t="s">
        <v>16</v>
      </c>
      <c r="H317" s="33">
        <v>3019.0</v>
      </c>
      <c r="I317" s="33">
        <v>1168.0</v>
      </c>
      <c r="J317" s="33">
        <v>628.0</v>
      </c>
      <c r="K317" s="33">
        <v>540.0</v>
      </c>
      <c r="L317" s="33">
        <v>1851.0</v>
      </c>
      <c r="M317" s="33">
        <v>5103.0</v>
      </c>
      <c r="N317" s="33">
        <v>3171.0</v>
      </c>
      <c r="O317" s="33">
        <v>2414.0</v>
      </c>
      <c r="P317" s="33">
        <v>757.0</v>
      </c>
      <c r="Q317" s="33">
        <v>1932.0</v>
      </c>
      <c r="R317" s="34">
        <v>38.6883074</v>
      </c>
      <c r="S317" s="34">
        <v>20.8015899</v>
      </c>
      <c r="T317" s="34">
        <v>17.8867175</v>
      </c>
      <c r="U317" s="34">
        <v>61.3116926</v>
      </c>
      <c r="V317" s="34">
        <v>62.1399177</v>
      </c>
      <c r="W317" s="34">
        <v>47.3055066</v>
      </c>
      <c r="X317" s="34">
        <v>14.8344111</v>
      </c>
      <c r="Y317" s="34">
        <v>37.8600823</v>
      </c>
    </row>
    <row r="318" ht="15.0" customHeight="1">
      <c r="B318" s="35">
        <v>313.0</v>
      </c>
      <c r="C318" s="36" t="s">
        <v>21</v>
      </c>
      <c r="D318" s="41" t="s">
        <v>56</v>
      </c>
      <c r="E318" s="41" t="s">
        <v>115</v>
      </c>
      <c r="F318" s="41" t="s">
        <v>118</v>
      </c>
      <c r="G318" s="42" t="s">
        <v>118</v>
      </c>
      <c r="H318" s="37">
        <v>5830.0</v>
      </c>
      <c r="I318" s="37">
        <v>988.0</v>
      </c>
      <c r="J318" s="37">
        <v>520.0</v>
      </c>
      <c r="K318" s="37">
        <v>468.0</v>
      </c>
      <c r="L318" s="37">
        <v>4842.0</v>
      </c>
      <c r="M318" s="37">
        <v>7870.0</v>
      </c>
      <c r="N318" s="37">
        <v>2403.0</v>
      </c>
      <c r="O318" s="37">
        <v>2002.0</v>
      </c>
      <c r="P318" s="37">
        <v>401.0</v>
      </c>
      <c r="Q318" s="37">
        <v>5467.0</v>
      </c>
      <c r="R318" s="38">
        <v>16.9468268</v>
      </c>
      <c r="S318" s="38">
        <v>8.9193825</v>
      </c>
      <c r="T318" s="38">
        <v>8.0274443</v>
      </c>
      <c r="U318" s="38">
        <v>83.0531732</v>
      </c>
      <c r="V318" s="38">
        <v>30.5336722</v>
      </c>
      <c r="W318" s="38">
        <v>25.4383736</v>
      </c>
      <c r="X318" s="38">
        <v>5.0952986</v>
      </c>
      <c r="Y318" s="38">
        <v>69.4663278</v>
      </c>
    </row>
    <row r="319" ht="15.0" hidden="1" customHeight="1">
      <c r="B319" s="30">
        <v>314.0</v>
      </c>
      <c r="C319" s="31" t="s">
        <v>21</v>
      </c>
      <c r="D319" s="31" t="s">
        <v>56</v>
      </c>
      <c r="E319" s="31" t="s">
        <v>115</v>
      </c>
      <c r="F319" s="31" t="s">
        <v>118</v>
      </c>
      <c r="G319" s="32" t="s">
        <v>15</v>
      </c>
      <c r="H319" s="33">
        <v>1728.0</v>
      </c>
      <c r="I319" s="33">
        <v>655.0</v>
      </c>
      <c r="J319" s="33">
        <v>314.0</v>
      </c>
      <c r="K319" s="33">
        <v>341.0</v>
      </c>
      <c r="L319" s="33">
        <v>1073.0</v>
      </c>
      <c r="M319" s="33">
        <v>2222.0</v>
      </c>
      <c r="N319" s="33">
        <v>1510.0</v>
      </c>
      <c r="O319" s="33">
        <v>1282.0</v>
      </c>
      <c r="P319" s="33">
        <v>228.0</v>
      </c>
      <c r="Q319" s="33">
        <v>712.0</v>
      </c>
      <c r="R319" s="34">
        <v>37.9050926</v>
      </c>
      <c r="S319" s="34">
        <v>18.1712963</v>
      </c>
      <c r="T319" s="34">
        <v>19.7337963</v>
      </c>
      <c r="U319" s="34">
        <v>62.0949074</v>
      </c>
      <c r="V319" s="34">
        <v>67.9567957</v>
      </c>
      <c r="W319" s="34">
        <v>57.6957696</v>
      </c>
      <c r="X319" s="34">
        <v>10.2610261</v>
      </c>
      <c r="Y319" s="34">
        <v>32.0432043</v>
      </c>
    </row>
    <row r="320" ht="15.0" hidden="1" customHeight="1">
      <c r="B320" s="30">
        <v>315.0</v>
      </c>
      <c r="C320" s="31" t="s">
        <v>21</v>
      </c>
      <c r="D320" s="31" t="s">
        <v>56</v>
      </c>
      <c r="E320" s="31" t="s">
        <v>115</v>
      </c>
      <c r="F320" s="31" t="s">
        <v>118</v>
      </c>
      <c r="G320" s="32" t="s">
        <v>16</v>
      </c>
      <c r="H320" s="33">
        <v>4102.0</v>
      </c>
      <c r="I320" s="33">
        <v>333.0</v>
      </c>
      <c r="J320" s="33">
        <v>206.0</v>
      </c>
      <c r="K320" s="33">
        <v>127.0</v>
      </c>
      <c r="L320" s="33">
        <v>3769.0</v>
      </c>
      <c r="M320" s="33">
        <v>5648.0</v>
      </c>
      <c r="N320" s="33">
        <v>893.0</v>
      </c>
      <c r="O320" s="33">
        <v>720.0</v>
      </c>
      <c r="P320" s="33">
        <v>173.0</v>
      </c>
      <c r="Q320" s="33">
        <v>4755.0</v>
      </c>
      <c r="R320" s="34">
        <v>8.1179912</v>
      </c>
      <c r="S320" s="34">
        <v>5.0219405</v>
      </c>
      <c r="T320" s="34">
        <v>3.0960507</v>
      </c>
      <c r="U320" s="34">
        <v>91.8820088</v>
      </c>
      <c r="V320" s="34">
        <v>15.8109065</v>
      </c>
      <c r="W320" s="34">
        <v>12.7478754</v>
      </c>
      <c r="X320" s="34">
        <v>3.0630312</v>
      </c>
      <c r="Y320" s="34">
        <v>84.1890935</v>
      </c>
    </row>
    <row r="321" ht="15.0" customHeight="1">
      <c r="B321" s="35">
        <v>316.0</v>
      </c>
      <c r="C321" s="36" t="s">
        <v>21</v>
      </c>
      <c r="D321" s="41" t="s">
        <v>56</v>
      </c>
      <c r="E321" s="41" t="s">
        <v>115</v>
      </c>
      <c r="F321" s="41" t="s">
        <v>119</v>
      </c>
      <c r="G321" s="42" t="s">
        <v>119</v>
      </c>
      <c r="H321" s="37">
        <v>1695.0</v>
      </c>
      <c r="I321" s="37">
        <v>241.0</v>
      </c>
      <c r="J321" s="37">
        <v>142.0</v>
      </c>
      <c r="K321" s="37">
        <v>99.0</v>
      </c>
      <c r="L321" s="37">
        <v>1454.0</v>
      </c>
      <c r="M321" s="37">
        <v>3455.0</v>
      </c>
      <c r="N321" s="37">
        <v>689.0</v>
      </c>
      <c r="O321" s="37">
        <v>491.0</v>
      </c>
      <c r="P321" s="37">
        <v>198.0</v>
      </c>
      <c r="Q321" s="37">
        <v>2766.0</v>
      </c>
      <c r="R321" s="38">
        <v>14.2182891</v>
      </c>
      <c r="S321" s="38">
        <v>8.3775811</v>
      </c>
      <c r="T321" s="38">
        <v>5.840708</v>
      </c>
      <c r="U321" s="38">
        <v>85.7817109</v>
      </c>
      <c r="V321" s="38">
        <v>19.9421129</v>
      </c>
      <c r="W321" s="38">
        <v>14.211288</v>
      </c>
      <c r="X321" s="38">
        <v>5.7308249</v>
      </c>
      <c r="Y321" s="38">
        <v>80.0578871</v>
      </c>
    </row>
    <row r="322" ht="15.0" hidden="1" customHeight="1">
      <c r="B322" s="30">
        <v>317.0</v>
      </c>
      <c r="C322" s="31" t="s">
        <v>21</v>
      </c>
      <c r="D322" s="31" t="s">
        <v>56</v>
      </c>
      <c r="E322" s="31" t="s">
        <v>115</v>
      </c>
      <c r="F322" s="31" t="s">
        <v>119</v>
      </c>
      <c r="G322" s="32" t="s">
        <v>15</v>
      </c>
      <c r="H322" s="33"/>
      <c r="I322" s="33"/>
      <c r="J322" s="33"/>
      <c r="K322" s="33"/>
      <c r="L322" s="33"/>
      <c r="M322" s="33">
        <v>480.0</v>
      </c>
      <c r="N322" s="33">
        <v>211.0</v>
      </c>
      <c r="O322" s="33">
        <v>168.0</v>
      </c>
      <c r="P322" s="33">
        <v>43.0</v>
      </c>
      <c r="Q322" s="33">
        <v>269.0</v>
      </c>
      <c r="R322" s="34"/>
      <c r="S322" s="34"/>
      <c r="T322" s="34"/>
      <c r="U322" s="34"/>
      <c r="V322" s="34">
        <v>43.9583333</v>
      </c>
      <c r="W322" s="34">
        <v>35.0</v>
      </c>
      <c r="X322" s="34">
        <v>8.9583333</v>
      </c>
      <c r="Y322" s="34">
        <v>56.0416667</v>
      </c>
    </row>
    <row r="323" ht="15.0" hidden="1" customHeight="1">
      <c r="B323" s="30">
        <v>318.0</v>
      </c>
      <c r="C323" s="31" t="s">
        <v>21</v>
      </c>
      <c r="D323" s="31" t="s">
        <v>56</v>
      </c>
      <c r="E323" s="31" t="s">
        <v>115</v>
      </c>
      <c r="F323" s="31" t="s">
        <v>119</v>
      </c>
      <c r="G323" s="32" t="s">
        <v>16</v>
      </c>
      <c r="H323" s="33">
        <v>1695.0</v>
      </c>
      <c r="I323" s="33">
        <v>241.0</v>
      </c>
      <c r="J323" s="33">
        <v>142.0</v>
      </c>
      <c r="K323" s="33">
        <v>99.0</v>
      </c>
      <c r="L323" s="33">
        <v>1454.0</v>
      </c>
      <c r="M323" s="33">
        <v>2975.0</v>
      </c>
      <c r="N323" s="33">
        <v>478.0</v>
      </c>
      <c r="O323" s="33">
        <v>323.0</v>
      </c>
      <c r="P323" s="33">
        <v>155.0</v>
      </c>
      <c r="Q323" s="33">
        <v>2497.0</v>
      </c>
      <c r="R323" s="34">
        <v>14.2182891</v>
      </c>
      <c r="S323" s="34">
        <v>8.3775811</v>
      </c>
      <c r="T323" s="34">
        <v>5.840708</v>
      </c>
      <c r="U323" s="34">
        <v>85.7817109</v>
      </c>
      <c r="V323" s="34">
        <v>16.0672269</v>
      </c>
      <c r="W323" s="34">
        <v>10.8571429</v>
      </c>
      <c r="X323" s="34">
        <v>5.210084</v>
      </c>
      <c r="Y323" s="34">
        <v>83.9327731</v>
      </c>
    </row>
    <row r="324" ht="15.0" customHeight="1">
      <c r="B324" s="35">
        <v>319.0</v>
      </c>
      <c r="C324" s="36" t="s">
        <v>21</v>
      </c>
      <c r="D324" s="41" t="s">
        <v>56</v>
      </c>
      <c r="E324" s="41" t="s">
        <v>115</v>
      </c>
      <c r="F324" s="41" t="s">
        <v>120</v>
      </c>
      <c r="G324" s="42" t="s">
        <v>120</v>
      </c>
      <c r="H324" s="37">
        <v>1021.0</v>
      </c>
      <c r="I324" s="37">
        <v>373.0</v>
      </c>
      <c r="J324" s="37">
        <v>190.0</v>
      </c>
      <c r="K324" s="37">
        <v>183.0</v>
      </c>
      <c r="L324" s="37">
        <v>648.0</v>
      </c>
      <c r="M324" s="37">
        <v>1871.0</v>
      </c>
      <c r="N324" s="37">
        <v>1169.0</v>
      </c>
      <c r="O324" s="37">
        <v>990.0</v>
      </c>
      <c r="P324" s="37">
        <v>179.0</v>
      </c>
      <c r="Q324" s="37">
        <v>702.0</v>
      </c>
      <c r="R324" s="38">
        <v>36.532811</v>
      </c>
      <c r="S324" s="38">
        <v>18.6092067</v>
      </c>
      <c r="T324" s="38">
        <v>17.9236043</v>
      </c>
      <c r="U324" s="38">
        <v>63.467189</v>
      </c>
      <c r="V324" s="38">
        <v>62.4799572</v>
      </c>
      <c r="W324" s="38">
        <v>52.9128808</v>
      </c>
      <c r="X324" s="38">
        <v>9.5670764</v>
      </c>
      <c r="Y324" s="38">
        <v>37.5200428</v>
      </c>
    </row>
    <row r="325" ht="15.0" hidden="1" customHeight="1">
      <c r="B325" s="30">
        <v>320.0</v>
      </c>
      <c r="C325" s="31" t="s">
        <v>21</v>
      </c>
      <c r="D325" s="31" t="s">
        <v>56</v>
      </c>
      <c r="E325" s="31" t="s">
        <v>115</v>
      </c>
      <c r="F325" s="31" t="s">
        <v>120</v>
      </c>
      <c r="G325" s="32" t="s">
        <v>15</v>
      </c>
      <c r="H325" s="33">
        <v>362.0</v>
      </c>
      <c r="I325" s="33">
        <v>247.0</v>
      </c>
      <c r="J325" s="33">
        <v>127.0</v>
      </c>
      <c r="K325" s="33">
        <v>120.0</v>
      </c>
      <c r="L325" s="33">
        <v>115.0</v>
      </c>
      <c r="M325" s="33">
        <v>813.0</v>
      </c>
      <c r="N325" s="33">
        <v>706.0</v>
      </c>
      <c r="O325" s="33">
        <v>595.0</v>
      </c>
      <c r="P325" s="33">
        <v>111.0</v>
      </c>
      <c r="Q325" s="33">
        <v>107.0</v>
      </c>
      <c r="R325" s="34">
        <v>68.2320442</v>
      </c>
      <c r="S325" s="34">
        <v>35.0828729</v>
      </c>
      <c r="T325" s="34">
        <v>33.1491713</v>
      </c>
      <c r="U325" s="34">
        <v>31.7679558</v>
      </c>
      <c r="V325" s="34">
        <v>86.8388684</v>
      </c>
      <c r="W325" s="34">
        <v>73.1857319</v>
      </c>
      <c r="X325" s="34">
        <v>13.6531365</v>
      </c>
      <c r="Y325" s="34">
        <v>13.1611316</v>
      </c>
    </row>
    <row r="326" ht="15.0" hidden="1" customHeight="1">
      <c r="B326" s="30">
        <v>321.0</v>
      </c>
      <c r="C326" s="31" t="s">
        <v>21</v>
      </c>
      <c r="D326" s="31" t="s">
        <v>56</v>
      </c>
      <c r="E326" s="31" t="s">
        <v>115</v>
      </c>
      <c r="F326" s="31" t="s">
        <v>120</v>
      </c>
      <c r="G326" s="32" t="s">
        <v>16</v>
      </c>
      <c r="H326" s="33">
        <v>659.0</v>
      </c>
      <c r="I326" s="33">
        <v>126.0</v>
      </c>
      <c r="J326" s="33">
        <v>63.0</v>
      </c>
      <c r="K326" s="33">
        <v>63.0</v>
      </c>
      <c r="L326" s="33">
        <v>533.0</v>
      </c>
      <c r="M326" s="33">
        <v>1058.0</v>
      </c>
      <c r="N326" s="33">
        <v>463.0</v>
      </c>
      <c r="O326" s="33">
        <v>395.0</v>
      </c>
      <c r="P326" s="33">
        <v>68.0</v>
      </c>
      <c r="Q326" s="33">
        <v>595.0</v>
      </c>
      <c r="R326" s="34">
        <v>19.1198786</v>
      </c>
      <c r="S326" s="34">
        <v>9.5599393</v>
      </c>
      <c r="T326" s="34">
        <v>9.5599393</v>
      </c>
      <c r="U326" s="34">
        <v>80.8801214</v>
      </c>
      <c r="V326" s="34">
        <v>43.7618147</v>
      </c>
      <c r="W326" s="34">
        <v>37.3345936</v>
      </c>
      <c r="X326" s="34">
        <v>6.4272212</v>
      </c>
      <c r="Y326" s="34">
        <v>56.2381853</v>
      </c>
    </row>
    <row r="327" ht="15.0" hidden="1" customHeight="1">
      <c r="B327" s="26">
        <v>322.0</v>
      </c>
      <c r="C327" s="27" t="s">
        <v>19</v>
      </c>
      <c r="D327" s="40" t="s">
        <v>56</v>
      </c>
      <c r="E327" s="40" t="s">
        <v>121</v>
      </c>
      <c r="F327" s="40"/>
      <c r="G327" s="27" t="s">
        <v>121</v>
      </c>
      <c r="H327" s="28">
        <v>37770.0</v>
      </c>
      <c r="I327" s="28">
        <v>15939.0</v>
      </c>
      <c r="J327" s="28">
        <v>9687.0</v>
      </c>
      <c r="K327" s="28">
        <v>6252.0</v>
      </c>
      <c r="L327" s="28">
        <v>21831.0</v>
      </c>
      <c r="M327" s="28">
        <v>49680.0</v>
      </c>
      <c r="N327" s="28">
        <v>29490.0</v>
      </c>
      <c r="O327" s="28">
        <v>24528.0</v>
      </c>
      <c r="P327" s="28">
        <v>4962.0</v>
      </c>
      <c r="Q327" s="28">
        <v>20190.0</v>
      </c>
      <c r="R327" s="29">
        <v>42.2001589</v>
      </c>
      <c r="S327" s="29">
        <v>25.6473392</v>
      </c>
      <c r="T327" s="29">
        <v>16.5528197</v>
      </c>
      <c r="U327" s="29">
        <v>57.7998411</v>
      </c>
      <c r="V327" s="29">
        <v>59.3599034</v>
      </c>
      <c r="W327" s="29">
        <v>49.3719807</v>
      </c>
      <c r="X327" s="29">
        <v>9.9879227</v>
      </c>
      <c r="Y327" s="29">
        <v>40.6400966</v>
      </c>
    </row>
    <row r="328" ht="15.0" hidden="1" customHeight="1">
      <c r="B328" s="30">
        <v>323.0</v>
      </c>
      <c r="C328" s="31" t="s">
        <v>19</v>
      </c>
      <c r="D328" s="31" t="s">
        <v>56</v>
      </c>
      <c r="E328" s="31" t="s">
        <v>121</v>
      </c>
      <c r="F328" s="31"/>
      <c r="G328" s="32" t="s">
        <v>15</v>
      </c>
      <c r="H328" s="33">
        <v>3806.0</v>
      </c>
      <c r="I328" s="33">
        <v>2843.0</v>
      </c>
      <c r="J328" s="33">
        <v>1470.0</v>
      </c>
      <c r="K328" s="33">
        <v>1373.0</v>
      </c>
      <c r="L328" s="33">
        <v>963.0</v>
      </c>
      <c r="M328" s="33">
        <v>6744.0</v>
      </c>
      <c r="N328" s="33">
        <v>5708.0</v>
      </c>
      <c r="O328" s="33">
        <v>4417.0</v>
      </c>
      <c r="P328" s="33">
        <v>1291.0</v>
      </c>
      <c r="Q328" s="33">
        <v>1036.0</v>
      </c>
      <c r="R328" s="34">
        <v>74.6978455</v>
      </c>
      <c r="S328" s="34">
        <v>38.6232265</v>
      </c>
      <c r="T328" s="34">
        <v>36.074619</v>
      </c>
      <c r="U328" s="34">
        <v>25.3021545</v>
      </c>
      <c r="V328" s="34">
        <v>84.6381969</v>
      </c>
      <c r="W328" s="34">
        <v>65.495255</v>
      </c>
      <c r="X328" s="34">
        <v>19.1429419</v>
      </c>
      <c r="Y328" s="34">
        <v>15.3618031</v>
      </c>
    </row>
    <row r="329" ht="15.0" hidden="1" customHeight="1">
      <c r="B329" s="30">
        <v>324.0</v>
      </c>
      <c r="C329" s="31" t="s">
        <v>19</v>
      </c>
      <c r="D329" s="31" t="s">
        <v>56</v>
      </c>
      <c r="E329" s="31" t="s">
        <v>121</v>
      </c>
      <c r="F329" s="31"/>
      <c r="G329" s="32" t="s">
        <v>16</v>
      </c>
      <c r="H329" s="33">
        <v>33964.0</v>
      </c>
      <c r="I329" s="33">
        <v>13096.0</v>
      </c>
      <c r="J329" s="33">
        <v>8217.0</v>
      </c>
      <c r="K329" s="33">
        <v>4879.0</v>
      </c>
      <c r="L329" s="33">
        <v>20868.0</v>
      </c>
      <c r="M329" s="33">
        <v>42936.0</v>
      </c>
      <c r="N329" s="33">
        <v>23782.0</v>
      </c>
      <c r="O329" s="33">
        <v>20111.0</v>
      </c>
      <c r="P329" s="33">
        <v>3671.0</v>
      </c>
      <c r="Q329" s="33">
        <v>19154.0</v>
      </c>
      <c r="R329" s="34">
        <v>38.5584737</v>
      </c>
      <c r="S329" s="34">
        <v>24.1932635</v>
      </c>
      <c r="T329" s="34">
        <v>14.3652102</v>
      </c>
      <c r="U329" s="34">
        <v>61.4415263</v>
      </c>
      <c r="V329" s="34">
        <v>55.3894168</v>
      </c>
      <c r="W329" s="34">
        <v>46.839482</v>
      </c>
      <c r="X329" s="34">
        <v>8.5499348</v>
      </c>
      <c r="Y329" s="34">
        <v>44.6105832</v>
      </c>
    </row>
    <row r="330" ht="15.0" customHeight="1">
      <c r="B330" s="35">
        <v>325.0</v>
      </c>
      <c r="C330" s="36" t="s">
        <v>21</v>
      </c>
      <c r="D330" s="41" t="s">
        <v>56</v>
      </c>
      <c r="E330" s="41" t="s">
        <v>121</v>
      </c>
      <c r="F330" s="41" t="s">
        <v>122</v>
      </c>
      <c r="G330" s="42" t="s">
        <v>122</v>
      </c>
      <c r="H330" s="37">
        <v>6079.0</v>
      </c>
      <c r="I330" s="37">
        <v>2622.0</v>
      </c>
      <c r="J330" s="37">
        <v>1845.0</v>
      </c>
      <c r="K330" s="37">
        <v>777.0</v>
      </c>
      <c r="L330" s="37">
        <v>3457.0</v>
      </c>
      <c r="M330" s="37">
        <v>7214.0</v>
      </c>
      <c r="N330" s="37">
        <v>4949.0</v>
      </c>
      <c r="O330" s="37">
        <v>4070.0</v>
      </c>
      <c r="P330" s="37">
        <v>879.0</v>
      </c>
      <c r="Q330" s="37">
        <v>2265.0</v>
      </c>
      <c r="R330" s="38">
        <v>43.1320941</v>
      </c>
      <c r="S330" s="38">
        <v>30.3503866</v>
      </c>
      <c r="T330" s="38">
        <v>12.7817075</v>
      </c>
      <c r="U330" s="38">
        <v>56.8679059</v>
      </c>
      <c r="V330" s="38">
        <v>68.6027169</v>
      </c>
      <c r="W330" s="38">
        <v>56.418076</v>
      </c>
      <c r="X330" s="38">
        <v>12.184641</v>
      </c>
      <c r="Y330" s="38">
        <v>31.3972831</v>
      </c>
    </row>
    <row r="331" ht="15.0" hidden="1" customHeight="1">
      <c r="B331" s="30">
        <v>326.0</v>
      </c>
      <c r="C331" s="31" t="s">
        <v>21</v>
      </c>
      <c r="D331" s="31" t="s">
        <v>56</v>
      </c>
      <c r="E331" s="31" t="s">
        <v>121</v>
      </c>
      <c r="F331" s="31" t="s">
        <v>122</v>
      </c>
      <c r="G331" s="32" t="s">
        <v>15</v>
      </c>
      <c r="H331" s="33">
        <v>760.0</v>
      </c>
      <c r="I331" s="33">
        <v>659.0</v>
      </c>
      <c r="J331" s="33">
        <v>426.0</v>
      </c>
      <c r="K331" s="33">
        <v>233.0</v>
      </c>
      <c r="L331" s="33">
        <v>101.0</v>
      </c>
      <c r="M331" s="33">
        <v>1081.0</v>
      </c>
      <c r="N331" s="33">
        <v>1003.0</v>
      </c>
      <c r="O331" s="33">
        <v>774.0</v>
      </c>
      <c r="P331" s="33">
        <v>229.0</v>
      </c>
      <c r="Q331" s="33">
        <v>78.0</v>
      </c>
      <c r="R331" s="34">
        <v>86.7105263</v>
      </c>
      <c r="S331" s="34">
        <v>56.0526316</v>
      </c>
      <c r="T331" s="34">
        <v>30.6578947</v>
      </c>
      <c r="U331" s="34">
        <v>13.2894737</v>
      </c>
      <c r="V331" s="34">
        <v>92.7844588</v>
      </c>
      <c r="W331" s="34">
        <v>71.60037</v>
      </c>
      <c r="X331" s="34">
        <v>21.1840888</v>
      </c>
      <c r="Y331" s="34">
        <v>7.2155412</v>
      </c>
    </row>
    <row r="332" ht="15.0" hidden="1" customHeight="1">
      <c r="B332" s="30">
        <v>327.0</v>
      </c>
      <c r="C332" s="31" t="s">
        <v>21</v>
      </c>
      <c r="D332" s="31" t="s">
        <v>56</v>
      </c>
      <c r="E332" s="31" t="s">
        <v>121</v>
      </c>
      <c r="F332" s="31" t="s">
        <v>122</v>
      </c>
      <c r="G332" s="32" t="s">
        <v>16</v>
      </c>
      <c r="H332" s="33">
        <v>5319.0</v>
      </c>
      <c r="I332" s="33">
        <v>1963.0</v>
      </c>
      <c r="J332" s="33">
        <v>1419.0</v>
      </c>
      <c r="K332" s="33">
        <v>544.0</v>
      </c>
      <c r="L332" s="33">
        <v>3356.0</v>
      </c>
      <c r="M332" s="33">
        <v>6133.0</v>
      </c>
      <c r="N332" s="33">
        <v>3946.0</v>
      </c>
      <c r="O332" s="33">
        <v>3296.0</v>
      </c>
      <c r="P332" s="33">
        <v>650.0</v>
      </c>
      <c r="Q332" s="33">
        <v>2187.0</v>
      </c>
      <c r="R332" s="34">
        <v>36.9054334</v>
      </c>
      <c r="S332" s="34">
        <v>26.677947</v>
      </c>
      <c r="T332" s="34">
        <v>10.2274864</v>
      </c>
      <c r="U332" s="34">
        <v>63.0945666</v>
      </c>
      <c r="V332" s="34">
        <v>64.3404533</v>
      </c>
      <c r="W332" s="34">
        <v>53.7420512</v>
      </c>
      <c r="X332" s="34">
        <v>10.5984021</v>
      </c>
      <c r="Y332" s="34">
        <v>35.6595467</v>
      </c>
    </row>
    <row r="333" ht="15.0" customHeight="1">
      <c r="B333" s="35">
        <v>328.0</v>
      </c>
      <c r="C333" s="36" t="s">
        <v>21</v>
      </c>
      <c r="D333" s="41" t="s">
        <v>56</v>
      </c>
      <c r="E333" s="41" t="s">
        <v>121</v>
      </c>
      <c r="F333" s="41" t="s">
        <v>123</v>
      </c>
      <c r="G333" s="42" t="s">
        <v>123</v>
      </c>
      <c r="H333" s="37">
        <v>6499.0</v>
      </c>
      <c r="I333" s="37">
        <v>2783.0</v>
      </c>
      <c r="J333" s="37">
        <v>1830.0</v>
      </c>
      <c r="K333" s="37">
        <v>953.0</v>
      </c>
      <c r="L333" s="37">
        <v>3716.0</v>
      </c>
      <c r="M333" s="37">
        <v>9458.0</v>
      </c>
      <c r="N333" s="37">
        <v>5583.0</v>
      </c>
      <c r="O333" s="37">
        <v>4340.0</v>
      </c>
      <c r="P333" s="37">
        <v>1243.0</v>
      </c>
      <c r="Q333" s="37">
        <v>3875.0</v>
      </c>
      <c r="R333" s="38">
        <v>42.8219726</v>
      </c>
      <c r="S333" s="38">
        <v>28.1581782</v>
      </c>
      <c r="T333" s="38">
        <v>14.6637944</v>
      </c>
      <c r="U333" s="38">
        <v>57.1780274</v>
      </c>
      <c r="V333" s="38">
        <v>59.0293931</v>
      </c>
      <c r="W333" s="38">
        <v>45.8870797</v>
      </c>
      <c r="X333" s="38">
        <v>13.1423134</v>
      </c>
      <c r="Y333" s="38">
        <v>40.9706069</v>
      </c>
    </row>
    <row r="334" ht="15.0" hidden="1" customHeight="1">
      <c r="B334" s="30">
        <v>329.0</v>
      </c>
      <c r="C334" s="31" t="s">
        <v>21</v>
      </c>
      <c r="D334" s="31" t="s">
        <v>56</v>
      </c>
      <c r="E334" s="31" t="s">
        <v>121</v>
      </c>
      <c r="F334" s="31" t="s">
        <v>123</v>
      </c>
      <c r="G334" s="32" t="s">
        <v>15</v>
      </c>
      <c r="H334" s="33"/>
      <c r="I334" s="33"/>
      <c r="J334" s="33"/>
      <c r="K334" s="33"/>
      <c r="L334" s="33"/>
      <c r="M334" s="33">
        <v>1372.0</v>
      </c>
      <c r="N334" s="33">
        <v>1226.0</v>
      </c>
      <c r="O334" s="33">
        <v>1032.0</v>
      </c>
      <c r="P334" s="33">
        <v>194.0</v>
      </c>
      <c r="Q334" s="33">
        <v>146.0</v>
      </c>
      <c r="R334" s="34"/>
      <c r="S334" s="34"/>
      <c r="T334" s="34"/>
      <c r="U334" s="34"/>
      <c r="V334" s="34">
        <v>89.3586006</v>
      </c>
      <c r="W334" s="34">
        <v>75.2186589</v>
      </c>
      <c r="X334" s="34">
        <v>14.1399417</v>
      </c>
      <c r="Y334" s="34">
        <v>10.6413994</v>
      </c>
    </row>
    <row r="335" ht="15.0" hidden="1" customHeight="1">
      <c r="B335" s="30">
        <v>330.0</v>
      </c>
      <c r="C335" s="31" t="s">
        <v>21</v>
      </c>
      <c r="D335" s="31" t="s">
        <v>56</v>
      </c>
      <c r="E335" s="31" t="s">
        <v>121</v>
      </c>
      <c r="F335" s="31" t="s">
        <v>123</v>
      </c>
      <c r="G335" s="32" t="s">
        <v>16</v>
      </c>
      <c r="H335" s="33">
        <v>6499.0</v>
      </c>
      <c r="I335" s="33">
        <v>2783.0</v>
      </c>
      <c r="J335" s="33">
        <v>1830.0</v>
      </c>
      <c r="K335" s="33">
        <v>953.0</v>
      </c>
      <c r="L335" s="33">
        <v>3716.0</v>
      </c>
      <c r="M335" s="33">
        <v>8086.0</v>
      </c>
      <c r="N335" s="33">
        <v>4357.0</v>
      </c>
      <c r="O335" s="33">
        <v>3308.0</v>
      </c>
      <c r="P335" s="33">
        <v>1049.0</v>
      </c>
      <c r="Q335" s="33">
        <v>3729.0</v>
      </c>
      <c r="R335" s="34">
        <v>42.8219726</v>
      </c>
      <c r="S335" s="34">
        <v>28.1581782</v>
      </c>
      <c r="T335" s="34">
        <v>14.6637944</v>
      </c>
      <c r="U335" s="34">
        <v>57.1780274</v>
      </c>
      <c r="V335" s="34">
        <v>53.883255</v>
      </c>
      <c r="W335" s="34">
        <v>40.9102152</v>
      </c>
      <c r="X335" s="34">
        <v>12.9730398</v>
      </c>
      <c r="Y335" s="34">
        <v>46.116745</v>
      </c>
    </row>
    <row r="336" ht="15.0" customHeight="1">
      <c r="B336" s="35">
        <v>331.0</v>
      </c>
      <c r="C336" s="36" t="s">
        <v>21</v>
      </c>
      <c r="D336" s="41" t="s">
        <v>56</v>
      </c>
      <c r="E336" s="41" t="s">
        <v>121</v>
      </c>
      <c r="F336" s="41" t="s">
        <v>124</v>
      </c>
      <c r="G336" s="42" t="s">
        <v>124</v>
      </c>
      <c r="H336" s="37">
        <v>2308.0</v>
      </c>
      <c r="I336" s="37">
        <v>1489.0</v>
      </c>
      <c r="J336" s="37">
        <v>928.0</v>
      </c>
      <c r="K336" s="37">
        <v>561.0</v>
      </c>
      <c r="L336" s="37">
        <v>819.0</v>
      </c>
      <c r="M336" s="37">
        <v>2998.0</v>
      </c>
      <c r="N336" s="37">
        <v>2349.0</v>
      </c>
      <c r="O336" s="37">
        <v>1787.0</v>
      </c>
      <c r="P336" s="37">
        <v>562.0</v>
      </c>
      <c r="Q336" s="37">
        <v>649.0</v>
      </c>
      <c r="R336" s="38">
        <v>64.5147314</v>
      </c>
      <c r="S336" s="38">
        <v>40.2079723</v>
      </c>
      <c r="T336" s="38">
        <v>24.3067591</v>
      </c>
      <c r="U336" s="38">
        <v>35.4852686</v>
      </c>
      <c r="V336" s="38">
        <v>78.3522348</v>
      </c>
      <c r="W336" s="38">
        <v>59.6064043</v>
      </c>
      <c r="X336" s="38">
        <v>18.7458306</v>
      </c>
      <c r="Y336" s="38">
        <v>21.6477652</v>
      </c>
    </row>
    <row r="337" ht="15.0" hidden="1" customHeight="1">
      <c r="B337" s="30">
        <v>332.0</v>
      </c>
      <c r="C337" s="31" t="s">
        <v>21</v>
      </c>
      <c r="D337" s="31" t="s">
        <v>56</v>
      </c>
      <c r="E337" s="31" t="s">
        <v>121</v>
      </c>
      <c r="F337" s="31" t="s">
        <v>124</v>
      </c>
      <c r="G337" s="32" t="s">
        <v>15</v>
      </c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4"/>
      <c r="S337" s="34"/>
      <c r="T337" s="34"/>
      <c r="U337" s="34"/>
      <c r="V337" s="34"/>
      <c r="W337" s="34"/>
      <c r="X337" s="34"/>
      <c r="Y337" s="34"/>
    </row>
    <row r="338" ht="15.0" hidden="1" customHeight="1">
      <c r="B338" s="30">
        <v>333.0</v>
      </c>
      <c r="C338" s="31" t="s">
        <v>21</v>
      </c>
      <c r="D338" s="31" t="s">
        <v>56</v>
      </c>
      <c r="E338" s="31" t="s">
        <v>121</v>
      </c>
      <c r="F338" s="31" t="s">
        <v>124</v>
      </c>
      <c r="G338" s="32" t="s">
        <v>16</v>
      </c>
      <c r="H338" s="33">
        <v>2308.0</v>
      </c>
      <c r="I338" s="33">
        <v>1489.0</v>
      </c>
      <c r="J338" s="33">
        <v>928.0</v>
      </c>
      <c r="K338" s="33">
        <v>561.0</v>
      </c>
      <c r="L338" s="33">
        <v>819.0</v>
      </c>
      <c r="M338" s="33">
        <v>2998.0</v>
      </c>
      <c r="N338" s="33">
        <v>2349.0</v>
      </c>
      <c r="O338" s="33">
        <v>1787.0</v>
      </c>
      <c r="P338" s="33">
        <v>562.0</v>
      </c>
      <c r="Q338" s="33">
        <v>649.0</v>
      </c>
      <c r="R338" s="34">
        <v>64.5147314</v>
      </c>
      <c r="S338" s="34">
        <v>40.2079723</v>
      </c>
      <c r="T338" s="34">
        <v>24.3067591</v>
      </c>
      <c r="U338" s="34">
        <v>35.4852686</v>
      </c>
      <c r="V338" s="34">
        <v>78.3522348</v>
      </c>
      <c r="W338" s="34">
        <v>59.6064043</v>
      </c>
      <c r="X338" s="34">
        <v>18.7458306</v>
      </c>
      <c r="Y338" s="34">
        <v>21.6477652</v>
      </c>
    </row>
    <row r="339" ht="15.0" customHeight="1">
      <c r="B339" s="35">
        <v>334.0</v>
      </c>
      <c r="C339" s="36" t="s">
        <v>21</v>
      </c>
      <c r="D339" s="41" t="s">
        <v>56</v>
      </c>
      <c r="E339" s="41" t="s">
        <v>121</v>
      </c>
      <c r="F339" s="41" t="s">
        <v>125</v>
      </c>
      <c r="G339" s="42" t="s">
        <v>125</v>
      </c>
      <c r="H339" s="37">
        <v>9246.0</v>
      </c>
      <c r="I339" s="37">
        <v>5018.0</v>
      </c>
      <c r="J339" s="37">
        <v>3132.0</v>
      </c>
      <c r="K339" s="37">
        <v>1886.0</v>
      </c>
      <c r="L339" s="37">
        <v>4228.0</v>
      </c>
      <c r="M339" s="37">
        <v>11630.0</v>
      </c>
      <c r="N339" s="37">
        <v>7384.0</v>
      </c>
      <c r="O339" s="37">
        <v>6677.0</v>
      </c>
      <c r="P339" s="37">
        <v>707.0</v>
      </c>
      <c r="Q339" s="37">
        <v>4246.0</v>
      </c>
      <c r="R339" s="38">
        <v>54.2721177</v>
      </c>
      <c r="S339" s="38">
        <v>33.8741077</v>
      </c>
      <c r="T339" s="38">
        <v>20.39801</v>
      </c>
      <c r="U339" s="38">
        <v>45.7278823</v>
      </c>
      <c r="V339" s="38">
        <v>63.4909716</v>
      </c>
      <c r="W339" s="38">
        <v>57.4118659</v>
      </c>
      <c r="X339" s="38">
        <v>6.0791058</v>
      </c>
      <c r="Y339" s="38">
        <v>36.5090284</v>
      </c>
    </row>
    <row r="340" ht="15.0" hidden="1" customHeight="1">
      <c r="B340" s="30">
        <v>335.0</v>
      </c>
      <c r="C340" s="31" t="s">
        <v>21</v>
      </c>
      <c r="D340" s="31" t="s">
        <v>56</v>
      </c>
      <c r="E340" s="31" t="s">
        <v>121</v>
      </c>
      <c r="F340" s="31" t="s">
        <v>125</v>
      </c>
      <c r="G340" s="32" t="s">
        <v>15</v>
      </c>
      <c r="H340" s="33">
        <v>2037.0</v>
      </c>
      <c r="I340" s="33">
        <v>1419.0</v>
      </c>
      <c r="J340" s="33">
        <v>847.0</v>
      </c>
      <c r="K340" s="33">
        <v>572.0</v>
      </c>
      <c r="L340" s="33">
        <v>618.0</v>
      </c>
      <c r="M340" s="33">
        <v>2994.0</v>
      </c>
      <c r="N340" s="33">
        <v>2281.0</v>
      </c>
      <c r="O340" s="33">
        <v>1886.0</v>
      </c>
      <c r="P340" s="33">
        <v>395.0</v>
      </c>
      <c r="Q340" s="33">
        <v>713.0</v>
      </c>
      <c r="R340" s="34">
        <v>69.6612666</v>
      </c>
      <c r="S340" s="34">
        <v>41.580756</v>
      </c>
      <c r="T340" s="34">
        <v>28.0805106</v>
      </c>
      <c r="U340" s="34">
        <v>30.3387334</v>
      </c>
      <c r="V340" s="34">
        <v>76.1857047</v>
      </c>
      <c r="W340" s="34">
        <v>62.992652</v>
      </c>
      <c r="X340" s="34">
        <v>13.1930528</v>
      </c>
      <c r="Y340" s="34">
        <v>23.8142953</v>
      </c>
    </row>
    <row r="341" ht="15.0" hidden="1" customHeight="1">
      <c r="B341" s="30">
        <v>336.0</v>
      </c>
      <c r="C341" s="31" t="s">
        <v>21</v>
      </c>
      <c r="D341" s="31" t="s">
        <v>56</v>
      </c>
      <c r="E341" s="31" t="s">
        <v>121</v>
      </c>
      <c r="F341" s="31" t="s">
        <v>125</v>
      </c>
      <c r="G341" s="32" t="s">
        <v>16</v>
      </c>
      <c r="H341" s="33">
        <v>7209.0</v>
      </c>
      <c r="I341" s="33">
        <v>3599.0</v>
      </c>
      <c r="J341" s="33">
        <v>2285.0</v>
      </c>
      <c r="K341" s="33">
        <v>1314.0</v>
      </c>
      <c r="L341" s="33">
        <v>3610.0</v>
      </c>
      <c r="M341" s="33">
        <v>8636.0</v>
      </c>
      <c r="N341" s="33">
        <v>5103.0</v>
      </c>
      <c r="O341" s="33">
        <v>4791.0</v>
      </c>
      <c r="P341" s="33">
        <v>312.0</v>
      </c>
      <c r="Q341" s="33">
        <v>3533.0</v>
      </c>
      <c r="R341" s="34">
        <v>49.9237065</v>
      </c>
      <c r="S341" s="34">
        <v>31.6964905</v>
      </c>
      <c r="T341" s="34">
        <v>18.227216</v>
      </c>
      <c r="U341" s="34">
        <v>50.0762935</v>
      </c>
      <c r="V341" s="34">
        <v>59.0898564</v>
      </c>
      <c r="W341" s="34">
        <v>55.4770727</v>
      </c>
      <c r="X341" s="34">
        <v>3.6127837</v>
      </c>
      <c r="Y341" s="34">
        <v>40.9101436</v>
      </c>
    </row>
    <row r="342" ht="15.0" customHeight="1">
      <c r="B342" s="35">
        <v>337.0</v>
      </c>
      <c r="C342" s="36" t="s">
        <v>21</v>
      </c>
      <c r="D342" s="41" t="s">
        <v>56</v>
      </c>
      <c r="E342" s="41" t="s">
        <v>121</v>
      </c>
      <c r="F342" s="41" t="s">
        <v>126</v>
      </c>
      <c r="G342" s="42" t="s">
        <v>126</v>
      </c>
      <c r="H342" s="37">
        <v>13638.0</v>
      </c>
      <c r="I342" s="37">
        <v>4027.0</v>
      </c>
      <c r="J342" s="37">
        <v>1952.0</v>
      </c>
      <c r="K342" s="37">
        <v>2075.0</v>
      </c>
      <c r="L342" s="37">
        <v>9611.0</v>
      </c>
      <c r="M342" s="37">
        <v>18380.0</v>
      </c>
      <c r="N342" s="37">
        <v>9225.0</v>
      </c>
      <c r="O342" s="37">
        <v>7654.0</v>
      </c>
      <c r="P342" s="37">
        <v>1571.0</v>
      </c>
      <c r="Q342" s="37">
        <v>9155.0</v>
      </c>
      <c r="R342" s="38">
        <v>29.52779</v>
      </c>
      <c r="S342" s="38">
        <v>14.3129491</v>
      </c>
      <c r="T342" s="38">
        <v>15.2148409</v>
      </c>
      <c r="U342" s="38">
        <v>70.47221</v>
      </c>
      <c r="V342" s="38">
        <v>50.1904244</v>
      </c>
      <c r="W342" s="38">
        <v>41.6430903</v>
      </c>
      <c r="X342" s="38">
        <v>8.5473341</v>
      </c>
      <c r="Y342" s="38">
        <v>49.8095756</v>
      </c>
    </row>
    <row r="343" ht="15.0" hidden="1" customHeight="1">
      <c r="B343" s="30">
        <v>338.0</v>
      </c>
      <c r="C343" s="31" t="s">
        <v>21</v>
      </c>
      <c r="D343" s="31" t="s">
        <v>56</v>
      </c>
      <c r="E343" s="31" t="s">
        <v>121</v>
      </c>
      <c r="F343" s="31" t="s">
        <v>126</v>
      </c>
      <c r="G343" s="32" t="s">
        <v>15</v>
      </c>
      <c r="H343" s="33">
        <v>1009.0</v>
      </c>
      <c r="I343" s="33">
        <v>765.0</v>
      </c>
      <c r="J343" s="33">
        <v>197.0</v>
      </c>
      <c r="K343" s="33">
        <v>568.0</v>
      </c>
      <c r="L343" s="33">
        <v>244.0</v>
      </c>
      <c r="M343" s="33">
        <v>1297.0</v>
      </c>
      <c r="N343" s="33">
        <v>1198.0</v>
      </c>
      <c r="O343" s="33">
        <v>725.0</v>
      </c>
      <c r="P343" s="33">
        <v>473.0</v>
      </c>
      <c r="Q343" s="33">
        <v>99.0</v>
      </c>
      <c r="R343" s="34">
        <v>75.8176412</v>
      </c>
      <c r="S343" s="34">
        <v>19.5242815</v>
      </c>
      <c r="T343" s="34">
        <v>56.2933598</v>
      </c>
      <c r="U343" s="34">
        <v>24.1823588</v>
      </c>
      <c r="V343" s="34">
        <v>92.3670008</v>
      </c>
      <c r="W343" s="34">
        <v>55.8982267</v>
      </c>
      <c r="X343" s="34">
        <v>36.4687741</v>
      </c>
      <c r="Y343" s="34">
        <v>7.6329992</v>
      </c>
    </row>
    <row r="344" ht="15.0" hidden="1" customHeight="1">
      <c r="B344" s="30">
        <v>339.0</v>
      </c>
      <c r="C344" s="31" t="s">
        <v>21</v>
      </c>
      <c r="D344" s="31" t="s">
        <v>56</v>
      </c>
      <c r="E344" s="31" t="s">
        <v>121</v>
      </c>
      <c r="F344" s="31" t="s">
        <v>126</v>
      </c>
      <c r="G344" s="32" t="s">
        <v>16</v>
      </c>
      <c r="H344" s="33">
        <v>12629.0</v>
      </c>
      <c r="I344" s="33">
        <v>3262.0</v>
      </c>
      <c r="J344" s="33">
        <v>1755.0</v>
      </c>
      <c r="K344" s="33">
        <v>1507.0</v>
      </c>
      <c r="L344" s="33">
        <v>9367.0</v>
      </c>
      <c r="M344" s="33">
        <v>17083.0</v>
      </c>
      <c r="N344" s="33">
        <v>8027.0</v>
      </c>
      <c r="O344" s="33">
        <v>6929.0</v>
      </c>
      <c r="P344" s="33">
        <v>1098.0</v>
      </c>
      <c r="Q344" s="33">
        <v>9056.0</v>
      </c>
      <c r="R344" s="34">
        <v>25.8294402</v>
      </c>
      <c r="S344" s="34">
        <v>13.8965872</v>
      </c>
      <c r="T344" s="34">
        <v>11.932853</v>
      </c>
      <c r="U344" s="34">
        <v>74.1705598</v>
      </c>
      <c r="V344" s="34">
        <v>46.9882339</v>
      </c>
      <c r="W344" s="34">
        <v>40.5607914</v>
      </c>
      <c r="X344" s="34">
        <v>6.4274425</v>
      </c>
      <c r="Y344" s="34">
        <v>53.0117661</v>
      </c>
    </row>
    <row r="345" ht="15.0" hidden="1" customHeight="1">
      <c r="B345" s="26">
        <v>340.0</v>
      </c>
      <c r="C345" s="27" t="s">
        <v>19</v>
      </c>
      <c r="D345" s="40" t="s">
        <v>56</v>
      </c>
      <c r="E345" s="40" t="s">
        <v>127</v>
      </c>
      <c r="F345" s="40"/>
      <c r="G345" s="27" t="s">
        <v>127</v>
      </c>
      <c r="H345" s="28">
        <v>27292.0</v>
      </c>
      <c r="I345" s="28">
        <v>10729.0</v>
      </c>
      <c r="J345" s="28">
        <v>6320.0</v>
      </c>
      <c r="K345" s="28">
        <v>4409.0</v>
      </c>
      <c r="L345" s="28">
        <v>16563.0</v>
      </c>
      <c r="M345" s="28">
        <v>46763.0</v>
      </c>
      <c r="N345" s="28">
        <v>27600.0</v>
      </c>
      <c r="O345" s="28">
        <v>24586.0</v>
      </c>
      <c r="P345" s="28">
        <v>3014.0</v>
      </c>
      <c r="Q345" s="28">
        <v>19163.0</v>
      </c>
      <c r="R345" s="29">
        <v>39.3118863</v>
      </c>
      <c r="S345" s="29">
        <v>23.1569691</v>
      </c>
      <c r="T345" s="29">
        <v>16.1549172</v>
      </c>
      <c r="U345" s="29">
        <v>60.6881137</v>
      </c>
      <c r="V345" s="29">
        <v>59.0210209</v>
      </c>
      <c r="W345" s="29">
        <v>52.5757543</v>
      </c>
      <c r="X345" s="29">
        <v>6.4452666</v>
      </c>
      <c r="Y345" s="29">
        <v>40.9789791</v>
      </c>
    </row>
    <row r="346" ht="15.0" hidden="1" customHeight="1">
      <c r="B346" s="30">
        <v>341.0</v>
      </c>
      <c r="C346" s="31" t="s">
        <v>19</v>
      </c>
      <c r="D346" s="31" t="s">
        <v>56</v>
      </c>
      <c r="E346" s="31" t="s">
        <v>127</v>
      </c>
      <c r="F346" s="31"/>
      <c r="G346" s="32" t="s">
        <v>15</v>
      </c>
      <c r="H346" s="33">
        <v>700.0</v>
      </c>
      <c r="I346" s="33">
        <v>501.0</v>
      </c>
      <c r="J346" s="33">
        <v>325.0</v>
      </c>
      <c r="K346" s="33">
        <v>176.0</v>
      </c>
      <c r="L346" s="33">
        <v>199.0</v>
      </c>
      <c r="M346" s="33">
        <v>12755.0</v>
      </c>
      <c r="N346" s="33">
        <v>8234.0</v>
      </c>
      <c r="O346" s="33">
        <v>7653.0</v>
      </c>
      <c r="P346" s="33">
        <v>581.0</v>
      </c>
      <c r="Q346" s="33">
        <v>4521.0</v>
      </c>
      <c r="R346" s="34">
        <v>71.5714286</v>
      </c>
      <c r="S346" s="34">
        <v>46.4285714</v>
      </c>
      <c r="T346" s="34">
        <v>25.1428571</v>
      </c>
      <c r="U346" s="34">
        <v>28.4285714</v>
      </c>
      <c r="V346" s="34">
        <v>64.5550764</v>
      </c>
      <c r="W346" s="34">
        <v>60.0</v>
      </c>
      <c r="X346" s="34">
        <v>4.5550764</v>
      </c>
      <c r="Y346" s="34">
        <v>35.4449236</v>
      </c>
    </row>
    <row r="347" ht="15.0" hidden="1" customHeight="1">
      <c r="B347" s="30">
        <v>342.0</v>
      </c>
      <c r="C347" s="31" t="s">
        <v>19</v>
      </c>
      <c r="D347" s="31" t="s">
        <v>56</v>
      </c>
      <c r="E347" s="31" t="s">
        <v>127</v>
      </c>
      <c r="F347" s="31"/>
      <c r="G347" s="32" t="s">
        <v>16</v>
      </c>
      <c r="H347" s="33">
        <v>26592.0</v>
      </c>
      <c r="I347" s="33">
        <v>10228.0</v>
      </c>
      <c r="J347" s="33">
        <v>5995.0</v>
      </c>
      <c r="K347" s="33">
        <v>4233.0</v>
      </c>
      <c r="L347" s="33">
        <v>16364.0</v>
      </c>
      <c r="M347" s="33">
        <v>34008.0</v>
      </c>
      <c r="N347" s="33">
        <v>19366.0</v>
      </c>
      <c r="O347" s="33">
        <v>16933.0</v>
      </c>
      <c r="P347" s="33">
        <v>2433.0</v>
      </c>
      <c r="Q347" s="33">
        <v>14642.0</v>
      </c>
      <c r="R347" s="34">
        <v>38.4626955</v>
      </c>
      <c r="S347" s="34">
        <v>22.5443742</v>
      </c>
      <c r="T347" s="34">
        <v>15.9183213</v>
      </c>
      <c r="U347" s="34">
        <v>61.5373045</v>
      </c>
      <c r="V347" s="34">
        <v>56.9454246</v>
      </c>
      <c r="W347" s="34">
        <v>49.7912256</v>
      </c>
      <c r="X347" s="34">
        <v>7.154199</v>
      </c>
      <c r="Y347" s="34">
        <v>43.0545754</v>
      </c>
    </row>
    <row r="348" ht="15.0" customHeight="1">
      <c r="B348" s="35">
        <v>343.0</v>
      </c>
      <c r="C348" s="36" t="s">
        <v>21</v>
      </c>
      <c r="D348" s="41" t="s">
        <v>56</v>
      </c>
      <c r="E348" s="41" t="s">
        <v>127</v>
      </c>
      <c r="F348" s="41" t="s">
        <v>128</v>
      </c>
      <c r="G348" s="42" t="s">
        <v>128</v>
      </c>
      <c r="H348" s="37">
        <v>11121.0</v>
      </c>
      <c r="I348" s="37">
        <v>4499.0</v>
      </c>
      <c r="J348" s="37">
        <v>2816.0</v>
      </c>
      <c r="K348" s="37">
        <v>1683.0</v>
      </c>
      <c r="L348" s="37">
        <v>6622.0</v>
      </c>
      <c r="M348" s="37">
        <v>21459.0</v>
      </c>
      <c r="N348" s="37">
        <v>12168.0</v>
      </c>
      <c r="O348" s="37">
        <v>11058.0</v>
      </c>
      <c r="P348" s="37">
        <v>1110.0</v>
      </c>
      <c r="Q348" s="37">
        <v>9291.0</v>
      </c>
      <c r="R348" s="38">
        <v>40.4549951</v>
      </c>
      <c r="S348" s="38">
        <v>25.3214639</v>
      </c>
      <c r="T348" s="38">
        <v>15.1335312</v>
      </c>
      <c r="U348" s="38">
        <v>59.5450049</v>
      </c>
      <c r="V348" s="38">
        <v>56.7034811</v>
      </c>
      <c r="W348" s="38">
        <v>51.5308262</v>
      </c>
      <c r="X348" s="38">
        <v>5.1726548</v>
      </c>
      <c r="Y348" s="38">
        <v>43.2965189</v>
      </c>
    </row>
    <row r="349" ht="15.0" hidden="1" customHeight="1">
      <c r="B349" s="30">
        <v>344.0</v>
      </c>
      <c r="C349" s="31" t="s">
        <v>21</v>
      </c>
      <c r="D349" s="31" t="s">
        <v>56</v>
      </c>
      <c r="E349" s="31" t="s">
        <v>127</v>
      </c>
      <c r="F349" s="31" t="s">
        <v>128</v>
      </c>
      <c r="G349" s="32" t="s">
        <v>15</v>
      </c>
      <c r="H349" s="33"/>
      <c r="I349" s="33"/>
      <c r="J349" s="33"/>
      <c r="K349" s="33"/>
      <c r="L349" s="33"/>
      <c r="M349" s="33">
        <v>7346.0</v>
      </c>
      <c r="N349" s="33">
        <v>3913.0</v>
      </c>
      <c r="O349" s="33">
        <v>3691.0</v>
      </c>
      <c r="P349" s="33">
        <v>222.0</v>
      </c>
      <c r="Q349" s="33">
        <v>3433.0</v>
      </c>
      <c r="R349" s="34"/>
      <c r="S349" s="34"/>
      <c r="T349" s="34"/>
      <c r="U349" s="34"/>
      <c r="V349" s="34">
        <v>53.2670841</v>
      </c>
      <c r="W349" s="34">
        <v>50.2450313</v>
      </c>
      <c r="X349" s="34">
        <v>3.0220528</v>
      </c>
      <c r="Y349" s="34">
        <v>46.7329159</v>
      </c>
    </row>
    <row r="350" ht="15.0" hidden="1" customHeight="1">
      <c r="B350" s="30">
        <v>345.0</v>
      </c>
      <c r="C350" s="31" t="s">
        <v>21</v>
      </c>
      <c r="D350" s="31" t="s">
        <v>56</v>
      </c>
      <c r="E350" s="31" t="s">
        <v>127</v>
      </c>
      <c r="F350" s="31" t="s">
        <v>128</v>
      </c>
      <c r="G350" s="32" t="s">
        <v>16</v>
      </c>
      <c r="H350" s="33">
        <v>11121.0</v>
      </c>
      <c r="I350" s="33">
        <v>4499.0</v>
      </c>
      <c r="J350" s="33">
        <v>2816.0</v>
      </c>
      <c r="K350" s="33">
        <v>1683.0</v>
      </c>
      <c r="L350" s="33">
        <v>6622.0</v>
      </c>
      <c r="M350" s="33">
        <v>14113.0</v>
      </c>
      <c r="N350" s="33">
        <v>8255.0</v>
      </c>
      <c r="O350" s="33">
        <v>7367.0</v>
      </c>
      <c r="P350" s="33">
        <v>888.0</v>
      </c>
      <c r="Q350" s="33">
        <v>5858.0</v>
      </c>
      <c r="R350" s="34">
        <v>40.4549951</v>
      </c>
      <c r="S350" s="34">
        <v>25.3214639</v>
      </c>
      <c r="T350" s="34">
        <v>15.1335312</v>
      </c>
      <c r="U350" s="34">
        <v>59.5450049</v>
      </c>
      <c r="V350" s="34">
        <v>58.4921703</v>
      </c>
      <c r="W350" s="34">
        <v>52.2000992</v>
      </c>
      <c r="X350" s="34">
        <v>6.2920711</v>
      </c>
      <c r="Y350" s="34">
        <v>41.5078297</v>
      </c>
    </row>
    <row r="351" ht="15.0" customHeight="1">
      <c r="B351" s="35">
        <v>346.0</v>
      </c>
      <c r="C351" s="36" t="s">
        <v>21</v>
      </c>
      <c r="D351" s="41" t="s">
        <v>56</v>
      </c>
      <c r="E351" s="41" t="s">
        <v>127</v>
      </c>
      <c r="F351" s="41" t="s">
        <v>129</v>
      </c>
      <c r="G351" s="42" t="s">
        <v>129</v>
      </c>
      <c r="H351" s="37">
        <v>7761.0</v>
      </c>
      <c r="I351" s="37">
        <v>2649.0</v>
      </c>
      <c r="J351" s="37">
        <v>1548.0</v>
      </c>
      <c r="K351" s="37">
        <v>1101.0</v>
      </c>
      <c r="L351" s="37">
        <v>5112.0</v>
      </c>
      <c r="M351" s="37">
        <v>13613.0</v>
      </c>
      <c r="N351" s="37">
        <v>8432.0</v>
      </c>
      <c r="O351" s="37">
        <v>7491.0</v>
      </c>
      <c r="P351" s="37">
        <v>941.0</v>
      </c>
      <c r="Q351" s="37">
        <v>5181.0</v>
      </c>
      <c r="R351" s="38">
        <v>34.1321995</v>
      </c>
      <c r="S351" s="38">
        <v>19.9458833</v>
      </c>
      <c r="T351" s="38">
        <v>14.1863162</v>
      </c>
      <c r="U351" s="38">
        <v>65.8678005</v>
      </c>
      <c r="V351" s="38">
        <v>61.9407919</v>
      </c>
      <c r="W351" s="38">
        <v>55.0282818</v>
      </c>
      <c r="X351" s="38">
        <v>6.9125101</v>
      </c>
      <c r="Y351" s="38">
        <v>38.0592081</v>
      </c>
    </row>
    <row r="352" ht="15.0" hidden="1" customHeight="1">
      <c r="B352" s="30">
        <v>347.0</v>
      </c>
      <c r="C352" s="31" t="s">
        <v>21</v>
      </c>
      <c r="D352" s="31" t="s">
        <v>56</v>
      </c>
      <c r="E352" s="31" t="s">
        <v>127</v>
      </c>
      <c r="F352" s="31" t="s">
        <v>129</v>
      </c>
      <c r="G352" s="32" t="s">
        <v>15</v>
      </c>
      <c r="H352" s="33"/>
      <c r="I352" s="33"/>
      <c r="J352" s="33"/>
      <c r="K352" s="33"/>
      <c r="L352" s="33"/>
      <c r="M352" s="33">
        <v>4394.0</v>
      </c>
      <c r="N352" s="33">
        <v>3410.0</v>
      </c>
      <c r="O352" s="33">
        <v>3107.0</v>
      </c>
      <c r="P352" s="33">
        <v>303.0</v>
      </c>
      <c r="Q352" s="33">
        <v>984.0</v>
      </c>
      <c r="R352" s="34"/>
      <c r="S352" s="34"/>
      <c r="T352" s="34"/>
      <c r="U352" s="34"/>
      <c r="V352" s="34">
        <v>77.6058261</v>
      </c>
      <c r="W352" s="34">
        <v>70.7100592</v>
      </c>
      <c r="X352" s="34">
        <v>6.895767</v>
      </c>
      <c r="Y352" s="34">
        <v>22.3941739</v>
      </c>
    </row>
    <row r="353" ht="15.0" hidden="1" customHeight="1">
      <c r="B353" s="30">
        <v>348.0</v>
      </c>
      <c r="C353" s="31" t="s">
        <v>21</v>
      </c>
      <c r="D353" s="31" t="s">
        <v>56</v>
      </c>
      <c r="E353" s="31" t="s">
        <v>127</v>
      </c>
      <c r="F353" s="31" t="s">
        <v>129</v>
      </c>
      <c r="G353" s="32" t="s">
        <v>16</v>
      </c>
      <c r="H353" s="33">
        <v>7761.0</v>
      </c>
      <c r="I353" s="33">
        <v>2649.0</v>
      </c>
      <c r="J353" s="33">
        <v>1548.0</v>
      </c>
      <c r="K353" s="33">
        <v>1101.0</v>
      </c>
      <c r="L353" s="33">
        <v>5112.0</v>
      </c>
      <c r="M353" s="33">
        <v>9219.0</v>
      </c>
      <c r="N353" s="33">
        <v>5022.0</v>
      </c>
      <c r="O353" s="33">
        <v>4384.0</v>
      </c>
      <c r="P353" s="33">
        <v>638.0</v>
      </c>
      <c r="Q353" s="33">
        <v>4197.0</v>
      </c>
      <c r="R353" s="34">
        <v>34.1321995</v>
      </c>
      <c r="S353" s="34">
        <v>19.9458833</v>
      </c>
      <c r="T353" s="34">
        <v>14.1863162</v>
      </c>
      <c r="U353" s="34">
        <v>65.8678005</v>
      </c>
      <c r="V353" s="34">
        <v>54.4744549</v>
      </c>
      <c r="W353" s="34">
        <v>47.5539646</v>
      </c>
      <c r="X353" s="34">
        <v>6.9204903</v>
      </c>
      <c r="Y353" s="34">
        <v>45.5255451</v>
      </c>
    </row>
    <row r="354" ht="15.0" customHeight="1">
      <c r="B354" s="35">
        <v>349.0</v>
      </c>
      <c r="C354" s="36" t="s">
        <v>21</v>
      </c>
      <c r="D354" s="41" t="s">
        <v>56</v>
      </c>
      <c r="E354" s="41" t="s">
        <v>127</v>
      </c>
      <c r="F354" s="41" t="s">
        <v>130</v>
      </c>
      <c r="G354" s="42" t="s">
        <v>130</v>
      </c>
      <c r="H354" s="37">
        <v>6062.0</v>
      </c>
      <c r="I354" s="37">
        <v>2934.0</v>
      </c>
      <c r="J354" s="37">
        <v>1589.0</v>
      </c>
      <c r="K354" s="37">
        <v>1345.0</v>
      </c>
      <c r="L354" s="37">
        <v>3128.0</v>
      </c>
      <c r="M354" s="37">
        <v>8503.0</v>
      </c>
      <c r="N354" s="37">
        <v>5545.0</v>
      </c>
      <c r="O354" s="37">
        <v>4737.0</v>
      </c>
      <c r="P354" s="37">
        <v>808.0</v>
      </c>
      <c r="Q354" s="37">
        <v>2958.0</v>
      </c>
      <c r="R354" s="38">
        <v>48.399868</v>
      </c>
      <c r="S354" s="38">
        <v>26.2124711</v>
      </c>
      <c r="T354" s="38">
        <v>22.1873969</v>
      </c>
      <c r="U354" s="38">
        <v>51.600132</v>
      </c>
      <c r="V354" s="38">
        <v>65.212278</v>
      </c>
      <c r="W354" s="38">
        <v>55.7097495</v>
      </c>
      <c r="X354" s="38">
        <v>9.5025285</v>
      </c>
      <c r="Y354" s="38">
        <v>34.787722</v>
      </c>
    </row>
    <row r="355" ht="15.0" hidden="1" customHeight="1">
      <c r="B355" s="30">
        <v>350.0</v>
      </c>
      <c r="C355" s="31" t="s">
        <v>21</v>
      </c>
      <c r="D355" s="31" t="s">
        <v>56</v>
      </c>
      <c r="E355" s="31" t="s">
        <v>127</v>
      </c>
      <c r="F355" s="31" t="s">
        <v>130</v>
      </c>
      <c r="G355" s="32" t="s">
        <v>15</v>
      </c>
      <c r="H355" s="33">
        <v>700.0</v>
      </c>
      <c r="I355" s="33">
        <v>501.0</v>
      </c>
      <c r="J355" s="33">
        <v>325.0</v>
      </c>
      <c r="K355" s="33">
        <v>176.0</v>
      </c>
      <c r="L355" s="33">
        <v>199.0</v>
      </c>
      <c r="M355" s="33">
        <v>1015.0</v>
      </c>
      <c r="N355" s="33">
        <v>911.0</v>
      </c>
      <c r="O355" s="33">
        <v>855.0</v>
      </c>
      <c r="P355" s="33">
        <v>56.0</v>
      </c>
      <c r="Q355" s="33">
        <v>104.0</v>
      </c>
      <c r="R355" s="34">
        <v>71.5714286</v>
      </c>
      <c r="S355" s="34">
        <v>46.4285714</v>
      </c>
      <c r="T355" s="34">
        <v>25.1428571</v>
      </c>
      <c r="U355" s="34">
        <v>28.4285714</v>
      </c>
      <c r="V355" s="34">
        <v>89.7536946</v>
      </c>
      <c r="W355" s="34">
        <v>84.2364532</v>
      </c>
      <c r="X355" s="34">
        <v>5.5172414</v>
      </c>
      <c r="Y355" s="34">
        <v>10.2463054</v>
      </c>
    </row>
    <row r="356" ht="15.0" hidden="1" customHeight="1">
      <c r="B356" s="30">
        <v>351.0</v>
      </c>
      <c r="C356" s="31" t="s">
        <v>21</v>
      </c>
      <c r="D356" s="31" t="s">
        <v>56</v>
      </c>
      <c r="E356" s="31" t="s">
        <v>127</v>
      </c>
      <c r="F356" s="31" t="s">
        <v>130</v>
      </c>
      <c r="G356" s="32" t="s">
        <v>16</v>
      </c>
      <c r="H356" s="33">
        <v>5362.0</v>
      </c>
      <c r="I356" s="33">
        <v>2433.0</v>
      </c>
      <c r="J356" s="33">
        <v>1264.0</v>
      </c>
      <c r="K356" s="33">
        <v>1169.0</v>
      </c>
      <c r="L356" s="33">
        <v>2929.0</v>
      </c>
      <c r="M356" s="33">
        <v>7488.0</v>
      </c>
      <c r="N356" s="33">
        <v>4634.0</v>
      </c>
      <c r="O356" s="33">
        <v>3882.0</v>
      </c>
      <c r="P356" s="33">
        <v>752.0</v>
      </c>
      <c r="Q356" s="33">
        <v>2854.0</v>
      </c>
      <c r="R356" s="34">
        <v>45.3748601</v>
      </c>
      <c r="S356" s="34">
        <v>23.5732935</v>
      </c>
      <c r="T356" s="34">
        <v>21.8015666</v>
      </c>
      <c r="U356" s="34">
        <v>54.6251399</v>
      </c>
      <c r="V356" s="34">
        <v>61.8856838</v>
      </c>
      <c r="W356" s="34">
        <v>51.8429487</v>
      </c>
      <c r="X356" s="34">
        <v>10.042735</v>
      </c>
      <c r="Y356" s="34">
        <v>38.1143162</v>
      </c>
    </row>
    <row r="357" ht="15.0" customHeight="1">
      <c r="B357" s="35">
        <v>352.0</v>
      </c>
      <c r="C357" s="36" t="s">
        <v>21</v>
      </c>
      <c r="D357" s="41" t="s">
        <v>56</v>
      </c>
      <c r="E357" s="41" t="s">
        <v>127</v>
      </c>
      <c r="F357" s="41" t="s">
        <v>131</v>
      </c>
      <c r="G357" s="42" t="s">
        <v>131</v>
      </c>
      <c r="H357" s="37">
        <v>2348.0</v>
      </c>
      <c r="I357" s="37">
        <v>647.0</v>
      </c>
      <c r="J357" s="37">
        <v>367.0</v>
      </c>
      <c r="K357" s="37">
        <v>280.0</v>
      </c>
      <c r="L357" s="37">
        <v>1701.0</v>
      </c>
      <c r="M357" s="37">
        <v>3188.0</v>
      </c>
      <c r="N357" s="37">
        <v>1455.0</v>
      </c>
      <c r="O357" s="37">
        <v>1300.0</v>
      </c>
      <c r="P357" s="37">
        <v>155.0</v>
      </c>
      <c r="Q357" s="37">
        <v>1733.0</v>
      </c>
      <c r="R357" s="38">
        <v>27.5553663</v>
      </c>
      <c r="S357" s="38">
        <v>15.6303237</v>
      </c>
      <c r="T357" s="38">
        <v>11.9250426</v>
      </c>
      <c r="U357" s="38">
        <v>72.4446337</v>
      </c>
      <c r="V357" s="38">
        <v>45.6398996</v>
      </c>
      <c r="W357" s="38">
        <v>40.7779172</v>
      </c>
      <c r="X357" s="38">
        <v>4.8619824</v>
      </c>
      <c r="Y357" s="38">
        <v>54.3601004</v>
      </c>
    </row>
    <row r="358" ht="15.0" hidden="1" customHeight="1">
      <c r="B358" s="30">
        <v>353.0</v>
      </c>
      <c r="C358" s="31" t="s">
        <v>21</v>
      </c>
      <c r="D358" s="31" t="s">
        <v>56</v>
      </c>
      <c r="E358" s="31" t="s">
        <v>127</v>
      </c>
      <c r="F358" s="31" t="s">
        <v>131</v>
      </c>
      <c r="G358" s="32" t="s">
        <v>15</v>
      </c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4"/>
      <c r="S358" s="34"/>
      <c r="T358" s="34"/>
      <c r="U358" s="34"/>
      <c r="V358" s="34"/>
      <c r="W358" s="34"/>
      <c r="X358" s="34"/>
      <c r="Y358" s="34"/>
    </row>
    <row r="359" ht="15.0" hidden="1" customHeight="1">
      <c r="B359" s="30">
        <v>354.0</v>
      </c>
      <c r="C359" s="31" t="s">
        <v>21</v>
      </c>
      <c r="D359" s="31" t="s">
        <v>56</v>
      </c>
      <c r="E359" s="31" t="s">
        <v>127</v>
      </c>
      <c r="F359" s="31" t="s">
        <v>131</v>
      </c>
      <c r="G359" s="32" t="s">
        <v>16</v>
      </c>
      <c r="H359" s="33">
        <v>2348.0</v>
      </c>
      <c r="I359" s="33">
        <v>647.0</v>
      </c>
      <c r="J359" s="33">
        <v>367.0</v>
      </c>
      <c r="K359" s="33">
        <v>280.0</v>
      </c>
      <c r="L359" s="33">
        <v>1701.0</v>
      </c>
      <c r="M359" s="33">
        <v>3188.0</v>
      </c>
      <c r="N359" s="33">
        <v>1455.0</v>
      </c>
      <c r="O359" s="33">
        <v>1300.0</v>
      </c>
      <c r="P359" s="33">
        <v>155.0</v>
      </c>
      <c r="Q359" s="33">
        <v>1733.0</v>
      </c>
      <c r="R359" s="34">
        <v>27.5553663</v>
      </c>
      <c r="S359" s="34">
        <v>15.6303237</v>
      </c>
      <c r="T359" s="34">
        <v>11.9250426</v>
      </c>
      <c r="U359" s="34">
        <v>72.4446337</v>
      </c>
      <c r="V359" s="34">
        <v>45.6398996</v>
      </c>
      <c r="W359" s="34">
        <v>40.7779172</v>
      </c>
      <c r="X359" s="34">
        <v>4.8619824</v>
      </c>
      <c r="Y359" s="34">
        <v>54.3601004</v>
      </c>
    </row>
    <row r="360" ht="15.0" hidden="1" customHeight="1">
      <c r="B360" s="26">
        <v>355.0</v>
      </c>
      <c r="C360" s="27" t="s">
        <v>19</v>
      </c>
      <c r="D360" s="40" t="s">
        <v>56</v>
      </c>
      <c r="E360" s="40" t="s">
        <v>132</v>
      </c>
      <c r="F360" s="40"/>
      <c r="G360" s="27" t="s">
        <v>132</v>
      </c>
      <c r="H360" s="28">
        <v>31288.0</v>
      </c>
      <c r="I360" s="28">
        <v>10369.0</v>
      </c>
      <c r="J360" s="28">
        <v>5743.0</v>
      </c>
      <c r="K360" s="28">
        <v>4626.0</v>
      </c>
      <c r="L360" s="28">
        <v>20919.0</v>
      </c>
      <c r="M360" s="28">
        <v>42289.0</v>
      </c>
      <c r="N360" s="28">
        <v>21947.0</v>
      </c>
      <c r="O360" s="28">
        <v>18991.0</v>
      </c>
      <c r="P360" s="28">
        <v>2956.0</v>
      </c>
      <c r="Q360" s="28">
        <v>20342.0</v>
      </c>
      <c r="R360" s="29">
        <v>33.1405012</v>
      </c>
      <c r="S360" s="29">
        <v>18.35528</v>
      </c>
      <c r="T360" s="29">
        <v>14.7852212</v>
      </c>
      <c r="U360" s="29">
        <v>66.8594988</v>
      </c>
      <c r="V360" s="29">
        <v>51.8976566</v>
      </c>
      <c r="W360" s="29">
        <v>44.9076592</v>
      </c>
      <c r="X360" s="29">
        <v>6.9899974</v>
      </c>
      <c r="Y360" s="29">
        <v>48.1023434</v>
      </c>
    </row>
    <row r="361" ht="15.0" hidden="1" customHeight="1">
      <c r="B361" s="30">
        <v>356.0</v>
      </c>
      <c r="C361" s="31" t="s">
        <v>19</v>
      </c>
      <c r="D361" s="31" t="s">
        <v>56</v>
      </c>
      <c r="E361" s="31" t="s">
        <v>132</v>
      </c>
      <c r="F361" s="31"/>
      <c r="G361" s="32" t="s">
        <v>15</v>
      </c>
      <c r="H361" s="33">
        <v>8433.0</v>
      </c>
      <c r="I361" s="33">
        <v>3712.0</v>
      </c>
      <c r="J361" s="33">
        <v>1982.0</v>
      </c>
      <c r="K361" s="33">
        <v>1730.0</v>
      </c>
      <c r="L361" s="33">
        <v>4721.0</v>
      </c>
      <c r="M361" s="33">
        <v>12480.0</v>
      </c>
      <c r="N361" s="33">
        <v>7928.0</v>
      </c>
      <c r="O361" s="33">
        <v>6961.0</v>
      </c>
      <c r="P361" s="33">
        <v>967.0</v>
      </c>
      <c r="Q361" s="33">
        <v>4552.0</v>
      </c>
      <c r="R361" s="34">
        <v>44.0175501</v>
      </c>
      <c r="S361" s="34">
        <v>23.5029053</v>
      </c>
      <c r="T361" s="34">
        <v>20.5146448</v>
      </c>
      <c r="U361" s="34">
        <v>55.9824499</v>
      </c>
      <c r="V361" s="34">
        <v>63.525641</v>
      </c>
      <c r="W361" s="34">
        <v>55.7772436</v>
      </c>
      <c r="X361" s="34">
        <v>7.7483974</v>
      </c>
      <c r="Y361" s="34">
        <v>36.474359</v>
      </c>
    </row>
    <row r="362" ht="15.0" hidden="1" customHeight="1">
      <c r="B362" s="30">
        <v>357.0</v>
      </c>
      <c r="C362" s="31" t="s">
        <v>19</v>
      </c>
      <c r="D362" s="31" t="s">
        <v>56</v>
      </c>
      <c r="E362" s="31" t="s">
        <v>132</v>
      </c>
      <c r="F362" s="31"/>
      <c r="G362" s="32" t="s">
        <v>16</v>
      </c>
      <c r="H362" s="33">
        <v>22855.0</v>
      </c>
      <c r="I362" s="33">
        <v>6657.0</v>
      </c>
      <c r="J362" s="33">
        <v>3761.0</v>
      </c>
      <c r="K362" s="33">
        <v>2896.0</v>
      </c>
      <c r="L362" s="33">
        <v>16198.0</v>
      </c>
      <c r="M362" s="33">
        <v>29809.0</v>
      </c>
      <c r="N362" s="33">
        <v>14019.0</v>
      </c>
      <c r="O362" s="33">
        <v>12030.0</v>
      </c>
      <c r="P362" s="33">
        <v>1989.0</v>
      </c>
      <c r="Q362" s="33">
        <v>15790.0</v>
      </c>
      <c r="R362" s="34">
        <v>29.1271057</v>
      </c>
      <c r="S362" s="34">
        <v>16.4559177</v>
      </c>
      <c r="T362" s="34">
        <v>12.6711879</v>
      </c>
      <c r="U362" s="34">
        <v>70.8728943</v>
      </c>
      <c r="V362" s="34">
        <v>47.0294206</v>
      </c>
      <c r="W362" s="34">
        <v>40.3569392</v>
      </c>
      <c r="X362" s="34">
        <v>6.6724815</v>
      </c>
      <c r="Y362" s="34">
        <v>52.9705794</v>
      </c>
    </row>
    <row r="363" ht="15.0" customHeight="1">
      <c r="B363" s="35">
        <v>358.0</v>
      </c>
      <c r="C363" s="36" t="s">
        <v>21</v>
      </c>
      <c r="D363" s="41" t="s">
        <v>56</v>
      </c>
      <c r="E363" s="41" t="s">
        <v>132</v>
      </c>
      <c r="F363" s="41" t="s">
        <v>133</v>
      </c>
      <c r="G363" s="42" t="s">
        <v>133</v>
      </c>
      <c r="H363" s="37">
        <v>9420.0</v>
      </c>
      <c r="I363" s="37">
        <v>1977.0</v>
      </c>
      <c r="J363" s="37">
        <v>1202.0</v>
      </c>
      <c r="K363" s="37">
        <v>775.0</v>
      </c>
      <c r="L363" s="37">
        <v>7443.0</v>
      </c>
      <c r="M363" s="37">
        <v>12627.0</v>
      </c>
      <c r="N363" s="37">
        <v>5723.0</v>
      </c>
      <c r="O363" s="37">
        <v>4887.0</v>
      </c>
      <c r="P363" s="37">
        <v>836.0</v>
      </c>
      <c r="Q363" s="37">
        <v>6904.0</v>
      </c>
      <c r="R363" s="38">
        <v>20.9872611</v>
      </c>
      <c r="S363" s="38">
        <v>12.7600849</v>
      </c>
      <c r="T363" s="38">
        <v>8.2271762</v>
      </c>
      <c r="U363" s="38">
        <v>79.0127389</v>
      </c>
      <c r="V363" s="38">
        <v>45.3235131</v>
      </c>
      <c r="W363" s="38">
        <v>38.7027798</v>
      </c>
      <c r="X363" s="38">
        <v>6.6207333</v>
      </c>
      <c r="Y363" s="38">
        <v>54.6764869</v>
      </c>
    </row>
    <row r="364" ht="15.0" hidden="1" customHeight="1">
      <c r="B364" s="30">
        <v>359.0</v>
      </c>
      <c r="C364" s="31" t="s">
        <v>21</v>
      </c>
      <c r="D364" s="31" t="s">
        <v>56</v>
      </c>
      <c r="E364" s="31" t="s">
        <v>132</v>
      </c>
      <c r="F364" s="31" t="s">
        <v>133</v>
      </c>
      <c r="G364" s="32" t="s">
        <v>15</v>
      </c>
      <c r="H364" s="33">
        <v>3024.0</v>
      </c>
      <c r="I364" s="33">
        <v>817.0</v>
      </c>
      <c r="J364" s="33">
        <v>518.0</v>
      </c>
      <c r="K364" s="33">
        <v>299.0</v>
      </c>
      <c r="L364" s="33">
        <v>2207.0</v>
      </c>
      <c r="M364" s="33">
        <v>3749.0</v>
      </c>
      <c r="N364" s="33">
        <v>2064.0</v>
      </c>
      <c r="O364" s="33">
        <v>1854.0</v>
      </c>
      <c r="P364" s="33">
        <v>210.0</v>
      </c>
      <c r="Q364" s="33">
        <v>1685.0</v>
      </c>
      <c r="R364" s="34">
        <v>27.0171958</v>
      </c>
      <c r="S364" s="34">
        <v>17.1296296</v>
      </c>
      <c r="T364" s="34">
        <v>9.8875661</v>
      </c>
      <c r="U364" s="34">
        <v>72.9828042</v>
      </c>
      <c r="V364" s="34">
        <v>55.0546812</v>
      </c>
      <c r="W364" s="34">
        <v>49.4531875</v>
      </c>
      <c r="X364" s="34">
        <v>5.6014937</v>
      </c>
      <c r="Y364" s="34">
        <v>44.9453188</v>
      </c>
    </row>
    <row r="365" ht="15.0" hidden="1" customHeight="1">
      <c r="B365" s="30">
        <v>360.0</v>
      </c>
      <c r="C365" s="31" t="s">
        <v>21</v>
      </c>
      <c r="D365" s="31" t="s">
        <v>56</v>
      </c>
      <c r="E365" s="31" t="s">
        <v>132</v>
      </c>
      <c r="F365" s="31" t="s">
        <v>133</v>
      </c>
      <c r="G365" s="32" t="s">
        <v>16</v>
      </c>
      <c r="H365" s="33">
        <v>6396.0</v>
      </c>
      <c r="I365" s="33">
        <v>1160.0</v>
      </c>
      <c r="J365" s="33">
        <v>684.0</v>
      </c>
      <c r="K365" s="33">
        <v>476.0</v>
      </c>
      <c r="L365" s="33">
        <v>5236.0</v>
      </c>
      <c r="M365" s="33">
        <v>8878.0</v>
      </c>
      <c r="N365" s="33">
        <v>3659.0</v>
      </c>
      <c r="O365" s="33">
        <v>3033.0</v>
      </c>
      <c r="P365" s="33">
        <v>626.0</v>
      </c>
      <c r="Q365" s="33">
        <v>5219.0</v>
      </c>
      <c r="R365" s="34">
        <v>18.1363352</v>
      </c>
      <c r="S365" s="34">
        <v>10.6941839</v>
      </c>
      <c r="T365" s="34">
        <v>7.4421513</v>
      </c>
      <c r="U365" s="34">
        <v>81.8636648</v>
      </c>
      <c r="V365" s="34">
        <v>41.2142374</v>
      </c>
      <c r="W365" s="34">
        <v>34.1630998</v>
      </c>
      <c r="X365" s="34">
        <v>7.0511376</v>
      </c>
      <c r="Y365" s="34">
        <v>58.7857626</v>
      </c>
    </row>
    <row r="366" ht="15.0" customHeight="1">
      <c r="B366" s="35">
        <v>361.0</v>
      </c>
      <c r="C366" s="36" t="s">
        <v>21</v>
      </c>
      <c r="D366" s="41" t="s">
        <v>56</v>
      </c>
      <c r="E366" s="41" t="s">
        <v>132</v>
      </c>
      <c r="F366" s="41" t="s">
        <v>134</v>
      </c>
      <c r="G366" s="42" t="s">
        <v>134</v>
      </c>
      <c r="H366" s="37">
        <v>3249.0</v>
      </c>
      <c r="I366" s="37">
        <v>1161.0</v>
      </c>
      <c r="J366" s="37">
        <v>529.0</v>
      </c>
      <c r="K366" s="37">
        <v>632.0</v>
      </c>
      <c r="L366" s="37">
        <v>2088.0</v>
      </c>
      <c r="M366" s="37">
        <v>3921.0</v>
      </c>
      <c r="N366" s="37">
        <v>2111.0</v>
      </c>
      <c r="O366" s="37">
        <v>1826.0</v>
      </c>
      <c r="P366" s="37">
        <v>285.0</v>
      </c>
      <c r="Q366" s="37">
        <v>1810.0</v>
      </c>
      <c r="R366" s="38">
        <v>35.734072</v>
      </c>
      <c r="S366" s="38">
        <v>16.2819329</v>
      </c>
      <c r="T366" s="38">
        <v>19.4521391</v>
      </c>
      <c r="U366" s="38">
        <v>64.265928</v>
      </c>
      <c r="V366" s="38">
        <v>53.8383066</v>
      </c>
      <c r="W366" s="38">
        <v>46.5697526</v>
      </c>
      <c r="X366" s="38">
        <v>7.2685539</v>
      </c>
      <c r="Y366" s="38">
        <v>46.1616934</v>
      </c>
    </row>
    <row r="367" ht="15.0" hidden="1" customHeight="1">
      <c r="B367" s="30">
        <v>362.0</v>
      </c>
      <c r="C367" s="31" t="s">
        <v>21</v>
      </c>
      <c r="D367" s="31" t="s">
        <v>56</v>
      </c>
      <c r="E367" s="31" t="s">
        <v>132</v>
      </c>
      <c r="F367" s="31" t="s">
        <v>134</v>
      </c>
      <c r="G367" s="32" t="s">
        <v>15</v>
      </c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4"/>
      <c r="S367" s="34"/>
      <c r="T367" s="34"/>
      <c r="U367" s="34"/>
      <c r="V367" s="34"/>
      <c r="W367" s="34"/>
      <c r="X367" s="34"/>
      <c r="Y367" s="34"/>
    </row>
    <row r="368" ht="15.0" hidden="1" customHeight="1">
      <c r="B368" s="30">
        <v>363.0</v>
      </c>
      <c r="C368" s="31" t="s">
        <v>21</v>
      </c>
      <c r="D368" s="31" t="s">
        <v>56</v>
      </c>
      <c r="E368" s="31" t="s">
        <v>132</v>
      </c>
      <c r="F368" s="31" t="s">
        <v>134</v>
      </c>
      <c r="G368" s="32" t="s">
        <v>16</v>
      </c>
      <c r="H368" s="33">
        <v>3249.0</v>
      </c>
      <c r="I368" s="33">
        <v>1161.0</v>
      </c>
      <c r="J368" s="33">
        <v>529.0</v>
      </c>
      <c r="K368" s="33">
        <v>632.0</v>
      </c>
      <c r="L368" s="33">
        <v>2088.0</v>
      </c>
      <c r="M368" s="33">
        <v>3921.0</v>
      </c>
      <c r="N368" s="33">
        <v>2111.0</v>
      </c>
      <c r="O368" s="33">
        <v>1826.0</v>
      </c>
      <c r="P368" s="33">
        <v>285.0</v>
      </c>
      <c r="Q368" s="33">
        <v>1810.0</v>
      </c>
      <c r="R368" s="34">
        <v>35.734072</v>
      </c>
      <c r="S368" s="34">
        <v>16.2819329</v>
      </c>
      <c r="T368" s="34">
        <v>19.4521391</v>
      </c>
      <c r="U368" s="34">
        <v>64.265928</v>
      </c>
      <c r="V368" s="34">
        <v>53.8383066</v>
      </c>
      <c r="W368" s="34">
        <v>46.5697526</v>
      </c>
      <c r="X368" s="34">
        <v>7.2685539</v>
      </c>
      <c r="Y368" s="34">
        <v>46.1616934</v>
      </c>
    </row>
    <row r="369" ht="15.0" customHeight="1">
      <c r="B369" s="35">
        <v>364.0</v>
      </c>
      <c r="C369" s="36" t="s">
        <v>21</v>
      </c>
      <c r="D369" s="41" t="s">
        <v>56</v>
      </c>
      <c r="E369" s="41" t="s">
        <v>132</v>
      </c>
      <c r="F369" s="41" t="s">
        <v>135</v>
      </c>
      <c r="G369" s="42" t="s">
        <v>135</v>
      </c>
      <c r="H369" s="37">
        <v>2823.0</v>
      </c>
      <c r="I369" s="37">
        <v>571.0</v>
      </c>
      <c r="J369" s="37">
        <v>323.0</v>
      </c>
      <c r="K369" s="37">
        <v>248.0</v>
      </c>
      <c r="L369" s="37">
        <v>2252.0</v>
      </c>
      <c r="M369" s="37">
        <v>4794.0</v>
      </c>
      <c r="N369" s="37">
        <v>1629.0</v>
      </c>
      <c r="O369" s="37">
        <v>1448.0</v>
      </c>
      <c r="P369" s="37">
        <v>181.0</v>
      </c>
      <c r="Q369" s="37">
        <v>3165.0</v>
      </c>
      <c r="R369" s="38">
        <v>20.2267092</v>
      </c>
      <c r="S369" s="38">
        <v>11.4417287</v>
      </c>
      <c r="T369" s="38">
        <v>8.7849805</v>
      </c>
      <c r="U369" s="38">
        <v>79.7732908</v>
      </c>
      <c r="V369" s="38">
        <v>33.979975</v>
      </c>
      <c r="W369" s="38">
        <v>30.2044222</v>
      </c>
      <c r="X369" s="38">
        <v>3.7755528</v>
      </c>
      <c r="Y369" s="38">
        <v>66.020025</v>
      </c>
    </row>
    <row r="370" ht="15.0" hidden="1" customHeight="1">
      <c r="B370" s="30">
        <v>365.0</v>
      </c>
      <c r="C370" s="31" t="s">
        <v>21</v>
      </c>
      <c r="D370" s="31" t="s">
        <v>56</v>
      </c>
      <c r="E370" s="31" t="s">
        <v>132</v>
      </c>
      <c r="F370" s="31" t="s">
        <v>135</v>
      </c>
      <c r="G370" s="32" t="s">
        <v>15</v>
      </c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4"/>
      <c r="S370" s="34"/>
      <c r="T370" s="34"/>
      <c r="U370" s="34"/>
      <c r="V370" s="34"/>
      <c r="W370" s="34"/>
      <c r="X370" s="34"/>
      <c r="Y370" s="34"/>
    </row>
    <row r="371" ht="15.0" hidden="1" customHeight="1">
      <c r="B371" s="30">
        <v>366.0</v>
      </c>
      <c r="C371" s="31" t="s">
        <v>21</v>
      </c>
      <c r="D371" s="31" t="s">
        <v>56</v>
      </c>
      <c r="E371" s="31" t="s">
        <v>132</v>
      </c>
      <c r="F371" s="31" t="s">
        <v>135</v>
      </c>
      <c r="G371" s="32" t="s">
        <v>16</v>
      </c>
      <c r="H371" s="33">
        <v>2823.0</v>
      </c>
      <c r="I371" s="33">
        <v>571.0</v>
      </c>
      <c r="J371" s="33">
        <v>323.0</v>
      </c>
      <c r="K371" s="33">
        <v>248.0</v>
      </c>
      <c r="L371" s="33">
        <v>2252.0</v>
      </c>
      <c r="M371" s="33">
        <v>4794.0</v>
      </c>
      <c r="N371" s="33">
        <v>1629.0</v>
      </c>
      <c r="O371" s="33">
        <v>1448.0</v>
      </c>
      <c r="P371" s="33">
        <v>181.0</v>
      </c>
      <c r="Q371" s="33">
        <v>3165.0</v>
      </c>
      <c r="R371" s="34">
        <v>20.2267092</v>
      </c>
      <c r="S371" s="34">
        <v>11.4417287</v>
      </c>
      <c r="T371" s="34">
        <v>8.7849805</v>
      </c>
      <c r="U371" s="34">
        <v>79.7732908</v>
      </c>
      <c r="V371" s="34">
        <v>33.979975</v>
      </c>
      <c r="W371" s="34">
        <v>30.2044222</v>
      </c>
      <c r="X371" s="34">
        <v>3.7755528</v>
      </c>
      <c r="Y371" s="34">
        <v>66.020025</v>
      </c>
    </row>
    <row r="372" ht="15.0" customHeight="1">
      <c r="B372" s="35">
        <v>367.0</v>
      </c>
      <c r="C372" s="36" t="s">
        <v>21</v>
      </c>
      <c r="D372" s="41" t="s">
        <v>56</v>
      </c>
      <c r="E372" s="41" t="s">
        <v>132</v>
      </c>
      <c r="F372" s="41" t="s">
        <v>136</v>
      </c>
      <c r="G372" s="42" t="s">
        <v>136</v>
      </c>
      <c r="H372" s="37">
        <v>3827.0</v>
      </c>
      <c r="I372" s="37">
        <v>1034.0</v>
      </c>
      <c r="J372" s="37">
        <v>621.0</v>
      </c>
      <c r="K372" s="37">
        <v>413.0</v>
      </c>
      <c r="L372" s="37">
        <v>2793.0</v>
      </c>
      <c r="M372" s="37">
        <v>5467.0</v>
      </c>
      <c r="N372" s="37">
        <v>2769.0</v>
      </c>
      <c r="O372" s="37">
        <v>2467.0</v>
      </c>
      <c r="P372" s="37">
        <v>302.0</v>
      </c>
      <c r="Q372" s="37">
        <v>2698.0</v>
      </c>
      <c r="R372" s="38">
        <v>27.0185524</v>
      </c>
      <c r="S372" s="38">
        <v>16.2268095</v>
      </c>
      <c r="T372" s="38">
        <v>10.7917429</v>
      </c>
      <c r="U372" s="38">
        <v>72.9814476</v>
      </c>
      <c r="V372" s="38">
        <v>50.6493506</v>
      </c>
      <c r="W372" s="38">
        <v>45.1252972</v>
      </c>
      <c r="X372" s="38">
        <v>5.5240534</v>
      </c>
      <c r="Y372" s="38">
        <v>49.3506494</v>
      </c>
    </row>
    <row r="373" ht="15.0" hidden="1" customHeight="1">
      <c r="B373" s="30">
        <v>368.0</v>
      </c>
      <c r="C373" s="31" t="s">
        <v>21</v>
      </c>
      <c r="D373" s="31" t="s">
        <v>56</v>
      </c>
      <c r="E373" s="31" t="s">
        <v>132</v>
      </c>
      <c r="F373" s="31" t="s">
        <v>136</v>
      </c>
      <c r="G373" s="32" t="s">
        <v>15</v>
      </c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4"/>
      <c r="S373" s="34"/>
      <c r="T373" s="34"/>
      <c r="U373" s="34"/>
      <c r="V373" s="34"/>
      <c r="W373" s="34"/>
      <c r="X373" s="34"/>
      <c r="Y373" s="34"/>
    </row>
    <row r="374" ht="15.0" hidden="1" customHeight="1">
      <c r="B374" s="30">
        <v>369.0</v>
      </c>
      <c r="C374" s="31" t="s">
        <v>21</v>
      </c>
      <c r="D374" s="31" t="s">
        <v>56</v>
      </c>
      <c r="E374" s="31" t="s">
        <v>132</v>
      </c>
      <c r="F374" s="31" t="s">
        <v>136</v>
      </c>
      <c r="G374" s="32" t="s">
        <v>16</v>
      </c>
      <c r="H374" s="33">
        <v>3827.0</v>
      </c>
      <c r="I374" s="33">
        <v>1034.0</v>
      </c>
      <c r="J374" s="33">
        <v>621.0</v>
      </c>
      <c r="K374" s="33">
        <v>413.0</v>
      </c>
      <c r="L374" s="33">
        <v>2793.0</v>
      </c>
      <c r="M374" s="33">
        <v>5467.0</v>
      </c>
      <c r="N374" s="33">
        <v>2769.0</v>
      </c>
      <c r="O374" s="33">
        <v>2467.0</v>
      </c>
      <c r="P374" s="33">
        <v>302.0</v>
      </c>
      <c r="Q374" s="33">
        <v>2698.0</v>
      </c>
      <c r="R374" s="34">
        <v>27.0185524</v>
      </c>
      <c r="S374" s="34">
        <v>16.2268095</v>
      </c>
      <c r="T374" s="34">
        <v>10.7917429</v>
      </c>
      <c r="U374" s="34">
        <v>72.9814476</v>
      </c>
      <c r="V374" s="34">
        <v>50.6493506</v>
      </c>
      <c r="W374" s="34">
        <v>45.1252972</v>
      </c>
      <c r="X374" s="34">
        <v>5.5240534</v>
      </c>
      <c r="Y374" s="34">
        <v>49.3506494</v>
      </c>
    </row>
    <row r="375" ht="15.0" customHeight="1">
      <c r="B375" s="35">
        <v>370.0</v>
      </c>
      <c r="C375" s="36" t="s">
        <v>21</v>
      </c>
      <c r="D375" s="41" t="s">
        <v>56</v>
      </c>
      <c r="E375" s="41" t="s">
        <v>132</v>
      </c>
      <c r="F375" s="41" t="s">
        <v>137</v>
      </c>
      <c r="G375" s="42" t="s">
        <v>137</v>
      </c>
      <c r="H375" s="37">
        <v>7497.0</v>
      </c>
      <c r="I375" s="37">
        <v>4090.0</v>
      </c>
      <c r="J375" s="37">
        <v>2077.0</v>
      </c>
      <c r="K375" s="37">
        <v>2013.0</v>
      </c>
      <c r="L375" s="37">
        <v>3407.0</v>
      </c>
      <c r="M375" s="37">
        <v>9347.0</v>
      </c>
      <c r="N375" s="37">
        <v>6364.0</v>
      </c>
      <c r="O375" s="37">
        <v>5638.0</v>
      </c>
      <c r="P375" s="37">
        <v>726.0</v>
      </c>
      <c r="Q375" s="37">
        <v>2983.0</v>
      </c>
      <c r="R375" s="38">
        <v>54.5551554</v>
      </c>
      <c r="S375" s="38">
        <v>27.7044151</v>
      </c>
      <c r="T375" s="38">
        <v>26.8507403</v>
      </c>
      <c r="U375" s="38">
        <v>45.4448446</v>
      </c>
      <c r="V375" s="38">
        <v>68.0860169</v>
      </c>
      <c r="W375" s="38">
        <v>60.3188189</v>
      </c>
      <c r="X375" s="38">
        <v>7.767198</v>
      </c>
      <c r="Y375" s="38">
        <v>31.9139831</v>
      </c>
    </row>
    <row r="376" ht="15.0" hidden="1" customHeight="1">
      <c r="B376" s="30">
        <v>371.0</v>
      </c>
      <c r="C376" s="31" t="s">
        <v>21</v>
      </c>
      <c r="D376" s="31" t="s">
        <v>56</v>
      </c>
      <c r="E376" s="31" t="s">
        <v>132</v>
      </c>
      <c r="F376" s="31" t="s">
        <v>137</v>
      </c>
      <c r="G376" s="32" t="s">
        <v>15</v>
      </c>
      <c r="H376" s="33">
        <v>3794.0</v>
      </c>
      <c r="I376" s="33">
        <v>2243.0</v>
      </c>
      <c r="J376" s="33">
        <v>1077.0</v>
      </c>
      <c r="K376" s="33">
        <v>1166.0</v>
      </c>
      <c r="L376" s="33">
        <v>1551.0</v>
      </c>
      <c r="M376" s="33">
        <v>5100.0</v>
      </c>
      <c r="N376" s="33">
        <v>3927.0</v>
      </c>
      <c r="O376" s="33">
        <v>3551.0</v>
      </c>
      <c r="P376" s="33">
        <v>376.0</v>
      </c>
      <c r="Q376" s="33">
        <v>1173.0</v>
      </c>
      <c r="R376" s="34">
        <v>59.1196626</v>
      </c>
      <c r="S376" s="34">
        <v>28.3869267</v>
      </c>
      <c r="T376" s="34">
        <v>30.7327359</v>
      </c>
      <c r="U376" s="34">
        <v>40.8803374</v>
      </c>
      <c r="V376" s="34">
        <v>77.0</v>
      </c>
      <c r="W376" s="34">
        <v>69.627451</v>
      </c>
      <c r="X376" s="34">
        <v>7.372549</v>
      </c>
      <c r="Y376" s="34">
        <v>23.0</v>
      </c>
    </row>
    <row r="377" ht="15.0" hidden="1" customHeight="1">
      <c r="B377" s="30">
        <v>372.0</v>
      </c>
      <c r="C377" s="31" t="s">
        <v>21</v>
      </c>
      <c r="D377" s="31" t="s">
        <v>56</v>
      </c>
      <c r="E377" s="31" t="s">
        <v>132</v>
      </c>
      <c r="F377" s="31" t="s">
        <v>137</v>
      </c>
      <c r="G377" s="32" t="s">
        <v>16</v>
      </c>
      <c r="H377" s="33">
        <v>3703.0</v>
      </c>
      <c r="I377" s="33">
        <v>1847.0</v>
      </c>
      <c r="J377" s="33">
        <v>1000.0</v>
      </c>
      <c r="K377" s="33">
        <v>847.0</v>
      </c>
      <c r="L377" s="33">
        <v>1856.0</v>
      </c>
      <c r="M377" s="33">
        <v>4247.0</v>
      </c>
      <c r="N377" s="33">
        <v>2437.0</v>
      </c>
      <c r="O377" s="33">
        <v>2087.0</v>
      </c>
      <c r="P377" s="33">
        <v>350.0</v>
      </c>
      <c r="Q377" s="33">
        <v>1810.0</v>
      </c>
      <c r="R377" s="34">
        <v>49.8784769</v>
      </c>
      <c r="S377" s="34">
        <v>27.005131</v>
      </c>
      <c r="T377" s="34">
        <v>22.8733459</v>
      </c>
      <c r="U377" s="34">
        <v>50.1215231</v>
      </c>
      <c r="V377" s="34">
        <v>57.3816812</v>
      </c>
      <c r="W377" s="34">
        <v>49.1405698</v>
      </c>
      <c r="X377" s="34">
        <v>8.2411114</v>
      </c>
      <c r="Y377" s="34">
        <v>42.6183188</v>
      </c>
    </row>
    <row r="378" ht="15.0" customHeight="1">
      <c r="B378" s="35">
        <v>373.0</v>
      </c>
      <c r="C378" s="36" t="s">
        <v>21</v>
      </c>
      <c r="D378" s="41" t="s">
        <v>56</v>
      </c>
      <c r="E378" s="41" t="s">
        <v>132</v>
      </c>
      <c r="F378" s="41" t="s">
        <v>138</v>
      </c>
      <c r="G378" s="42" t="s">
        <v>138</v>
      </c>
      <c r="H378" s="37">
        <v>3200.0</v>
      </c>
      <c r="I378" s="37">
        <v>906.0</v>
      </c>
      <c r="J378" s="37">
        <v>611.0</v>
      </c>
      <c r="K378" s="37">
        <v>295.0</v>
      </c>
      <c r="L378" s="37">
        <v>2294.0</v>
      </c>
      <c r="M378" s="37">
        <v>4480.0</v>
      </c>
      <c r="N378" s="37">
        <v>2265.0</v>
      </c>
      <c r="O378" s="37">
        <v>1926.0</v>
      </c>
      <c r="P378" s="37">
        <v>339.0</v>
      </c>
      <c r="Q378" s="37">
        <v>2215.0</v>
      </c>
      <c r="R378" s="38">
        <v>28.3125</v>
      </c>
      <c r="S378" s="38">
        <v>19.09375</v>
      </c>
      <c r="T378" s="38">
        <v>9.21875</v>
      </c>
      <c r="U378" s="38">
        <v>71.6875</v>
      </c>
      <c r="V378" s="38">
        <v>50.5580357</v>
      </c>
      <c r="W378" s="38">
        <v>42.9910714</v>
      </c>
      <c r="X378" s="38">
        <v>7.5669643</v>
      </c>
      <c r="Y378" s="38">
        <v>49.4419643</v>
      </c>
    </row>
    <row r="379" ht="15.0" hidden="1" customHeight="1">
      <c r="B379" s="30">
        <v>374.0</v>
      </c>
      <c r="C379" s="31" t="s">
        <v>21</v>
      </c>
      <c r="D379" s="31" t="s">
        <v>56</v>
      </c>
      <c r="E379" s="31" t="s">
        <v>132</v>
      </c>
      <c r="F379" s="31" t="s">
        <v>138</v>
      </c>
      <c r="G379" s="32" t="s">
        <v>15</v>
      </c>
      <c r="H379" s="33">
        <v>892.0</v>
      </c>
      <c r="I379" s="33">
        <v>218.0</v>
      </c>
      <c r="J379" s="33">
        <v>158.0</v>
      </c>
      <c r="K379" s="33">
        <v>60.0</v>
      </c>
      <c r="L379" s="33">
        <v>674.0</v>
      </c>
      <c r="M379" s="33">
        <v>2627.0</v>
      </c>
      <c r="N379" s="33">
        <v>1197.0</v>
      </c>
      <c r="O379" s="33">
        <v>1008.0</v>
      </c>
      <c r="P379" s="33">
        <v>189.0</v>
      </c>
      <c r="Q379" s="33">
        <v>1430.0</v>
      </c>
      <c r="R379" s="34">
        <v>24.4394619</v>
      </c>
      <c r="S379" s="34">
        <v>17.7130045</v>
      </c>
      <c r="T379" s="34">
        <v>6.7264574</v>
      </c>
      <c r="U379" s="34">
        <v>75.5605381</v>
      </c>
      <c r="V379" s="34">
        <v>45.5652836</v>
      </c>
      <c r="W379" s="34">
        <v>38.3707651</v>
      </c>
      <c r="X379" s="34">
        <v>7.1945185</v>
      </c>
      <c r="Y379" s="34">
        <v>54.4347164</v>
      </c>
    </row>
    <row r="380" ht="15.0" hidden="1" customHeight="1">
      <c r="B380" s="30">
        <v>375.0</v>
      </c>
      <c r="C380" s="31" t="s">
        <v>21</v>
      </c>
      <c r="D380" s="31" t="s">
        <v>56</v>
      </c>
      <c r="E380" s="31" t="s">
        <v>132</v>
      </c>
      <c r="F380" s="31" t="s">
        <v>138</v>
      </c>
      <c r="G380" s="32" t="s">
        <v>16</v>
      </c>
      <c r="H380" s="33">
        <v>2308.0</v>
      </c>
      <c r="I380" s="33">
        <v>688.0</v>
      </c>
      <c r="J380" s="33">
        <v>453.0</v>
      </c>
      <c r="K380" s="33">
        <v>235.0</v>
      </c>
      <c r="L380" s="33">
        <v>1620.0</v>
      </c>
      <c r="M380" s="33">
        <v>1853.0</v>
      </c>
      <c r="N380" s="33">
        <v>1068.0</v>
      </c>
      <c r="O380" s="33">
        <v>918.0</v>
      </c>
      <c r="P380" s="33">
        <v>150.0</v>
      </c>
      <c r="Q380" s="33">
        <v>785.0</v>
      </c>
      <c r="R380" s="34">
        <v>29.8093588</v>
      </c>
      <c r="S380" s="34">
        <v>19.627383</v>
      </c>
      <c r="T380" s="34">
        <v>10.1819757</v>
      </c>
      <c r="U380" s="34">
        <v>70.1906412</v>
      </c>
      <c r="V380" s="34">
        <v>57.6362655</v>
      </c>
      <c r="W380" s="34">
        <v>49.5412844</v>
      </c>
      <c r="X380" s="34">
        <v>8.0949811</v>
      </c>
      <c r="Y380" s="34">
        <v>42.3637345</v>
      </c>
    </row>
    <row r="381" ht="15.0" customHeight="1">
      <c r="B381" s="35">
        <v>376.0</v>
      </c>
      <c r="C381" s="36" t="s">
        <v>21</v>
      </c>
      <c r="D381" s="41" t="s">
        <v>56</v>
      </c>
      <c r="E381" s="41" t="s">
        <v>132</v>
      </c>
      <c r="F381" s="41" t="s">
        <v>139</v>
      </c>
      <c r="G381" s="42" t="s">
        <v>139</v>
      </c>
      <c r="H381" s="37">
        <v>1272.0</v>
      </c>
      <c r="I381" s="37">
        <v>630.0</v>
      </c>
      <c r="J381" s="37">
        <v>380.0</v>
      </c>
      <c r="K381" s="37">
        <v>250.0</v>
      </c>
      <c r="L381" s="37">
        <v>642.0</v>
      </c>
      <c r="M381" s="37">
        <v>1653.0</v>
      </c>
      <c r="N381" s="37">
        <v>1086.0</v>
      </c>
      <c r="O381" s="37">
        <v>799.0</v>
      </c>
      <c r="P381" s="37">
        <v>287.0</v>
      </c>
      <c r="Q381" s="37">
        <v>567.0</v>
      </c>
      <c r="R381" s="38">
        <v>49.5283019</v>
      </c>
      <c r="S381" s="38">
        <v>29.8742138</v>
      </c>
      <c r="T381" s="38">
        <v>19.6540881</v>
      </c>
      <c r="U381" s="38">
        <v>50.4716981</v>
      </c>
      <c r="V381" s="38">
        <v>65.6987296</v>
      </c>
      <c r="W381" s="38">
        <v>48.3363581</v>
      </c>
      <c r="X381" s="38">
        <v>17.3623714</v>
      </c>
      <c r="Y381" s="38">
        <v>34.3012704</v>
      </c>
    </row>
    <row r="382" ht="15.0" hidden="1" customHeight="1">
      <c r="B382" s="30">
        <v>377.0</v>
      </c>
      <c r="C382" s="31" t="s">
        <v>21</v>
      </c>
      <c r="D382" s="31" t="s">
        <v>56</v>
      </c>
      <c r="E382" s="31" t="s">
        <v>132</v>
      </c>
      <c r="F382" s="31" t="s">
        <v>139</v>
      </c>
      <c r="G382" s="32" t="s">
        <v>15</v>
      </c>
      <c r="H382" s="33">
        <v>723.0</v>
      </c>
      <c r="I382" s="33">
        <v>434.0</v>
      </c>
      <c r="J382" s="33">
        <v>229.0</v>
      </c>
      <c r="K382" s="33">
        <v>205.0</v>
      </c>
      <c r="L382" s="33">
        <v>289.0</v>
      </c>
      <c r="M382" s="33">
        <v>1004.0</v>
      </c>
      <c r="N382" s="33">
        <v>740.0</v>
      </c>
      <c r="O382" s="33">
        <v>548.0</v>
      </c>
      <c r="P382" s="33">
        <v>192.0</v>
      </c>
      <c r="Q382" s="33">
        <v>264.0</v>
      </c>
      <c r="R382" s="34">
        <v>60.0276625</v>
      </c>
      <c r="S382" s="34">
        <v>31.6735823</v>
      </c>
      <c r="T382" s="34">
        <v>28.3540802</v>
      </c>
      <c r="U382" s="34">
        <v>39.9723375</v>
      </c>
      <c r="V382" s="34">
        <v>73.7051793</v>
      </c>
      <c r="W382" s="34">
        <v>54.5816733</v>
      </c>
      <c r="X382" s="34">
        <v>19.123506</v>
      </c>
      <c r="Y382" s="34">
        <v>26.2948207</v>
      </c>
    </row>
    <row r="383" ht="15.0" hidden="1" customHeight="1">
      <c r="B383" s="30">
        <v>378.0</v>
      </c>
      <c r="C383" s="31" t="s">
        <v>21</v>
      </c>
      <c r="D383" s="31" t="s">
        <v>56</v>
      </c>
      <c r="E383" s="31" t="s">
        <v>132</v>
      </c>
      <c r="F383" s="31" t="s">
        <v>139</v>
      </c>
      <c r="G383" s="32" t="s">
        <v>16</v>
      </c>
      <c r="H383" s="33">
        <v>549.0</v>
      </c>
      <c r="I383" s="33">
        <v>196.0</v>
      </c>
      <c r="J383" s="33">
        <v>151.0</v>
      </c>
      <c r="K383" s="33">
        <v>45.0</v>
      </c>
      <c r="L383" s="33">
        <v>353.0</v>
      </c>
      <c r="M383" s="33">
        <v>649.0</v>
      </c>
      <c r="N383" s="33">
        <v>346.0</v>
      </c>
      <c r="O383" s="33">
        <v>251.0</v>
      </c>
      <c r="P383" s="33">
        <v>95.0</v>
      </c>
      <c r="Q383" s="33">
        <v>303.0</v>
      </c>
      <c r="R383" s="34">
        <v>35.701275</v>
      </c>
      <c r="S383" s="34">
        <v>27.5045537</v>
      </c>
      <c r="T383" s="34">
        <v>8.1967213</v>
      </c>
      <c r="U383" s="34">
        <v>64.298725</v>
      </c>
      <c r="V383" s="34">
        <v>53.3127889</v>
      </c>
      <c r="W383" s="34">
        <v>38.6748844</v>
      </c>
      <c r="X383" s="34">
        <v>14.6379045</v>
      </c>
      <c r="Y383" s="34">
        <v>46.6872111</v>
      </c>
    </row>
    <row r="384" ht="15.0" hidden="1" customHeight="1">
      <c r="B384" s="26">
        <v>379.0</v>
      </c>
      <c r="C384" s="27" t="s">
        <v>19</v>
      </c>
      <c r="D384" s="40" t="s">
        <v>56</v>
      </c>
      <c r="E384" s="40" t="s">
        <v>140</v>
      </c>
      <c r="F384" s="40"/>
      <c r="G384" s="27" t="s">
        <v>140</v>
      </c>
      <c r="H384" s="28">
        <v>12376.0</v>
      </c>
      <c r="I384" s="28">
        <v>5960.0</v>
      </c>
      <c r="J384" s="28">
        <v>3528.0</v>
      </c>
      <c r="K384" s="28">
        <v>2432.0</v>
      </c>
      <c r="L384" s="28">
        <v>6416.0</v>
      </c>
      <c r="M384" s="28">
        <v>19289.0</v>
      </c>
      <c r="N384" s="28">
        <v>13177.0</v>
      </c>
      <c r="O384" s="28">
        <v>10745.0</v>
      </c>
      <c r="P384" s="28">
        <v>2432.0</v>
      </c>
      <c r="Q384" s="28">
        <v>6112.0</v>
      </c>
      <c r="R384" s="29">
        <v>48.1577246</v>
      </c>
      <c r="S384" s="29">
        <v>28.5067873</v>
      </c>
      <c r="T384" s="29">
        <v>19.6509373</v>
      </c>
      <c r="U384" s="29">
        <v>51.8422754</v>
      </c>
      <c r="V384" s="29">
        <v>68.3135466</v>
      </c>
      <c r="W384" s="29">
        <v>55.7053243</v>
      </c>
      <c r="X384" s="29">
        <v>12.6082223</v>
      </c>
      <c r="Y384" s="29">
        <v>31.6864534</v>
      </c>
    </row>
    <row r="385" ht="15.0" hidden="1" customHeight="1">
      <c r="B385" s="30">
        <v>380.0</v>
      </c>
      <c r="C385" s="31" t="s">
        <v>19</v>
      </c>
      <c r="D385" s="31" t="s">
        <v>56</v>
      </c>
      <c r="E385" s="31" t="s">
        <v>140</v>
      </c>
      <c r="F385" s="31"/>
      <c r="G385" s="32" t="s">
        <v>15</v>
      </c>
      <c r="H385" s="33">
        <v>844.0</v>
      </c>
      <c r="I385" s="33">
        <v>757.0</v>
      </c>
      <c r="J385" s="33">
        <v>472.0</v>
      </c>
      <c r="K385" s="33">
        <v>285.0</v>
      </c>
      <c r="L385" s="33">
        <v>87.0</v>
      </c>
      <c r="M385" s="33">
        <v>2274.0</v>
      </c>
      <c r="N385" s="33">
        <v>2128.0</v>
      </c>
      <c r="O385" s="33">
        <v>1686.0</v>
      </c>
      <c r="P385" s="33">
        <v>442.0</v>
      </c>
      <c r="Q385" s="33">
        <v>146.0</v>
      </c>
      <c r="R385" s="34">
        <v>89.6919431</v>
      </c>
      <c r="S385" s="34">
        <v>55.9241706</v>
      </c>
      <c r="T385" s="34">
        <v>33.7677725</v>
      </c>
      <c r="U385" s="34">
        <v>10.3080569</v>
      </c>
      <c r="V385" s="34">
        <v>93.5795954</v>
      </c>
      <c r="W385" s="34">
        <v>74.1424802</v>
      </c>
      <c r="X385" s="34">
        <v>19.4371152</v>
      </c>
      <c r="Y385" s="34">
        <v>6.4204046</v>
      </c>
    </row>
    <row r="386" ht="15.0" hidden="1" customHeight="1">
      <c r="B386" s="30">
        <v>381.0</v>
      </c>
      <c r="C386" s="31" t="s">
        <v>19</v>
      </c>
      <c r="D386" s="31" t="s">
        <v>56</v>
      </c>
      <c r="E386" s="31" t="s">
        <v>140</v>
      </c>
      <c r="F386" s="31"/>
      <c r="G386" s="32" t="s">
        <v>16</v>
      </c>
      <c r="H386" s="33">
        <v>11532.0</v>
      </c>
      <c r="I386" s="33">
        <v>5203.0</v>
      </c>
      <c r="J386" s="33">
        <v>3056.0</v>
      </c>
      <c r="K386" s="33">
        <v>2147.0</v>
      </c>
      <c r="L386" s="33">
        <v>6329.0</v>
      </c>
      <c r="M386" s="33">
        <v>17015.0</v>
      </c>
      <c r="N386" s="33">
        <v>11049.0</v>
      </c>
      <c r="O386" s="33">
        <v>9059.0</v>
      </c>
      <c r="P386" s="33">
        <v>1990.0</v>
      </c>
      <c r="Q386" s="33">
        <v>5966.0</v>
      </c>
      <c r="R386" s="34">
        <v>45.1179327</v>
      </c>
      <c r="S386" s="34">
        <v>26.5001734</v>
      </c>
      <c r="T386" s="34">
        <v>18.6177593</v>
      </c>
      <c r="U386" s="34">
        <v>54.8820673</v>
      </c>
      <c r="V386" s="34">
        <v>64.9368205</v>
      </c>
      <c r="W386" s="34">
        <v>53.2412577</v>
      </c>
      <c r="X386" s="34">
        <v>11.6955627</v>
      </c>
      <c r="Y386" s="34">
        <v>35.0631795</v>
      </c>
    </row>
    <row r="387" ht="15.0" customHeight="1">
      <c r="B387" s="35">
        <v>382.0</v>
      </c>
      <c r="C387" s="36" t="s">
        <v>21</v>
      </c>
      <c r="D387" s="41" t="s">
        <v>56</v>
      </c>
      <c r="E387" s="41" t="s">
        <v>140</v>
      </c>
      <c r="F387" s="41" t="s">
        <v>141</v>
      </c>
      <c r="G387" s="42" t="s">
        <v>141</v>
      </c>
      <c r="H387" s="37">
        <v>6996.0</v>
      </c>
      <c r="I387" s="37">
        <v>3354.0</v>
      </c>
      <c r="J387" s="37">
        <v>2096.0</v>
      </c>
      <c r="K387" s="37">
        <v>1258.0</v>
      </c>
      <c r="L387" s="37">
        <v>3642.0</v>
      </c>
      <c r="M387" s="37">
        <v>10376.0</v>
      </c>
      <c r="N387" s="37">
        <v>6557.0</v>
      </c>
      <c r="O387" s="37">
        <v>5448.0</v>
      </c>
      <c r="P387" s="37">
        <v>1109.0</v>
      </c>
      <c r="Q387" s="37">
        <v>3819.0</v>
      </c>
      <c r="R387" s="38">
        <v>47.941681</v>
      </c>
      <c r="S387" s="38">
        <v>29.9599771</v>
      </c>
      <c r="T387" s="38">
        <v>17.9817038</v>
      </c>
      <c r="U387" s="38">
        <v>52.058319</v>
      </c>
      <c r="V387" s="38">
        <v>63.193909</v>
      </c>
      <c r="W387" s="38">
        <v>52.5057826</v>
      </c>
      <c r="X387" s="38">
        <v>10.6881264</v>
      </c>
      <c r="Y387" s="38">
        <v>36.806091</v>
      </c>
    </row>
    <row r="388" ht="15.0" hidden="1" customHeight="1">
      <c r="B388" s="30">
        <v>383.0</v>
      </c>
      <c r="C388" s="31" t="s">
        <v>21</v>
      </c>
      <c r="D388" s="31" t="s">
        <v>56</v>
      </c>
      <c r="E388" s="31" t="s">
        <v>140</v>
      </c>
      <c r="F388" s="31" t="s">
        <v>141</v>
      </c>
      <c r="G388" s="32" t="s">
        <v>15</v>
      </c>
      <c r="H388" s="33">
        <v>844.0</v>
      </c>
      <c r="I388" s="33">
        <v>757.0</v>
      </c>
      <c r="J388" s="33">
        <v>472.0</v>
      </c>
      <c r="K388" s="33">
        <v>285.0</v>
      </c>
      <c r="L388" s="33">
        <v>87.0</v>
      </c>
      <c r="M388" s="33">
        <v>1091.0</v>
      </c>
      <c r="N388" s="33">
        <v>1010.0</v>
      </c>
      <c r="O388" s="33">
        <v>859.0</v>
      </c>
      <c r="P388" s="33">
        <v>151.0</v>
      </c>
      <c r="Q388" s="33">
        <v>81.0</v>
      </c>
      <c r="R388" s="34">
        <v>89.6919431</v>
      </c>
      <c r="S388" s="34">
        <v>55.9241706</v>
      </c>
      <c r="T388" s="34">
        <v>33.7677725</v>
      </c>
      <c r="U388" s="34">
        <v>10.3080569</v>
      </c>
      <c r="V388" s="34">
        <v>92.5756187</v>
      </c>
      <c r="W388" s="34">
        <v>78.7351054</v>
      </c>
      <c r="X388" s="34">
        <v>13.8405133</v>
      </c>
      <c r="Y388" s="34">
        <v>7.4243813</v>
      </c>
    </row>
    <row r="389" ht="15.0" hidden="1" customHeight="1">
      <c r="B389" s="30">
        <v>384.0</v>
      </c>
      <c r="C389" s="31" t="s">
        <v>21</v>
      </c>
      <c r="D389" s="31" t="s">
        <v>56</v>
      </c>
      <c r="E389" s="31" t="s">
        <v>140</v>
      </c>
      <c r="F389" s="31" t="s">
        <v>141</v>
      </c>
      <c r="G389" s="32" t="s">
        <v>16</v>
      </c>
      <c r="H389" s="33">
        <v>6152.0</v>
      </c>
      <c r="I389" s="33">
        <v>2597.0</v>
      </c>
      <c r="J389" s="33">
        <v>1624.0</v>
      </c>
      <c r="K389" s="33">
        <v>973.0</v>
      </c>
      <c r="L389" s="33">
        <v>3555.0</v>
      </c>
      <c r="M389" s="33">
        <v>9285.0</v>
      </c>
      <c r="N389" s="33">
        <v>5547.0</v>
      </c>
      <c r="O389" s="33">
        <v>4589.0</v>
      </c>
      <c r="P389" s="33">
        <v>958.0</v>
      </c>
      <c r="Q389" s="33">
        <v>3738.0</v>
      </c>
      <c r="R389" s="34">
        <v>42.2139142</v>
      </c>
      <c r="S389" s="34">
        <v>26.3979194</v>
      </c>
      <c r="T389" s="34">
        <v>15.8159948</v>
      </c>
      <c r="U389" s="34">
        <v>57.7860858</v>
      </c>
      <c r="V389" s="34">
        <v>59.7415186</v>
      </c>
      <c r="W389" s="34">
        <v>49.4238018</v>
      </c>
      <c r="X389" s="34">
        <v>10.3177167</v>
      </c>
      <c r="Y389" s="34">
        <v>40.2584814</v>
      </c>
    </row>
    <row r="390" ht="15.0" customHeight="1">
      <c r="B390" s="35">
        <v>385.0</v>
      </c>
      <c r="C390" s="36" t="s">
        <v>21</v>
      </c>
      <c r="D390" s="41" t="s">
        <v>56</v>
      </c>
      <c r="E390" s="41" t="s">
        <v>140</v>
      </c>
      <c r="F390" s="41" t="s">
        <v>142</v>
      </c>
      <c r="G390" s="42" t="s">
        <v>142</v>
      </c>
      <c r="H390" s="37">
        <v>5380.0</v>
      </c>
      <c r="I390" s="37">
        <v>2606.0</v>
      </c>
      <c r="J390" s="37">
        <v>1432.0</v>
      </c>
      <c r="K390" s="37">
        <v>1174.0</v>
      </c>
      <c r="L390" s="37">
        <v>2774.0</v>
      </c>
      <c r="M390" s="37">
        <v>8913.0</v>
      </c>
      <c r="N390" s="37">
        <v>6620.0</v>
      </c>
      <c r="O390" s="37">
        <v>5297.0</v>
      </c>
      <c r="P390" s="37">
        <v>1323.0</v>
      </c>
      <c r="Q390" s="37">
        <v>2293.0</v>
      </c>
      <c r="R390" s="38">
        <v>48.4386617</v>
      </c>
      <c r="S390" s="38">
        <v>26.6171004</v>
      </c>
      <c r="T390" s="38">
        <v>21.8215613</v>
      </c>
      <c r="U390" s="38">
        <v>51.5613383</v>
      </c>
      <c r="V390" s="38">
        <v>74.273533</v>
      </c>
      <c r="W390" s="38">
        <v>59.430046</v>
      </c>
      <c r="X390" s="38">
        <v>14.843487</v>
      </c>
      <c r="Y390" s="38">
        <v>25.726467</v>
      </c>
    </row>
    <row r="391" ht="15.0" hidden="1" customHeight="1">
      <c r="B391" s="30">
        <v>386.0</v>
      </c>
      <c r="C391" s="31" t="s">
        <v>21</v>
      </c>
      <c r="D391" s="31" t="s">
        <v>56</v>
      </c>
      <c r="E391" s="31" t="s">
        <v>140</v>
      </c>
      <c r="F391" s="31" t="s">
        <v>142</v>
      </c>
      <c r="G391" s="32" t="s">
        <v>15</v>
      </c>
      <c r="H391" s="33"/>
      <c r="I391" s="33"/>
      <c r="J391" s="33"/>
      <c r="K391" s="33"/>
      <c r="L391" s="33"/>
      <c r="M391" s="33">
        <v>1183.0</v>
      </c>
      <c r="N391" s="33">
        <v>1118.0</v>
      </c>
      <c r="O391" s="33">
        <v>827.0</v>
      </c>
      <c r="P391" s="33">
        <v>291.0</v>
      </c>
      <c r="Q391" s="33">
        <v>65.0</v>
      </c>
      <c r="R391" s="34"/>
      <c r="S391" s="34"/>
      <c r="T391" s="34"/>
      <c r="U391" s="34"/>
      <c r="V391" s="34">
        <v>94.5054945</v>
      </c>
      <c r="W391" s="34">
        <v>69.9070161</v>
      </c>
      <c r="X391" s="34">
        <v>24.5984784</v>
      </c>
      <c r="Y391" s="34">
        <v>5.4945055</v>
      </c>
    </row>
    <row r="392" ht="15.0" hidden="1" customHeight="1">
      <c r="B392" s="30">
        <v>387.0</v>
      </c>
      <c r="C392" s="31" t="s">
        <v>21</v>
      </c>
      <c r="D392" s="31" t="s">
        <v>56</v>
      </c>
      <c r="E392" s="31" t="s">
        <v>140</v>
      </c>
      <c r="F392" s="31" t="s">
        <v>142</v>
      </c>
      <c r="G392" s="32" t="s">
        <v>16</v>
      </c>
      <c r="H392" s="33">
        <v>5380.0</v>
      </c>
      <c r="I392" s="33">
        <v>2606.0</v>
      </c>
      <c r="J392" s="33">
        <v>1432.0</v>
      </c>
      <c r="K392" s="33">
        <v>1174.0</v>
      </c>
      <c r="L392" s="33">
        <v>2774.0</v>
      </c>
      <c r="M392" s="33">
        <v>7730.0</v>
      </c>
      <c r="N392" s="33">
        <v>5502.0</v>
      </c>
      <c r="O392" s="33">
        <v>4470.0</v>
      </c>
      <c r="P392" s="33">
        <v>1032.0</v>
      </c>
      <c r="Q392" s="33">
        <v>2228.0</v>
      </c>
      <c r="R392" s="34">
        <v>48.4386617</v>
      </c>
      <c r="S392" s="34">
        <v>26.6171004</v>
      </c>
      <c r="T392" s="34">
        <v>21.8215613</v>
      </c>
      <c r="U392" s="34">
        <v>51.5613383</v>
      </c>
      <c r="V392" s="34">
        <v>71.1772316</v>
      </c>
      <c r="W392" s="34">
        <v>57.8266494</v>
      </c>
      <c r="X392" s="34">
        <v>13.3505821</v>
      </c>
      <c r="Y392" s="34">
        <v>28.8227684</v>
      </c>
    </row>
    <row r="393" ht="15.0" hidden="1" customHeight="1">
      <c r="B393" s="26">
        <v>388.0</v>
      </c>
      <c r="C393" s="27" t="s">
        <v>19</v>
      </c>
      <c r="D393" s="40" t="s">
        <v>56</v>
      </c>
      <c r="E393" s="40" t="s">
        <v>143</v>
      </c>
      <c r="F393" s="40"/>
      <c r="G393" s="27" t="s">
        <v>143</v>
      </c>
      <c r="H393" s="28">
        <v>4275.0</v>
      </c>
      <c r="I393" s="28">
        <v>3249.0</v>
      </c>
      <c r="J393" s="28">
        <v>1608.0</v>
      </c>
      <c r="K393" s="28">
        <v>1641.0</v>
      </c>
      <c r="L393" s="28">
        <v>1026.0</v>
      </c>
      <c r="M393" s="28">
        <v>6155.0</v>
      </c>
      <c r="N393" s="28">
        <v>5206.0</v>
      </c>
      <c r="O393" s="28">
        <v>4286.0</v>
      </c>
      <c r="P393" s="28">
        <v>920.0</v>
      </c>
      <c r="Q393" s="28">
        <v>949.0</v>
      </c>
      <c r="R393" s="29">
        <v>76.0</v>
      </c>
      <c r="S393" s="29">
        <v>37.6140351</v>
      </c>
      <c r="T393" s="29">
        <v>38.3859649</v>
      </c>
      <c r="U393" s="29">
        <v>24.0</v>
      </c>
      <c r="V393" s="29">
        <v>84.5816409</v>
      </c>
      <c r="W393" s="29">
        <v>69.6344435</v>
      </c>
      <c r="X393" s="29">
        <v>14.9471974</v>
      </c>
      <c r="Y393" s="29">
        <v>15.4183591</v>
      </c>
    </row>
    <row r="394" ht="15.0" hidden="1" customHeight="1">
      <c r="B394" s="30">
        <v>389.0</v>
      </c>
      <c r="C394" s="31" t="s">
        <v>19</v>
      </c>
      <c r="D394" s="31" t="s">
        <v>56</v>
      </c>
      <c r="E394" s="31" t="s">
        <v>143</v>
      </c>
      <c r="F394" s="31"/>
      <c r="G394" s="32" t="s">
        <v>15</v>
      </c>
      <c r="H394" s="33">
        <v>1827.0</v>
      </c>
      <c r="I394" s="33">
        <v>1609.0</v>
      </c>
      <c r="J394" s="33">
        <v>750.0</v>
      </c>
      <c r="K394" s="33">
        <v>859.0</v>
      </c>
      <c r="L394" s="33">
        <v>218.0</v>
      </c>
      <c r="M394" s="33">
        <v>2499.0</v>
      </c>
      <c r="N394" s="33">
        <v>2300.0</v>
      </c>
      <c r="O394" s="33">
        <v>1836.0</v>
      </c>
      <c r="P394" s="33">
        <v>464.0</v>
      </c>
      <c r="Q394" s="33">
        <v>199.0</v>
      </c>
      <c r="R394" s="34">
        <v>88.0678708</v>
      </c>
      <c r="S394" s="34">
        <v>41.0509031</v>
      </c>
      <c r="T394" s="34">
        <v>47.0169677</v>
      </c>
      <c r="U394" s="34">
        <v>11.9321292</v>
      </c>
      <c r="V394" s="34">
        <v>92.0368147</v>
      </c>
      <c r="W394" s="34">
        <v>73.4693878</v>
      </c>
      <c r="X394" s="34">
        <v>18.567427</v>
      </c>
      <c r="Y394" s="34">
        <v>7.9631853</v>
      </c>
    </row>
    <row r="395" ht="15.0" hidden="1" customHeight="1">
      <c r="B395" s="30">
        <v>390.0</v>
      </c>
      <c r="C395" s="31" t="s">
        <v>19</v>
      </c>
      <c r="D395" s="31" t="s">
        <v>56</v>
      </c>
      <c r="E395" s="31" t="s">
        <v>143</v>
      </c>
      <c r="F395" s="31"/>
      <c r="G395" s="32" t="s">
        <v>16</v>
      </c>
      <c r="H395" s="33">
        <v>2448.0</v>
      </c>
      <c r="I395" s="33">
        <v>1640.0</v>
      </c>
      <c r="J395" s="33">
        <v>858.0</v>
      </c>
      <c r="K395" s="33">
        <v>782.0</v>
      </c>
      <c r="L395" s="33">
        <v>808.0</v>
      </c>
      <c r="M395" s="33">
        <v>3656.0</v>
      </c>
      <c r="N395" s="33">
        <v>2906.0</v>
      </c>
      <c r="O395" s="33">
        <v>2450.0</v>
      </c>
      <c r="P395" s="33">
        <v>456.0</v>
      </c>
      <c r="Q395" s="33">
        <v>750.0</v>
      </c>
      <c r="R395" s="34">
        <v>66.9934641</v>
      </c>
      <c r="S395" s="34">
        <v>35.0490196</v>
      </c>
      <c r="T395" s="34">
        <v>31.9444444</v>
      </c>
      <c r="U395" s="34">
        <v>33.0065359</v>
      </c>
      <c r="V395" s="34">
        <v>79.4857768</v>
      </c>
      <c r="W395" s="34">
        <v>67.0131291</v>
      </c>
      <c r="X395" s="34">
        <v>12.4726477</v>
      </c>
      <c r="Y395" s="34">
        <v>20.5142232</v>
      </c>
    </row>
    <row r="396" ht="15.0" customHeight="1">
      <c r="B396" s="35">
        <v>391.0</v>
      </c>
      <c r="C396" s="36" t="s">
        <v>21</v>
      </c>
      <c r="D396" s="41" t="s">
        <v>56</v>
      </c>
      <c r="E396" s="41" t="s">
        <v>143</v>
      </c>
      <c r="F396" s="41" t="s">
        <v>144</v>
      </c>
      <c r="G396" s="42" t="s">
        <v>144</v>
      </c>
      <c r="H396" s="37">
        <v>2270.0</v>
      </c>
      <c r="I396" s="37">
        <v>1694.0</v>
      </c>
      <c r="J396" s="37">
        <v>739.0</v>
      </c>
      <c r="K396" s="37">
        <v>955.0</v>
      </c>
      <c r="L396" s="37">
        <v>576.0</v>
      </c>
      <c r="M396" s="37">
        <v>3306.0</v>
      </c>
      <c r="N396" s="37">
        <v>2718.0</v>
      </c>
      <c r="O396" s="37">
        <v>2295.0</v>
      </c>
      <c r="P396" s="37">
        <v>423.0</v>
      </c>
      <c r="Q396" s="37">
        <v>588.0</v>
      </c>
      <c r="R396" s="38">
        <v>74.6255507</v>
      </c>
      <c r="S396" s="38">
        <v>32.5550661</v>
      </c>
      <c r="T396" s="38">
        <v>42.0704846</v>
      </c>
      <c r="U396" s="38">
        <v>25.3744493</v>
      </c>
      <c r="V396" s="38">
        <v>82.2141561</v>
      </c>
      <c r="W396" s="38">
        <v>69.4192377</v>
      </c>
      <c r="X396" s="38">
        <v>12.7949183</v>
      </c>
      <c r="Y396" s="38">
        <v>17.7858439</v>
      </c>
    </row>
    <row r="397" ht="15.0" hidden="1" customHeight="1">
      <c r="B397" s="30">
        <v>392.0</v>
      </c>
      <c r="C397" s="31" t="s">
        <v>21</v>
      </c>
      <c r="D397" s="31" t="s">
        <v>56</v>
      </c>
      <c r="E397" s="31" t="s">
        <v>143</v>
      </c>
      <c r="F397" s="31" t="s">
        <v>144</v>
      </c>
      <c r="G397" s="32" t="s">
        <v>15</v>
      </c>
      <c r="H397" s="33">
        <v>985.0</v>
      </c>
      <c r="I397" s="33">
        <v>838.0</v>
      </c>
      <c r="J397" s="33">
        <v>303.0</v>
      </c>
      <c r="K397" s="33">
        <v>535.0</v>
      </c>
      <c r="L397" s="33">
        <v>147.0</v>
      </c>
      <c r="M397" s="33">
        <v>1343.0</v>
      </c>
      <c r="N397" s="33">
        <v>1240.0</v>
      </c>
      <c r="O397" s="33">
        <v>1009.0</v>
      </c>
      <c r="P397" s="33">
        <v>231.0</v>
      </c>
      <c r="Q397" s="33">
        <v>103.0</v>
      </c>
      <c r="R397" s="34">
        <v>85.0761421</v>
      </c>
      <c r="S397" s="34">
        <v>30.7614213</v>
      </c>
      <c r="T397" s="34">
        <v>54.3147208</v>
      </c>
      <c r="U397" s="34">
        <v>14.9238579</v>
      </c>
      <c r="V397" s="34">
        <v>92.3306031</v>
      </c>
      <c r="W397" s="34">
        <v>75.1303053</v>
      </c>
      <c r="X397" s="34">
        <v>17.2002978</v>
      </c>
      <c r="Y397" s="34">
        <v>7.6693969</v>
      </c>
    </row>
    <row r="398" ht="15.0" hidden="1" customHeight="1">
      <c r="B398" s="30">
        <v>393.0</v>
      </c>
      <c r="C398" s="31" t="s">
        <v>21</v>
      </c>
      <c r="D398" s="31" t="s">
        <v>56</v>
      </c>
      <c r="E398" s="31" t="s">
        <v>143</v>
      </c>
      <c r="F398" s="31" t="s">
        <v>144</v>
      </c>
      <c r="G398" s="32" t="s">
        <v>16</v>
      </c>
      <c r="H398" s="33">
        <v>1285.0</v>
      </c>
      <c r="I398" s="33">
        <v>856.0</v>
      </c>
      <c r="J398" s="33">
        <v>436.0</v>
      </c>
      <c r="K398" s="33">
        <v>420.0</v>
      </c>
      <c r="L398" s="33">
        <v>429.0</v>
      </c>
      <c r="M398" s="33">
        <v>1963.0</v>
      </c>
      <c r="N398" s="33">
        <v>1478.0</v>
      </c>
      <c r="O398" s="33">
        <v>1286.0</v>
      </c>
      <c r="P398" s="33">
        <v>192.0</v>
      </c>
      <c r="Q398" s="33">
        <v>485.0</v>
      </c>
      <c r="R398" s="34">
        <v>66.614786</v>
      </c>
      <c r="S398" s="34">
        <v>33.9299611</v>
      </c>
      <c r="T398" s="34">
        <v>32.6848249</v>
      </c>
      <c r="U398" s="34">
        <v>33.385214</v>
      </c>
      <c r="V398" s="34">
        <v>75.292919</v>
      </c>
      <c r="W398" s="34">
        <v>65.5119715</v>
      </c>
      <c r="X398" s="34">
        <v>9.7809475</v>
      </c>
      <c r="Y398" s="34">
        <v>24.707081</v>
      </c>
    </row>
    <row r="399" ht="15.0" customHeight="1">
      <c r="B399" s="35">
        <v>394.0</v>
      </c>
      <c r="C399" s="36" t="s">
        <v>21</v>
      </c>
      <c r="D399" s="41" t="s">
        <v>56</v>
      </c>
      <c r="E399" s="41" t="s">
        <v>143</v>
      </c>
      <c r="F399" s="41" t="s">
        <v>145</v>
      </c>
      <c r="G399" s="42" t="s">
        <v>145</v>
      </c>
      <c r="H399" s="37">
        <v>2005.0</v>
      </c>
      <c r="I399" s="37">
        <v>1555.0</v>
      </c>
      <c r="J399" s="37">
        <v>869.0</v>
      </c>
      <c r="K399" s="37">
        <v>686.0</v>
      </c>
      <c r="L399" s="37">
        <v>450.0</v>
      </c>
      <c r="M399" s="37">
        <v>2849.0</v>
      </c>
      <c r="N399" s="37">
        <v>2488.0</v>
      </c>
      <c r="O399" s="37">
        <v>1991.0</v>
      </c>
      <c r="P399" s="37">
        <v>497.0</v>
      </c>
      <c r="Q399" s="37">
        <v>361.0</v>
      </c>
      <c r="R399" s="38">
        <v>77.5561097</v>
      </c>
      <c r="S399" s="38">
        <v>43.3416459</v>
      </c>
      <c r="T399" s="38">
        <v>34.2144638</v>
      </c>
      <c r="U399" s="38">
        <v>22.4438903</v>
      </c>
      <c r="V399" s="38">
        <v>87.3288873</v>
      </c>
      <c r="W399" s="38">
        <v>69.8841699</v>
      </c>
      <c r="X399" s="38">
        <v>17.4447174</v>
      </c>
      <c r="Y399" s="38">
        <v>12.6711127</v>
      </c>
    </row>
    <row r="400" ht="15.0" hidden="1" customHeight="1">
      <c r="B400" s="30">
        <v>395.0</v>
      </c>
      <c r="C400" s="31" t="s">
        <v>21</v>
      </c>
      <c r="D400" s="31" t="s">
        <v>56</v>
      </c>
      <c r="E400" s="31" t="s">
        <v>143</v>
      </c>
      <c r="F400" s="31" t="s">
        <v>145</v>
      </c>
      <c r="G400" s="32" t="s">
        <v>15</v>
      </c>
      <c r="H400" s="33">
        <v>842.0</v>
      </c>
      <c r="I400" s="33">
        <v>771.0</v>
      </c>
      <c r="J400" s="33">
        <v>447.0</v>
      </c>
      <c r="K400" s="33">
        <v>324.0</v>
      </c>
      <c r="L400" s="33">
        <v>71.0</v>
      </c>
      <c r="M400" s="33">
        <v>1156.0</v>
      </c>
      <c r="N400" s="33">
        <v>1060.0</v>
      </c>
      <c r="O400" s="33">
        <v>827.0</v>
      </c>
      <c r="P400" s="33">
        <v>233.0</v>
      </c>
      <c r="Q400" s="33">
        <v>96.0</v>
      </c>
      <c r="R400" s="34">
        <v>91.567696</v>
      </c>
      <c r="S400" s="34">
        <v>53.087886</v>
      </c>
      <c r="T400" s="34">
        <v>38.47981</v>
      </c>
      <c r="U400" s="34">
        <v>8.432304</v>
      </c>
      <c r="V400" s="34">
        <v>91.6955017</v>
      </c>
      <c r="W400" s="34">
        <v>71.5397924</v>
      </c>
      <c r="X400" s="34">
        <v>20.1557093</v>
      </c>
      <c r="Y400" s="34">
        <v>8.3044983</v>
      </c>
    </row>
    <row r="401" ht="15.0" hidden="1" customHeight="1">
      <c r="B401" s="30">
        <v>396.0</v>
      </c>
      <c r="C401" s="31" t="s">
        <v>21</v>
      </c>
      <c r="D401" s="31" t="s">
        <v>56</v>
      </c>
      <c r="E401" s="31" t="s">
        <v>143</v>
      </c>
      <c r="F401" s="31" t="s">
        <v>145</v>
      </c>
      <c r="G401" s="32" t="s">
        <v>16</v>
      </c>
      <c r="H401" s="33">
        <v>1163.0</v>
      </c>
      <c r="I401" s="33">
        <v>784.0</v>
      </c>
      <c r="J401" s="33">
        <v>422.0</v>
      </c>
      <c r="K401" s="33">
        <v>362.0</v>
      </c>
      <c r="L401" s="33">
        <v>379.0</v>
      </c>
      <c r="M401" s="33">
        <v>1693.0</v>
      </c>
      <c r="N401" s="33">
        <v>1428.0</v>
      </c>
      <c r="O401" s="33">
        <v>1164.0</v>
      </c>
      <c r="P401" s="33">
        <v>264.0</v>
      </c>
      <c r="Q401" s="33">
        <v>265.0</v>
      </c>
      <c r="R401" s="34">
        <v>67.4118659</v>
      </c>
      <c r="S401" s="34">
        <v>36.2854686</v>
      </c>
      <c r="T401" s="34">
        <v>31.1263972</v>
      </c>
      <c r="U401" s="34">
        <v>32.5881341</v>
      </c>
      <c r="V401" s="34">
        <v>84.3473125</v>
      </c>
      <c r="W401" s="34">
        <v>68.7536917</v>
      </c>
      <c r="X401" s="34">
        <v>15.5936208</v>
      </c>
      <c r="Y401" s="34">
        <v>15.6526875</v>
      </c>
    </row>
    <row r="402" ht="15.0" hidden="1" customHeight="1">
      <c r="B402" s="26">
        <v>397.0</v>
      </c>
      <c r="C402" s="27" t="s">
        <v>19</v>
      </c>
      <c r="D402" s="40" t="s">
        <v>56</v>
      </c>
      <c r="E402" s="40" t="s">
        <v>146</v>
      </c>
      <c r="F402" s="40"/>
      <c r="G402" s="27" t="s">
        <v>146</v>
      </c>
      <c r="H402" s="28">
        <v>4532.0</v>
      </c>
      <c r="I402" s="28">
        <v>724.0</v>
      </c>
      <c r="J402" s="28">
        <v>464.0</v>
      </c>
      <c r="K402" s="28">
        <v>260.0</v>
      </c>
      <c r="L402" s="28">
        <v>3808.0</v>
      </c>
      <c r="M402" s="28">
        <v>6678.0</v>
      </c>
      <c r="N402" s="28">
        <v>3193.0</v>
      </c>
      <c r="O402" s="28">
        <v>2510.0</v>
      </c>
      <c r="P402" s="28">
        <v>683.0</v>
      </c>
      <c r="Q402" s="28">
        <v>3485.0</v>
      </c>
      <c r="R402" s="29">
        <v>15.9752868</v>
      </c>
      <c r="S402" s="29">
        <v>10.2383054</v>
      </c>
      <c r="T402" s="29">
        <v>5.7369815</v>
      </c>
      <c r="U402" s="29">
        <v>84.0247132</v>
      </c>
      <c r="V402" s="29">
        <v>47.8137167</v>
      </c>
      <c r="W402" s="29">
        <v>37.5861036</v>
      </c>
      <c r="X402" s="29">
        <v>10.2276131</v>
      </c>
      <c r="Y402" s="29">
        <v>52.1862833</v>
      </c>
    </row>
    <row r="403" ht="15.0" hidden="1" customHeight="1">
      <c r="B403" s="30">
        <v>398.0</v>
      </c>
      <c r="C403" s="31" t="s">
        <v>19</v>
      </c>
      <c r="D403" s="31" t="s">
        <v>56</v>
      </c>
      <c r="E403" s="31" t="s">
        <v>146</v>
      </c>
      <c r="F403" s="31"/>
      <c r="G403" s="32" t="s">
        <v>15</v>
      </c>
      <c r="H403" s="33">
        <v>634.0</v>
      </c>
      <c r="I403" s="33">
        <v>35.0</v>
      </c>
      <c r="J403" s="33">
        <v>22.0</v>
      </c>
      <c r="K403" s="33">
        <v>13.0</v>
      </c>
      <c r="L403" s="33">
        <v>599.0</v>
      </c>
      <c r="M403" s="33">
        <v>759.0</v>
      </c>
      <c r="N403" s="33">
        <v>473.0</v>
      </c>
      <c r="O403" s="33">
        <v>293.0</v>
      </c>
      <c r="P403" s="33">
        <v>180.0</v>
      </c>
      <c r="Q403" s="33">
        <v>286.0</v>
      </c>
      <c r="R403" s="34">
        <v>5.5205047</v>
      </c>
      <c r="S403" s="34">
        <v>3.4700315</v>
      </c>
      <c r="T403" s="34">
        <v>2.0504732</v>
      </c>
      <c r="U403" s="34">
        <v>94.4794953</v>
      </c>
      <c r="V403" s="34">
        <v>62.3188406</v>
      </c>
      <c r="W403" s="34">
        <v>38.6034256</v>
      </c>
      <c r="X403" s="34">
        <v>23.715415</v>
      </c>
      <c r="Y403" s="34">
        <v>37.6811594</v>
      </c>
    </row>
    <row r="404" ht="15.0" hidden="1" customHeight="1">
      <c r="B404" s="30">
        <v>399.0</v>
      </c>
      <c r="C404" s="31" t="s">
        <v>19</v>
      </c>
      <c r="D404" s="31" t="s">
        <v>56</v>
      </c>
      <c r="E404" s="31" t="s">
        <v>146</v>
      </c>
      <c r="F404" s="31"/>
      <c r="G404" s="32" t="s">
        <v>16</v>
      </c>
      <c r="H404" s="33">
        <v>3898.0</v>
      </c>
      <c r="I404" s="33">
        <v>689.0</v>
      </c>
      <c r="J404" s="33">
        <v>442.0</v>
      </c>
      <c r="K404" s="33">
        <v>247.0</v>
      </c>
      <c r="L404" s="33">
        <v>3209.0</v>
      </c>
      <c r="M404" s="33">
        <v>5919.0</v>
      </c>
      <c r="N404" s="33">
        <v>2720.0</v>
      </c>
      <c r="O404" s="33">
        <v>2217.0</v>
      </c>
      <c r="P404" s="33">
        <v>503.0</v>
      </c>
      <c r="Q404" s="33">
        <v>3199.0</v>
      </c>
      <c r="R404" s="34">
        <v>17.6757311</v>
      </c>
      <c r="S404" s="34">
        <v>11.3391483</v>
      </c>
      <c r="T404" s="34">
        <v>6.3365829</v>
      </c>
      <c r="U404" s="34">
        <v>82.3242689</v>
      </c>
      <c r="V404" s="34">
        <v>45.9537084</v>
      </c>
      <c r="W404" s="34">
        <v>37.4556513</v>
      </c>
      <c r="X404" s="34">
        <v>8.4980571</v>
      </c>
      <c r="Y404" s="34">
        <v>54.0462916</v>
      </c>
    </row>
    <row r="405" ht="15.0" customHeight="1">
      <c r="B405" s="35">
        <v>400.0</v>
      </c>
      <c r="C405" s="36" t="s">
        <v>21</v>
      </c>
      <c r="D405" s="41" t="s">
        <v>56</v>
      </c>
      <c r="E405" s="41" t="s">
        <v>146</v>
      </c>
      <c r="F405" s="41" t="s">
        <v>147</v>
      </c>
      <c r="G405" s="42" t="s">
        <v>147</v>
      </c>
      <c r="H405" s="37">
        <v>3550.0</v>
      </c>
      <c r="I405" s="37">
        <v>495.0</v>
      </c>
      <c r="J405" s="37">
        <v>333.0</v>
      </c>
      <c r="K405" s="37">
        <v>162.0</v>
      </c>
      <c r="L405" s="37">
        <v>3055.0</v>
      </c>
      <c r="M405" s="37">
        <v>5022.0</v>
      </c>
      <c r="N405" s="37">
        <v>2301.0</v>
      </c>
      <c r="O405" s="37">
        <v>1872.0</v>
      </c>
      <c r="P405" s="37">
        <v>429.0</v>
      </c>
      <c r="Q405" s="37">
        <v>2721.0</v>
      </c>
      <c r="R405" s="38">
        <v>13.943662</v>
      </c>
      <c r="S405" s="38">
        <v>9.3802817</v>
      </c>
      <c r="T405" s="38">
        <v>4.5633803</v>
      </c>
      <c r="U405" s="38">
        <v>86.056338</v>
      </c>
      <c r="V405" s="38">
        <v>45.818399</v>
      </c>
      <c r="W405" s="38">
        <v>37.2759857</v>
      </c>
      <c r="X405" s="38">
        <v>8.5424134</v>
      </c>
      <c r="Y405" s="38">
        <v>54.181601</v>
      </c>
    </row>
    <row r="406" ht="15.0" hidden="1" customHeight="1">
      <c r="B406" s="30">
        <v>401.0</v>
      </c>
      <c r="C406" s="31" t="s">
        <v>21</v>
      </c>
      <c r="D406" s="31" t="s">
        <v>56</v>
      </c>
      <c r="E406" s="31" t="s">
        <v>146</v>
      </c>
      <c r="F406" s="31" t="s">
        <v>147</v>
      </c>
      <c r="G406" s="32" t="s">
        <v>15</v>
      </c>
      <c r="H406" s="33">
        <v>634.0</v>
      </c>
      <c r="I406" s="33">
        <v>35.0</v>
      </c>
      <c r="J406" s="33">
        <v>22.0</v>
      </c>
      <c r="K406" s="33">
        <v>13.0</v>
      </c>
      <c r="L406" s="33">
        <v>599.0</v>
      </c>
      <c r="M406" s="33">
        <v>759.0</v>
      </c>
      <c r="N406" s="33">
        <v>473.0</v>
      </c>
      <c r="O406" s="33">
        <v>293.0</v>
      </c>
      <c r="P406" s="33">
        <v>180.0</v>
      </c>
      <c r="Q406" s="33">
        <v>286.0</v>
      </c>
      <c r="R406" s="34">
        <v>5.5205047</v>
      </c>
      <c r="S406" s="34">
        <v>3.4700315</v>
      </c>
      <c r="T406" s="34">
        <v>2.0504732</v>
      </c>
      <c r="U406" s="34">
        <v>94.4794953</v>
      </c>
      <c r="V406" s="34">
        <v>62.3188406</v>
      </c>
      <c r="W406" s="34">
        <v>38.6034256</v>
      </c>
      <c r="X406" s="34">
        <v>23.715415</v>
      </c>
      <c r="Y406" s="34">
        <v>37.6811594</v>
      </c>
    </row>
    <row r="407" ht="15.0" hidden="1" customHeight="1">
      <c r="B407" s="30">
        <v>402.0</v>
      </c>
      <c r="C407" s="31" t="s">
        <v>21</v>
      </c>
      <c r="D407" s="31" t="s">
        <v>56</v>
      </c>
      <c r="E407" s="31" t="s">
        <v>146</v>
      </c>
      <c r="F407" s="31" t="s">
        <v>147</v>
      </c>
      <c r="G407" s="32" t="s">
        <v>16</v>
      </c>
      <c r="H407" s="33">
        <v>2916.0</v>
      </c>
      <c r="I407" s="33">
        <v>460.0</v>
      </c>
      <c r="J407" s="33">
        <v>311.0</v>
      </c>
      <c r="K407" s="33">
        <v>149.0</v>
      </c>
      <c r="L407" s="33">
        <v>2456.0</v>
      </c>
      <c r="M407" s="33">
        <v>4263.0</v>
      </c>
      <c r="N407" s="33">
        <v>1828.0</v>
      </c>
      <c r="O407" s="33">
        <v>1579.0</v>
      </c>
      <c r="P407" s="33">
        <v>249.0</v>
      </c>
      <c r="Q407" s="33">
        <v>2435.0</v>
      </c>
      <c r="R407" s="34">
        <v>15.7750343</v>
      </c>
      <c r="S407" s="34">
        <v>10.6652949</v>
      </c>
      <c r="T407" s="34">
        <v>5.1097394</v>
      </c>
      <c r="U407" s="34">
        <v>84.2249657</v>
      </c>
      <c r="V407" s="34">
        <v>42.8806005</v>
      </c>
      <c r="W407" s="34">
        <v>37.0396434</v>
      </c>
      <c r="X407" s="34">
        <v>5.8409571</v>
      </c>
      <c r="Y407" s="34">
        <v>57.1193995</v>
      </c>
    </row>
    <row r="408" ht="15.0" customHeight="1">
      <c r="B408" s="35">
        <v>403.0</v>
      </c>
      <c r="C408" s="36" t="s">
        <v>21</v>
      </c>
      <c r="D408" s="41" t="s">
        <v>56</v>
      </c>
      <c r="E408" s="41" t="s">
        <v>146</v>
      </c>
      <c r="F408" s="41" t="s">
        <v>148</v>
      </c>
      <c r="G408" s="42" t="s">
        <v>148</v>
      </c>
      <c r="H408" s="37">
        <v>982.0</v>
      </c>
      <c r="I408" s="37">
        <v>229.0</v>
      </c>
      <c r="J408" s="37">
        <v>131.0</v>
      </c>
      <c r="K408" s="37">
        <v>98.0</v>
      </c>
      <c r="L408" s="37">
        <v>753.0</v>
      </c>
      <c r="M408" s="37">
        <v>1656.0</v>
      </c>
      <c r="N408" s="37">
        <v>892.0</v>
      </c>
      <c r="O408" s="37">
        <v>638.0</v>
      </c>
      <c r="P408" s="37">
        <v>254.0</v>
      </c>
      <c r="Q408" s="37">
        <v>764.0</v>
      </c>
      <c r="R408" s="38">
        <v>23.3197556</v>
      </c>
      <c r="S408" s="38">
        <v>13.3401222</v>
      </c>
      <c r="T408" s="38">
        <v>9.9796334</v>
      </c>
      <c r="U408" s="38">
        <v>76.6802444</v>
      </c>
      <c r="V408" s="38">
        <v>53.8647343</v>
      </c>
      <c r="W408" s="38">
        <v>38.52657</v>
      </c>
      <c r="X408" s="38">
        <v>15.3381643</v>
      </c>
      <c r="Y408" s="38">
        <v>46.1352657</v>
      </c>
    </row>
    <row r="409" ht="15.0" hidden="1" customHeight="1">
      <c r="B409" s="30">
        <v>404.0</v>
      </c>
      <c r="C409" s="31" t="s">
        <v>21</v>
      </c>
      <c r="D409" s="31" t="s">
        <v>56</v>
      </c>
      <c r="E409" s="31" t="s">
        <v>146</v>
      </c>
      <c r="F409" s="31" t="s">
        <v>148</v>
      </c>
      <c r="G409" s="32" t="s">
        <v>15</v>
      </c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4"/>
      <c r="S409" s="34"/>
      <c r="T409" s="34"/>
      <c r="U409" s="34"/>
      <c r="V409" s="34"/>
      <c r="W409" s="34"/>
      <c r="X409" s="34"/>
      <c r="Y409" s="34"/>
    </row>
    <row r="410" ht="15.0" hidden="1" customHeight="1">
      <c r="B410" s="30">
        <v>405.0</v>
      </c>
      <c r="C410" s="31" t="s">
        <v>21</v>
      </c>
      <c r="D410" s="31" t="s">
        <v>56</v>
      </c>
      <c r="E410" s="31" t="s">
        <v>146</v>
      </c>
      <c r="F410" s="31" t="s">
        <v>148</v>
      </c>
      <c r="G410" s="32" t="s">
        <v>16</v>
      </c>
      <c r="H410" s="33">
        <v>982.0</v>
      </c>
      <c r="I410" s="33">
        <v>229.0</v>
      </c>
      <c r="J410" s="33">
        <v>131.0</v>
      </c>
      <c r="K410" s="33">
        <v>98.0</v>
      </c>
      <c r="L410" s="33">
        <v>753.0</v>
      </c>
      <c r="M410" s="33">
        <v>1656.0</v>
      </c>
      <c r="N410" s="33">
        <v>892.0</v>
      </c>
      <c r="O410" s="33">
        <v>638.0</v>
      </c>
      <c r="P410" s="33">
        <v>254.0</v>
      </c>
      <c r="Q410" s="33">
        <v>764.0</v>
      </c>
      <c r="R410" s="34">
        <v>23.3197556</v>
      </c>
      <c r="S410" s="34">
        <v>13.3401222</v>
      </c>
      <c r="T410" s="34">
        <v>9.9796334</v>
      </c>
      <c r="U410" s="34">
        <v>76.6802444</v>
      </c>
      <c r="V410" s="34">
        <v>53.8647343</v>
      </c>
      <c r="W410" s="34">
        <v>38.52657</v>
      </c>
      <c r="X410" s="34">
        <v>15.3381643</v>
      </c>
      <c r="Y410" s="34">
        <v>46.1352657</v>
      </c>
    </row>
    <row r="411" ht="15.0" hidden="1" customHeight="1">
      <c r="B411" s="26">
        <v>406.0</v>
      </c>
      <c r="C411" s="27" t="s">
        <v>19</v>
      </c>
      <c r="D411" s="40" t="s">
        <v>56</v>
      </c>
      <c r="E411" s="40" t="s">
        <v>149</v>
      </c>
      <c r="F411" s="40"/>
      <c r="G411" s="27" t="s">
        <v>149</v>
      </c>
      <c r="H411" s="28">
        <v>8906.0</v>
      </c>
      <c r="I411" s="28">
        <v>3699.0</v>
      </c>
      <c r="J411" s="28">
        <v>1981.0</v>
      </c>
      <c r="K411" s="28">
        <v>1718.0</v>
      </c>
      <c r="L411" s="28">
        <v>5207.0</v>
      </c>
      <c r="M411" s="28">
        <v>11922.0</v>
      </c>
      <c r="N411" s="28">
        <v>6808.0</v>
      </c>
      <c r="O411" s="28">
        <v>6054.0</v>
      </c>
      <c r="P411" s="28">
        <v>754.0</v>
      </c>
      <c r="Q411" s="28">
        <v>5114.0</v>
      </c>
      <c r="R411" s="29">
        <v>41.5337974</v>
      </c>
      <c r="S411" s="29">
        <v>22.2434314</v>
      </c>
      <c r="T411" s="29">
        <v>19.290366</v>
      </c>
      <c r="U411" s="29">
        <v>58.4662026</v>
      </c>
      <c r="V411" s="29">
        <v>57.1045127</v>
      </c>
      <c r="W411" s="29">
        <v>50.7800705</v>
      </c>
      <c r="X411" s="29">
        <v>6.3244422</v>
      </c>
      <c r="Y411" s="29">
        <v>42.8954873</v>
      </c>
    </row>
    <row r="412" ht="15.0" hidden="1" customHeight="1">
      <c r="B412" s="30">
        <v>407.0</v>
      </c>
      <c r="C412" s="31" t="s">
        <v>19</v>
      </c>
      <c r="D412" s="31" t="s">
        <v>56</v>
      </c>
      <c r="E412" s="31" t="s">
        <v>149</v>
      </c>
      <c r="F412" s="31"/>
      <c r="G412" s="32" t="s">
        <v>15</v>
      </c>
      <c r="H412" s="33">
        <v>2539.0</v>
      </c>
      <c r="I412" s="33">
        <v>1483.0</v>
      </c>
      <c r="J412" s="33">
        <v>771.0</v>
      </c>
      <c r="K412" s="33">
        <v>712.0</v>
      </c>
      <c r="L412" s="33">
        <v>1056.0</v>
      </c>
      <c r="M412" s="33">
        <v>2973.0</v>
      </c>
      <c r="N412" s="33">
        <v>2183.0</v>
      </c>
      <c r="O412" s="33">
        <v>2005.0</v>
      </c>
      <c r="P412" s="33">
        <v>178.0</v>
      </c>
      <c r="Q412" s="33">
        <v>790.0</v>
      </c>
      <c r="R412" s="34">
        <v>58.4088224</v>
      </c>
      <c r="S412" s="34">
        <v>30.3662859</v>
      </c>
      <c r="T412" s="34">
        <v>28.0425364</v>
      </c>
      <c r="U412" s="34">
        <v>41.5911776</v>
      </c>
      <c r="V412" s="34">
        <v>73.4275143</v>
      </c>
      <c r="W412" s="34">
        <v>67.440296</v>
      </c>
      <c r="X412" s="34">
        <v>5.9872183</v>
      </c>
      <c r="Y412" s="34">
        <v>26.5724857</v>
      </c>
    </row>
    <row r="413" ht="15.0" hidden="1" customHeight="1">
      <c r="B413" s="30">
        <v>408.0</v>
      </c>
      <c r="C413" s="31" t="s">
        <v>19</v>
      </c>
      <c r="D413" s="31" t="s">
        <v>56</v>
      </c>
      <c r="E413" s="31" t="s">
        <v>149</v>
      </c>
      <c r="F413" s="31"/>
      <c r="G413" s="32" t="s">
        <v>16</v>
      </c>
      <c r="H413" s="33">
        <v>6367.0</v>
      </c>
      <c r="I413" s="33">
        <v>2216.0</v>
      </c>
      <c r="J413" s="33">
        <v>1210.0</v>
      </c>
      <c r="K413" s="33">
        <v>1006.0</v>
      </c>
      <c r="L413" s="33">
        <v>4151.0</v>
      </c>
      <c r="M413" s="33">
        <v>8949.0</v>
      </c>
      <c r="N413" s="33">
        <v>4625.0</v>
      </c>
      <c r="O413" s="33">
        <v>4049.0</v>
      </c>
      <c r="P413" s="33">
        <v>576.0</v>
      </c>
      <c r="Q413" s="33">
        <v>4324.0</v>
      </c>
      <c r="R413" s="34">
        <v>34.8044605</v>
      </c>
      <c r="S413" s="34">
        <v>19.0042406</v>
      </c>
      <c r="T413" s="34">
        <v>15.8002199</v>
      </c>
      <c r="U413" s="34">
        <v>65.1955395</v>
      </c>
      <c r="V413" s="34">
        <v>51.6817522</v>
      </c>
      <c r="W413" s="34">
        <v>45.2452788</v>
      </c>
      <c r="X413" s="34">
        <v>6.4364733</v>
      </c>
      <c r="Y413" s="34">
        <v>48.3182478</v>
      </c>
    </row>
    <row r="414" ht="15.0" customHeight="1">
      <c r="B414" s="35">
        <v>409.0</v>
      </c>
      <c r="C414" s="36" t="s">
        <v>21</v>
      </c>
      <c r="D414" s="41" t="s">
        <v>56</v>
      </c>
      <c r="E414" s="41" t="s">
        <v>149</v>
      </c>
      <c r="F414" s="41" t="s">
        <v>150</v>
      </c>
      <c r="G414" s="42" t="s">
        <v>150</v>
      </c>
      <c r="H414" s="37">
        <v>5144.0</v>
      </c>
      <c r="I414" s="37">
        <v>3010.0</v>
      </c>
      <c r="J414" s="37">
        <v>1590.0</v>
      </c>
      <c r="K414" s="37">
        <v>1420.0</v>
      </c>
      <c r="L414" s="37">
        <v>2134.0</v>
      </c>
      <c r="M414" s="37">
        <v>6817.0</v>
      </c>
      <c r="N414" s="37">
        <v>4566.0</v>
      </c>
      <c r="O414" s="37">
        <v>4182.0</v>
      </c>
      <c r="P414" s="37">
        <v>384.0</v>
      </c>
      <c r="Q414" s="37">
        <v>2251.0</v>
      </c>
      <c r="R414" s="38">
        <v>58.5147745</v>
      </c>
      <c r="S414" s="38">
        <v>30.9097978</v>
      </c>
      <c r="T414" s="38">
        <v>27.6049767</v>
      </c>
      <c r="U414" s="38">
        <v>41.4852255</v>
      </c>
      <c r="V414" s="38">
        <v>66.9796098</v>
      </c>
      <c r="W414" s="38">
        <v>61.3466334</v>
      </c>
      <c r="X414" s="38">
        <v>5.6329764</v>
      </c>
      <c r="Y414" s="38">
        <v>33.0203902</v>
      </c>
    </row>
    <row r="415" ht="15.0" hidden="1" customHeight="1">
      <c r="B415" s="30">
        <v>410.0</v>
      </c>
      <c r="C415" s="31" t="s">
        <v>21</v>
      </c>
      <c r="D415" s="31" t="s">
        <v>56</v>
      </c>
      <c r="E415" s="31" t="s">
        <v>149</v>
      </c>
      <c r="F415" s="31" t="s">
        <v>150</v>
      </c>
      <c r="G415" s="32" t="s">
        <v>15</v>
      </c>
      <c r="H415" s="33">
        <v>1923.0</v>
      </c>
      <c r="I415" s="33">
        <v>1397.0</v>
      </c>
      <c r="J415" s="33">
        <v>729.0</v>
      </c>
      <c r="K415" s="33">
        <v>668.0</v>
      </c>
      <c r="L415" s="33">
        <v>526.0</v>
      </c>
      <c r="M415" s="33">
        <v>2502.0</v>
      </c>
      <c r="N415" s="33">
        <v>2006.0</v>
      </c>
      <c r="O415" s="33">
        <v>1855.0</v>
      </c>
      <c r="P415" s="33">
        <v>151.0</v>
      </c>
      <c r="Q415" s="33">
        <v>496.0</v>
      </c>
      <c r="R415" s="34">
        <v>72.6469059</v>
      </c>
      <c r="S415" s="34">
        <v>37.9095164</v>
      </c>
      <c r="T415" s="34">
        <v>34.7373895</v>
      </c>
      <c r="U415" s="34">
        <v>27.3530941</v>
      </c>
      <c r="V415" s="34">
        <v>80.1758593</v>
      </c>
      <c r="W415" s="34">
        <v>74.1406875</v>
      </c>
      <c r="X415" s="34">
        <v>6.0351719</v>
      </c>
      <c r="Y415" s="34">
        <v>19.8241407</v>
      </c>
    </row>
    <row r="416" ht="15.0" hidden="1" customHeight="1">
      <c r="B416" s="30">
        <v>411.0</v>
      </c>
      <c r="C416" s="31" t="s">
        <v>21</v>
      </c>
      <c r="D416" s="31" t="s">
        <v>56</v>
      </c>
      <c r="E416" s="31" t="s">
        <v>149</v>
      </c>
      <c r="F416" s="31" t="s">
        <v>150</v>
      </c>
      <c r="G416" s="32" t="s">
        <v>16</v>
      </c>
      <c r="H416" s="33">
        <v>3221.0</v>
      </c>
      <c r="I416" s="33">
        <v>1613.0</v>
      </c>
      <c r="J416" s="33">
        <v>861.0</v>
      </c>
      <c r="K416" s="33">
        <v>752.0</v>
      </c>
      <c r="L416" s="33">
        <v>1608.0</v>
      </c>
      <c r="M416" s="33">
        <v>4315.0</v>
      </c>
      <c r="N416" s="33">
        <v>2560.0</v>
      </c>
      <c r="O416" s="33">
        <v>2327.0</v>
      </c>
      <c r="P416" s="33">
        <v>233.0</v>
      </c>
      <c r="Q416" s="33">
        <v>1755.0</v>
      </c>
      <c r="R416" s="34">
        <v>50.0776156</v>
      </c>
      <c r="S416" s="34">
        <v>26.7308289</v>
      </c>
      <c r="T416" s="34">
        <v>23.3467867</v>
      </c>
      <c r="U416" s="34">
        <v>49.9223844</v>
      </c>
      <c r="V416" s="34">
        <v>59.3279258</v>
      </c>
      <c r="W416" s="34">
        <v>53.9281576</v>
      </c>
      <c r="X416" s="34">
        <v>5.3997683</v>
      </c>
      <c r="Y416" s="34">
        <v>40.6720742</v>
      </c>
    </row>
    <row r="417" ht="15.0" customHeight="1">
      <c r="B417" s="35">
        <v>412.0</v>
      </c>
      <c r="C417" s="36" t="s">
        <v>21</v>
      </c>
      <c r="D417" s="41" t="s">
        <v>56</v>
      </c>
      <c r="E417" s="41" t="s">
        <v>149</v>
      </c>
      <c r="F417" s="41" t="s">
        <v>151</v>
      </c>
      <c r="G417" s="42" t="s">
        <v>151</v>
      </c>
      <c r="H417" s="37">
        <v>2467.0</v>
      </c>
      <c r="I417" s="37">
        <v>491.0</v>
      </c>
      <c r="J417" s="37">
        <v>291.0</v>
      </c>
      <c r="K417" s="37">
        <v>200.0</v>
      </c>
      <c r="L417" s="37">
        <v>1976.0</v>
      </c>
      <c r="M417" s="37">
        <v>3631.0</v>
      </c>
      <c r="N417" s="37">
        <v>1749.0</v>
      </c>
      <c r="O417" s="37">
        <v>1451.0</v>
      </c>
      <c r="P417" s="37">
        <v>298.0</v>
      </c>
      <c r="Q417" s="37">
        <v>1882.0</v>
      </c>
      <c r="R417" s="38">
        <v>19.9027158</v>
      </c>
      <c r="S417" s="38">
        <v>11.7957033</v>
      </c>
      <c r="T417" s="38">
        <v>8.1070126</v>
      </c>
      <c r="U417" s="38">
        <v>80.0972842</v>
      </c>
      <c r="V417" s="38">
        <v>48.1685486</v>
      </c>
      <c r="W417" s="38">
        <v>39.9614431</v>
      </c>
      <c r="X417" s="38">
        <v>8.2071055</v>
      </c>
      <c r="Y417" s="38">
        <v>51.8314514</v>
      </c>
    </row>
    <row r="418" ht="15.0" hidden="1" customHeight="1">
      <c r="B418" s="30">
        <v>413.0</v>
      </c>
      <c r="C418" s="31" t="s">
        <v>21</v>
      </c>
      <c r="D418" s="31" t="s">
        <v>56</v>
      </c>
      <c r="E418" s="31" t="s">
        <v>149</v>
      </c>
      <c r="F418" s="31" t="s">
        <v>151</v>
      </c>
      <c r="G418" s="32" t="s">
        <v>15</v>
      </c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4"/>
      <c r="S418" s="34"/>
      <c r="T418" s="34"/>
      <c r="U418" s="34"/>
      <c r="V418" s="34"/>
      <c r="W418" s="34"/>
      <c r="X418" s="34"/>
      <c r="Y418" s="34"/>
    </row>
    <row r="419" ht="15.0" hidden="1" customHeight="1">
      <c r="B419" s="30">
        <v>414.0</v>
      </c>
      <c r="C419" s="31" t="s">
        <v>21</v>
      </c>
      <c r="D419" s="31" t="s">
        <v>56</v>
      </c>
      <c r="E419" s="31" t="s">
        <v>149</v>
      </c>
      <c r="F419" s="31" t="s">
        <v>151</v>
      </c>
      <c r="G419" s="32" t="s">
        <v>16</v>
      </c>
      <c r="H419" s="33">
        <v>2467.0</v>
      </c>
      <c r="I419" s="33">
        <v>491.0</v>
      </c>
      <c r="J419" s="33">
        <v>291.0</v>
      </c>
      <c r="K419" s="33">
        <v>200.0</v>
      </c>
      <c r="L419" s="33">
        <v>1976.0</v>
      </c>
      <c r="M419" s="33">
        <v>3631.0</v>
      </c>
      <c r="N419" s="33">
        <v>1749.0</v>
      </c>
      <c r="O419" s="33">
        <v>1451.0</v>
      </c>
      <c r="P419" s="33">
        <v>298.0</v>
      </c>
      <c r="Q419" s="33">
        <v>1882.0</v>
      </c>
      <c r="R419" s="34">
        <v>19.9027158</v>
      </c>
      <c r="S419" s="34">
        <v>11.7957033</v>
      </c>
      <c r="T419" s="34">
        <v>8.1070126</v>
      </c>
      <c r="U419" s="34">
        <v>80.0972842</v>
      </c>
      <c r="V419" s="34">
        <v>48.1685486</v>
      </c>
      <c r="W419" s="34">
        <v>39.9614431</v>
      </c>
      <c r="X419" s="34">
        <v>8.2071055</v>
      </c>
      <c r="Y419" s="34">
        <v>51.8314514</v>
      </c>
    </row>
    <row r="420" ht="15.0" customHeight="1">
      <c r="B420" s="35">
        <v>415.0</v>
      </c>
      <c r="C420" s="36" t="s">
        <v>21</v>
      </c>
      <c r="D420" s="41" t="s">
        <v>56</v>
      </c>
      <c r="E420" s="41" t="s">
        <v>149</v>
      </c>
      <c r="F420" s="41" t="s">
        <v>152</v>
      </c>
      <c r="G420" s="42" t="s">
        <v>152</v>
      </c>
      <c r="H420" s="37">
        <v>1295.0</v>
      </c>
      <c r="I420" s="37">
        <v>198.0</v>
      </c>
      <c r="J420" s="37">
        <v>100.0</v>
      </c>
      <c r="K420" s="37">
        <v>98.0</v>
      </c>
      <c r="L420" s="37">
        <v>1097.0</v>
      </c>
      <c r="M420" s="37">
        <v>1474.0</v>
      </c>
      <c r="N420" s="37">
        <v>493.0</v>
      </c>
      <c r="O420" s="37">
        <v>421.0</v>
      </c>
      <c r="P420" s="37">
        <v>72.0</v>
      </c>
      <c r="Q420" s="37">
        <v>981.0</v>
      </c>
      <c r="R420" s="38">
        <v>15.2895753</v>
      </c>
      <c r="S420" s="38">
        <v>7.7220077</v>
      </c>
      <c r="T420" s="38">
        <v>7.5675676</v>
      </c>
      <c r="U420" s="38">
        <v>84.7104247</v>
      </c>
      <c r="V420" s="38">
        <v>33.4464043</v>
      </c>
      <c r="W420" s="38">
        <v>28.5617368</v>
      </c>
      <c r="X420" s="38">
        <v>4.8846676</v>
      </c>
      <c r="Y420" s="38">
        <v>66.5535957</v>
      </c>
    </row>
    <row r="421" ht="15.0" hidden="1" customHeight="1">
      <c r="B421" s="30">
        <v>416.0</v>
      </c>
      <c r="C421" s="31" t="s">
        <v>21</v>
      </c>
      <c r="D421" s="31" t="s">
        <v>56</v>
      </c>
      <c r="E421" s="31" t="s">
        <v>149</v>
      </c>
      <c r="F421" s="31" t="s">
        <v>152</v>
      </c>
      <c r="G421" s="32" t="s">
        <v>15</v>
      </c>
      <c r="H421" s="33">
        <v>616.0</v>
      </c>
      <c r="I421" s="33">
        <v>86.0</v>
      </c>
      <c r="J421" s="33">
        <v>42.0</v>
      </c>
      <c r="K421" s="33">
        <v>44.0</v>
      </c>
      <c r="L421" s="33">
        <v>530.0</v>
      </c>
      <c r="M421" s="33">
        <v>471.0</v>
      </c>
      <c r="N421" s="33">
        <v>177.0</v>
      </c>
      <c r="O421" s="33">
        <v>150.0</v>
      </c>
      <c r="P421" s="33">
        <v>27.0</v>
      </c>
      <c r="Q421" s="33">
        <v>294.0</v>
      </c>
      <c r="R421" s="34">
        <v>13.961039</v>
      </c>
      <c r="S421" s="34">
        <v>6.8181818</v>
      </c>
      <c r="T421" s="34">
        <v>7.1428571</v>
      </c>
      <c r="U421" s="34">
        <v>86.038961</v>
      </c>
      <c r="V421" s="34">
        <v>37.5796178</v>
      </c>
      <c r="W421" s="34">
        <v>31.8471338</v>
      </c>
      <c r="X421" s="34">
        <v>5.7324841</v>
      </c>
      <c r="Y421" s="34">
        <v>62.4203822</v>
      </c>
    </row>
    <row r="422" ht="15.0" hidden="1" customHeight="1">
      <c r="B422" s="30">
        <v>417.0</v>
      </c>
      <c r="C422" s="31" t="s">
        <v>21</v>
      </c>
      <c r="D422" s="31" t="s">
        <v>56</v>
      </c>
      <c r="E422" s="31" t="s">
        <v>149</v>
      </c>
      <c r="F422" s="31" t="s">
        <v>152</v>
      </c>
      <c r="G422" s="32" t="s">
        <v>16</v>
      </c>
      <c r="H422" s="33">
        <v>679.0</v>
      </c>
      <c r="I422" s="33">
        <v>112.0</v>
      </c>
      <c r="J422" s="33">
        <v>58.0</v>
      </c>
      <c r="K422" s="33">
        <v>54.0</v>
      </c>
      <c r="L422" s="33">
        <v>567.0</v>
      </c>
      <c r="M422" s="33">
        <v>1003.0</v>
      </c>
      <c r="N422" s="33">
        <v>316.0</v>
      </c>
      <c r="O422" s="33">
        <v>271.0</v>
      </c>
      <c r="P422" s="33">
        <v>45.0</v>
      </c>
      <c r="Q422" s="33">
        <v>687.0</v>
      </c>
      <c r="R422" s="34">
        <v>16.4948454</v>
      </c>
      <c r="S422" s="34">
        <v>8.5419735</v>
      </c>
      <c r="T422" s="34">
        <v>7.9528719</v>
      </c>
      <c r="U422" s="34">
        <v>83.5051546</v>
      </c>
      <c r="V422" s="34">
        <v>31.5054835</v>
      </c>
      <c r="W422" s="34">
        <v>27.0189432</v>
      </c>
      <c r="X422" s="34">
        <v>4.4865404</v>
      </c>
      <c r="Y422" s="34">
        <v>68.4945165</v>
      </c>
    </row>
    <row r="423" ht="15.0" hidden="1" customHeight="1">
      <c r="B423" s="26">
        <v>418.0</v>
      </c>
      <c r="C423" s="27" t="s">
        <v>19</v>
      </c>
      <c r="D423" s="40" t="s">
        <v>56</v>
      </c>
      <c r="E423" s="40" t="s">
        <v>153</v>
      </c>
      <c r="F423" s="40"/>
      <c r="G423" s="27" t="s">
        <v>153</v>
      </c>
      <c r="H423" s="28">
        <v>6026.0</v>
      </c>
      <c r="I423" s="28">
        <v>1569.0</v>
      </c>
      <c r="J423" s="28">
        <v>508.0</v>
      </c>
      <c r="K423" s="28">
        <v>1061.0</v>
      </c>
      <c r="L423" s="28">
        <v>4457.0</v>
      </c>
      <c r="M423" s="28">
        <v>7253.0</v>
      </c>
      <c r="N423" s="28">
        <v>3038.0</v>
      </c>
      <c r="O423" s="28">
        <v>2461.0</v>
      </c>
      <c r="P423" s="28">
        <v>577.0</v>
      </c>
      <c r="Q423" s="28">
        <v>4215.0</v>
      </c>
      <c r="R423" s="29">
        <v>26.0371723</v>
      </c>
      <c r="S423" s="29">
        <v>8.4301361</v>
      </c>
      <c r="T423" s="29">
        <v>17.6070362</v>
      </c>
      <c r="U423" s="29">
        <v>73.9628277</v>
      </c>
      <c r="V423" s="29">
        <v>41.8861161</v>
      </c>
      <c r="W423" s="29">
        <v>33.9307873</v>
      </c>
      <c r="X423" s="29">
        <v>7.9553288</v>
      </c>
      <c r="Y423" s="29">
        <v>58.1138839</v>
      </c>
    </row>
    <row r="424" ht="15.0" hidden="1" customHeight="1">
      <c r="B424" s="30">
        <v>419.0</v>
      </c>
      <c r="C424" s="31" t="s">
        <v>19</v>
      </c>
      <c r="D424" s="31" t="s">
        <v>56</v>
      </c>
      <c r="E424" s="31" t="s">
        <v>153</v>
      </c>
      <c r="F424" s="31"/>
      <c r="G424" s="32" t="s">
        <v>15</v>
      </c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4"/>
      <c r="S424" s="34"/>
      <c r="T424" s="34"/>
      <c r="U424" s="34"/>
      <c r="V424" s="34"/>
      <c r="W424" s="34"/>
      <c r="X424" s="34"/>
      <c r="Y424" s="34"/>
    </row>
    <row r="425" ht="15.0" hidden="1" customHeight="1">
      <c r="B425" s="30">
        <v>420.0</v>
      </c>
      <c r="C425" s="31" t="s">
        <v>19</v>
      </c>
      <c r="D425" s="31" t="s">
        <v>56</v>
      </c>
      <c r="E425" s="31" t="s">
        <v>153</v>
      </c>
      <c r="F425" s="31"/>
      <c r="G425" s="32" t="s">
        <v>16</v>
      </c>
      <c r="H425" s="33">
        <v>6026.0</v>
      </c>
      <c r="I425" s="33">
        <v>1569.0</v>
      </c>
      <c r="J425" s="33">
        <v>508.0</v>
      </c>
      <c r="K425" s="33">
        <v>1061.0</v>
      </c>
      <c r="L425" s="33">
        <v>4457.0</v>
      </c>
      <c r="M425" s="33">
        <v>7253.0</v>
      </c>
      <c r="N425" s="33">
        <v>3038.0</v>
      </c>
      <c r="O425" s="33">
        <v>2461.0</v>
      </c>
      <c r="P425" s="33">
        <v>577.0</v>
      </c>
      <c r="Q425" s="33">
        <v>4215.0</v>
      </c>
      <c r="R425" s="34">
        <v>26.0371723</v>
      </c>
      <c r="S425" s="34">
        <v>8.4301361</v>
      </c>
      <c r="T425" s="34">
        <v>17.6070362</v>
      </c>
      <c r="U425" s="34">
        <v>73.9628277</v>
      </c>
      <c r="V425" s="34">
        <v>41.8861161</v>
      </c>
      <c r="W425" s="34">
        <v>33.9307873</v>
      </c>
      <c r="X425" s="34">
        <v>7.9553288</v>
      </c>
      <c r="Y425" s="34">
        <v>58.1138839</v>
      </c>
    </row>
    <row r="426" ht="15.0" customHeight="1">
      <c r="B426" s="35">
        <v>421.0</v>
      </c>
      <c r="C426" s="36" t="s">
        <v>21</v>
      </c>
      <c r="D426" s="41" t="s">
        <v>56</v>
      </c>
      <c r="E426" s="41" t="s">
        <v>153</v>
      </c>
      <c r="F426" s="41" t="s">
        <v>154</v>
      </c>
      <c r="G426" s="42" t="s">
        <v>154</v>
      </c>
      <c r="H426" s="37">
        <v>2828.0</v>
      </c>
      <c r="I426" s="37">
        <v>444.0</v>
      </c>
      <c r="J426" s="37">
        <v>213.0</v>
      </c>
      <c r="K426" s="37">
        <v>231.0</v>
      </c>
      <c r="L426" s="37">
        <v>2384.0</v>
      </c>
      <c r="M426" s="37">
        <v>3484.0</v>
      </c>
      <c r="N426" s="37">
        <v>1254.0</v>
      </c>
      <c r="O426" s="37">
        <v>1007.0</v>
      </c>
      <c r="P426" s="37">
        <v>247.0</v>
      </c>
      <c r="Q426" s="37">
        <v>2230.0</v>
      </c>
      <c r="R426" s="38">
        <v>15.7001414</v>
      </c>
      <c r="S426" s="38">
        <v>7.5318246</v>
      </c>
      <c r="T426" s="38">
        <v>8.1683168</v>
      </c>
      <c r="U426" s="38">
        <v>84.2998586</v>
      </c>
      <c r="V426" s="38">
        <v>35.9931114</v>
      </c>
      <c r="W426" s="38">
        <v>28.9035591</v>
      </c>
      <c r="X426" s="38">
        <v>7.0895522</v>
      </c>
      <c r="Y426" s="38">
        <v>64.0068886</v>
      </c>
    </row>
    <row r="427" ht="15.0" hidden="1" customHeight="1">
      <c r="B427" s="30">
        <v>422.0</v>
      </c>
      <c r="C427" s="31" t="s">
        <v>21</v>
      </c>
      <c r="D427" s="31" t="s">
        <v>56</v>
      </c>
      <c r="E427" s="31" t="s">
        <v>153</v>
      </c>
      <c r="F427" s="31" t="s">
        <v>154</v>
      </c>
      <c r="G427" s="32" t="s">
        <v>15</v>
      </c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4"/>
      <c r="S427" s="34"/>
      <c r="T427" s="34"/>
      <c r="U427" s="34"/>
      <c r="V427" s="34"/>
      <c r="W427" s="34"/>
      <c r="X427" s="34"/>
      <c r="Y427" s="34"/>
    </row>
    <row r="428" ht="15.0" hidden="1" customHeight="1">
      <c r="B428" s="30">
        <v>423.0</v>
      </c>
      <c r="C428" s="31" t="s">
        <v>21</v>
      </c>
      <c r="D428" s="31" t="s">
        <v>56</v>
      </c>
      <c r="E428" s="31" t="s">
        <v>153</v>
      </c>
      <c r="F428" s="31" t="s">
        <v>154</v>
      </c>
      <c r="G428" s="32" t="s">
        <v>16</v>
      </c>
      <c r="H428" s="33">
        <v>2828.0</v>
      </c>
      <c r="I428" s="33">
        <v>444.0</v>
      </c>
      <c r="J428" s="33">
        <v>213.0</v>
      </c>
      <c r="K428" s="33">
        <v>231.0</v>
      </c>
      <c r="L428" s="33">
        <v>2384.0</v>
      </c>
      <c r="M428" s="33">
        <v>3484.0</v>
      </c>
      <c r="N428" s="33">
        <v>1254.0</v>
      </c>
      <c r="O428" s="33">
        <v>1007.0</v>
      </c>
      <c r="P428" s="33">
        <v>247.0</v>
      </c>
      <c r="Q428" s="33">
        <v>2230.0</v>
      </c>
      <c r="R428" s="34">
        <v>15.7001414</v>
      </c>
      <c r="S428" s="34">
        <v>7.5318246</v>
      </c>
      <c r="T428" s="34">
        <v>8.1683168</v>
      </c>
      <c r="U428" s="34">
        <v>84.2998586</v>
      </c>
      <c r="V428" s="34">
        <v>35.9931114</v>
      </c>
      <c r="W428" s="34">
        <v>28.9035591</v>
      </c>
      <c r="X428" s="34">
        <v>7.0895522</v>
      </c>
      <c r="Y428" s="34">
        <v>64.0068886</v>
      </c>
    </row>
    <row r="429" ht="15.0" customHeight="1">
      <c r="B429" s="35">
        <v>424.0</v>
      </c>
      <c r="C429" s="36" t="s">
        <v>21</v>
      </c>
      <c r="D429" s="41" t="s">
        <v>56</v>
      </c>
      <c r="E429" s="41" t="s">
        <v>153</v>
      </c>
      <c r="F429" s="41" t="s">
        <v>155</v>
      </c>
      <c r="G429" s="42" t="s">
        <v>155</v>
      </c>
      <c r="H429" s="37">
        <v>2429.0</v>
      </c>
      <c r="I429" s="37">
        <v>1090.0</v>
      </c>
      <c r="J429" s="37">
        <v>276.0</v>
      </c>
      <c r="K429" s="37">
        <v>814.0</v>
      </c>
      <c r="L429" s="37">
        <v>1339.0</v>
      </c>
      <c r="M429" s="37">
        <v>2888.0</v>
      </c>
      <c r="N429" s="37">
        <v>1617.0</v>
      </c>
      <c r="O429" s="37">
        <v>1341.0</v>
      </c>
      <c r="P429" s="37">
        <v>276.0</v>
      </c>
      <c r="Q429" s="37">
        <v>1271.0</v>
      </c>
      <c r="R429" s="38">
        <v>44.8744339</v>
      </c>
      <c r="S429" s="38">
        <v>11.3627007</v>
      </c>
      <c r="T429" s="38">
        <v>33.5117332</v>
      </c>
      <c r="U429" s="38">
        <v>55.1255661</v>
      </c>
      <c r="V429" s="38">
        <v>55.9903047</v>
      </c>
      <c r="W429" s="38">
        <v>46.433518</v>
      </c>
      <c r="X429" s="38">
        <v>9.5567867</v>
      </c>
      <c r="Y429" s="38">
        <v>44.0096953</v>
      </c>
    </row>
    <row r="430" ht="15.0" hidden="1" customHeight="1">
      <c r="B430" s="30">
        <v>425.0</v>
      </c>
      <c r="C430" s="31" t="s">
        <v>21</v>
      </c>
      <c r="D430" s="31" t="s">
        <v>56</v>
      </c>
      <c r="E430" s="31" t="s">
        <v>153</v>
      </c>
      <c r="F430" s="31" t="s">
        <v>155</v>
      </c>
      <c r="G430" s="32" t="s">
        <v>15</v>
      </c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4"/>
      <c r="S430" s="34"/>
      <c r="T430" s="34"/>
      <c r="U430" s="34"/>
      <c r="V430" s="34"/>
      <c r="W430" s="34"/>
      <c r="X430" s="34"/>
      <c r="Y430" s="34"/>
    </row>
    <row r="431" ht="15.0" hidden="1" customHeight="1">
      <c r="B431" s="30">
        <v>426.0</v>
      </c>
      <c r="C431" s="31" t="s">
        <v>21</v>
      </c>
      <c r="D431" s="31" t="s">
        <v>56</v>
      </c>
      <c r="E431" s="31" t="s">
        <v>153</v>
      </c>
      <c r="F431" s="31" t="s">
        <v>155</v>
      </c>
      <c r="G431" s="32" t="s">
        <v>16</v>
      </c>
      <c r="H431" s="33">
        <v>2429.0</v>
      </c>
      <c r="I431" s="33">
        <v>1090.0</v>
      </c>
      <c r="J431" s="33">
        <v>276.0</v>
      </c>
      <c r="K431" s="33">
        <v>814.0</v>
      </c>
      <c r="L431" s="33">
        <v>1339.0</v>
      </c>
      <c r="M431" s="33">
        <v>2888.0</v>
      </c>
      <c r="N431" s="33">
        <v>1617.0</v>
      </c>
      <c r="O431" s="33">
        <v>1341.0</v>
      </c>
      <c r="P431" s="33">
        <v>276.0</v>
      </c>
      <c r="Q431" s="33">
        <v>1271.0</v>
      </c>
      <c r="R431" s="34">
        <v>44.8744339</v>
      </c>
      <c r="S431" s="34">
        <v>11.3627007</v>
      </c>
      <c r="T431" s="34">
        <v>33.5117332</v>
      </c>
      <c r="U431" s="34">
        <v>55.1255661</v>
      </c>
      <c r="V431" s="34">
        <v>55.9903047</v>
      </c>
      <c r="W431" s="34">
        <v>46.433518</v>
      </c>
      <c r="X431" s="34">
        <v>9.5567867</v>
      </c>
      <c r="Y431" s="34">
        <v>44.0096953</v>
      </c>
    </row>
    <row r="432" ht="15.0" customHeight="1">
      <c r="B432" s="35">
        <v>427.0</v>
      </c>
      <c r="C432" s="36" t="s">
        <v>21</v>
      </c>
      <c r="D432" s="41" t="s">
        <v>56</v>
      </c>
      <c r="E432" s="41" t="s">
        <v>153</v>
      </c>
      <c r="F432" s="41" t="s">
        <v>156</v>
      </c>
      <c r="G432" s="42" t="s">
        <v>156</v>
      </c>
      <c r="H432" s="37">
        <v>769.0</v>
      </c>
      <c r="I432" s="37">
        <v>35.0</v>
      </c>
      <c r="J432" s="37">
        <v>19.0</v>
      </c>
      <c r="K432" s="37">
        <v>16.0</v>
      </c>
      <c r="L432" s="37">
        <v>734.0</v>
      </c>
      <c r="M432" s="37">
        <v>881.0</v>
      </c>
      <c r="N432" s="37">
        <v>167.0</v>
      </c>
      <c r="O432" s="37">
        <v>113.0</v>
      </c>
      <c r="P432" s="37">
        <v>54.0</v>
      </c>
      <c r="Q432" s="37">
        <v>714.0</v>
      </c>
      <c r="R432" s="38">
        <v>4.5513654</v>
      </c>
      <c r="S432" s="38">
        <v>2.4707412</v>
      </c>
      <c r="T432" s="38">
        <v>2.0806242</v>
      </c>
      <c r="U432" s="38">
        <v>95.4486346</v>
      </c>
      <c r="V432" s="38">
        <v>18.9557321</v>
      </c>
      <c r="W432" s="38">
        <v>12.8263337</v>
      </c>
      <c r="X432" s="38">
        <v>6.1293984</v>
      </c>
      <c r="Y432" s="38">
        <v>81.0442679</v>
      </c>
    </row>
    <row r="433" ht="15.0" hidden="1" customHeight="1">
      <c r="B433" s="30">
        <v>428.0</v>
      </c>
      <c r="C433" s="31" t="s">
        <v>21</v>
      </c>
      <c r="D433" s="31" t="s">
        <v>56</v>
      </c>
      <c r="E433" s="31" t="s">
        <v>153</v>
      </c>
      <c r="F433" s="31" t="s">
        <v>156</v>
      </c>
      <c r="G433" s="32" t="s">
        <v>15</v>
      </c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4"/>
      <c r="S433" s="34"/>
      <c r="T433" s="34"/>
      <c r="U433" s="34"/>
      <c r="V433" s="34"/>
      <c r="W433" s="34"/>
      <c r="X433" s="34"/>
      <c r="Y433" s="34"/>
    </row>
    <row r="434" ht="15.0" hidden="1" customHeight="1">
      <c r="B434" s="30">
        <v>429.0</v>
      </c>
      <c r="C434" s="31" t="s">
        <v>21</v>
      </c>
      <c r="D434" s="31" t="s">
        <v>56</v>
      </c>
      <c r="E434" s="31" t="s">
        <v>153</v>
      </c>
      <c r="F434" s="31" t="s">
        <v>156</v>
      </c>
      <c r="G434" s="32" t="s">
        <v>16</v>
      </c>
      <c r="H434" s="33">
        <v>769.0</v>
      </c>
      <c r="I434" s="33">
        <v>35.0</v>
      </c>
      <c r="J434" s="33">
        <v>19.0</v>
      </c>
      <c r="K434" s="33">
        <v>16.0</v>
      </c>
      <c r="L434" s="33">
        <v>734.0</v>
      </c>
      <c r="M434" s="33">
        <v>881.0</v>
      </c>
      <c r="N434" s="33">
        <v>167.0</v>
      </c>
      <c r="O434" s="33">
        <v>113.0</v>
      </c>
      <c r="P434" s="33">
        <v>54.0</v>
      </c>
      <c r="Q434" s="33">
        <v>714.0</v>
      </c>
      <c r="R434" s="34">
        <v>4.5513654</v>
      </c>
      <c r="S434" s="34">
        <v>2.4707412</v>
      </c>
      <c r="T434" s="34">
        <v>2.0806242</v>
      </c>
      <c r="U434" s="34">
        <v>95.4486346</v>
      </c>
      <c r="V434" s="34">
        <v>18.9557321</v>
      </c>
      <c r="W434" s="34">
        <v>12.8263337</v>
      </c>
      <c r="X434" s="34">
        <v>6.1293984</v>
      </c>
      <c r="Y434" s="34">
        <v>81.0442679</v>
      </c>
    </row>
    <row r="435" ht="15.0" hidden="1" customHeight="1">
      <c r="B435" s="26">
        <v>430.0</v>
      </c>
      <c r="C435" s="27" t="s">
        <v>19</v>
      </c>
      <c r="D435" s="40" t="s">
        <v>56</v>
      </c>
      <c r="E435" s="40" t="s">
        <v>157</v>
      </c>
      <c r="F435" s="40"/>
      <c r="G435" s="27" t="s">
        <v>157</v>
      </c>
      <c r="H435" s="28">
        <v>2566.0</v>
      </c>
      <c r="I435" s="28">
        <v>1495.0</v>
      </c>
      <c r="J435" s="28">
        <v>453.0</v>
      </c>
      <c r="K435" s="28">
        <v>1042.0</v>
      </c>
      <c r="L435" s="28">
        <v>1071.0</v>
      </c>
      <c r="M435" s="28">
        <v>4651.0</v>
      </c>
      <c r="N435" s="28">
        <v>3085.0</v>
      </c>
      <c r="O435" s="28">
        <v>2196.0</v>
      </c>
      <c r="P435" s="28">
        <v>889.0</v>
      </c>
      <c r="Q435" s="28">
        <v>1566.0</v>
      </c>
      <c r="R435" s="29">
        <v>58.2618862</v>
      </c>
      <c r="S435" s="29">
        <v>17.6539361</v>
      </c>
      <c r="T435" s="29">
        <v>40.6079501</v>
      </c>
      <c r="U435" s="29">
        <v>41.7381138</v>
      </c>
      <c r="V435" s="29">
        <v>66.3298215</v>
      </c>
      <c r="W435" s="29">
        <v>47.2156525</v>
      </c>
      <c r="X435" s="29">
        <v>19.114169</v>
      </c>
      <c r="Y435" s="29">
        <v>33.6701785</v>
      </c>
    </row>
    <row r="436" ht="15.0" hidden="1" customHeight="1">
      <c r="B436" s="30">
        <v>431.0</v>
      </c>
      <c r="C436" s="31" t="s">
        <v>19</v>
      </c>
      <c r="D436" s="31" t="s">
        <v>56</v>
      </c>
      <c r="E436" s="31" t="s">
        <v>157</v>
      </c>
      <c r="F436" s="31"/>
      <c r="G436" s="32" t="s">
        <v>15</v>
      </c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4"/>
      <c r="S436" s="34"/>
      <c r="T436" s="34"/>
      <c r="U436" s="34"/>
      <c r="V436" s="34"/>
      <c r="W436" s="34"/>
      <c r="X436" s="34"/>
      <c r="Y436" s="34"/>
    </row>
    <row r="437" ht="15.0" hidden="1" customHeight="1">
      <c r="B437" s="30">
        <v>432.0</v>
      </c>
      <c r="C437" s="31" t="s">
        <v>19</v>
      </c>
      <c r="D437" s="31" t="s">
        <v>56</v>
      </c>
      <c r="E437" s="31" t="s">
        <v>157</v>
      </c>
      <c r="F437" s="31"/>
      <c r="G437" s="32" t="s">
        <v>16</v>
      </c>
      <c r="H437" s="33">
        <v>2566.0</v>
      </c>
      <c r="I437" s="33">
        <v>1495.0</v>
      </c>
      <c r="J437" s="33">
        <v>453.0</v>
      </c>
      <c r="K437" s="33">
        <v>1042.0</v>
      </c>
      <c r="L437" s="33">
        <v>1071.0</v>
      </c>
      <c r="M437" s="33">
        <v>4651.0</v>
      </c>
      <c r="N437" s="33">
        <v>3085.0</v>
      </c>
      <c r="O437" s="33">
        <v>2196.0</v>
      </c>
      <c r="P437" s="33">
        <v>889.0</v>
      </c>
      <c r="Q437" s="33">
        <v>1566.0</v>
      </c>
      <c r="R437" s="34">
        <v>58.2618862</v>
      </c>
      <c r="S437" s="34">
        <v>17.6539361</v>
      </c>
      <c r="T437" s="34">
        <v>40.6079501</v>
      </c>
      <c r="U437" s="34">
        <v>41.7381138</v>
      </c>
      <c r="V437" s="34">
        <v>66.3298215</v>
      </c>
      <c r="W437" s="34">
        <v>47.2156525</v>
      </c>
      <c r="X437" s="34">
        <v>19.114169</v>
      </c>
      <c r="Y437" s="34">
        <v>33.6701785</v>
      </c>
    </row>
    <row r="438" ht="15.0" customHeight="1">
      <c r="B438" s="35">
        <v>433.0</v>
      </c>
      <c r="C438" s="36" t="s">
        <v>21</v>
      </c>
      <c r="D438" s="41" t="s">
        <v>56</v>
      </c>
      <c r="E438" s="41" t="s">
        <v>157</v>
      </c>
      <c r="F438" s="41" t="s">
        <v>158</v>
      </c>
      <c r="G438" s="42" t="s">
        <v>158</v>
      </c>
      <c r="H438" s="37">
        <v>1830.0</v>
      </c>
      <c r="I438" s="37">
        <v>1080.0</v>
      </c>
      <c r="J438" s="37">
        <v>333.0</v>
      </c>
      <c r="K438" s="37">
        <v>747.0</v>
      </c>
      <c r="L438" s="37">
        <v>750.0</v>
      </c>
      <c r="M438" s="37">
        <v>2956.0</v>
      </c>
      <c r="N438" s="37">
        <v>1881.0</v>
      </c>
      <c r="O438" s="37">
        <v>1480.0</v>
      </c>
      <c r="P438" s="37">
        <v>401.0</v>
      </c>
      <c r="Q438" s="37">
        <v>1075.0</v>
      </c>
      <c r="R438" s="38">
        <v>59.0163934</v>
      </c>
      <c r="S438" s="38">
        <v>18.1967213</v>
      </c>
      <c r="T438" s="38">
        <v>40.8196721</v>
      </c>
      <c r="U438" s="38">
        <v>40.9836066</v>
      </c>
      <c r="V438" s="38">
        <v>63.6332882</v>
      </c>
      <c r="W438" s="38">
        <v>50.067659</v>
      </c>
      <c r="X438" s="38">
        <v>13.5656292</v>
      </c>
      <c r="Y438" s="38">
        <v>36.3667118</v>
      </c>
    </row>
    <row r="439" ht="15.0" hidden="1" customHeight="1">
      <c r="B439" s="30">
        <v>434.0</v>
      </c>
      <c r="C439" s="31" t="s">
        <v>21</v>
      </c>
      <c r="D439" s="31" t="s">
        <v>56</v>
      </c>
      <c r="E439" s="31" t="s">
        <v>157</v>
      </c>
      <c r="F439" s="31" t="s">
        <v>158</v>
      </c>
      <c r="G439" s="32" t="s">
        <v>15</v>
      </c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4"/>
      <c r="S439" s="34"/>
      <c r="T439" s="34"/>
      <c r="U439" s="34"/>
      <c r="V439" s="34"/>
      <c r="W439" s="34"/>
      <c r="X439" s="34"/>
      <c r="Y439" s="34"/>
    </row>
    <row r="440" ht="15.0" hidden="1" customHeight="1">
      <c r="B440" s="30">
        <v>435.0</v>
      </c>
      <c r="C440" s="31" t="s">
        <v>21</v>
      </c>
      <c r="D440" s="31" t="s">
        <v>56</v>
      </c>
      <c r="E440" s="31" t="s">
        <v>157</v>
      </c>
      <c r="F440" s="31" t="s">
        <v>158</v>
      </c>
      <c r="G440" s="32" t="s">
        <v>16</v>
      </c>
      <c r="H440" s="33">
        <v>1830.0</v>
      </c>
      <c r="I440" s="33">
        <v>1080.0</v>
      </c>
      <c r="J440" s="33">
        <v>333.0</v>
      </c>
      <c r="K440" s="33">
        <v>747.0</v>
      </c>
      <c r="L440" s="33">
        <v>750.0</v>
      </c>
      <c r="M440" s="33">
        <v>2956.0</v>
      </c>
      <c r="N440" s="33">
        <v>1881.0</v>
      </c>
      <c r="O440" s="33">
        <v>1480.0</v>
      </c>
      <c r="P440" s="33">
        <v>401.0</v>
      </c>
      <c r="Q440" s="33">
        <v>1075.0</v>
      </c>
      <c r="R440" s="34">
        <v>59.0163934</v>
      </c>
      <c r="S440" s="34">
        <v>18.1967213</v>
      </c>
      <c r="T440" s="34">
        <v>40.8196721</v>
      </c>
      <c r="U440" s="34">
        <v>40.9836066</v>
      </c>
      <c r="V440" s="34">
        <v>63.6332882</v>
      </c>
      <c r="W440" s="34">
        <v>50.067659</v>
      </c>
      <c r="X440" s="34">
        <v>13.5656292</v>
      </c>
      <c r="Y440" s="34">
        <v>36.3667118</v>
      </c>
    </row>
    <row r="441" ht="15.0" customHeight="1">
      <c r="B441" s="35">
        <v>436.0</v>
      </c>
      <c r="C441" s="36" t="s">
        <v>21</v>
      </c>
      <c r="D441" s="41" t="s">
        <v>56</v>
      </c>
      <c r="E441" s="41" t="s">
        <v>157</v>
      </c>
      <c r="F441" s="41" t="s">
        <v>159</v>
      </c>
      <c r="G441" s="42" t="s">
        <v>159</v>
      </c>
      <c r="H441" s="37">
        <v>736.0</v>
      </c>
      <c r="I441" s="37">
        <v>415.0</v>
      </c>
      <c r="J441" s="37">
        <v>120.0</v>
      </c>
      <c r="K441" s="37">
        <v>295.0</v>
      </c>
      <c r="L441" s="37">
        <v>321.0</v>
      </c>
      <c r="M441" s="37">
        <v>1695.0</v>
      </c>
      <c r="N441" s="37">
        <v>1204.0</v>
      </c>
      <c r="O441" s="37">
        <v>716.0</v>
      </c>
      <c r="P441" s="37">
        <v>488.0</v>
      </c>
      <c r="Q441" s="37">
        <v>491.0</v>
      </c>
      <c r="R441" s="38">
        <v>56.3858696</v>
      </c>
      <c r="S441" s="38">
        <v>16.3043478</v>
      </c>
      <c r="T441" s="38">
        <v>40.0815217</v>
      </c>
      <c r="U441" s="38">
        <v>43.6141304</v>
      </c>
      <c r="V441" s="38">
        <v>71.0324484</v>
      </c>
      <c r="W441" s="38">
        <v>42.2418879</v>
      </c>
      <c r="X441" s="38">
        <v>28.7905605</v>
      </c>
      <c r="Y441" s="38">
        <v>28.9675516</v>
      </c>
    </row>
    <row r="442" ht="15.0" hidden="1" customHeight="1">
      <c r="B442" s="30">
        <v>437.0</v>
      </c>
      <c r="C442" s="31" t="s">
        <v>21</v>
      </c>
      <c r="D442" s="31" t="s">
        <v>56</v>
      </c>
      <c r="E442" s="31" t="s">
        <v>157</v>
      </c>
      <c r="F442" s="31" t="s">
        <v>159</v>
      </c>
      <c r="G442" s="32" t="s">
        <v>15</v>
      </c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4"/>
      <c r="S442" s="34"/>
      <c r="T442" s="34"/>
      <c r="U442" s="34"/>
      <c r="V442" s="34"/>
      <c r="W442" s="34"/>
      <c r="X442" s="34"/>
      <c r="Y442" s="34"/>
    </row>
    <row r="443" ht="15.0" hidden="1" customHeight="1">
      <c r="B443" s="30">
        <v>438.0</v>
      </c>
      <c r="C443" s="31" t="s">
        <v>21</v>
      </c>
      <c r="D443" s="31" t="s">
        <v>56</v>
      </c>
      <c r="E443" s="31" t="s">
        <v>157</v>
      </c>
      <c r="F443" s="31" t="s">
        <v>159</v>
      </c>
      <c r="G443" s="32" t="s">
        <v>16</v>
      </c>
      <c r="H443" s="33">
        <v>736.0</v>
      </c>
      <c r="I443" s="33">
        <v>415.0</v>
      </c>
      <c r="J443" s="33">
        <v>120.0</v>
      </c>
      <c r="K443" s="33">
        <v>295.0</v>
      </c>
      <c r="L443" s="33">
        <v>321.0</v>
      </c>
      <c r="M443" s="33">
        <v>1695.0</v>
      </c>
      <c r="N443" s="33">
        <v>1204.0</v>
      </c>
      <c r="O443" s="33">
        <v>716.0</v>
      </c>
      <c r="P443" s="33">
        <v>488.0</v>
      </c>
      <c r="Q443" s="33">
        <v>491.0</v>
      </c>
      <c r="R443" s="34">
        <v>56.3858696</v>
      </c>
      <c r="S443" s="34">
        <v>16.3043478</v>
      </c>
      <c r="T443" s="34">
        <v>40.0815217</v>
      </c>
      <c r="U443" s="34">
        <v>43.6141304</v>
      </c>
      <c r="V443" s="34">
        <v>71.0324484</v>
      </c>
      <c r="W443" s="34">
        <v>42.2418879</v>
      </c>
      <c r="X443" s="34">
        <v>28.7905605</v>
      </c>
      <c r="Y443" s="34">
        <v>28.9675516</v>
      </c>
    </row>
    <row r="444" ht="15.0" hidden="1" customHeight="1">
      <c r="B444" s="26">
        <v>439.0</v>
      </c>
      <c r="C444" s="27" t="s">
        <v>19</v>
      </c>
      <c r="D444" s="40" t="s">
        <v>56</v>
      </c>
      <c r="E444" s="40" t="s">
        <v>160</v>
      </c>
      <c r="F444" s="40"/>
      <c r="G444" s="27" t="s">
        <v>160</v>
      </c>
      <c r="H444" s="28">
        <v>21231.0</v>
      </c>
      <c r="I444" s="28">
        <v>11958.0</v>
      </c>
      <c r="J444" s="28">
        <v>7202.0</v>
      </c>
      <c r="K444" s="28">
        <v>4756.0</v>
      </c>
      <c r="L444" s="28">
        <v>9273.0</v>
      </c>
      <c r="M444" s="28">
        <v>25572.0</v>
      </c>
      <c r="N444" s="28">
        <v>17665.0</v>
      </c>
      <c r="O444" s="28">
        <v>15297.0</v>
      </c>
      <c r="P444" s="28">
        <v>2368.0</v>
      </c>
      <c r="Q444" s="28">
        <v>7907.0</v>
      </c>
      <c r="R444" s="29">
        <v>56.3233008</v>
      </c>
      <c r="S444" s="29">
        <v>33.922095</v>
      </c>
      <c r="T444" s="29">
        <v>22.4012058</v>
      </c>
      <c r="U444" s="29">
        <v>43.6766992</v>
      </c>
      <c r="V444" s="29">
        <v>69.0794619</v>
      </c>
      <c r="W444" s="29">
        <v>59.8193336</v>
      </c>
      <c r="X444" s="29">
        <v>9.2601283</v>
      </c>
      <c r="Y444" s="29">
        <v>30.9205381</v>
      </c>
    </row>
    <row r="445" ht="15.0" hidden="1" customHeight="1">
      <c r="B445" s="30">
        <v>440.0</v>
      </c>
      <c r="C445" s="31" t="s">
        <v>19</v>
      </c>
      <c r="D445" s="31" t="s">
        <v>56</v>
      </c>
      <c r="E445" s="31" t="s">
        <v>160</v>
      </c>
      <c r="F445" s="31"/>
      <c r="G445" s="32" t="s">
        <v>15</v>
      </c>
      <c r="H445" s="33">
        <v>4460.0</v>
      </c>
      <c r="I445" s="33">
        <v>3563.0</v>
      </c>
      <c r="J445" s="33">
        <v>1659.0</v>
      </c>
      <c r="K445" s="33">
        <v>1904.0</v>
      </c>
      <c r="L445" s="33">
        <v>897.0</v>
      </c>
      <c r="M445" s="33">
        <v>7802.0</v>
      </c>
      <c r="N445" s="33">
        <v>6635.0</v>
      </c>
      <c r="O445" s="33">
        <v>4839.0</v>
      </c>
      <c r="P445" s="33">
        <v>1796.0</v>
      </c>
      <c r="Q445" s="33">
        <v>1167.0</v>
      </c>
      <c r="R445" s="34">
        <v>79.8878924</v>
      </c>
      <c r="S445" s="34">
        <v>37.1973094</v>
      </c>
      <c r="T445" s="34">
        <v>42.690583</v>
      </c>
      <c r="U445" s="34">
        <v>20.1121076</v>
      </c>
      <c r="V445" s="34">
        <v>85.0422968</v>
      </c>
      <c r="W445" s="34">
        <v>62.0225583</v>
      </c>
      <c r="X445" s="34">
        <v>23.0197385</v>
      </c>
      <c r="Y445" s="34">
        <v>14.9577032</v>
      </c>
    </row>
    <row r="446" ht="15.0" hidden="1" customHeight="1">
      <c r="B446" s="30">
        <v>441.0</v>
      </c>
      <c r="C446" s="31" t="s">
        <v>19</v>
      </c>
      <c r="D446" s="31" t="s">
        <v>56</v>
      </c>
      <c r="E446" s="31" t="s">
        <v>160</v>
      </c>
      <c r="F446" s="31"/>
      <c r="G446" s="32" t="s">
        <v>16</v>
      </c>
      <c r="H446" s="33">
        <v>16771.0</v>
      </c>
      <c r="I446" s="33">
        <v>8395.0</v>
      </c>
      <c r="J446" s="33">
        <v>5543.0</v>
      </c>
      <c r="K446" s="33">
        <v>2852.0</v>
      </c>
      <c r="L446" s="33">
        <v>8376.0</v>
      </c>
      <c r="M446" s="33">
        <v>17770.0</v>
      </c>
      <c r="N446" s="33">
        <v>11030.0</v>
      </c>
      <c r="O446" s="33">
        <v>10458.0</v>
      </c>
      <c r="P446" s="33">
        <v>572.0</v>
      </c>
      <c r="Q446" s="33">
        <v>6740.0</v>
      </c>
      <c r="R446" s="34">
        <v>50.0566454</v>
      </c>
      <c r="S446" s="34">
        <v>33.0511001</v>
      </c>
      <c r="T446" s="34">
        <v>17.0055453</v>
      </c>
      <c r="U446" s="34">
        <v>49.9433546</v>
      </c>
      <c r="V446" s="34">
        <v>62.070906</v>
      </c>
      <c r="W446" s="34">
        <v>58.8519977</v>
      </c>
      <c r="X446" s="34">
        <v>3.2189083</v>
      </c>
      <c r="Y446" s="34">
        <v>37.929094</v>
      </c>
    </row>
    <row r="447" ht="15.0" customHeight="1">
      <c r="B447" s="35">
        <v>442.0</v>
      </c>
      <c r="C447" s="36" t="s">
        <v>21</v>
      </c>
      <c r="D447" s="41" t="s">
        <v>56</v>
      </c>
      <c r="E447" s="41" t="s">
        <v>160</v>
      </c>
      <c r="F447" s="41" t="s">
        <v>160</v>
      </c>
      <c r="G447" s="42" t="s">
        <v>160</v>
      </c>
      <c r="H447" s="37">
        <v>17021.0</v>
      </c>
      <c r="I447" s="37">
        <v>10278.0</v>
      </c>
      <c r="J447" s="37">
        <v>5905.0</v>
      </c>
      <c r="K447" s="37">
        <v>4373.0</v>
      </c>
      <c r="L447" s="37">
        <v>6743.0</v>
      </c>
      <c r="M447" s="37">
        <v>21081.0</v>
      </c>
      <c r="N447" s="37">
        <v>15199.0</v>
      </c>
      <c r="O447" s="37">
        <v>12977.0</v>
      </c>
      <c r="P447" s="37">
        <v>2222.0</v>
      </c>
      <c r="Q447" s="37">
        <v>5882.0</v>
      </c>
      <c r="R447" s="38">
        <v>60.3842312</v>
      </c>
      <c r="S447" s="38">
        <v>34.6924388</v>
      </c>
      <c r="T447" s="38">
        <v>25.6917925</v>
      </c>
      <c r="U447" s="38">
        <v>39.6157688</v>
      </c>
      <c r="V447" s="38">
        <v>72.0980978</v>
      </c>
      <c r="W447" s="38">
        <v>61.5578009</v>
      </c>
      <c r="X447" s="38">
        <v>10.5402969</v>
      </c>
      <c r="Y447" s="38">
        <v>27.9019022</v>
      </c>
    </row>
    <row r="448" ht="15.0" hidden="1" customHeight="1">
      <c r="B448" s="30">
        <v>443.0</v>
      </c>
      <c r="C448" s="31" t="s">
        <v>21</v>
      </c>
      <c r="D448" s="31" t="s">
        <v>56</v>
      </c>
      <c r="E448" s="31" t="s">
        <v>160</v>
      </c>
      <c r="F448" s="31" t="s">
        <v>160</v>
      </c>
      <c r="G448" s="32" t="s">
        <v>15</v>
      </c>
      <c r="H448" s="33">
        <v>4460.0</v>
      </c>
      <c r="I448" s="33">
        <v>3563.0</v>
      </c>
      <c r="J448" s="33">
        <v>1659.0</v>
      </c>
      <c r="K448" s="33">
        <v>1904.0</v>
      </c>
      <c r="L448" s="33">
        <v>897.0</v>
      </c>
      <c r="M448" s="33">
        <v>7802.0</v>
      </c>
      <c r="N448" s="33">
        <v>6635.0</v>
      </c>
      <c r="O448" s="33">
        <v>4839.0</v>
      </c>
      <c r="P448" s="33">
        <v>1796.0</v>
      </c>
      <c r="Q448" s="33">
        <v>1167.0</v>
      </c>
      <c r="R448" s="34">
        <v>79.8878924</v>
      </c>
      <c r="S448" s="34">
        <v>37.1973094</v>
      </c>
      <c r="T448" s="34">
        <v>42.690583</v>
      </c>
      <c r="U448" s="34">
        <v>20.1121076</v>
      </c>
      <c r="V448" s="34">
        <v>85.0422968</v>
      </c>
      <c r="W448" s="34">
        <v>62.0225583</v>
      </c>
      <c r="X448" s="34">
        <v>23.0197385</v>
      </c>
      <c r="Y448" s="34">
        <v>14.9577032</v>
      </c>
    </row>
    <row r="449" ht="15.0" hidden="1" customHeight="1">
      <c r="B449" s="30">
        <v>444.0</v>
      </c>
      <c r="C449" s="31" t="s">
        <v>21</v>
      </c>
      <c r="D449" s="31" t="s">
        <v>56</v>
      </c>
      <c r="E449" s="31" t="s">
        <v>160</v>
      </c>
      <c r="F449" s="31" t="s">
        <v>160</v>
      </c>
      <c r="G449" s="32" t="s">
        <v>16</v>
      </c>
      <c r="H449" s="33">
        <v>12561.0</v>
      </c>
      <c r="I449" s="33">
        <v>6715.0</v>
      </c>
      <c r="J449" s="33">
        <v>4246.0</v>
      </c>
      <c r="K449" s="33">
        <v>2469.0</v>
      </c>
      <c r="L449" s="33">
        <v>5846.0</v>
      </c>
      <c r="M449" s="33">
        <v>13279.0</v>
      </c>
      <c r="N449" s="33">
        <v>8564.0</v>
      </c>
      <c r="O449" s="33">
        <v>8138.0</v>
      </c>
      <c r="P449" s="33">
        <v>426.0</v>
      </c>
      <c r="Q449" s="33">
        <v>4715.0</v>
      </c>
      <c r="R449" s="34">
        <v>53.4591195</v>
      </c>
      <c r="S449" s="34">
        <v>33.8030412</v>
      </c>
      <c r="T449" s="34">
        <v>19.6560783</v>
      </c>
      <c r="U449" s="34">
        <v>46.5408805</v>
      </c>
      <c r="V449" s="34">
        <v>64.4928082</v>
      </c>
      <c r="W449" s="34">
        <v>61.2847353</v>
      </c>
      <c r="X449" s="34">
        <v>3.2080729</v>
      </c>
      <c r="Y449" s="34">
        <v>35.5071918</v>
      </c>
    </row>
    <row r="450" ht="15.0" customHeight="1">
      <c r="B450" s="35">
        <v>445.0</v>
      </c>
      <c r="C450" s="36" t="s">
        <v>21</v>
      </c>
      <c r="D450" s="41" t="s">
        <v>56</v>
      </c>
      <c r="E450" s="41" t="s">
        <v>160</v>
      </c>
      <c r="F450" s="41" t="s">
        <v>161</v>
      </c>
      <c r="G450" s="42" t="s">
        <v>161</v>
      </c>
      <c r="H450" s="37">
        <v>4210.0</v>
      </c>
      <c r="I450" s="37">
        <v>1680.0</v>
      </c>
      <c r="J450" s="37">
        <v>1297.0</v>
      </c>
      <c r="K450" s="37">
        <v>383.0</v>
      </c>
      <c r="L450" s="37">
        <v>2530.0</v>
      </c>
      <c r="M450" s="37">
        <v>4491.0</v>
      </c>
      <c r="N450" s="37">
        <v>2466.0</v>
      </c>
      <c r="O450" s="37">
        <v>2320.0</v>
      </c>
      <c r="P450" s="37">
        <v>146.0</v>
      </c>
      <c r="Q450" s="37">
        <v>2025.0</v>
      </c>
      <c r="R450" s="38">
        <v>39.9049881</v>
      </c>
      <c r="S450" s="38">
        <v>30.807601</v>
      </c>
      <c r="T450" s="38">
        <v>9.0973872</v>
      </c>
      <c r="U450" s="38">
        <v>60.0950119</v>
      </c>
      <c r="V450" s="38">
        <v>54.9098196</v>
      </c>
      <c r="W450" s="38">
        <v>51.6588733</v>
      </c>
      <c r="X450" s="38">
        <v>3.2509463</v>
      </c>
      <c r="Y450" s="38">
        <v>45.0901804</v>
      </c>
    </row>
    <row r="451" ht="15.0" hidden="1" customHeight="1">
      <c r="B451" s="30">
        <v>446.0</v>
      </c>
      <c r="C451" s="31" t="s">
        <v>21</v>
      </c>
      <c r="D451" s="31" t="s">
        <v>56</v>
      </c>
      <c r="E451" s="31" t="s">
        <v>160</v>
      </c>
      <c r="F451" s="31" t="s">
        <v>161</v>
      </c>
      <c r="G451" s="32" t="s">
        <v>15</v>
      </c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4"/>
      <c r="S451" s="34"/>
      <c r="T451" s="34"/>
      <c r="U451" s="34"/>
      <c r="V451" s="34"/>
      <c r="W451" s="34"/>
      <c r="X451" s="34"/>
      <c r="Y451" s="34"/>
    </row>
    <row r="452" ht="15.0" hidden="1" customHeight="1">
      <c r="B452" s="30">
        <v>447.0</v>
      </c>
      <c r="C452" s="31" t="s">
        <v>21</v>
      </c>
      <c r="D452" s="31" t="s">
        <v>56</v>
      </c>
      <c r="E452" s="31" t="s">
        <v>160</v>
      </c>
      <c r="F452" s="31" t="s">
        <v>161</v>
      </c>
      <c r="G452" s="32" t="s">
        <v>16</v>
      </c>
      <c r="H452" s="33">
        <v>4210.0</v>
      </c>
      <c r="I452" s="33">
        <v>1680.0</v>
      </c>
      <c r="J452" s="33">
        <v>1297.0</v>
      </c>
      <c r="K452" s="33">
        <v>383.0</v>
      </c>
      <c r="L452" s="33">
        <v>2530.0</v>
      </c>
      <c r="M452" s="33">
        <v>4491.0</v>
      </c>
      <c r="N452" s="33">
        <v>2466.0</v>
      </c>
      <c r="O452" s="33">
        <v>2320.0</v>
      </c>
      <c r="P452" s="33">
        <v>146.0</v>
      </c>
      <c r="Q452" s="33">
        <v>2025.0</v>
      </c>
      <c r="R452" s="34">
        <v>39.9049881</v>
      </c>
      <c r="S452" s="34">
        <v>30.807601</v>
      </c>
      <c r="T452" s="34">
        <v>9.0973872</v>
      </c>
      <c r="U452" s="34">
        <v>60.0950119</v>
      </c>
      <c r="V452" s="34">
        <v>54.9098196</v>
      </c>
      <c r="W452" s="34">
        <v>51.6588733</v>
      </c>
      <c r="X452" s="34">
        <v>3.2509463</v>
      </c>
      <c r="Y452" s="34">
        <v>45.0901804</v>
      </c>
    </row>
    <row r="453" ht="15.0" hidden="1" customHeight="1">
      <c r="B453" s="18">
        <v>448.0</v>
      </c>
      <c r="C453" s="19" t="s">
        <v>17</v>
      </c>
      <c r="D453" s="19" t="s">
        <v>162</v>
      </c>
      <c r="E453" s="19"/>
      <c r="F453" s="19"/>
      <c r="G453" s="19" t="s">
        <v>162</v>
      </c>
      <c r="H453" s="20">
        <v>516608.0</v>
      </c>
      <c r="I453" s="20">
        <v>362175.0</v>
      </c>
      <c r="J453" s="20">
        <v>228425.0</v>
      </c>
      <c r="K453" s="20">
        <v>133750.0</v>
      </c>
      <c r="L453" s="20">
        <v>154433.0</v>
      </c>
      <c r="M453" s="20">
        <v>675064.0</v>
      </c>
      <c r="N453" s="20">
        <v>535570.0</v>
      </c>
      <c r="O453" s="20">
        <v>463342.0</v>
      </c>
      <c r="P453" s="20">
        <v>72228.0</v>
      </c>
      <c r="Q453" s="20">
        <v>139494.0</v>
      </c>
      <c r="R453" s="21">
        <v>70.1063476</v>
      </c>
      <c r="S453" s="21">
        <v>44.216311</v>
      </c>
      <c r="T453" s="21">
        <v>25.8900365</v>
      </c>
      <c r="U453" s="21">
        <v>29.8936524</v>
      </c>
      <c r="V453" s="21">
        <v>79.3361815</v>
      </c>
      <c r="W453" s="21">
        <v>68.6367515</v>
      </c>
      <c r="X453" s="21">
        <v>10.69943</v>
      </c>
      <c r="Y453" s="21">
        <v>20.6638185</v>
      </c>
    </row>
    <row r="454" ht="15.0" hidden="1" customHeight="1">
      <c r="B454" s="22">
        <v>449.0</v>
      </c>
      <c r="C454" s="23" t="s">
        <v>17</v>
      </c>
      <c r="D454" s="39" t="s">
        <v>162</v>
      </c>
      <c r="E454" s="39"/>
      <c r="F454" s="39"/>
      <c r="G454" s="23" t="s">
        <v>15</v>
      </c>
      <c r="H454" s="24">
        <v>330051.0</v>
      </c>
      <c r="I454" s="24">
        <v>286619.0</v>
      </c>
      <c r="J454" s="24">
        <v>176398.0</v>
      </c>
      <c r="K454" s="24">
        <v>110221.0</v>
      </c>
      <c r="L454" s="24">
        <v>43432.0</v>
      </c>
      <c r="M454" s="24">
        <v>442960.0</v>
      </c>
      <c r="N454" s="24">
        <v>413211.0</v>
      </c>
      <c r="O454" s="24">
        <v>350126.0</v>
      </c>
      <c r="P454" s="24">
        <v>63085.0</v>
      </c>
      <c r="Q454" s="24">
        <v>29749.0</v>
      </c>
      <c r="R454" s="25">
        <v>86.8408216</v>
      </c>
      <c r="S454" s="25">
        <v>53.4456796</v>
      </c>
      <c r="T454" s="25">
        <v>33.395142</v>
      </c>
      <c r="U454" s="25">
        <v>13.1591784</v>
      </c>
      <c r="V454" s="25">
        <v>93.2840437</v>
      </c>
      <c r="W454" s="25">
        <v>79.0423515</v>
      </c>
      <c r="X454" s="25">
        <v>14.2416923</v>
      </c>
      <c r="Y454" s="25">
        <v>6.7159563</v>
      </c>
    </row>
    <row r="455" ht="15.0" hidden="1" customHeight="1">
      <c r="B455" s="22">
        <v>450.0</v>
      </c>
      <c r="C455" s="23" t="s">
        <v>17</v>
      </c>
      <c r="D455" s="39" t="s">
        <v>162</v>
      </c>
      <c r="E455" s="39"/>
      <c r="F455" s="39"/>
      <c r="G455" s="23" t="s">
        <v>16</v>
      </c>
      <c r="H455" s="24">
        <v>186557.0</v>
      </c>
      <c r="I455" s="24">
        <v>75556.0</v>
      </c>
      <c r="J455" s="24">
        <v>52027.0</v>
      </c>
      <c r="K455" s="24">
        <v>23529.0</v>
      </c>
      <c r="L455" s="24">
        <v>111001.0</v>
      </c>
      <c r="M455" s="24">
        <v>232104.0</v>
      </c>
      <c r="N455" s="24">
        <v>122359.0</v>
      </c>
      <c r="O455" s="24">
        <v>113216.0</v>
      </c>
      <c r="P455" s="24">
        <v>9143.0</v>
      </c>
      <c r="Q455" s="24">
        <v>109745.0</v>
      </c>
      <c r="R455" s="25">
        <v>40.5002225</v>
      </c>
      <c r="S455" s="25">
        <v>27.8879913</v>
      </c>
      <c r="T455" s="25">
        <v>12.6122311</v>
      </c>
      <c r="U455" s="25">
        <v>59.4997775</v>
      </c>
      <c r="V455" s="25">
        <v>52.7173164</v>
      </c>
      <c r="W455" s="25">
        <v>48.7781339</v>
      </c>
      <c r="X455" s="25">
        <v>3.9391824</v>
      </c>
      <c r="Y455" s="25">
        <v>47.2826836</v>
      </c>
    </row>
    <row r="456" ht="15.0" hidden="1" customHeight="1">
      <c r="B456" s="26">
        <v>451.0</v>
      </c>
      <c r="C456" s="27" t="s">
        <v>19</v>
      </c>
      <c r="D456" s="40" t="s">
        <v>162</v>
      </c>
      <c r="E456" s="40" t="s">
        <v>163</v>
      </c>
      <c r="F456" s="40"/>
      <c r="G456" s="27" t="s">
        <v>163</v>
      </c>
      <c r="H456" s="28">
        <v>177376.0</v>
      </c>
      <c r="I456" s="28">
        <v>154254.0</v>
      </c>
      <c r="J456" s="28">
        <v>96122.0</v>
      </c>
      <c r="K456" s="28">
        <v>58132.0</v>
      </c>
      <c r="L456" s="28">
        <v>23122.0</v>
      </c>
      <c r="M456" s="28">
        <v>212273.0</v>
      </c>
      <c r="N456" s="28">
        <v>199894.0</v>
      </c>
      <c r="O456" s="28">
        <v>169593.0</v>
      </c>
      <c r="P456" s="28">
        <v>30301.0</v>
      </c>
      <c r="Q456" s="28">
        <v>12379.0</v>
      </c>
      <c r="R456" s="29">
        <v>86.9644146</v>
      </c>
      <c r="S456" s="29">
        <v>54.1910969</v>
      </c>
      <c r="T456" s="29">
        <v>32.7733177</v>
      </c>
      <c r="U456" s="29">
        <v>13.0355854</v>
      </c>
      <c r="V456" s="29">
        <v>94.1683587</v>
      </c>
      <c r="W456" s="29">
        <v>79.893816</v>
      </c>
      <c r="X456" s="29">
        <v>14.2745427</v>
      </c>
      <c r="Y456" s="29">
        <v>5.8316413</v>
      </c>
    </row>
    <row r="457" ht="15.0" hidden="1" customHeight="1">
      <c r="B457" s="30">
        <v>452.0</v>
      </c>
      <c r="C457" s="31" t="s">
        <v>19</v>
      </c>
      <c r="D457" s="31" t="s">
        <v>162</v>
      </c>
      <c r="E457" s="31" t="s">
        <v>163</v>
      </c>
      <c r="F457" s="31"/>
      <c r="G457" s="32" t="s">
        <v>15</v>
      </c>
      <c r="H457" s="33">
        <v>177376.0</v>
      </c>
      <c r="I457" s="33">
        <v>154254.0</v>
      </c>
      <c r="J457" s="33">
        <v>96122.0</v>
      </c>
      <c r="K457" s="33">
        <v>58132.0</v>
      </c>
      <c r="L457" s="33">
        <v>23122.0</v>
      </c>
      <c r="M457" s="33">
        <v>212257.0</v>
      </c>
      <c r="N457" s="33">
        <v>199891.0</v>
      </c>
      <c r="O457" s="33">
        <v>169590.0</v>
      </c>
      <c r="P457" s="33">
        <v>30301.0</v>
      </c>
      <c r="Q457" s="33">
        <v>12366.0</v>
      </c>
      <c r="R457" s="34">
        <v>86.9644146</v>
      </c>
      <c r="S457" s="34">
        <v>54.1910969</v>
      </c>
      <c r="T457" s="34">
        <v>32.7733177</v>
      </c>
      <c r="U457" s="34">
        <v>13.0355854</v>
      </c>
      <c r="V457" s="34">
        <v>94.1740437</v>
      </c>
      <c r="W457" s="34">
        <v>79.898425</v>
      </c>
      <c r="X457" s="34">
        <v>14.2756187</v>
      </c>
      <c r="Y457" s="34">
        <v>5.8259563</v>
      </c>
    </row>
    <row r="458" ht="15.0" hidden="1" customHeight="1">
      <c r="B458" s="30">
        <v>453.0</v>
      </c>
      <c r="C458" s="31" t="s">
        <v>19</v>
      </c>
      <c r="D458" s="31" t="s">
        <v>162</v>
      </c>
      <c r="E458" s="31" t="s">
        <v>163</v>
      </c>
      <c r="F458" s="31"/>
      <c r="G458" s="32" t="s">
        <v>16</v>
      </c>
      <c r="H458" s="33"/>
      <c r="I458" s="33"/>
      <c r="J458" s="33"/>
      <c r="K458" s="33"/>
      <c r="L458" s="33"/>
      <c r="M458" s="33">
        <v>16.0</v>
      </c>
      <c r="N458" s="33">
        <v>3.0</v>
      </c>
      <c r="O458" s="33">
        <v>3.0</v>
      </c>
      <c r="P458" s="33">
        <v>0.0</v>
      </c>
      <c r="Q458" s="33">
        <v>13.0</v>
      </c>
      <c r="R458" s="34"/>
      <c r="S458" s="34"/>
      <c r="T458" s="34"/>
      <c r="U458" s="34"/>
      <c r="V458" s="34">
        <v>18.75</v>
      </c>
      <c r="W458" s="34">
        <v>18.75</v>
      </c>
      <c r="X458" s="34">
        <v>0.0</v>
      </c>
      <c r="Y458" s="34">
        <v>81.25</v>
      </c>
    </row>
    <row r="459" ht="15.0" customHeight="1">
      <c r="B459" s="35">
        <v>454.0</v>
      </c>
      <c r="C459" s="36" t="s">
        <v>21</v>
      </c>
      <c r="D459" s="41" t="s">
        <v>162</v>
      </c>
      <c r="E459" s="41" t="s">
        <v>163</v>
      </c>
      <c r="F459" s="41" t="s">
        <v>162</v>
      </c>
      <c r="G459" s="42" t="s">
        <v>162</v>
      </c>
      <c r="H459" s="37">
        <v>177376.0</v>
      </c>
      <c r="I459" s="37">
        <v>154254.0</v>
      </c>
      <c r="J459" s="37">
        <v>96122.0</v>
      </c>
      <c r="K459" s="37">
        <v>58132.0</v>
      </c>
      <c r="L459" s="37">
        <v>23122.0</v>
      </c>
      <c r="M459" s="37">
        <v>212273.0</v>
      </c>
      <c r="N459" s="37">
        <v>199894.0</v>
      </c>
      <c r="O459" s="37">
        <v>169593.0</v>
      </c>
      <c r="P459" s="37">
        <v>30301.0</v>
      </c>
      <c r="Q459" s="37">
        <v>12379.0</v>
      </c>
      <c r="R459" s="38">
        <v>86.9644146</v>
      </c>
      <c r="S459" s="38">
        <v>54.1910969</v>
      </c>
      <c r="T459" s="38">
        <v>32.7733177</v>
      </c>
      <c r="U459" s="38">
        <v>13.0355854</v>
      </c>
      <c r="V459" s="38">
        <v>94.1683587</v>
      </c>
      <c r="W459" s="38">
        <v>79.893816</v>
      </c>
      <c r="X459" s="38">
        <v>14.2745427</v>
      </c>
      <c r="Y459" s="38">
        <v>5.8316413</v>
      </c>
    </row>
    <row r="460" ht="15.0" hidden="1" customHeight="1">
      <c r="B460" s="30">
        <v>455.0</v>
      </c>
      <c r="C460" s="31" t="s">
        <v>21</v>
      </c>
      <c r="D460" s="31" t="s">
        <v>162</v>
      </c>
      <c r="E460" s="31" t="s">
        <v>163</v>
      </c>
      <c r="F460" s="31" t="s">
        <v>162</v>
      </c>
      <c r="G460" s="32" t="s">
        <v>15</v>
      </c>
      <c r="H460" s="33">
        <v>177376.0</v>
      </c>
      <c r="I460" s="33">
        <v>154254.0</v>
      </c>
      <c r="J460" s="33">
        <v>96122.0</v>
      </c>
      <c r="K460" s="33">
        <v>58132.0</v>
      </c>
      <c r="L460" s="33">
        <v>23122.0</v>
      </c>
      <c r="M460" s="33">
        <v>212257.0</v>
      </c>
      <c r="N460" s="33">
        <v>199891.0</v>
      </c>
      <c r="O460" s="33">
        <v>169590.0</v>
      </c>
      <c r="P460" s="33">
        <v>30301.0</v>
      </c>
      <c r="Q460" s="33">
        <v>12366.0</v>
      </c>
      <c r="R460" s="34">
        <v>86.9644146</v>
      </c>
      <c r="S460" s="34">
        <v>54.1910969</v>
      </c>
      <c r="T460" s="34">
        <v>32.7733177</v>
      </c>
      <c r="U460" s="34">
        <v>13.0355854</v>
      </c>
      <c r="V460" s="34">
        <v>94.1740437</v>
      </c>
      <c r="W460" s="34">
        <v>79.898425</v>
      </c>
      <c r="X460" s="34">
        <v>14.2756187</v>
      </c>
      <c r="Y460" s="34">
        <v>5.8259563</v>
      </c>
    </row>
    <row r="461" ht="15.0" hidden="1" customHeight="1">
      <c r="B461" s="30">
        <v>456.0</v>
      </c>
      <c r="C461" s="31" t="s">
        <v>21</v>
      </c>
      <c r="D461" s="31" t="s">
        <v>162</v>
      </c>
      <c r="E461" s="31" t="s">
        <v>163</v>
      </c>
      <c r="F461" s="31" t="s">
        <v>162</v>
      </c>
      <c r="G461" s="32" t="s">
        <v>16</v>
      </c>
      <c r="H461" s="33"/>
      <c r="I461" s="33"/>
      <c r="J461" s="33"/>
      <c r="K461" s="33"/>
      <c r="L461" s="33"/>
      <c r="M461" s="33">
        <v>16.0</v>
      </c>
      <c r="N461" s="33">
        <v>3.0</v>
      </c>
      <c r="O461" s="33">
        <v>3.0</v>
      </c>
      <c r="P461" s="33">
        <v>0.0</v>
      </c>
      <c r="Q461" s="33">
        <v>13.0</v>
      </c>
      <c r="R461" s="34"/>
      <c r="S461" s="34"/>
      <c r="T461" s="34"/>
      <c r="U461" s="34"/>
      <c r="V461" s="34">
        <v>18.75</v>
      </c>
      <c r="W461" s="34">
        <v>18.75</v>
      </c>
      <c r="X461" s="34">
        <v>0.0</v>
      </c>
      <c r="Y461" s="34">
        <v>81.25</v>
      </c>
    </row>
    <row r="462" ht="15.0" hidden="1" customHeight="1">
      <c r="B462" s="26">
        <v>457.0</v>
      </c>
      <c r="C462" s="27" t="s">
        <v>19</v>
      </c>
      <c r="D462" s="40" t="s">
        <v>162</v>
      </c>
      <c r="E462" s="40" t="s">
        <v>164</v>
      </c>
      <c r="F462" s="40"/>
      <c r="G462" s="27" t="s">
        <v>164</v>
      </c>
      <c r="H462" s="28">
        <v>9470.0</v>
      </c>
      <c r="I462" s="28">
        <v>4306.0</v>
      </c>
      <c r="J462" s="28">
        <v>2414.0</v>
      </c>
      <c r="K462" s="28">
        <v>1892.0</v>
      </c>
      <c r="L462" s="28">
        <v>5164.0</v>
      </c>
      <c r="M462" s="28">
        <v>10796.0</v>
      </c>
      <c r="N462" s="28">
        <v>6418.0</v>
      </c>
      <c r="O462" s="28">
        <v>5692.0</v>
      </c>
      <c r="P462" s="28">
        <v>726.0</v>
      </c>
      <c r="Q462" s="28">
        <v>4378.0</v>
      </c>
      <c r="R462" s="29">
        <v>45.469905</v>
      </c>
      <c r="S462" s="29">
        <v>25.4910243</v>
      </c>
      <c r="T462" s="29">
        <v>19.9788807</v>
      </c>
      <c r="U462" s="29">
        <v>54.530095</v>
      </c>
      <c r="V462" s="29">
        <v>59.4479437</v>
      </c>
      <c r="W462" s="29">
        <v>52.7232308</v>
      </c>
      <c r="X462" s="29">
        <v>6.7247129</v>
      </c>
      <c r="Y462" s="29">
        <v>40.5520563</v>
      </c>
    </row>
    <row r="463" ht="15.0" hidden="1" customHeight="1">
      <c r="B463" s="30">
        <v>458.0</v>
      </c>
      <c r="C463" s="31" t="s">
        <v>19</v>
      </c>
      <c r="D463" s="31" t="s">
        <v>162</v>
      </c>
      <c r="E463" s="31" t="s">
        <v>164</v>
      </c>
      <c r="F463" s="31"/>
      <c r="G463" s="32" t="s">
        <v>15</v>
      </c>
      <c r="H463" s="33">
        <v>2826.0</v>
      </c>
      <c r="I463" s="33">
        <v>2511.0</v>
      </c>
      <c r="J463" s="33">
        <v>1436.0</v>
      </c>
      <c r="K463" s="33">
        <v>1075.0</v>
      </c>
      <c r="L463" s="33">
        <v>315.0</v>
      </c>
      <c r="M463" s="33">
        <v>3351.0</v>
      </c>
      <c r="N463" s="33">
        <v>3130.0</v>
      </c>
      <c r="O463" s="33">
        <v>2661.0</v>
      </c>
      <c r="P463" s="33">
        <v>469.0</v>
      </c>
      <c r="Q463" s="33">
        <v>221.0</v>
      </c>
      <c r="R463" s="34">
        <v>88.8535032</v>
      </c>
      <c r="S463" s="34">
        <v>50.8138712</v>
      </c>
      <c r="T463" s="34">
        <v>38.039632</v>
      </c>
      <c r="U463" s="34">
        <v>11.1464968</v>
      </c>
      <c r="V463" s="34">
        <v>93.4049537</v>
      </c>
      <c r="W463" s="34">
        <v>79.4091316</v>
      </c>
      <c r="X463" s="34">
        <v>13.9958221</v>
      </c>
      <c r="Y463" s="34">
        <v>6.5950463</v>
      </c>
    </row>
    <row r="464" ht="15.0" hidden="1" customHeight="1">
      <c r="B464" s="30">
        <v>459.0</v>
      </c>
      <c r="C464" s="31" t="s">
        <v>19</v>
      </c>
      <c r="D464" s="31" t="s">
        <v>162</v>
      </c>
      <c r="E464" s="31" t="s">
        <v>164</v>
      </c>
      <c r="F464" s="31"/>
      <c r="G464" s="32" t="s">
        <v>16</v>
      </c>
      <c r="H464" s="33">
        <v>6644.0</v>
      </c>
      <c r="I464" s="33">
        <v>1795.0</v>
      </c>
      <c r="J464" s="33">
        <v>978.0</v>
      </c>
      <c r="K464" s="33">
        <v>817.0</v>
      </c>
      <c r="L464" s="33">
        <v>4849.0</v>
      </c>
      <c r="M464" s="33">
        <v>7445.0</v>
      </c>
      <c r="N464" s="33">
        <v>3288.0</v>
      </c>
      <c r="O464" s="33">
        <v>3031.0</v>
      </c>
      <c r="P464" s="33">
        <v>257.0</v>
      </c>
      <c r="Q464" s="33">
        <v>4157.0</v>
      </c>
      <c r="R464" s="34">
        <v>27.0168573</v>
      </c>
      <c r="S464" s="34">
        <v>14.7200482</v>
      </c>
      <c r="T464" s="34">
        <v>12.2968092</v>
      </c>
      <c r="U464" s="34">
        <v>72.9831427</v>
      </c>
      <c r="V464" s="34">
        <v>44.1638684</v>
      </c>
      <c r="W464" s="34">
        <v>40.7118872</v>
      </c>
      <c r="X464" s="34">
        <v>3.4519812</v>
      </c>
      <c r="Y464" s="34">
        <v>55.8361316</v>
      </c>
    </row>
    <row r="465" ht="15.0" customHeight="1">
      <c r="B465" s="35">
        <v>460.0</v>
      </c>
      <c r="C465" s="36" t="s">
        <v>21</v>
      </c>
      <c r="D465" s="41" t="s">
        <v>162</v>
      </c>
      <c r="E465" s="41" t="s">
        <v>164</v>
      </c>
      <c r="F465" s="41" t="s">
        <v>165</v>
      </c>
      <c r="G465" s="42" t="s">
        <v>165</v>
      </c>
      <c r="H465" s="37">
        <v>6499.0</v>
      </c>
      <c r="I465" s="37">
        <v>2930.0</v>
      </c>
      <c r="J465" s="37">
        <v>1879.0</v>
      </c>
      <c r="K465" s="37">
        <v>1051.0</v>
      </c>
      <c r="L465" s="37">
        <v>3569.0</v>
      </c>
      <c r="M465" s="37">
        <v>7123.0</v>
      </c>
      <c r="N465" s="37">
        <v>4115.0</v>
      </c>
      <c r="O465" s="37">
        <v>3669.0</v>
      </c>
      <c r="P465" s="37">
        <v>446.0</v>
      </c>
      <c r="Q465" s="37">
        <v>3008.0</v>
      </c>
      <c r="R465" s="38">
        <v>45.0838591</v>
      </c>
      <c r="S465" s="38">
        <v>28.9121403</v>
      </c>
      <c r="T465" s="38">
        <v>16.1717187</v>
      </c>
      <c r="U465" s="38">
        <v>54.9161409</v>
      </c>
      <c r="V465" s="38">
        <v>57.7706023</v>
      </c>
      <c r="W465" s="38">
        <v>51.5091956</v>
      </c>
      <c r="X465" s="38">
        <v>6.2614067</v>
      </c>
      <c r="Y465" s="38">
        <v>42.2293977</v>
      </c>
    </row>
    <row r="466" ht="15.0" hidden="1" customHeight="1">
      <c r="B466" s="30">
        <v>461.0</v>
      </c>
      <c r="C466" s="31" t="s">
        <v>21</v>
      </c>
      <c r="D466" s="31" t="s">
        <v>162</v>
      </c>
      <c r="E466" s="31" t="s">
        <v>164</v>
      </c>
      <c r="F466" s="31" t="s">
        <v>165</v>
      </c>
      <c r="G466" s="32" t="s">
        <v>15</v>
      </c>
      <c r="H466" s="33">
        <v>2282.0</v>
      </c>
      <c r="I466" s="33">
        <v>2057.0</v>
      </c>
      <c r="J466" s="33">
        <v>1277.0</v>
      </c>
      <c r="K466" s="33">
        <v>780.0</v>
      </c>
      <c r="L466" s="33">
        <v>225.0</v>
      </c>
      <c r="M466" s="33">
        <v>2680.0</v>
      </c>
      <c r="N466" s="33">
        <v>2500.0</v>
      </c>
      <c r="O466" s="33">
        <v>2105.0</v>
      </c>
      <c r="P466" s="33">
        <v>395.0</v>
      </c>
      <c r="Q466" s="33">
        <v>180.0</v>
      </c>
      <c r="R466" s="34">
        <v>90.1402279</v>
      </c>
      <c r="S466" s="34">
        <v>55.9596845</v>
      </c>
      <c r="T466" s="34">
        <v>34.1805434</v>
      </c>
      <c r="U466" s="34">
        <v>9.8597721</v>
      </c>
      <c r="V466" s="34">
        <v>93.2835821</v>
      </c>
      <c r="W466" s="34">
        <v>78.5447761</v>
      </c>
      <c r="X466" s="34">
        <v>14.738806</v>
      </c>
      <c r="Y466" s="34">
        <v>6.7164179</v>
      </c>
    </row>
    <row r="467" ht="15.0" hidden="1" customHeight="1">
      <c r="B467" s="30">
        <v>462.0</v>
      </c>
      <c r="C467" s="31" t="s">
        <v>21</v>
      </c>
      <c r="D467" s="31" t="s">
        <v>162</v>
      </c>
      <c r="E467" s="31" t="s">
        <v>164</v>
      </c>
      <c r="F467" s="31" t="s">
        <v>165</v>
      </c>
      <c r="G467" s="32" t="s">
        <v>16</v>
      </c>
      <c r="H467" s="33">
        <v>4217.0</v>
      </c>
      <c r="I467" s="33">
        <v>873.0</v>
      </c>
      <c r="J467" s="33">
        <v>602.0</v>
      </c>
      <c r="K467" s="33">
        <v>271.0</v>
      </c>
      <c r="L467" s="33">
        <v>3344.0</v>
      </c>
      <c r="M467" s="33">
        <v>4443.0</v>
      </c>
      <c r="N467" s="33">
        <v>1615.0</v>
      </c>
      <c r="O467" s="33">
        <v>1564.0</v>
      </c>
      <c r="P467" s="33">
        <v>51.0</v>
      </c>
      <c r="Q467" s="33">
        <v>2828.0</v>
      </c>
      <c r="R467" s="34">
        <v>20.7019208</v>
      </c>
      <c r="S467" s="34">
        <v>14.2755513</v>
      </c>
      <c r="T467" s="34">
        <v>6.4263695</v>
      </c>
      <c r="U467" s="34">
        <v>79.2980792</v>
      </c>
      <c r="V467" s="34">
        <v>36.3493135</v>
      </c>
      <c r="W467" s="34">
        <v>35.2014405</v>
      </c>
      <c r="X467" s="34">
        <v>1.1478731</v>
      </c>
      <c r="Y467" s="34">
        <v>63.6506865</v>
      </c>
    </row>
    <row r="468" ht="15.0" customHeight="1">
      <c r="B468" s="35">
        <v>463.0</v>
      </c>
      <c r="C468" s="36" t="s">
        <v>21</v>
      </c>
      <c r="D468" s="41" t="s">
        <v>162</v>
      </c>
      <c r="E468" s="41" t="s">
        <v>164</v>
      </c>
      <c r="F468" s="41" t="s">
        <v>166</v>
      </c>
      <c r="G468" s="42" t="s">
        <v>166</v>
      </c>
      <c r="H468" s="37">
        <v>1537.0</v>
      </c>
      <c r="I468" s="37">
        <v>623.0</v>
      </c>
      <c r="J468" s="37">
        <v>242.0</v>
      </c>
      <c r="K468" s="37">
        <v>381.0</v>
      </c>
      <c r="L468" s="37">
        <v>914.0</v>
      </c>
      <c r="M468" s="37">
        <v>1753.0</v>
      </c>
      <c r="N468" s="37">
        <v>936.0</v>
      </c>
      <c r="O468" s="37">
        <v>844.0</v>
      </c>
      <c r="P468" s="37">
        <v>92.0</v>
      </c>
      <c r="Q468" s="37">
        <v>817.0</v>
      </c>
      <c r="R468" s="38">
        <v>40.5335068</v>
      </c>
      <c r="S468" s="38">
        <v>15.7449577</v>
      </c>
      <c r="T468" s="38">
        <v>24.7885491</v>
      </c>
      <c r="U468" s="38">
        <v>59.4664932</v>
      </c>
      <c r="V468" s="38">
        <v>53.3941814</v>
      </c>
      <c r="W468" s="38">
        <v>48.1460354</v>
      </c>
      <c r="X468" s="38">
        <v>5.248146</v>
      </c>
      <c r="Y468" s="38">
        <v>46.6058186</v>
      </c>
    </row>
    <row r="469" ht="15.0" hidden="1" customHeight="1">
      <c r="B469" s="30">
        <v>464.0</v>
      </c>
      <c r="C469" s="31" t="s">
        <v>21</v>
      </c>
      <c r="D469" s="31" t="s">
        <v>162</v>
      </c>
      <c r="E469" s="31" t="s">
        <v>164</v>
      </c>
      <c r="F469" s="31" t="s">
        <v>166</v>
      </c>
      <c r="G469" s="32" t="s">
        <v>15</v>
      </c>
      <c r="H469" s="33">
        <v>544.0</v>
      </c>
      <c r="I469" s="33">
        <v>454.0</v>
      </c>
      <c r="J469" s="33">
        <v>159.0</v>
      </c>
      <c r="K469" s="33">
        <v>295.0</v>
      </c>
      <c r="L469" s="33">
        <v>90.0</v>
      </c>
      <c r="M469" s="33">
        <v>671.0</v>
      </c>
      <c r="N469" s="33">
        <v>630.0</v>
      </c>
      <c r="O469" s="33">
        <v>556.0</v>
      </c>
      <c r="P469" s="33">
        <v>74.0</v>
      </c>
      <c r="Q469" s="33">
        <v>41.0</v>
      </c>
      <c r="R469" s="34">
        <v>83.4558824</v>
      </c>
      <c r="S469" s="34">
        <v>29.2279412</v>
      </c>
      <c r="T469" s="34">
        <v>54.2279412</v>
      </c>
      <c r="U469" s="34">
        <v>16.5441176</v>
      </c>
      <c r="V469" s="34">
        <v>93.8897168</v>
      </c>
      <c r="W469" s="34">
        <v>82.8614009</v>
      </c>
      <c r="X469" s="34">
        <v>11.0283159</v>
      </c>
      <c r="Y469" s="34">
        <v>6.1102832</v>
      </c>
    </row>
    <row r="470" ht="15.0" hidden="1" customHeight="1">
      <c r="B470" s="30">
        <v>465.0</v>
      </c>
      <c r="C470" s="31" t="s">
        <v>21</v>
      </c>
      <c r="D470" s="31" t="s">
        <v>162</v>
      </c>
      <c r="E470" s="31" t="s">
        <v>164</v>
      </c>
      <c r="F470" s="31" t="s">
        <v>166</v>
      </c>
      <c r="G470" s="32" t="s">
        <v>16</v>
      </c>
      <c r="H470" s="33">
        <v>993.0</v>
      </c>
      <c r="I470" s="33">
        <v>169.0</v>
      </c>
      <c r="J470" s="33">
        <v>83.0</v>
      </c>
      <c r="K470" s="33">
        <v>86.0</v>
      </c>
      <c r="L470" s="33">
        <v>824.0</v>
      </c>
      <c r="M470" s="33">
        <v>1082.0</v>
      </c>
      <c r="N470" s="33">
        <v>306.0</v>
      </c>
      <c r="O470" s="33">
        <v>288.0</v>
      </c>
      <c r="P470" s="33">
        <v>18.0</v>
      </c>
      <c r="Q470" s="33">
        <v>776.0</v>
      </c>
      <c r="R470" s="34">
        <v>17.0191339</v>
      </c>
      <c r="S470" s="34">
        <v>8.3585096</v>
      </c>
      <c r="T470" s="34">
        <v>8.6606244</v>
      </c>
      <c r="U470" s="34">
        <v>82.9808661</v>
      </c>
      <c r="V470" s="34">
        <v>28.2809612</v>
      </c>
      <c r="W470" s="34">
        <v>26.6173752</v>
      </c>
      <c r="X470" s="34">
        <v>1.663586</v>
      </c>
      <c r="Y470" s="34">
        <v>71.7190388</v>
      </c>
    </row>
    <row r="471" ht="15.0" customHeight="1">
      <c r="B471" s="35">
        <v>466.0</v>
      </c>
      <c r="C471" s="36" t="s">
        <v>21</v>
      </c>
      <c r="D471" s="41" t="s">
        <v>162</v>
      </c>
      <c r="E471" s="41" t="s">
        <v>164</v>
      </c>
      <c r="F471" s="41" t="s">
        <v>167</v>
      </c>
      <c r="G471" s="42" t="s">
        <v>167</v>
      </c>
      <c r="H471" s="37">
        <v>1434.0</v>
      </c>
      <c r="I471" s="37">
        <v>753.0</v>
      </c>
      <c r="J471" s="37">
        <v>293.0</v>
      </c>
      <c r="K471" s="37">
        <v>460.0</v>
      </c>
      <c r="L471" s="37">
        <v>681.0</v>
      </c>
      <c r="M471" s="37">
        <v>1920.0</v>
      </c>
      <c r="N471" s="37">
        <v>1367.0</v>
      </c>
      <c r="O471" s="37">
        <v>1179.0</v>
      </c>
      <c r="P471" s="37">
        <v>188.0</v>
      </c>
      <c r="Q471" s="37">
        <v>553.0</v>
      </c>
      <c r="R471" s="38">
        <v>52.5104603</v>
      </c>
      <c r="S471" s="38">
        <v>20.432357</v>
      </c>
      <c r="T471" s="38">
        <v>32.0781032</v>
      </c>
      <c r="U471" s="38">
        <v>47.4895397</v>
      </c>
      <c r="V471" s="38">
        <v>71.1979167</v>
      </c>
      <c r="W471" s="38">
        <v>61.40625</v>
      </c>
      <c r="X471" s="38">
        <v>9.7916667</v>
      </c>
      <c r="Y471" s="38">
        <v>28.8020833</v>
      </c>
    </row>
    <row r="472" ht="15.0" hidden="1" customHeight="1">
      <c r="B472" s="30">
        <v>467.0</v>
      </c>
      <c r="C472" s="31" t="s">
        <v>21</v>
      </c>
      <c r="D472" s="31" t="s">
        <v>162</v>
      </c>
      <c r="E472" s="31" t="s">
        <v>164</v>
      </c>
      <c r="F472" s="31" t="s">
        <v>167</v>
      </c>
      <c r="G472" s="32" t="s">
        <v>15</v>
      </c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4"/>
      <c r="S472" s="34"/>
      <c r="T472" s="34"/>
      <c r="U472" s="34"/>
      <c r="V472" s="34"/>
      <c r="W472" s="34"/>
      <c r="X472" s="34"/>
      <c r="Y472" s="34"/>
    </row>
    <row r="473" ht="15.0" hidden="1" customHeight="1">
      <c r="B473" s="30">
        <v>468.0</v>
      </c>
      <c r="C473" s="31" t="s">
        <v>21</v>
      </c>
      <c r="D473" s="31" t="s">
        <v>162</v>
      </c>
      <c r="E473" s="31" t="s">
        <v>164</v>
      </c>
      <c r="F473" s="31" t="s">
        <v>167</v>
      </c>
      <c r="G473" s="32" t="s">
        <v>16</v>
      </c>
      <c r="H473" s="33">
        <v>1434.0</v>
      </c>
      <c r="I473" s="33">
        <v>753.0</v>
      </c>
      <c r="J473" s="33">
        <v>293.0</v>
      </c>
      <c r="K473" s="33">
        <v>460.0</v>
      </c>
      <c r="L473" s="33">
        <v>681.0</v>
      </c>
      <c r="M473" s="33">
        <v>1920.0</v>
      </c>
      <c r="N473" s="33">
        <v>1367.0</v>
      </c>
      <c r="O473" s="33">
        <v>1179.0</v>
      </c>
      <c r="P473" s="33">
        <v>188.0</v>
      </c>
      <c r="Q473" s="33">
        <v>553.0</v>
      </c>
      <c r="R473" s="34">
        <v>52.5104603</v>
      </c>
      <c r="S473" s="34">
        <v>20.432357</v>
      </c>
      <c r="T473" s="34">
        <v>32.0781032</v>
      </c>
      <c r="U473" s="34">
        <v>47.4895397</v>
      </c>
      <c r="V473" s="34">
        <v>71.1979167</v>
      </c>
      <c r="W473" s="34">
        <v>61.40625</v>
      </c>
      <c r="X473" s="34">
        <v>9.7916667</v>
      </c>
      <c r="Y473" s="34">
        <v>28.8020833</v>
      </c>
    </row>
    <row r="474" ht="15.0" hidden="1" customHeight="1">
      <c r="B474" s="26">
        <v>469.0</v>
      </c>
      <c r="C474" s="27" t="s">
        <v>19</v>
      </c>
      <c r="D474" s="40" t="s">
        <v>162</v>
      </c>
      <c r="E474" s="40" t="s">
        <v>168</v>
      </c>
      <c r="F474" s="40"/>
      <c r="G474" s="27" t="s">
        <v>168</v>
      </c>
      <c r="H474" s="28">
        <v>16203.0</v>
      </c>
      <c r="I474" s="28">
        <v>3658.0</v>
      </c>
      <c r="J474" s="28">
        <v>2391.0</v>
      </c>
      <c r="K474" s="28">
        <v>1267.0</v>
      </c>
      <c r="L474" s="28">
        <v>12545.0</v>
      </c>
      <c r="M474" s="28">
        <v>21034.0</v>
      </c>
      <c r="N474" s="28">
        <v>8134.0</v>
      </c>
      <c r="O474" s="28">
        <v>7200.0</v>
      </c>
      <c r="P474" s="28">
        <v>934.0</v>
      </c>
      <c r="Q474" s="28">
        <v>12900.0</v>
      </c>
      <c r="R474" s="29">
        <v>22.5760662</v>
      </c>
      <c r="S474" s="29">
        <v>14.7565266</v>
      </c>
      <c r="T474" s="29">
        <v>7.8195396</v>
      </c>
      <c r="U474" s="29">
        <v>77.4239338</v>
      </c>
      <c r="V474" s="29">
        <v>38.6707236</v>
      </c>
      <c r="W474" s="29">
        <v>34.2302938</v>
      </c>
      <c r="X474" s="29">
        <v>4.4404298</v>
      </c>
      <c r="Y474" s="29">
        <v>61.3292764</v>
      </c>
    </row>
    <row r="475" ht="15.0" hidden="1" customHeight="1">
      <c r="B475" s="30">
        <v>470.0</v>
      </c>
      <c r="C475" s="31" t="s">
        <v>19</v>
      </c>
      <c r="D475" s="31" t="s">
        <v>162</v>
      </c>
      <c r="E475" s="31" t="s">
        <v>168</v>
      </c>
      <c r="F475" s="31"/>
      <c r="G475" s="32" t="s">
        <v>15</v>
      </c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4"/>
      <c r="S475" s="34"/>
      <c r="T475" s="34"/>
      <c r="U475" s="34"/>
      <c r="V475" s="34"/>
      <c r="W475" s="34"/>
      <c r="X475" s="34"/>
      <c r="Y475" s="34"/>
    </row>
    <row r="476" ht="15.0" hidden="1" customHeight="1">
      <c r="B476" s="30">
        <v>471.0</v>
      </c>
      <c r="C476" s="31" t="s">
        <v>19</v>
      </c>
      <c r="D476" s="31" t="s">
        <v>162</v>
      </c>
      <c r="E476" s="31" t="s">
        <v>168</v>
      </c>
      <c r="F476" s="31"/>
      <c r="G476" s="32" t="s">
        <v>16</v>
      </c>
      <c r="H476" s="33">
        <v>16203.0</v>
      </c>
      <c r="I476" s="33">
        <v>3658.0</v>
      </c>
      <c r="J476" s="33">
        <v>2391.0</v>
      </c>
      <c r="K476" s="33">
        <v>1267.0</v>
      </c>
      <c r="L476" s="33">
        <v>12545.0</v>
      </c>
      <c r="M476" s="33">
        <v>21034.0</v>
      </c>
      <c r="N476" s="33">
        <v>8134.0</v>
      </c>
      <c r="O476" s="33">
        <v>7200.0</v>
      </c>
      <c r="P476" s="33">
        <v>934.0</v>
      </c>
      <c r="Q476" s="33">
        <v>12900.0</v>
      </c>
      <c r="R476" s="34">
        <v>22.5760662</v>
      </c>
      <c r="S476" s="34">
        <v>14.7565266</v>
      </c>
      <c r="T476" s="34">
        <v>7.8195396</v>
      </c>
      <c r="U476" s="34">
        <v>77.4239338</v>
      </c>
      <c r="V476" s="34">
        <v>38.6707236</v>
      </c>
      <c r="W476" s="34">
        <v>34.2302938</v>
      </c>
      <c r="X476" s="34">
        <v>4.4404298</v>
      </c>
      <c r="Y476" s="34">
        <v>61.3292764</v>
      </c>
    </row>
    <row r="477" ht="15.0" customHeight="1">
      <c r="B477" s="35">
        <v>472.0</v>
      </c>
      <c r="C477" s="36" t="s">
        <v>21</v>
      </c>
      <c r="D477" s="41" t="s">
        <v>162</v>
      </c>
      <c r="E477" s="41" t="s">
        <v>168</v>
      </c>
      <c r="F477" s="41" t="s">
        <v>168</v>
      </c>
      <c r="G477" s="42" t="s">
        <v>168</v>
      </c>
      <c r="H477" s="37">
        <v>7347.0</v>
      </c>
      <c r="I477" s="37">
        <v>1129.0</v>
      </c>
      <c r="J477" s="37">
        <v>673.0</v>
      </c>
      <c r="K477" s="37">
        <v>456.0</v>
      </c>
      <c r="L477" s="37">
        <v>6218.0</v>
      </c>
      <c r="M477" s="37">
        <v>8442.0</v>
      </c>
      <c r="N477" s="37">
        <v>2890.0</v>
      </c>
      <c r="O477" s="37">
        <v>2550.0</v>
      </c>
      <c r="P477" s="37">
        <v>340.0</v>
      </c>
      <c r="Q477" s="37">
        <v>5552.0</v>
      </c>
      <c r="R477" s="38">
        <v>15.3668164</v>
      </c>
      <c r="S477" s="38">
        <v>9.1602014</v>
      </c>
      <c r="T477" s="38">
        <v>6.2066149</v>
      </c>
      <c r="U477" s="38">
        <v>84.6331836</v>
      </c>
      <c r="V477" s="38">
        <v>34.2335939</v>
      </c>
      <c r="W477" s="38">
        <v>30.2061123</v>
      </c>
      <c r="X477" s="38">
        <v>4.0274816</v>
      </c>
      <c r="Y477" s="38">
        <v>65.7664061</v>
      </c>
    </row>
    <row r="478" ht="15.0" hidden="1" customHeight="1">
      <c r="B478" s="30">
        <v>473.0</v>
      </c>
      <c r="C478" s="31" t="s">
        <v>21</v>
      </c>
      <c r="D478" s="31" t="s">
        <v>162</v>
      </c>
      <c r="E478" s="31" t="s">
        <v>168</v>
      </c>
      <c r="F478" s="31" t="s">
        <v>168</v>
      </c>
      <c r="G478" s="32" t="s">
        <v>15</v>
      </c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4"/>
      <c r="S478" s="34"/>
      <c r="T478" s="34"/>
      <c r="U478" s="34"/>
      <c r="V478" s="34"/>
      <c r="W478" s="34"/>
      <c r="X478" s="34"/>
      <c r="Y478" s="34"/>
    </row>
    <row r="479" ht="15.0" hidden="1" customHeight="1">
      <c r="B479" s="30">
        <v>474.0</v>
      </c>
      <c r="C479" s="31" t="s">
        <v>21</v>
      </c>
      <c r="D479" s="31" t="s">
        <v>162</v>
      </c>
      <c r="E479" s="31" t="s">
        <v>168</v>
      </c>
      <c r="F479" s="31" t="s">
        <v>168</v>
      </c>
      <c r="G479" s="32" t="s">
        <v>16</v>
      </c>
      <c r="H479" s="33">
        <v>7347.0</v>
      </c>
      <c r="I479" s="33">
        <v>1129.0</v>
      </c>
      <c r="J479" s="33">
        <v>673.0</v>
      </c>
      <c r="K479" s="33">
        <v>456.0</v>
      </c>
      <c r="L479" s="33">
        <v>6218.0</v>
      </c>
      <c r="M479" s="33">
        <v>8442.0</v>
      </c>
      <c r="N479" s="33">
        <v>2890.0</v>
      </c>
      <c r="O479" s="33">
        <v>2550.0</v>
      </c>
      <c r="P479" s="33">
        <v>340.0</v>
      </c>
      <c r="Q479" s="33">
        <v>5552.0</v>
      </c>
      <c r="R479" s="34">
        <v>15.3668164</v>
      </c>
      <c r="S479" s="34">
        <v>9.1602014</v>
      </c>
      <c r="T479" s="34">
        <v>6.2066149</v>
      </c>
      <c r="U479" s="34">
        <v>84.6331836</v>
      </c>
      <c r="V479" s="34">
        <v>34.2335939</v>
      </c>
      <c r="W479" s="34">
        <v>30.2061123</v>
      </c>
      <c r="X479" s="34">
        <v>4.0274816</v>
      </c>
      <c r="Y479" s="34">
        <v>65.7664061</v>
      </c>
    </row>
    <row r="480" ht="15.0" customHeight="1">
      <c r="B480" s="35">
        <v>475.0</v>
      </c>
      <c r="C480" s="36" t="s">
        <v>21</v>
      </c>
      <c r="D480" s="41" t="s">
        <v>162</v>
      </c>
      <c r="E480" s="41" t="s">
        <v>168</v>
      </c>
      <c r="F480" s="41" t="s">
        <v>169</v>
      </c>
      <c r="G480" s="42" t="s">
        <v>169</v>
      </c>
      <c r="H480" s="37">
        <v>3936.0</v>
      </c>
      <c r="I480" s="37">
        <v>1181.0</v>
      </c>
      <c r="J480" s="37">
        <v>819.0</v>
      </c>
      <c r="K480" s="37">
        <v>362.0</v>
      </c>
      <c r="L480" s="37">
        <v>2755.0</v>
      </c>
      <c r="M480" s="37">
        <v>5081.0</v>
      </c>
      <c r="N480" s="37">
        <v>2204.0</v>
      </c>
      <c r="O480" s="37">
        <v>1988.0</v>
      </c>
      <c r="P480" s="37">
        <v>216.0</v>
      </c>
      <c r="Q480" s="37">
        <v>2877.0</v>
      </c>
      <c r="R480" s="38">
        <v>30.0050813</v>
      </c>
      <c r="S480" s="38">
        <v>20.8079268</v>
      </c>
      <c r="T480" s="38">
        <v>9.1971545</v>
      </c>
      <c r="U480" s="38">
        <v>69.9949187</v>
      </c>
      <c r="V480" s="38">
        <v>43.3772879</v>
      </c>
      <c r="W480" s="38">
        <v>39.1261563</v>
      </c>
      <c r="X480" s="38">
        <v>4.2511317</v>
      </c>
      <c r="Y480" s="38">
        <v>56.6227121</v>
      </c>
    </row>
    <row r="481" ht="15.0" hidden="1" customHeight="1">
      <c r="B481" s="30">
        <v>476.0</v>
      </c>
      <c r="C481" s="31" t="s">
        <v>21</v>
      </c>
      <c r="D481" s="31" t="s">
        <v>162</v>
      </c>
      <c r="E481" s="31" t="s">
        <v>168</v>
      </c>
      <c r="F481" s="31" t="s">
        <v>169</v>
      </c>
      <c r="G481" s="32" t="s">
        <v>15</v>
      </c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4"/>
      <c r="S481" s="34"/>
      <c r="T481" s="34"/>
      <c r="U481" s="34"/>
      <c r="V481" s="34"/>
      <c r="W481" s="34"/>
      <c r="X481" s="34"/>
      <c r="Y481" s="34"/>
    </row>
    <row r="482" ht="15.0" hidden="1" customHeight="1">
      <c r="B482" s="30">
        <v>477.0</v>
      </c>
      <c r="C482" s="31" t="s">
        <v>21</v>
      </c>
      <c r="D482" s="31" t="s">
        <v>162</v>
      </c>
      <c r="E482" s="31" t="s">
        <v>168</v>
      </c>
      <c r="F482" s="31" t="s">
        <v>169</v>
      </c>
      <c r="G482" s="32" t="s">
        <v>16</v>
      </c>
      <c r="H482" s="33">
        <v>3936.0</v>
      </c>
      <c r="I482" s="33">
        <v>1181.0</v>
      </c>
      <c r="J482" s="33">
        <v>819.0</v>
      </c>
      <c r="K482" s="33">
        <v>362.0</v>
      </c>
      <c r="L482" s="33">
        <v>2755.0</v>
      </c>
      <c r="M482" s="33">
        <v>5081.0</v>
      </c>
      <c r="N482" s="33">
        <v>2204.0</v>
      </c>
      <c r="O482" s="33">
        <v>1988.0</v>
      </c>
      <c r="P482" s="33">
        <v>216.0</v>
      </c>
      <c r="Q482" s="33">
        <v>2877.0</v>
      </c>
      <c r="R482" s="34">
        <v>30.0050813</v>
      </c>
      <c r="S482" s="34">
        <v>20.8079268</v>
      </c>
      <c r="T482" s="34">
        <v>9.1971545</v>
      </c>
      <c r="U482" s="34">
        <v>69.9949187</v>
      </c>
      <c r="V482" s="34">
        <v>43.3772879</v>
      </c>
      <c r="W482" s="34">
        <v>39.1261563</v>
      </c>
      <c r="X482" s="34">
        <v>4.2511317</v>
      </c>
      <c r="Y482" s="34">
        <v>56.6227121</v>
      </c>
    </row>
    <row r="483" ht="15.0" customHeight="1">
      <c r="B483" s="35">
        <v>478.0</v>
      </c>
      <c r="C483" s="36" t="s">
        <v>21</v>
      </c>
      <c r="D483" s="41" t="s">
        <v>162</v>
      </c>
      <c r="E483" s="41" t="s">
        <v>168</v>
      </c>
      <c r="F483" s="41" t="s">
        <v>170</v>
      </c>
      <c r="G483" s="42" t="s">
        <v>170</v>
      </c>
      <c r="H483" s="37">
        <v>4920.0</v>
      </c>
      <c r="I483" s="37">
        <v>1348.0</v>
      </c>
      <c r="J483" s="37">
        <v>899.0</v>
      </c>
      <c r="K483" s="37">
        <v>449.0</v>
      </c>
      <c r="L483" s="37">
        <v>3572.0</v>
      </c>
      <c r="M483" s="37">
        <v>7511.0</v>
      </c>
      <c r="N483" s="37">
        <v>3040.0</v>
      </c>
      <c r="O483" s="37">
        <v>2662.0</v>
      </c>
      <c r="P483" s="37">
        <v>378.0</v>
      </c>
      <c r="Q483" s="37">
        <v>4471.0</v>
      </c>
      <c r="R483" s="38">
        <v>27.398374</v>
      </c>
      <c r="S483" s="38">
        <v>18.2723577</v>
      </c>
      <c r="T483" s="38">
        <v>9.1260163</v>
      </c>
      <c r="U483" s="38">
        <v>72.601626</v>
      </c>
      <c r="V483" s="38">
        <v>40.4739715</v>
      </c>
      <c r="W483" s="38">
        <v>35.4413527</v>
      </c>
      <c r="X483" s="38">
        <v>5.0326188</v>
      </c>
      <c r="Y483" s="38">
        <v>59.5260285</v>
      </c>
    </row>
    <row r="484" ht="15.0" hidden="1" customHeight="1">
      <c r="B484" s="30">
        <v>479.0</v>
      </c>
      <c r="C484" s="31" t="s">
        <v>21</v>
      </c>
      <c r="D484" s="31" t="s">
        <v>162</v>
      </c>
      <c r="E484" s="31" t="s">
        <v>168</v>
      </c>
      <c r="F484" s="31" t="s">
        <v>170</v>
      </c>
      <c r="G484" s="32" t="s">
        <v>15</v>
      </c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4"/>
      <c r="S484" s="34"/>
      <c r="T484" s="34"/>
      <c r="U484" s="34"/>
      <c r="V484" s="34"/>
      <c r="W484" s="34"/>
      <c r="X484" s="34"/>
      <c r="Y484" s="34"/>
    </row>
    <row r="485" ht="15.0" hidden="1" customHeight="1">
      <c r="B485" s="30">
        <v>480.0</v>
      </c>
      <c r="C485" s="31" t="s">
        <v>21</v>
      </c>
      <c r="D485" s="31" t="s">
        <v>162</v>
      </c>
      <c r="E485" s="31" t="s">
        <v>168</v>
      </c>
      <c r="F485" s="31" t="s">
        <v>170</v>
      </c>
      <c r="G485" s="32" t="s">
        <v>16</v>
      </c>
      <c r="H485" s="33">
        <v>4920.0</v>
      </c>
      <c r="I485" s="33">
        <v>1348.0</v>
      </c>
      <c r="J485" s="33">
        <v>899.0</v>
      </c>
      <c r="K485" s="33">
        <v>449.0</v>
      </c>
      <c r="L485" s="33">
        <v>3572.0</v>
      </c>
      <c r="M485" s="33">
        <v>7511.0</v>
      </c>
      <c r="N485" s="33">
        <v>3040.0</v>
      </c>
      <c r="O485" s="33">
        <v>2662.0</v>
      </c>
      <c r="P485" s="33">
        <v>378.0</v>
      </c>
      <c r="Q485" s="33">
        <v>4471.0</v>
      </c>
      <c r="R485" s="34">
        <v>27.398374</v>
      </c>
      <c r="S485" s="34">
        <v>18.2723577</v>
      </c>
      <c r="T485" s="34">
        <v>9.1260163</v>
      </c>
      <c r="U485" s="34">
        <v>72.601626</v>
      </c>
      <c r="V485" s="34">
        <v>40.4739715</v>
      </c>
      <c r="W485" s="34">
        <v>35.4413527</v>
      </c>
      <c r="X485" s="34">
        <v>5.0326188</v>
      </c>
      <c r="Y485" s="34">
        <v>59.5260285</v>
      </c>
    </row>
    <row r="486" ht="15.0" hidden="1" customHeight="1">
      <c r="B486" s="26">
        <v>481.0</v>
      </c>
      <c r="C486" s="27" t="s">
        <v>19</v>
      </c>
      <c r="D486" s="40" t="s">
        <v>162</v>
      </c>
      <c r="E486" s="40" t="s">
        <v>171</v>
      </c>
      <c r="F486" s="40"/>
      <c r="G486" s="27" t="s">
        <v>171</v>
      </c>
      <c r="H486" s="28">
        <v>12234.0</v>
      </c>
      <c r="I486" s="28">
        <v>4888.0</v>
      </c>
      <c r="J486" s="28">
        <v>3492.0</v>
      </c>
      <c r="K486" s="28">
        <v>1396.0</v>
      </c>
      <c r="L486" s="28">
        <v>7346.0</v>
      </c>
      <c r="M486" s="28">
        <v>20096.0</v>
      </c>
      <c r="N486" s="28">
        <v>10345.0</v>
      </c>
      <c r="O486" s="28">
        <v>9653.0</v>
      </c>
      <c r="P486" s="28">
        <v>692.0</v>
      </c>
      <c r="Q486" s="28">
        <v>9751.0</v>
      </c>
      <c r="R486" s="29">
        <v>39.9542259</v>
      </c>
      <c r="S486" s="29">
        <v>28.5434036</v>
      </c>
      <c r="T486" s="29">
        <v>11.4108223</v>
      </c>
      <c r="U486" s="29">
        <v>60.0457741</v>
      </c>
      <c r="V486" s="29">
        <v>51.4779061</v>
      </c>
      <c r="W486" s="29">
        <v>48.0344347</v>
      </c>
      <c r="X486" s="29">
        <v>3.4434713</v>
      </c>
      <c r="Y486" s="29">
        <v>48.5220939</v>
      </c>
    </row>
    <row r="487" ht="15.0" hidden="1" customHeight="1">
      <c r="B487" s="30">
        <v>482.0</v>
      </c>
      <c r="C487" s="31" t="s">
        <v>19</v>
      </c>
      <c r="D487" s="31" t="s">
        <v>162</v>
      </c>
      <c r="E487" s="31" t="s">
        <v>171</v>
      </c>
      <c r="F487" s="31"/>
      <c r="G487" s="32" t="s">
        <v>15</v>
      </c>
      <c r="H487" s="33">
        <v>2238.0</v>
      </c>
      <c r="I487" s="33">
        <v>1506.0</v>
      </c>
      <c r="J487" s="33">
        <v>1165.0</v>
      </c>
      <c r="K487" s="33">
        <v>341.0</v>
      </c>
      <c r="L487" s="33">
        <v>732.0</v>
      </c>
      <c r="M487" s="33">
        <v>8824.0</v>
      </c>
      <c r="N487" s="33">
        <v>4843.0</v>
      </c>
      <c r="O487" s="33">
        <v>4403.0</v>
      </c>
      <c r="P487" s="33">
        <v>440.0</v>
      </c>
      <c r="Q487" s="33">
        <v>3981.0</v>
      </c>
      <c r="R487" s="34">
        <v>67.2922252</v>
      </c>
      <c r="S487" s="34">
        <v>52.0554066</v>
      </c>
      <c r="T487" s="34">
        <v>15.2368186</v>
      </c>
      <c r="U487" s="34">
        <v>32.7077748</v>
      </c>
      <c r="V487" s="34">
        <v>54.8844062</v>
      </c>
      <c r="W487" s="34">
        <v>49.8980054</v>
      </c>
      <c r="X487" s="34">
        <v>4.9864007</v>
      </c>
      <c r="Y487" s="34">
        <v>45.1155938</v>
      </c>
    </row>
    <row r="488" ht="15.0" hidden="1" customHeight="1">
      <c r="B488" s="30">
        <v>483.0</v>
      </c>
      <c r="C488" s="31" t="s">
        <v>19</v>
      </c>
      <c r="D488" s="31" t="s">
        <v>162</v>
      </c>
      <c r="E488" s="31" t="s">
        <v>171</v>
      </c>
      <c r="F488" s="31"/>
      <c r="G488" s="32" t="s">
        <v>16</v>
      </c>
      <c r="H488" s="33">
        <v>9996.0</v>
      </c>
      <c r="I488" s="33">
        <v>3382.0</v>
      </c>
      <c r="J488" s="33">
        <v>2327.0</v>
      </c>
      <c r="K488" s="33">
        <v>1055.0</v>
      </c>
      <c r="L488" s="33">
        <v>6614.0</v>
      </c>
      <c r="M488" s="33">
        <v>11272.0</v>
      </c>
      <c r="N488" s="33">
        <v>5502.0</v>
      </c>
      <c r="O488" s="33">
        <v>5250.0</v>
      </c>
      <c r="P488" s="33">
        <v>252.0</v>
      </c>
      <c r="Q488" s="33">
        <v>5770.0</v>
      </c>
      <c r="R488" s="34">
        <v>33.8335334</v>
      </c>
      <c r="S488" s="34">
        <v>23.2793117</v>
      </c>
      <c r="T488" s="34">
        <v>10.5542217</v>
      </c>
      <c r="U488" s="34">
        <v>66.1664666</v>
      </c>
      <c r="V488" s="34">
        <v>48.8112136</v>
      </c>
      <c r="W488" s="34">
        <v>46.5755855</v>
      </c>
      <c r="X488" s="34">
        <v>2.2356281</v>
      </c>
      <c r="Y488" s="34">
        <v>51.1887864</v>
      </c>
    </row>
    <row r="489" ht="15.0" customHeight="1">
      <c r="B489" s="35">
        <v>484.0</v>
      </c>
      <c r="C489" s="36" t="s">
        <v>21</v>
      </c>
      <c r="D489" s="41" t="s">
        <v>162</v>
      </c>
      <c r="E489" s="41" t="s">
        <v>171</v>
      </c>
      <c r="F489" s="41" t="s">
        <v>172</v>
      </c>
      <c r="G489" s="42" t="s">
        <v>172</v>
      </c>
      <c r="H489" s="37">
        <v>2593.0</v>
      </c>
      <c r="I489" s="37">
        <v>1192.0</v>
      </c>
      <c r="J489" s="37">
        <v>970.0</v>
      </c>
      <c r="K489" s="37">
        <v>222.0</v>
      </c>
      <c r="L489" s="37">
        <v>1401.0</v>
      </c>
      <c r="M489" s="37">
        <v>4030.0</v>
      </c>
      <c r="N489" s="37">
        <v>2484.0</v>
      </c>
      <c r="O489" s="37">
        <v>2330.0</v>
      </c>
      <c r="P489" s="37">
        <v>154.0</v>
      </c>
      <c r="Q489" s="37">
        <v>1546.0</v>
      </c>
      <c r="R489" s="38">
        <v>45.969919</v>
      </c>
      <c r="S489" s="38">
        <v>37.4084073</v>
      </c>
      <c r="T489" s="38">
        <v>8.5615118</v>
      </c>
      <c r="U489" s="38">
        <v>54.030081</v>
      </c>
      <c r="V489" s="38">
        <v>61.6377171</v>
      </c>
      <c r="W489" s="38">
        <v>57.8163772</v>
      </c>
      <c r="X489" s="38">
        <v>3.82134</v>
      </c>
      <c r="Y489" s="38">
        <v>38.3622829</v>
      </c>
    </row>
    <row r="490" ht="15.0" hidden="1" customHeight="1">
      <c r="B490" s="30">
        <v>485.0</v>
      </c>
      <c r="C490" s="31" t="s">
        <v>21</v>
      </c>
      <c r="D490" s="31" t="s">
        <v>162</v>
      </c>
      <c r="E490" s="31" t="s">
        <v>171</v>
      </c>
      <c r="F490" s="31" t="s">
        <v>172</v>
      </c>
      <c r="G490" s="32" t="s">
        <v>15</v>
      </c>
      <c r="H490" s="33">
        <v>1084.0</v>
      </c>
      <c r="I490" s="33">
        <v>900.0</v>
      </c>
      <c r="J490" s="33">
        <v>728.0</v>
      </c>
      <c r="K490" s="33">
        <v>172.0</v>
      </c>
      <c r="L490" s="33">
        <v>184.0</v>
      </c>
      <c r="M490" s="33">
        <v>1431.0</v>
      </c>
      <c r="N490" s="33">
        <v>1305.0</v>
      </c>
      <c r="O490" s="33">
        <v>1213.0</v>
      </c>
      <c r="P490" s="33">
        <v>92.0</v>
      </c>
      <c r="Q490" s="33">
        <v>126.0</v>
      </c>
      <c r="R490" s="34">
        <v>83.0258303</v>
      </c>
      <c r="S490" s="34">
        <v>67.1586716</v>
      </c>
      <c r="T490" s="34">
        <v>15.8671587</v>
      </c>
      <c r="U490" s="34">
        <v>16.9741697</v>
      </c>
      <c r="V490" s="34">
        <v>91.1949686</v>
      </c>
      <c r="W490" s="34">
        <v>84.765898</v>
      </c>
      <c r="X490" s="34">
        <v>6.4290706</v>
      </c>
      <c r="Y490" s="34">
        <v>8.8050314</v>
      </c>
    </row>
    <row r="491" ht="15.0" hidden="1" customHeight="1">
      <c r="B491" s="30">
        <v>486.0</v>
      </c>
      <c r="C491" s="31" t="s">
        <v>21</v>
      </c>
      <c r="D491" s="31" t="s">
        <v>162</v>
      </c>
      <c r="E491" s="31" t="s">
        <v>171</v>
      </c>
      <c r="F491" s="31" t="s">
        <v>172</v>
      </c>
      <c r="G491" s="32" t="s">
        <v>16</v>
      </c>
      <c r="H491" s="33">
        <v>1509.0</v>
      </c>
      <c r="I491" s="33">
        <v>292.0</v>
      </c>
      <c r="J491" s="33">
        <v>242.0</v>
      </c>
      <c r="K491" s="33">
        <v>50.0</v>
      </c>
      <c r="L491" s="33">
        <v>1217.0</v>
      </c>
      <c r="M491" s="33">
        <v>2599.0</v>
      </c>
      <c r="N491" s="33">
        <v>1179.0</v>
      </c>
      <c r="O491" s="33">
        <v>1117.0</v>
      </c>
      <c r="P491" s="33">
        <v>62.0</v>
      </c>
      <c r="Q491" s="33">
        <v>1420.0</v>
      </c>
      <c r="R491" s="34">
        <v>19.3505633</v>
      </c>
      <c r="S491" s="34">
        <v>16.0371107</v>
      </c>
      <c r="T491" s="34">
        <v>3.3134526</v>
      </c>
      <c r="U491" s="34">
        <v>80.6494367</v>
      </c>
      <c r="V491" s="34">
        <v>45.3636014</v>
      </c>
      <c r="W491" s="34">
        <v>42.9780685</v>
      </c>
      <c r="X491" s="34">
        <v>2.3855329</v>
      </c>
      <c r="Y491" s="34">
        <v>54.6363986</v>
      </c>
    </row>
    <row r="492" ht="15.0" customHeight="1">
      <c r="B492" s="35">
        <v>487.0</v>
      </c>
      <c r="C492" s="36" t="s">
        <v>21</v>
      </c>
      <c r="D492" s="41" t="s">
        <v>162</v>
      </c>
      <c r="E492" s="41" t="s">
        <v>171</v>
      </c>
      <c r="F492" s="41" t="s">
        <v>173</v>
      </c>
      <c r="G492" s="42" t="s">
        <v>173</v>
      </c>
      <c r="H492" s="37">
        <v>2636.0</v>
      </c>
      <c r="I492" s="37">
        <v>542.0</v>
      </c>
      <c r="J492" s="37">
        <v>398.0</v>
      </c>
      <c r="K492" s="37">
        <v>144.0</v>
      </c>
      <c r="L492" s="37">
        <v>2094.0</v>
      </c>
      <c r="M492" s="37">
        <v>3362.0</v>
      </c>
      <c r="N492" s="37">
        <v>1005.0</v>
      </c>
      <c r="O492" s="37">
        <v>950.0</v>
      </c>
      <c r="P492" s="37">
        <v>55.0</v>
      </c>
      <c r="Q492" s="37">
        <v>2357.0</v>
      </c>
      <c r="R492" s="38">
        <v>20.5614568</v>
      </c>
      <c r="S492" s="38">
        <v>15.0986343</v>
      </c>
      <c r="T492" s="38">
        <v>5.4628225</v>
      </c>
      <c r="U492" s="38">
        <v>79.4385432</v>
      </c>
      <c r="V492" s="38">
        <v>29.8929209</v>
      </c>
      <c r="W492" s="38">
        <v>28.2569899</v>
      </c>
      <c r="X492" s="38">
        <v>1.635931</v>
      </c>
      <c r="Y492" s="38">
        <v>70.1070791</v>
      </c>
    </row>
    <row r="493" ht="15.0" hidden="1" customHeight="1">
      <c r="B493" s="30">
        <v>488.0</v>
      </c>
      <c r="C493" s="31" t="s">
        <v>21</v>
      </c>
      <c r="D493" s="31" t="s">
        <v>162</v>
      </c>
      <c r="E493" s="31" t="s">
        <v>171</v>
      </c>
      <c r="F493" s="31" t="s">
        <v>173</v>
      </c>
      <c r="G493" s="32" t="s">
        <v>15</v>
      </c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4"/>
      <c r="S493" s="34"/>
      <c r="T493" s="34"/>
      <c r="U493" s="34"/>
      <c r="V493" s="34"/>
      <c r="W493" s="34"/>
      <c r="X493" s="34"/>
      <c r="Y493" s="34"/>
    </row>
    <row r="494" ht="15.0" hidden="1" customHeight="1">
      <c r="B494" s="30">
        <v>489.0</v>
      </c>
      <c r="C494" s="31" t="s">
        <v>21</v>
      </c>
      <c r="D494" s="31" t="s">
        <v>162</v>
      </c>
      <c r="E494" s="31" t="s">
        <v>171</v>
      </c>
      <c r="F494" s="31" t="s">
        <v>173</v>
      </c>
      <c r="G494" s="32" t="s">
        <v>16</v>
      </c>
      <c r="H494" s="33">
        <v>2636.0</v>
      </c>
      <c r="I494" s="33">
        <v>542.0</v>
      </c>
      <c r="J494" s="33">
        <v>398.0</v>
      </c>
      <c r="K494" s="33">
        <v>144.0</v>
      </c>
      <c r="L494" s="33">
        <v>2094.0</v>
      </c>
      <c r="M494" s="33">
        <v>3362.0</v>
      </c>
      <c r="N494" s="33">
        <v>1005.0</v>
      </c>
      <c r="O494" s="33">
        <v>950.0</v>
      </c>
      <c r="P494" s="33">
        <v>55.0</v>
      </c>
      <c r="Q494" s="33">
        <v>2357.0</v>
      </c>
      <c r="R494" s="34">
        <v>20.5614568</v>
      </c>
      <c r="S494" s="34">
        <v>15.0986343</v>
      </c>
      <c r="T494" s="34">
        <v>5.4628225</v>
      </c>
      <c r="U494" s="34">
        <v>79.4385432</v>
      </c>
      <c r="V494" s="34">
        <v>29.8929209</v>
      </c>
      <c r="W494" s="34">
        <v>28.2569899</v>
      </c>
      <c r="X494" s="34">
        <v>1.635931</v>
      </c>
      <c r="Y494" s="34">
        <v>70.1070791</v>
      </c>
    </row>
    <row r="495" ht="15.0" customHeight="1">
      <c r="B495" s="35">
        <v>490.0</v>
      </c>
      <c r="C495" s="36" t="s">
        <v>21</v>
      </c>
      <c r="D495" s="41" t="s">
        <v>162</v>
      </c>
      <c r="E495" s="41" t="s">
        <v>171</v>
      </c>
      <c r="F495" s="41" t="s">
        <v>174</v>
      </c>
      <c r="G495" s="42" t="s">
        <v>174</v>
      </c>
      <c r="H495" s="37">
        <v>5532.0</v>
      </c>
      <c r="I495" s="37">
        <v>2738.0</v>
      </c>
      <c r="J495" s="37">
        <v>1810.0</v>
      </c>
      <c r="K495" s="37">
        <v>928.0</v>
      </c>
      <c r="L495" s="37">
        <v>2794.0</v>
      </c>
      <c r="M495" s="37">
        <v>10848.0</v>
      </c>
      <c r="N495" s="37">
        <v>6224.0</v>
      </c>
      <c r="O495" s="37">
        <v>5777.0</v>
      </c>
      <c r="P495" s="37">
        <v>447.0</v>
      </c>
      <c r="Q495" s="37">
        <v>4624.0</v>
      </c>
      <c r="R495" s="38">
        <v>49.4938539</v>
      </c>
      <c r="S495" s="38">
        <v>32.7187274</v>
      </c>
      <c r="T495" s="38">
        <v>16.7751265</v>
      </c>
      <c r="U495" s="38">
        <v>50.5061461</v>
      </c>
      <c r="V495" s="38">
        <v>57.3746313</v>
      </c>
      <c r="W495" s="38">
        <v>53.254056</v>
      </c>
      <c r="X495" s="38">
        <v>4.1205752</v>
      </c>
      <c r="Y495" s="38">
        <v>42.6253687</v>
      </c>
    </row>
    <row r="496" ht="15.0" hidden="1" customHeight="1">
      <c r="B496" s="30">
        <v>491.0</v>
      </c>
      <c r="C496" s="31" t="s">
        <v>21</v>
      </c>
      <c r="D496" s="31" t="s">
        <v>162</v>
      </c>
      <c r="E496" s="31" t="s">
        <v>171</v>
      </c>
      <c r="F496" s="31" t="s">
        <v>174</v>
      </c>
      <c r="G496" s="32" t="s">
        <v>15</v>
      </c>
      <c r="H496" s="33">
        <v>1154.0</v>
      </c>
      <c r="I496" s="33">
        <v>606.0</v>
      </c>
      <c r="J496" s="33">
        <v>437.0</v>
      </c>
      <c r="K496" s="33">
        <v>169.0</v>
      </c>
      <c r="L496" s="33">
        <v>548.0</v>
      </c>
      <c r="M496" s="33">
        <v>7393.0</v>
      </c>
      <c r="N496" s="33">
        <v>3538.0</v>
      </c>
      <c r="O496" s="33">
        <v>3190.0</v>
      </c>
      <c r="P496" s="33">
        <v>348.0</v>
      </c>
      <c r="Q496" s="33">
        <v>3855.0</v>
      </c>
      <c r="R496" s="34">
        <v>52.5129983</v>
      </c>
      <c r="S496" s="34">
        <v>37.8682842</v>
      </c>
      <c r="T496" s="34">
        <v>14.644714</v>
      </c>
      <c r="U496" s="34">
        <v>47.4870017</v>
      </c>
      <c r="V496" s="34">
        <v>47.8560801</v>
      </c>
      <c r="W496" s="34">
        <v>43.1489247</v>
      </c>
      <c r="X496" s="34">
        <v>4.7071554</v>
      </c>
      <c r="Y496" s="34">
        <v>52.1439199</v>
      </c>
    </row>
    <row r="497" ht="15.0" hidden="1" customHeight="1">
      <c r="B497" s="30">
        <v>492.0</v>
      </c>
      <c r="C497" s="31" t="s">
        <v>21</v>
      </c>
      <c r="D497" s="31" t="s">
        <v>162</v>
      </c>
      <c r="E497" s="31" t="s">
        <v>171</v>
      </c>
      <c r="F497" s="31" t="s">
        <v>174</v>
      </c>
      <c r="G497" s="32" t="s">
        <v>16</v>
      </c>
      <c r="H497" s="33">
        <v>4378.0</v>
      </c>
      <c r="I497" s="33">
        <v>2132.0</v>
      </c>
      <c r="J497" s="33">
        <v>1373.0</v>
      </c>
      <c r="K497" s="33">
        <v>759.0</v>
      </c>
      <c r="L497" s="33">
        <v>2246.0</v>
      </c>
      <c r="M497" s="33">
        <v>3455.0</v>
      </c>
      <c r="N497" s="33">
        <v>2686.0</v>
      </c>
      <c r="O497" s="33">
        <v>2587.0</v>
      </c>
      <c r="P497" s="33">
        <v>99.0</v>
      </c>
      <c r="Q497" s="33">
        <v>769.0</v>
      </c>
      <c r="R497" s="34">
        <v>48.6980356</v>
      </c>
      <c r="S497" s="34">
        <v>31.3613522</v>
      </c>
      <c r="T497" s="34">
        <v>17.3366834</v>
      </c>
      <c r="U497" s="34">
        <v>51.3019644</v>
      </c>
      <c r="V497" s="34">
        <v>77.7424023</v>
      </c>
      <c r="W497" s="34">
        <v>74.8769899</v>
      </c>
      <c r="X497" s="34">
        <v>2.8654124</v>
      </c>
      <c r="Y497" s="34">
        <v>22.2575977</v>
      </c>
    </row>
    <row r="498" ht="15.0" customHeight="1">
      <c r="B498" s="35">
        <v>493.0</v>
      </c>
      <c r="C498" s="36" t="s">
        <v>21</v>
      </c>
      <c r="D498" s="41" t="s">
        <v>162</v>
      </c>
      <c r="E498" s="41" t="s">
        <v>171</v>
      </c>
      <c r="F498" s="41" t="s">
        <v>175</v>
      </c>
      <c r="G498" s="42" t="s">
        <v>175</v>
      </c>
      <c r="H498" s="37">
        <v>1473.0</v>
      </c>
      <c r="I498" s="37">
        <v>416.0</v>
      </c>
      <c r="J498" s="37">
        <v>314.0</v>
      </c>
      <c r="K498" s="37">
        <v>102.0</v>
      </c>
      <c r="L498" s="37">
        <v>1057.0</v>
      </c>
      <c r="M498" s="37">
        <v>1856.0</v>
      </c>
      <c r="N498" s="37">
        <v>632.0</v>
      </c>
      <c r="O498" s="37">
        <v>596.0</v>
      </c>
      <c r="P498" s="37">
        <v>36.0</v>
      </c>
      <c r="Q498" s="37">
        <v>1224.0</v>
      </c>
      <c r="R498" s="38">
        <v>28.2416836</v>
      </c>
      <c r="S498" s="38">
        <v>21.3170401</v>
      </c>
      <c r="T498" s="38">
        <v>6.9246436</v>
      </c>
      <c r="U498" s="38">
        <v>71.7583164</v>
      </c>
      <c r="V498" s="38">
        <v>34.0517241</v>
      </c>
      <c r="W498" s="38">
        <v>32.112069</v>
      </c>
      <c r="X498" s="38">
        <v>1.9396552</v>
      </c>
      <c r="Y498" s="38">
        <v>65.9482759</v>
      </c>
    </row>
    <row r="499" ht="15.0" hidden="1" customHeight="1">
      <c r="B499" s="30">
        <v>494.0</v>
      </c>
      <c r="C499" s="31" t="s">
        <v>21</v>
      </c>
      <c r="D499" s="31" t="s">
        <v>162</v>
      </c>
      <c r="E499" s="31" t="s">
        <v>171</v>
      </c>
      <c r="F499" s="31" t="s">
        <v>175</v>
      </c>
      <c r="G499" s="32" t="s">
        <v>15</v>
      </c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4"/>
      <c r="S499" s="34"/>
      <c r="T499" s="34"/>
      <c r="U499" s="34"/>
      <c r="V499" s="34"/>
      <c r="W499" s="34"/>
      <c r="X499" s="34"/>
      <c r="Y499" s="34"/>
    </row>
    <row r="500" ht="15.0" hidden="1" customHeight="1">
      <c r="B500" s="30">
        <v>495.0</v>
      </c>
      <c r="C500" s="31" t="s">
        <v>21</v>
      </c>
      <c r="D500" s="31" t="s">
        <v>162</v>
      </c>
      <c r="E500" s="31" t="s">
        <v>171</v>
      </c>
      <c r="F500" s="31" t="s">
        <v>175</v>
      </c>
      <c r="G500" s="32" t="s">
        <v>16</v>
      </c>
      <c r="H500" s="33">
        <v>1473.0</v>
      </c>
      <c r="I500" s="33">
        <v>416.0</v>
      </c>
      <c r="J500" s="33">
        <v>314.0</v>
      </c>
      <c r="K500" s="33">
        <v>102.0</v>
      </c>
      <c r="L500" s="33">
        <v>1057.0</v>
      </c>
      <c r="M500" s="33">
        <v>1856.0</v>
      </c>
      <c r="N500" s="33">
        <v>632.0</v>
      </c>
      <c r="O500" s="33">
        <v>596.0</v>
      </c>
      <c r="P500" s="33">
        <v>36.0</v>
      </c>
      <c r="Q500" s="33">
        <v>1224.0</v>
      </c>
      <c r="R500" s="34">
        <v>28.2416836</v>
      </c>
      <c r="S500" s="34">
        <v>21.3170401</v>
      </c>
      <c r="T500" s="34">
        <v>6.9246436</v>
      </c>
      <c r="U500" s="34">
        <v>71.7583164</v>
      </c>
      <c r="V500" s="34">
        <v>34.0517241</v>
      </c>
      <c r="W500" s="34">
        <v>32.112069</v>
      </c>
      <c r="X500" s="34">
        <v>1.9396552</v>
      </c>
      <c r="Y500" s="34">
        <v>65.9482759</v>
      </c>
    </row>
    <row r="501" ht="15.0" hidden="1" customHeight="1">
      <c r="B501" s="26">
        <v>496.0</v>
      </c>
      <c r="C501" s="27" t="s">
        <v>19</v>
      </c>
      <c r="D501" s="40" t="s">
        <v>162</v>
      </c>
      <c r="E501" s="40" t="s">
        <v>176</v>
      </c>
      <c r="F501" s="40"/>
      <c r="G501" s="27" t="s">
        <v>176</v>
      </c>
      <c r="H501" s="28">
        <v>6346.0</v>
      </c>
      <c r="I501" s="28">
        <v>2583.0</v>
      </c>
      <c r="J501" s="28">
        <v>1959.0</v>
      </c>
      <c r="K501" s="28">
        <v>624.0</v>
      </c>
      <c r="L501" s="28">
        <v>3763.0</v>
      </c>
      <c r="M501" s="28">
        <v>7847.0</v>
      </c>
      <c r="N501" s="28">
        <v>4686.0</v>
      </c>
      <c r="O501" s="28">
        <v>4462.0</v>
      </c>
      <c r="P501" s="28">
        <v>224.0</v>
      </c>
      <c r="Q501" s="28">
        <v>3161.0</v>
      </c>
      <c r="R501" s="29">
        <v>40.7028049</v>
      </c>
      <c r="S501" s="29">
        <v>30.8698393</v>
      </c>
      <c r="T501" s="29">
        <v>9.8329656</v>
      </c>
      <c r="U501" s="29">
        <v>59.2971951</v>
      </c>
      <c r="V501" s="29">
        <v>59.7170893</v>
      </c>
      <c r="W501" s="29">
        <v>56.8624952</v>
      </c>
      <c r="X501" s="29">
        <v>2.8545941</v>
      </c>
      <c r="Y501" s="29">
        <v>40.2829107</v>
      </c>
    </row>
    <row r="502" ht="15.0" hidden="1" customHeight="1">
      <c r="B502" s="30">
        <v>497.0</v>
      </c>
      <c r="C502" s="31" t="s">
        <v>19</v>
      </c>
      <c r="D502" s="31" t="s">
        <v>162</v>
      </c>
      <c r="E502" s="31" t="s">
        <v>176</v>
      </c>
      <c r="F502" s="31"/>
      <c r="G502" s="32" t="s">
        <v>15</v>
      </c>
      <c r="H502" s="33">
        <v>1047.0</v>
      </c>
      <c r="I502" s="33">
        <v>815.0</v>
      </c>
      <c r="J502" s="33">
        <v>670.0</v>
      </c>
      <c r="K502" s="33">
        <v>145.0</v>
      </c>
      <c r="L502" s="33">
        <v>232.0</v>
      </c>
      <c r="M502" s="33">
        <v>1373.0</v>
      </c>
      <c r="N502" s="33">
        <v>1290.0</v>
      </c>
      <c r="O502" s="33">
        <v>1225.0</v>
      </c>
      <c r="P502" s="33">
        <v>65.0</v>
      </c>
      <c r="Q502" s="33">
        <v>83.0</v>
      </c>
      <c r="R502" s="34">
        <v>77.8414518</v>
      </c>
      <c r="S502" s="34">
        <v>63.9923591</v>
      </c>
      <c r="T502" s="34">
        <v>13.8490926</v>
      </c>
      <c r="U502" s="34">
        <v>22.1585482</v>
      </c>
      <c r="V502" s="34">
        <v>93.9548434</v>
      </c>
      <c r="W502" s="34">
        <v>89.2206846</v>
      </c>
      <c r="X502" s="34">
        <v>4.7341588</v>
      </c>
      <c r="Y502" s="34">
        <v>6.0451566</v>
      </c>
    </row>
    <row r="503" ht="15.0" hidden="1" customHeight="1">
      <c r="B503" s="30">
        <v>498.0</v>
      </c>
      <c r="C503" s="31" t="s">
        <v>19</v>
      </c>
      <c r="D503" s="31" t="s">
        <v>162</v>
      </c>
      <c r="E503" s="31" t="s">
        <v>176</v>
      </c>
      <c r="F503" s="31"/>
      <c r="G503" s="32" t="s">
        <v>16</v>
      </c>
      <c r="H503" s="33">
        <v>5299.0</v>
      </c>
      <c r="I503" s="33">
        <v>1768.0</v>
      </c>
      <c r="J503" s="33">
        <v>1289.0</v>
      </c>
      <c r="K503" s="33">
        <v>479.0</v>
      </c>
      <c r="L503" s="33">
        <v>3531.0</v>
      </c>
      <c r="M503" s="33">
        <v>6474.0</v>
      </c>
      <c r="N503" s="33">
        <v>3396.0</v>
      </c>
      <c r="O503" s="33">
        <v>3237.0</v>
      </c>
      <c r="P503" s="33">
        <v>159.0</v>
      </c>
      <c r="Q503" s="33">
        <v>3078.0</v>
      </c>
      <c r="R503" s="34">
        <v>33.3647858</v>
      </c>
      <c r="S503" s="34">
        <v>24.3253444</v>
      </c>
      <c r="T503" s="34">
        <v>9.0394414</v>
      </c>
      <c r="U503" s="34">
        <v>66.6352142</v>
      </c>
      <c r="V503" s="34">
        <v>52.4559778</v>
      </c>
      <c r="W503" s="34">
        <v>50.0</v>
      </c>
      <c r="X503" s="34">
        <v>2.4559778</v>
      </c>
      <c r="Y503" s="34">
        <v>47.5440222</v>
      </c>
    </row>
    <row r="504" ht="15.0" customHeight="1">
      <c r="B504" s="35">
        <v>499.0</v>
      </c>
      <c r="C504" s="36" t="s">
        <v>21</v>
      </c>
      <c r="D504" s="41" t="s">
        <v>162</v>
      </c>
      <c r="E504" s="41" t="s">
        <v>176</v>
      </c>
      <c r="F504" s="41" t="s">
        <v>176</v>
      </c>
      <c r="G504" s="42" t="s">
        <v>176</v>
      </c>
      <c r="H504" s="37">
        <v>3144.0</v>
      </c>
      <c r="I504" s="37">
        <v>1748.0</v>
      </c>
      <c r="J504" s="37">
        <v>1366.0</v>
      </c>
      <c r="K504" s="37">
        <v>382.0</v>
      </c>
      <c r="L504" s="37">
        <v>1396.0</v>
      </c>
      <c r="M504" s="37">
        <v>4241.0</v>
      </c>
      <c r="N504" s="37">
        <v>3161.0</v>
      </c>
      <c r="O504" s="37">
        <v>3000.0</v>
      </c>
      <c r="P504" s="37">
        <v>161.0</v>
      </c>
      <c r="Q504" s="37">
        <v>1080.0</v>
      </c>
      <c r="R504" s="38">
        <v>55.5979644</v>
      </c>
      <c r="S504" s="38">
        <v>43.4478372</v>
      </c>
      <c r="T504" s="38">
        <v>12.1501272</v>
      </c>
      <c r="U504" s="38">
        <v>44.4020356</v>
      </c>
      <c r="V504" s="38">
        <v>74.5343079</v>
      </c>
      <c r="W504" s="38">
        <v>70.7380335</v>
      </c>
      <c r="X504" s="38">
        <v>3.7962745</v>
      </c>
      <c r="Y504" s="38">
        <v>25.4656921</v>
      </c>
    </row>
    <row r="505" ht="15.0" hidden="1" customHeight="1">
      <c r="B505" s="30">
        <v>500.0</v>
      </c>
      <c r="C505" s="31" t="s">
        <v>21</v>
      </c>
      <c r="D505" s="31" t="s">
        <v>162</v>
      </c>
      <c r="E505" s="31" t="s">
        <v>176</v>
      </c>
      <c r="F505" s="31" t="s">
        <v>176</v>
      </c>
      <c r="G505" s="32" t="s">
        <v>15</v>
      </c>
      <c r="H505" s="33">
        <v>1047.0</v>
      </c>
      <c r="I505" s="33">
        <v>815.0</v>
      </c>
      <c r="J505" s="33">
        <v>670.0</v>
      </c>
      <c r="K505" s="33">
        <v>145.0</v>
      </c>
      <c r="L505" s="33">
        <v>232.0</v>
      </c>
      <c r="M505" s="33">
        <v>1373.0</v>
      </c>
      <c r="N505" s="33">
        <v>1290.0</v>
      </c>
      <c r="O505" s="33">
        <v>1225.0</v>
      </c>
      <c r="P505" s="33">
        <v>65.0</v>
      </c>
      <c r="Q505" s="33">
        <v>83.0</v>
      </c>
      <c r="R505" s="34">
        <v>77.8414518</v>
      </c>
      <c r="S505" s="34">
        <v>63.9923591</v>
      </c>
      <c r="T505" s="34">
        <v>13.8490926</v>
      </c>
      <c r="U505" s="34">
        <v>22.1585482</v>
      </c>
      <c r="V505" s="34">
        <v>93.9548434</v>
      </c>
      <c r="W505" s="34">
        <v>89.2206846</v>
      </c>
      <c r="X505" s="34">
        <v>4.7341588</v>
      </c>
      <c r="Y505" s="34">
        <v>6.0451566</v>
      </c>
    </row>
    <row r="506" ht="15.0" hidden="1" customHeight="1">
      <c r="B506" s="30">
        <v>501.0</v>
      </c>
      <c r="C506" s="31" t="s">
        <v>21</v>
      </c>
      <c r="D506" s="31" t="s">
        <v>162</v>
      </c>
      <c r="E506" s="31" t="s">
        <v>176</v>
      </c>
      <c r="F506" s="31" t="s">
        <v>176</v>
      </c>
      <c r="G506" s="32" t="s">
        <v>16</v>
      </c>
      <c r="H506" s="33">
        <v>2097.0</v>
      </c>
      <c r="I506" s="33">
        <v>933.0</v>
      </c>
      <c r="J506" s="33">
        <v>696.0</v>
      </c>
      <c r="K506" s="33">
        <v>237.0</v>
      </c>
      <c r="L506" s="33">
        <v>1164.0</v>
      </c>
      <c r="M506" s="33">
        <v>2868.0</v>
      </c>
      <c r="N506" s="33">
        <v>1871.0</v>
      </c>
      <c r="O506" s="33">
        <v>1775.0</v>
      </c>
      <c r="P506" s="33">
        <v>96.0</v>
      </c>
      <c r="Q506" s="33">
        <v>997.0</v>
      </c>
      <c r="R506" s="34">
        <v>44.4921316</v>
      </c>
      <c r="S506" s="34">
        <v>33.1902718</v>
      </c>
      <c r="T506" s="34">
        <v>11.3018598</v>
      </c>
      <c r="U506" s="34">
        <v>55.5078684</v>
      </c>
      <c r="V506" s="34">
        <v>65.237099</v>
      </c>
      <c r="W506" s="34">
        <v>61.8898187</v>
      </c>
      <c r="X506" s="34">
        <v>3.3472803</v>
      </c>
      <c r="Y506" s="34">
        <v>34.762901</v>
      </c>
    </row>
    <row r="507" ht="15.0" customHeight="1">
      <c r="B507" s="35">
        <v>502.0</v>
      </c>
      <c r="C507" s="36" t="s">
        <v>21</v>
      </c>
      <c r="D507" s="41" t="s">
        <v>162</v>
      </c>
      <c r="E507" s="41" t="s">
        <v>176</v>
      </c>
      <c r="F507" s="41" t="s">
        <v>177</v>
      </c>
      <c r="G507" s="42" t="s">
        <v>177</v>
      </c>
      <c r="H507" s="37">
        <v>3202.0</v>
      </c>
      <c r="I507" s="37">
        <v>835.0</v>
      </c>
      <c r="J507" s="37">
        <v>593.0</v>
      </c>
      <c r="K507" s="37">
        <v>242.0</v>
      </c>
      <c r="L507" s="37">
        <v>2367.0</v>
      </c>
      <c r="M507" s="37">
        <v>3606.0</v>
      </c>
      <c r="N507" s="37">
        <v>1525.0</v>
      </c>
      <c r="O507" s="37">
        <v>1462.0</v>
      </c>
      <c r="P507" s="37">
        <v>63.0</v>
      </c>
      <c r="Q507" s="37">
        <v>2081.0</v>
      </c>
      <c r="R507" s="38">
        <v>26.0774516</v>
      </c>
      <c r="S507" s="38">
        <v>18.5196752</v>
      </c>
      <c r="T507" s="38">
        <v>7.5577764</v>
      </c>
      <c r="U507" s="38">
        <v>73.9225484</v>
      </c>
      <c r="V507" s="38">
        <v>42.2906267</v>
      </c>
      <c r="W507" s="38">
        <v>40.5435385</v>
      </c>
      <c r="X507" s="38">
        <v>1.7470882</v>
      </c>
      <c r="Y507" s="38">
        <v>57.7093733</v>
      </c>
    </row>
    <row r="508" ht="15.0" hidden="1" customHeight="1">
      <c r="B508" s="30">
        <v>503.0</v>
      </c>
      <c r="C508" s="31" t="s">
        <v>21</v>
      </c>
      <c r="D508" s="31" t="s">
        <v>162</v>
      </c>
      <c r="E508" s="31" t="s">
        <v>176</v>
      </c>
      <c r="F508" s="31" t="s">
        <v>177</v>
      </c>
      <c r="G508" s="32" t="s">
        <v>15</v>
      </c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4"/>
      <c r="S508" s="34"/>
      <c r="T508" s="34"/>
      <c r="U508" s="34"/>
      <c r="V508" s="34"/>
      <c r="W508" s="34"/>
      <c r="X508" s="34"/>
      <c r="Y508" s="34"/>
    </row>
    <row r="509" ht="15.0" hidden="1" customHeight="1">
      <c r="B509" s="30">
        <v>504.0</v>
      </c>
      <c r="C509" s="31" t="s">
        <v>21</v>
      </c>
      <c r="D509" s="31" t="s">
        <v>162</v>
      </c>
      <c r="E509" s="31" t="s">
        <v>176</v>
      </c>
      <c r="F509" s="31" t="s">
        <v>177</v>
      </c>
      <c r="G509" s="32" t="s">
        <v>16</v>
      </c>
      <c r="H509" s="33">
        <v>3202.0</v>
      </c>
      <c r="I509" s="33">
        <v>835.0</v>
      </c>
      <c r="J509" s="33">
        <v>593.0</v>
      </c>
      <c r="K509" s="33">
        <v>242.0</v>
      </c>
      <c r="L509" s="33">
        <v>2367.0</v>
      </c>
      <c r="M509" s="33">
        <v>3606.0</v>
      </c>
      <c r="N509" s="33">
        <v>1525.0</v>
      </c>
      <c r="O509" s="33">
        <v>1462.0</v>
      </c>
      <c r="P509" s="33">
        <v>63.0</v>
      </c>
      <c r="Q509" s="33">
        <v>2081.0</v>
      </c>
      <c r="R509" s="34">
        <v>26.0774516</v>
      </c>
      <c r="S509" s="34">
        <v>18.5196752</v>
      </c>
      <c r="T509" s="34">
        <v>7.5577764</v>
      </c>
      <c r="U509" s="34">
        <v>73.9225484</v>
      </c>
      <c r="V509" s="34">
        <v>42.2906267</v>
      </c>
      <c r="W509" s="34">
        <v>40.5435385</v>
      </c>
      <c r="X509" s="34">
        <v>1.7470882</v>
      </c>
      <c r="Y509" s="34">
        <v>57.7093733</v>
      </c>
    </row>
    <row r="510" ht="15.0" hidden="1" customHeight="1">
      <c r="B510" s="26">
        <v>505.0</v>
      </c>
      <c r="C510" s="27" t="s">
        <v>19</v>
      </c>
      <c r="D510" s="40" t="s">
        <v>162</v>
      </c>
      <c r="E510" s="40" t="s">
        <v>178</v>
      </c>
      <c r="F510" s="40"/>
      <c r="G510" s="27" t="s">
        <v>178</v>
      </c>
      <c r="H510" s="28">
        <v>6640.0</v>
      </c>
      <c r="I510" s="28">
        <v>1834.0</v>
      </c>
      <c r="J510" s="28">
        <v>1161.0</v>
      </c>
      <c r="K510" s="28">
        <v>673.0</v>
      </c>
      <c r="L510" s="28">
        <v>4806.0</v>
      </c>
      <c r="M510" s="28">
        <v>8126.0</v>
      </c>
      <c r="N510" s="28">
        <v>3043.0</v>
      </c>
      <c r="O510" s="28">
        <v>2792.0</v>
      </c>
      <c r="P510" s="28">
        <v>251.0</v>
      </c>
      <c r="Q510" s="28">
        <v>5083.0</v>
      </c>
      <c r="R510" s="29">
        <v>27.6204819</v>
      </c>
      <c r="S510" s="29">
        <v>17.4849398</v>
      </c>
      <c r="T510" s="29">
        <v>10.1355422</v>
      </c>
      <c r="U510" s="29">
        <v>72.3795181</v>
      </c>
      <c r="V510" s="29">
        <v>37.4476987</v>
      </c>
      <c r="W510" s="29">
        <v>34.3588481</v>
      </c>
      <c r="X510" s="29">
        <v>3.0888506</v>
      </c>
      <c r="Y510" s="29">
        <v>62.5523013</v>
      </c>
    </row>
    <row r="511" ht="15.0" hidden="1" customHeight="1">
      <c r="B511" s="30">
        <v>506.0</v>
      </c>
      <c r="C511" s="31" t="s">
        <v>19</v>
      </c>
      <c r="D511" s="31" t="s">
        <v>162</v>
      </c>
      <c r="E511" s="31" t="s">
        <v>178</v>
      </c>
      <c r="F511" s="31"/>
      <c r="G511" s="32" t="s">
        <v>15</v>
      </c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4"/>
      <c r="S511" s="34"/>
      <c r="T511" s="34"/>
      <c r="U511" s="34"/>
      <c r="V511" s="34"/>
      <c r="W511" s="34"/>
      <c r="X511" s="34"/>
      <c r="Y511" s="34"/>
    </row>
    <row r="512" ht="15.0" hidden="1" customHeight="1">
      <c r="B512" s="30">
        <v>507.0</v>
      </c>
      <c r="C512" s="31" t="s">
        <v>19</v>
      </c>
      <c r="D512" s="31" t="s">
        <v>162</v>
      </c>
      <c r="E512" s="31" t="s">
        <v>178</v>
      </c>
      <c r="F512" s="31"/>
      <c r="G512" s="32" t="s">
        <v>16</v>
      </c>
      <c r="H512" s="33">
        <v>6640.0</v>
      </c>
      <c r="I512" s="33">
        <v>1834.0</v>
      </c>
      <c r="J512" s="33">
        <v>1161.0</v>
      </c>
      <c r="K512" s="33">
        <v>673.0</v>
      </c>
      <c r="L512" s="33">
        <v>4806.0</v>
      </c>
      <c r="M512" s="33">
        <v>8126.0</v>
      </c>
      <c r="N512" s="33">
        <v>3043.0</v>
      </c>
      <c r="O512" s="33">
        <v>2792.0</v>
      </c>
      <c r="P512" s="33">
        <v>251.0</v>
      </c>
      <c r="Q512" s="33">
        <v>5083.0</v>
      </c>
      <c r="R512" s="34">
        <v>27.6204819</v>
      </c>
      <c r="S512" s="34">
        <v>17.4849398</v>
      </c>
      <c r="T512" s="34">
        <v>10.1355422</v>
      </c>
      <c r="U512" s="34">
        <v>72.3795181</v>
      </c>
      <c r="V512" s="34">
        <v>37.4476987</v>
      </c>
      <c r="W512" s="34">
        <v>34.3588481</v>
      </c>
      <c r="X512" s="34">
        <v>3.0888506</v>
      </c>
      <c r="Y512" s="34">
        <v>62.5523013</v>
      </c>
    </row>
    <row r="513" ht="15.0" customHeight="1">
      <c r="B513" s="35">
        <v>508.0</v>
      </c>
      <c r="C513" s="36" t="s">
        <v>21</v>
      </c>
      <c r="D513" s="41" t="s">
        <v>162</v>
      </c>
      <c r="E513" s="41" t="s">
        <v>178</v>
      </c>
      <c r="F513" s="41" t="s">
        <v>178</v>
      </c>
      <c r="G513" s="42" t="s">
        <v>178</v>
      </c>
      <c r="H513" s="37">
        <v>3303.0</v>
      </c>
      <c r="I513" s="37">
        <v>531.0</v>
      </c>
      <c r="J513" s="37">
        <v>364.0</v>
      </c>
      <c r="K513" s="37">
        <v>167.0</v>
      </c>
      <c r="L513" s="37">
        <v>2772.0</v>
      </c>
      <c r="M513" s="37">
        <v>3900.0</v>
      </c>
      <c r="N513" s="37">
        <v>1058.0</v>
      </c>
      <c r="O513" s="37">
        <v>966.0</v>
      </c>
      <c r="P513" s="37">
        <v>92.0</v>
      </c>
      <c r="Q513" s="37">
        <v>2842.0</v>
      </c>
      <c r="R513" s="38">
        <v>16.0762943</v>
      </c>
      <c r="S513" s="38">
        <v>11.0202846</v>
      </c>
      <c r="T513" s="38">
        <v>5.0560097</v>
      </c>
      <c r="U513" s="38">
        <v>83.9237057</v>
      </c>
      <c r="V513" s="38">
        <v>27.1282051</v>
      </c>
      <c r="W513" s="38">
        <v>24.7692308</v>
      </c>
      <c r="X513" s="38">
        <v>2.3589744</v>
      </c>
      <c r="Y513" s="38">
        <v>72.8717949</v>
      </c>
    </row>
    <row r="514" ht="15.0" hidden="1" customHeight="1">
      <c r="B514" s="30">
        <v>509.0</v>
      </c>
      <c r="C514" s="31" t="s">
        <v>21</v>
      </c>
      <c r="D514" s="31" t="s">
        <v>162</v>
      </c>
      <c r="E514" s="31" t="s">
        <v>178</v>
      </c>
      <c r="F514" s="31" t="s">
        <v>178</v>
      </c>
      <c r="G514" s="32" t="s">
        <v>15</v>
      </c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4"/>
      <c r="S514" s="34"/>
      <c r="T514" s="34"/>
      <c r="U514" s="34"/>
      <c r="V514" s="34"/>
      <c r="W514" s="34"/>
      <c r="X514" s="34"/>
      <c r="Y514" s="34"/>
    </row>
    <row r="515" ht="15.0" hidden="1" customHeight="1">
      <c r="B515" s="30">
        <v>510.0</v>
      </c>
      <c r="C515" s="31" t="s">
        <v>21</v>
      </c>
      <c r="D515" s="31" t="s">
        <v>162</v>
      </c>
      <c r="E515" s="31" t="s">
        <v>178</v>
      </c>
      <c r="F515" s="31" t="s">
        <v>178</v>
      </c>
      <c r="G515" s="32" t="s">
        <v>16</v>
      </c>
      <c r="H515" s="33">
        <v>3303.0</v>
      </c>
      <c r="I515" s="33">
        <v>531.0</v>
      </c>
      <c r="J515" s="33">
        <v>364.0</v>
      </c>
      <c r="K515" s="33">
        <v>167.0</v>
      </c>
      <c r="L515" s="33">
        <v>2772.0</v>
      </c>
      <c r="M515" s="33">
        <v>3900.0</v>
      </c>
      <c r="N515" s="33">
        <v>1058.0</v>
      </c>
      <c r="O515" s="33">
        <v>966.0</v>
      </c>
      <c r="P515" s="33">
        <v>92.0</v>
      </c>
      <c r="Q515" s="33">
        <v>2842.0</v>
      </c>
      <c r="R515" s="34">
        <v>16.0762943</v>
      </c>
      <c r="S515" s="34">
        <v>11.0202846</v>
      </c>
      <c r="T515" s="34">
        <v>5.0560097</v>
      </c>
      <c r="U515" s="34">
        <v>83.9237057</v>
      </c>
      <c r="V515" s="34">
        <v>27.1282051</v>
      </c>
      <c r="W515" s="34">
        <v>24.7692308</v>
      </c>
      <c r="X515" s="34">
        <v>2.3589744</v>
      </c>
      <c r="Y515" s="34">
        <v>72.8717949</v>
      </c>
    </row>
    <row r="516" ht="15.0" customHeight="1">
      <c r="B516" s="35">
        <v>511.0</v>
      </c>
      <c r="C516" s="36" t="s">
        <v>21</v>
      </c>
      <c r="D516" s="41" t="s">
        <v>162</v>
      </c>
      <c r="E516" s="41" t="s">
        <v>178</v>
      </c>
      <c r="F516" s="41" t="s">
        <v>179</v>
      </c>
      <c r="G516" s="42" t="s">
        <v>179</v>
      </c>
      <c r="H516" s="37">
        <v>3337.0</v>
      </c>
      <c r="I516" s="37">
        <v>1303.0</v>
      </c>
      <c r="J516" s="37">
        <v>797.0</v>
      </c>
      <c r="K516" s="37">
        <v>506.0</v>
      </c>
      <c r="L516" s="37">
        <v>2034.0</v>
      </c>
      <c r="M516" s="37">
        <v>4226.0</v>
      </c>
      <c r="N516" s="37">
        <v>1985.0</v>
      </c>
      <c r="O516" s="37">
        <v>1826.0</v>
      </c>
      <c r="P516" s="37">
        <v>159.0</v>
      </c>
      <c r="Q516" s="37">
        <v>2241.0</v>
      </c>
      <c r="R516" s="38">
        <v>39.0470482</v>
      </c>
      <c r="S516" s="38">
        <v>23.8837279</v>
      </c>
      <c r="T516" s="38">
        <v>15.1633203</v>
      </c>
      <c r="U516" s="38">
        <v>60.9529518</v>
      </c>
      <c r="V516" s="38">
        <v>46.9711311</v>
      </c>
      <c r="W516" s="38">
        <v>43.208708</v>
      </c>
      <c r="X516" s="38">
        <v>3.7624231</v>
      </c>
      <c r="Y516" s="38">
        <v>53.0288689</v>
      </c>
    </row>
    <row r="517" ht="15.0" hidden="1" customHeight="1">
      <c r="B517" s="30">
        <v>512.0</v>
      </c>
      <c r="C517" s="31" t="s">
        <v>21</v>
      </c>
      <c r="D517" s="31" t="s">
        <v>162</v>
      </c>
      <c r="E517" s="31" t="s">
        <v>178</v>
      </c>
      <c r="F517" s="31" t="s">
        <v>179</v>
      </c>
      <c r="G517" s="32" t="s">
        <v>15</v>
      </c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4"/>
      <c r="S517" s="34"/>
      <c r="T517" s="34"/>
      <c r="U517" s="34"/>
      <c r="V517" s="34"/>
      <c r="W517" s="34"/>
      <c r="X517" s="34"/>
      <c r="Y517" s="34"/>
    </row>
    <row r="518" ht="15.0" hidden="1" customHeight="1">
      <c r="B518" s="30">
        <v>513.0</v>
      </c>
      <c r="C518" s="31" t="s">
        <v>21</v>
      </c>
      <c r="D518" s="31" t="s">
        <v>162</v>
      </c>
      <c r="E518" s="31" t="s">
        <v>178</v>
      </c>
      <c r="F518" s="31" t="s">
        <v>179</v>
      </c>
      <c r="G518" s="32" t="s">
        <v>16</v>
      </c>
      <c r="H518" s="33">
        <v>3337.0</v>
      </c>
      <c r="I518" s="33">
        <v>1303.0</v>
      </c>
      <c r="J518" s="33">
        <v>797.0</v>
      </c>
      <c r="K518" s="33">
        <v>506.0</v>
      </c>
      <c r="L518" s="33">
        <v>2034.0</v>
      </c>
      <c r="M518" s="33">
        <v>4226.0</v>
      </c>
      <c r="N518" s="33">
        <v>1985.0</v>
      </c>
      <c r="O518" s="33">
        <v>1826.0</v>
      </c>
      <c r="P518" s="33">
        <v>159.0</v>
      </c>
      <c r="Q518" s="33">
        <v>2241.0</v>
      </c>
      <c r="R518" s="34">
        <v>39.0470482</v>
      </c>
      <c r="S518" s="34">
        <v>23.8837279</v>
      </c>
      <c r="T518" s="34">
        <v>15.1633203</v>
      </c>
      <c r="U518" s="34">
        <v>60.9529518</v>
      </c>
      <c r="V518" s="34">
        <v>46.9711311</v>
      </c>
      <c r="W518" s="34">
        <v>43.208708</v>
      </c>
      <c r="X518" s="34">
        <v>3.7624231</v>
      </c>
      <c r="Y518" s="34">
        <v>53.0288689</v>
      </c>
    </row>
    <row r="519" ht="15.0" hidden="1" customHeight="1">
      <c r="B519" s="26">
        <v>514.0</v>
      </c>
      <c r="C519" s="27" t="s">
        <v>19</v>
      </c>
      <c r="D519" s="40" t="s">
        <v>162</v>
      </c>
      <c r="E519" s="40" t="s">
        <v>180</v>
      </c>
      <c r="F519" s="40"/>
      <c r="G519" s="27" t="s">
        <v>180</v>
      </c>
      <c r="H519" s="28">
        <v>9414.0</v>
      </c>
      <c r="I519" s="28">
        <v>4788.0</v>
      </c>
      <c r="J519" s="28">
        <v>3299.0</v>
      </c>
      <c r="K519" s="28">
        <v>1489.0</v>
      </c>
      <c r="L519" s="28">
        <v>4626.0</v>
      </c>
      <c r="M519" s="28">
        <v>11318.0</v>
      </c>
      <c r="N519" s="28">
        <v>7537.0</v>
      </c>
      <c r="O519" s="28">
        <v>7046.0</v>
      </c>
      <c r="P519" s="28">
        <v>491.0</v>
      </c>
      <c r="Q519" s="28">
        <v>3781.0</v>
      </c>
      <c r="R519" s="29">
        <v>50.8604207</v>
      </c>
      <c r="S519" s="29">
        <v>35.0435522</v>
      </c>
      <c r="T519" s="29">
        <v>15.8168685</v>
      </c>
      <c r="U519" s="29">
        <v>49.1395793</v>
      </c>
      <c r="V519" s="29">
        <v>66.5930376</v>
      </c>
      <c r="W519" s="29">
        <v>62.2548153</v>
      </c>
      <c r="X519" s="29">
        <v>4.3382223</v>
      </c>
      <c r="Y519" s="29">
        <v>33.4069624</v>
      </c>
    </row>
    <row r="520" ht="15.0" hidden="1" customHeight="1">
      <c r="B520" s="30">
        <v>515.0</v>
      </c>
      <c r="C520" s="31" t="s">
        <v>19</v>
      </c>
      <c r="D520" s="31" t="s">
        <v>162</v>
      </c>
      <c r="E520" s="31" t="s">
        <v>180</v>
      </c>
      <c r="F520" s="31"/>
      <c r="G520" s="32" t="s">
        <v>15</v>
      </c>
      <c r="H520" s="33">
        <v>2560.0</v>
      </c>
      <c r="I520" s="33">
        <v>2101.0</v>
      </c>
      <c r="J520" s="33">
        <v>1332.0</v>
      </c>
      <c r="K520" s="33">
        <v>769.0</v>
      </c>
      <c r="L520" s="33">
        <v>459.0</v>
      </c>
      <c r="M520" s="33">
        <v>2765.0</v>
      </c>
      <c r="N520" s="33">
        <v>2565.0</v>
      </c>
      <c r="O520" s="33">
        <v>2414.0</v>
      </c>
      <c r="P520" s="33">
        <v>151.0</v>
      </c>
      <c r="Q520" s="33">
        <v>200.0</v>
      </c>
      <c r="R520" s="34">
        <v>82.0703125</v>
      </c>
      <c r="S520" s="34">
        <v>52.03125</v>
      </c>
      <c r="T520" s="34">
        <v>30.0390625</v>
      </c>
      <c r="U520" s="34">
        <v>17.9296875</v>
      </c>
      <c r="V520" s="34">
        <v>92.7667269</v>
      </c>
      <c r="W520" s="34">
        <v>87.3056058</v>
      </c>
      <c r="X520" s="34">
        <v>5.4611212</v>
      </c>
      <c r="Y520" s="34">
        <v>7.2332731</v>
      </c>
    </row>
    <row r="521" ht="15.0" hidden="1" customHeight="1">
      <c r="B521" s="30">
        <v>516.0</v>
      </c>
      <c r="C521" s="31" t="s">
        <v>19</v>
      </c>
      <c r="D521" s="31" t="s">
        <v>162</v>
      </c>
      <c r="E521" s="31" t="s">
        <v>180</v>
      </c>
      <c r="F521" s="31"/>
      <c r="G521" s="32" t="s">
        <v>16</v>
      </c>
      <c r="H521" s="33">
        <v>6854.0</v>
      </c>
      <c r="I521" s="33">
        <v>2687.0</v>
      </c>
      <c r="J521" s="33">
        <v>1967.0</v>
      </c>
      <c r="K521" s="33">
        <v>720.0</v>
      </c>
      <c r="L521" s="33">
        <v>4167.0</v>
      </c>
      <c r="M521" s="33">
        <v>8553.0</v>
      </c>
      <c r="N521" s="33">
        <v>4972.0</v>
      </c>
      <c r="O521" s="33">
        <v>4632.0</v>
      </c>
      <c r="P521" s="33">
        <v>340.0</v>
      </c>
      <c r="Q521" s="33">
        <v>3581.0</v>
      </c>
      <c r="R521" s="34">
        <v>39.2033849</v>
      </c>
      <c r="S521" s="34">
        <v>28.6985702</v>
      </c>
      <c r="T521" s="34">
        <v>10.5048147</v>
      </c>
      <c r="U521" s="34">
        <v>60.7966151</v>
      </c>
      <c r="V521" s="34">
        <v>58.1316497</v>
      </c>
      <c r="W521" s="34">
        <v>54.1564363</v>
      </c>
      <c r="X521" s="34">
        <v>3.9752134</v>
      </c>
      <c r="Y521" s="34">
        <v>41.8683503</v>
      </c>
    </row>
    <row r="522" ht="15.0" customHeight="1">
      <c r="B522" s="35">
        <v>517.0</v>
      </c>
      <c r="C522" s="36" t="s">
        <v>21</v>
      </c>
      <c r="D522" s="41" t="s">
        <v>162</v>
      </c>
      <c r="E522" s="41" t="s">
        <v>180</v>
      </c>
      <c r="F522" s="41" t="s">
        <v>180</v>
      </c>
      <c r="G522" s="42" t="s">
        <v>180</v>
      </c>
      <c r="H522" s="37">
        <v>5928.0</v>
      </c>
      <c r="I522" s="37">
        <v>3298.0</v>
      </c>
      <c r="J522" s="37">
        <v>2224.0</v>
      </c>
      <c r="K522" s="37">
        <v>1074.0</v>
      </c>
      <c r="L522" s="37">
        <v>2630.0</v>
      </c>
      <c r="M522" s="37">
        <v>6991.0</v>
      </c>
      <c r="N522" s="37">
        <v>4737.0</v>
      </c>
      <c r="O522" s="37">
        <v>4436.0</v>
      </c>
      <c r="P522" s="37">
        <v>301.0</v>
      </c>
      <c r="Q522" s="37">
        <v>2254.0</v>
      </c>
      <c r="R522" s="38">
        <v>55.634278</v>
      </c>
      <c r="S522" s="38">
        <v>37.5168691</v>
      </c>
      <c r="T522" s="38">
        <v>18.1174089</v>
      </c>
      <c r="U522" s="38">
        <v>44.365722</v>
      </c>
      <c r="V522" s="38">
        <v>67.7585467</v>
      </c>
      <c r="W522" s="38">
        <v>63.453011</v>
      </c>
      <c r="X522" s="38">
        <v>4.3055357</v>
      </c>
      <c r="Y522" s="38">
        <v>32.2414533</v>
      </c>
    </row>
    <row r="523" ht="15.0" hidden="1" customHeight="1">
      <c r="B523" s="30">
        <v>518.0</v>
      </c>
      <c r="C523" s="31" t="s">
        <v>21</v>
      </c>
      <c r="D523" s="31" t="s">
        <v>162</v>
      </c>
      <c r="E523" s="31" t="s">
        <v>180</v>
      </c>
      <c r="F523" s="31" t="s">
        <v>180</v>
      </c>
      <c r="G523" s="32" t="s">
        <v>15</v>
      </c>
      <c r="H523" s="33">
        <v>2560.0</v>
      </c>
      <c r="I523" s="33">
        <v>2101.0</v>
      </c>
      <c r="J523" s="33">
        <v>1332.0</v>
      </c>
      <c r="K523" s="33">
        <v>769.0</v>
      </c>
      <c r="L523" s="33">
        <v>459.0</v>
      </c>
      <c r="M523" s="33">
        <v>2765.0</v>
      </c>
      <c r="N523" s="33">
        <v>2565.0</v>
      </c>
      <c r="O523" s="33">
        <v>2414.0</v>
      </c>
      <c r="P523" s="33">
        <v>151.0</v>
      </c>
      <c r="Q523" s="33">
        <v>200.0</v>
      </c>
      <c r="R523" s="34">
        <v>82.0703125</v>
      </c>
      <c r="S523" s="34">
        <v>52.03125</v>
      </c>
      <c r="T523" s="34">
        <v>30.0390625</v>
      </c>
      <c r="U523" s="34">
        <v>17.9296875</v>
      </c>
      <c r="V523" s="34">
        <v>92.7667269</v>
      </c>
      <c r="W523" s="34">
        <v>87.3056058</v>
      </c>
      <c r="X523" s="34">
        <v>5.4611212</v>
      </c>
      <c r="Y523" s="34">
        <v>7.2332731</v>
      </c>
    </row>
    <row r="524" ht="15.0" hidden="1" customHeight="1">
      <c r="B524" s="30">
        <v>519.0</v>
      </c>
      <c r="C524" s="31" t="s">
        <v>21</v>
      </c>
      <c r="D524" s="31" t="s">
        <v>162</v>
      </c>
      <c r="E524" s="31" t="s">
        <v>180</v>
      </c>
      <c r="F524" s="31" t="s">
        <v>180</v>
      </c>
      <c r="G524" s="32" t="s">
        <v>16</v>
      </c>
      <c r="H524" s="33">
        <v>3368.0</v>
      </c>
      <c r="I524" s="33">
        <v>1197.0</v>
      </c>
      <c r="J524" s="33">
        <v>892.0</v>
      </c>
      <c r="K524" s="33">
        <v>305.0</v>
      </c>
      <c r="L524" s="33">
        <v>2171.0</v>
      </c>
      <c r="M524" s="33">
        <v>4226.0</v>
      </c>
      <c r="N524" s="33">
        <v>2172.0</v>
      </c>
      <c r="O524" s="33">
        <v>2022.0</v>
      </c>
      <c r="P524" s="33">
        <v>150.0</v>
      </c>
      <c r="Q524" s="33">
        <v>2054.0</v>
      </c>
      <c r="R524" s="34">
        <v>35.54038</v>
      </c>
      <c r="S524" s="34">
        <v>26.4845606</v>
      </c>
      <c r="T524" s="34">
        <v>9.0558195</v>
      </c>
      <c r="U524" s="34">
        <v>64.45962</v>
      </c>
      <c r="V524" s="34">
        <v>51.3961193</v>
      </c>
      <c r="W524" s="34">
        <v>47.8466635</v>
      </c>
      <c r="X524" s="34">
        <v>3.5494558</v>
      </c>
      <c r="Y524" s="34">
        <v>48.6038807</v>
      </c>
    </row>
    <row r="525" ht="15.0" customHeight="1">
      <c r="B525" s="35">
        <v>520.0</v>
      </c>
      <c r="C525" s="36" t="s">
        <v>21</v>
      </c>
      <c r="D525" s="41" t="s">
        <v>162</v>
      </c>
      <c r="E525" s="41" t="s">
        <v>180</v>
      </c>
      <c r="F525" s="41" t="s">
        <v>181</v>
      </c>
      <c r="G525" s="42" t="s">
        <v>181</v>
      </c>
      <c r="H525" s="37">
        <v>2403.0</v>
      </c>
      <c r="I525" s="37">
        <v>1184.0</v>
      </c>
      <c r="J525" s="37">
        <v>911.0</v>
      </c>
      <c r="K525" s="37">
        <v>273.0</v>
      </c>
      <c r="L525" s="37">
        <v>1219.0</v>
      </c>
      <c r="M525" s="37">
        <v>3008.0</v>
      </c>
      <c r="N525" s="37">
        <v>2125.0</v>
      </c>
      <c r="O525" s="37">
        <v>1991.0</v>
      </c>
      <c r="P525" s="37">
        <v>134.0</v>
      </c>
      <c r="Q525" s="37">
        <v>883.0</v>
      </c>
      <c r="R525" s="38">
        <v>49.2717437</v>
      </c>
      <c r="S525" s="38">
        <v>37.9109447</v>
      </c>
      <c r="T525" s="38">
        <v>11.360799</v>
      </c>
      <c r="U525" s="38">
        <v>50.7282563</v>
      </c>
      <c r="V525" s="38">
        <v>70.6449468</v>
      </c>
      <c r="W525" s="38">
        <v>66.1901596</v>
      </c>
      <c r="X525" s="38">
        <v>4.4547872</v>
      </c>
      <c r="Y525" s="38">
        <v>29.3550532</v>
      </c>
    </row>
    <row r="526" ht="15.0" hidden="1" customHeight="1">
      <c r="B526" s="30">
        <v>521.0</v>
      </c>
      <c r="C526" s="31" t="s">
        <v>21</v>
      </c>
      <c r="D526" s="31" t="s">
        <v>162</v>
      </c>
      <c r="E526" s="31" t="s">
        <v>180</v>
      </c>
      <c r="F526" s="31" t="s">
        <v>181</v>
      </c>
      <c r="G526" s="32" t="s">
        <v>15</v>
      </c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4"/>
      <c r="S526" s="34"/>
      <c r="T526" s="34"/>
      <c r="U526" s="34"/>
      <c r="V526" s="34"/>
      <c r="W526" s="34"/>
      <c r="X526" s="34"/>
      <c r="Y526" s="34"/>
    </row>
    <row r="527" ht="15.0" hidden="1" customHeight="1">
      <c r="B527" s="30">
        <v>522.0</v>
      </c>
      <c r="C527" s="31" t="s">
        <v>21</v>
      </c>
      <c r="D527" s="31" t="s">
        <v>162</v>
      </c>
      <c r="E527" s="31" t="s">
        <v>180</v>
      </c>
      <c r="F527" s="31" t="s">
        <v>181</v>
      </c>
      <c r="G527" s="32" t="s">
        <v>16</v>
      </c>
      <c r="H527" s="33">
        <v>2403.0</v>
      </c>
      <c r="I527" s="33">
        <v>1184.0</v>
      </c>
      <c r="J527" s="33">
        <v>911.0</v>
      </c>
      <c r="K527" s="33">
        <v>273.0</v>
      </c>
      <c r="L527" s="33">
        <v>1219.0</v>
      </c>
      <c r="M527" s="33">
        <v>3008.0</v>
      </c>
      <c r="N527" s="33">
        <v>2125.0</v>
      </c>
      <c r="O527" s="33">
        <v>1991.0</v>
      </c>
      <c r="P527" s="33">
        <v>134.0</v>
      </c>
      <c r="Q527" s="33">
        <v>883.0</v>
      </c>
      <c r="R527" s="34">
        <v>49.2717437</v>
      </c>
      <c r="S527" s="34">
        <v>37.9109447</v>
      </c>
      <c r="T527" s="34">
        <v>11.360799</v>
      </c>
      <c r="U527" s="34">
        <v>50.7282563</v>
      </c>
      <c r="V527" s="34">
        <v>70.6449468</v>
      </c>
      <c r="W527" s="34">
        <v>66.1901596</v>
      </c>
      <c r="X527" s="34">
        <v>4.4547872</v>
      </c>
      <c r="Y527" s="34">
        <v>29.3550532</v>
      </c>
    </row>
    <row r="528" ht="15.0" customHeight="1">
      <c r="B528" s="35">
        <v>523.0</v>
      </c>
      <c r="C528" s="36" t="s">
        <v>21</v>
      </c>
      <c r="D528" s="41" t="s">
        <v>162</v>
      </c>
      <c r="E528" s="41" t="s">
        <v>180</v>
      </c>
      <c r="F528" s="41" t="s">
        <v>182</v>
      </c>
      <c r="G528" s="42" t="s">
        <v>182</v>
      </c>
      <c r="H528" s="37">
        <v>1083.0</v>
      </c>
      <c r="I528" s="37">
        <v>306.0</v>
      </c>
      <c r="J528" s="37">
        <v>164.0</v>
      </c>
      <c r="K528" s="37">
        <v>142.0</v>
      </c>
      <c r="L528" s="37">
        <v>777.0</v>
      </c>
      <c r="M528" s="37">
        <v>1319.0</v>
      </c>
      <c r="N528" s="37">
        <v>675.0</v>
      </c>
      <c r="O528" s="37">
        <v>619.0</v>
      </c>
      <c r="P528" s="37">
        <v>56.0</v>
      </c>
      <c r="Q528" s="37">
        <v>644.0</v>
      </c>
      <c r="R528" s="38">
        <v>28.2548476</v>
      </c>
      <c r="S528" s="38">
        <v>15.143121</v>
      </c>
      <c r="T528" s="38">
        <v>13.1117267</v>
      </c>
      <c r="U528" s="38">
        <v>71.7451524</v>
      </c>
      <c r="V528" s="38">
        <v>51.1751327</v>
      </c>
      <c r="W528" s="38">
        <v>46.929492</v>
      </c>
      <c r="X528" s="38">
        <v>4.2456406</v>
      </c>
      <c r="Y528" s="38">
        <v>48.8248673</v>
      </c>
    </row>
    <row r="529" ht="15.0" hidden="1" customHeight="1">
      <c r="B529" s="30">
        <v>524.0</v>
      </c>
      <c r="C529" s="31" t="s">
        <v>21</v>
      </c>
      <c r="D529" s="31" t="s">
        <v>162</v>
      </c>
      <c r="E529" s="31" t="s">
        <v>180</v>
      </c>
      <c r="F529" s="31" t="s">
        <v>182</v>
      </c>
      <c r="G529" s="32" t="s">
        <v>15</v>
      </c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4"/>
      <c r="S529" s="34"/>
      <c r="T529" s="34"/>
      <c r="U529" s="34"/>
      <c r="V529" s="34"/>
      <c r="W529" s="34"/>
      <c r="X529" s="34"/>
      <c r="Y529" s="34"/>
    </row>
    <row r="530" ht="15.0" hidden="1" customHeight="1">
      <c r="B530" s="30">
        <v>525.0</v>
      </c>
      <c r="C530" s="31" t="s">
        <v>21</v>
      </c>
      <c r="D530" s="31" t="s">
        <v>162</v>
      </c>
      <c r="E530" s="31" t="s">
        <v>180</v>
      </c>
      <c r="F530" s="31" t="s">
        <v>182</v>
      </c>
      <c r="G530" s="32" t="s">
        <v>16</v>
      </c>
      <c r="H530" s="33">
        <v>1083.0</v>
      </c>
      <c r="I530" s="33">
        <v>306.0</v>
      </c>
      <c r="J530" s="33">
        <v>164.0</v>
      </c>
      <c r="K530" s="33">
        <v>142.0</v>
      </c>
      <c r="L530" s="33">
        <v>777.0</v>
      </c>
      <c r="M530" s="33">
        <v>1319.0</v>
      </c>
      <c r="N530" s="33">
        <v>675.0</v>
      </c>
      <c r="O530" s="33">
        <v>619.0</v>
      </c>
      <c r="P530" s="33">
        <v>56.0</v>
      </c>
      <c r="Q530" s="33">
        <v>644.0</v>
      </c>
      <c r="R530" s="34">
        <v>28.2548476</v>
      </c>
      <c r="S530" s="34">
        <v>15.143121</v>
      </c>
      <c r="T530" s="34">
        <v>13.1117267</v>
      </c>
      <c r="U530" s="34">
        <v>71.7451524</v>
      </c>
      <c r="V530" s="34">
        <v>51.1751327</v>
      </c>
      <c r="W530" s="34">
        <v>46.929492</v>
      </c>
      <c r="X530" s="34">
        <v>4.2456406</v>
      </c>
      <c r="Y530" s="34">
        <v>48.8248673</v>
      </c>
    </row>
    <row r="531" ht="15.0" hidden="1" customHeight="1">
      <c r="B531" s="26">
        <v>526.0</v>
      </c>
      <c r="C531" s="27" t="s">
        <v>19</v>
      </c>
      <c r="D531" s="40" t="s">
        <v>162</v>
      </c>
      <c r="E531" s="40" t="s">
        <v>183</v>
      </c>
      <c r="F531" s="40"/>
      <c r="G531" s="27" t="s">
        <v>183</v>
      </c>
      <c r="H531" s="28">
        <v>9491.0</v>
      </c>
      <c r="I531" s="28">
        <v>6653.0</v>
      </c>
      <c r="J531" s="28">
        <v>5032.0</v>
      </c>
      <c r="K531" s="28">
        <v>1621.0</v>
      </c>
      <c r="L531" s="28">
        <v>2838.0</v>
      </c>
      <c r="M531" s="28">
        <v>11426.0</v>
      </c>
      <c r="N531" s="28">
        <v>9293.0</v>
      </c>
      <c r="O531" s="28">
        <v>8852.0</v>
      </c>
      <c r="P531" s="28">
        <v>441.0</v>
      </c>
      <c r="Q531" s="28">
        <v>2133.0</v>
      </c>
      <c r="R531" s="29">
        <v>70.0979876</v>
      </c>
      <c r="S531" s="29">
        <v>53.0186492</v>
      </c>
      <c r="T531" s="29">
        <v>17.0793383</v>
      </c>
      <c r="U531" s="29">
        <v>29.9020124</v>
      </c>
      <c r="V531" s="29">
        <v>81.3320497</v>
      </c>
      <c r="W531" s="29">
        <v>77.4724313</v>
      </c>
      <c r="X531" s="29">
        <v>3.8596184</v>
      </c>
      <c r="Y531" s="29">
        <v>18.6679503</v>
      </c>
    </row>
    <row r="532" ht="15.0" hidden="1" customHeight="1">
      <c r="B532" s="30">
        <v>527.0</v>
      </c>
      <c r="C532" s="31" t="s">
        <v>19</v>
      </c>
      <c r="D532" s="31" t="s">
        <v>162</v>
      </c>
      <c r="E532" s="31" t="s">
        <v>183</v>
      </c>
      <c r="F532" s="31"/>
      <c r="G532" s="32" t="s">
        <v>15</v>
      </c>
      <c r="H532" s="33">
        <v>3807.0</v>
      </c>
      <c r="I532" s="33">
        <v>3167.0</v>
      </c>
      <c r="J532" s="33">
        <v>2315.0</v>
      </c>
      <c r="K532" s="33">
        <v>852.0</v>
      </c>
      <c r="L532" s="33">
        <v>640.0</v>
      </c>
      <c r="M532" s="33">
        <v>3701.0</v>
      </c>
      <c r="N532" s="33">
        <v>3541.0</v>
      </c>
      <c r="O532" s="33">
        <v>3349.0</v>
      </c>
      <c r="P532" s="33">
        <v>192.0</v>
      </c>
      <c r="Q532" s="33">
        <v>160.0</v>
      </c>
      <c r="R532" s="34">
        <v>83.1888626</v>
      </c>
      <c r="S532" s="34">
        <v>60.809036</v>
      </c>
      <c r="T532" s="34">
        <v>22.3798266</v>
      </c>
      <c r="U532" s="34">
        <v>16.8111374</v>
      </c>
      <c r="V532" s="34">
        <v>95.6768441</v>
      </c>
      <c r="W532" s="34">
        <v>90.489057</v>
      </c>
      <c r="X532" s="34">
        <v>5.1877871</v>
      </c>
      <c r="Y532" s="34">
        <v>4.3231559</v>
      </c>
    </row>
    <row r="533" ht="15.0" hidden="1" customHeight="1">
      <c r="B533" s="30">
        <v>528.0</v>
      </c>
      <c r="C533" s="31" t="s">
        <v>19</v>
      </c>
      <c r="D533" s="31" t="s">
        <v>162</v>
      </c>
      <c r="E533" s="31" t="s">
        <v>183</v>
      </c>
      <c r="F533" s="31"/>
      <c r="G533" s="32" t="s">
        <v>16</v>
      </c>
      <c r="H533" s="33">
        <v>5684.0</v>
      </c>
      <c r="I533" s="33">
        <v>3486.0</v>
      </c>
      <c r="J533" s="33">
        <v>2717.0</v>
      </c>
      <c r="K533" s="33">
        <v>769.0</v>
      </c>
      <c r="L533" s="33">
        <v>2198.0</v>
      </c>
      <c r="M533" s="33">
        <v>7725.0</v>
      </c>
      <c r="N533" s="33">
        <v>5752.0</v>
      </c>
      <c r="O533" s="33">
        <v>5503.0</v>
      </c>
      <c r="P533" s="33">
        <v>249.0</v>
      </c>
      <c r="Q533" s="33">
        <v>1973.0</v>
      </c>
      <c r="R533" s="34">
        <v>61.3300493</v>
      </c>
      <c r="S533" s="34">
        <v>47.8008445</v>
      </c>
      <c r="T533" s="34">
        <v>13.5292048</v>
      </c>
      <c r="U533" s="34">
        <v>38.6699507</v>
      </c>
      <c r="V533" s="34">
        <v>74.4595469</v>
      </c>
      <c r="W533" s="34">
        <v>71.236246</v>
      </c>
      <c r="X533" s="34">
        <v>3.223301</v>
      </c>
      <c r="Y533" s="34">
        <v>25.5404531</v>
      </c>
    </row>
    <row r="534" ht="15.0" customHeight="1">
      <c r="B534" s="35">
        <v>529.0</v>
      </c>
      <c r="C534" s="36" t="s">
        <v>21</v>
      </c>
      <c r="D534" s="41" t="s">
        <v>162</v>
      </c>
      <c r="E534" s="41" t="s">
        <v>183</v>
      </c>
      <c r="F534" s="41" t="s">
        <v>184</v>
      </c>
      <c r="G534" s="42" t="s">
        <v>184</v>
      </c>
      <c r="H534" s="37">
        <v>5960.0</v>
      </c>
      <c r="I534" s="37">
        <v>4635.0</v>
      </c>
      <c r="J534" s="37">
        <v>3588.0</v>
      </c>
      <c r="K534" s="37">
        <v>1047.0</v>
      </c>
      <c r="L534" s="37">
        <v>1325.0</v>
      </c>
      <c r="M534" s="37">
        <v>6338.0</v>
      </c>
      <c r="N534" s="37">
        <v>5778.0</v>
      </c>
      <c r="O534" s="37">
        <v>5506.0</v>
      </c>
      <c r="P534" s="37">
        <v>272.0</v>
      </c>
      <c r="Q534" s="37">
        <v>560.0</v>
      </c>
      <c r="R534" s="38">
        <v>77.7684564</v>
      </c>
      <c r="S534" s="38">
        <v>60.2013423</v>
      </c>
      <c r="T534" s="38">
        <v>17.5671141</v>
      </c>
      <c r="U534" s="38">
        <v>22.2315436</v>
      </c>
      <c r="V534" s="38">
        <v>91.1644052</v>
      </c>
      <c r="W534" s="38">
        <v>86.8728305</v>
      </c>
      <c r="X534" s="38">
        <v>4.2915746</v>
      </c>
      <c r="Y534" s="38">
        <v>8.8355948</v>
      </c>
    </row>
    <row r="535" ht="15.0" hidden="1" customHeight="1">
      <c r="B535" s="30">
        <v>530.0</v>
      </c>
      <c r="C535" s="31" t="s">
        <v>21</v>
      </c>
      <c r="D535" s="31" t="s">
        <v>162</v>
      </c>
      <c r="E535" s="31" t="s">
        <v>183</v>
      </c>
      <c r="F535" s="31" t="s">
        <v>184</v>
      </c>
      <c r="G535" s="32" t="s">
        <v>15</v>
      </c>
      <c r="H535" s="33">
        <v>2937.0</v>
      </c>
      <c r="I535" s="33">
        <v>2487.0</v>
      </c>
      <c r="J535" s="33">
        <v>1811.0</v>
      </c>
      <c r="K535" s="33">
        <v>676.0</v>
      </c>
      <c r="L535" s="33">
        <v>450.0</v>
      </c>
      <c r="M535" s="33">
        <v>3096.0</v>
      </c>
      <c r="N535" s="33">
        <v>2970.0</v>
      </c>
      <c r="O535" s="33">
        <v>2809.0</v>
      </c>
      <c r="P535" s="33">
        <v>161.0</v>
      </c>
      <c r="Q535" s="33">
        <v>126.0</v>
      </c>
      <c r="R535" s="34">
        <v>84.6782431</v>
      </c>
      <c r="S535" s="34">
        <v>61.6615594</v>
      </c>
      <c r="T535" s="34">
        <v>23.0166837</v>
      </c>
      <c r="U535" s="34">
        <v>15.3217569</v>
      </c>
      <c r="V535" s="34">
        <v>95.9302326</v>
      </c>
      <c r="W535" s="34">
        <v>90.7299742</v>
      </c>
      <c r="X535" s="34">
        <v>5.2002584</v>
      </c>
      <c r="Y535" s="34">
        <v>4.0697674</v>
      </c>
    </row>
    <row r="536" ht="15.0" hidden="1" customHeight="1">
      <c r="B536" s="30">
        <v>531.0</v>
      </c>
      <c r="C536" s="31" t="s">
        <v>21</v>
      </c>
      <c r="D536" s="31" t="s">
        <v>162</v>
      </c>
      <c r="E536" s="31" t="s">
        <v>183</v>
      </c>
      <c r="F536" s="31" t="s">
        <v>184</v>
      </c>
      <c r="G536" s="32" t="s">
        <v>16</v>
      </c>
      <c r="H536" s="33">
        <v>3023.0</v>
      </c>
      <c r="I536" s="33">
        <v>2148.0</v>
      </c>
      <c r="J536" s="33">
        <v>1777.0</v>
      </c>
      <c r="K536" s="33">
        <v>371.0</v>
      </c>
      <c r="L536" s="33">
        <v>875.0</v>
      </c>
      <c r="M536" s="33">
        <v>3242.0</v>
      </c>
      <c r="N536" s="33">
        <v>2808.0</v>
      </c>
      <c r="O536" s="33">
        <v>2697.0</v>
      </c>
      <c r="P536" s="33">
        <v>111.0</v>
      </c>
      <c r="Q536" s="33">
        <v>434.0</v>
      </c>
      <c r="R536" s="34">
        <v>71.0552431</v>
      </c>
      <c r="S536" s="34">
        <v>58.7826662</v>
      </c>
      <c r="T536" s="34">
        <v>12.2725769</v>
      </c>
      <c r="U536" s="34">
        <v>28.9447569</v>
      </c>
      <c r="V536" s="34">
        <v>86.6132017</v>
      </c>
      <c r="W536" s="34">
        <v>83.1893893</v>
      </c>
      <c r="X536" s="34">
        <v>3.4238125</v>
      </c>
      <c r="Y536" s="34">
        <v>13.3867983</v>
      </c>
    </row>
    <row r="537" ht="15.0" customHeight="1">
      <c r="B537" s="35">
        <v>532.0</v>
      </c>
      <c r="C537" s="36" t="s">
        <v>21</v>
      </c>
      <c r="D537" s="41" t="s">
        <v>162</v>
      </c>
      <c r="E537" s="41" t="s">
        <v>183</v>
      </c>
      <c r="F537" s="41" t="s">
        <v>185</v>
      </c>
      <c r="G537" s="42" t="s">
        <v>185</v>
      </c>
      <c r="H537" s="37">
        <v>2061.0</v>
      </c>
      <c r="I537" s="37">
        <v>936.0</v>
      </c>
      <c r="J537" s="37">
        <v>708.0</v>
      </c>
      <c r="K537" s="37">
        <v>228.0</v>
      </c>
      <c r="L537" s="37">
        <v>1125.0</v>
      </c>
      <c r="M537" s="37">
        <v>2572.0</v>
      </c>
      <c r="N537" s="37">
        <v>1680.0</v>
      </c>
      <c r="O537" s="37">
        <v>1618.0</v>
      </c>
      <c r="P537" s="37">
        <v>62.0</v>
      </c>
      <c r="Q537" s="37">
        <v>892.0</v>
      </c>
      <c r="R537" s="38">
        <v>45.4148472</v>
      </c>
      <c r="S537" s="38">
        <v>34.3522562</v>
      </c>
      <c r="T537" s="38">
        <v>11.062591</v>
      </c>
      <c r="U537" s="38">
        <v>54.5851528</v>
      </c>
      <c r="V537" s="38">
        <v>65.318818</v>
      </c>
      <c r="W537" s="38">
        <v>62.9082426</v>
      </c>
      <c r="X537" s="38">
        <v>2.4105754</v>
      </c>
      <c r="Y537" s="38">
        <v>34.681182</v>
      </c>
    </row>
    <row r="538" ht="15.0" hidden="1" customHeight="1">
      <c r="B538" s="30">
        <v>533.0</v>
      </c>
      <c r="C538" s="31" t="s">
        <v>21</v>
      </c>
      <c r="D538" s="31" t="s">
        <v>162</v>
      </c>
      <c r="E538" s="31" t="s">
        <v>183</v>
      </c>
      <c r="F538" s="31" t="s">
        <v>185</v>
      </c>
      <c r="G538" s="32" t="s">
        <v>15</v>
      </c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4"/>
      <c r="S538" s="34"/>
      <c r="T538" s="34"/>
      <c r="U538" s="34"/>
      <c r="V538" s="34"/>
      <c r="W538" s="34"/>
      <c r="X538" s="34"/>
      <c r="Y538" s="34"/>
    </row>
    <row r="539" ht="15.0" hidden="1" customHeight="1">
      <c r="B539" s="30">
        <v>534.0</v>
      </c>
      <c r="C539" s="31" t="s">
        <v>21</v>
      </c>
      <c r="D539" s="31" t="s">
        <v>162</v>
      </c>
      <c r="E539" s="31" t="s">
        <v>183</v>
      </c>
      <c r="F539" s="31" t="s">
        <v>185</v>
      </c>
      <c r="G539" s="32" t="s">
        <v>16</v>
      </c>
      <c r="H539" s="33">
        <v>2061.0</v>
      </c>
      <c r="I539" s="33">
        <v>936.0</v>
      </c>
      <c r="J539" s="33">
        <v>708.0</v>
      </c>
      <c r="K539" s="33">
        <v>228.0</v>
      </c>
      <c r="L539" s="33">
        <v>1125.0</v>
      </c>
      <c r="M539" s="33">
        <v>2572.0</v>
      </c>
      <c r="N539" s="33">
        <v>1680.0</v>
      </c>
      <c r="O539" s="33">
        <v>1618.0</v>
      </c>
      <c r="P539" s="33">
        <v>62.0</v>
      </c>
      <c r="Q539" s="33">
        <v>892.0</v>
      </c>
      <c r="R539" s="34">
        <v>45.4148472</v>
      </c>
      <c r="S539" s="34">
        <v>34.3522562</v>
      </c>
      <c r="T539" s="34">
        <v>11.062591</v>
      </c>
      <c r="U539" s="34">
        <v>54.5851528</v>
      </c>
      <c r="V539" s="34">
        <v>65.318818</v>
      </c>
      <c r="W539" s="34">
        <v>62.9082426</v>
      </c>
      <c r="X539" s="34">
        <v>2.4105754</v>
      </c>
      <c r="Y539" s="34">
        <v>34.681182</v>
      </c>
    </row>
    <row r="540" ht="15.0" customHeight="1">
      <c r="B540" s="35">
        <v>535.0</v>
      </c>
      <c r="C540" s="36" t="s">
        <v>21</v>
      </c>
      <c r="D540" s="41" t="s">
        <v>162</v>
      </c>
      <c r="E540" s="41" t="s">
        <v>183</v>
      </c>
      <c r="F540" s="41" t="s">
        <v>186</v>
      </c>
      <c r="G540" s="42" t="s">
        <v>186</v>
      </c>
      <c r="H540" s="37">
        <v>1470.0</v>
      </c>
      <c r="I540" s="37">
        <v>1082.0</v>
      </c>
      <c r="J540" s="37">
        <v>736.0</v>
      </c>
      <c r="K540" s="37">
        <v>346.0</v>
      </c>
      <c r="L540" s="37">
        <v>388.0</v>
      </c>
      <c r="M540" s="37">
        <v>2516.0</v>
      </c>
      <c r="N540" s="37">
        <v>1835.0</v>
      </c>
      <c r="O540" s="37">
        <v>1728.0</v>
      </c>
      <c r="P540" s="37">
        <v>107.0</v>
      </c>
      <c r="Q540" s="37">
        <v>681.0</v>
      </c>
      <c r="R540" s="38">
        <v>73.6054422</v>
      </c>
      <c r="S540" s="38">
        <v>50.0680272</v>
      </c>
      <c r="T540" s="38">
        <v>23.537415</v>
      </c>
      <c r="U540" s="38">
        <v>26.3945578</v>
      </c>
      <c r="V540" s="38">
        <v>72.9332273</v>
      </c>
      <c r="W540" s="38">
        <v>68.6804452</v>
      </c>
      <c r="X540" s="38">
        <v>4.2527822</v>
      </c>
      <c r="Y540" s="38">
        <v>27.0667727</v>
      </c>
    </row>
    <row r="541" ht="15.0" hidden="1" customHeight="1">
      <c r="B541" s="30">
        <v>536.0</v>
      </c>
      <c r="C541" s="31" t="s">
        <v>21</v>
      </c>
      <c r="D541" s="31" t="s">
        <v>162</v>
      </c>
      <c r="E541" s="31" t="s">
        <v>183</v>
      </c>
      <c r="F541" s="31" t="s">
        <v>186</v>
      </c>
      <c r="G541" s="32" t="s">
        <v>15</v>
      </c>
      <c r="H541" s="33">
        <v>870.0</v>
      </c>
      <c r="I541" s="33">
        <v>680.0</v>
      </c>
      <c r="J541" s="33">
        <v>504.0</v>
      </c>
      <c r="K541" s="33">
        <v>176.0</v>
      </c>
      <c r="L541" s="33">
        <v>190.0</v>
      </c>
      <c r="M541" s="33">
        <v>605.0</v>
      </c>
      <c r="N541" s="33">
        <v>571.0</v>
      </c>
      <c r="O541" s="33">
        <v>540.0</v>
      </c>
      <c r="P541" s="33">
        <v>31.0</v>
      </c>
      <c r="Q541" s="33">
        <v>34.0</v>
      </c>
      <c r="R541" s="34">
        <v>78.1609195</v>
      </c>
      <c r="S541" s="34">
        <v>57.9310345</v>
      </c>
      <c r="T541" s="34">
        <v>20.2298851</v>
      </c>
      <c r="U541" s="34">
        <v>21.8390805</v>
      </c>
      <c r="V541" s="34">
        <v>94.3801653</v>
      </c>
      <c r="W541" s="34">
        <v>89.2561983</v>
      </c>
      <c r="X541" s="34">
        <v>5.1239669</v>
      </c>
      <c r="Y541" s="34">
        <v>5.6198347</v>
      </c>
    </row>
    <row r="542" ht="15.0" hidden="1" customHeight="1">
      <c r="B542" s="30">
        <v>537.0</v>
      </c>
      <c r="C542" s="31" t="s">
        <v>21</v>
      </c>
      <c r="D542" s="31" t="s">
        <v>162</v>
      </c>
      <c r="E542" s="31" t="s">
        <v>183</v>
      </c>
      <c r="F542" s="31" t="s">
        <v>186</v>
      </c>
      <c r="G542" s="32" t="s">
        <v>16</v>
      </c>
      <c r="H542" s="33">
        <v>600.0</v>
      </c>
      <c r="I542" s="33">
        <v>402.0</v>
      </c>
      <c r="J542" s="33">
        <v>232.0</v>
      </c>
      <c r="K542" s="33">
        <v>170.0</v>
      </c>
      <c r="L542" s="33">
        <v>198.0</v>
      </c>
      <c r="M542" s="33">
        <v>1911.0</v>
      </c>
      <c r="N542" s="33">
        <v>1264.0</v>
      </c>
      <c r="O542" s="33">
        <v>1188.0</v>
      </c>
      <c r="P542" s="33">
        <v>76.0</v>
      </c>
      <c r="Q542" s="33">
        <v>647.0</v>
      </c>
      <c r="R542" s="34">
        <v>67.0</v>
      </c>
      <c r="S542" s="34">
        <v>38.6666667</v>
      </c>
      <c r="T542" s="34">
        <v>28.3333333</v>
      </c>
      <c r="U542" s="34">
        <v>33.0</v>
      </c>
      <c r="V542" s="34">
        <v>66.1433804</v>
      </c>
      <c r="W542" s="34">
        <v>62.166405</v>
      </c>
      <c r="X542" s="34">
        <v>3.9769754</v>
      </c>
      <c r="Y542" s="34">
        <v>33.8566196</v>
      </c>
    </row>
    <row r="543" ht="15.0" hidden="1" customHeight="1">
      <c r="B543" s="26">
        <v>538.0</v>
      </c>
      <c r="C543" s="27" t="s">
        <v>19</v>
      </c>
      <c r="D543" s="40" t="s">
        <v>162</v>
      </c>
      <c r="E543" s="40" t="s">
        <v>187</v>
      </c>
      <c r="F543" s="40"/>
      <c r="G543" s="27" t="s">
        <v>187</v>
      </c>
      <c r="H543" s="28">
        <v>89217.0</v>
      </c>
      <c r="I543" s="28">
        <v>74764.0</v>
      </c>
      <c r="J543" s="28">
        <v>44866.0</v>
      </c>
      <c r="K543" s="28">
        <v>29898.0</v>
      </c>
      <c r="L543" s="28">
        <v>14453.0</v>
      </c>
      <c r="M543" s="28">
        <v>121175.0</v>
      </c>
      <c r="N543" s="28">
        <v>112628.0</v>
      </c>
      <c r="O543" s="28">
        <v>95419.0</v>
      </c>
      <c r="P543" s="28">
        <v>17209.0</v>
      </c>
      <c r="Q543" s="28">
        <v>8547.0</v>
      </c>
      <c r="R543" s="29">
        <v>83.8001726</v>
      </c>
      <c r="S543" s="29">
        <v>50.2886221</v>
      </c>
      <c r="T543" s="29">
        <v>33.5115505</v>
      </c>
      <c r="U543" s="29">
        <v>16.1998274</v>
      </c>
      <c r="V543" s="29">
        <v>92.9465649</v>
      </c>
      <c r="W543" s="29">
        <v>78.7447906</v>
      </c>
      <c r="X543" s="29">
        <v>14.2017743</v>
      </c>
      <c r="Y543" s="29">
        <v>7.0534351</v>
      </c>
    </row>
    <row r="544" ht="15.0" hidden="1" customHeight="1">
      <c r="B544" s="30">
        <v>539.0</v>
      </c>
      <c r="C544" s="31" t="s">
        <v>19</v>
      </c>
      <c r="D544" s="31" t="s">
        <v>162</v>
      </c>
      <c r="E544" s="31" t="s">
        <v>187</v>
      </c>
      <c r="F544" s="31"/>
      <c r="G544" s="32" t="s">
        <v>15</v>
      </c>
      <c r="H544" s="33">
        <v>75248.0</v>
      </c>
      <c r="I544" s="33">
        <v>67117.0</v>
      </c>
      <c r="J544" s="33">
        <v>39855.0</v>
      </c>
      <c r="K544" s="33">
        <v>27262.0</v>
      </c>
      <c r="L544" s="33">
        <v>8131.0</v>
      </c>
      <c r="M544" s="33">
        <v>108515.0</v>
      </c>
      <c r="N544" s="33">
        <v>104174.0</v>
      </c>
      <c r="O544" s="33">
        <v>87848.0</v>
      </c>
      <c r="P544" s="33">
        <v>16326.0</v>
      </c>
      <c r="Q544" s="33">
        <v>4341.0</v>
      </c>
      <c r="R544" s="34">
        <v>89.1943972</v>
      </c>
      <c r="S544" s="34">
        <v>52.9648629</v>
      </c>
      <c r="T544" s="34">
        <v>36.2295343</v>
      </c>
      <c r="U544" s="34">
        <v>10.8056028</v>
      </c>
      <c r="V544" s="34">
        <v>95.9996314</v>
      </c>
      <c r="W544" s="34">
        <v>80.9547067</v>
      </c>
      <c r="X544" s="34">
        <v>15.0449247</v>
      </c>
      <c r="Y544" s="34">
        <v>4.0003686</v>
      </c>
    </row>
    <row r="545" ht="15.0" hidden="1" customHeight="1">
      <c r="B545" s="30">
        <v>540.0</v>
      </c>
      <c r="C545" s="31" t="s">
        <v>19</v>
      </c>
      <c r="D545" s="31" t="s">
        <v>162</v>
      </c>
      <c r="E545" s="31" t="s">
        <v>187</v>
      </c>
      <c r="F545" s="31"/>
      <c r="G545" s="32" t="s">
        <v>16</v>
      </c>
      <c r="H545" s="33">
        <v>13969.0</v>
      </c>
      <c r="I545" s="33">
        <v>7647.0</v>
      </c>
      <c r="J545" s="33">
        <v>5011.0</v>
      </c>
      <c r="K545" s="33">
        <v>2636.0</v>
      </c>
      <c r="L545" s="33">
        <v>6322.0</v>
      </c>
      <c r="M545" s="33">
        <v>12660.0</v>
      </c>
      <c r="N545" s="33">
        <v>8454.0</v>
      </c>
      <c r="O545" s="33">
        <v>7571.0</v>
      </c>
      <c r="P545" s="33">
        <v>883.0</v>
      </c>
      <c r="Q545" s="33">
        <v>4206.0</v>
      </c>
      <c r="R545" s="34">
        <v>54.7426444</v>
      </c>
      <c r="S545" s="34">
        <v>35.8722886</v>
      </c>
      <c r="T545" s="34">
        <v>18.8703558</v>
      </c>
      <c r="U545" s="34">
        <v>45.2573556</v>
      </c>
      <c r="V545" s="34">
        <v>66.7772512</v>
      </c>
      <c r="W545" s="34">
        <v>59.8025276</v>
      </c>
      <c r="X545" s="34">
        <v>6.9747235</v>
      </c>
      <c r="Y545" s="34">
        <v>33.2227488</v>
      </c>
    </row>
    <row r="546" ht="15.0" customHeight="1">
      <c r="B546" s="35">
        <v>541.0</v>
      </c>
      <c r="C546" s="36" t="s">
        <v>21</v>
      </c>
      <c r="D546" s="41" t="s">
        <v>162</v>
      </c>
      <c r="E546" s="41" t="s">
        <v>187</v>
      </c>
      <c r="F546" s="41" t="s">
        <v>187</v>
      </c>
      <c r="G546" s="42" t="s">
        <v>187</v>
      </c>
      <c r="H546" s="37">
        <v>35931.0</v>
      </c>
      <c r="I546" s="37">
        <v>32046.0</v>
      </c>
      <c r="J546" s="37">
        <v>19049.0</v>
      </c>
      <c r="K546" s="37">
        <v>12997.0</v>
      </c>
      <c r="L546" s="37">
        <v>3885.0</v>
      </c>
      <c r="M546" s="37">
        <v>49171.0</v>
      </c>
      <c r="N546" s="37">
        <v>46704.0</v>
      </c>
      <c r="O546" s="37">
        <v>39246.0</v>
      </c>
      <c r="P546" s="37">
        <v>7458.0</v>
      </c>
      <c r="Q546" s="37">
        <v>2467.0</v>
      </c>
      <c r="R546" s="38">
        <v>89.1876096</v>
      </c>
      <c r="S546" s="38">
        <v>53.0155019</v>
      </c>
      <c r="T546" s="38">
        <v>36.1721077</v>
      </c>
      <c r="U546" s="38">
        <v>10.8123904</v>
      </c>
      <c r="V546" s="38">
        <v>94.9828151</v>
      </c>
      <c r="W546" s="38">
        <v>79.8153383</v>
      </c>
      <c r="X546" s="38">
        <v>15.1674768</v>
      </c>
      <c r="Y546" s="38">
        <v>5.0171849</v>
      </c>
    </row>
    <row r="547" ht="15.0" hidden="1" customHeight="1">
      <c r="B547" s="30">
        <v>542.0</v>
      </c>
      <c r="C547" s="31" t="s">
        <v>21</v>
      </c>
      <c r="D547" s="31" t="s">
        <v>162</v>
      </c>
      <c r="E547" s="31" t="s">
        <v>187</v>
      </c>
      <c r="F547" s="31" t="s">
        <v>187</v>
      </c>
      <c r="G547" s="32" t="s">
        <v>15</v>
      </c>
      <c r="H547" s="33">
        <v>34151.0</v>
      </c>
      <c r="I547" s="33">
        <v>31309.0</v>
      </c>
      <c r="J547" s="33">
        <v>18505.0</v>
      </c>
      <c r="K547" s="33">
        <v>12804.0</v>
      </c>
      <c r="L547" s="33">
        <v>2842.0</v>
      </c>
      <c r="M547" s="33">
        <v>46686.0</v>
      </c>
      <c r="N547" s="33">
        <v>45127.0</v>
      </c>
      <c r="O547" s="33">
        <v>37832.0</v>
      </c>
      <c r="P547" s="33">
        <v>7295.0</v>
      </c>
      <c r="Q547" s="33">
        <v>1559.0</v>
      </c>
      <c r="R547" s="34">
        <v>91.6781353</v>
      </c>
      <c r="S547" s="34">
        <v>54.1858218</v>
      </c>
      <c r="T547" s="34">
        <v>37.4923135</v>
      </c>
      <c r="U547" s="34">
        <v>8.3218647</v>
      </c>
      <c r="V547" s="34">
        <v>96.6606692</v>
      </c>
      <c r="W547" s="34">
        <v>81.0349998</v>
      </c>
      <c r="X547" s="34">
        <v>15.6256694</v>
      </c>
      <c r="Y547" s="34">
        <v>3.3393308</v>
      </c>
    </row>
    <row r="548" ht="15.0" hidden="1" customHeight="1">
      <c r="B548" s="30">
        <v>543.0</v>
      </c>
      <c r="C548" s="31" t="s">
        <v>21</v>
      </c>
      <c r="D548" s="31" t="s">
        <v>162</v>
      </c>
      <c r="E548" s="31" t="s">
        <v>187</v>
      </c>
      <c r="F548" s="31" t="s">
        <v>187</v>
      </c>
      <c r="G548" s="32" t="s">
        <v>16</v>
      </c>
      <c r="H548" s="33">
        <v>1780.0</v>
      </c>
      <c r="I548" s="33">
        <v>737.0</v>
      </c>
      <c r="J548" s="33">
        <v>544.0</v>
      </c>
      <c r="K548" s="33">
        <v>193.0</v>
      </c>
      <c r="L548" s="33">
        <v>1043.0</v>
      </c>
      <c r="M548" s="33">
        <v>2485.0</v>
      </c>
      <c r="N548" s="33">
        <v>1577.0</v>
      </c>
      <c r="O548" s="33">
        <v>1414.0</v>
      </c>
      <c r="P548" s="33">
        <v>163.0</v>
      </c>
      <c r="Q548" s="33">
        <v>908.0</v>
      </c>
      <c r="R548" s="34">
        <v>41.4044944</v>
      </c>
      <c r="S548" s="34">
        <v>30.5617978</v>
      </c>
      <c r="T548" s="34">
        <v>10.8426966</v>
      </c>
      <c r="U548" s="34">
        <v>58.5955056</v>
      </c>
      <c r="V548" s="34">
        <v>63.4607646</v>
      </c>
      <c r="W548" s="34">
        <v>56.9014085</v>
      </c>
      <c r="X548" s="34">
        <v>6.5593561</v>
      </c>
      <c r="Y548" s="34">
        <v>36.5392354</v>
      </c>
    </row>
    <row r="549" ht="15.0" customHeight="1">
      <c r="B549" s="35">
        <v>544.0</v>
      </c>
      <c r="C549" s="36" t="s">
        <v>21</v>
      </c>
      <c r="D549" s="41" t="s">
        <v>162</v>
      </c>
      <c r="E549" s="41" t="s">
        <v>187</v>
      </c>
      <c r="F549" s="41" t="s">
        <v>188</v>
      </c>
      <c r="G549" s="42" t="s">
        <v>188</v>
      </c>
      <c r="H549" s="37">
        <v>11603.0</v>
      </c>
      <c r="I549" s="37">
        <v>7716.0</v>
      </c>
      <c r="J549" s="37">
        <v>4864.0</v>
      </c>
      <c r="K549" s="37">
        <v>2852.0</v>
      </c>
      <c r="L549" s="37">
        <v>3887.0</v>
      </c>
      <c r="M549" s="37">
        <v>17824.0</v>
      </c>
      <c r="N549" s="37">
        <v>14781.0</v>
      </c>
      <c r="O549" s="37">
        <v>12929.0</v>
      </c>
      <c r="P549" s="37">
        <v>1852.0</v>
      </c>
      <c r="Q549" s="37">
        <v>3043.0</v>
      </c>
      <c r="R549" s="38">
        <v>66.5000431</v>
      </c>
      <c r="S549" s="38">
        <v>41.9201931</v>
      </c>
      <c r="T549" s="38">
        <v>24.57985</v>
      </c>
      <c r="U549" s="38">
        <v>33.4999569</v>
      </c>
      <c r="V549" s="38">
        <v>82.9275135</v>
      </c>
      <c r="W549" s="38">
        <v>72.5370287</v>
      </c>
      <c r="X549" s="38">
        <v>10.3904847</v>
      </c>
      <c r="Y549" s="38">
        <v>17.0724865</v>
      </c>
    </row>
    <row r="550" ht="15.0" hidden="1" customHeight="1">
      <c r="B550" s="30">
        <v>545.0</v>
      </c>
      <c r="C550" s="31" t="s">
        <v>21</v>
      </c>
      <c r="D550" s="31" t="s">
        <v>162</v>
      </c>
      <c r="E550" s="31" t="s">
        <v>187</v>
      </c>
      <c r="F550" s="31" t="s">
        <v>188</v>
      </c>
      <c r="G550" s="32" t="s">
        <v>15</v>
      </c>
      <c r="H550" s="33">
        <v>3778.0</v>
      </c>
      <c r="I550" s="33">
        <v>2870.0</v>
      </c>
      <c r="J550" s="33">
        <v>1793.0</v>
      </c>
      <c r="K550" s="33">
        <v>1077.0</v>
      </c>
      <c r="L550" s="33">
        <v>908.0</v>
      </c>
      <c r="M550" s="33">
        <v>11577.0</v>
      </c>
      <c r="N550" s="33">
        <v>10484.0</v>
      </c>
      <c r="O550" s="33">
        <v>9137.0</v>
      </c>
      <c r="P550" s="33">
        <v>1347.0</v>
      </c>
      <c r="Q550" s="33">
        <v>1093.0</v>
      </c>
      <c r="R550" s="34">
        <v>75.9661196</v>
      </c>
      <c r="S550" s="34">
        <v>47.458973</v>
      </c>
      <c r="T550" s="34">
        <v>28.5071466</v>
      </c>
      <c r="U550" s="34">
        <v>24.0338804</v>
      </c>
      <c r="V550" s="34">
        <v>90.5588667</v>
      </c>
      <c r="W550" s="34">
        <v>78.9237281</v>
      </c>
      <c r="X550" s="34">
        <v>11.6351386</v>
      </c>
      <c r="Y550" s="34">
        <v>9.4411333</v>
      </c>
    </row>
    <row r="551" ht="15.0" hidden="1" customHeight="1">
      <c r="B551" s="30">
        <v>546.0</v>
      </c>
      <c r="C551" s="31" t="s">
        <v>21</v>
      </c>
      <c r="D551" s="31" t="s">
        <v>162</v>
      </c>
      <c r="E551" s="31" t="s">
        <v>187</v>
      </c>
      <c r="F551" s="31" t="s">
        <v>188</v>
      </c>
      <c r="G551" s="32" t="s">
        <v>16</v>
      </c>
      <c r="H551" s="33">
        <v>7825.0</v>
      </c>
      <c r="I551" s="33">
        <v>4846.0</v>
      </c>
      <c r="J551" s="33">
        <v>3071.0</v>
      </c>
      <c r="K551" s="33">
        <v>1775.0</v>
      </c>
      <c r="L551" s="33">
        <v>2979.0</v>
      </c>
      <c r="M551" s="33">
        <v>6247.0</v>
      </c>
      <c r="N551" s="33">
        <v>4297.0</v>
      </c>
      <c r="O551" s="33">
        <v>3792.0</v>
      </c>
      <c r="P551" s="33">
        <v>505.0</v>
      </c>
      <c r="Q551" s="33">
        <v>1950.0</v>
      </c>
      <c r="R551" s="34">
        <v>61.9297125</v>
      </c>
      <c r="S551" s="34">
        <v>39.2460064</v>
      </c>
      <c r="T551" s="34">
        <v>22.6837061</v>
      </c>
      <c r="U551" s="34">
        <v>38.0702875</v>
      </c>
      <c r="V551" s="34">
        <v>68.7850168</v>
      </c>
      <c r="W551" s="34">
        <v>60.7011365</v>
      </c>
      <c r="X551" s="34">
        <v>8.0838803</v>
      </c>
      <c r="Y551" s="34">
        <v>31.2149832</v>
      </c>
    </row>
    <row r="552" ht="15.0" customHeight="1">
      <c r="B552" s="35">
        <v>547.0</v>
      </c>
      <c r="C552" s="36" t="s">
        <v>21</v>
      </c>
      <c r="D552" s="41" t="s">
        <v>162</v>
      </c>
      <c r="E552" s="41" t="s">
        <v>187</v>
      </c>
      <c r="F552" s="41" t="s">
        <v>189</v>
      </c>
      <c r="G552" s="42" t="s">
        <v>189</v>
      </c>
      <c r="H552" s="37">
        <v>13857.0</v>
      </c>
      <c r="I552" s="37">
        <v>11767.0</v>
      </c>
      <c r="J552" s="37">
        <v>6891.0</v>
      </c>
      <c r="K552" s="37">
        <v>4876.0</v>
      </c>
      <c r="L552" s="37">
        <v>2090.0</v>
      </c>
      <c r="M552" s="37">
        <v>17932.0</v>
      </c>
      <c r="N552" s="37">
        <v>17001.0</v>
      </c>
      <c r="O552" s="37">
        <v>14312.0</v>
      </c>
      <c r="P552" s="37">
        <v>2689.0</v>
      </c>
      <c r="Q552" s="37">
        <v>931.0</v>
      </c>
      <c r="R552" s="38">
        <v>84.9173703</v>
      </c>
      <c r="S552" s="38">
        <v>49.7293787</v>
      </c>
      <c r="T552" s="38">
        <v>35.1879916</v>
      </c>
      <c r="U552" s="38">
        <v>15.0826297</v>
      </c>
      <c r="V552" s="38">
        <v>94.8081642</v>
      </c>
      <c r="W552" s="38">
        <v>79.8126255</v>
      </c>
      <c r="X552" s="38">
        <v>14.9955387</v>
      </c>
      <c r="Y552" s="38">
        <v>5.1918358</v>
      </c>
    </row>
    <row r="553" ht="15.0" hidden="1" customHeight="1">
      <c r="B553" s="30">
        <v>548.0</v>
      </c>
      <c r="C553" s="31" t="s">
        <v>21</v>
      </c>
      <c r="D553" s="31" t="s">
        <v>162</v>
      </c>
      <c r="E553" s="31" t="s">
        <v>187</v>
      </c>
      <c r="F553" s="31" t="s">
        <v>189</v>
      </c>
      <c r="G553" s="32" t="s">
        <v>15</v>
      </c>
      <c r="H553" s="33">
        <v>12525.0</v>
      </c>
      <c r="I553" s="33">
        <v>11255.0</v>
      </c>
      <c r="J553" s="33">
        <v>6568.0</v>
      </c>
      <c r="K553" s="33">
        <v>4687.0</v>
      </c>
      <c r="L553" s="33">
        <v>1270.0</v>
      </c>
      <c r="M553" s="33">
        <v>16820.0</v>
      </c>
      <c r="N553" s="33">
        <v>16399.0</v>
      </c>
      <c r="O553" s="33">
        <v>13765.0</v>
      </c>
      <c r="P553" s="33">
        <v>2634.0</v>
      </c>
      <c r="Q553" s="33">
        <v>421.0</v>
      </c>
      <c r="R553" s="34">
        <v>89.8602794</v>
      </c>
      <c r="S553" s="34">
        <v>52.4391218</v>
      </c>
      <c r="T553" s="34">
        <v>37.4211577</v>
      </c>
      <c r="U553" s="34">
        <v>10.1397206</v>
      </c>
      <c r="V553" s="34">
        <v>97.4970273</v>
      </c>
      <c r="W553" s="34">
        <v>81.8370987</v>
      </c>
      <c r="X553" s="34">
        <v>15.6599287</v>
      </c>
      <c r="Y553" s="34">
        <v>2.5029727</v>
      </c>
    </row>
    <row r="554" ht="15.0" hidden="1" customHeight="1">
      <c r="B554" s="30">
        <v>549.0</v>
      </c>
      <c r="C554" s="31" t="s">
        <v>21</v>
      </c>
      <c r="D554" s="31" t="s">
        <v>162</v>
      </c>
      <c r="E554" s="31" t="s">
        <v>187</v>
      </c>
      <c r="F554" s="31" t="s">
        <v>189</v>
      </c>
      <c r="G554" s="32" t="s">
        <v>16</v>
      </c>
      <c r="H554" s="33">
        <v>1332.0</v>
      </c>
      <c r="I554" s="33">
        <v>512.0</v>
      </c>
      <c r="J554" s="33">
        <v>323.0</v>
      </c>
      <c r="K554" s="33">
        <v>189.0</v>
      </c>
      <c r="L554" s="33">
        <v>820.0</v>
      </c>
      <c r="M554" s="33">
        <v>1112.0</v>
      </c>
      <c r="N554" s="33">
        <v>602.0</v>
      </c>
      <c r="O554" s="33">
        <v>547.0</v>
      </c>
      <c r="P554" s="33">
        <v>55.0</v>
      </c>
      <c r="Q554" s="33">
        <v>510.0</v>
      </c>
      <c r="R554" s="34">
        <v>38.4384384</v>
      </c>
      <c r="S554" s="34">
        <v>24.2492492</v>
      </c>
      <c r="T554" s="34">
        <v>14.1891892</v>
      </c>
      <c r="U554" s="34">
        <v>61.5615616</v>
      </c>
      <c r="V554" s="34">
        <v>54.1366906</v>
      </c>
      <c r="W554" s="34">
        <v>49.1906475</v>
      </c>
      <c r="X554" s="34">
        <v>4.9460432</v>
      </c>
      <c r="Y554" s="34">
        <v>45.8633094</v>
      </c>
    </row>
    <row r="555" ht="15.0" customHeight="1">
      <c r="B555" s="35">
        <v>550.0</v>
      </c>
      <c r="C555" s="36" t="s">
        <v>21</v>
      </c>
      <c r="D555" s="41" t="s">
        <v>162</v>
      </c>
      <c r="E555" s="41" t="s">
        <v>187</v>
      </c>
      <c r="F555" s="41" t="s">
        <v>190</v>
      </c>
      <c r="G555" s="42" t="s">
        <v>190</v>
      </c>
      <c r="H555" s="37">
        <v>14312.0</v>
      </c>
      <c r="I555" s="37">
        <v>10416.0</v>
      </c>
      <c r="J555" s="37">
        <v>6192.0</v>
      </c>
      <c r="K555" s="37">
        <v>4224.0</v>
      </c>
      <c r="L555" s="37">
        <v>3896.0</v>
      </c>
      <c r="M555" s="37">
        <v>17058.0</v>
      </c>
      <c r="N555" s="37">
        <v>15417.0</v>
      </c>
      <c r="O555" s="37">
        <v>12962.0</v>
      </c>
      <c r="P555" s="37">
        <v>2455.0</v>
      </c>
      <c r="Q555" s="37">
        <v>1641.0</v>
      </c>
      <c r="R555" s="38">
        <v>72.7780883</v>
      </c>
      <c r="S555" s="38">
        <v>43.2643935</v>
      </c>
      <c r="T555" s="38">
        <v>29.5136948</v>
      </c>
      <c r="U555" s="38">
        <v>27.2219117</v>
      </c>
      <c r="V555" s="38">
        <v>90.3798804</v>
      </c>
      <c r="W555" s="38">
        <v>75.9878063</v>
      </c>
      <c r="X555" s="38">
        <v>14.3920741</v>
      </c>
      <c r="Y555" s="38">
        <v>9.6201196</v>
      </c>
    </row>
    <row r="556" ht="15.0" hidden="1" customHeight="1">
      <c r="B556" s="30">
        <v>551.0</v>
      </c>
      <c r="C556" s="31" t="s">
        <v>21</v>
      </c>
      <c r="D556" s="31" t="s">
        <v>162</v>
      </c>
      <c r="E556" s="31" t="s">
        <v>187</v>
      </c>
      <c r="F556" s="31" t="s">
        <v>190</v>
      </c>
      <c r="G556" s="32" t="s">
        <v>15</v>
      </c>
      <c r="H556" s="33">
        <v>11280.0</v>
      </c>
      <c r="I556" s="33">
        <v>8864.0</v>
      </c>
      <c r="J556" s="33">
        <v>5119.0</v>
      </c>
      <c r="K556" s="33">
        <v>3745.0</v>
      </c>
      <c r="L556" s="33">
        <v>2416.0</v>
      </c>
      <c r="M556" s="33">
        <v>14242.0</v>
      </c>
      <c r="N556" s="33">
        <v>13439.0</v>
      </c>
      <c r="O556" s="33">
        <v>11144.0</v>
      </c>
      <c r="P556" s="33">
        <v>2295.0</v>
      </c>
      <c r="Q556" s="33">
        <v>803.0</v>
      </c>
      <c r="R556" s="34">
        <v>78.5815603</v>
      </c>
      <c r="S556" s="34">
        <v>45.3812057</v>
      </c>
      <c r="T556" s="34">
        <v>33.2003546</v>
      </c>
      <c r="U556" s="34">
        <v>21.4184397</v>
      </c>
      <c r="V556" s="34">
        <v>94.3617469</v>
      </c>
      <c r="W556" s="34">
        <v>78.2474372</v>
      </c>
      <c r="X556" s="34">
        <v>16.1143098</v>
      </c>
      <c r="Y556" s="34">
        <v>5.6382531</v>
      </c>
    </row>
    <row r="557" ht="15.0" hidden="1" customHeight="1">
      <c r="B557" s="30">
        <v>552.0</v>
      </c>
      <c r="C557" s="31" t="s">
        <v>21</v>
      </c>
      <c r="D557" s="31" t="s">
        <v>162</v>
      </c>
      <c r="E557" s="31" t="s">
        <v>187</v>
      </c>
      <c r="F557" s="31" t="s">
        <v>190</v>
      </c>
      <c r="G557" s="32" t="s">
        <v>16</v>
      </c>
      <c r="H557" s="33">
        <v>3032.0</v>
      </c>
      <c r="I557" s="33">
        <v>1552.0</v>
      </c>
      <c r="J557" s="33">
        <v>1073.0</v>
      </c>
      <c r="K557" s="33">
        <v>479.0</v>
      </c>
      <c r="L557" s="33">
        <v>1480.0</v>
      </c>
      <c r="M557" s="33">
        <v>2816.0</v>
      </c>
      <c r="N557" s="33">
        <v>1978.0</v>
      </c>
      <c r="O557" s="33">
        <v>1818.0</v>
      </c>
      <c r="P557" s="33">
        <v>160.0</v>
      </c>
      <c r="Q557" s="33">
        <v>838.0</v>
      </c>
      <c r="R557" s="34">
        <v>51.1873351</v>
      </c>
      <c r="S557" s="34">
        <v>35.3891821</v>
      </c>
      <c r="T557" s="34">
        <v>15.798153</v>
      </c>
      <c r="U557" s="34">
        <v>48.8126649</v>
      </c>
      <c r="V557" s="34">
        <v>70.2414773</v>
      </c>
      <c r="W557" s="34">
        <v>64.5596591</v>
      </c>
      <c r="X557" s="34">
        <v>5.6818182</v>
      </c>
      <c r="Y557" s="34">
        <v>29.7585227</v>
      </c>
    </row>
    <row r="558" ht="15.0" customHeight="1">
      <c r="B558" s="35">
        <v>553.0</v>
      </c>
      <c r="C558" s="36" t="s">
        <v>21</v>
      </c>
      <c r="D558" s="41" t="s">
        <v>162</v>
      </c>
      <c r="E558" s="41" t="s">
        <v>187</v>
      </c>
      <c r="F558" s="41" t="s">
        <v>191</v>
      </c>
      <c r="G558" s="42" t="s">
        <v>191</v>
      </c>
      <c r="H558" s="37">
        <v>13514.0</v>
      </c>
      <c r="I558" s="37">
        <v>12819.0</v>
      </c>
      <c r="J558" s="37">
        <v>7870.0</v>
      </c>
      <c r="K558" s="37">
        <v>4949.0</v>
      </c>
      <c r="L558" s="37">
        <v>695.0</v>
      </c>
      <c r="M558" s="37">
        <v>19190.0</v>
      </c>
      <c r="N558" s="37">
        <v>18725.0</v>
      </c>
      <c r="O558" s="37">
        <v>15970.0</v>
      </c>
      <c r="P558" s="37">
        <v>2755.0</v>
      </c>
      <c r="Q558" s="37">
        <v>465.0</v>
      </c>
      <c r="R558" s="38">
        <v>94.8571851</v>
      </c>
      <c r="S558" s="38">
        <v>58.2359035</v>
      </c>
      <c r="T558" s="38">
        <v>36.6212816</v>
      </c>
      <c r="U558" s="38">
        <v>5.1428149</v>
      </c>
      <c r="V558" s="38">
        <v>97.5768629</v>
      </c>
      <c r="W558" s="38">
        <v>83.2204273</v>
      </c>
      <c r="X558" s="38">
        <v>14.3564356</v>
      </c>
      <c r="Y558" s="38">
        <v>2.4231371</v>
      </c>
    </row>
    <row r="559" ht="15.0" hidden="1" customHeight="1">
      <c r="B559" s="30">
        <v>554.0</v>
      </c>
      <c r="C559" s="31" t="s">
        <v>21</v>
      </c>
      <c r="D559" s="31" t="s">
        <v>162</v>
      </c>
      <c r="E559" s="31" t="s">
        <v>187</v>
      </c>
      <c r="F559" s="31" t="s">
        <v>191</v>
      </c>
      <c r="G559" s="32" t="s">
        <v>15</v>
      </c>
      <c r="H559" s="33">
        <v>13514.0</v>
      </c>
      <c r="I559" s="33">
        <v>12819.0</v>
      </c>
      <c r="J559" s="33">
        <v>7870.0</v>
      </c>
      <c r="K559" s="33">
        <v>4949.0</v>
      </c>
      <c r="L559" s="33">
        <v>695.0</v>
      </c>
      <c r="M559" s="33">
        <v>19190.0</v>
      </c>
      <c r="N559" s="33">
        <v>18725.0</v>
      </c>
      <c r="O559" s="33">
        <v>15970.0</v>
      </c>
      <c r="P559" s="33">
        <v>2755.0</v>
      </c>
      <c r="Q559" s="33">
        <v>465.0</v>
      </c>
      <c r="R559" s="34">
        <v>94.8571851</v>
      </c>
      <c r="S559" s="34">
        <v>58.2359035</v>
      </c>
      <c r="T559" s="34">
        <v>36.6212816</v>
      </c>
      <c r="U559" s="34">
        <v>5.1428149</v>
      </c>
      <c r="V559" s="34">
        <v>97.5768629</v>
      </c>
      <c r="W559" s="34">
        <v>83.2204273</v>
      </c>
      <c r="X559" s="34">
        <v>14.3564356</v>
      </c>
      <c r="Y559" s="34">
        <v>2.4231371</v>
      </c>
    </row>
    <row r="560" ht="15.0" hidden="1" customHeight="1">
      <c r="B560" s="30">
        <v>555.0</v>
      </c>
      <c r="C560" s="31" t="s">
        <v>21</v>
      </c>
      <c r="D560" s="31" t="s">
        <v>162</v>
      </c>
      <c r="E560" s="31" t="s">
        <v>187</v>
      </c>
      <c r="F560" s="31" t="s">
        <v>191</v>
      </c>
      <c r="G560" s="32" t="s">
        <v>16</v>
      </c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4"/>
      <c r="S560" s="34"/>
      <c r="T560" s="34"/>
      <c r="U560" s="34"/>
      <c r="V560" s="34"/>
      <c r="W560" s="34"/>
      <c r="X560" s="34"/>
      <c r="Y560" s="34"/>
    </row>
    <row r="561" ht="15.0" hidden="1" customHeight="1">
      <c r="B561" s="26">
        <v>556.0</v>
      </c>
      <c r="C561" s="27" t="s">
        <v>19</v>
      </c>
      <c r="D561" s="40" t="s">
        <v>162</v>
      </c>
      <c r="E561" s="40" t="s">
        <v>192</v>
      </c>
      <c r="F561" s="40"/>
      <c r="G561" s="27" t="s">
        <v>192</v>
      </c>
      <c r="H561" s="28">
        <v>80283.0</v>
      </c>
      <c r="I561" s="28">
        <v>57171.0</v>
      </c>
      <c r="J561" s="28">
        <v>37970.0</v>
      </c>
      <c r="K561" s="28">
        <v>19201.0</v>
      </c>
      <c r="L561" s="28">
        <v>23112.0</v>
      </c>
      <c r="M561" s="28">
        <v>119757.0</v>
      </c>
      <c r="N561" s="28">
        <v>94138.0</v>
      </c>
      <c r="O561" s="28">
        <v>83357.0</v>
      </c>
      <c r="P561" s="28">
        <v>10781.0</v>
      </c>
      <c r="Q561" s="28">
        <v>25619.0</v>
      </c>
      <c r="R561" s="29">
        <v>71.2118381</v>
      </c>
      <c r="S561" s="29">
        <v>47.2951933</v>
      </c>
      <c r="T561" s="29">
        <v>23.9166449</v>
      </c>
      <c r="U561" s="29">
        <v>28.7881619</v>
      </c>
      <c r="V561" s="29">
        <v>78.6075135</v>
      </c>
      <c r="W561" s="29">
        <v>69.605117</v>
      </c>
      <c r="X561" s="29">
        <v>9.0023965</v>
      </c>
      <c r="Y561" s="29">
        <v>21.3924865</v>
      </c>
    </row>
    <row r="562" ht="15.0" hidden="1" customHeight="1">
      <c r="B562" s="30">
        <v>557.0</v>
      </c>
      <c r="C562" s="31" t="s">
        <v>19</v>
      </c>
      <c r="D562" s="31" t="s">
        <v>162</v>
      </c>
      <c r="E562" s="31" t="s">
        <v>192</v>
      </c>
      <c r="F562" s="31"/>
      <c r="G562" s="32" t="s">
        <v>15</v>
      </c>
      <c r="H562" s="33">
        <v>43500.0</v>
      </c>
      <c r="I562" s="33">
        <v>37240.0</v>
      </c>
      <c r="J562" s="33">
        <v>23829.0</v>
      </c>
      <c r="K562" s="33">
        <v>13411.0</v>
      </c>
      <c r="L562" s="33">
        <v>6260.0</v>
      </c>
      <c r="M562" s="33">
        <v>64168.0</v>
      </c>
      <c r="N562" s="33">
        <v>59349.0</v>
      </c>
      <c r="O562" s="33">
        <v>51024.0</v>
      </c>
      <c r="P562" s="33">
        <v>8325.0</v>
      </c>
      <c r="Q562" s="33">
        <v>4819.0</v>
      </c>
      <c r="R562" s="34">
        <v>85.6091954</v>
      </c>
      <c r="S562" s="34">
        <v>54.7793103</v>
      </c>
      <c r="T562" s="34">
        <v>30.8298851</v>
      </c>
      <c r="U562" s="34">
        <v>14.3908046</v>
      </c>
      <c r="V562" s="34">
        <v>92.4900262</v>
      </c>
      <c r="W562" s="34">
        <v>79.5162698</v>
      </c>
      <c r="X562" s="34">
        <v>12.9737564</v>
      </c>
      <c r="Y562" s="34">
        <v>7.5099738</v>
      </c>
    </row>
    <row r="563" ht="15.0" hidden="1" customHeight="1">
      <c r="B563" s="30">
        <v>558.0</v>
      </c>
      <c r="C563" s="31" t="s">
        <v>19</v>
      </c>
      <c r="D563" s="31" t="s">
        <v>162</v>
      </c>
      <c r="E563" s="31" t="s">
        <v>192</v>
      </c>
      <c r="F563" s="31"/>
      <c r="G563" s="32" t="s">
        <v>16</v>
      </c>
      <c r="H563" s="33">
        <v>36783.0</v>
      </c>
      <c r="I563" s="33">
        <v>19931.0</v>
      </c>
      <c r="J563" s="33">
        <v>14141.0</v>
      </c>
      <c r="K563" s="33">
        <v>5790.0</v>
      </c>
      <c r="L563" s="33">
        <v>16852.0</v>
      </c>
      <c r="M563" s="33">
        <v>55589.0</v>
      </c>
      <c r="N563" s="33">
        <v>34789.0</v>
      </c>
      <c r="O563" s="33">
        <v>32333.0</v>
      </c>
      <c r="P563" s="33">
        <v>2456.0</v>
      </c>
      <c r="Q563" s="33">
        <v>20800.0</v>
      </c>
      <c r="R563" s="34">
        <v>54.1853574</v>
      </c>
      <c r="S563" s="34">
        <v>38.4443901</v>
      </c>
      <c r="T563" s="34">
        <v>15.7409673</v>
      </c>
      <c r="U563" s="34">
        <v>45.8146426</v>
      </c>
      <c r="V563" s="34">
        <v>62.5825253</v>
      </c>
      <c r="W563" s="34">
        <v>58.164385</v>
      </c>
      <c r="X563" s="34">
        <v>4.4181403</v>
      </c>
      <c r="Y563" s="34">
        <v>37.4174747</v>
      </c>
    </row>
    <row r="564" ht="15.0" customHeight="1">
      <c r="B564" s="35">
        <v>559.0</v>
      </c>
      <c r="C564" s="36" t="s">
        <v>21</v>
      </c>
      <c r="D564" s="41" t="s">
        <v>162</v>
      </c>
      <c r="E564" s="41" t="s">
        <v>192</v>
      </c>
      <c r="F564" s="41" t="s">
        <v>193</v>
      </c>
      <c r="G564" s="42" t="s">
        <v>193</v>
      </c>
      <c r="H564" s="37">
        <v>47536.0</v>
      </c>
      <c r="I564" s="37">
        <v>37263.0</v>
      </c>
      <c r="J564" s="37">
        <v>24244.0</v>
      </c>
      <c r="K564" s="37">
        <v>13019.0</v>
      </c>
      <c r="L564" s="37">
        <v>10273.0</v>
      </c>
      <c r="M564" s="37">
        <v>69313.0</v>
      </c>
      <c r="N564" s="37">
        <v>60680.0</v>
      </c>
      <c r="O564" s="37">
        <v>53028.0</v>
      </c>
      <c r="P564" s="37">
        <v>7652.0</v>
      </c>
      <c r="Q564" s="37">
        <v>8633.0</v>
      </c>
      <c r="R564" s="38">
        <v>78.3890104</v>
      </c>
      <c r="S564" s="38">
        <v>51.0013463</v>
      </c>
      <c r="T564" s="38">
        <v>27.3876641</v>
      </c>
      <c r="U564" s="38">
        <v>21.6109896</v>
      </c>
      <c r="V564" s="38">
        <v>87.544905</v>
      </c>
      <c r="W564" s="38">
        <v>76.5051289</v>
      </c>
      <c r="X564" s="38">
        <v>11.0397761</v>
      </c>
      <c r="Y564" s="38">
        <v>12.455095</v>
      </c>
    </row>
    <row r="565" ht="15.0" hidden="1" customHeight="1">
      <c r="B565" s="30">
        <v>560.0</v>
      </c>
      <c r="C565" s="31" t="s">
        <v>21</v>
      </c>
      <c r="D565" s="31" t="s">
        <v>162</v>
      </c>
      <c r="E565" s="31" t="s">
        <v>192</v>
      </c>
      <c r="F565" s="31" t="s">
        <v>193</v>
      </c>
      <c r="G565" s="32" t="s">
        <v>15</v>
      </c>
      <c r="H565" s="33">
        <v>40192.0</v>
      </c>
      <c r="I565" s="33">
        <v>34440.0</v>
      </c>
      <c r="J565" s="33">
        <v>22267.0</v>
      </c>
      <c r="K565" s="33">
        <v>12173.0</v>
      </c>
      <c r="L565" s="33">
        <v>5752.0</v>
      </c>
      <c r="M565" s="33">
        <v>59013.0</v>
      </c>
      <c r="N565" s="33">
        <v>54696.0</v>
      </c>
      <c r="O565" s="33">
        <v>47484.0</v>
      </c>
      <c r="P565" s="33">
        <v>7212.0</v>
      </c>
      <c r="Q565" s="33">
        <v>4317.0</v>
      </c>
      <c r="R565" s="34">
        <v>85.6886943</v>
      </c>
      <c r="S565" s="34">
        <v>55.4015725</v>
      </c>
      <c r="T565" s="34">
        <v>30.2871218</v>
      </c>
      <c r="U565" s="34">
        <v>14.3113057</v>
      </c>
      <c r="V565" s="34">
        <v>92.6846627</v>
      </c>
      <c r="W565" s="34">
        <v>80.4636267</v>
      </c>
      <c r="X565" s="34">
        <v>12.221036</v>
      </c>
      <c r="Y565" s="34">
        <v>7.3153373</v>
      </c>
    </row>
    <row r="566" ht="15.0" hidden="1" customHeight="1">
      <c r="B566" s="30">
        <v>561.0</v>
      </c>
      <c r="C566" s="31" t="s">
        <v>21</v>
      </c>
      <c r="D566" s="31" t="s">
        <v>162</v>
      </c>
      <c r="E566" s="31" t="s">
        <v>192</v>
      </c>
      <c r="F566" s="31" t="s">
        <v>193</v>
      </c>
      <c r="G566" s="32" t="s">
        <v>16</v>
      </c>
      <c r="H566" s="33">
        <v>7344.0</v>
      </c>
      <c r="I566" s="33">
        <v>2823.0</v>
      </c>
      <c r="J566" s="33">
        <v>1977.0</v>
      </c>
      <c r="K566" s="33">
        <v>846.0</v>
      </c>
      <c r="L566" s="33">
        <v>4521.0</v>
      </c>
      <c r="M566" s="33">
        <v>10300.0</v>
      </c>
      <c r="N566" s="33">
        <v>5984.0</v>
      </c>
      <c r="O566" s="33">
        <v>5544.0</v>
      </c>
      <c r="P566" s="33">
        <v>440.0</v>
      </c>
      <c r="Q566" s="33">
        <v>4316.0</v>
      </c>
      <c r="R566" s="34">
        <v>38.4395425</v>
      </c>
      <c r="S566" s="34">
        <v>26.9199346</v>
      </c>
      <c r="T566" s="34">
        <v>11.5196078</v>
      </c>
      <c r="U566" s="34">
        <v>61.5604575</v>
      </c>
      <c r="V566" s="34">
        <v>58.0970874</v>
      </c>
      <c r="W566" s="34">
        <v>53.8252427</v>
      </c>
      <c r="X566" s="34">
        <v>4.2718447</v>
      </c>
      <c r="Y566" s="34">
        <v>41.9029126</v>
      </c>
    </row>
    <row r="567" ht="15.0" customHeight="1">
      <c r="B567" s="35">
        <v>562.0</v>
      </c>
      <c r="C567" s="36" t="s">
        <v>21</v>
      </c>
      <c r="D567" s="41" t="s">
        <v>162</v>
      </c>
      <c r="E567" s="41" t="s">
        <v>192</v>
      </c>
      <c r="F567" s="41" t="s">
        <v>194</v>
      </c>
      <c r="G567" s="42" t="s">
        <v>194</v>
      </c>
      <c r="H567" s="37">
        <v>6022.0</v>
      </c>
      <c r="I567" s="37">
        <v>3632.0</v>
      </c>
      <c r="J567" s="37">
        <v>2599.0</v>
      </c>
      <c r="K567" s="37">
        <v>1033.0</v>
      </c>
      <c r="L567" s="37">
        <v>2390.0</v>
      </c>
      <c r="M567" s="37">
        <v>8493.0</v>
      </c>
      <c r="N567" s="37">
        <v>5852.0</v>
      </c>
      <c r="O567" s="37">
        <v>5461.0</v>
      </c>
      <c r="P567" s="37">
        <v>391.0</v>
      </c>
      <c r="Q567" s="37">
        <v>2641.0</v>
      </c>
      <c r="R567" s="38">
        <v>60.3121886</v>
      </c>
      <c r="S567" s="38">
        <v>43.1584191</v>
      </c>
      <c r="T567" s="38">
        <v>17.1537695</v>
      </c>
      <c r="U567" s="38">
        <v>39.6878114</v>
      </c>
      <c r="V567" s="38">
        <v>68.9038031</v>
      </c>
      <c r="W567" s="38">
        <v>64.3000118</v>
      </c>
      <c r="X567" s="38">
        <v>4.6037914</v>
      </c>
      <c r="Y567" s="38">
        <v>31.0961969</v>
      </c>
    </row>
    <row r="568" ht="15.0" hidden="1" customHeight="1">
      <c r="B568" s="30">
        <v>563.0</v>
      </c>
      <c r="C568" s="31" t="s">
        <v>21</v>
      </c>
      <c r="D568" s="31" t="s">
        <v>162</v>
      </c>
      <c r="E568" s="31" t="s">
        <v>192</v>
      </c>
      <c r="F568" s="31" t="s">
        <v>194</v>
      </c>
      <c r="G568" s="32" t="s">
        <v>15</v>
      </c>
      <c r="H568" s="33">
        <v>1016.0</v>
      </c>
      <c r="I568" s="33">
        <v>905.0</v>
      </c>
      <c r="J568" s="33">
        <v>622.0</v>
      </c>
      <c r="K568" s="33">
        <v>283.0</v>
      </c>
      <c r="L568" s="33">
        <v>111.0</v>
      </c>
      <c r="M568" s="33">
        <v>1257.0</v>
      </c>
      <c r="N568" s="33">
        <v>1169.0</v>
      </c>
      <c r="O568" s="33">
        <v>1093.0</v>
      </c>
      <c r="P568" s="33">
        <v>76.0</v>
      </c>
      <c r="Q568" s="33">
        <v>88.0</v>
      </c>
      <c r="R568" s="34">
        <v>89.0748031</v>
      </c>
      <c r="S568" s="34">
        <v>61.2204724</v>
      </c>
      <c r="T568" s="34">
        <v>27.8543307</v>
      </c>
      <c r="U568" s="34">
        <v>10.9251969</v>
      </c>
      <c r="V568" s="34">
        <v>92.9992045</v>
      </c>
      <c r="W568" s="34">
        <v>86.9530628</v>
      </c>
      <c r="X568" s="34">
        <v>6.0461416</v>
      </c>
      <c r="Y568" s="34">
        <v>7.0007955</v>
      </c>
    </row>
    <row r="569" ht="15.0" hidden="1" customHeight="1">
      <c r="B569" s="30">
        <v>564.0</v>
      </c>
      <c r="C569" s="31" t="s">
        <v>21</v>
      </c>
      <c r="D569" s="31" t="s">
        <v>162</v>
      </c>
      <c r="E569" s="31" t="s">
        <v>192</v>
      </c>
      <c r="F569" s="31" t="s">
        <v>194</v>
      </c>
      <c r="G569" s="32" t="s">
        <v>16</v>
      </c>
      <c r="H569" s="33">
        <v>5006.0</v>
      </c>
      <c r="I569" s="33">
        <v>2727.0</v>
      </c>
      <c r="J569" s="33">
        <v>1977.0</v>
      </c>
      <c r="K569" s="33">
        <v>750.0</v>
      </c>
      <c r="L569" s="33">
        <v>2279.0</v>
      </c>
      <c r="M569" s="33">
        <v>7236.0</v>
      </c>
      <c r="N569" s="33">
        <v>4683.0</v>
      </c>
      <c r="O569" s="33">
        <v>4368.0</v>
      </c>
      <c r="P569" s="33">
        <v>315.0</v>
      </c>
      <c r="Q569" s="33">
        <v>2553.0</v>
      </c>
      <c r="R569" s="34">
        <v>54.4746304</v>
      </c>
      <c r="S569" s="34">
        <v>39.4926089</v>
      </c>
      <c r="T569" s="34">
        <v>14.9820216</v>
      </c>
      <c r="U569" s="34">
        <v>45.5253696</v>
      </c>
      <c r="V569" s="34">
        <v>64.7180763</v>
      </c>
      <c r="W569" s="34">
        <v>60.3648425</v>
      </c>
      <c r="X569" s="34">
        <v>4.3532338</v>
      </c>
      <c r="Y569" s="34">
        <v>35.2819237</v>
      </c>
    </row>
    <row r="570" ht="15.0" customHeight="1">
      <c r="B570" s="35">
        <v>565.0</v>
      </c>
      <c r="C570" s="36" t="s">
        <v>21</v>
      </c>
      <c r="D570" s="41" t="s">
        <v>162</v>
      </c>
      <c r="E570" s="41" t="s">
        <v>192</v>
      </c>
      <c r="F570" s="41" t="s">
        <v>195</v>
      </c>
      <c r="G570" s="42" t="s">
        <v>195</v>
      </c>
      <c r="H570" s="37">
        <v>26725.0</v>
      </c>
      <c r="I570" s="37">
        <v>16276.0</v>
      </c>
      <c r="J570" s="37">
        <v>11127.0</v>
      </c>
      <c r="K570" s="37">
        <v>5149.0</v>
      </c>
      <c r="L570" s="37">
        <v>10449.0</v>
      </c>
      <c r="M570" s="37">
        <v>41951.0</v>
      </c>
      <c r="N570" s="37">
        <v>27606.0</v>
      </c>
      <c r="O570" s="37">
        <v>24868.0</v>
      </c>
      <c r="P570" s="37">
        <v>2738.0</v>
      </c>
      <c r="Q570" s="37">
        <v>14345.0</v>
      </c>
      <c r="R570" s="38">
        <v>60.9017774</v>
      </c>
      <c r="S570" s="38">
        <v>41.6351731</v>
      </c>
      <c r="T570" s="38">
        <v>19.2666043</v>
      </c>
      <c r="U570" s="38">
        <v>39.0982226</v>
      </c>
      <c r="V570" s="38">
        <v>65.8053443</v>
      </c>
      <c r="W570" s="38">
        <v>59.2786823</v>
      </c>
      <c r="X570" s="38">
        <v>6.5266621</v>
      </c>
      <c r="Y570" s="38">
        <v>34.1946557</v>
      </c>
    </row>
    <row r="571" ht="15.0" hidden="1" customHeight="1">
      <c r="B571" s="30">
        <v>566.0</v>
      </c>
      <c r="C571" s="31" t="s">
        <v>21</v>
      </c>
      <c r="D571" s="31" t="s">
        <v>162</v>
      </c>
      <c r="E571" s="31" t="s">
        <v>192</v>
      </c>
      <c r="F571" s="31" t="s">
        <v>195</v>
      </c>
      <c r="G571" s="32" t="s">
        <v>15</v>
      </c>
      <c r="H571" s="33">
        <v>2292.0</v>
      </c>
      <c r="I571" s="33">
        <v>1895.0</v>
      </c>
      <c r="J571" s="33">
        <v>940.0</v>
      </c>
      <c r="K571" s="33">
        <v>955.0</v>
      </c>
      <c r="L571" s="33">
        <v>397.0</v>
      </c>
      <c r="M571" s="33">
        <v>3898.0</v>
      </c>
      <c r="N571" s="33">
        <v>3484.0</v>
      </c>
      <c r="O571" s="33">
        <v>2447.0</v>
      </c>
      <c r="P571" s="33">
        <v>1037.0</v>
      </c>
      <c r="Q571" s="33">
        <v>414.0</v>
      </c>
      <c r="R571" s="34">
        <v>82.6788831</v>
      </c>
      <c r="S571" s="34">
        <v>41.0122164</v>
      </c>
      <c r="T571" s="34">
        <v>41.6666667</v>
      </c>
      <c r="U571" s="34">
        <v>17.3211169</v>
      </c>
      <c r="V571" s="34">
        <v>89.3791688</v>
      </c>
      <c r="W571" s="34">
        <v>62.7757825</v>
      </c>
      <c r="X571" s="34">
        <v>26.6033864</v>
      </c>
      <c r="Y571" s="34">
        <v>10.6208312</v>
      </c>
    </row>
    <row r="572" ht="15.0" hidden="1" customHeight="1">
      <c r="B572" s="30">
        <v>567.0</v>
      </c>
      <c r="C572" s="31" t="s">
        <v>21</v>
      </c>
      <c r="D572" s="31" t="s">
        <v>162</v>
      </c>
      <c r="E572" s="31" t="s">
        <v>192</v>
      </c>
      <c r="F572" s="31" t="s">
        <v>195</v>
      </c>
      <c r="G572" s="32" t="s">
        <v>16</v>
      </c>
      <c r="H572" s="33">
        <v>24433.0</v>
      </c>
      <c r="I572" s="33">
        <v>14381.0</v>
      </c>
      <c r="J572" s="33">
        <v>10187.0</v>
      </c>
      <c r="K572" s="33">
        <v>4194.0</v>
      </c>
      <c r="L572" s="33">
        <v>10052.0</v>
      </c>
      <c r="M572" s="33">
        <v>38053.0</v>
      </c>
      <c r="N572" s="33">
        <v>24122.0</v>
      </c>
      <c r="O572" s="33">
        <v>22421.0</v>
      </c>
      <c r="P572" s="33">
        <v>1701.0</v>
      </c>
      <c r="Q572" s="33">
        <v>13931.0</v>
      </c>
      <c r="R572" s="34">
        <v>58.8589203</v>
      </c>
      <c r="S572" s="34">
        <v>41.6936111</v>
      </c>
      <c r="T572" s="34">
        <v>17.1653092</v>
      </c>
      <c r="U572" s="34">
        <v>41.1410797</v>
      </c>
      <c r="V572" s="34">
        <v>63.3905343</v>
      </c>
      <c r="W572" s="34">
        <v>58.9204531</v>
      </c>
      <c r="X572" s="34">
        <v>4.4700812</v>
      </c>
      <c r="Y572" s="34">
        <v>36.6094657</v>
      </c>
    </row>
    <row r="573" ht="15.0" hidden="1" customHeight="1">
      <c r="B573" s="26">
        <v>568.0</v>
      </c>
      <c r="C573" s="27" t="s">
        <v>19</v>
      </c>
      <c r="D573" s="40" t="s">
        <v>162</v>
      </c>
      <c r="E573" s="40" t="s">
        <v>196</v>
      </c>
      <c r="F573" s="40"/>
      <c r="G573" s="27" t="s">
        <v>196</v>
      </c>
      <c r="H573" s="28">
        <v>8113.0</v>
      </c>
      <c r="I573" s="28">
        <v>962.0</v>
      </c>
      <c r="J573" s="28">
        <v>664.0</v>
      </c>
      <c r="K573" s="28">
        <v>298.0</v>
      </c>
      <c r="L573" s="28">
        <v>7151.0</v>
      </c>
      <c r="M573" s="28">
        <v>9638.0</v>
      </c>
      <c r="N573" s="28">
        <v>1932.0</v>
      </c>
      <c r="O573" s="28">
        <v>1716.0</v>
      </c>
      <c r="P573" s="28">
        <v>216.0</v>
      </c>
      <c r="Q573" s="28">
        <v>7706.0</v>
      </c>
      <c r="R573" s="29">
        <v>11.8575126</v>
      </c>
      <c r="S573" s="29">
        <v>8.1843954</v>
      </c>
      <c r="T573" s="29">
        <v>3.6731172</v>
      </c>
      <c r="U573" s="29">
        <v>88.1424874</v>
      </c>
      <c r="V573" s="29">
        <v>20.0456526</v>
      </c>
      <c r="W573" s="29">
        <v>17.8045238</v>
      </c>
      <c r="X573" s="29">
        <v>2.2411289</v>
      </c>
      <c r="Y573" s="29">
        <v>79.9543474</v>
      </c>
    </row>
    <row r="574" ht="15.0" hidden="1" customHeight="1">
      <c r="B574" s="30">
        <v>569.0</v>
      </c>
      <c r="C574" s="31" t="s">
        <v>19</v>
      </c>
      <c r="D574" s="31" t="s">
        <v>162</v>
      </c>
      <c r="E574" s="31" t="s">
        <v>196</v>
      </c>
      <c r="F574" s="31"/>
      <c r="G574" s="32" t="s">
        <v>15</v>
      </c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4"/>
      <c r="S574" s="34"/>
      <c r="T574" s="34"/>
      <c r="U574" s="34"/>
      <c r="V574" s="34"/>
      <c r="W574" s="34"/>
      <c r="X574" s="34"/>
      <c r="Y574" s="34"/>
    </row>
    <row r="575" ht="15.0" hidden="1" customHeight="1">
      <c r="B575" s="30">
        <v>570.0</v>
      </c>
      <c r="C575" s="31" t="s">
        <v>19</v>
      </c>
      <c r="D575" s="31" t="s">
        <v>162</v>
      </c>
      <c r="E575" s="31" t="s">
        <v>196</v>
      </c>
      <c r="F575" s="31"/>
      <c r="G575" s="32" t="s">
        <v>16</v>
      </c>
      <c r="H575" s="33">
        <v>8113.0</v>
      </c>
      <c r="I575" s="33">
        <v>962.0</v>
      </c>
      <c r="J575" s="33">
        <v>664.0</v>
      </c>
      <c r="K575" s="33">
        <v>298.0</v>
      </c>
      <c r="L575" s="33">
        <v>7151.0</v>
      </c>
      <c r="M575" s="33">
        <v>9638.0</v>
      </c>
      <c r="N575" s="33">
        <v>1932.0</v>
      </c>
      <c r="O575" s="33">
        <v>1716.0</v>
      </c>
      <c r="P575" s="33">
        <v>216.0</v>
      </c>
      <c r="Q575" s="33">
        <v>7706.0</v>
      </c>
      <c r="R575" s="34">
        <v>11.8575126</v>
      </c>
      <c r="S575" s="34">
        <v>8.1843954</v>
      </c>
      <c r="T575" s="34">
        <v>3.6731172</v>
      </c>
      <c r="U575" s="34">
        <v>88.1424874</v>
      </c>
      <c r="V575" s="34">
        <v>20.0456526</v>
      </c>
      <c r="W575" s="34">
        <v>17.8045238</v>
      </c>
      <c r="X575" s="34">
        <v>2.2411289</v>
      </c>
      <c r="Y575" s="34">
        <v>79.9543474</v>
      </c>
    </row>
    <row r="576" ht="15.0" customHeight="1">
      <c r="B576" s="35">
        <v>571.0</v>
      </c>
      <c r="C576" s="36" t="s">
        <v>21</v>
      </c>
      <c r="D576" s="41" t="s">
        <v>162</v>
      </c>
      <c r="E576" s="41" t="s">
        <v>196</v>
      </c>
      <c r="F576" s="41" t="s">
        <v>196</v>
      </c>
      <c r="G576" s="42" t="s">
        <v>196</v>
      </c>
      <c r="H576" s="37">
        <v>8113.0</v>
      </c>
      <c r="I576" s="37">
        <v>962.0</v>
      </c>
      <c r="J576" s="37">
        <v>664.0</v>
      </c>
      <c r="K576" s="37">
        <v>298.0</v>
      </c>
      <c r="L576" s="37">
        <v>7151.0</v>
      </c>
      <c r="M576" s="37">
        <v>9638.0</v>
      </c>
      <c r="N576" s="37">
        <v>1932.0</v>
      </c>
      <c r="O576" s="37">
        <v>1716.0</v>
      </c>
      <c r="P576" s="37">
        <v>216.0</v>
      </c>
      <c r="Q576" s="37">
        <v>7706.0</v>
      </c>
      <c r="R576" s="38">
        <v>11.8575126</v>
      </c>
      <c r="S576" s="38">
        <v>8.1843954</v>
      </c>
      <c r="T576" s="38">
        <v>3.6731172</v>
      </c>
      <c r="U576" s="38">
        <v>88.1424874</v>
      </c>
      <c r="V576" s="38">
        <v>20.0456526</v>
      </c>
      <c r="W576" s="38">
        <v>17.8045238</v>
      </c>
      <c r="X576" s="38">
        <v>2.2411289</v>
      </c>
      <c r="Y576" s="38">
        <v>79.9543474</v>
      </c>
    </row>
    <row r="577" ht="15.0" hidden="1" customHeight="1">
      <c r="B577" s="30">
        <v>572.0</v>
      </c>
      <c r="C577" s="31" t="s">
        <v>21</v>
      </c>
      <c r="D577" s="31" t="s">
        <v>162</v>
      </c>
      <c r="E577" s="31" t="s">
        <v>196</v>
      </c>
      <c r="F577" s="31" t="s">
        <v>196</v>
      </c>
      <c r="G577" s="32" t="s">
        <v>15</v>
      </c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4"/>
      <c r="S577" s="34"/>
      <c r="T577" s="34"/>
      <c r="U577" s="34"/>
      <c r="V577" s="34"/>
      <c r="W577" s="34"/>
      <c r="X577" s="34"/>
      <c r="Y577" s="34"/>
    </row>
    <row r="578" ht="15.0" hidden="1" customHeight="1">
      <c r="B578" s="30">
        <v>573.0</v>
      </c>
      <c r="C578" s="31" t="s">
        <v>21</v>
      </c>
      <c r="D578" s="31" t="s">
        <v>162</v>
      </c>
      <c r="E578" s="31" t="s">
        <v>196</v>
      </c>
      <c r="F578" s="31" t="s">
        <v>196</v>
      </c>
      <c r="G578" s="32" t="s">
        <v>16</v>
      </c>
      <c r="H578" s="33">
        <v>8113.0</v>
      </c>
      <c r="I578" s="33">
        <v>962.0</v>
      </c>
      <c r="J578" s="33">
        <v>664.0</v>
      </c>
      <c r="K578" s="33">
        <v>298.0</v>
      </c>
      <c r="L578" s="33">
        <v>7151.0</v>
      </c>
      <c r="M578" s="33">
        <v>9638.0</v>
      </c>
      <c r="N578" s="33">
        <v>1932.0</v>
      </c>
      <c r="O578" s="33">
        <v>1716.0</v>
      </c>
      <c r="P578" s="33">
        <v>216.0</v>
      </c>
      <c r="Q578" s="33">
        <v>7706.0</v>
      </c>
      <c r="R578" s="34">
        <v>11.8575126</v>
      </c>
      <c r="S578" s="34">
        <v>8.1843954</v>
      </c>
      <c r="T578" s="34">
        <v>3.6731172</v>
      </c>
      <c r="U578" s="34">
        <v>88.1424874</v>
      </c>
      <c r="V578" s="34">
        <v>20.0456526</v>
      </c>
      <c r="W578" s="34">
        <v>17.8045238</v>
      </c>
      <c r="X578" s="34">
        <v>2.2411289</v>
      </c>
      <c r="Y578" s="34">
        <v>79.9543474</v>
      </c>
    </row>
    <row r="579" ht="15.0" hidden="1" customHeight="1">
      <c r="B579" s="26">
        <v>574.0</v>
      </c>
      <c r="C579" s="27" t="s">
        <v>19</v>
      </c>
      <c r="D579" s="40" t="s">
        <v>162</v>
      </c>
      <c r="E579" s="40" t="s">
        <v>197</v>
      </c>
      <c r="F579" s="40"/>
      <c r="G579" s="27" t="s">
        <v>197</v>
      </c>
      <c r="H579" s="28">
        <v>47965.0</v>
      </c>
      <c r="I579" s="28">
        <v>24661.0</v>
      </c>
      <c r="J579" s="28">
        <v>14090.0</v>
      </c>
      <c r="K579" s="28">
        <v>10571.0</v>
      </c>
      <c r="L579" s="28">
        <v>23304.0</v>
      </c>
      <c r="M579" s="28">
        <v>68141.0</v>
      </c>
      <c r="N579" s="28">
        <v>42768.0</v>
      </c>
      <c r="O579" s="28">
        <v>36067.0</v>
      </c>
      <c r="P579" s="28">
        <v>6701.0</v>
      </c>
      <c r="Q579" s="28">
        <v>25373.0</v>
      </c>
      <c r="R579" s="29">
        <v>51.4145731</v>
      </c>
      <c r="S579" s="29">
        <v>29.3755864</v>
      </c>
      <c r="T579" s="29">
        <v>22.0389868</v>
      </c>
      <c r="U579" s="29">
        <v>48.5854269</v>
      </c>
      <c r="V579" s="29">
        <v>62.7639747</v>
      </c>
      <c r="W579" s="29">
        <v>52.9299541</v>
      </c>
      <c r="X579" s="29">
        <v>9.8340206</v>
      </c>
      <c r="Y579" s="29">
        <v>37.2360253</v>
      </c>
    </row>
    <row r="580" ht="15.0" hidden="1" customHeight="1">
      <c r="B580" s="30">
        <v>575.0</v>
      </c>
      <c r="C580" s="31" t="s">
        <v>19</v>
      </c>
      <c r="D580" s="31" t="s">
        <v>162</v>
      </c>
      <c r="E580" s="31" t="s">
        <v>197</v>
      </c>
      <c r="F580" s="31"/>
      <c r="G580" s="32" t="s">
        <v>15</v>
      </c>
      <c r="H580" s="33">
        <v>10006.0</v>
      </c>
      <c r="I580" s="33">
        <v>8222.0</v>
      </c>
      <c r="J580" s="33">
        <v>3339.0</v>
      </c>
      <c r="K580" s="33">
        <v>4883.0</v>
      </c>
      <c r="L580" s="33">
        <v>1784.0</v>
      </c>
      <c r="M580" s="33">
        <v>20306.0</v>
      </c>
      <c r="N580" s="33">
        <v>18379.0</v>
      </c>
      <c r="O580" s="33">
        <v>13705.0</v>
      </c>
      <c r="P580" s="33">
        <v>4674.0</v>
      </c>
      <c r="Q580" s="33">
        <v>1927.0</v>
      </c>
      <c r="R580" s="34">
        <v>82.1706976</v>
      </c>
      <c r="S580" s="34">
        <v>33.369978</v>
      </c>
      <c r="T580" s="34">
        <v>48.8007196</v>
      </c>
      <c r="U580" s="34">
        <v>17.8293024</v>
      </c>
      <c r="V580" s="34">
        <v>90.510194</v>
      </c>
      <c r="W580" s="34">
        <v>67.4923668</v>
      </c>
      <c r="X580" s="34">
        <v>23.0178272</v>
      </c>
      <c r="Y580" s="34">
        <v>9.489806</v>
      </c>
    </row>
    <row r="581" ht="15.0" hidden="1" customHeight="1">
      <c r="B581" s="30">
        <v>576.0</v>
      </c>
      <c r="C581" s="31" t="s">
        <v>19</v>
      </c>
      <c r="D581" s="31" t="s">
        <v>162</v>
      </c>
      <c r="E581" s="31" t="s">
        <v>197</v>
      </c>
      <c r="F581" s="31"/>
      <c r="G581" s="32" t="s">
        <v>16</v>
      </c>
      <c r="H581" s="33">
        <v>37959.0</v>
      </c>
      <c r="I581" s="33">
        <v>16439.0</v>
      </c>
      <c r="J581" s="33">
        <v>10751.0</v>
      </c>
      <c r="K581" s="33">
        <v>5688.0</v>
      </c>
      <c r="L581" s="33">
        <v>21520.0</v>
      </c>
      <c r="M581" s="33">
        <v>47835.0</v>
      </c>
      <c r="N581" s="33">
        <v>24389.0</v>
      </c>
      <c r="O581" s="33">
        <v>22362.0</v>
      </c>
      <c r="P581" s="33">
        <v>2027.0</v>
      </c>
      <c r="Q581" s="33">
        <v>23446.0</v>
      </c>
      <c r="R581" s="34">
        <v>43.3072526</v>
      </c>
      <c r="S581" s="34">
        <v>28.3226639</v>
      </c>
      <c r="T581" s="34">
        <v>14.9845886</v>
      </c>
      <c r="U581" s="34">
        <v>56.6927474</v>
      </c>
      <c r="V581" s="34">
        <v>50.9856799</v>
      </c>
      <c r="W581" s="34">
        <v>46.7481969</v>
      </c>
      <c r="X581" s="34">
        <v>4.237483</v>
      </c>
      <c r="Y581" s="34">
        <v>49.0143201</v>
      </c>
    </row>
    <row r="582" ht="15.0" customHeight="1">
      <c r="B582" s="35">
        <v>577.0</v>
      </c>
      <c r="C582" s="36" t="s">
        <v>21</v>
      </c>
      <c r="D582" s="41" t="s">
        <v>162</v>
      </c>
      <c r="E582" s="41" t="s">
        <v>197</v>
      </c>
      <c r="F582" s="41" t="s">
        <v>198</v>
      </c>
      <c r="G582" s="42" t="s">
        <v>198</v>
      </c>
      <c r="H582" s="37">
        <v>4729.0</v>
      </c>
      <c r="I582" s="37">
        <v>1322.0</v>
      </c>
      <c r="J582" s="37">
        <v>799.0</v>
      </c>
      <c r="K582" s="37">
        <v>523.0</v>
      </c>
      <c r="L582" s="37">
        <v>3407.0</v>
      </c>
      <c r="M582" s="37">
        <v>5351.0</v>
      </c>
      <c r="N582" s="37">
        <v>1996.0</v>
      </c>
      <c r="O582" s="37">
        <v>1869.0</v>
      </c>
      <c r="P582" s="37">
        <v>127.0</v>
      </c>
      <c r="Q582" s="37">
        <v>3355.0</v>
      </c>
      <c r="R582" s="38">
        <v>27.9551702</v>
      </c>
      <c r="S582" s="38">
        <v>16.8957496</v>
      </c>
      <c r="T582" s="38">
        <v>11.0594206</v>
      </c>
      <c r="U582" s="38">
        <v>72.0448298</v>
      </c>
      <c r="V582" s="38">
        <v>37.301439</v>
      </c>
      <c r="W582" s="38">
        <v>34.9280508</v>
      </c>
      <c r="X582" s="38">
        <v>2.3733882</v>
      </c>
      <c r="Y582" s="38">
        <v>62.698561</v>
      </c>
    </row>
    <row r="583" ht="15.0" hidden="1" customHeight="1">
      <c r="B583" s="30">
        <v>578.0</v>
      </c>
      <c r="C583" s="31" t="s">
        <v>21</v>
      </c>
      <c r="D583" s="31" t="s">
        <v>162</v>
      </c>
      <c r="E583" s="31" t="s">
        <v>197</v>
      </c>
      <c r="F583" s="31" t="s">
        <v>198</v>
      </c>
      <c r="G583" s="32" t="s">
        <v>15</v>
      </c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4"/>
      <c r="S583" s="34"/>
      <c r="T583" s="34"/>
      <c r="U583" s="34"/>
      <c r="V583" s="34"/>
      <c r="W583" s="34"/>
      <c r="X583" s="34"/>
      <c r="Y583" s="34"/>
    </row>
    <row r="584" ht="15.0" hidden="1" customHeight="1">
      <c r="B584" s="30">
        <v>579.0</v>
      </c>
      <c r="C584" s="31" t="s">
        <v>21</v>
      </c>
      <c r="D584" s="31" t="s">
        <v>162</v>
      </c>
      <c r="E584" s="31" t="s">
        <v>197</v>
      </c>
      <c r="F584" s="31" t="s">
        <v>198</v>
      </c>
      <c r="G584" s="32" t="s">
        <v>16</v>
      </c>
      <c r="H584" s="33">
        <v>4729.0</v>
      </c>
      <c r="I584" s="33">
        <v>1322.0</v>
      </c>
      <c r="J584" s="33">
        <v>799.0</v>
      </c>
      <c r="K584" s="33">
        <v>523.0</v>
      </c>
      <c r="L584" s="33">
        <v>3407.0</v>
      </c>
      <c r="M584" s="33">
        <v>5351.0</v>
      </c>
      <c r="N584" s="33">
        <v>1996.0</v>
      </c>
      <c r="O584" s="33">
        <v>1869.0</v>
      </c>
      <c r="P584" s="33">
        <v>127.0</v>
      </c>
      <c r="Q584" s="33">
        <v>3355.0</v>
      </c>
      <c r="R584" s="34">
        <v>27.9551702</v>
      </c>
      <c r="S584" s="34">
        <v>16.8957496</v>
      </c>
      <c r="T584" s="34">
        <v>11.0594206</v>
      </c>
      <c r="U584" s="34">
        <v>72.0448298</v>
      </c>
      <c r="V584" s="34">
        <v>37.301439</v>
      </c>
      <c r="W584" s="34">
        <v>34.9280508</v>
      </c>
      <c r="X584" s="34">
        <v>2.3733882</v>
      </c>
      <c r="Y584" s="34">
        <v>62.698561</v>
      </c>
    </row>
    <row r="585" ht="15.0" customHeight="1">
      <c r="B585" s="35">
        <v>580.0</v>
      </c>
      <c r="C585" s="36" t="s">
        <v>21</v>
      </c>
      <c r="D585" s="41" t="s">
        <v>162</v>
      </c>
      <c r="E585" s="41" t="s">
        <v>197</v>
      </c>
      <c r="F585" s="41" t="s">
        <v>199</v>
      </c>
      <c r="G585" s="42" t="s">
        <v>199</v>
      </c>
      <c r="H585" s="37">
        <v>3003.0</v>
      </c>
      <c r="I585" s="37">
        <v>803.0</v>
      </c>
      <c r="J585" s="37">
        <v>560.0</v>
      </c>
      <c r="K585" s="37">
        <v>243.0</v>
      </c>
      <c r="L585" s="37">
        <v>2200.0</v>
      </c>
      <c r="M585" s="37">
        <v>3705.0</v>
      </c>
      <c r="N585" s="37">
        <v>1543.0</v>
      </c>
      <c r="O585" s="37">
        <v>1383.0</v>
      </c>
      <c r="P585" s="37">
        <v>160.0</v>
      </c>
      <c r="Q585" s="37">
        <v>2162.0</v>
      </c>
      <c r="R585" s="38">
        <v>26.7399267</v>
      </c>
      <c r="S585" s="38">
        <v>18.6480186</v>
      </c>
      <c r="T585" s="38">
        <v>8.0919081</v>
      </c>
      <c r="U585" s="38">
        <v>73.2600733</v>
      </c>
      <c r="V585" s="38">
        <v>41.6464238</v>
      </c>
      <c r="W585" s="38">
        <v>37.3279352</v>
      </c>
      <c r="X585" s="38">
        <v>4.3184885</v>
      </c>
      <c r="Y585" s="38">
        <v>58.3535762</v>
      </c>
    </row>
    <row r="586" ht="15.0" hidden="1" customHeight="1">
      <c r="B586" s="30">
        <v>581.0</v>
      </c>
      <c r="C586" s="31" t="s">
        <v>21</v>
      </c>
      <c r="D586" s="31" t="s">
        <v>162</v>
      </c>
      <c r="E586" s="31" t="s">
        <v>197</v>
      </c>
      <c r="F586" s="31" t="s">
        <v>199</v>
      </c>
      <c r="G586" s="32" t="s">
        <v>15</v>
      </c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4"/>
      <c r="S586" s="34"/>
      <c r="T586" s="34"/>
      <c r="U586" s="34"/>
      <c r="V586" s="34"/>
      <c r="W586" s="34"/>
      <c r="X586" s="34"/>
      <c r="Y586" s="34"/>
    </row>
    <row r="587" ht="15.0" hidden="1" customHeight="1">
      <c r="B587" s="30">
        <v>582.0</v>
      </c>
      <c r="C587" s="31" t="s">
        <v>21</v>
      </c>
      <c r="D587" s="31" t="s">
        <v>162</v>
      </c>
      <c r="E587" s="31" t="s">
        <v>197</v>
      </c>
      <c r="F587" s="31" t="s">
        <v>199</v>
      </c>
      <c r="G587" s="32" t="s">
        <v>16</v>
      </c>
      <c r="H587" s="33">
        <v>3003.0</v>
      </c>
      <c r="I587" s="33">
        <v>803.0</v>
      </c>
      <c r="J587" s="33">
        <v>560.0</v>
      </c>
      <c r="K587" s="33">
        <v>243.0</v>
      </c>
      <c r="L587" s="33">
        <v>2200.0</v>
      </c>
      <c r="M587" s="33">
        <v>3705.0</v>
      </c>
      <c r="N587" s="33">
        <v>1543.0</v>
      </c>
      <c r="O587" s="33">
        <v>1383.0</v>
      </c>
      <c r="P587" s="33">
        <v>160.0</v>
      </c>
      <c r="Q587" s="33">
        <v>2162.0</v>
      </c>
      <c r="R587" s="34">
        <v>26.7399267</v>
      </c>
      <c r="S587" s="34">
        <v>18.6480186</v>
      </c>
      <c r="T587" s="34">
        <v>8.0919081</v>
      </c>
      <c r="U587" s="34">
        <v>73.2600733</v>
      </c>
      <c r="V587" s="34">
        <v>41.6464238</v>
      </c>
      <c r="W587" s="34">
        <v>37.3279352</v>
      </c>
      <c r="X587" s="34">
        <v>4.3184885</v>
      </c>
      <c r="Y587" s="34">
        <v>58.3535762</v>
      </c>
    </row>
    <row r="588" ht="15.0" customHeight="1">
      <c r="B588" s="35">
        <v>583.0</v>
      </c>
      <c r="C588" s="36" t="s">
        <v>21</v>
      </c>
      <c r="D588" s="41" t="s">
        <v>162</v>
      </c>
      <c r="E588" s="41" t="s">
        <v>197</v>
      </c>
      <c r="F588" s="41" t="s">
        <v>200</v>
      </c>
      <c r="G588" s="42" t="s">
        <v>200</v>
      </c>
      <c r="H588" s="37">
        <v>3544.0</v>
      </c>
      <c r="I588" s="37">
        <v>1200.0</v>
      </c>
      <c r="J588" s="37">
        <v>804.0</v>
      </c>
      <c r="K588" s="37">
        <v>396.0</v>
      </c>
      <c r="L588" s="37">
        <v>2344.0</v>
      </c>
      <c r="M588" s="37">
        <v>4853.0</v>
      </c>
      <c r="N588" s="37">
        <v>2390.0</v>
      </c>
      <c r="O588" s="37">
        <v>2247.0</v>
      </c>
      <c r="P588" s="37">
        <v>143.0</v>
      </c>
      <c r="Q588" s="37">
        <v>2463.0</v>
      </c>
      <c r="R588" s="38">
        <v>33.8600451</v>
      </c>
      <c r="S588" s="38">
        <v>22.6862302</v>
      </c>
      <c r="T588" s="38">
        <v>11.1738149</v>
      </c>
      <c r="U588" s="38">
        <v>66.1399549</v>
      </c>
      <c r="V588" s="38">
        <v>49.2478879</v>
      </c>
      <c r="W588" s="38">
        <v>46.301257</v>
      </c>
      <c r="X588" s="38">
        <v>2.9466309</v>
      </c>
      <c r="Y588" s="38">
        <v>50.7521121</v>
      </c>
    </row>
    <row r="589" ht="15.0" hidden="1" customHeight="1">
      <c r="B589" s="30">
        <v>584.0</v>
      </c>
      <c r="C589" s="31" t="s">
        <v>21</v>
      </c>
      <c r="D589" s="31" t="s">
        <v>162</v>
      </c>
      <c r="E589" s="31" t="s">
        <v>197</v>
      </c>
      <c r="F589" s="31" t="s">
        <v>200</v>
      </c>
      <c r="G589" s="32" t="s">
        <v>15</v>
      </c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4"/>
      <c r="S589" s="34"/>
      <c r="T589" s="34"/>
      <c r="U589" s="34"/>
      <c r="V589" s="34"/>
      <c r="W589" s="34"/>
      <c r="X589" s="34"/>
      <c r="Y589" s="34"/>
    </row>
    <row r="590" ht="15.0" hidden="1" customHeight="1">
      <c r="B590" s="30">
        <v>585.0</v>
      </c>
      <c r="C590" s="31" t="s">
        <v>21</v>
      </c>
      <c r="D590" s="31" t="s">
        <v>162</v>
      </c>
      <c r="E590" s="31" t="s">
        <v>197</v>
      </c>
      <c r="F590" s="31" t="s">
        <v>200</v>
      </c>
      <c r="G590" s="32" t="s">
        <v>16</v>
      </c>
      <c r="H590" s="33">
        <v>3544.0</v>
      </c>
      <c r="I590" s="33">
        <v>1200.0</v>
      </c>
      <c r="J590" s="33">
        <v>804.0</v>
      </c>
      <c r="K590" s="33">
        <v>396.0</v>
      </c>
      <c r="L590" s="33">
        <v>2344.0</v>
      </c>
      <c r="M590" s="33">
        <v>4853.0</v>
      </c>
      <c r="N590" s="33">
        <v>2390.0</v>
      </c>
      <c r="O590" s="33">
        <v>2247.0</v>
      </c>
      <c r="P590" s="33">
        <v>143.0</v>
      </c>
      <c r="Q590" s="33">
        <v>2463.0</v>
      </c>
      <c r="R590" s="34">
        <v>33.8600451</v>
      </c>
      <c r="S590" s="34">
        <v>22.6862302</v>
      </c>
      <c r="T590" s="34">
        <v>11.1738149</v>
      </c>
      <c r="U590" s="34">
        <v>66.1399549</v>
      </c>
      <c r="V590" s="34">
        <v>49.2478879</v>
      </c>
      <c r="W590" s="34">
        <v>46.301257</v>
      </c>
      <c r="X590" s="34">
        <v>2.9466309</v>
      </c>
      <c r="Y590" s="34">
        <v>50.7521121</v>
      </c>
    </row>
    <row r="591" ht="15.0" customHeight="1">
      <c r="B591" s="35">
        <v>586.0</v>
      </c>
      <c r="C591" s="36" t="s">
        <v>21</v>
      </c>
      <c r="D591" s="41" t="s">
        <v>162</v>
      </c>
      <c r="E591" s="41" t="s">
        <v>197</v>
      </c>
      <c r="F591" s="41" t="s">
        <v>201</v>
      </c>
      <c r="G591" s="42" t="s">
        <v>201</v>
      </c>
      <c r="H591" s="37">
        <v>7263.0</v>
      </c>
      <c r="I591" s="37">
        <v>4750.0</v>
      </c>
      <c r="J591" s="37">
        <v>2655.0</v>
      </c>
      <c r="K591" s="37">
        <v>2095.0</v>
      </c>
      <c r="L591" s="37">
        <v>2513.0</v>
      </c>
      <c r="M591" s="37">
        <v>10557.0</v>
      </c>
      <c r="N591" s="37">
        <v>7626.0</v>
      </c>
      <c r="O591" s="37">
        <v>6282.0</v>
      </c>
      <c r="P591" s="37">
        <v>1344.0</v>
      </c>
      <c r="Q591" s="37">
        <v>2931.0</v>
      </c>
      <c r="R591" s="38">
        <v>65.3999725</v>
      </c>
      <c r="S591" s="38">
        <v>36.5551425</v>
      </c>
      <c r="T591" s="38">
        <v>28.84483</v>
      </c>
      <c r="U591" s="38">
        <v>34.6000275</v>
      </c>
      <c r="V591" s="38">
        <v>72.2364308</v>
      </c>
      <c r="W591" s="38">
        <v>59.5055413</v>
      </c>
      <c r="X591" s="38">
        <v>12.7308895</v>
      </c>
      <c r="Y591" s="38">
        <v>27.7635692</v>
      </c>
    </row>
    <row r="592" ht="15.0" hidden="1" customHeight="1">
      <c r="B592" s="30">
        <v>587.0</v>
      </c>
      <c r="C592" s="31" t="s">
        <v>21</v>
      </c>
      <c r="D592" s="31" t="s">
        <v>162</v>
      </c>
      <c r="E592" s="31" t="s">
        <v>197</v>
      </c>
      <c r="F592" s="31" t="s">
        <v>201</v>
      </c>
      <c r="G592" s="32" t="s">
        <v>15</v>
      </c>
      <c r="H592" s="33">
        <v>1817.0</v>
      </c>
      <c r="I592" s="33">
        <v>1518.0</v>
      </c>
      <c r="J592" s="33">
        <v>556.0</v>
      </c>
      <c r="K592" s="33">
        <v>962.0</v>
      </c>
      <c r="L592" s="33">
        <v>299.0</v>
      </c>
      <c r="M592" s="33">
        <v>3403.0</v>
      </c>
      <c r="N592" s="33">
        <v>3053.0</v>
      </c>
      <c r="O592" s="33">
        <v>2177.0</v>
      </c>
      <c r="P592" s="33">
        <v>876.0</v>
      </c>
      <c r="Q592" s="33">
        <v>350.0</v>
      </c>
      <c r="R592" s="34">
        <v>83.5443038</v>
      </c>
      <c r="S592" s="34">
        <v>30.5998899</v>
      </c>
      <c r="T592" s="34">
        <v>52.9444139</v>
      </c>
      <c r="U592" s="34">
        <v>16.4556962</v>
      </c>
      <c r="V592" s="34">
        <v>89.7149574</v>
      </c>
      <c r="W592" s="34">
        <v>63.972965</v>
      </c>
      <c r="X592" s="34">
        <v>25.7419924</v>
      </c>
      <c r="Y592" s="34">
        <v>10.2850426</v>
      </c>
    </row>
    <row r="593" ht="15.0" hidden="1" customHeight="1">
      <c r="B593" s="30">
        <v>588.0</v>
      </c>
      <c r="C593" s="31" t="s">
        <v>21</v>
      </c>
      <c r="D593" s="31" t="s">
        <v>162</v>
      </c>
      <c r="E593" s="31" t="s">
        <v>197</v>
      </c>
      <c r="F593" s="31" t="s">
        <v>201</v>
      </c>
      <c r="G593" s="32" t="s">
        <v>16</v>
      </c>
      <c r="H593" s="33">
        <v>5446.0</v>
      </c>
      <c r="I593" s="33">
        <v>3232.0</v>
      </c>
      <c r="J593" s="33">
        <v>2099.0</v>
      </c>
      <c r="K593" s="33">
        <v>1133.0</v>
      </c>
      <c r="L593" s="33">
        <v>2214.0</v>
      </c>
      <c r="M593" s="33">
        <v>7154.0</v>
      </c>
      <c r="N593" s="33">
        <v>4573.0</v>
      </c>
      <c r="O593" s="33">
        <v>4105.0</v>
      </c>
      <c r="P593" s="33">
        <v>468.0</v>
      </c>
      <c r="Q593" s="33">
        <v>2581.0</v>
      </c>
      <c r="R593" s="34">
        <v>59.3463092</v>
      </c>
      <c r="S593" s="34">
        <v>38.5420492</v>
      </c>
      <c r="T593" s="34">
        <v>20.80426</v>
      </c>
      <c r="U593" s="34">
        <v>40.6536908</v>
      </c>
      <c r="V593" s="34">
        <v>63.9222812</v>
      </c>
      <c r="W593" s="34">
        <v>57.3804864</v>
      </c>
      <c r="X593" s="34">
        <v>6.5417948</v>
      </c>
      <c r="Y593" s="34">
        <v>36.0777188</v>
      </c>
    </row>
    <row r="594" ht="15.0" customHeight="1">
      <c r="B594" s="35">
        <v>589.0</v>
      </c>
      <c r="C594" s="36" t="s">
        <v>21</v>
      </c>
      <c r="D594" s="41" t="s">
        <v>162</v>
      </c>
      <c r="E594" s="41" t="s">
        <v>197</v>
      </c>
      <c r="F594" s="41" t="s">
        <v>202</v>
      </c>
      <c r="G594" s="42" t="s">
        <v>202</v>
      </c>
      <c r="H594" s="37">
        <v>16951.0</v>
      </c>
      <c r="I594" s="37">
        <v>9981.0</v>
      </c>
      <c r="J594" s="37">
        <v>6070.0</v>
      </c>
      <c r="K594" s="37">
        <v>3911.0</v>
      </c>
      <c r="L594" s="37">
        <v>6970.0</v>
      </c>
      <c r="M594" s="37">
        <v>25497.0</v>
      </c>
      <c r="N594" s="37">
        <v>17268.0</v>
      </c>
      <c r="O594" s="37">
        <v>14144.0</v>
      </c>
      <c r="P594" s="37">
        <v>3124.0</v>
      </c>
      <c r="Q594" s="37">
        <v>8229.0</v>
      </c>
      <c r="R594" s="38">
        <v>58.8814819</v>
      </c>
      <c r="S594" s="38">
        <v>35.8090968</v>
      </c>
      <c r="T594" s="38">
        <v>23.0723851</v>
      </c>
      <c r="U594" s="38">
        <v>41.1185181</v>
      </c>
      <c r="V594" s="38">
        <v>67.7256148</v>
      </c>
      <c r="W594" s="38">
        <v>55.4731929</v>
      </c>
      <c r="X594" s="38">
        <v>12.2524219</v>
      </c>
      <c r="Y594" s="38">
        <v>32.2743852</v>
      </c>
    </row>
    <row r="595" ht="15.0" hidden="1" customHeight="1">
      <c r="B595" s="30">
        <v>590.0</v>
      </c>
      <c r="C595" s="31" t="s">
        <v>21</v>
      </c>
      <c r="D595" s="31" t="s">
        <v>162</v>
      </c>
      <c r="E595" s="31" t="s">
        <v>197</v>
      </c>
      <c r="F595" s="31" t="s">
        <v>202</v>
      </c>
      <c r="G595" s="32" t="s">
        <v>15</v>
      </c>
      <c r="H595" s="33">
        <v>3793.0</v>
      </c>
      <c r="I595" s="33">
        <v>3199.0</v>
      </c>
      <c r="J595" s="33">
        <v>1363.0</v>
      </c>
      <c r="K595" s="33">
        <v>1836.0</v>
      </c>
      <c r="L595" s="33">
        <v>594.0</v>
      </c>
      <c r="M595" s="33">
        <v>7607.0</v>
      </c>
      <c r="N595" s="33">
        <v>6896.0</v>
      </c>
      <c r="O595" s="33">
        <v>4665.0</v>
      </c>
      <c r="P595" s="33">
        <v>2231.0</v>
      </c>
      <c r="Q595" s="33">
        <v>711.0</v>
      </c>
      <c r="R595" s="34">
        <v>84.3395729</v>
      </c>
      <c r="S595" s="34">
        <v>35.9346164</v>
      </c>
      <c r="T595" s="34">
        <v>48.4049565</v>
      </c>
      <c r="U595" s="34">
        <v>15.6604271</v>
      </c>
      <c r="V595" s="34">
        <v>90.6533456</v>
      </c>
      <c r="W595" s="34">
        <v>61.3250953</v>
      </c>
      <c r="X595" s="34">
        <v>29.3282503</v>
      </c>
      <c r="Y595" s="34">
        <v>9.3466544</v>
      </c>
    </row>
    <row r="596" ht="15.0" hidden="1" customHeight="1">
      <c r="B596" s="30">
        <v>591.0</v>
      </c>
      <c r="C596" s="31" t="s">
        <v>21</v>
      </c>
      <c r="D596" s="31" t="s">
        <v>162</v>
      </c>
      <c r="E596" s="31" t="s">
        <v>197</v>
      </c>
      <c r="F596" s="31" t="s">
        <v>202</v>
      </c>
      <c r="G596" s="32" t="s">
        <v>16</v>
      </c>
      <c r="H596" s="33">
        <v>13158.0</v>
      </c>
      <c r="I596" s="33">
        <v>6782.0</v>
      </c>
      <c r="J596" s="33">
        <v>4707.0</v>
      </c>
      <c r="K596" s="33">
        <v>2075.0</v>
      </c>
      <c r="L596" s="33">
        <v>6376.0</v>
      </c>
      <c r="M596" s="33">
        <v>17890.0</v>
      </c>
      <c r="N596" s="33">
        <v>10372.0</v>
      </c>
      <c r="O596" s="33">
        <v>9479.0</v>
      </c>
      <c r="P596" s="33">
        <v>893.0</v>
      </c>
      <c r="Q596" s="33">
        <v>7518.0</v>
      </c>
      <c r="R596" s="34">
        <v>51.5427877</v>
      </c>
      <c r="S596" s="34">
        <v>35.7729138</v>
      </c>
      <c r="T596" s="34">
        <v>15.7698738</v>
      </c>
      <c r="U596" s="34">
        <v>48.4572123</v>
      </c>
      <c r="V596" s="34">
        <v>57.9765232</v>
      </c>
      <c r="W596" s="34">
        <v>52.9849078</v>
      </c>
      <c r="X596" s="34">
        <v>4.9916154</v>
      </c>
      <c r="Y596" s="34">
        <v>42.0234768</v>
      </c>
    </row>
    <row r="597" ht="15.0" customHeight="1">
      <c r="B597" s="35">
        <v>592.0</v>
      </c>
      <c r="C597" s="36" t="s">
        <v>21</v>
      </c>
      <c r="D597" s="41" t="s">
        <v>162</v>
      </c>
      <c r="E597" s="41" t="s">
        <v>197</v>
      </c>
      <c r="F597" s="41" t="s">
        <v>203</v>
      </c>
      <c r="G597" s="42" t="s">
        <v>203</v>
      </c>
      <c r="H597" s="37">
        <v>12475.0</v>
      </c>
      <c r="I597" s="37">
        <v>6605.0</v>
      </c>
      <c r="J597" s="37">
        <v>3202.0</v>
      </c>
      <c r="K597" s="37">
        <v>3403.0</v>
      </c>
      <c r="L597" s="37">
        <v>5870.0</v>
      </c>
      <c r="M597" s="37">
        <v>18178.0</v>
      </c>
      <c r="N597" s="37">
        <v>11945.0</v>
      </c>
      <c r="O597" s="37">
        <v>10142.0</v>
      </c>
      <c r="P597" s="37">
        <v>1803.0</v>
      </c>
      <c r="Q597" s="37">
        <v>6233.0</v>
      </c>
      <c r="R597" s="38">
        <v>52.9458918</v>
      </c>
      <c r="S597" s="38">
        <v>25.6673347</v>
      </c>
      <c r="T597" s="38">
        <v>27.2785571</v>
      </c>
      <c r="U597" s="38">
        <v>47.0541082</v>
      </c>
      <c r="V597" s="38">
        <v>65.7112994</v>
      </c>
      <c r="W597" s="38">
        <v>55.7927165</v>
      </c>
      <c r="X597" s="38">
        <v>9.9185829</v>
      </c>
      <c r="Y597" s="38">
        <v>34.2887006</v>
      </c>
    </row>
    <row r="598" ht="15.0" hidden="1" customHeight="1">
      <c r="B598" s="30">
        <v>593.0</v>
      </c>
      <c r="C598" s="31" t="s">
        <v>21</v>
      </c>
      <c r="D598" s="31" t="s">
        <v>162</v>
      </c>
      <c r="E598" s="31" t="s">
        <v>197</v>
      </c>
      <c r="F598" s="31" t="s">
        <v>203</v>
      </c>
      <c r="G598" s="32" t="s">
        <v>15</v>
      </c>
      <c r="H598" s="33">
        <v>4396.0</v>
      </c>
      <c r="I598" s="33">
        <v>3505.0</v>
      </c>
      <c r="J598" s="33">
        <v>1420.0</v>
      </c>
      <c r="K598" s="33">
        <v>2085.0</v>
      </c>
      <c r="L598" s="33">
        <v>891.0</v>
      </c>
      <c r="M598" s="33">
        <v>9296.0</v>
      </c>
      <c r="N598" s="33">
        <v>8430.0</v>
      </c>
      <c r="O598" s="33">
        <v>6863.0</v>
      </c>
      <c r="P598" s="33">
        <v>1567.0</v>
      </c>
      <c r="Q598" s="33">
        <v>866.0</v>
      </c>
      <c r="R598" s="34">
        <v>79.7315742</v>
      </c>
      <c r="S598" s="34">
        <v>32.3020928</v>
      </c>
      <c r="T598" s="34">
        <v>47.4294813</v>
      </c>
      <c r="U598" s="34">
        <v>20.2684258</v>
      </c>
      <c r="V598" s="34">
        <v>90.6841652</v>
      </c>
      <c r="W598" s="34">
        <v>73.8274527</v>
      </c>
      <c r="X598" s="34">
        <v>16.8567126</v>
      </c>
      <c r="Y598" s="34">
        <v>9.3158348</v>
      </c>
    </row>
    <row r="599" ht="15.0" hidden="1" customHeight="1">
      <c r="B599" s="30">
        <v>594.0</v>
      </c>
      <c r="C599" s="31" t="s">
        <v>21</v>
      </c>
      <c r="D599" s="31" t="s">
        <v>162</v>
      </c>
      <c r="E599" s="31" t="s">
        <v>197</v>
      </c>
      <c r="F599" s="31" t="s">
        <v>203</v>
      </c>
      <c r="G599" s="32" t="s">
        <v>16</v>
      </c>
      <c r="H599" s="33">
        <v>8079.0</v>
      </c>
      <c r="I599" s="33">
        <v>3100.0</v>
      </c>
      <c r="J599" s="33">
        <v>1782.0</v>
      </c>
      <c r="K599" s="33">
        <v>1318.0</v>
      </c>
      <c r="L599" s="33">
        <v>4979.0</v>
      </c>
      <c r="M599" s="33">
        <v>8882.0</v>
      </c>
      <c r="N599" s="33">
        <v>3515.0</v>
      </c>
      <c r="O599" s="33">
        <v>3279.0</v>
      </c>
      <c r="P599" s="33">
        <v>236.0</v>
      </c>
      <c r="Q599" s="33">
        <v>5367.0</v>
      </c>
      <c r="R599" s="34">
        <v>38.3710855</v>
      </c>
      <c r="S599" s="34">
        <v>22.0571853</v>
      </c>
      <c r="T599" s="34">
        <v>16.3139002</v>
      </c>
      <c r="U599" s="34">
        <v>61.6289145</v>
      </c>
      <c r="V599" s="34">
        <v>39.5744202</v>
      </c>
      <c r="W599" s="34">
        <v>36.917361</v>
      </c>
      <c r="X599" s="34">
        <v>2.6570592</v>
      </c>
      <c r="Y599" s="34">
        <v>60.4255798</v>
      </c>
    </row>
    <row r="600" ht="15.0" hidden="1" customHeight="1">
      <c r="B600" s="26">
        <v>595.0</v>
      </c>
      <c r="C600" s="27" t="s">
        <v>19</v>
      </c>
      <c r="D600" s="40" t="s">
        <v>162</v>
      </c>
      <c r="E600" s="40" t="s">
        <v>204</v>
      </c>
      <c r="F600" s="40"/>
      <c r="G600" s="27" t="s">
        <v>204</v>
      </c>
      <c r="H600" s="28">
        <v>10573.0</v>
      </c>
      <c r="I600" s="28">
        <v>1907.0</v>
      </c>
      <c r="J600" s="28">
        <v>1233.0</v>
      </c>
      <c r="K600" s="28">
        <v>674.0</v>
      </c>
      <c r="L600" s="28">
        <v>8666.0</v>
      </c>
      <c r="M600" s="28">
        <v>12668.0</v>
      </c>
      <c r="N600" s="28">
        <v>4366.0</v>
      </c>
      <c r="O600" s="28">
        <v>3947.0</v>
      </c>
      <c r="P600" s="28">
        <v>419.0</v>
      </c>
      <c r="Q600" s="28">
        <v>8302.0</v>
      </c>
      <c r="R600" s="29">
        <v>18.0365081</v>
      </c>
      <c r="S600" s="29">
        <v>11.66178</v>
      </c>
      <c r="T600" s="29">
        <v>6.3747281</v>
      </c>
      <c r="U600" s="29">
        <v>81.9634919</v>
      </c>
      <c r="V600" s="29">
        <v>34.4647932</v>
      </c>
      <c r="W600" s="29">
        <v>31.1572466</v>
      </c>
      <c r="X600" s="29">
        <v>3.3075466</v>
      </c>
      <c r="Y600" s="29">
        <v>65.5352068</v>
      </c>
    </row>
    <row r="601" ht="15.0" hidden="1" customHeight="1">
      <c r="B601" s="30">
        <v>596.0</v>
      </c>
      <c r="C601" s="31" t="s">
        <v>19</v>
      </c>
      <c r="D601" s="31" t="s">
        <v>162</v>
      </c>
      <c r="E601" s="31" t="s">
        <v>204</v>
      </c>
      <c r="F601" s="31"/>
      <c r="G601" s="32" t="s">
        <v>15</v>
      </c>
      <c r="H601" s="33">
        <v>1008.0</v>
      </c>
      <c r="I601" s="33">
        <v>830.0</v>
      </c>
      <c r="J601" s="33">
        <v>481.0</v>
      </c>
      <c r="K601" s="33">
        <v>349.0</v>
      </c>
      <c r="L601" s="33">
        <v>178.0</v>
      </c>
      <c r="M601" s="33">
        <v>1965.0</v>
      </c>
      <c r="N601" s="33">
        <v>1620.0</v>
      </c>
      <c r="O601" s="33">
        <v>1375.0</v>
      </c>
      <c r="P601" s="33">
        <v>245.0</v>
      </c>
      <c r="Q601" s="33">
        <v>345.0</v>
      </c>
      <c r="R601" s="34">
        <v>82.3412698</v>
      </c>
      <c r="S601" s="34">
        <v>47.718254</v>
      </c>
      <c r="T601" s="34">
        <v>34.6230159</v>
      </c>
      <c r="U601" s="34">
        <v>17.6587302</v>
      </c>
      <c r="V601" s="34">
        <v>82.4427481</v>
      </c>
      <c r="W601" s="34">
        <v>69.9745547</v>
      </c>
      <c r="X601" s="34">
        <v>12.4681934</v>
      </c>
      <c r="Y601" s="34">
        <v>17.5572519</v>
      </c>
    </row>
    <row r="602" ht="15.0" hidden="1" customHeight="1">
      <c r="B602" s="30">
        <v>597.0</v>
      </c>
      <c r="C602" s="31" t="s">
        <v>19</v>
      </c>
      <c r="D602" s="31" t="s">
        <v>162</v>
      </c>
      <c r="E602" s="31" t="s">
        <v>204</v>
      </c>
      <c r="F602" s="31"/>
      <c r="G602" s="32" t="s">
        <v>16</v>
      </c>
      <c r="H602" s="33">
        <v>9565.0</v>
      </c>
      <c r="I602" s="33">
        <v>1077.0</v>
      </c>
      <c r="J602" s="33">
        <v>752.0</v>
      </c>
      <c r="K602" s="33">
        <v>325.0</v>
      </c>
      <c r="L602" s="33">
        <v>8488.0</v>
      </c>
      <c r="M602" s="33">
        <v>10703.0</v>
      </c>
      <c r="N602" s="33">
        <v>2746.0</v>
      </c>
      <c r="O602" s="33">
        <v>2572.0</v>
      </c>
      <c r="P602" s="33">
        <v>174.0</v>
      </c>
      <c r="Q602" s="33">
        <v>7957.0</v>
      </c>
      <c r="R602" s="34">
        <v>11.2598014</v>
      </c>
      <c r="S602" s="34">
        <v>7.8619969</v>
      </c>
      <c r="T602" s="34">
        <v>3.3978045</v>
      </c>
      <c r="U602" s="34">
        <v>88.7401986</v>
      </c>
      <c r="V602" s="34">
        <v>25.656358</v>
      </c>
      <c r="W602" s="34">
        <v>24.0306456</v>
      </c>
      <c r="X602" s="34">
        <v>1.6257124</v>
      </c>
      <c r="Y602" s="34">
        <v>74.343642</v>
      </c>
    </row>
    <row r="603" ht="15.0" customHeight="1">
      <c r="B603" s="35">
        <v>598.0</v>
      </c>
      <c r="C603" s="36" t="s">
        <v>21</v>
      </c>
      <c r="D603" s="41" t="s">
        <v>162</v>
      </c>
      <c r="E603" s="41" t="s">
        <v>204</v>
      </c>
      <c r="F603" s="41" t="s">
        <v>204</v>
      </c>
      <c r="G603" s="42" t="s">
        <v>204</v>
      </c>
      <c r="H603" s="37">
        <v>5920.0</v>
      </c>
      <c r="I603" s="37">
        <v>1352.0</v>
      </c>
      <c r="J603" s="37">
        <v>829.0</v>
      </c>
      <c r="K603" s="37">
        <v>523.0</v>
      </c>
      <c r="L603" s="37">
        <v>4568.0</v>
      </c>
      <c r="M603" s="37">
        <v>6879.0</v>
      </c>
      <c r="N603" s="37">
        <v>3285.0</v>
      </c>
      <c r="O603" s="37">
        <v>2925.0</v>
      </c>
      <c r="P603" s="37">
        <v>360.0</v>
      </c>
      <c r="Q603" s="37">
        <v>3594.0</v>
      </c>
      <c r="R603" s="38">
        <v>22.8378378</v>
      </c>
      <c r="S603" s="38">
        <v>14.0033784</v>
      </c>
      <c r="T603" s="38">
        <v>8.8344595</v>
      </c>
      <c r="U603" s="38">
        <v>77.1621622</v>
      </c>
      <c r="V603" s="38">
        <v>47.754034</v>
      </c>
      <c r="W603" s="38">
        <v>42.5207152</v>
      </c>
      <c r="X603" s="38">
        <v>5.2333188</v>
      </c>
      <c r="Y603" s="38">
        <v>52.245966</v>
      </c>
    </row>
    <row r="604" ht="15.0" hidden="1" customHeight="1">
      <c r="B604" s="30">
        <v>599.0</v>
      </c>
      <c r="C604" s="31" t="s">
        <v>21</v>
      </c>
      <c r="D604" s="31" t="s">
        <v>162</v>
      </c>
      <c r="E604" s="31" t="s">
        <v>204</v>
      </c>
      <c r="F604" s="31" t="s">
        <v>204</v>
      </c>
      <c r="G604" s="32" t="s">
        <v>15</v>
      </c>
      <c r="H604" s="33">
        <v>1008.0</v>
      </c>
      <c r="I604" s="33">
        <v>830.0</v>
      </c>
      <c r="J604" s="33">
        <v>481.0</v>
      </c>
      <c r="K604" s="33">
        <v>349.0</v>
      </c>
      <c r="L604" s="33">
        <v>178.0</v>
      </c>
      <c r="M604" s="33">
        <v>1965.0</v>
      </c>
      <c r="N604" s="33">
        <v>1620.0</v>
      </c>
      <c r="O604" s="33">
        <v>1375.0</v>
      </c>
      <c r="P604" s="33">
        <v>245.0</v>
      </c>
      <c r="Q604" s="33">
        <v>345.0</v>
      </c>
      <c r="R604" s="34">
        <v>82.3412698</v>
      </c>
      <c r="S604" s="34">
        <v>47.718254</v>
      </c>
      <c r="T604" s="34">
        <v>34.6230159</v>
      </c>
      <c r="U604" s="34">
        <v>17.6587302</v>
      </c>
      <c r="V604" s="34">
        <v>82.4427481</v>
      </c>
      <c r="W604" s="34">
        <v>69.9745547</v>
      </c>
      <c r="X604" s="34">
        <v>12.4681934</v>
      </c>
      <c r="Y604" s="34">
        <v>17.5572519</v>
      </c>
    </row>
    <row r="605" ht="15.0" hidden="1" customHeight="1">
      <c r="B605" s="30">
        <v>600.0</v>
      </c>
      <c r="C605" s="31" t="s">
        <v>21</v>
      </c>
      <c r="D605" s="31" t="s">
        <v>162</v>
      </c>
      <c r="E605" s="31" t="s">
        <v>204</v>
      </c>
      <c r="F605" s="31" t="s">
        <v>204</v>
      </c>
      <c r="G605" s="32" t="s">
        <v>16</v>
      </c>
      <c r="H605" s="33">
        <v>4912.0</v>
      </c>
      <c r="I605" s="33">
        <v>522.0</v>
      </c>
      <c r="J605" s="33">
        <v>348.0</v>
      </c>
      <c r="K605" s="33">
        <v>174.0</v>
      </c>
      <c r="L605" s="33">
        <v>4390.0</v>
      </c>
      <c r="M605" s="33">
        <v>4914.0</v>
      </c>
      <c r="N605" s="33">
        <v>1665.0</v>
      </c>
      <c r="O605" s="33">
        <v>1550.0</v>
      </c>
      <c r="P605" s="33">
        <v>115.0</v>
      </c>
      <c r="Q605" s="33">
        <v>3249.0</v>
      </c>
      <c r="R605" s="34">
        <v>10.6270358</v>
      </c>
      <c r="S605" s="34">
        <v>7.0846906</v>
      </c>
      <c r="T605" s="34">
        <v>3.5423453</v>
      </c>
      <c r="U605" s="34">
        <v>89.3729642</v>
      </c>
      <c r="V605" s="34">
        <v>33.8827839</v>
      </c>
      <c r="W605" s="34">
        <v>31.5425315</v>
      </c>
      <c r="X605" s="34">
        <v>2.3402523</v>
      </c>
      <c r="Y605" s="34">
        <v>66.1172161</v>
      </c>
    </row>
    <row r="606" ht="15.0" customHeight="1">
      <c r="B606" s="35">
        <v>601.0</v>
      </c>
      <c r="C606" s="36" t="s">
        <v>21</v>
      </c>
      <c r="D606" s="41" t="s">
        <v>162</v>
      </c>
      <c r="E606" s="41" t="s">
        <v>204</v>
      </c>
      <c r="F606" s="41" t="s">
        <v>205</v>
      </c>
      <c r="G606" s="42" t="s">
        <v>205</v>
      </c>
      <c r="H606" s="37">
        <v>1540.0</v>
      </c>
      <c r="I606" s="37">
        <v>322.0</v>
      </c>
      <c r="J606" s="37">
        <v>240.0</v>
      </c>
      <c r="K606" s="37">
        <v>82.0</v>
      </c>
      <c r="L606" s="37">
        <v>1218.0</v>
      </c>
      <c r="M606" s="37">
        <v>1867.0</v>
      </c>
      <c r="N606" s="37">
        <v>483.0</v>
      </c>
      <c r="O606" s="37">
        <v>456.0</v>
      </c>
      <c r="P606" s="37">
        <v>27.0</v>
      </c>
      <c r="Q606" s="37">
        <v>1384.0</v>
      </c>
      <c r="R606" s="38">
        <v>20.9090909</v>
      </c>
      <c r="S606" s="38">
        <v>15.5844156</v>
      </c>
      <c r="T606" s="38">
        <v>5.3246753</v>
      </c>
      <c r="U606" s="38">
        <v>79.0909091</v>
      </c>
      <c r="V606" s="38">
        <v>25.8703803</v>
      </c>
      <c r="W606" s="38">
        <v>24.42421</v>
      </c>
      <c r="X606" s="38">
        <v>1.4461703</v>
      </c>
      <c r="Y606" s="38">
        <v>74.1296197</v>
      </c>
    </row>
    <row r="607" ht="15.0" hidden="1" customHeight="1">
      <c r="B607" s="30">
        <v>602.0</v>
      </c>
      <c r="C607" s="31" t="s">
        <v>21</v>
      </c>
      <c r="D607" s="31" t="s">
        <v>162</v>
      </c>
      <c r="E607" s="31" t="s">
        <v>204</v>
      </c>
      <c r="F607" s="31" t="s">
        <v>205</v>
      </c>
      <c r="G607" s="32" t="s">
        <v>15</v>
      </c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4"/>
      <c r="S607" s="34"/>
      <c r="T607" s="34"/>
      <c r="U607" s="34"/>
      <c r="V607" s="34"/>
      <c r="W607" s="34"/>
      <c r="X607" s="34"/>
      <c r="Y607" s="34"/>
    </row>
    <row r="608" ht="15.0" hidden="1" customHeight="1">
      <c r="B608" s="30">
        <v>603.0</v>
      </c>
      <c r="C608" s="31" t="s">
        <v>21</v>
      </c>
      <c r="D608" s="31" t="s">
        <v>162</v>
      </c>
      <c r="E608" s="31" t="s">
        <v>204</v>
      </c>
      <c r="F608" s="31" t="s">
        <v>205</v>
      </c>
      <c r="G608" s="32" t="s">
        <v>16</v>
      </c>
      <c r="H608" s="33">
        <v>1540.0</v>
      </c>
      <c r="I608" s="33">
        <v>322.0</v>
      </c>
      <c r="J608" s="33">
        <v>240.0</v>
      </c>
      <c r="K608" s="33">
        <v>82.0</v>
      </c>
      <c r="L608" s="33">
        <v>1218.0</v>
      </c>
      <c r="M608" s="33">
        <v>1867.0</v>
      </c>
      <c r="N608" s="33">
        <v>483.0</v>
      </c>
      <c r="O608" s="33">
        <v>456.0</v>
      </c>
      <c r="P608" s="33">
        <v>27.0</v>
      </c>
      <c r="Q608" s="33">
        <v>1384.0</v>
      </c>
      <c r="R608" s="34">
        <v>20.9090909</v>
      </c>
      <c r="S608" s="34">
        <v>15.5844156</v>
      </c>
      <c r="T608" s="34">
        <v>5.3246753</v>
      </c>
      <c r="U608" s="34">
        <v>79.0909091</v>
      </c>
      <c r="V608" s="34">
        <v>25.8703803</v>
      </c>
      <c r="W608" s="34">
        <v>24.42421</v>
      </c>
      <c r="X608" s="34">
        <v>1.4461703</v>
      </c>
      <c r="Y608" s="34">
        <v>74.1296197</v>
      </c>
    </row>
    <row r="609" ht="15.0" customHeight="1">
      <c r="B609" s="35">
        <v>604.0</v>
      </c>
      <c r="C609" s="36" t="s">
        <v>21</v>
      </c>
      <c r="D609" s="41" t="s">
        <v>162</v>
      </c>
      <c r="E609" s="41" t="s">
        <v>204</v>
      </c>
      <c r="F609" s="41" t="s">
        <v>206</v>
      </c>
      <c r="G609" s="42" t="s">
        <v>206</v>
      </c>
      <c r="H609" s="37">
        <v>1122.0</v>
      </c>
      <c r="I609" s="37">
        <v>130.0</v>
      </c>
      <c r="J609" s="37">
        <v>84.0</v>
      </c>
      <c r="K609" s="37">
        <v>46.0</v>
      </c>
      <c r="L609" s="37">
        <v>992.0</v>
      </c>
      <c r="M609" s="37">
        <v>1278.0</v>
      </c>
      <c r="N609" s="37">
        <v>252.0</v>
      </c>
      <c r="O609" s="37">
        <v>244.0</v>
      </c>
      <c r="P609" s="37">
        <v>8.0</v>
      </c>
      <c r="Q609" s="37">
        <v>1026.0</v>
      </c>
      <c r="R609" s="38">
        <v>11.5864528</v>
      </c>
      <c r="S609" s="38">
        <v>7.486631</v>
      </c>
      <c r="T609" s="38">
        <v>4.0998217</v>
      </c>
      <c r="U609" s="38">
        <v>88.4135472</v>
      </c>
      <c r="V609" s="38">
        <v>19.7183099</v>
      </c>
      <c r="W609" s="38">
        <v>19.0923318</v>
      </c>
      <c r="X609" s="38">
        <v>0.6259781</v>
      </c>
      <c r="Y609" s="38">
        <v>80.2816901</v>
      </c>
    </row>
    <row r="610" ht="15.0" hidden="1" customHeight="1">
      <c r="B610" s="30">
        <v>605.0</v>
      </c>
      <c r="C610" s="31" t="s">
        <v>21</v>
      </c>
      <c r="D610" s="31" t="s">
        <v>162</v>
      </c>
      <c r="E610" s="31" t="s">
        <v>204</v>
      </c>
      <c r="F610" s="31" t="s">
        <v>206</v>
      </c>
      <c r="G610" s="32" t="s">
        <v>15</v>
      </c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4"/>
      <c r="S610" s="34"/>
      <c r="T610" s="34"/>
      <c r="U610" s="34"/>
      <c r="V610" s="34"/>
      <c r="W610" s="34"/>
      <c r="X610" s="34"/>
      <c r="Y610" s="34"/>
    </row>
    <row r="611" ht="15.0" hidden="1" customHeight="1">
      <c r="B611" s="30">
        <v>606.0</v>
      </c>
      <c r="C611" s="31" t="s">
        <v>21</v>
      </c>
      <c r="D611" s="31" t="s">
        <v>162</v>
      </c>
      <c r="E611" s="31" t="s">
        <v>204</v>
      </c>
      <c r="F611" s="31" t="s">
        <v>206</v>
      </c>
      <c r="G611" s="32" t="s">
        <v>16</v>
      </c>
      <c r="H611" s="33">
        <v>1122.0</v>
      </c>
      <c r="I611" s="33">
        <v>130.0</v>
      </c>
      <c r="J611" s="33">
        <v>84.0</v>
      </c>
      <c r="K611" s="33">
        <v>46.0</v>
      </c>
      <c r="L611" s="33">
        <v>992.0</v>
      </c>
      <c r="M611" s="33">
        <v>1278.0</v>
      </c>
      <c r="N611" s="33">
        <v>252.0</v>
      </c>
      <c r="O611" s="33">
        <v>244.0</v>
      </c>
      <c r="P611" s="33">
        <v>8.0</v>
      </c>
      <c r="Q611" s="33">
        <v>1026.0</v>
      </c>
      <c r="R611" s="34">
        <v>11.5864528</v>
      </c>
      <c r="S611" s="34">
        <v>7.486631</v>
      </c>
      <c r="T611" s="34">
        <v>4.0998217</v>
      </c>
      <c r="U611" s="34">
        <v>88.4135472</v>
      </c>
      <c r="V611" s="34">
        <v>19.7183099</v>
      </c>
      <c r="W611" s="34">
        <v>19.0923318</v>
      </c>
      <c r="X611" s="34">
        <v>0.6259781</v>
      </c>
      <c r="Y611" s="34">
        <v>80.2816901</v>
      </c>
    </row>
    <row r="612" ht="15.0" customHeight="1">
      <c r="B612" s="35">
        <v>607.0</v>
      </c>
      <c r="C612" s="36" t="s">
        <v>21</v>
      </c>
      <c r="D612" s="41" t="s">
        <v>162</v>
      </c>
      <c r="E612" s="41" t="s">
        <v>204</v>
      </c>
      <c r="F612" s="41" t="s">
        <v>207</v>
      </c>
      <c r="G612" s="42" t="s">
        <v>207</v>
      </c>
      <c r="H612" s="37">
        <v>1991.0</v>
      </c>
      <c r="I612" s="37">
        <v>103.0</v>
      </c>
      <c r="J612" s="37">
        <v>80.0</v>
      </c>
      <c r="K612" s="37">
        <v>23.0</v>
      </c>
      <c r="L612" s="37">
        <v>1888.0</v>
      </c>
      <c r="M612" s="37">
        <v>2644.0</v>
      </c>
      <c r="N612" s="37">
        <v>346.0</v>
      </c>
      <c r="O612" s="37">
        <v>322.0</v>
      </c>
      <c r="P612" s="37">
        <v>24.0</v>
      </c>
      <c r="Q612" s="37">
        <v>2298.0</v>
      </c>
      <c r="R612" s="38">
        <v>5.1732798</v>
      </c>
      <c r="S612" s="38">
        <v>4.0180814</v>
      </c>
      <c r="T612" s="38">
        <v>1.1551984</v>
      </c>
      <c r="U612" s="38">
        <v>94.8267202</v>
      </c>
      <c r="V612" s="38">
        <v>13.086233</v>
      </c>
      <c r="W612" s="38">
        <v>12.1785174</v>
      </c>
      <c r="X612" s="38">
        <v>0.9077156</v>
      </c>
      <c r="Y612" s="38">
        <v>86.913767</v>
      </c>
    </row>
    <row r="613" ht="15.0" hidden="1" customHeight="1">
      <c r="B613" s="30">
        <v>608.0</v>
      </c>
      <c r="C613" s="31" t="s">
        <v>21</v>
      </c>
      <c r="D613" s="31" t="s">
        <v>162</v>
      </c>
      <c r="E613" s="31" t="s">
        <v>204</v>
      </c>
      <c r="F613" s="31" t="s">
        <v>207</v>
      </c>
      <c r="G613" s="32" t="s">
        <v>15</v>
      </c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4"/>
      <c r="S613" s="34"/>
      <c r="T613" s="34"/>
      <c r="U613" s="34"/>
      <c r="V613" s="34"/>
      <c r="W613" s="34"/>
      <c r="X613" s="34"/>
      <c r="Y613" s="34"/>
    </row>
    <row r="614" ht="15.0" hidden="1" customHeight="1">
      <c r="B614" s="30">
        <v>609.0</v>
      </c>
      <c r="C614" s="31" t="s">
        <v>21</v>
      </c>
      <c r="D614" s="31" t="s">
        <v>162</v>
      </c>
      <c r="E614" s="31" t="s">
        <v>204</v>
      </c>
      <c r="F614" s="31" t="s">
        <v>207</v>
      </c>
      <c r="G614" s="32" t="s">
        <v>16</v>
      </c>
      <c r="H614" s="33">
        <v>1991.0</v>
      </c>
      <c r="I614" s="33">
        <v>103.0</v>
      </c>
      <c r="J614" s="33">
        <v>80.0</v>
      </c>
      <c r="K614" s="33">
        <v>23.0</v>
      </c>
      <c r="L614" s="33">
        <v>1888.0</v>
      </c>
      <c r="M614" s="33">
        <v>2644.0</v>
      </c>
      <c r="N614" s="33">
        <v>346.0</v>
      </c>
      <c r="O614" s="33">
        <v>322.0</v>
      </c>
      <c r="P614" s="33">
        <v>24.0</v>
      </c>
      <c r="Q614" s="33">
        <v>2298.0</v>
      </c>
      <c r="R614" s="34">
        <v>5.1732798</v>
      </c>
      <c r="S614" s="34">
        <v>4.0180814</v>
      </c>
      <c r="T614" s="34">
        <v>1.1551984</v>
      </c>
      <c r="U614" s="34">
        <v>94.8267202</v>
      </c>
      <c r="V614" s="34">
        <v>13.086233</v>
      </c>
      <c r="W614" s="34">
        <v>12.1785174</v>
      </c>
      <c r="X614" s="34">
        <v>0.9077156</v>
      </c>
      <c r="Y614" s="34">
        <v>86.913767</v>
      </c>
    </row>
    <row r="615" ht="15.0" hidden="1" customHeight="1">
      <c r="B615" s="26">
        <v>610.0</v>
      </c>
      <c r="C615" s="27" t="s">
        <v>19</v>
      </c>
      <c r="D615" s="40" t="s">
        <v>162</v>
      </c>
      <c r="E615" s="40" t="s">
        <v>208</v>
      </c>
      <c r="F615" s="40"/>
      <c r="G615" s="27" t="s">
        <v>208</v>
      </c>
      <c r="H615" s="28">
        <v>16810.0</v>
      </c>
      <c r="I615" s="28">
        <v>11061.0</v>
      </c>
      <c r="J615" s="28">
        <v>8101.0</v>
      </c>
      <c r="K615" s="28">
        <v>2960.0</v>
      </c>
      <c r="L615" s="28">
        <v>5749.0</v>
      </c>
      <c r="M615" s="28">
        <v>20449.0</v>
      </c>
      <c r="N615" s="28">
        <v>17258.0</v>
      </c>
      <c r="O615" s="28">
        <v>16110.0</v>
      </c>
      <c r="P615" s="28">
        <v>1148.0</v>
      </c>
      <c r="Q615" s="28">
        <v>3191.0</v>
      </c>
      <c r="R615" s="29">
        <v>65.800119</v>
      </c>
      <c r="S615" s="29">
        <v>48.1915526</v>
      </c>
      <c r="T615" s="29">
        <v>17.6085663</v>
      </c>
      <c r="U615" s="29">
        <v>34.199881</v>
      </c>
      <c r="V615" s="29">
        <v>84.395325</v>
      </c>
      <c r="W615" s="29">
        <v>78.7813585</v>
      </c>
      <c r="X615" s="29">
        <v>5.6139665</v>
      </c>
      <c r="Y615" s="29">
        <v>15.604675</v>
      </c>
    </row>
    <row r="616" ht="15.0" hidden="1" customHeight="1">
      <c r="B616" s="30">
        <v>611.0</v>
      </c>
      <c r="C616" s="31" t="s">
        <v>19</v>
      </c>
      <c r="D616" s="31" t="s">
        <v>162</v>
      </c>
      <c r="E616" s="31" t="s">
        <v>208</v>
      </c>
      <c r="F616" s="31"/>
      <c r="G616" s="32" t="s">
        <v>15</v>
      </c>
      <c r="H616" s="33">
        <v>8094.0</v>
      </c>
      <c r="I616" s="33">
        <v>6744.0</v>
      </c>
      <c r="J616" s="33">
        <v>4882.0</v>
      </c>
      <c r="K616" s="33">
        <v>1862.0</v>
      </c>
      <c r="L616" s="33">
        <v>1350.0</v>
      </c>
      <c r="M616" s="33">
        <v>12028.0</v>
      </c>
      <c r="N616" s="33">
        <v>10943.0</v>
      </c>
      <c r="O616" s="33">
        <v>10083.0</v>
      </c>
      <c r="P616" s="33">
        <v>860.0</v>
      </c>
      <c r="Q616" s="33">
        <v>1085.0</v>
      </c>
      <c r="R616" s="34">
        <v>83.3209785</v>
      </c>
      <c r="S616" s="34">
        <v>60.3162837</v>
      </c>
      <c r="T616" s="34">
        <v>23.0046948</v>
      </c>
      <c r="U616" s="34">
        <v>16.6790215</v>
      </c>
      <c r="V616" s="34">
        <v>90.9793814</v>
      </c>
      <c r="W616" s="34">
        <v>83.8293981</v>
      </c>
      <c r="X616" s="34">
        <v>7.1499834</v>
      </c>
      <c r="Y616" s="34">
        <v>9.0206186</v>
      </c>
    </row>
    <row r="617" ht="15.0" hidden="1" customHeight="1">
      <c r="B617" s="30">
        <v>612.0</v>
      </c>
      <c r="C617" s="31" t="s">
        <v>19</v>
      </c>
      <c r="D617" s="31" t="s">
        <v>162</v>
      </c>
      <c r="E617" s="31" t="s">
        <v>208</v>
      </c>
      <c r="F617" s="31"/>
      <c r="G617" s="32" t="s">
        <v>16</v>
      </c>
      <c r="H617" s="33">
        <v>8716.0</v>
      </c>
      <c r="I617" s="33">
        <v>4317.0</v>
      </c>
      <c r="J617" s="33">
        <v>3219.0</v>
      </c>
      <c r="K617" s="33">
        <v>1098.0</v>
      </c>
      <c r="L617" s="33">
        <v>4399.0</v>
      </c>
      <c r="M617" s="33">
        <v>8421.0</v>
      </c>
      <c r="N617" s="33">
        <v>6315.0</v>
      </c>
      <c r="O617" s="33">
        <v>6027.0</v>
      </c>
      <c r="P617" s="33">
        <v>288.0</v>
      </c>
      <c r="Q617" s="33">
        <v>2106.0</v>
      </c>
      <c r="R617" s="34">
        <v>49.5296007</v>
      </c>
      <c r="S617" s="34">
        <v>36.9320789</v>
      </c>
      <c r="T617" s="34">
        <v>12.5975218</v>
      </c>
      <c r="U617" s="34">
        <v>50.4703993</v>
      </c>
      <c r="V617" s="34">
        <v>74.9910937</v>
      </c>
      <c r="W617" s="34">
        <v>71.5710723</v>
      </c>
      <c r="X617" s="34">
        <v>3.4200214</v>
      </c>
      <c r="Y617" s="34">
        <v>25.0089063</v>
      </c>
    </row>
    <row r="618" ht="15.0" customHeight="1">
      <c r="B618" s="35">
        <v>613.0</v>
      </c>
      <c r="C618" s="36" t="s">
        <v>21</v>
      </c>
      <c r="D618" s="41" t="s">
        <v>162</v>
      </c>
      <c r="E618" s="41" t="s">
        <v>208</v>
      </c>
      <c r="F618" s="41" t="s">
        <v>208</v>
      </c>
      <c r="G618" s="42" t="s">
        <v>208</v>
      </c>
      <c r="H618" s="37">
        <v>8784.0</v>
      </c>
      <c r="I618" s="37">
        <v>6801.0</v>
      </c>
      <c r="J618" s="37">
        <v>4907.0</v>
      </c>
      <c r="K618" s="37">
        <v>1894.0</v>
      </c>
      <c r="L618" s="37">
        <v>1983.0</v>
      </c>
      <c r="M618" s="37">
        <v>11318.0</v>
      </c>
      <c r="N618" s="37">
        <v>10338.0</v>
      </c>
      <c r="O618" s="37">
        <v>9555.0</v>
      </c>
      <c r="P618" s="37">
        <v>783.0</v>
      </c>
      <c r="Q618" s="37">
        <v>980.0</v>
      </c>
      <c r="R618" s="38">
        <v>77.4248634</v>
      </c>
      <c r="S618" s="38">
        <v>55.8629326</v>
      </c>
      <c r="T618" s="38">
        <v>21.5619308</v>
      </c>
      <c r="U618" s="38">
        <v>22.5751366</v>
      </c>
      <c r="V618" s="38">
        <v>91.3412264</v>
      </c>
      <c r="W618" s="38">
        <v>84.4230429</v>
      </c>
      <c r="X618" s="38">
        <v>6.9181834</v>
      </c>
      <c r="Y618" s="38">
        <v>8.6587736</v>
      </c>
    </row>
    <row r="619" ht="15.0" hidden="1" customHeight="1">
      <c r="B619" s="30">
        <v>614.0</v>
      </c>
      <c r="C619" s="31" t="s">
        <v>21</v>
      </c>
      <c r="D619" s="31" t="s">
        <v>162</v>
      </c>
      <c r="E619" s="31" t="s">
        <v>208</v>
      </c>
      <c r="F619" s="31" t="s">
        <v>208</v>
      </c>
      <c r="G619" s="32" t="s">
        <v>15</v>
      </c>
      <c r="H619" s="33">
        <v>5692.0</v>
      </c>
      <c r="I619" s="33">
        <v>4903.0</v>
      </c>
      <c r="J619" s="33">
        <v>3515.0</v>
      </c>
      <c r="K619" s="33">
        <v>1388.0</v>
      </c>
      <c r="L619" s="33">
        <v>789.0</v>
      </c>
      <c r="M619" s="33">
        <v>8316.0</v>
      </c>
      <c r="N619" s="33">
        <v>7901.0</v>
      </c>
      <c r="O619" s="33">
        <v>7213.0</v>
      </c>
      <c r="P619" s="33">
        <v>688.0</v>
      </c>
      <c r="Q619" s="33">
        <v>415.0</v>
      </c>
      <c r="R619" s="34">
        <v>86.1384399</v>
      </c>
      <c r="S619" s="34">
        <v>61.753338</v>
      </c>
      <c r="T619" s="34">
        <v>24.3851019</v>
      </c>
      <c r="U619" s="34">
        <v>13.8615601</v>
      </c>
      <c r="V619" s="34">
        <v>95.00962</v>
      </c>
      <c r="W619" s="34">
        <v>86.7364117</v>
      </c>
      <c r="X619" s="34">
        <v>8.2732083</v>
      </c>
      <c r="Y619" s="34">
        <v>4.99038</v>
      </c>
    </row>
    <row r="620" ht="15.0" hidden="1" customHeight="1">
      <c r="B620" s="30">
        <v>615.0</v>
      </c>
      <c r="C620" s="31" t="s">
        <v>21</v>
      </c>
      <c r="D620" s="31" t="s">
        <v>162</v>
      </c>
      <c r="E620" s="31" t="s">
        <v>208</v>
      </c>
      <c r="F620" s="31" t="s">
        <v>208</v>
      </c>
      <c r="G620" s="32" t="s">
        <v>16</v>
      </c>
      <c r="H620" s="33">
        <v>3092.0</v>
      </c>
      <c r="I620" s="33">
        <v>1898.0</v>
      </c>
      <c r="J620" s="33">
        <v>1392.0</v>
      </c>
      <c r="K620" s="33">
        <v>506.0</v>
      </c>
      <c r="L620" s="33">
        <v>1194.0</v>
      </c>
      <c r="M620" s="33">
        <v>3002.0</v>
      </c>
      <c r="N620" s="33">
        <v>2437.0</v>
      </c>
      <c r="O620" s="33">
        <v>2342.0</v>
      </c>
      <c r="P620" s="33">
        <v>95.0</v>
      </c>
      <c r="Q620" s="33">
        <v>565.0</v>
      </c>
      <c r="R620" s="34">
        <v>61.3842173</v>
      </c>
      <c r="S620" s="34">
        <v>45.0194049</v>
      </c>
      <c r="T620" s="34">
        <v>16.3648124</v>
      </c>
      <c r="U620" s="34">
        <v>38.6157827</v>
      </c>
      <c r="V620" s="34">
        <v>81.1792139</v>
      </c>
      <c r="W620" s="34">
        <v>78.0146569</v>
      </c>
      <c r="X620" s="34">
        <v>3.164557</v>
      </c>
      <c r="Y620" s="34">
        <v>18.8207861</v>
      </c>
    </row>
    <row r="621" ht="15.0" customHeight="1">
      <c r="B621" s="35">
        <v>616.0</v>
      </c>
      <c r="C621" s="36" t="s">
        <v>21</v>
      </c>
      <c r="D621" s="41" t="s">
        <v>162</v>
      </c>
      <c r="E621" s="41" t="s">
        <v>208</v>
      </c>
      <c r="F621" s="41" t="s">
        <v>209</v>
      </c>
      <c r="G621" s="42" t="s">
        <v>209</v>
      </c>
      <c r="H621" s="37">
        <v>3042.0</v>
      </c>
      <c r="I621" s="37">
        <v>1144.0</v>
      </c>
      <c r="J621" s="37">
        <v>815.0</v>
      </c>
      <c r="K621" s="37">
        <v>329.0</v>
      </c>
      <c r="L621" s="37">
        <v>1898.0</v>
      </c>
      <c r="M621" s="37">
        <v>3262.0</v>
      </c>
      <c r="N621" s="37">
        <v>2273.0</v>
      </c>
      <c r="O621" s="37">
        <v>2166.0</v>
      </c>
      <c r="P621" s="37">
        <v>107.0</v>
      </c>
      <c r="Q621" s="37">
        <v>989.0</v>
      </c>
      <c r="R621" s="38">
        <v>37.6068376</v>
      </c>
      <c r="S621" s="38">
        <v>26.7915845</v>
      </c>
      <c r="T621" s="38">
        <v>10.8152531</v>
      </c>
      <c r="U621" s="38">
        <v>62.3931624</v>
      </c>
      <c r="V621" s="38">
        <v>69.6811772</v>
      </c>
      <c r="W621" s="38">
        <v>66.400981</v>
      </c>
      <c r="X621" s="38">
        <v>3.2801962</v>
      </c>
      <c r="Y621" s="38">
        <v>30.3188228</v>
      </c>
    </row>
    <row r="622" ht="15.0" hidden="1" customHeight="1">
      <c r="B622" s="30">
        <v>617.0</v>
      </c>
      <c r="C622" s="31" t="s">
        <v>21</v>
      </c>
      <c r="D622" s="31" t="s">
        <v>162</v>
      </c>
      <c r="E622" s="31" t="s">
        <v>208</v>
      </c>
      <c r="F622" s="31" t="s">
        <v>209</v>
      </c>
      <c r="G622" s="32" t="s">
        <v>15</v>
      </c>
      <c r="H622" s="33"/>
      <c r="I622" s="33"/>
      <c r="J622" s="33"/>
      <c r="K622" s="33"/>
      <c r="L622" s="33"/>
      <c r="M622" s="33">
        <v>1138.0</v>
      </c>
      <c r="N622" s="33">
        <v>694.0</v>
      </c>
      <c r="O622" s="33">
        <v>661.0</v>
      </c>
      <c r="P622" s="33">
        <v>33.0</v>
      </c>
      <c r="Q622" s="33">
        <v>444.0</v>
      </c>
      <c r="R622" s="34"/>
      <c r="S622" s="34"/>
      <c r="T622" s="34"/>
      <c r="U622" s="34"/>
      <c r="V622" s="34">
        <v>60.9841828</v>
      </c>
      <c r="W622" s="34">
        <v>58.0843585</v>
      </c>
      <c r="X622" s="34">
        <v>2.8998243</v>
      </c>
      <c r="Y622" s="34">
        <v>39.0158172</v>
      </c>
    </row>
    <row r="623" ht="15.0" hidden="1" customHeight="1">
      <c r="B623" s="30">
        <v>618.0</v>
      </c>
      <c r="C623" s="31" t="s">
        <v>21</v>
      </c>
      <c r="D623" s="31" t="s">
        <v>162</v>
      </c>
      <c r="E623" s="31" t="s">
        <v>208</v>
      </c>
      <c r="F623" s="31" t="s">
        <v>209</v>
      </c>
      <c r="G623" s="32" t="s">
        <v>16</v>
      </c>
      <c r="H623" s="33">
        <v>3042.0</v>
      </c>
      <c r="I623" s="33">
        <v>1144.0</v>
      </c>
      <c r="J623" s="33">
        <v>815.0</v>
      </c>
      <c r="K623" s="33">
        <v>329.0</v>
      </c>
      <c r="L623" s="33">
        <v>1898.0</v>
      </c>
      <c r="M623" s="33">
        <v>2124.0</v>
      </c>
      <c r="N623" s="33">
        <v>1579.0</v>
      </c>
      <c r="O623" s="33">
        <v>1505.0</v>
      </c>
      <c r="P623" s="33">
        <v>74.0</v>
      </c>
      <c r="Q623" s="33">
        <v>545.0</v>
      </c>
      <c r="R623" s="34">
        <v>37.6068376</v>
      </c>
      <c r="S623" s="34">
        <v>26.7915845</v>
      </c>
      <c r="T623" s="34">
        <v>10.8152531</v>
      </c>
      <c r="U623" s="34">
        <v>62.3931624</v>
      </c>
      <c r="V623" s="34">
        <v>74.3408663</v>
      </c>
      <c r="W623" s="34">
        <v>70.8568738</v>
      </c>
      <c r="X623" s="34">
        <v>3.4839925</v>
      </c>
      <c r="Y623" s="34">
        <v>25.6591337</v>
      </c>
    </row>
    <row r="624" ht="15.0" customHeight="1">
      <c r="B624" s="35">
        <v>619.0</v>
      </c>
      <c r="C624" s="36" t="s">
        <v>21</v>
      </c>
      <c r="D624" s="41" t="s">
        <v>162</v>
      </c>
      <c r="E624" s="41" t="s">
        <v>208</v>
      </c>
      <c r="F624" s="41" t="s">
        <v>210</v>
      </c>
      <c r="G624" s="42" t="s">
        <v>210</v>
      </c>
      <c r="H624" s="37">
        <v>3924.0</v>
      </c>
      <c r="I624" s="37">
        <v>2791.0</v>
      </c>
      <c r="J624" s="37">
        <v>2151.0</v>
      </c>
      <c r="K624" s="37">
        <v>640.0</v>
      </c>
      <c r="L624" s="37">
        <v>1133.0</v>
      </c>
      <c r="M624" s="37">
        <v>4327.0</v>
      </c>
      <c r="N624" s="37">
        <v>3746.0</v>
      </c>
      <c r="O624" s="37">
        <v>3561.0</v>
      </c>
      <c r="P624" s="37">
        <v>185.0</v>
      </c>
      <c r="Q624" s="37">
        <v>581.0</v>
      </c>
      <c r="R624" s="38">
        <v>71.1264016</v>
      </c>
      <c r="S624" s="38">
        <v>54.8165138</v>
      </c>
      <c r="T624" s="38">
        <v>16.3098879</v>
      </c>
      <c r="U624" s="38">
        <v>28.8735984</v>
      </c>
      <c r="V624" s="38">
        <v>86.5726832</v>
      </c>
      <c r="W624" s="38">
        <v>82.2972036</v>
      </c>
      <c r="X624" s="38">
        <v>4.2754795</v>
      </c>
      <c r="Y624" s="38">
        <v>13.4273168</v>
      </c>
    </row>
    <row r="625" ht="15.0" hidden="1" customHeight="1">
      <c r="B625" s="30">
        <v>620.0</v>
      </c>
      <c r="C625" s="31" t="s">
        <v>21</v>
      </c>
      <c r="D625" s="31" t="s">
        <v>162</v>
      </c>
      <c r="E625" s="31" t="s">
        <v>208</v>
      </c>
      <c r="F625" s="31" t="s">
        <v>210</v>
      </c>
      <c r="G625" s="32" t="s">
        <v>15</v>
      </c>
      <c r="H625" s="33">
        <v>2402.0</v>
      </c>
      <c r="I625" s="33">
        <v>1841.0</v>
      </c>
      <c r="J625" s="33">
        <v>1367.0</v>
      </c>
      <c r="K625" s="33">
        <v>474.0</v>
      </c>
      <c r="L625" s="33">
        <v>561.0</v>
      </c>
      <c r="M625" s="33">
        <v>2574.0</v>
      </c>
      <c r="N625" s="33">
        <v>2348.0</v>
      </c>
      <c r="O625" s="33">
        <v>2209.0</v>
      </c>
      <c r="P625" s="33">
        <v>139.0</v>
      </c>
      <c r="Q625" s="33">
        <v>226.0</v>
      </c>
      <c r="R625" s="34">
        <v>76.6444629</v>
      </c>
      <c r="S625" s="34">
        <v>56.9109076</v>
      </c>
      <c r="T625" s="34">
        <v>19.7335554</v>
      </c>
      <c r="U625" s="34">
        <v>23.3555371</v>
      </c>
      <c r="V625" s="34">
        <v>91.2198912</v>
      </c>
      <c r="W625" s="34">
        <v>85.8197358</v>
      </c>
      <c r="X625" s="34">
        <v>5.4001554</v>
      </c>
      <c r="Y625" s="34">
        <v>8.7801088</v>
      </c>
    </row>
    <row r="626" ht="15.0" hidden="1" customHeight="1">
      <c r="B626" s="30">
        <v>621.0</v>
      </c>
      <c r="C626" s="31" t="s">
        <v>21</v>
      </c>
      <c r="D626" s="31" t="s">
        <v>162</v>
      </c>
      <c r="E626" s="31" t="s">
        <v>208</v>
      </c>
      <c r="F626" s="31" t="s">
        <v>210</v>
      </c>
      <c r="G626" s="32" t="s">
        <v>16</v>
      </c>
      <c r="H626" s="33">
        <v>1522.0</v>
      </c>
      <c r="I626" s="33">
        <v>950.0</v>
      </c>
      <c r="J626" s="33">
        <v>784.0</v>
      </c>
      <c r="K626" s="33">
        <v>166.0</v>
      </c>
      <c r="L626" s="33">
        <v>572.0</v>
      </c>
      <c r="M626" s="33">
        <v>1753.0</v>
      </c>
      <c r="N626" s="33">
        <v>1398.0</v>
      </c>
      <c r="O626" s="33">
        <v>1352.0</v>
      </c>
      <c r="P626" s="33">
        <v>46.0</v>
      </c>
      <c r="Q626" s="33">
        <v>355.0</v>
      </c>
      <c r="R626" s="34">
        <v>62.4178712</v>
      </c>
      <c r="S626" s="34">
        <v>51.5111695</v>
      </c>
      <c r="T626" s="34">
        <v>10.9067017</v>
      </c>
      <c r="U626" s="34">
        <v>37.5821288</v>
      </c>
      <c r="V626" s="34">
        <v>79.7490017</v>
      </c>
      <c r="W626" s="34">
        <v>77.1249287</v>
      </c>
      <c r="X626" s="34">
        <v>2.624073</v>
      </c>
      <c r="Y626" s="34">
        <v>20.2509983</v>
      </c>
    </row>
    <row r="627" ht="15.0" customHeight="1">
      <c r="B627" s="35">
        <v>622.0</v>
      </c>
      <c r="C627" s="36" t="s">
        <v>21</v>
      </c>
      <c r="D627" s="41" t="s">
        <v>162</v>
      </c>
      <c r="E627" s="41" t="s">
        <v>208</v>
      </c>
      <c r="F627" s="41" t="s">
        <v>211</v>
      </c>
      <c r="G627" s="42" t="s">
        <v>211</v>
      </c>
      <c r="H627" s="37">
        <v>359.0</v>
      </c>
      <c r="I627" s="37">
        <v>85.0</v>
      </c>
      <c r="J627" s="37">
        <v>67.0</v>
      </c>
      <c r="K627" s="37">
        <v>18.0</v>
      </c>
      <c r="L627" s="37">
        <v>274.0</v>
      </c>
      <c r="M627" s="37">
        <v>485.0</v>
      </c>
      <c r="N627" s="37">
        <v>303.0</v>
      </c>
      <c r="O627" s="37">
        <v>274.0</v>
      </c>
      <c r="P627" s="37">
        <v>29.0</v>
      </c>
      <c r="Q627" s="37">
        <v>182.0</v>
      </c>
      <c r="R627" s="38">
        <v>23.6768802</v>
      </c>
      <c r="S627" s="38">
        <v>18.6629526</v>
      </c>
      <c r="T627" s="38">
        <v>5.0139276</v>
      </c>
      <c r="U627" s="38">
        <v>76.3231198</v>
      </c>
      <c r="V627" s="38">
        <v>62.4742268</v>
      </c>
      <c r="W627" s="38">
        <v>56.4948454</v>
      </c>
      <c r="X627" s="38">
        <v>5.9793814</v>
      </c>
      <c r="Y627" s="38">
        <v>37.5257732</v>
      </c>
    </row>
    <row r="628" ht="15.0" hidden="1" customHeight="1">
      <c r="B628" s="30">
        <v>623.0</v>
      </c>
      <c r="C628" s="31" t="s">
        <v>21</v>
      </c>
      <c r="D628" s="31" t="s">
        <v>162</v>
      </c>
      <c r="E628" s="31" t="s">
        <v>208</v>
      </c>
      <c r="F628" s="31" t="s">
        <v>211</v>
      </c>
      <c r="G628" s="32" t="s">
        <v>15</v>
      </c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4"/>
      <c r="S628" s="34"/>
      <c r="T628" s="34"/>
      <c r="U628" s="34"/>
      <c r="V628" s="34"/>
      <c r="W628" s="34"/>
      <c r="X628" s="34"/>
      <c r="Y628" s="34"/>
    </row>
    <row r="629" ht="15.0" hidden="1" customHeight="1">
      <c r="B629" s="30">
        <v>624.0</v>
      </c>
      <c r="C629" s="31" t="s">
        <v>21</v>
      </c>
      <c r="D629" s="31" t="s">
        <v>162</v>
      </c>
      <c r="E629" s="31" t="s">
        <v>208</v>
      </c>
      <c r="F629" s="31" t="s">
        <v>211</v>
      </c>
      <c r="G629" s="32" t="s">
        <v>16</v>
      </c>
      <c r="H629" s="33">
        <v>359.0</v>
      </c>
      <c r="I629" s="33">
        <v>85.0</v>
      </c>
      <c r="J629" s="33">
        <v>67.0</v>
      </c>
      <c r="K629" s="33">
        <v>18.0</v>
      </c>
      <c r="L629" s="33">
        <v>274.0</v>
      </c>
      <c r="M629" s="33">
        <v>485.0</v>
      </c>
      <c r="N629" s="33">
        <v>303.0</v>
      </c>
      <c r="O629" s="33">
        <v>274.0</v>
      </c>
      <c r="P629" s="33">
        <v>29.0</v>
      </c>
      <c r="Q629" s="33">
        <v>182.0</v>
      </c>
      <c r="R629" s="34">
        <v>23.6768802</v>
      </c>
      <c r="S629" s="34">
        <v>18.6629526</v>
      </c>
      <c r="T629" s="34">
        <v>5.0139276</v>
      </c>
      <c r="U629" s="34">
        <v>76.3231198</v>
      </c>
      <c r="V629" s="34">
        <v>62.4742268</v>
      </c>
      <c r="W629" s="34">
        <v>56.4948454</v>
      </c>
      <c r="X629" s="34">
        <v>5.9793814</v>
      </c>
      <c r="Y629" s="34">
        <v>37.5257732</v>
      </c>
    </row>
    <row r="630" ht="15.0" customHeight="1">
      <c r="B630" s="35">
        <v>625.0</v>
      </c>
      <c r="C630" s="36" t="s">
        <v>21</v>
      </c>
      <c r="D630" s="41" t="s">
        <v>162</v>
      </c>
      <c r="E630" s="41" t="s">
        <v>208</v>
      </c>
      <c r="F630" s="41" t="s">
        <v>212</v>
      </c>
      <c r="G630" s="42" t="s">
        <v>212</v>
      </c>
      <c r="H630" s="37">
        <v>701.0</v>
      </c>
      <c r="I630" s="37">
        <v>240.0</v>
      </c>
      <c r="J630" s="37">
        <v>161.0</v>
      </c>
      <c r="K630" s="37">
        <v>79.0</v>
      </c>
      <c r="L630" s="37">
        <v>461.0</v>
      </c>
      <c r="M630" s="37">
        <v>1057.0</v>
      </c>
      <c r="N630" s="37">
        <v>598.0</v>
      </c>
      <c r="O630" s="37">
        <v>554.0</v>
      </c>
      <c r="P630" s="37">
        <v>44.0</v>
      </c>
      <c r="Q630" s="37">
        <v>459.0</v>
      </c>
      <c r="R630" s="38">
        <v>34.2368046</v>
      </c>
      <c r="S630" s="38">
        <v>22.9671897</v>
      </c>
      <c r="T630" s="38">
        <v>11.2696148</v>
      </c>
      <c r="U630" s="38">
        <v>65.7631954</v>
      </c>
      <c r="V630" s="38">
        <v>56.5752129</v>
      </c>
      <c r="W630" s="38">
        <v>52.4124882</v>
      </c>
      <c r="X630" s="38">
        <v>4.1627247</v>
      </c>
      <c r="Y630" s="38">
        <v>43.4247871</v>
      </c>
    </row>
    <row r="631" ht="15.0" hidden="1" customHeight="1">
      <c r="B631" s="30">
        <v>626.0</v>
      </c>
      <c r="C631" s="31" t="s">
        <v>21</v>
      </c>
      <c r="D631" s="31" t="s">
        <v>162</v>
      </c>
      <c r="E631" s="31" t="s">
        <v>208</v>
      </c>
      <c r="F631" s="31" t="s">
        <v>212</v>
      </c>
      <c r="G631" s="32" t="s">
        <v>15</v>
      </c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4"/>
      <c r="S631" s="34"/>
      <c r="T631" s="34"/>
      <c r="U631" s="34"/>
      <c r="V631" s="34"/>
      <c r="W631" s="34"/>
      <c r="X631" s="34"/>
      <c r="Y631" s="34"/>
    </row>
    <row r="632" ht="15.0" hidden="1" customHeight="1">
      <c r="B632" s="30">
        <v>627.0</v>
      </c>
      <c r="C632" s="31" t="s">
        <v>21</v>
      </c>
      <c r="D632" s="31" t="s">
        <v>162</v>
      </c>
      <c r="E632" s="31" t="s">
        <v>208</v>
      </c>
      <c r="F632" s="31" t="s">
        <v>212</v>
      </c>
      <c r="G632" s="32" t="s">
        <v>16</v>
      </c>
      <c r="H632" s="33">
        <v>701.0</v>
      </c>
      <c r="I632" s="33">
        <v>240.0</v>
      </c>
      <c r="J632" s="33">
        <v>161.0</v>
      </c>
      <c r="K632" s="33">
        <v>79.0</v>
      </c>
      <c r="L632" s="33">
        <v>461.0</v>
      </c>
      <c r="M632" s="33">
        <v>1057.0</v>
      </c>
      <c r="N632" s="33">
        <v>598.0</v>
      </c>
      <c r="O632" s="33">
        <v>554.0</v>
      </c>
      <c r="P632" s="33">
        <v>44.0</v>
      </c>
      <c r="Q632" s="33">
        <v>459.0</v>
      </c>
      <c r="R632" s="34">
        <v>34.2368046</v>
      </c>
      <c r="S632" s="34">
        <v>22.9671897</v>
      </c>
      <c r="T632" s="34">
        <v>11.2696148</v>
      </c>
      <c r="U632" s="34">
        <v>65.7631954</v>
      </c>
      <c r="V632" s="34">
        <v>56.5752129</v>
      </c>
      <c r="W632" s="34">
        <v>52.4124882</v>
      </c>
      <c r="X632" s="34">
        <v>4.1627247</v>
      </c>
      <c r="Y632" s="34">
        <v>43.4247871</v>
      </c>
    </row>
    <row r="633" ht="15.0" hidden="1" customHeight="1">
      <c r="B633" s="26">
        <v>628.0</v>
      </c>
      <c r="C633" s="27" t="s">
        <v>19</v>
      </c>
      <c r="D633" s="40" t="s">
        <v>162</v>
      </c>
      <c r="E633" s="40" t="s">
        <v>213</v>
      </c>
      <c r="F633" s="40"/>
      <c r="G633" s="27" t="s">
        <v>213</v>
      </c>
      <c r="H633" s="28">
        <v>2366.0</v>
      </c>
      <c r="I633" s="28">
        <v>140.0</v>
      </c>
      <c r="J633" s="28">
        <v>94.0</v>
      </c>
      <c r="K633" s="28">
        <v>46.0</v>
      </c>
      <c r="L633" s="28">
        <v>2226.0</v>
      </c>
      <c r="M633" s="28">
        <v>3211.0</v>
      </c>
      <c r="N633" s="28">
        <v>466.0</v>
      </c>
      <c r="O633" s="28">
        <v>422.0</v>
      </c>
      <c r="P633" s="28">
        <v>44.0</v>
      </c>
      <c r="Q633" s="28">
        <v>2745.0</v>
      </c>
      <c r="R633" s="29">
        <v>5.9171598</v>
      </c>
      <c r="S633" s="29">
        <v>3.9729501</v>
      </c>
      <c r="T633" s="29">
        <v>1.9442096</v>
      </c>
      <c r="U633" s="29">
        <v>94.0828402</v>
      </c>
      <c r="V633" s="29">
        <v>14.5126129</v>
      </c>
      <c r="W633" s="29">
        <v>13.1423233</v>
      </c>
      <c r="X633" s="29">
        <v>1.3702896</v>
      </c>
      <c r="Y633" s="29">
        <v>85.4873871</v>
      </c>
    </row>
    <row r="634" ht="15.0" hidden="1" customHeight="1">
      <c r="B634" s="30">
        <v>629.0</v>
      </c>
      <c r="C634" s="31" t="s">
        <v>19</v>
      </c>
      <c r="D634" s="31" t="s">
        <v>162</v>
      </c>
      <c r="E634" s="31" t="s">
        <v>213</v>
      </c>
      <c r="F634" s="31"/>
      <c r="G634" s="32" t="s">
        <v>15</v>
      </c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4"/>
      <c r="S634" s="34"/>
      <c r="T634" s="34"/>
      <c r="U634" s="34"/>
      <c r="V634" s="34"/>
      <c r="W634" s="34"/>
      <c r="X634" s="34"/>
      <c r="Y634" s="34"/>
    </row>
    <row r="635" ht="15.0" hidden="1" customHeight="1">
      <c r="B635" s="30">
        <v>630.0</v>
      </c>
      <c r="C635" s="31" t="s">
        <v>19</v>
      </c>
      <c r="D635" s="31" t="s">
        <v>162</v>
      </c>
      <c r="E635" s="31" t="s">
        <v>213</v>
      </c>
      <c r="F635" s="31"/>
      <c r="G635" s="32" t="s">
        <v>16</v>
      </c>
      <c r="H635" s="33">
        <v>2366.0</v>
      </c>
      <c r="I635" s="33">
        <v>140.0</v>
      </c>
      <c r="J635" s="33">
        <v>94.0</v>
      </c>
      <c r="K635" s="33">
        <v>46.0</v>
      </c>
      <c r="L635" s="33">
        <v>2226.0</v>
      </c>
      <c r="M635" s="33">
        <v>3211.0</v>
      </c>
      <c r="N635" s="33">
        <v>466.0</v>
      </c>
      <c r="O635" s="33">
        <v>422.0</v>
      </c>
      <c r="P635" s="33">
        <v>44.0</v>
      </c>
      <c r="Q635" s="33">
        <v>2745.0</v>
      </c>
      <c r="R635" s="34">
        <v>5.9171598</v>
      </c>
      <c r="S635" s="34">
        <v>3.9729501</v>
      </c>
      <c r="T635" s="34">
        <v>1.9442096</v>
      </c>
      <c r="U635" s="34">
        <v>94.0828402</v>
      </c>
      <c r="V635" s="34">
        <v>14.5126129</v>
      </c>
      <c r="W635" s="34">
        <v>13.1423233</v>
      </c>
      <c r="X635" s="34">
        <v>1.3702896</v>
      </c>
      <c r="Y635" s="34">
        <v>85.4873871</v>
      </c>
    </row>
    <row r="636" ht="15.0" customHeight="1">
      <c r="B636" s="35">
        <v>631.0</v>
      </c>
      <c r="C636" s="36" t="s">
        <v>21</v>
      </c>
      <c r="D636" s="41" t="s">
        <v>162</v>
      </c>
      <c r="E636" s="41" t="s">
        <v>213</v>
      </c>
      <c r="F636" s="41" t="s">
        <v>213</v>
      </c>
      <c r="G636" s="42" t="s">
        <v>213</v>
      </c>
      <c r="H636" s="37">
        <v>2366.0</v>
      </c>
      <c r="I636" s="37">
        <v>140.0</v>
      </c>
      <c r="J636" s="37">
        <v>94.0</v>
      </c>
      <c r="K636" s="37">
        <v>46.0</v>
      </c>
      <c r="L636" s="37">
        <v>2226.0</v>
      </c>
      <c r="M636" s="37">
        <v>3211.0</v>
      </c>
      <c r="N636" s="37">
        <v>466.0</v>
      </c>
      <c r="O636" s="37">
        <v>422.0</v>
      </c>
      <c r="P636" s="37">
        <v>44.0</v>
      </c>
      <c r="Q636" s="37">
        <v>2745.0</v>
      </c>
      <c r="R636" s="38">
        <v>5.9171598</v>
      </c>
      <c r="S636" s="38">
        <v>3.9729501</v>
      </c>
      <c r="T636" s="38">
        <v>1.9442096</v>
      </c>
      <c r="U636" s="38">
        <v>94.0828402</v>
      </c>
      <c r="V636" s="38">
        <v>14.5126129</v>
      </c>
      <c r="W636" s="38">
        <v>13.1423233</v>
      </c>
      <c r="X636" s="38">
        <v>1.3702896</v>
      </c>
      <c r="Y636" s="38">
        <v>85.4873871</v>
      </c>
    </row>
    <row r="637" ht="15.0" hidden="1" customHeight="1">
      <c r="B637" s="30">
        <v>632.0</v>
      </c>
      <c r="C637" s="31" t="s">
        <v>21</v>
      </c>
      <c r="D637" s="31" t="s">
        <v>162</v>
      </c>
      <c r="E637" s="31" t="s">
        <v>213</v>
      </c>
      <c r="F637" s="31" t="s">
        <v>213</v>
      </c>
      <c r="G637" s="32" t="s">
        <v>15</v>
      </c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4"/>
      <c r="S637" s="34"/>
      <c r="T637" s="34"/>
      <c r="U637" s="34"/>
      <c r="V637" s="34"/>
      <c r="W637" s="34"/>
      <c r="X637" s="34"/>
      <c r="Y637" s="34"/>
    </row>
    <row r="638" ht="15.0" hidden="1" customHeight="1">
      <c r="B638" s="30">
        <v>633.0</v>
      </c>
      <c r="C638" s="31" t="s">
        <v>21</v>
      </c>
      <c r="D638" s="31" t="s">
        <v>162</v>
      </c>
      <c r="E638" s="31" t="s">
        <v>213</v>
      </c>
      <c r="F638" s="31" t="s">
        <v>213</v>
      </c>
      <c r="G638" s="32" t="s">
        <v>16</v>
      </c>
      <c r="H638" s="33">
        <v>2366.0</v>
      </c>
      <c r="I638" s="33">
        <v>140.0</v>
      </c>
      <c r="J638" s="33">
        <v>94.0</v>
      </c>
      <c r="K638" s="33">
        <v>46.0</v>
      </c>
      <c r="L638" s="33">
        <v>2226.0</v>
      </c>
      <c r="M638" s="33">
        <v>3211.0</v>
      </c>
      <c r="N638" s="33">
        <v>466.0</v>
      </c>
      <c r="O638" s="33">
        <v>422.0</v>
      </c>
      <c r="P638" s="33">
        <v>44.0</v>
      </c>
      <c r="Q638" s="33">
        <v>2745.0</v>
      </c>
      <c r="R638" s="34">
        <v>5.9171598</v>
      </c>
      <c r="S638" s="34">
        <v>3.9729501</v>
      </c>
      <c r="T638" s="34">
        <v>1.9442096</v>
      </c>
      <c r="U638" s="34">
        <v>94.0828402</v>
      </c>
      <c r="V638" s="34">
        <v>14.5126129</v>
      </c>
      <c r="W638" s="34">
        <v>13.1423233</v>
      </c>
      <c r="X638" s="34">
        <v>1.3702896</v>
      </c>
      <c r="Y638" s="34">
        <v>85.4873871</v>
      </c>
    </row>
    <row r="639" ht="15.0" hidden="1" customHeight="1">
      <c r="B639" s="26">
        <v>634.0</v>
      </c>
      <c r="C639" s="27" t="s">
        <v>19</v>
      </c>
      <c r="D639" s="40" t="s">
        <v>162</v>
      </c>
      <c r="E639" s="40" t="s">
        <v>214</v>
      </c>
      <c r="F639" s="40"/>
      <c r="G639" s="27" t="s">
        <v>214</v>
      </c>
      <c r="H639" s="28">
        <v>14107.0</v>
      </c>
      <c r="I639" s="28">
        <v>8545.0</v>
      </c>
      <c r="J639" s="28">
        <v>5537.0</v>
      </c>
      <c r="K639" s="28">
        <v>3008.0</v>
      </c>
      <c r="L639" s="28">
        <v>5562.0</v>
      </c>
      <c r="M639" s="28">
        <v>17109.0</v>
      </c>
      <c r="N639" s="28">
        <v>12664.0</v>
      </c>
      <c r="O639" s="28">
        <v>11014.0</v>
      </c>
      <c r="P639" s="28">
        <v>1650.0</v>
      </c>
      <c r="Q639" s="28">
        <v>4445.0</v>
      </c>
      <c r="R639" s="29">
        <v>60.5727653</v>
      </c>
      <c r="S639" s="29">
        <v>39.2500177</v>
      </c>
      <c r="T639" s="29">
        <v>21.3227476</v>
      </c>
      <c r="U639" s="29">
        <v>39.4272347</v>
      </c>
      <c r="V639" s="29">
        <v>74.0195219</v>
      </c>
      <c r="W639" s="29">
        <v>64.3754749</v>
      </c>
      <c r="X639" s="29">
        <v>9.644047</v>
      </c>
      <c r="Y639" s="29">
        <v>25.9804781</v>
      </c>
    </row>
    <row r="640" ht="15.0" hidden="1" customHeight="1">
      <c r="B640" s="30">
        <v>635.0</v>
      </c>
      <c r="C640" s="31" t="s">
        <v>19</v>
      </c>
      <c r="D640" s="31" t="s">
        <v>162</v>
      </c>
      <c r="E640" s="31" t="s">
        <v>214</v>
      </c>
      <c r="F640" s="31"/>
      <c r="G640" s="32" t="s">
        <v>15</v>
      </c>
      <c r="H640" s="33">
        <v>2341.0</v>
      </c>
      <c r="I640" s="33">
        <v>2112.0</v>
      </c>
      <c r="J640" s="33">
        <v>972.0</v>
      </c>
      <c r="K640" s="33">
        <v>1140.0</v>
      </c>
      <c r="L640" s="33">
        <v>229.0</v>
      </c>
      <c r="M640" s="33">
        <v>3707.0</v>
      </c>
      <c r="N640" s="33">
        <v>3486.0</v>
      </c>
      <c r="O640" s="33">
        <v>2449.0</v>
      </c>
      <c r="P640" s="33">
        <v>1037.0</v>
      </c>
      <c r="Q640" s="33">
        <v>221.0</v>
      </c>
      <c r="R640" s="34">
        <v>90.2178556</v>
      </c>
      <c r="S640" s="34">
        <v>41.5207176</v>
      </c>
      <c r="T640" s="34">
        <v>48.697138</v>
      </c>
      <c r="U640" s="34">
        <v>9.7821444</v>
      </c>
      <c r="V640" s="34">
        <v>94.0383059</v>
      </c>
      <c r="W640" s="34">
        <v>66.0642029</v>
      </c>
      <c r="X640" s="34">
        <v>27.974103</v>
      </c>
      <c r="Y640" s="34">
        <v>5.9616941</v>
      </c>
    </row>
    <row r="641" ht="15.0" hidden="1" customHeight="1">
      <c r="B641" s="30">
        <v>636.0</v>
      </c>
      <c r="C641" s="31" t="s">
        <v>19</v>
      </c>
      <c r="D641" s="31" t="s">
        <v>162</v>
      </c>
      <c r="E641" s="31" t="s">
        <v>214</v>
      </c>
      <c r="F641" s="31"/>
      <c r="G641" s="32" t="s">
        <v>16</v>
      </c>
      <c r="H641" s="33">
        <v>11766.0</v>
      </c>
      <c r="I641" s="33">
        <v>6433.0</v>
      </c>
      <c r="J641" s="33">
        <v>4565.0</v>
      </c>
      <c r="K641" s="33">
        <v>1868.0</v>
      </c>
      <c r="L641" s="33">
        <v>5333.0</v>
      </c>
      <c r="M641" s="33">
        <v>13402.0</v>
      </c>
      <c r="N641" s="33">
        <v>9178.0</v>
      </c>
      <c r="O641" s="33">
        <v>8565.0</v>
      </c>
      <c r="P641" s="33">
        <v>613.0</v>
      </c>
      <c r="Q641" s="33">
        <v>4224.0</v>
      </c>
      <c r="R641" s="34">
        <v>54.6744858</v>
      </c>
      <c r="S641" s="34">
        <v>38.7982322</v>
      </c>
      <c r="T641" s="34">
        <v>15.8762536</v>
      </c>
      <c r="U641" s="34">
        <v>45.3255142</v>
      </c>
      <c r="V641" s="34">
        <v>68.4823161</v>
      </c>
      <c r="W641" s="34">
        <v>63.9083719</v>
      </c>
      <c r="X641" s="34">
        <v>4.5739442</v>
      </c>
      <c r="Y641" s="34">
        <v>31.5176839</v>
      </c>
    </row>
    <row r="642" ht="15.0" customHeight="1">
      <c r="B642" s="35">
        <v>637.0</v>
      </c>
      <c r="C642" s="36" t="s">
        <v>21</v>
      </c>
      <c r="D642" s="41" t="s">
        <v>162</v>
      </c>
      <c r="E642" s="41" t="s">
        <v>214</v>
      </c>
      <c r="F642" s="41" t="s">
        <v>214</v>
      </c>
      <c r="G642" s="42" t="s">
        <v>214</v>
      </c>
      <c r="H642" s="37">
        <v>6496.0</v>
      </c>
      <c r="I642" s="37">
        <v>2981.0</v>
      </c>
      <c r="J642" s="37">
        <v>1821.0</v>
      </c>
      <c r="K642" s="37">
        <v>1160.0</v>
      </c>
      <c r="L642" s="37">
        <v>3515.0</v>
      </c>
      <c r="M642" s="37">
        <v>6678.0</v>
      </c>
      <c r="N642" s="37">
        <v>4351.0</v>
      </c>
      <c r="O642" s="37">
        <v>4178.0</v>
      </c>
      <c r="P642" s="37">
        <v>173.0</v>
      </c>
      <c r="Q642" s="37">
        <v>2327.0</v>
      </c>
      <c r="R642" s="38">
        <v>45.8897783</v>
      </c>
      <c r="S642" s="38">
        <v>28.0326355</v>
      </c>
      <c r="T642" s="38">
        <v>17.8571429</v>
      </c>
      <c r="U642" s="38">
        <v>54.1102217</v>
      </c>
      <c r="V642" s="38">
        <v>65.1542378</v>
      </c>
      <c r="W642" s="38">
        <v>62.5636418</v>
      </c>
      <c r="X642" s="38">
        <v>2.590596</v>
      </c>
      <c r="Y642" s="38">
        <v>34.8457622</v>
      </c>
    </row>
    <row r="643" ht="15.0" hidden="1" customHeight="1">
      <c r="B643" s="30">
        <v>638.0</v>
      </c>
      <c r="C643" s="31" t="s">
        <v>21</v>
      </c>
      <c r="D643" s="31" t="s">
        <v>162</v>
      </c>
      <c r="E643" s="31" t="s">
        <v>214</v>
      </c>
      <c r="F643" s="31" t="s">
        <v>214</v>
      </c>
      <c r="G643" s="32" t="s">
        <v>15</v>
      </c>
      <c r="H643" s="33">
        <v>690.0</v>
      </c>
      <c r="I643" s="33">
        <v>594.0</v>
      </c>
      <c r="J643" s="33">
        <v>303.0</v>
      </c>
      <c r="K643" s="33">
        <v>291.0</v>
      </c>
      <c r="L643" s="33">
        <v>96.0</v>
      </c>
      <c r="M643" s="33">
        <v>804.0</v>
      </c>
      <c r="N643" s="33">
        <v>762.0</v>
      </c>
      <c r="O643" s="33">
        <v>698.0</v>
      </c>
      <c r="P643" s="33">
        <v>64.0</v>
      </c>
      <c r="Q643" s="33">
        <v>42.0</v>
      </c>
      <c r="R643" s="34">
        <v>86.0869565</v>
      </c>
      <c r="S643" s="34">
        <v>43.9130435</v>
      </c>
      <c r="T643" s="34">
        <v>42.173913</v>
      </c>
      <c r="U643" s="34">
        <v>13.9130435</v>
      </c>
      <c r="V643" s="34">
        <v>94.7761194</v>
      </c>
      <c r="W643" s="34">
        <v>86.8159204</v>
      </c>
      <c r="X643" s="34">
        <v>7.960199</v>
      </c>
      <c r="Y643" s="34">
        <v>5.2238806</v>
      </c>
    </row>
    <row r="644" ht="15.0" hidden="1" customHeight="1">
      <c r="B644" s="30">
        <v>639.0</v>
      </c>
      <c r="C644" s="31" t="s">
        <v>21</v>
      </c>
      <c r="D644" s="31" t="s">
        <v>162</v>
      </c>
      <c r="E644" s="31" t="s">
        <v>214</v>
      </c>
      <c r="F644" s="31" t="s">
        <v>214</v>
      </c>
      <c r="G644" s="32" t="s">
        <v>16</v>
      </c>
      <c r="H644" s="33">
        <v>5806.0</v>
      </c>
      <c r="I644" s="33">
        <v>2387.0</v>
      </c>
      <c r="J644" s="33">
        <v>1518.0</v>
      </c>
      <c r="K644" s="33">
        <v>869.0</v>
      </c>
      <c r="L644" s="33">
        <v>3419.0</v>
      </c>
      <c r="M644" s="33">
        <v>5874.0</v>
      </c>
      <c r="N644" s="33">
        <v>3589.0</v>
      </c>
      <c r="O644" s="33">
        <v>3480.0</v>
      </c>
      <c r="P644" s="33">
        <v>109.0</v>
      </c>
      <c r="Q644" s="33">
        <v>2285.0</v>
      </c>
      <c r="R644" s="34">
        <v>41.1126421</v>
      </c>
      <c r="S644" s="34">
        <v>26.1453669</v>
      </c>
      <c r="T644" s="34">
        <v>14.9672752</v>
      </c>
      <c r="U644" s="34">
        <v>58.8873579</v>
      </c>
      <c r="V644" s="34">
        <v>61.0997617</v>
      </c>
      <c r="W644" s="34">
        <v>59.2441267</v>
      </c>
      <c r="X644" s="34">
        <v>1.855635</v>
      </c>
      <c r="Y644" s="34">
        <v>38.9002383</v>
      </c>
    </row>
    <row r="645" ht="15.0" customHeight="1">
      <c r="B645" s="35">
        <v>640.0</v>
      </c>
      <c r="C645" s="36" t="s">
        <v>21</v>
      </c>
      <c r="D645" s="41" t="s">
        <v>162</v>
      </c>
      <c r="E645" s="41" t="s">
        <v>214</v>
      </c>
      <c r="F645" s="41" t="s">
        <v>215</v>
      </c>
      <c r="G645" s="42" t="s">
        <v>215</v>
      </c>
      <c r="H645" s="37">
        <v>7611.0</v>
      </c>
      <c r="I645" s="37">
        <v>5564.0</v>
      </c>
      <c r="J645" s="37">
        <v>3716.0</v>
      </c>
      <c r="K645" s="37">
        <v>1848.0</v>
      </c>
      <c r="L645" s="37">
        <v>2047.0</v>
      </c>
      <c r="M645" s="37">
        <v>10431.0</v>
      </c>
      <c r="N645" s="37">
        <v>8313.0</v>
      </c>
      <c r="O645" s="37">
        <v>6836.0</v>
      </c>
      <c r="P645" s="37">
        <v>1477.0</v>
      </c>
      <c r="Q645" s="37">
        <v>2118.0</v>
      </c>
      <c r="R645" s="38">
        <v>73.1047169</v>
      </c>
      <c r="S645" s="38">
        <v>48.8240704</v>
      </c>
      <c r="T645" s="38">
        <v>24.2806464</v>
      </c>
      <c r="U645" s="38">
        <v>26.8952831</v>
      </c>
      <c r="V645" s="38">
        <v>79.6951395</v>
      </c>
      <c r="W645" s="38">
        <v>65.5354233</v>
      </c>
      <c r="X645" s="38">
        <v>14.1597162</v>
      </c>
      <c r="Y645" s="38">
        <v>20.3048605</v>
      </c>
    </row>
    <row r="646" ht="15.0" hidden="1" customHeight="1">
      <c r="B646" s="30">
        <v>641.0</v>
      </c>
      <c r="C646" s="31" t="s">
        <v>21</v>
      </c>
      <c r="D646" s="31" t="s">
        <v>162</v>
      </c>
      <c r="E646" s="31" t="s">
        <v>214</v>
      </c>
      <c r="F646" s="31" t="s">
        <v>215</v>
      </c>
      <c r="G646" s="32" t="s">
        <v>15</v>
      </c>
      <c r="H646" s="33">
        <v>1651.0</v>
      </c>
      <c r="I646" s="33">
        <v>1518.0</v>
      </c>
      <c r="J646" s="33">
        <v>669.0</v>
      </c>
      <c r="K646" s="33">
        <v>849.0</v>
      </c>
      <c r="L646" s="33">
        <v>133.0</v>
      </c>
      <c r="M646" s="33">
        <v>2903.0</v>
      </c>
      <c r="N646" s="33">
        <v>2724.0</v>
      </c>
      <c r="O646" s="33">
        <v>1751.0</v>
      </c>
      <c r="P646" s="33">
        <v>973.0</v>
      </c>
      <c r="Q646" s="33">
        <v>179.0</v>
      </c>
      <c r="R646" s="34">
        <v>91.9442762</v>
      </c>
      <c r="S646" s="34">
        <v>40.5208964</v>
      </c>
      <c r="T646" s="34">
        <v>51.4233798</v>
      </c>
      <c r="U646" s="34">
        <v>8.0557238</v>
      </c>
      <c r="V646" s="34">
        <v>93.8339649</v>
      </c>
      <c r="W646" s="34">
        <v>60.3169135</v>
      </c>
      <c r="X646" s="34">
        <v>33.5170513</v>
      </c>
      <c r="Y646" s="34">
        <v>6.1660351</v>
      </c>
    </row>
    <row r="647" ht="15.0" hidden="1" customHeight="1">
      <c r="B647" s="30">
        <v>642.0</v>
      </c>
      <c r="C647" s="31" t="s">
        <v>21</v>
      </c>
      <c r="D647" s="31" t="s">
        <v>162</v>
      </c>
      <c r="E647" s="31" t="s">
        <v>214</v>
      </c>
      <c r="F647" s="31" t="s">
        <v>215</v>
      </c>
      <c r="G647" s="32" t="s">
        <v>16</v>
      </c>
      <c r="H647" s="33">
        <v>5960.0</v>
      </c>
      <c r="I647" s="33">
        <v>4046.0</v>
      </c>
      <c r="J647" s="33">
        <v>3047.0</v>
      </c>
      <c r="K647" s="33">
        <v>999.0</v>
      </c>
      <c r="L647" s="33">
        <v>1914.0</v>
      </c>
      <c r="M647" s="33">
        <v>7528.0</v>
      </c>
      <c r="N647" s="33">
        <v>5589.0</v>
      </c>
      <c r="O647" s="33">
        <v>5085.0</v>
      </c>
      <c r="P647" s="33">
        <v>504.0</v>
      </c>
      <c r="Q647" s="33">
        <v>1939.0</v>
      </c>
      <c r="R647" s="34">
        <v>67.885906</v>
      </c>
      <c r="S647" s="34">
        <v>51.1241611</v>
      </c>
      <c r="T647" s="34">
        <v>16.761745</v>
      </c>
      <c r="U647" s="34">
        <v>32.114094</v>
      </c>
      <c r="V647" s="34">
        <v>74.2428268</v>
      </c>
      <c r="W647" s="34">
        <v>67.5478215</v>
      </c>
      <c r="X647" s="34">
        <v>6.6950053</v>
      </c>
      <c r="Y647" s="34">
        <v>25.7571732</v>
      </c>
    </row>
    <row r="648" ht="15.0" hidden="1" customHeight="1">
      <c r="B648" s="18">
        <v>643.0</v>
      </c>
      <c r="C648" s="19" t="s">
        <v>17</v>
      </c>
      <c r="D648" s="19" t="s">
        <v>216</v>
      </c>
      <c r="E648" s="19"/>
      <c r="F648" s="19"/>
      <c r="G648" s="19" t="s">
        <v>216</v>
      </c>
      <c r="H648" s="20">
        <v>152061.0</v>
      </c>
      <c r="I648" s="20">
        <v>71631.0</v>
      </c>
      <c r="J648" s="20">
        <v>39153.0</v>
      </c>
      <c r="K648" s="20">
        <v>32478.0</v>
      </c>
      <c r="L648" s="20">
        <v>80430.0</v>
      </c>
      <c r="M648" s="20">
        <v>190973.0</v>
      </c>
      <c r="N648" s="20">
        <v>121657.0</v>
      </c>
      <c r="O648" s="20">
        <v>101766.0</v>
      </c>
      <c r="P648" s="20">
        <v>19891.0</v>
      </c>
      <c r="Q648" s="20">
        <v>69316.0</v>
      </c>
      <c r="R648" s="21">
        <v>47.1067532</v>
      </c>
      <c r="S648" s="21">
        <v>25.7482195</v>
      </c>
      <c r="T648" s="21">
        <v>21.3585337</v>
      </c>
      <c r="U648" s="21">
        <v>52.8932468</v>
      </c>
      <c r="V648" s="21">
        <v>63.7037696</v>
      </c>
      <c r="W648" s="21">
        <v>53.2881612</v>
      </c>
      <c r="X648" s="21">
        <v>10.4156085</v>
      </c>
      <c r="Y648" s="21">
        <v>36.2962304</v>
      </c>
    </row>
    <row r="649" ht="15.0" hidden="1" customHeight="1">
      <c r="B649" s="22">
        <v>644.0</v>
      </c>
      <c r="C649" s="23" t="s">
        <v>17</v>
      </c>
      <c r="D649" s="39" t="s">
        <v>216</v>
      </c>
      <c r="E649" s="39"/>
      <c r="F649" s="39"/>
      <c r="G649" s="23" t="s">
        <v>15</v>
      </c>
      <c r="H649" s="24">
        <v>91617.0</v>
      </c>
      <c r="I649" s="24">
        <v>63962.0</v>
      </c>
      <c r="J649" s="24">
        <v>35014.0</v>
      </c>
      <c r="K649" s="24">
        <v>28948.0</v>
      </c>
      <c r="L649" s="24">
        <v>27655.0</v>
      </c>
      <c r="M649" s="24">
        <v>114820.0</v>
      </c>
      <c r="N649" s="24">
        <v>98862.0</v>
      </c>
      <c r="O649" s="24">
        <v>83311.0</v>
      </c>
      <c r="P649" s="24">
        <v>15551.0</v>
      </c>
      <c r="Q649" s="24">
        <v>15958.0</v>
      </c>
      <c r="R649" s="25">
        <v>69.8145541</v>
      </c>
      <c r="S649" s="25">
        <v>38.217798</v>
      </c>
      <c r="T649" s="25">
        <v>31.5967561</v>
      </c>
      <c r="U649" s="25">
        <v>30.1854459</v>
      </c>
      <c r="V649" s="25">
        <v>86.1017244</v>
      </c>
      <c r="W649" s="25">
        <v>72.5579167</v>
      </c>
      <c r="X649" s="25">
        <v>13.5438077</v>
      </c>
      <c r="Y649" s="25">
        <v>13.8982756</v>
      </c>
    </row>
    <row r="650" ht="15.0" hidden="1" customHeight="1">
      <c r="B650" s="22">
        <v>645.0</v>
      </c>
      <c r="C650" s="23" t="s">
        <v>17</v>
      </c>
      <c r="D650" s="39" t="s">
        <v>216</v>
      </c>
      <c r="E650" s="39"/>
      <c r="F650" s="39"/>
      <c r="G650" s="23" t="s">
        <v>16</v>
      </c>
      <c r="H650" s="24">
        <v>60444.0</v>
      </c>
      <c r="I650" s="24">
        <v>7669.0</v>
      </c>
      <c r="J650" s="24">
        <v>4139.0</v>
      </c>
      <c r="K650" s="24">
        <v>3530.0</v>
      </c>
      <c r="L650" s="24">
        <v>52775.0</v>
      </c>
      <c r="M650" s="24">
        <v>76153.0</v>
      </c>
      <c r="N650" s="24">
        <v>22795.0</v>
      </c>
      <c r="O650" s="24">
        <v>18455.0</v>
      </c>
      <c r="P650" s="24">
        <v>4340.0</v>
      </c>
      <c r="Q650" s="24">
        <v>53358.0</v>
      </c>
      <c r="R650" s="25">
        <v>12.6877771</v>
      </c>
      <c r="S650" s="25">
        <v>6.8476606</v>
      </c>
      <c r="T650" s="25">
        <v>5.8401165</v>
      </c>
      <c r="U650" s="25">
        <v>87.3122229</v>
      </c>
      <c r="V650" s="25">
        <v>29.9331609</v>
      </c>
      <c r="W650" s="25">
        <v>24.2341077</v>
      </c>
      <c r="X650" s="25">
        <v>5.6990532</v>
      </c>
      <c r="Y650" s="25">
        <v>70.0668391</v>
      </c>
    </row>
    <row r="651" ht="15.0" hidden="1" customHeight="1">
      <c r="B651" s="26">
        <v>646.0</v>
      </c>
      <c r="C651" s="27" t="s">
        <v>19</v>
      </c>
      <c r="D651" s="40" t="s">
        <v>216</v>
      </c>
      <c r="E651" s="40" t="s">
        <v>163</v>
      </c>
      <c r="F651" s="40"/>
      <c r="G651" s="27" t="s">
        <v>163</v>
      </c>
      <c r="H651" s="28">
        <v>90135.0</v>
      </c>
      <c r="I651" s="28">
        <v>58031.0</v>
      </c>
      <c r="J651" s="28">
        <v>31903.0</v>
      </c>
      <c r="K651" s="28">
        <v>26128.0</v>
      </c>
      <c r="L651" s="28">
        <v>32104.0</v>
      </c>
      <c r="M651" s="28">
        <v>113403.0</v>
      </c>
      <c r="N651" s="28">
        <v>89386.0</v>
      </c>
      <c r="O651" s="28">
        <v>75759.0</v>
      </c>
      <c r="P651" s="28">
        <v>13627.0</v>
      </c>
      <c r="Q651" s="28">
        <v>24017.0</v>
      </c>
      <c r="R651" s="29">
        <v>64.3823154</v>
      </c>
      <c r="S651" s="29">
        <v>35.3946857</v>
      </c>
      <c r="T651" s="29">
        <v>28.9876297</v>
      </c>
      <c r="U651" s="29">
        <v>35.6176846</v>
      </c>
      <c r="V651" s="29">
        <v>78.8215479</v>
      </c>
      <c r="W651" s="29">
        <v>66.805111</v>
      </c>
      <c r="X651" s="29">
        <v>12.016437</v>
      </c>
      <c r="Y651" s="29">
        <v>21.1784521</v>
      </c>
    </row>
    <row r="652" ht="15.0" hidden="1" customHeight="1">
      <c r="B652" s="30">
        <v>647.0</v>
      </c>
      <c r="C652" s="31" t="s">
        <v>19</v>
      </c>
      <c r="D652" s="31" t="s">
        <v>216</v>
      </c>
      <c r="E652" s="31" t="s">
        <v>163</v>
      </c>
      <c r="F652" s="31"/>
      <c r="G652" s="32" t="s">
        <v>15</v>
      </c>
      <c r="H652" s="33">
        <v>78297.0</v>
      </c>
      <c r="I652" s="33">
        <v>56686.0</v>
      </c>
      <c r="J652" s="33">
        <v>31202.0</v>
      </c>
      <c r="K652" s="33">
        <v>25484.0</v>
      </c>
      <c r="L652" s="33">
        <v>21611.0</v>
      </c>
      <c r="M652" s="33">
        <v>98424.0</v>
      </c>
      <c r="N652" s="33">
        <v>85226.0</v>
      </c>
      <c r="O652" s="33">
        <v>72276.0</v>
      </c>
      <c r="P652" s="33">
        <v>12950.0</v>
      </c>
      <c r="Q652" s="33">
        <v>13198.0</v>
      </c>
      <c r="R652" s="34">
        <v>72.3986871</v>
      </c>
      <c r="S652" s="34">
        <v>39.8508244</v>
      </c>
      <c r="T652" s="34">
        <v>32.5478626</v>
      </c>
      <c r="U652" s="34">
        <v>27.6013129</v>
      </c>
      <c r="V652" s="34">
        <v>86.5906689</v>
      </c>
      <c r="W652" s="34">
        <v>73.4333089</v>
      </c>
      <c r="X652" s="34">
        <v>13.15736</v>
      </c>
      <c r="Y652" s="34">
        <v>13.4093311</v>
      </c>
    </row>
    <row r="653" ht="15.0" hidden="1" customHeight="1">
      <c r="B653" s="30">
        <v>648.0</v>
      </c>
      <c r="C653" s="31" t="s">
        <v>19</v>
      </c>
      <c r="D653" s="31" t="s">
        <v>216</v>
      </c>
      <c r="E653" s="31" t="s">
        <v>163</v>
      </c>
      <c r="F653" s="31"/>
      <c r="G653" s="32" t="s">
        <v>16</v>
      </c>
      <c r="H653" s="33">
        <v>11838.0</v>
      </c>
      <c r="I653" s="33">
        <v>1345.0</v>
      </c>
      <c r="J653" s="33">
        <v>701.0</v>
      </c>
      <c r="K653" s="33">
        <v>644.0</v>
      </c>
      <c r="L653" s="33">
        <v>10493.0</v>
      </c>
      <c r="M653" s="33">
        <v>14979.0</v>
      </c>
      <c r="N653" s="33">
        <v>4160.0</v>
      </c>
      <c r="O653" s="33">
        <v>3483.0</v>
      </c>
      <c r="P653" s="33">
        <v>677.0</v>
      </c>
      <c r="Q653" s="33">
        <v>10819.0</v>
      </c>
      <c r="R653" s="34">
        <v>11.3617165</v>
      </c>
      <c r="S653" s="34">
        <v>5.9216084</v>
      </c>
      <c r="T653" s="34">
        <v>5.4401081</v>
      </c>
      <c r="U653" s="34">
        <v>88.6382835</v>
      </c>
      <c r="V653" s="34">
        <v>27.7722144</v>
      </c>
      <c r="W653" s="34">
        <v>23.2525536</v>
      </c>
      <c r="X653" s="34">
        <v>4.5196609</v>
      </c>
      <c r="Y653" s="34">
        <v>72.2277856</v>
      </c>
    </row>
    <row r="654" ht="15.0" customHeight="1">
      <c r="B654" s="35">
        <v>649.0</v>
      </c>
      <c r="C654" s="36" t="s">
        <v>21</v>
      </c>
      <c r="D654" s="41" t="s">
        <v>216</v>
      </c>
      <c r="E654" s="41" t="s">
        <v>163</v>
      </c>
      <c r="F654" s="41" t="s">
        <v>216</v>
      </c>
      <c r="G654" s="42" t="s">
        <v>216</v>
      </c>
      <c r="H654" s="37">
        <v>76724.0</v>
      </c>
      <c r="I654" s="37">
        <v>55884.0</v>
      </c>
      <c r="J654" s="37">
        <v>30805.0</v>
      </c>
      <c r="K654" s="37">
        <v>25079.0</v>
      </c>
      <c r="L654" s="37">
        <v>20840.0</v>
      </c>
      <c r="M654" s="37">
        <v>96123.0</v>
      </c>
      <c r="N654" s="37">
        <v>83699.0</v>
      </c>
      <c r="O654" s="37">
        <v>70992.0</v>
      </c>
      <c r="P654" s="37">
        <v>12707.0</v>
      </c>
      <c r="Q654" s="37">
        <v>12424.0</v>
      </c>
      <c r="R654" s="38">
        <v>72.837704</v>
      </c>
      <c r="S654" s="38">
        <v>40.1504093</v>
      </c>
      <c r="T654" s="38">
        <v>32.6872947</v>
      </c>
      <c r="U654" s="38">
        <v>27.162296</v>
      </c>
      <c r="V654" s="38">
        <v>87.0748936</v>
      </c>
      <c r="W654" s="38">
        <v>73.8553728</v>
      </c>
      <c r="X654" s="38">
        <v>13.2195208</v>
      </c>
      <c r="Y654" s="38">
        <v>12.9251064</v>
      </c>
    </row>
    <row r="655" ht="15.0" hidden="1" customHeight="1">
      <c r="B655" s="30">
        <v>650.0</v>
      </c>
      <c r="C655" s="31" t="s">
        <v>21</v>
      </c>
      <c r="D655" s="31" t="s">
        <v>216</v>
      </c>
      <c r="E655" s="31" t="s">
        <v>163</v>
      </c>
      <c r="F655" s="31" t="s">
        <v>216</v>
      </c>
      <c r="G655" s="32" t="s">
        <v>15</v>
      </c>
      <c r="H655" s="33">
        <v>76724.0</v>
      </c>
      <c r="I655" s="33">
        <v>55884.0</v>
      </c>
      <c r="J655" s="33">
        <v>30805.0</v>
      </c>
      <c r="K655" s="33">
        <v>25079.0</v>
      </c>
      <c r="L655" s="33">
        <v>20840.0</v>
      </c>
      <c r="M655" s="33">
        <v>96084.0</v>
      </c>
      <c r="N655" s="33">
        <v>83692.0</v>
      </c>
      <c r="O655" s="33">
        <v>70985.0</v>
      </c>
      <c r="P655" s="33">
        <v>12707.0</v>
      </c>
      <c r="Q655" s="33">
        <v>12392.0</v>
      </c>
      <c r="R655" s="34">
        <v>72.837704</v>
      </c>
      <c r="S655" s="34">
        <v>40.1504093</v>
      </c>
      <c r="T655" s="34">
        <v>32.6872947</v>
      </c>
      <c r="U655" s="34">
        <v>27.162296</v>
      </c>
      <c r="V655" s="34">
        <v>87.1029516</v>
      </c>
      <c r="W655" s="34">
        <v>73.878065</v>
      </c>
      <c r="X655" s="34">
        <v>13.2248866</v>
      </c>
      <c r="Y655" s="34">
        <v>12.8970484</v>
      </c>
    </row>
    <row r="656" ht="15.0" hidden="1" customHeight="1">
      <c r="B656" s="30">
        <v>651.0</v>
      </c>
      <c r="C656" s="31" t="s">
        <v>21</v>
      </c>
      <c r="D656" s="31" t="s">
        <v>216</v>
      </c>
      <c r="E656" s="31" t="s">
        <v>163</v>
      </c>
      <c r="F656" s="31" t="s">
        <v>216</v>
      </c>
      <c r="G656" s="32" t="s">
        <v>16</v>
      </c>
      <c r="H656" s="33"/>
      <c r="I656" s="33"/>
      <c r="J656" s="33"/>
      <c r="K656" s="33"/>
      <c r="L656" s="33"/>
      <c r="M656" s="33">
        <v>39.0</v>
      </c>
      <c r="N656" s="33">
        <v>7.0</v>
      </c>
      <c r="O656" s="33">
        <v>7.0</v>
      </c>
      <c r="P656" s="33">
        <v>0.0</v>
      </c>
      <c r="Q656" s="33">
        <v>32.0</v>
      </c>
      <c r="R656" s="34"/>
      <c r="S656" s="34"/>
      <c r="T656" s="34"/>
      <c r="U656" s="34"/>
      <c r="V656" s="34">
        <v>17.9487179</v>
      </c>
      <c r="W656" s="34">
        <v>17.9487179</v>
      </c>
      <c r="X656" s="34">
        <v>0.0</v>
      </c>
      <c r="Y656" s="34">
        <v>82.0512821</v>
      </c>
    </row>
    <row r="657" ht="15.0" customHeight="1">
      <c r="B657" s="35">
        <v>652.0</v>
      </c>
      <c r="C657" s="36" t="s">
        <v>21</v>
      </c>
      <c r="D657" s="41" t="s">
        <v>216</v>
      </c>
      <c r="E657" s="41" t="s">
        <v>163</v>
      </c>
      <c r="F657" s="41" t="s">
        <v>217</v>
      </c>
      <c r="G657" s="42" t="s">
        <v>217</v>
      </c>
      <c r="H657" s="37">
        <v>6690.0</v>
      </c>
      <c r="I657" s="37">
        <v>1741.0</v>
      </c>
      <c r="J657" s="37">
        <v>907.0</v>
      </c>
      <c r="K657" s="37">
        <v>834.0</v>
      </c>
      <c r="L657" s="37">
        <v>4949.0</v>
      </c>
      <c r="M657" s="37">
        <v>7972.0</v>
      </c>
      <c r="N657" s="37">
        <v>3668.0</v>
      </c>
      <c r="O657" s="37">
        <v>3017.0</v>
      </c>
      <c r="P657" s="37">
        <v>651.0</v>
      </c>
      <c r="Q657" s="37">
        <v>4304.0</v>
      </c>
      <c r="R657" s="38">
        <v>26.0239163</v>
      </c>
      <c r="S657" s="38">
        <v>13.5575486</v>
      </c>
      <c r="T657" s="38">
        <v>12.4663677</v>
      </c>
      <c r="U657" s="38">
        <v>73.9760837</v>
      </c>
      <c r="V657" s="38">
        <v>46.0110386</v>
      </c>
      <c r="W657" s="38">
        <v>37.8449574</v>
      </c>
      <c r="X657" s="38">
        <v>8.1660813</v>
      </c>
      <c r="Y657" s="38">
        <v>53.9889614</v>
      </c>
    </row>
    <row r="658" ht="15.0" hidden="1" customHeight="1">
      <c r="B658" s="30">
        <v>653.0</v>
      </c>
      <c r="C658" s="31" t="s">
        <v>21</v>
      </c>
      <c r="D658" s="31" t="s">
        <v>216</v>
      </c>
      <c r="E658" s="31" t="s">
        <v>163</v>
      </c>
      <c r="F658" s="31" t="s">
        <v>217</v>
      </c>
      <c r="G658" s="32" t="s">
        <v>15</v>
      </c>
      <c r="H658" s="33">
        <v>1573.0</v>
      </c>
      <c r="I658" s="33">
        <v>802.0</v>
      </c>
      <c r="J658" s="33">
        <v>397.0</v>
      </c>
      <c r="K658" s="33">
        <v>405.0</v>
      </c>
      <c r="L658" s="33">
        <v>771.0</v>
      </c>
      <c r="M658" s="33">
        <v>2340.0</v>
      </c>
      <c r="N658" s="33">
        <v>1534.0</v>
      </c>
      <c r="O658" s="33">
        <v>1291.0</v>
      </c>
      <c r="P658" s="33">
        <v>243.0</v>
      </c>
      <c r="Q658" s="33">
        <v>806.0</v>
      </c>
      <c r="R658" s="34">
        <v>50.9853783</v>
      </c>
      <c r="S658" s="34">
        <v>25.238398</v>
      </c>
      <c r="T658" s="34">
        <v>25.7469803</v>
      </c>
      <c r="U658" s="34">
        <v>49.0146217</v>
      </c>
      <c r="V658" s="34">
        <v>65.5555556</v>
      </c>
      <c r="W658" s="34">
        <v>55.1709402</v>
      </c>
      <c r="X658" s="34">
        <v>10.3846154</v>
      </c>
      <c r="Y658" s="34">
        <v>34.4444444</v>
      </c>
    </row>
    <row r="659" ht="15.0" hidden="1" customHeight="1">
      <c r="B659" s="30">
        <v>654.0</v>
      </c>
      <c r="C659" s="31" t="s">
        <v>21</v>
      </c>
      <c r="D659" s="31" t="s">
        <v>216</v>
      </c>
      <c r="E659" s="31" t="s">
        <v>163</v>
      </c>
      <c r="F659" s="31" t="s">
        <v>217</v>
      </c>
      <c r="G659" s="32" t="s">
        <v>16</v>
      </c>
      <c r="H659" s="33">
        <v>5117.0</v>
      </c>
      <c r="I659" s="33">
        <v>939.0</v>
      </c>
      <c r="J659" s="33">
        <v>510.0</v>
      </c>
      <c r="K659" s="33">
        <v>429.0</v>
      </c>
      <c r="L659" s="33">
        <v>4178.0</v>
      </c>
      <c r="M659" s="33">
        <v>5632.0</v>
      </c>
      <c r="N659" s="33">
        <v>2134.0</v>
      </c>
      <c r="O659" s="33">
        <v>1726.0</v>
      </c>
      <c r="P659" s="33">
        <v>408.0</v>
      </c>
      <c r="Q659" s="33">
        <v>3498.0</v>
      </c>
      <c r="R659" s="34">
        <v>18.3505961</v>
      </c>
      <c r="S659" s="34">
        <v>9.9667774</v>
      </c>
      <c r="T659" s="34">
        <v>8.3838186</v>
      </c>
      <c r="U659" s="34">
        <v>81.6494039</v>
      </c>
      <c r="V659" s="34">
        <v>37.890625</v>
      </c>
      <c r="W659" s="34">
        <v>30.6463068</v>
      </c>
      <c r="X659" s="34">
        <v>7.2443182</v>
      </c>
      <c r="Y659" s="34">
        <v>62.109375</v>
      </c>
    </row>
    <row r="660" ht="15.0" customHeight="1">
      <c r="B660" s="35">
        <v>655.0</v>
      </c>
      <c r="C660" s="36" t="s">
        <v>21</v>
      </c>
      <c r="D660" s="41" t="s">
        <v>216</v>
      </c>
      <c r="E660" s="41" t="s">
        <v>163</v>
      </c>
      <c r="F660" s="41" t="s">
        <v>218</v>
      </c>
      <c r="G660" s="42" t="s">
        <v>218</v>
      </c>
      <c r="H660" s="37">
        <v>3261.0</v>
      </c>
      <c r="I660" s="37">
        <v>76.0</v>
      </c>
      <c r="J660" s="37">
        <v>35.0</v>
      </c>
      <c r="K660" s="37">
        <v>41.0</v>
      </c>
      <c r="L660" s="37">
        <v>3185.0</v>
      </c>
      <c r="M660" s="37">
        <v>3844.0</v>
      </c>
      <c r="N660" s="37">
        <v>376.0</v>
      </c>
      <c r="O660" s="37">
        <v>342.0</v>
      </c>
      <c r="P660" s="37">
        <v>34.0</v>
      </c>
      <c r="Q660" s="37">
        <v>3468.0</v>
      </c>
      <c r="R660" s="38">
        <v>2.3305734</v>
      </c>
      <c r="S660" s="38">
        <v>1.0732904</v>
      </c>
      <c r="T660" s="38">
        <v>1.257283</v>
      </c>
      <c r="U660" s="38">
        <v>97.6694266</v>
      </c>
      <c r="V660" s="38">
        <v>9.7814776</v>
      </c>
      <c r="W660" s="38">
        <v>8.8969823</v>
      </c>
      <c r="X660" s="38">
        <v>0.8844953</v>
      </c>
      <c r="Y660" s="38">
        <v>90.2185224</v>
      </c>
    </row>
    <row r="661" ht="15.0" hidden="1" customHeight="1">
      <c r="B661" s="30">
        <v>656.0</v>
      </c>
      <c r="C661" s="31" t="s">
        <v>21</v>
      </c>
      <c r="D661" s="31" t="s">
        <v>216</v>
      </c>
      <c r="E661" s="31" t="s">
        <v>163</v>
      </c>
      <c r="F661" s="31" t="s">
        <v>218</v>
      </c>
      <c r="G661" s="32" t="s">
        <v>15</v>
      </c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4"/>
      <c r="S661" s="34"/>
      <c r="T661" s="34"/>
      <c r="U661" s="34"/>
      <c r="V661" s="34"/>
      <c r="W661" s="34"/>
      <c r="X661" s="34"/>
      <c r="Y661" s="34"/>
    </row>
    <row r="662" ht="15.0" hidden="1" customHeight="1">
      <c r="B662" s="30">
        <v>657.0</v>
      </c>
      <c r="C662" s="31" t="s">
        <v>21</v>
      </c>
      <c r="D662" s="31" t="s">
        <v>216</v>
      </c>
      <c r="E662" s="31" t="s">
        <v>163</v>
      </c>
      <c r="F662" s="31" t="s">
        <v>218</v>
      </c>
      <c r="G662" s="32" t="s">
        <v>16</v>
      </c>
      <c r="H662" s="33">
        <v>3261.0</v>
      </c>
      <c r="I662" s="33">
        <v>76.0</v>
      </c>
      <c r="J662" s="33">
        <v>35.0</v>
      </c>
      <c r="K662" s="33">
        <v>41.0</v>
      </c>
      <c r="L662" s="33">
        <v>3185.0</v>
      </c>
      <c r="M662" s="33">
        <v>3844.0</v>
      </c>
      <c r="N662" s="33">
        <v>376.0</v>
      </c>
      <c r="O662" s="33">
        <v>342.0</v>
      </c>
      <c r="P662" s="33">
        <v>34.0</v>
      </c>
      <c r="Q662" s="33">
        <v>3468.0</v>
      </c>
      <c r="R662" s="34">
        <v>2.3305734</v>
      </c>
      <c r="S662" s="34">
        <v>1.0732904</v>
      </c>
      <c r="T662" s="34">
        <v>1.257283</v>
      </c>
      <c r="U662" s="34">
        <v>97.6694266</v>
      </c>
      <c r="V662" s="34">
        <v>9.7814776</v>
      </c>
      <c r="W662" s="34">
        <v>8.8969823</v>
      </c>
      <c r="X662" s="34">
        <v>0.8844953</v>
      </c>
      <c r="Y662" s="34">
        <v>90.2185224</v>
      </c>
    </row>
    <row r="663" ht="15.0" customHeight="1">
      <c r="B663" s="35">
        <v>658.0</v>
      </c>
      <c r="C663" s="36" t="s">
        <v>21</v>
      </c>
      <c r="D663" s="41" t="s">
        <v>216</v>
      </c>
      <c r="E663" s="41" t="s">
        <v>163</v>
      </c>
      <c r="F663" s="41" t="s">
        <v>219</v>
      </c>
      <c r="G663" s="42" t="s">
        <v>219</v>
      </c>
      <c r="H663" s="37">
        <v>3460.0</v>
      </c>
      <c r="I663" s="37">
        <v>330.0</v>
      </c>
      <c r="J663" s="37">
        <v>156.0</v>
      </c>
      <c r="K663" s="37">
        <v>174.0</v>
      </c>
      <c r="L663" s="37">
        <v>3130.0</v>
      </c>
      <c r="M663" s="37">
        <v>5464.0</v>
      </c>
      <c r="N663" s="37">
        <v>1643.0</v>
      </c>
      <c r="O663" s="37">
        <v>1408.0</v>
      </c>
      <c r="P663" s="37">
        <v>235.0</v>
      </c>
      <c r="Q663" s="37">
        <v>3821.0</v>
      </c>
      <c r="R663" s="38">
        <v>9.5375723</v>
      </c>
      <c r="S663" s="38">
        <v>4.5086705</v>
      </c>
      <c r="T663" s="38">
        <v>5.0289017</v>
      </c>
      <c r="U663" s="38">
        <v>90.4624277</v>
      </c>
      <c r="V663" s="38">
        <v>30.0695461</v>
      </c>
      <c r="W663" s="38">
        <v>25.7686676</v>
      </c>
      <c r="X663" s="38">
        <v>4.3008785</v>
      </c>
      <c r="Y663" s="38">
        <v>69.9304539</v>
      </c>
    </row>
    <row r="664" ht="15.0" hidden="1" customHeight="1">
      <c r="B664" s="30">
        <v>659.0</v>
      </c>
      <c r="C664" s="31" t="s">
        <v>21</v>
      </c>
      <c r="D664" s="31" t="s">
        <v>216</v>
      </c>
      <c r="E664" s="31" t="s">
        <v>163</v>
      </c>
      <c r="F664" s="31" t="s">
        <v>219</v>
      </c>
      <c r="G664" s="32" t="s">
        <v>15</v>
      </c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4"/>
      <c r="S664" s="34"/>
      <c r="T664" s="34"/>
      <c r="U664" s="34"/>
      <c r="V664" s="34"/>
      <c r="W664" s="34"/>
      <c r="X664" s="34"/>
      <c r="Y664" s="34"/>
    </row>
    <row r="665" ht="15.0" hidden="1" customHeight="1">
      <c r="B665" s="30">
        <v>660.0</v>
      </c>
      <c r="C665" s="31" t="s">
        <v>21</v>
      </c>
      <c r="D665" s="31" t="s">
        <v>216</v>
      </c>
      <c r="E665" s="31" t="s">
        <v>163</v>
      </c>
      <c r="F665" s="31" t="s">
        <v>219</v>
      </c>
      <c r="G665" s="32" t="s">
        <v>16</v>
      </c>
      <c r="H665" s="33">
        <v>3460.0</v>
      </c>
      <c r="I665" s="33">
        <v>330.0</v>
      </c>
      <c r="J665" s="33">
        <v>156.0</v>
      </c>
      <c r="K665" s="33">
        <v>174.0</v>
      </c>
      <c r="L665" s="33">
        <v>3130.0</v>
      </c>
      <c r="M665" s="33">
        <v>5464.0</v>
      </c>
      <c r="N665" s="33">
        <v>1643.0</v>
      </c>
      <c r="O665" s="33">
        <v>1408.0</v>
      </c>
      <c r="P665" s="33">
        <v>235.0</v>
      </c>
      <c r="Q665" s="33">
        <v>3821.0</v>
      </c>
      <c r="R665" s="34">
        <v>9.5375723</v>
      </c>
      <c r="S665" s="34">
        <v>4.5086705</v>
      </c>
      <c r="T665" s="34">
        <v>5.0289017</v>
      </c>
      <c r="U665" s="34">
        <v>90.4624277</v>
      </c>
      <c r="V665" s="34">
        <v>30.0695461</v>
      </c>
      <c r="W665" s="34">
        <v>25.7686676</v>
      </c>
      <c r="X665" s="34">
        <v>4.3008785</v>
      </c>
      <c r="Y665" s="34">
        <v>69.9304539</v>
      </c>
    </row>
    <row r="666" ht="15.0" hidden="1" customHeight="1">
      <c r="B666" s="26">
        <v>661.0</v>
      </c>
      <c r="C666" s="27" t="s">
        <v>19</v>
      </c>
      <c r="D666" s="40" t="s">
        <v>216</v>
      </c>
      <c r="E666" s="40" t="s">
        <v>220</v>
      </c>
      <c r="F666" s="40"/>
      <c r="G666" s="27" t="s">
        <v>220</v>
      </c>
      <c r="H666" s="28">
        <v>11428.0</v>
      </c>
      <c r="I666" s="28">
        <v>3079.0</v>
      </c>
      <c r="J666" s="28">
        <v>1675.0</v>
      </c>
      <c r="K666" s="28">
        <v>1404.0</v>
      </c>
      <c r="L666" s="28">
        <v>8349.0</v>
      </c>
      <c r="M666" s="28">
        <v>15869.0</v>
      </c>
      <c r="N666" s="28">
        <v>6466.0</v>
      </c>
      <c r="O666" s="28">
        <v>5662.0</v>
      </c>
      <c r="P666" s="28">
        <v>804.0</v>
      </c>
      <c r="Q666" s="28">
        <v>9403.0</v>
      </c>
      <c r="R666" s="29">
        <v>26.9425971</v>
      </c>
      <c r="S666" s="29">
        <v>14.6569828</v>
      </c>
      <c r="T666" s="29">
        <v>12.2856143</v>
      </c>
      <c r="U666" s="29">
        <v>73.0574029</v>
      </c>
      <c r="V666" s="29">
        <v>40.7461088</v>
      </c>
      <c r="W666" s="29">
        <v>35.6796269</v>
      </c>
      <c r="X666" s="29">
        <v>5.0664818</v>
      </c>
      <c r="Y666" s="29">
        <v>59.2538912</v>
      </c>
    </row>
    <row r="667" ht="15.0" hidden="1" customHeight="1">
      <c r="B667" s="30">
        <v>662.0</v>
      </c>
      <c r="C667" s="31" t="s">
        <v>19</v>
      </c>
      <c r="D667" s="31" t="s">
        <v>216</v>
      </c>
      <c r="E667" s="31" t="s">
        <v>220</v>
      </c>
      <c r="F667" s="31"/>
      <c r="G667" s="32" t="s">
        <v>15</v>
      </c>
      <c r="H667" s="33">
        <v>3554.0</v>
      </c>
      <c r="I667" s="33">
        <v>1777.0</v>
      </c>
      <c r="J667" s="33">
        <v>910.0</v>
      </c>
      <c r="K667" s="33">
        <v>867.0</v>
      </c>
      <c r="L667" s="33">
        <v>1777.0</v>
      </c>
      <c r="M667" s="33">
        <v>4792.0</v>
      </c>
      <c r="N667" s="33">
        <v>3892.0</v>
      </c>
      <c r="O667" s="33">
        <v>3423.0</v>
      </c>
      <c r="P667" s="33">
        <v>469.0</v>
      </c>
      <c r="Q667" s="33">
        <v>900.0</v>
      </c>
      <c r="R667" s="34">
        <v>50.0</v>
      </c>
      <c r="S667" s="34">
        <v>25.6049522</v>
      </c>
      <c r="T667" s="34">
        <v>24.3950478</v>
      </c>
      <c r="U667" s="34">
        <v>50.0</v>
      </c>
      <c r="V667" s="34">
        <v>81.2186978</v>
      </c>
      <c r="W667" s="34">
        <v>71.4315526</v>
      </c>
      <c r="X667" s="34">
        <v>9.7871452</v>
      </c>
      <c r="Y667" s="34">
        <v>18.7813022</v>
      </c>
    </row>
    <row r="668" ht="15.0" hidden="1" customHeight="1">
      <c r="B668" s="30">
        <v>663.0</v>
      </c>
      <c r="C668" s="31" t="s">
        <v>19</v>
      </c>
      <c r="D668" s="31" t="s">
        <v>216</v>
      </c>
      <c r="E668" s="31" t="s">
        <v>220</v>
      </c>
      <c r="F668" s="31"/>
      <c r="G668" s="32" t="s">
        <v>16</v>
      </c>
      <c r="H668" s="33">
        <v>7874.0</v>
      </c>
      <c r="I668" s="33">
        <v>1302.0</v>
      </c>
      <c r="J668" s="33">
        <v>765.0</v>
      </c>
      <c r="K668" s="33">
        <v>537.0</v>
      </c>
      <c r="L668" s="33">
        <v>6572.0</v>
      </c>
      <c r="M668" s="33">
        <v>11077.0</v>
      </c>
      <c r="N668" s="33">
        <v>2574.0</v>
      </c>
      <c r="O668" s="33">
        <v>2239.0</v>
      </c>
      <c r="P668" s="33">
        <v>335.0</v>
      </c>
      <c r="Q668" s="33">
        <v>8503.0</v>
      </c>
      <c r="R668" s="34">
        <v>16.5354331</v>
      </c>
      <c r="S668" s="34">
        <v>9.7155194</v>
      </c>
      <c r="T668" s="34">
        <v>6.8199136</v>
      </c>
      <c r="U668" s="34">
        <v>83.4645669</v>
      </c>
      <c r="V668" s="34">
        <v>23.2373386</v>
      </c>
      <c r="W668" s="34">
        <v>20.2130541</v>
      </c>
      <c r="X668" s="34">
        <v>3.0242846</v>
      </c>
      <c r="Y668" s="34">
        <v>76.7626614</v>
      </c>
    </row>
    <row r="669" ht="15.0" customHeight="1">
      <c r="B669" s="35">
        <v>664.0</v>
      </c>
      <c r="C669" s="36" t="s">
        <v>21</v>
      </c>
      <c r="D669" s="41" t="s">
        <v>216</v>
      </c>
      <c r="E669" s="41" t="s">
        <v>220</v>
      </c>
      <c r="F669" s="41" t="s">
        <v>221</v>
      </c>
      <c r="G669" s="42" t="s">
        <v>221</v>
      </c>
      <c r="H669" s="37">
        <v>9873.0</v>
      </c>
      <c r="I669" s="37">
        <v>2727.0</v>
      </c>
      <c r="J669" s="37">
        <v>1465.0</v>
      </c>
      <c r="K669" s="37">
        <v>1262.0</v>
      </c>
      <c r="L669" s="37">
        <v>7146.0</v>
      </c>
      <c r="M669" s="37">
        <v>13543.0</v>
      </c>
      <c r="N669" s="37">
        <v>5659.0</v>
      </c>
      <c r="O669" s="37">
        <v>5015.0</v>
      </c>
      <c r="P669" s="37">
        <v>644.0</v>
      </c>
      <c r="Q669" s="37">
        <v>7884.0</v>
      </c>
      <c r="R669" s="38">
        <v>27.620784</v>
      </c>
      <c r="S669" s="38">
        <v>14.8384483</v>
      </c>
      <c r="T669" s="38">
        <v>12.7823357</v>
      </c>
      <c r="U669" s="38">
        <v>72.379216</v>
      </c>
      <c r="V669" s="38">
        <v>41.7854242</v>
      </c>
      <c r="W669" s="38">
        <v>37.0302001</v>
      </c>
      <c r="X669" s="38">
        <v>4.7552241</v>
      </c>
      <c r="Y669" s="38">
        <v>58.2145758</v>
      </c>
    </row>
    <row r="670" ht="15.0" hidden="1" customHeight="1">
      <c r="B670" s="30">
        <v>665.0</v>
      </c>
      <c r="C670" s="31" t="s">
        <v>21</v>
      </c>
      <c r="D670" s="31" t="s">
        <v>216</v>
      </c>
      <c r="E670" s="31" t="s">
        <v>220</v>
      </c>
      <c r="F670" s="31" t="s">
        <v>221</v>
      </c>
      <c r="G670" s="32" t="s">
        <v>15</v>
      </c>
      <c r="H670" s="33">
        <v>3554.0</v>
      </c>
      <c r="I670" s="33">
        <v>1777.0</v>
      </c>
      <c r="J670" s="33">
        <v>910.0</v>
      </c>
      <c r="K670" s="33">
        <v>867.0</v>
      </c>
      <c r="L670" s="33">
        <v>1777.0</v>
      </c>
      <c r="M670" s="33">
        <v>4792.0</v>
      </c>
      <c r="N670" s="33">
        <v>3892.0</v>
      </c>
      <c r="O670" s="33">
        <v>3423.0</v>
      </c>
      <c r="P670" s="33">
        <v>469.0</v>
      </c>
      <c r="Q670" s="33">
        <v>900.0</v>
      </c>
      <c r="R670" s="34">
        <v>50.0</v>
      </c>
      <c r="S670" s="34">
        <v>25.6049522</v>
      </c>
      <c r="T670" s="34">
        <v>24.3950478</v>
      </c>
      <c r="U670" s="34">
        <v>50.0</v>
      </c>
      <c r="V670" s="34">
        <v>81.2186978</v>
      </c>
      <c r="W670" s="34">
        <v>71.4315526</v>
      </c>
      <c r="X670" s="34">
        <v>9.7871452</v>
      </c>
      <c r="Y670" s="34">
        <v>18.7813022</v>
      </c>
    </row>
    <row r="671" ht="15.0" hidden="1" customHeight="1">
      <c r="B671" s="30">
        <v>666.0</v>
      </c>
      <c r="C671" s="31" t="s">
        <v>21</v>
      </c>
      <c r="D671" s="31" t="s">
        <v>216</v>
      </c>
      <c r="E671" s="31" t="s">
        <v>220</v>
      </c>
      <c r="F671" s="31" t="s">
        <v>221</v>
      </c>
      <c r="G671" s="32" t="s">
        <v>16</v>
      </c>
      <c r="H671" s="33">
        <v>6319.0</v>
      </c>
      <c r="I671" s="33">
        <v>950.0</v>
      </c>
      <c r="J671" s="33">
        <v>555.0</v>
      </c>
      <c r="K671" s="33">
        <v>395.0</v>
      </c>
      <c r="L671" s="33">
        <v>5369.0</v>
      </c>
      <c r="M671" s="33">
        <v>8751.0</v>
      </c>
      <c r="N671" s="33">
        <v>1767.0</v>
      </c>
      <c r="O671" s="33">
        <v>1592.0</v>
      </c>
      <c r="P671" s="33">
        <v>175.0</v>
      </c>
      <c r="Q671" s="33">
        <v>6984.0</v>
      </c>
      <c r="R671" s="34">
        <v>15.0340244</v>
      </c>
      <c r="S671" s="34">
        <v>8.7830353</v>
      </c>
      <c r="T671" s="34">
        <v>6.2509891</v>
      </c>
      <c r="U671" s="34">
        <v>84.9659756</v>
      </c>
      <c r="V671" s="34">
        <v>20.1919781</v>
      </c>
      <c r="W671" s="34">
        <v>18.1922066</v>
      </c>
      <c r="X671" s="34">
        <v>1.9997715</v>
      </c>
      <c r="Y671" s="34">
        <v>79.8080219</v>
      </c>
    </row>
    <row r="672" ht="15.0" customHeight="1">
      <c r="B672" s="35">
        <v>667.0</v>
      </c>
      <c r="C672" s="36" t="s">
        <v>21</v>
      </c>
      <c r="D672" s="41" t="s">
        <v>216</v>
      </c>
      <c r="E672" s="41" t="s">
        <v>220</v>
      </c>
      <c r="F672" s="41" t="s">
        <v>222</v>
      </c>
      <c r="G672" s="42" t="s">
        <v>222</v>
      </c>
      <c r="H672" s="37">
        <v>1555.0</v>
      </c>
      <c r="I672" s="37">
        <v>352.0</v>
      </c>
      <c r="J672" s="37">
        <v>210.0</v>
      </c>
      <c r="K672" s="37">
        <v>142.0</v>
      </c>
      <c r="L672" s="37">
        <v>1203.0</v>
      </c>
      <c r="M672" s="37">
        <v>2326.0</v>
      </c>
      <c r="N672" s="37">
        <v>807.0</v>
      </c>
      <c r="O672" s="37">
        <v>647.0</v>
      </c>
      <c r="P672" s="37">
        <v>160.0</v>
      </c>
      <c r="Q672" s="37">
        <v>1519.0</v>
      </c>
      <c r="R672" s="38">
        <v>22.6366559</v>
      </c>
      <c r="S672" s="38">
        <v>13.5048232</v>
      </c>
      <c r="T672" s="38">
        <v>9.1318328</v>
      </c>
      <c r="U672" s="38">
        <v>77.3633441</v>
      </c>
      <c r="V672" s="38">
        <v>34.6947549</v>
      </c>
      <c r="W672" s="38">
        <v>27.8159931</v>
      </c>
      <c r="X672" s="38">
        <v>6.8787618</v>
      </c>
      <c r="Y672" s="38">
        <v>65.3052451</v>
      </c>
    </row>
    <row r="673" ht="15.0" hidden="1" customHeight="1">
      <c r="B673" s="30">
        <v>668.0</v>
      </c>
      <c r="C673" s="31" t="s">
        <v>21</v>
      </c>
      <c r="D673" s="31" t="s">
        <v>216</v>
      </c>
      <c r="E673" s="31" t="s">
        <v>220</v>
      </c>
      <c r="F673" s="31" t="s">
        <v>222</v>
      </c>
      <c r="G673" s="32" t="s">
        <v>15</v>
      </c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4"/>
      <c r="S673" s="34"/>
      <c r="T673" s="34"/>
      <c r="U673" s="34"/>
      <c r="V673" s="34"/>
      <c r="W673" s="34"/>
      <c r="X673" s="34"/>
      <c r="Y673" s="34"/>
    </row>
    <row r="674" ht="15.0" hidden="1" customHeight="1">
      <c r="B674" s="30">
        <v>669.0</v>
      </c>
      <c r="C674" s="31" t="s">
        <v>21</v>
      </c>
      <c r="D674" s="31" t="s">
        <v>216</v>
      </c>
      <c r="E674" s="31" t="s">
        <v>220</v>
      </c>
      <c r="F674" s="31" t="s">
        <v>222</v>
      </c>
      <c r="G674" s="32" t="s">
        <v>16</v>
      </c>
      <c r="H674" s="33">
        <v>1555.0</v>
      </c>
      <c r="I674" s="33">
        <v>352.0</v>
      </c>
      <c r="J674" s="33">
        <v>210.0</v>
      </c>
      <c r="K674" s="33">
        <v>142.0</v>
      </c>
      <c r="L674" s="33">
        <v>1203.0</v>
      </c>
      <c r="M674" s="33">
        <v>2326.0</v>
      </c>
      <c r="N674" s="33">
        <v>807.0</v>
      </c>
      <c r="O674" s="33">
        <v>647.0</v>
      </c>
      <c r="P674" s="33">
        <v>160.0</v>
      </c>
      <c r="Q674" s="33">
        <v>1519.0</v>
      </c>
      <c r="R674" s="34">
        <v>22.6366559</v>
      </c>
      <c r="S674" s="34">
        <v>13.5048232</v>
      </c>
      <c r="T674" s="34">
        <v>9.1318328</v>
      </c>
      <c r="U674" s="34">
        <v>77.3633441</v>
      </c>
      <c r="V674" s="34">
        <v>34.6947549</v>
      </c>
      <c r="W674" s="34">
        <v>27.8159931</v>
      </c>
      <c r="X674" s="34">
        <v>6.8787618</v>
      </c>
      <c r="Y674" s="34">
        <v>65.3052451</v>
      </c>
    </row>
    <row r="675" ht="15.0" hidden="1" customHeight="1">
      <c r="B675" s="26">
        <v>670.0</v>
      </c>
      <c r="C675" s="27" t="s">
        <v>19</v>
      </c>
      <c r="D675" s="40" t="s">
        <v>216</v>
      </c>
      <c r="E675" s="40" t="s">
        <v>223</v>
      </c>
      <c r="F675" s="40"/>
      <c r="G675" s="27" t="s">
        <v>223</v>
      </c>
      <c r="H675" s="28">
        <v>3688.0</v>
      </c>
      <c r="I675" s="28">
        <v>239.0</v>
      </c>
      <c r="J675" s="28">
        <v>104.0</v>
      </c>
      <c r="K675" s="28">
        <v>135.0</v>
      </c>
      <c r="L675" s="28">
        <v>3449.0</v>
      </c>
      <c r="M675" s="28">
        <v>5338.0</v>
      </c>
      <c r="N675" s="28">
        <v>998.0</v>
      </c>
      <c r="O675" s="28">
        <v>754.0</v>
      </c>
      <c r="P675" s="28">
        <v>244.0</v>
      </c>
      <c r="Q675" s="28">
        <v>4340.0</v>
      </c>
      <c r="R675" s="29">
        <v>6.4804772</v>
      </c>
      <c r="S675" s="29">
        <v>2.8199566</v>
      </c>
      <c r="T675" s="29">
        <v>3.6605206</v>
      </c>
      <c r="U675" s="29">
        <v>93.5195228</v>
      </c>
      <c r="V675" s="29">
        <v>18.6961409</v>
      </c>
      <c r="W675" s="29">
        <v>14.1251405</v>
      </c>
      <c r="X675" s="29">
        <v>4.5710004</v>
      </c>
      <c r="Y675" s="29">
        <v>81.3038591</v>
      </c>
    </row>
    <row r="676" ht="15.0" hidden="1" customHeight="1">
      <c r="B676" s="30">
        <v>671.0</v>
      </c>
      <c r="C676" s="31" t="s">
        <v>19</v>
      </c>
      <c r="D676" s="31" t="s">
        <v>216</v>
      </c>
      <c r="E676" s="31" t="s">
        <v>223</v>
      </c>
      <c r="F676" s="31"/>
      <c r="G676" s="32" t="s">
        <v>15</v>
      </c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4"/>
      <c r="S676" s="34"/>
      <c r="T676" s="34"/>
      <c r="U676" s="34"/>
      <c r="V676" s="34"/>
      <c r="W676" s="34"/>
      <c r="X676" s="34"/>
      <c r="Y676" s="34"/>
    </row>
    <row r="677" ht="15.0" hidden="1" customHeight="1">
      <c r="B677" s="30">
        <v>672.0</v>
      </c>
      <c r="C677" s="31" t="s">
        <v>19</v>
      </c>
      <c r="D677" s="31" t="s">
        <v>216</v>
      </c>
      <c r="E677" s="31" t="s">
        <v>223</v>
      </c>
      <c r="F677" s="31"/>
      <c r="G677" s="32" t="s">
        <v>16</v>
      </c>
      <c r="H677" s="33">
        <v>3688.0</v>
      </c>
      <c r="I677" s="33">
        <v>239.0</v>
      </c>
      <c r="J677" s="33">
        <v>104.0</v>
      </c>
      <c r="K677" s="33">
        <v>135.0</v>
      </c>
      <c r="L677" s="33">
        <v>3449.0</v>
      </c>
      <c r="M677" s="33">
        <v>5338.0</v>
      </c>
      <c r="N677" s="33">
        <v>998.0</v>
      </c>
      <c r="O677" s="33">
        <v>754.0</v>
      </c>
      <c r="P677" s="33">
        <v>244.0</v>
      </c>
      <c r="Q677" s="33">
        <v>4340.0</v>
      </c>
      <c r="R677" s="34">
        <v>6.4804772</v>
      </c>
      <c r="S677" s="34">
        <v>2.8199566</v>
      </c>
      <c r="T677" s="34">
        <v>3.6605206</v>
      </c>
      <c r="U677" s="34">
        <v>93.5195228</v>
      </c>
      <c r="V677" s="34">
        <v>18.6961409</v>
      </c>
      <c r="W677" s="34">
        <v>14.1251405</v>
      </c>
      <c r="X677" s="34">
        <v>4.5710004</v>
      </c>
      <c r="Y677" s="34">
        <v>81.3038591</v>
      </c>
    </row>
    <row r="678" ht="15.0" customHeight="1">
      <c r="B678" s="35">
        <v>673.0</v>
      </c>
      <c r="C678" s="36" t="s">
        <v>21</v>
      </c>
      <c r="D678" s="41" t="s">
        <v>216</v>
      </c>
      <c r="E678" s="41" t="s">
        <v>223</v>
      </c>
      <c r="F678" s="41" t="s">
        <v>224</v>
      </c>
      <c r="G678" s="42" t="s">
        <v>224</v>
      </c>
      <c r="H678" s="37">
        <v>3172.0</v>
      </c>
      <c r="I678" s="37">
        <v>146.0</v>
      </c>
      <c r="J678" s="37">
        <v>76.0</v>
      </c>
      <c r="K678" s="37">
        <v>70.0</v>
      </c>
      <c r="L678" s="37">
        <v>3026.0</v>
      </c>
      <c r="M678" s="37">
        <v>4667.0</v>
      </c>
      <c r="N678" s="37">
        <v>742.0</v>
      </c>
      <c r="O678" s="37">
        <v>533.0</v>
      </c>
      <c r="P678" s="37">
        <v>209.0</v>
      </c>
      <c r="Q678" s="37">
        <v>3925.0</v>
      </c>
      <c r="R678" s="38">
        <v>4.6027743</v>
      </c>
      <c r="S678" s="38">
        <v>2.3959647</v>
      </c>
      <c r="T678" s="38">
        <v>2.2068096</v>
      </c>
      <c r="U678" s="38">
        <v>95.3972257</v>
      </c>
      <c r="V678" s="38">
        <v>15.8988644</v>
      </c>
      <c r="W678" s="38">
        <v>11.4206128</v>
      </c>
      <c r="X678" s="38">
        <v>4.4782516</v>
      </c>
      <c r="Y678" s="38">
        <v>84.1011356</v>
      </c>
    </row>
    <row r="679" ht="15.0" hidden="1" customHeight="1">
      <c r="B679" s="30">
        <v>674.0</v>
      </c>
      <c r="C679" s="31" t="s">
        <v>21</v>
      </c>
      <c r="D679" s="31" t="s">
        <v>216</v>
      </c>
      <c r="E679" s="31" t="s">
        <v>223</v>
      </c>
      <c r="F679" s="31" t="s">
        <v>224</v>
      </c>
      <c r="G679" s="32" t="s">
        <v>15</v>
      </c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4"/>
      <c r="S679" s="34"/>
      <c r="T679" s="34"/>
      <c r="U679" s="34"/>
      <c r="V679" s="34"/>
      <c r="W679" s="34"/>
      <c r="X679" s="34"/>
      <c r="Y679" s="34"/>
    </row>
    <row r="680" ht="15.0" hidden="1" customHeight="1">
      <c r="B680" s="30">
        <v>675.0</v>
      </c>
      <c r="C680" s="31" t="s">
        <v>21</v>
      </c>
      <c r="D680" s="31" t="s">
        <v>216</v>
      </c>
      <c r="E680" s="31" t="s">
        <v>223</v>
      </c>
      <c r="F680" s="31" t="s">
        <v>224</v>
      </c>
      <c r="G680" s="32" t="s">
        <v>16</v>
      </c>
      <c r="H680" s="33">
        <v>3172.0</v>
      </c>
      <c r="I680" s="33">
        <v>146.0</v>
      </c>
      <c r="J680" s="33">
        <v>76.0</v>
      </c>
      <c r="K680" s="33">
        <v>70.0</v>
      </c>
      <c r="L680" s="33">
        <v>3026.0</v>
      </c>
      <c r="M680" s="33">
        <v>4667.0</v>
      </c>
      <c r="N680" s="33">
        <v>742.0</v>
      </c>
      <c r="O680" s="33">
        <v>533.0</v>
      </c>
      <c r="P680" s="33">
        <v>209.0</v>
      </c>
      <c r="Q680" s="33">
        <v>3925.0</v>
      </c>
      <c r="R680" s="34">
        <v>4.6027743</v>
      </c>
      <c r="S680" s="34">
        <v>2.3959647</v>
      </c>
      <c r="T680" s="34">
        <v>2.2068096</v>
      </c>
      <c r="U680" s="34">
        <v>95.3972257</v>
      </c>
      <c r="V680" s="34">
        <v>15.8988644</v>
      </c>
      <c r="W680" s="34">
        <v>11.4206128</v>
      </c>
      <c r="X680" s="34">
        <v>4.4782516</v>
      </c>
      <c r="Y680" s="34">
        <v>84.1011356</v>
      </c>
    </row>
    <row r="681" ht="15.0" customHeight="1">
      <c r="B681" s="35">
        <v>676.0</v>
      </c>
      <c r="C681" s="36" t="s">
        <v>21</v>
      </c>
      <c r="D681" s="41" t="s">
        <v>216</v>
      </c>
      <c r="E681" s="41" t="s">
        <v>223</v>
      </c>
      <c r="F681" s="41" t="s">
        <v>225</v>
      </c>
      <c r="G681" s="42" t="s">
        <v>225</v>
      </c>
      <c r="H681" s="37">
        <v>516.0</v>
      </c>
      <c r="I681" s="37">
        <v>93.0</v>
      </c>
      <c r="J681" s="37">
        <v>28.0</v>
      </c>
      <c r="K681" s="37">
        <v>65.0</v>
      </c>
      <c r="L681" s="37">
        <v>423.0</v>
      </c>
      <c r="M681" s="37">
        <v>671.0</v>
      </c>
      <c r="N681" s="37">
        <v>256.0</v>
      </c>
      <c r="O681" s="37">
        <v>221.0</v>
      </c>
      <c r="P681" s="37">
        <v>35.0</v>
      </c>
      <c r="Q681" s="37">
        <v>415.0</v>
      </c>
      <c r="R681" s="38">
        <v>18.0232558</v>
      </c>
      <c r="S681" s="38">
        <v>5.4263566</v>
      </c>
      <c r="T681" s="38">
        <v>12.5968992</v>
      </c>
      <c r="U681" s="38">
        <v>81.9767442</v>
      </c>
      <c r="V681" s="38">
        <v>38.1520119</v>
      </c>
      <c r="W681" s="38">
        <v>32.9359165</v>
      </c>
      <c r="X681" s="38">
        <v>5.2160954</v>
      </c>
      <c r="Y681" s="38">
        <v>61.8479881</v>
      </c>
    </row>
    <row r="682" ht="15.0" hidden="1" customHeight="1">
      <c r="B682" s="30">
        <v>677.0</v>
      </c>
      <c r="C682" s="31" t="s">
        <v>21</v>
      </c>
      <c r="D682" s="31" t="s">
        <v>216</v>
      </c>
      <c r="E682" s="31" t="s">
        <v>223</v>
      </c>
      <c r="F682" s="31" t="s">
        <v>225</v>
      </c>
      <c r="G682" s="32" t="s">
        <v>15</v>
      </c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4"/>
      <c r="S682" s="34"/>
      <c r="T682" s="34"/>
      <c r="U682" s="34"/>
      <c r="V682" s="34"/>
      <c r="W682" s="34"/>
      <c r="X682" s="34"/>
      <c r="Y682" s="34"/>
    </row>
    <row r="683" ht="15.0" hidden="1" customHeight="1">
      <c r="B683" s="30">
        <v>678.0</v>
      </c>
      <c r="C683" s="31" t="s">
        <v>21</v>
      </c>
      <c r="D683" s="31" t="s">
        <v>216</v>
      </c>
      <c r="E683" s="31" t="s">
        <v>223</v>
      </c>
      <c r="F683" s="31" t="s">
        <v>225</v>
      </c>
      <c r="G683" s="32" t="s">
        <v>16</v>
      </c>
      <c r="H683" s="33">
        <v>516.0</v>
      </c>
      <c r="I683" s="33">
        <v>93.0</v>
      </c>
      <c r="J683" s="33">
        <v>28.0</v>
      </c>
      <c r="K683" s="33">
        <v>65.0</v>
      </c>
      <c r="L683" s="33">
        <v>423.0</v>
      </c>
      <c r="M683" s="33">
        <v>671.0</v>
      </c>
      <c r="N683" s="33">
        <v>256.0</v>
      </c>
      <c r="O683" s="33">
        <v>221.0</v>
      </c>
      <c r="P683" s="33">
        <v>35.0</v>
      </c>
      <c r="Q683" s="33">
        <v>415.0</v>
      </c>
      <c r="R683" s="34">
        <v>18.0232558</v>
      </c>
      <c r="S683" s="34">
        <v>5.4263566</v>
      </c>
      <c r="T683" s="34">
        <v>12.5968992</v>
      </c>
      <c r="U683" s="34">
        <v>81.9767442</v>
      </c>
      <c r="V683" s="34">
        <v>38.1520119</v>
      </c>
      <c r="W683" s="34">
        <v>32.9359165</v>
      </c>
      <c r="X683" s="34">
        <v>5.2160954</v>
      </c>
      <c r="Y683" s="34">
        <v>61.8479881</v>
      </c>
    </row>
    <row r="684" ht="15.0" hidden="1" customHeight="1">
      <c r="B684" s="26">
        <v>679.0</v>
      </c>
      <c r="C684" s="27" t="s">
        <v>19</v>
      </c>
      <c r="D684" s="40" t="s">
        <v>216</v>
      </c>
      <c r="E684" s="40" t="s">
        <v>226</v>
      </c>
      <c r="F684" s="40"/>
      <c r="G684" s="27" t="s">
        <v>226</v>
      </c>
      <c r="H684" s="28">
        <v>2911.0</v>
      </c>
      <c r="I684" s="28">
        <v>968.0</v>
      </c>
      <c r="J684" s="28">
        <v>458.0</v>
      </c>
      <c r="K684" s="28">
        <v>510.0</v>
      </c>
      <c r="L684" s="28">
        <v>1943.0</v>
      </c>
      <c r="M684" s="28">
        <v>3747.0</v>
      </c>
      <c r="N684" s="28">
        <v>1722.0</v>
      </c>
      <c r="O684" s="28">
        <v>1386.0</v>
      </c>
      <c r="P684" s="28">
        <v>336.0</v>
      </c>
      <c r="Q684" s="28">
        <v>2025.0</v>
      </c>
      <c r="R684" s="29">
        <v>33.2531776</v>
      </c>
      <c r="S684" s="29">
        <v>15.7334249</v>
      </c>
      <c r="T684" s="29">
        <v>17.5197527</v>
      </c>
      <c r="U684" s="29">
        <v>66.7468224</v>
      </c>
      <c r="V684" s="29">
        <v>45.9567654</v>
      </c>
      <c r="W684" s="29">
        <v>36.9895917</v>
      </c>
      <c r="X684" s="29">
        <v>8.9671737</v>
      </c>
      <c r="Y684" s="29">
        <v>54.0432346</v>
      </c>
    </row>
    <row r="685" ht="15.0" hidden="1" customHeight="1">
      <c r="B685" s="30">
        <v>680.0</v>
      </c>
      <c r="C685" s="31" t="s">
        <v>19</v>
      </c>
      <c r="D685" s="31" t="s">
        <v>216</v>
      </c>
      <c r="E685" s="31" t="s">
        <v>226</v>
      </c>
      <c r="F685" s="31"/>
      <c r="G685" s="32" t="s">
        <v>15</v>
      </c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4"/>
      <c r="S685" s="34"/>
      <c r="T685" s="34"/>
      <c r="U685" s="34"/>
      <c r="V685" s="34"/>
      <c r="W685" s="34"/>
      <c r="X685" s="34"/>
      <c r="Y685" s="34"/>
    </row>
    <row r="686" ht="15.0" hidden="1" customHeight="1">
      <c r="B686" s="30">
        <v>681.0</v>
      </c>
      <c r="C686" s="31" t="s">
        <v>19</v>
      </c>
      <c r="D686" s="31" t="s">
        <v>216</v>
      </c>
      <c r="E686" s="31" t="s">
        <v>226</v>
      </c>
      <c r="F686" s="31"/>
      <c r="G686" s="32" t="s">
        <v>16</v>
      </c>
      <c r="H686" s="33">
        <v>2911.0</v>
      </c>
      <c r="I686" s="33">
        <v>968.0</v>
      </c>
      <c r="J686" s="33">
        <v>458.0</v>
      </c>
      <c r="K686" s="33">
        <v>510.0</v>
      </c>
      <c r="L686" s="33">
        <v>1943.0</v>
      </c>
      <c r="M686" s="33">
        <v>3747.0</v>
      </c>
      <c r="N686" s="33">
        <v>1722.0</v>
      </c>
      <c r="O686" s="33">
        <v>1386.0</v>
      </c>
      <c r="P686" s="33">
        <v>336.0</v>
      </c>
      <c r="Q686" s="33">
        <v>2025.0</v>
      </c>
      <c r="R686" s="34">
        <v>33.2531776</v>
      </c>
      <c r="S686" s="34">
        <v>15.7334249</v>
      </c>
      <c r="T686" s="34">
        <v>17.5197527</v>
      </c>
      <c r="U686" s="34">
        <v>66.7468224</v>
      </c>
      <c r="V686" s="34">
        <v>45.9567654</v>
      </c>
      <c r="W686" s="34">
        <v>36.9895917</v>
      </c>
      <c r="X686" s="34">
        <v>8.9671737</v>
      </c>
      <c r="Y686" s="34">
        <v>54.0432346</v>
      </c>
    </row>
    <row r="687" ht="15.0" customHeight="1">
      <c r="B687" s="35">
        <v>682.0</v>
      </c>
      <c r="C687" s="36" t="s">
        <v>21</v>
      </c>
      <c r="D687" s="41" t="s">
        <v>216</v>
      </c>
      <c r="E687" s="41" t="s">
        <v>226</v>
      </c>
      <c r="F687" s="41" t="s">
        <v>227</v>
      </c>
      <c r="G687" s="42" t="s">
        <v>227</v>
      </c>
      <c r="H687" s="37">
        <v>1355.0</v>
      </c>
      <c r="I687" s="37">
        <v>493.0</v>
      </c>
      <c r="J687" s="37">
        <v>233.0</v>
      </c>
      <c r="K687" s="37">
        <v>260.0</v>
      </c>
      <c r="L687" s="37">
        <v>862.0</v>
      </c>
      <c r="M687" s="37">
        <v>1987.0</v>
      </c>
      <c r="N687" s="37">
        <v>987.0</v>
      </c>
      <c r="O687" s="37">
        <v>787.0</v>
      </c>
      <c r="P687" s="37">
        <v>200.0</v>
      </c>
      <c r="Q687" s="37">
        <v>1000.0</v>
      </c>
      <c r="R687" s="38">
        <v>36.3837638</v>
      </c>
      <c r="S687" s="38">
        <v>17.195572</v>
      </c>
      <c r="T687" s="38">
        <v>19.1881919</v>
      </c>
      <c r="U687" s="38">
        <v>63.6162362</v>
      </c>
      <c r="V687" s="38">
        <v>49.6728737</v>
      </c>
      <c r="W687" s="38">
        <v>39.6074484</v>
      </c>
      <c r="X687" s="38">
        <v>10.0654253</v>
      </c>
      <c r="Y687" s="38">
        <v>50.3271263</v>
      </c>
    </row>
    <row r="688" ht="15.0" hidden="1" customHeight="1">
      <c r="B688" s="30">
        <v>683.0</v>
      </c>
      <c r="C688" s="31" t="s">
        <v>21</v>
      </c>
      <c r="D688" s="31" t="s">
        <v>216</v>
      </c>
      <c r="E688" s="31" t="s">
        <v>226</v>
      </c>
      <c r="F688" s="31" t="s">
        <v>227</v>
      </c>
      <c r="G688" s="32" t="s">
        <v>15</v>
      </c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4"/>
      <c r="S688" s="34"/>
      <c r="T688" s="34"/>
      <c r="U688" s="34"/>
      <c r="V688" s="34"/>
      <c r="W688" s="34"/>
      <c r="X688" s="34"/>
      <c r="Y688" s="34"/>
    </row>
    <row r="689" ht="15.0" hidden="1" customHeight="1">
      <c r="B689" s="30">
        <v>684.0</v>
      </c>
      <c r="C689" s="31" t="s">
        <v>21</v>
      </c>
      <c r="D689" s="31" t="s">
        <v>216</v>
      </c>
      <c r="E689" s="31" t="s">
        <v>226</v>
      </c>
      <c r="F689" s="31" t="s">
        <v>227</v>
      </c>
      <c r="G689" s="32" t="s">
        <v>16</v>
      </c>
      <c r="H689" s="33">
        <v>1355.0</v>
      </c>
      <c r="I689" s="33">
        <v>493.0</v>
      </c>
      <c r="J689" s="33">
        <v>233.0</v>
      </c>
      <c r="K689" s="33">
        <v>260.0</v>
      </c>
      <c r="L689" s="33">
        <v>862.0</v>
      </c>
      <c r="M689" s="33">
        <v>1987.0</v>
      </c>
      <c r="N689" s="33">
        <v>987.0</v>
      </c>
      <c r="O689" s="33">
        <v>787.0</v>
      </c>
      <c r="P689" s="33">
        <v>200.0</v>
      </c>
      <c r="Q689" s="33">
        <v>1000.0</v>
      </c>
      <c r="R689" s="34">
        <v>36.3837638</v>
      </c>
      <c r="S689" s="34">
        <v>17.195572</v>
      </c>
      <c r="T689" s="34">
        <v>19.1881919</v>
      </c>
      <c r="U689" s="34">
        <v>63.6162362</v>
      </c>
      <c r="V689" s="34">
        <v>49.6728737</v>
      </c>
      <c r="W689" s="34">
        <v>39.6074484</v>
      </c>
      <c r="X689" s="34">
        <v>10.0654253</v>
      </c>
      <c r="Y689" s="34">
        <v>50.3271263</v>
      </c>
    </row>
    <row r="690" ht="15.0" customHeight="1">
      <c r="B690" s="35">
        <v>685.0</v>
      </c>
      <c r="C690" s="36" t="s">
        <v>21</v>
      </c>
      <c r="D690" s="41" t="s">
        <v>216</v>
      </c>
      <c r="E690" s="41" t="s">
        <v>226</v>
      </c>
      <c r="F690" s="41" t="s">
        <v>228</v>
      </c>
      <c r="G690" s="42" t="s">
        <v>228</v>
      </c>
      <c r="H690" s="37">
        <v>1556.0</v>
      </c>
      <c r="I690" s="37">
        <v>475.0</v>
      </c>
      <c r="J690" s="37">
        <v>225.0</v>
      </c>
      <c r="K690" s="37">
        <v>250.0</v>
      </c>
      <c r="L690" s="37">
        <v>1081.0</v>
      </c>
      <c r="M690" s="37">
        <v>1760.0</v>
      </c>
      <c r="N690" s="37">
        <v>735.0</v>
      </c>
      <c r="O690" s="37">
        <v>599.0</v>
      </c>
      <c r="P690" s="37">
        <v>136.0</v>
      </c>
      <c r="Q690" s="37">
        <v>1025.0</v>
      </c>
      <c r="R690" s="38">
        <v>30.5269923</v>
      </c>
      <c r="S690" s="38">
        <v>14.4601542</v>
      </c>
      <c r="T690" s="38">
        <v>16.066838</v>
      </c>
      <c r="U690" s="38">
        <v>69.4730077</v>
      </c>
      <c r="V690" s="38">
        <v>41.7613636</v>
      </c>
      <c r="W690" s="38">
        <v>34.0340909</v>
      </c>
      <c r="X690" s="38">
        <v>7.7272727</v>
      </c>
      <c r="Y690" s="38">
        <v>58.2386364</v>
      </c>
    </row>
    <row r="691" ht="15.0" hidden="1" customHeight="1">
      <c r="B691" s="30">
        <v>686.0</v>
      </c>
      <c r="C691" s="31" t="s">
        <v>21</v>
      </c>
      <c r="D691" s="31" t="s">
        <v>216</v>
      </c>
      <c r="E691" s="31" t="s">
        <v>226</v>
      </c>
      <c r="F691" s="31" t="s">
        <v>228</v>
      </c>
      <c r="G691" s="32" t="s">
        <v>15</v>
      </c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4"/>
      <c r="S691" s="34"/>
      <c r="T691" s="34"/>
      <c r="U691" s="34"/>
      <c r="V691" s="34"/>
      <c r="W691" s="34"/>
      <c r="X691" s="34"/>
      <c r="Y691" s="34"/>
    </row>
    <row r="692" ht="15.0" hidden="1" customHeight="1">
      <c r="B692" s="30">
        <v>687.0</v>
      </c>
      <c r="C692" s="31" t="s">
        <v>21</v>
      </c>
      <c r="D692" s="31" t="s">
        <v>216</v>
      </c>
      <c r="E692" s="31" t="s">
        <v>226</v>
      </c>
      <c r="F692" s="31" t="s">
        <v>228</v>
      </c>
      <c r="G692" s="32" t="s">
        <v>16</v>
      </c>
      <c r="H692" s="33">
        <v>1556.0</v>
      </c>
      <c r="I692" s="33">
        <v>475.0</v>
      </c>
      <c r="J692" s="33">
        <v>225.0</v>
      </c>
      <c r="K692" s="33">
        <v>250.0</v>
      </c>
      <c r="L692" s="33">
        <v>1081.0</v>
      </c>
      <c r="M692" s="33">
        <v>1760.0</v>
      </c>
      <c r="N692" s="33">
        <v>735.0</v>
      </c>
      <c r="O692" s="33">
        <v>599.0</v>
      </c>
      <c r="P692" s="33">
        <v>136.0</v>
      </c>
      <c r="Q692" s="33">
        <v>1025.0</v>
      </c>
      <c r="R692" s="34">
        <v>30.5269923</v>
      </c>
      <c r="S692" s="34">
        <v>14.4601542</v>
      </c>
      <c r="T692" s="34">
        <v>16.066838</v>
      </c>
      <c r="U692" s="34">
        <v>69.4730077</v>
      </c>
      <c r="V692" s="34">
        <v>41.7613636</v>
      </c>
      <c r="W692" s="34">
        <v>34.0340909</v>
      </c>
      <c r="X692" s="34">
        <v>7.7272727</v>
      </c>
      <c r="Y692" s="34">
        <v>58.2386364</v>
      </c>
    </row>
    <row r="693" ht="15.0" hidden="1" customHeight="1">
      <c r="B693" s="26">
        <v>688.0</v>
      </c>
      <c r="C693" s="27" t="s">
        <v>19</v>
      </c>
      <c r="D693" s="40" t="s">
        <v>216</v>
      </c>
      <c r="E693" s="40" t="s">
        <v>229</v>
      </c>
      <c r="F693" s="40"/>
      <c r="G693" s="27" t="s">
        <v>229</v>
      </c>
      <c r="H693" s="28">
        <v>2903.0</v>
      </c>
      <c r="I693" s="28">
        <v>430.0</v>
      </c>
      <c r="J693" s="28">
        <v>232.0</v>
      </c>
      <c r="K693" s="28">
        <v>198.0</v>
      </c>
      <c r="L693" s="28">
        <v>2473.0</v>
      </c>
      <c r="M693" s="28">
        <v>3645.0</v>
      </c>
      <c r="N693" s="28">
        <v>2398.0</v>
      </c>
      <c r="O693" s="28">
        <v>1554.0</v>
      </c>
      <c r="P693" s="28">
        <v>844.0</v>
      </c>
      <c r="Q693" s="28">
        <v>1247.0</v>
      </c>
      <c r="R693" s="29">
        <v>14.8122632</v>
      </c>
      <c r="S693" s="29">
        <v>7.9917327</v>
      </c>
      <c r="T693" s="29">
        <v>6.8205305</v>
      </c>
      <c r="U693" s="29">
        <v>85.1877368</v>
      </c>
      <c r="V693" s="29">
        <v>65.7887517</v>
      </c>
      <c r="W693" s="29">
        <v>42.6337449</v>
      </c>
      <c r="X693" s="29">
        <v>23.1550069</v>
      </c>
      <c r="Y693" s="29">
        <v>34.2112483</v>
      </c>
    </row>
    <row r="694" ht="15.0" hidden="1" customHeight="1">
      <c r="B694" s="30">
        <v>689.0</v>
      </c>
      <c r="C694" s="31" t="s">
        <v>19</v>
      </c>
      <c r="D694" s="31" t="s">
        <v>216</v>
      </c>
      <c r="E694" s="31" t="s">
        <v>229</v>
      </c>
      <c r="F694" s="31"/>
      <c r="G694" s="32" t="s">
        <v>15</v>
      </c>
      <c r="H694" s="33"/>
      <c r="I694" s="33"/>
      <c r="J694" s="33"/>
      <c r="K694" s="33"/>
      <c r="L694" s="33"/>
      <c r="M694" s="33">
        <v>1752.0</v>
      </c>
      <c r="N694" s="33">
        <v>1385.0</v>
      </c>
      <c r="O694" s="33">
        <v>841.0</v>
      </c>
      <c r="P694" s="33">
        <v>544.0</v>
      </c>
      <c r="Q694" s="33">
        <v>367.0</v>
      </c>
      <c r="R694" s="34"/>
      <c r="S694" s="34"/>
      <c r="T694" s="34"/>
      <c r="U694" s="34"/>
      <c r="V694" s="34">
        <v>79.0525114</v>
      </c>
      <c r="W694" s="34">
        <v>48.0022831</v>
      </c>
      <c r="X694" s="34">
        <v>31.0502283</v>
      </c>
      <c r="Y694" s="34">
        <v>20.9474886</v>
      </c>
    </row>
    <row r="695" ht="15.0" hidden="1" customHeight="1">
      <c r="B695" s="30">
        <v>690.0</v>
      </c>
      <c r="C695" s="31" t="s">
        <v>19</v>
      </c>
      <c r="D695" s="31" t="s">
        <v>216</v>
      </c>
      <c r="E695" s="31" t="s">
        <v>229</v>
      </c>
      <c r="F695" s="31"/>
      <c r="G695" s="32" t="s">
        <v>16</v>
      </c>
      <c r="H695" s="33">
        <v>2903.0</v>
      </c>
      <c r="I695" s="33">
        <v>430.0</v>
      </c>
      <c r="J695" s="33">
        <v>232.0</v>
      </c>
      <c r="K695" s="33">
        <v>198.0</v>
      </c>
      <c r="L695" s="33">
        <v>2473.0</v>
      </c>
      <c r="M695" s="33">
        <v>1893.0</v>
      </c>
      <c r="N695" s="33">
        <v>1013.0</v>
      </c>
      <c r="O695" s="33">
        <v>713.0</v>
      </c>
      <c r="P695" s="33">
        <v>300.0</v>
      </c>
      <c r="Q695" s="33">
        <v>880.0</v>
      </c>
      <c r="R695" s="34">
        <v>14.8122632</v>
      </c>
      <c r="S695" s="34">
        <v>7.9917327</v>
      </c>
      <c r="T695" s="34">
        <v>6.8205305</v>
      </c>
      <c r="U695" s="34">
        <v>85.1877368</v>
      </c>
      <c r="V695" s="34">
        <v>53.5129424</v>
      </c>
      <c r="W695" s="34">
        <v>37.6650819</v>
      </c>
      <c r="X695" s="34">
        <v>15.8478605</v>
      </c>
      <c r="Y695" s="34">
        <v>46.4870576</v>
      </c>
    </row>
    <row r="696" ht="15.0" customHeight="1">
      <c r="B696" s="35">
        <v>691.0</v>
      </c>
      <c r="C696" s="36" t="s">
        <v>21</v>
      </c>
      <c r="D696" s="41" t="s">
        <v>216</v>
      </c>
      <c r="E696" s="41" t="s">
        <v>229</v>
      </c>
      <c r="F696" s="41" t="s">
        <v>230</v>
      </c>
      <c r="G696" s="42" t="s">
        <v>230</v>
      </c>
      <c r="H696" s="37">
        <v>349.0</v>
      </c>
      <c r="I696" s="37">
        <v>248.0</v>
      </c>
      <c r="J696" s="37">
        <v>145.0</v>
      </c>
      <c r="K696" s="37">
        <v>103.0</v>
      </c>
      <c r="L696" s="37">
        <v>101.0</v>
      </c>
      <c r="M696" s="37">
        <v>1192.0</v>
      </c>
      <c r="N696" s="37">
        <v>968.0</v>
      </c>
      <c r="O696" s="37">
        <v>631.0</v>
      </c>
      <c r="P696" s="37">
        <v>337.0</v>
      </c>
      <c r="Q696" s="37">
        <v>224.0</v>
      </c>
      <c r="R696" s="38">
        <v>71.0601719</v>
      </c>
      <c r="S696" s="38">
        <v>41.5472779</v>
      </c>
      <c r="T696" s="38">
        <v>29.512894</v>
      </c>
      <c r="U696" s="38">
        <v>28.9398281</v>
      </c>
      <c r="V696" s="38">
        <v>81.2080537</v>
      </c>
      <c r="W696" s="38">
        <v>52.9362416</v>
      </c>
      <c r="X696" s="38">
        <v>28.2718121</v>
      </c>
      <c r="Y696" s="38">
        <v>18.7919463</v>
      </c>
    </row>
    <row r="697" ht="15.0" hidden="1" customHeight="1">
      <c r="B697" s="30">
        <v>692.0</v>
      </c>
      <c r="C697" s="31" t="s">
        <v>21</v>
      </c>
      <c r="D697" s="31" t="s">
        <v>216</v>
      </c>
      <c r="E697" s="31" t="s">
        <v>229</v>
      </c>
      <c r="F697" s="31" t="s">
        <v>230</v>
      </c>
      <c r="G697" s="32" t="s">
        <v>15</v>
      </c>
      <c r="H697" s="33"/>
      <c r="I697" s="33"/>
      <c r="J697" s="33"/>
      <c r="K697" s="33"/>
      <c r="L697" s="33"/>
      <c r="M697" s="33">
        <v>1140.0</v>
      </c>
      <c r="N697" s="33">
        <v>954.0</v>
      </c>
      <c r="O697" s="33">
        <v>617.0</v>
      </c>
      <c r="P697" s="33">
        <v>337.0</v>
      </c>
      <c r="Q697" s="33">
        <v>186.0</v>
      </c>
      <c r="R697" s="34"/>
      <c r="S697" s="34"/>
      <c r="T697" s="34"/>
      <c r="U697" s="34"/>
      <c r="V697" s="34">
        <v>83.6842105</v>
      </c>
      <c r="W697" s="34">
        <v>54.122807</v>
      </c>
      <c r="X697" s="34">
        <v>29.5614035</v>
      </c>
      <c r="Y697" s="34">
        <v>16.3157895</v>
      </c>
    </row>
    <row r="698" ht="15.0" hidden="1" customHeight="1">
      <c r="B698" s="30">
        <v>693.0</v>
      </c>
      <c r="C698" s="31" t="s">
        <v>21</v>
      </c>
      <c r="D698" s="31" t="s">
        <v>216</v>
      </c>
      <c r="E698" s="31" t="s">
        <v>229</v>
      </c>
      <c r="F698" s="31" t="s">
        <v>230</v>
      </c>
      <c r="G698" s="32" t="s">
        <v>16</v>
      </c>
      <c r="H698" s="33">
        <v>349.0</v>
      </c>
      <c r="I698" s="33">
        <v>248.0</v>
      </c>
      <c r="J698" s="33">
        <v>145.0</v>
      </c>
      <c r="K698" s="33">
        <v>103.0</v>
      </c>
      <c r="L698" s="33">
        <v>101.0</v>
      </c>
      <c r="M698" s="33">
        <v>52.0</v>
      </c>
      <c r="N698" s="33">
        <v>14.0</v>
      </c>
      <c r="O698" s="33">
        <v>14.0</v>
      </c>
      <c r="P698" s="33">
        <v>0.0</v>
      </c>
      <c r="Q698" s="33">
        <v>38.0</v>
      </c>
      <c r="R698" s="34">
        <v>71.0601719</v>
      </c>
      <c r="S698" s="34">
        <v>41.5472779</v>
      </c>
      <c r="T698" s="34">
        <v>29.512894</v>
      </c>
      <c r="U698" s="34">
        <v>28.9398281</v>
      </c>
      <c r="V698" s="34">
        <v>26.9230769</v>
      </c>
      <c r="W698" s="34">
        <v>26.9230769</v>
      </c>
      <c r="X698" s="34">
        <v>0.0</v>
      </c>
      <c r="Y698" s="34">
        <v>73.0769231</v>
      </c>
    </row>
    <row r="699" ht="15.0" customHeight="1">
      <c r="B699" s="35">
        <v>694.0</v>
      </c>
      <c r="C699" s="36" t="s">
        <v>21</v>
      </c>
      <c r="D699" s="41" t="s">
        <v>216</v>
      </c>
      <c r="E699" s="41" t="s">
        <v>229</v>
      </c>
      <c r="F699" s="41" t="s">
        <v>231</v>
      </c>
      <c r="G699" s="42" t="s">
        <v>231</v>
      </c>
      <c r="H699" s="37">
        <v>1082.0</v>
      </c>
      <c r="I699" s="37">
        <v>57.0</v>
      </c>
      <c r="J699" s="37">
        <v>17.0</v>
      </c>
      <c r="K699" s="37">
        <v>40.0</v>
      </c>
      <c r="L699" s="37">
        <v>1025.0</v>
      </c>
      <c r="M699" s="37">
        <v>1055.0</v>
      </c>
      <c r="N699" s="37">
        <v>537.0</v>
      </c>
      <c r="O699" s="37">
        <v>289.0</v>
      </c>
      <c r="P699" s="37">
        <v>248.0</v>
      </c>
      <c r="Q699" s="37">
        <v>518.0</v>
      </c>
      <c r="R699" s="38">
        <v>5.2680222</v>
      </c>
      <c r="S699" s="38">
        <v>1.5711645</v>
      </c>
      <c r="T699" s="38">
        <v>3.6968577</v>
      </c>
      <c r="U699" s="38">
        <v>94.7319778</v>
      </c>
      <c r="V699" s="38">
        <v>50.9004739</v>
      </c>
      <c r="W699" s="38">
        <v>27.3933649</v>
      </c>
      <c r="X699" s="38">
        <v>23.507109</v>
      </c>
      <c r="Y699" s="38">
        <v>49.0995261</v>
      </c>
    </row>
    <row r="700" ht="15.0" hidden="1" customHeight="1">
      <c r="B700" s="30">
        <v>695.0</v>
      </c>
      <c r="C700" s="31" t="s">
        <v>21</v>
      </c>
      <c r="D700" s="31" t="s">
        <v>216</v>
      </c>
      <c r="E700" s="31" t="s">
        <v>229</v>
      </c>
      <c r="F700" s="31" t="s">
        <v>231</v>
      </c>
      <c r="G700" s="32" t="s">
        <v>15</v>
      </c>
      <c r="H700" s="33"/>
      <c r="I700" s="33"/>
      <c r="J700" s="33"/>
      <c r="K700" s="33"/>
      <c r="L700" s="33"/>
      <c r="M700" s="33">
        <v>612.0</v>
      </c>
      <c r="N700" s="33">
        <v>431.0</v>
      </c>
      <c r="O700" s="33">
        <v>224.0</v>
      </c>
      <c r="P700" s="33">
        <v>207.0</v>
      </c>
      <c r="Q700" s="33">
        <v>181.0</v>
      </c>
      <c r="R700" s="34"/>
      <c r="S700" s="34"/>
      <c r="T700" s="34"/>
      <c r="U700" s="34"/>
      <c r="V700" s="34">
        <v>70.4248366</v>
      </c>
      <c r="W700" s="34">
        <v>36.6013072</v>
      </c>
      <c r="X700" s="34">
        <v>33.8235294</v>
      </c>
      <c r="Y700" s="34">
        <v>29.5751634</v>
      </c>
    </row>
    <row r="701" ht="15.0" hidden="1" customHeight="1">
      <c r="B701" s="30">
        <v>696.0</v>
      </c>
      <c r="C701" s="31" t="s">
        <v>21</v>
      </c>
      <c r="D701" s="31" t="s">
        <v>216</v>
      </c>
      <c r="E701" s="31" t="s">
        <v>229</v>
      </c>
      <c r="F701" s="31" t="s">
        <v>231</v>
      </c>
      <c r="G701" s="32" t="s">
        <v>16</v>
      </c>
      <c r="H701" s="33">
        <v>1082.0</v>
      </c>
      <c r="I701" s="33">
        <v>57.0</v>
      </c>
      <c r="J701" s="33">
        <v>17.0</v>
      </c>
      <c r="K701" s="33">
        <v>40.0</v>
      </c>
      <c r="L701" s="33">
        <v>1025.0</v>
      </c>
      <c r="M701" s="33">
        <v>443.0</v>
      </c>
      <c r="N701" s="33">
        <v>106.0</v>
      </c>
      <c r="O701" s="33">
        <v>65.0</v>
      </c>
      <c r="P701" s="33">
        <v>41.0</v>
      </c>
      <c r="Q701" s="33">
        <v>337.0</v>
      </c>
      <c r="R701" s="34">
        <v>5.2680222</v>
      </c>
      <c r="S701" s="34">
        <v>1.5711645</v>
      </c>
      <c r="T701" s="34">
        <v>3.6968577</v>
      </c>
      <c r="U701" s="34">
        <v>94.7319778</v>
      </c>
      <c r="V701" s="34">
        <v>23.9277652</v>
      </c>
      <c r="W701" s="34">
        <v>14.6726862</v>
      </c>
      <c r="X701" s="34">
        <v>9.255079</v>
      </c>
      <c r="Y701" s="34">
        <v>76.0722348</v>
      </c>
    </row>
    <row r="702" ht="15.0" customHeight="1">
      <c r="B702" s="35">
        <v>697.0</v>
      </c>
      <c r="C702" s="36" t="s">
        <v>21</v>
      </c>
      <c r="D702" s="41" t="s">
        <v>216</v>
      </c>
      <c r="E702" s="41" t="s">
        <v>229</v>
      </c>
      <c r="F702" s="41" t="s">
        <v>232</v>
      </c>
      <c r="G702" s="42" t="s">
        <v>232</v>
      </c>
      <c r="H702" s="37">
        <v>584.0</v>
      </c>
      <c r="I702" s="37">
        <v>35.0</v>
      </c>
      <c r="J702" s="37">
        <v>12.0</v>
      </c>
      <c r="K702" s="37">
        <v>23.0</v>
      </c>
      <c r="L702" s="37">
        <v>549.0</v>
      </c>
      <c r="M702" s="37">
        <v>352.0</v>
      </c>
      <c r="N702" s="37">
        <v>208.0</v>
      </c>
      <c r="O702" s="37">
        <v>138.0</v>
      </c>
      <c r="P702" s="37">
        <v>70.0</v>
      </c>
      <c r="Q702" s="37">
        <v>144.0</v>
      </c>
      <c r="R702" s="38">
        <v>5.9931507</v>
      </c>
      <c r="S702" s="38">
        <v>2.0547945</v>
      </c>
      <c r="T702" s="38">
        <v>3.9383562</v>
      </c>
      <c r="U702" s="38">
        <v>94.0068493</v>
      </c>
      <c r="V702" s="38">
        <v>59.0909091</v>
      </c>
      <c r="W702" s="38">
        <v>39.2045455</v>
      </c>
      <c r="X702" s="38">
        <v>19.8863636</v>
      </c>
      <c r="Y702" s="38">
        <v>40.9090909</v>
      </c>
    </row>
    <row r="703" ht="15.0" hidden="1" customHeight="1">
      <c r="B703" s="30">
        <v>698.0</v>
      </c>
      <c r="C703" s="31" t="s">
        <v>21</v>
      </c>
      <c r="D703" s="31" t="s">
        <v>216</v>
      </c>
      <c r="E703" s="31" t="s">
        <v>229</v>
      </c>
      <c r="F703" s="31" t="s">
        <v>232</v>
      </c>
      <c r="G703" s="32" t="s">
        <v>15</v>
      </c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4"/>
      <c r="S703" s="34"/>
      <c r="T703" s="34"/>
      <c r="U703" s="34"/>
      <c r="V703" s="34"/>
      <c r="W703" s="34"/>
      <c r="X703" s="34"/>
      <c r="Y703" s="34"/>
    </row>
    <row r="704" ht="15.0" hidden="1" customHeight="1">
      <c r="B704" s="30">
        <v>699.0</v>
      </c>
      <c r="C704" s="31" t="s">
        <v>21</v>
      </c>
      <c r="D704" s="31" t="s">
        <v>216</v>
      </c>
      <c r="E704" s="31" t="s">
        <v>229</v>
      </c>
      <c r="F704" s="31" t="s">
        <v>232</v>
      </c>
      <c r="G704" s="32" t="s">
        <v>16</v>
      </c>
      <c r="H704" s="33">
        <v>584.0</v>
      </c>
      <c r="I704" s="33">
        <v>35.0</v>
      </c>
      <c r="J704" s="33">
        <v>12.0</v>
      </c>
      <c r="K704" s="33">
        <v>23.0</v>
      </c>
      <c r="L704" s="33">
        <v>549.0</v>
      </c>
      <c r="M704" s="33">
        <v>352.0</v>
      </c>
      <c r="N704" s="33">
        <v>208.0</v>
      </c>
      <c r="O704" s="33">
        <v>138.0</v>
      </c>
      <c r="P704" s="33">
        <v>70.0</v>
      </c>
      <c r="Q704" s="33">
        <v>144.0</v>
      </c>
      <c r="R704" s="34">
        <v>5.9931507</v>
      </c>
      <c r="S704" s="34">
        <v>2.0547945</v>
      </c>
      <c r="T704" s="34">
        <v>3.9383562</v>
      </c>
      <c r="U704" s="34">
        <v>94.0068493</v>
      </c>
      <c r="V704" s="34">
        <v>59.0909091</v>
      </c>
      <c r="W704" s="34">
        <v>39.2045455</v>
      </c>
      <c r="X704" s="34">
        <v>19.8863636</v>
      </c>
      <c r="Y704" s="34">
        <v>40.9090909</v>
      </c>
    </row>
    <row r="705" ht="15.0" customHeight="1">
      <c r="B705" s="35">
        <v>700.0</v>
      </c>
      <c r="C705" s="36" t="s">
        <v>21</v>
      </c>
      <c r="D705" s="41" t="s">
        <v>216</v>
      </c>
      <c r="E705" s="41" t="s">
        <v>229</v>
      </c>
      <c r="F705" s="41" t="s">
        <v>233</v>
      </c>
      <c r="G705" s="42" t="s">
        <v>233</v>
      </c>
      <c r="H705" s="37">
        <v>169.0</v>
      </c>
      <c r="I705" s="37">
        <v>2.0</v>
      </c>
      <c r="J705" s="37">
        <v>1.0</v>
      </c>
      <c r="K705" s="37">
        <v>1.0</v>
      </c>
      <c r="L705" s="37">
        <v>167.0</v>
      </c>
      <c r="M705" s="37">
        <v>173.0</v>
      </c>
      <c r="N705" s="37">
        <v>159.0</v>
      </c>
      <c r="O705" s="37">
        <v>123.0</v>
      </c>
      <c r="P705" s="37">
        <v>36.0</v>
      </c>
      <c r="Q705" s="37">
        <v>14.0</v>
      </c>
      <c r="R705" s="38">
        <v>1.183432</v>
      </c>
      <c r="S705" s="38">
        <v>0.591716</v>
      </c>
      <c r="T705" s="38">
        <v>0.591716</v>
      </c>
      <c r="U705" s="38">
        <v>98.816568</v>
      </c>
      <c r="V705" s="38">
        <v>91.9075145</v>
      </c>
      <c r="W705" s="38">
        <v>71.0982659</v>
      </c>
      <c r="X705" s="38">
        <v>20.8092486</v>
      </c>
      <c r="Y705" s="38">
        <v>8.0924855</v>
      </c>
    </row>
    <row r="706" ht="15.0" hidden="1" customHeight="1">
      <c r="B706" s="30">
        <v>701.0</v>
      </c>
      <c r="C706" s="31" t="s">
        <v>21</v>
      </c>
      <c r="D706" s="31" t="s">
        <v>216</v>
      </c>
      <c r="E706" s="31" t="s">
        <v>229</v>
      </c>
      <c r="F706" s="31" t="s">
        <v>233</v>
      </c>
      <c r="G706" s="32" t="s">
        <v>15</v>
      </c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4"/>
      <c r="S706" s="34"/>
      <c r="T706" s="34"/>
      <c r="U706" s="34"/>
      <c r="V706" s="34"/>
      <c r="W706" s="34"/>
      <c r="X706" s="34"/>
      <c r="Y706" s="34"/>
    </row>
    <row r="707" ht="15.0" hidden="1" customHeight="1">
      <c r="B707" s="30">
        <v>702.0</v>
      </c>
      <c r="C707" s="31" t="s">
        <v>21</v>
      </c>
      <c r="D707" s="31" t="s">
        <v>216</v>
      </c>
      <c r="E707" s="31" t="s">
        <v>229</v>
      </c>
      <c r="F707" s="31" t="s">
        <v>233</v>
      </c>
      <c r="G707" s="32" t="s">
        <v>16</v>
      </c>
      <c r="H707" s="33">
        <v>169.0</v>
      </c>
      <c r="I707" s="33">
        <v>2.0</v>
      </c>
      <c r="J707" s="33">
        <v>1.0</v>
      </c>
      <c r="K707" s="33">
        <v>1.0</v>
      </c>
      <c r="L707" s="33">
        <v>167.0</v>
      </c>
      <c r="M707" s="33">
        <v>173.0</v>
      </c>
      <c r="N707" s="33">
        <v>159.0</v>
      </c>
      <c r="O707" s="33">
        <v>123.0</v>
      </c>
      <c r="P707" s="33">
        <v>36.0</v>
      </c>
      <c r="Q707" s="33">
        <v>14.0</v>
      </c>
      <c r="R707" s="34">
        <v>1.183432</v>
      </c>
      <c r="S707" s="34">
        <v>0.591716</v>
      </c>
      <c r="T707" s="34">
        <v>0.591716</v>
      </c>
      <c r="U707" s="34">
        <v>98.816568</v>
      </c>
      <c r="V707" s="34">
        <v>91.9075145</v>
      </c>
      <c r="W707" s="34">
        <v>71.0982659</v>
      </c>
      <c r="X707" s="34">
        <v>20.8092486</v>
      </c>
      <c r="Y707" s="34">
        <v>8.0924855</v>
      </c>
    </row>
    <row r="708" ht="15.0" customHeight="1">
      <c r="B708" s="35">
        <v>703.0</v>
      </c>
      <c r="C708" s="36" t="s">
        <v>21</v>
      </c>
      <c r="D708" s="41" t="s">
        <v>216</v>
      </c>
      <c r="E708" s="41" t="s">
        <v>229</v>
      </c>
      <c r="F708" s="41" t="s">
        <v>234</v>
      </c>
      <c r="G708" s="42" t="s">
        <v>234</v>
      </c>
      <c r="H708" s="37">
        <v>719.0</v>
      </c>
      <c r="I708" s="37">
        <v>88.0</v>
      </c>
      <c r="J708" s="37">
        <v>57.0</v>
      </c>
      <c r="K708" s="37">
        <v>31.0</v>
      </c>
      <c r="L708" s="37">
        <v>631.0</v>
      </c>
      <c r="M708" s="37">
        <v>873.0</v>
      </c>
      <c r="N708" s="37">
        <v>526.0</v>
      </c>
      <c r="O708" s="37">
        <v>373.0</v>
      </c>
      <c r="P708" s="37">
        <v>153.0</v>
      </c>
      <c r="Q708" s="37">
        <v>347.0</v>
      </c>
      <c r="R708" s="38">
        <v>12.2392211</v>
      </c>
      <c r="S708" s="38">
        <v>7.9276773</v>
      </c>
      <c r="T708" s="38">
        <v>4.3115438</v>
      </c>
      <c r="U708" s="38">
        <v>87.7607789</v>
      </c>
      <c r="V708" s="38">
        <v>60.2520046</v>
      </c>
      <c r="W708" s="38">
        <v>42.7262314</v>
      </c>
      <c r="X708" s="38">
        <v>17.5257732</v>
      </c>
      <c r="Y708" s="38">
        <v>39.7479954</v>
      </c>
    </row>
    <row r="709" ht="15.0" hidden="1" customHeight="1">
      <c r="B709" s="30">
        <v>704.0</v>
      </c>
      <c r="C709" s="31" t="s">
        <v>21</v>
      </c>
      <c r="D709" s="31" t="s">
        <v>216</v>
      </c>
      <c r="E709" s="31" t="s">
        <v>229</v>
      </c>
      <c r="F709" s="31" t="s">
        <v>234</v>
      </c>
      <c r="G709" s="32" t="s">
        <v>15</v>
      </c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4"/>
      <c r="S709" s="34"/>
      <c r="T709" s="34"/>
      <c r="U709" s="34"/>
      <c r="V709" s="34"/>
      <c r="W709" s="34"/>
      <c r="X709" s="34"/>
      <c r="Y709" s="34"/>
    </row>
    <row r="710" ht="15.0" hidden="1" customHeight="1">
      <c r="B710" s="30">
        <v>705.0</v>
      </c>
      <c r="C710" s="31" t="s">
        <v>21</v>
      </c>
      <c r="D710" s="31" t="s">
        <v>216</v>
      </c>
      <c r="E710" s="31" t="s">
        <v>229</v>
      </c>
      <c r="F710" s="31" t="s">
        <v>234</v>
      </c>
      <c r="G710" s="32" t="s">
        <v>16</v>
      </c>
      <c r="H710" s="33">
        <v>719.0</v>
      </c>
      <c r="I710" s="33">
        <v>88.0</v>
      </c>
      <c r="J710" s="33">
        <v>57.0</v>
      </c>
      <c r="K710" s="33">
        <v>31.0</v>
      </c>
      <c r="L710" s="33">
        <v>631.0</v>
      </c>
      <c r="M710" s="33">
        <v>873.0</v>
      </c>
      <c r="N710" s="33">
        <v>526.0</v>
      </c>
      <c r="O710" s="33">
        <v>373.0</v>
      </c>
      <c r="P710" s="33">
        <v>153.0</v>
      </c>
      <c r="Q710" s="33">
        <v>347.0</v>
      </c>
      <c r="R710" s="34">
        <v>12.2392211</v>
      </c>
      <c r="S710" s="34">
        <v>7.9276773</v>
      </c>
      <c r="T710" s="34">
        <v>4.3115438</v>
      </c>
      <c r="U710" s="34">
        <v>87.7607789</v>
      </c>
      <c r="V710" s="34">
        <v>60.2520046</v>
      </c>
      <c r="W710" s="34">
        <v>42.7262314</v>
      </c>
      <c r="X710" s="34">
        <v>17.5257732</v>
      </c>
      <c r="Y710" s="34">
        <v>39.7479954</v>
      </c>
    </row>
    <row r="711" ht="15.0" hidden="1" customHeight="1">
      <c r="B711" s="26">
        <v>706.0</v>
      </c>
      <c r="C711" s="27" t="s">
        <v>19</v>
      </c>
      <c r="D711" s="40" t="s">
        <v>216</v>
      </c>
      <c r="E711" s="40" t="s">
        <v>235</v>
      </c>
      <c r="F711" s="40"/>
      <c r="G711" s="27" t="s">
        <v>235</v>
      </c>
      <c r="H711" s="28">
        <v>6182.0</v>
      </c>
      <c r="I711" s="28">
        <v>1488.0</v>
      </c>
      <c r="J711" s="28">
        <v>966.0</v>
      </c>
      <c r="K711" s="28">
        <v>522.0</v>
      </c>
      <c r="L711" s="28">
        <v>4694.0</v>
      </c>
      <c r="M711" s="28">
        <v>6881.0</v>
      </c>
      <c r="N711" s="28">
        <v>3120.0</v>
      </c>
      <c r="O711" s="28">
        <v>2461.0</v>
      </c>
      <c r="P711" s="28">
        <v>659.0</v>
      </c>
      <c r="Q711" s="28">
        <v>3761.0</v>
      </c>
      <c r="R711" s="29">
        <v>24.0698803</v>
      </c>
      <c r="S711" s="29">
        <v>15.626011</v>
      </c>
      <c r="T711" s="29">
        <v>8.4438693</v>
      </c>
      <c r="U711" s="29">
        <v>75.9301197</v>
      </c>
      <c r="V711" s="29">
        <v>45.3422468</v>
      </c>
      <c r="W711" s="29">
        <v>35.7651504</v>
      </c>
      <c r="X711" s="29">
        <v>9.5770964</v>
      </c>
      <c r="Y711" s="29">
        <v>54.6577532</v>
      </c>
    </row>
    <row r="712" ht="15.0" hidden="1" customHeight="1">
      <c r="B712" s="30">
        <v>707.0</v>
      </c>
      <c r="C712" s="31" t="s">
        <v>19</v>
      </c>
      <c r="D712" s="31" t="s">
        <v>216</v>
      </c>
      <c r="E712" s="31" t="s">
        <v>235</v>
      </c>
      <c r="F712" s="31"/>
      <c r="G712" s="32" t="s">
        <v>15</v>
      </c>
      <c r="H712" s="33">
        <v>1030.0</v>
      </c>
      <c r="I712" s="33">
        <v>629.0</v>
      </c>
      <c r="J712" s="33">
        <v>411.0</v>
      </c>
      <c r="K712" s="33">
        <v>218.0</v>
      </c>
      <c r="L712" s="33">
        <v>401.0</v>
      </c>
      <c r="M712" s="33">
        <v>1487.0</v>
      </c>
      <c r="N712" s="33">
        <v>1309.0</v>
      </c>
      <c r="O712" s="33">
        <v>931.0</v>
      </c>
      <c r="P712" s="33">
        <v>378.0</v>
      </c>
      <c r="Q712" s="33">
        <v>178.0</v>
      </c>
      <c r="R712" s="34">
        <v>61.0679612</v>
      </c>
      <c r="S712" s="34">
        <v>39.9029126</v>
      </c>
      <c r="T712" s="34">
        <v>21.1650485</v>
      </c>
      <c r="U712" s="34">
        <v>38.9320388</v>
      </c>
      <c r="V712" s="34">
        <v>88.0295898</v>
      </c>
      <c r="W712" s="34">
        <v>62.6092804</v>
      </c>
      <c r="X712" s="34">
        <v>25.4203093</v>
      </c>
      <c r="Y712" s="34">
        <v>11.9704102</v>
      </c>
    </row>
    <row r="713" ht="15.0" hidden="1" customHeight="1">
      <c r="B713" s="30">
        <v>708.0</v>
      </c>
      <c r="C713" s="31" t="s">
        <v>19</v>
      </c>
      <c r="D713" s="31" t="s">
        <v>216</v>
      </c>
      <c r="E713" s="31" t="s">
        <v>235</v>
      </c>
      <c r="F713" s="31"/>
      <c r="G713" s="32" t="s">
        <v>16</v>
      </c>
      <c r="H713" s="33">
        <v>5152.0</v>
      </c>
      <c r="I713" s="33">
        <v>859.0</v>
      </c>
      <c r="J713" s="33">
        <v>555.0</v>
      </c>
      <c r="K713" s="33">
        <v>304.0</v>
      </c>
      <c r="L713" s="33">
        <v>4293.0</v>
      </c>
      <c r="M713" s="33">
        <v>5394.0</v>
      </c>
      <c r="N713" s="33">
        <v>1811.0</v>
      </c>
      <c r="O713" s="33">
        <v>1530.0</v>
      </c>
      <c r="P713" s="33">
        <v>281.0</v>
      </c>
      <c r="Q713" s="33">
        <v>3583.0</v>
      </c>
      <c r="R713" s="34">
        <v>16.6731366</v>
      </c>
      <c r="S713" s="34">
        <v>10.7725155</v>
      </c>
      <c r="T713" s="34">
        <v>5.9006211</v>
      </c>
      <c r="U713" s="34">
        <v>83.3268634</v>
      </c>
      <c r="V713" s="34">
        <v>33.5743419</v>
      </c>
      <c r="W713" s="34">
        <v>28.3648498</v>
      </c>
      <c r="X713" s="34">
        <v>5.209492</v>
      </c>
      <c r="Y713" s="34">
        <v>66.4256581</v>
      </c>
    </row>
    <row r="714" ht="15.0" customHeight="1">
      <c r="B714" s="35">
        <v>709.0</v>
      </c>
      <c r="C714" s="36" t="s">
        <v>21</v>
      </c>
      <c r="D714" s="41" t="s">
        <v>216</v>
      </c>
      <c r="E714" s="41" t="s">
        <v>235</v>
      </c>
      <c r="F714" s="41" t="s">
        <v>235</v>
      </c>
      <c r="G714" s="42" t="s">
        <v>235</v>
      </c>
      <c r="H714" s="37">
        <v>2839.0</v>
      </c>
      <c r="I714" s="37">
        <v>778.0</v>
      </c>
      <c r="J714" s="37">
        <v>505.0</v>
      </c>
      <c r="K714" s="37">
        <v>273.0</v>
      </c>
      <c r="L714" s="37">
        <v>2061.0</v>
      </c>
      <c r="M714" s="37">
        <v>3662.0</v>
      </c>
      <c r="N714" s="37">
        <v>1880.0</v>
      </c>
      <c r="O714" s="37">
        <v>1428.0</v>
      </c>
      <c r="P714" s="37">
        <v>452.0</v>
      </c>
      <c r="Q714" s="37">
        <v>1782.0</v>
      </c>
      <c r="R714" s="38">
        <v>27.4040155</v>
      </c>
      <c r="S714" s="38">
        <v>17.7879535</v>
      </c>
      <c r="T714" s="38">
        <v>9.616062</v>
      </c>
      <c r="U714" s="38">
        <v>72.5959845</v>
      </c>
      <c r="V714" s="38">
        <v>51.3380666</v>
      </c>
      <c r="W714" s="38">
        <v>38.9950847</v>
      </c>
      <c r="X714" s="38">
        <v>12.342982</v>
      </c>
      <c r="Y714" s="38">
        <v>48.6619334</v>
      </c>
    </row>
    <row r="715" ht="15.0" hidden="1" customHeight="1">
      <c r="B715" s="30">
        <v>710.0</v>
      </c>
      <c r="C715" s="31" t="s">
        <v>21</v>
      </c>
      <c r="D715" s="31" t="s">
        <v>216</v>
      </c>
      <c r="E715" s="31" t="s">
        <v>235</v>
      </c>
      <c r="F715" s="31" t="s">
        <v>235</v>
      </c>
      <c r="G715" s="32" t="s">
        <v>15</v>
      </c>
      <c r="H715" s="33">
        <v>1030.0</v>
      </c>
      <c r="I715" s="33">
        <v>629.0</v>
      </c>
      <c r="J715" s="33">
        <v>411.0</v>
      </c>
      <c r="K715" s="33">
        <v>218.0</v>
      </c>
      <c r="L715" s="33">
        <v>401.0</v>
      </c>
      <c r="M715" s="33">
        <v>1487.0</v>
      </c>
      <c r="N715" s="33">
        <v>1309.0</v>
      </c>
      <c r="O715" s="33">
        <v>931.0</v>
      </c>
      <c r="P715" s="33">
        <v>378.0</v>
      </c>
      <c r="Q715" s="33">
        <v>178.0</v>
      </c>
      <c r="R715" s="34">
        <v>61.0679612</v>
      </c>
      <c r="S715" s="34">
        <v>39.9029126</v>
      </c>
      <c r="T715" s="34">
        <v>21.1650485</v>
      </c>
      <c r="U715" s="34">
        <v>38.9320388</v>
      </c>
      <c r="V715" s="34">
        <v>88.0295898</v>
      </c>
      <c r="W715" s="34">
        <v>62.6092804</v>
      </c>
      <c r="X715" s="34">
        <v>25.4203093</v>
      </c>
      <c r="Y715" s="34">
        <v>11.9704102</v>
      </c>
    </row>
    <row r="716" ht="15.0" hidden="1" customHeight="1">
      <c r="B716" s="30">
        <v>711.0</v>
      </c>
      <c r="C716" s="31" t="s">
        <v>21</v>
      </c>
      <c r="D716" s="31" t="s">
        <v>216</v>
      </c>
      <c r="E716" s="31" t="s">
        <v>235</v>
      </c>
      <c r="F716" s="31" t="s">
        <v>235</v>
      </c>
      <c r="G716" s="32" t="s">
        <v>16</v>
      </c>
      <c r="H716" s="33">
        <v>1809.0</v>
      </c>
      <c r="I716" s="33">
        <v>149.0</v>
      </c>
      <c r="J716" s="33">
        <v>94.0</v>
      </c>
      <c r="K716" s="33">
        <v>55.0</v>
      </c>
      <c r="L716" s="33">
        <v>1660.0</v>
      </c>
      <c r="M716" s="33">
        <v>2175.0</v>
      </c>
      <c r="N716" s="33">
        <v>571.0</v>
      </c>
      <c r="O716" s="33">
        <v>497.0</v>
      </c>
      <c r="P716" s="33">
        <v>74.0</v>
      </c>
      <c r="Q716" s="33">
        <v>1604.0</v>
      </c>
      <c r="R716" s="34">
        <v>8.2365948</v>
      </c>
      <c r="S716" s="34">
        <v>5.196241</v>
      </c>
      <c r="T716" s="34">
        <v>3.0403538</v>
      </c>
      <c r="U716" s="34">
        <v>91.7634052</v>
      </c>
      <c r="V716" s="34">
        <v>26.2528736</v>
      </c>
      <c r="W716" s="34">
        <v>22.8505747</v>
      </c>
      <c r="X716" s="34">
        <v>3.4022989</v>
      </c>
      <c r="Y716" s="34">
        <v>73.7471264</v>
      </c>
    </row>
    <row r="717" ht="15.0" customHeight="1">
      <c r="B717" s="35">
        <v>712.0</v>
      </c>
      <c r="C717" s="36" t="s">
        <v>21</v>
      </c>
      <c r="D717" s="41" t="s">
        <v>216</v>
      </c>
      <c r="E717" s="41" t="s">
        <v>235</v>
      </c>
      <c r="F717" s="41" t="s">
        <v>236</v>
      </c>
      <c r="G717" s="42" t="s">
        <v>236</v>
      </c>
      <c r="H717" s="37">
        <v>2185.0</v>
      </c>
      <c r="I717" s="37">
        <v>347.0</v>
      </c>
      <c r="J717" s="37">
        <v>223.0</v>
      </c>
      <c r="K717" s="37">
        <v>124.0</v>
      </c>
      <c r="L717" s="37">
        <v>1838.0</v>
      </c>
      <c r="M717" s="37">
        <v>1769.0</v>
      </c>
      <c r="N717" s="37">
        <v>590.0</v>
      </c>
      <c r="O717" s="37">
        <v>487.0</v>
      </c>
      <c r="P717" s="37">
        <v>103.0</v>
      </c>
      <c r="Q717" s="37">
        <v>1179.0</v>
      </c>
      <c r="R717" s="38">
        <v>15.8810069</v>
      </c>
      <c r="S717" s="38">
        <v>10.2059497</v>
      </c>
      <c r="T717" s="38">
        <v>5.6750572</v>
      </c>
      <c r="U717" s="38">
        <v>84.1189931</v>
      </c>
      <c r="V717" s="38">
        <v>33.3521764</v>
      </c>
      <c r="W717" s="38">
        <v>27.5296778</v>
      </c>
      <c r="X717" s="38">
        <v>5.8224986</v>
      </c>
      <c r="Y717" s="38">
        <v>66.6478236</v>
      </c>
    </row>
    <row r="718" ht="15.0" hidden="1" customHeight="1">
      <c r="B718" s="30">
        <v>713.0</v>
      </c>
      <c r="C718" s="31" t="s">
        <v>21</v>
      </c>
      <c r="D718" s="31" t="s">
        <v>216</v>
      </c>
      <c r="E718" s="31" t="s">
        <v>235</v>
      </c>
      <c r="F718" s="31" t="s">
        <v>236</v>
      </c>
      <c r="G718" s="32" t="s">
        <v>15</v>
      </c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4"/>
      <c r="S718" s="34"/>
      <c r="T718" s="34"/>
      <c r="U718" s="34"/>
      <c r="V718" s="34"/>
      <c r="W718" s="34"/>
      <c r="X718" s="34"/>
      <c r="Y718" s="34"/>
    </row>
    <row r="719" ht="15.0" hidden="1" customHeight="1">
      <c r="B719" s="30">
        <v>714.0</v>
      </c>
      <c r="C719" s="31" t="s">
        <v>21</v>
      </c>
      <c r="D719" s="31" t="s">
        <v>216</v>
      </c>
      <c r="E719" s="31" t="s">
        <v>235</v>
      </c>
      <c r="F719" s="31" t="s">
        <v>236</v>
      </c>
      <c r="G719" s="32" t="s">
        <v>16</v>
      </c>
      <c r="H719" s="33">
        <v>2185.0</v>
      </c>
      <c r="I719" s="33">
        <v>347.0</v>
      </c>
      <c r="J719" s="33">
        <v>223.0</v>
      </c>
      <c r="K719" s="33">
        <v>124.0</v>
      </c>
      <c r="L719" s="33">
        <v>1838.0</v>
      </c>
      <c r="M719" s="33">
        <v>1769.0</v>
      </c>
      <c r="N719" s="33">
        <v>590.0</v>
      </c>
      <c r="O719" s="33">
        <v>487.0</v>
      </c>
      <c r="P719" s="33">
        <v>103.0</v>
      </c>
      <c r="Q719" s="33">
        <v>1179.0</v>
      </c>
      <c r="R719" s="34">
        <v>15.8810069</v>
      </c>
      <c r="S719" s="34">
        <v>10.2059497</v>
      </c>
      <c r="T719" s="34">
        <v>5.6750572</v>
      </c>
      <c r="U719" s="34">
        <v>84.1189931</v>
      </c>
      <c r="V719" s="34">
        <v>33.3521764</v>
      </c>
      <c r="W719" s="34">
        <v>27.5296778</v>
      </c>
      <c r="X719" s="34">
        <v>5.8224986</v>
      </c>
      <c r="Y719" s="34">
        <v>66.6478236</v>
      </c>
    </row>
    <row r="720" ht="15.0" customHeight="1">
      <c r="B720" s="35">
        <v>715.0</v>
      </c>
      <c r="C720" s="36" t="s">
        <v>21</v>
      </c>
      <c r="D720" s="41" t="s">
        <v>216</v>
      </c>
      <c r="E720" s="41" t="s">
        <v>235</v>
      </c>
      <c r="F720" s="41" t="s">
        <v>237</v>
      </c>
      <c r="G720" s="42" t="s">
        <v>237</v>
      </c>
      <c r="H720" s="37">
        <v>1158.0</v>
      </c>
      <c r="I720" s="37">
        <v>363.0</v>
      </c>
      <c r="J720" s="37">
        <v>238.0</v>
      </c>
      <c r="K720" s="37">
        <v>125.0</v>
      </c>
      <c r="L720" s="37">
        <v>795.0</v>
      </c>
      <c r="M720" s="37">
        <v>1450.0</v>
      </c>
      <c r="N720" s="37">
        <v>650.0</v>
      </c>
      <c r="O720" s="37">
        <v>546.0</v>
      </c>
      <c r="P720" s="37">
        <v>104.0</v>
      </c>
      <c r="Q720" s="37">
        <v>800.0</v>
      </c>
      <c r="R720" s="38">
        <v>31.3471503</v>
      </c>
      <c r="S720" s="38">
        <v>20.552677</v>
      </c>
      <c r="T720" s="38">
        <v>10.7944732</v>
      </c>
      <c r="U720" s="38">
        <v>68.6528497</v>
      </c>
      <c r="V720" s="38">
        <v>44.8275862</v>
      </c>
      <c r="W720" s="38">
        <v>37.6551724</v>
      </c>
      <c r="X720" s="38">
        <v>7.1724138</v>
      </c>
      <c r="Y720" s="38">
        <v>55.1724138</v>
      </c>
    </row>
    <row r="721" ht="15.0" hidden="1" customHeight="1">
      <c r="B721" s="30">
        <v>716.0</v>
      </c>
      <c r="C721" s="31" t="s">
        <v>21</v>
      </c>
      <c r="D721" s="31" t="s">
        <v>216</v>
      </c>
      <c r="E721" s="31" t="s">
        <v>235</v>
      </c>
      <c r="F721" s="31" t="s">
        <v>237</v>
      </c>
      <c r="G721" s="32" t="s">
        <v>15</v>
      </c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4"/>
      <c r="S721" s="34"/>
      <c r="T721" s="34"/>
      <c r="U721" s="34"/>
      <c r="V721" s="34"/>
      <c r="W721" s="34"/>
      <c r="X721" s="34"/>
      <c r="Y721" s="34"/>
    </row>
    <row r="722" ht="15.0" hidden="1" customHeight="1">
      <c r="B722" s="30">
        <v>717.0</v>
      </c>
      <c r="C722" s="31" t="s">
        <v>21</v>
      </c>
      <c r="D722" s="31" t="s">
        <v>216</v>
      </c>
      <c r="E722" s="31" t="s">
        <v>235</v>
      </c>
      <c r="F722" s="31" t="s">
        <v>237</v>
      </c>
      <c r="G722" s="32" t="s">
        <v>16</v>
      </c>
      <c r="H722" s="33">
        <v>1158.0</v>
      </c>
      <c r="I722" s="33">
        <v>363.0</v>
      </c>
      <c r="J722" s="33">
        <v>238.0</v>
      </c>
      <c r="K722" s="33">
        <v>125.0</v>
      </c>
      <c r="L722" s="33">
        <v>795.0</v>
      </c>
      <c r="M722" s="33">
        <v>1450.0</v>
      </c>
      <c r="N722" s="33">
        <v>650.0</v>
      </c>
      <c r="O722" s="33">
        <v>546.0</v>
      </c>
      <c r="P722" s="33">
        <v>104.0</v>
      </c>
      <c r="Q722" s="33">
        <v>800.0</v>
      </c>
      <c r="R722" s="34">
        <v>31.3471503</v>
      </c>
      <c r="S722" s="34">
        <v>20.552677</v>
      </c>
      <c r="T722" s="34">
        <v>10.7944732</v>
      </c>
      <c r="U722" s="34">
        <v>68.6528497</v>
      </c>
      <c r="V722" s="34">
        <v>44.8275862</v>
      </c>
      <c r="W722" s="34">
        <v>37.6551724</v>
      </c>
      <c r="X722" s="34">
        <v>7.1724138</v>
      </c>
      <c r="Y722" s="34">
        <v>55.1724138</v>
      </c>
    </row>
    <row r="723" ht="15.0" hidden="1" customHeight="1">
      <c r="B723" s="26">
        <v>718.0</v>
      </c>
      <c r="C723" s="27" t="s">
        <v>19</v>
      </c>
      <c r="D723" s="40" t="s">
        <v>216</v>
      </c>
      <c r="E723" s="40" t="s">
        <v>238</v>
      </c>
      <c r="F723" s="40"/>
      <c r="G723" s="27" t="s">
        <v>238</v>
      </c>
      <c r="H723" s="28">
        <v>8747.0</v>
      </c>
      <c r="I723" s="28">
        <v>3980.0</v>
      </c>
      <c r="J723" s="28">
        <v>2052.0</v>
      </c>
      <c r="K723" s="28">
        <v>1928.0</v>
      </c>
      <c r="L723" s="28">
        <v>4767.0</v>
      </c>
      <c r="M723" s="28">
        <v>8599.0</v>
      </c>
      <c r="N723" s="28">
        <v>6074.0</v>
      </c>
      <c r="O723" s="28">
        <v>5144.0</v>
      </c>
      <c r="P723" s="28">
        <v>930.0</v>
      </c>
      <c r="Q723" s="28">
        <v>2525.0</v>
      </c>
      <c r="R723" s="29">
        <v>45.5013147</v>
      </c>
      <c r="S723" s="29">
        <v>23.4594718</v>
      </c>
      <c r="T723" s="29">
        <v>22.0418429</v>
      </c>
      <c r="U723" s="29">
        <v>54.4986853</v>
      </c>
      <c r="V723" s="29">
        <v>70.6361205</v>
      </c>
      <c r="W723" s="29">
        <v>59.8209094</v>
      </c>
      <c r="X723" s="29">
        <v>10.8152111</v>
      </c>
      <c r="Y723" s="29">
        <v>29.3638795</v>
      </c>
    </row>
    <row r="724" ht="15.0" hidden="1" customHeight="1">
      <c r="B724" s="30">
        <v>719.0</v>
      </c>
      <c r="C724" s="31" t="s">
        <v>19</v>
      </c>
      <c r="D724" s="31" t="s">
        <v>216</v>
      </c>
      <c r="E724" s="31" t="s">
        <v>238</v>
      </c>
      <c r="F724" s="31"/>
      <c r="G724" s="32" t="s">
        <v>15</v>
      </c>
      <c r="H724" s="33">
        <v>6417.0</v>
      </c>
      <c r="I724" s="33">
        <v>3774.0</v>
      </c>
      <c r="J724" s="33">
        <v>1934.0</v>
      </c>
      <c r="K724" s="33">
        <v>1840.0</v>
      </c>
      <c r="L724" s="33">
        <v>2643.0</v>
      </c>
      <c r="M724" s="33">
        <v>5884.0</v>
      </c>
      <c r="N724" s="33">
        <v>5179.0</v>
      </c>
      <c r="O724" s="33">
        <v>4375.0</v>
      </c>
      <c r="P724" s="33">
        <v>804.0</v>
      </c>
      <c r="Q724" s="33">
        <v>705.0</v>
      </c>
      <c r="R724" s="34">
        <v>58.8125292</v>
      </c>
      <c r="S724" s="34">
        <v>30.1386941</v>
      </c>
      <c r="T724" s="34">
        <v>28.6738351</v>
      </c>
      <c r="U724" s="34">
        <v>41.1874708</v>
      </c>
      <c r="V724" s="34">
        <v>88.0183549</v>
      </c>
      <c r="W724" s="34">
        <v>74.3541808</v>
      </c>
      <c r="X724" s="34">
        <v>13.664174</v>
      </c>
      <c r="Y724" s="34">
        <v>11.9816451</v>
      </c>
    </row>
    <row r="725" ht="15.0" hidden="1" customHeight="1">
      <c r="B725" s="30">
        <v>720.0</v>
      </c>
      <c r="C725" s="31" t="s">
        <v>19</v>
      </c>
      <c r="D725" s="31" t="s">
        <v>216</v>
      </c>
      <c r="E725" s="31" t="s">
        <v>238</v>
      </c>
      <c r="F725" s="31"/>
      <c r="G725" s="32" t="s">
        <v>16</v>
      </c>
      <c r="H725" s="33">
        <v>2330.0</v>
      </c>
      <c r="I725" s="33">
        <v>206.0</v>
      </c>
      <c r="J725" s="33">
        <v>118.0</v>
      </c>
      <c r="K725" s="33">
        <v>88.0</v>
      </c>
      <c r="L725" s="33">
        <v>2124.0</v>
      </c>
      <c r="M725" s="33">
        <v>2715.0</v>
      </c>
      <c r="N725" s="33">
        <v>895.0</v>
      </c>
      <c r="O725" s="33">
        <v>769.0</v>
      </c>
      <c r="P725" s="33">
        <v>126.0</v>
      </c>
      <c r="Q725" s="33">
        <v>1820.0</v>
      </c>
      <c r="R725" s="34">
        <v>8.8412017</v>
      </c>
      <c r="S725" s="34">
        <v>5.0643777</v>
      </c>
      <c r="T725" s="34">
        <v>3.776824</v>
      </c>
      <c r="U725" s="34">
        <v>91.1587983</v>
      </c>
      <c r="V725" s="34">
        <v>32.9650092</v>
      </c>
      <c r="W725" s="34">
        <v>28.3241252</v>
      </c>
      <c r="X725" s="34">
        <v>4.640884</v>
      </c>
      <c r="Y725" s="34">
        <v>67.0349908</v>
      </c>
    </row>
    <row r="726" ht="15.0" customHeight="1">
      <c r="B726" s="35">
        <v>721.0</v>
      </c>
      <c r="C726" s="36" t="s">
        <v>21</v>
      </c>
      <c r="D726" s="41" t="s">
        <v>216</v>
      </c>
      <c r="E726" s="41" t="s">
        <v>238</v>
      </c>
      <c r="F726" s="41" t="s">
        <v>239</v>
      </c>
      <c r="G726" s="42" t="s">
        <v>239</v>
      </c>
      <c r="H726" s="37">
        <v>7189.0</v>
      </c>
      <c r="I726" s="37">
        <v>3359.0</v>
      </c>
      <c r="J726" s="37">
        <v>1754.0</v>
      </c>
      <c r="K726" s="37">
        <v>1605.0</v>
      </c>
      <c r="L726" s="37">
        <v>3830.0</v>
      </c>
      <c r="M726" s="37">
        <v>6423.0</v>
      </c>
      <c r="N726" s="37">
        <v>4721.0</v>
      </c>
      <c r="O726" s="37">
        <v>4022.0</v>
      </c>
      <c r="P726" s="37">
        <v>699.0</v>
      </c>
      <c r="Q726" s="37">
        <v>1702.0</v>
      </c>
      <c r="R726" s="38">
        <v>46.7241619</v>
      </c>
      <c r="S726" s="38">
        <v>24.3983864</v>
      </c>
      <c r="T726" s="38">
        <v>22.3257755</v>
      </c>
      <c r="U726" s="38">
        <v>53.2758381</v>
      </c>
      <c r="V726" s="38">
        <v>73.5014791</v>
      </c>
      <c r="W726" s="38">
        <v>62.618714</v>
      </c>
      <c r="X726" s="38">
        <v>10.8827651</v>
      </c>
      <c r="Y726" s="38">
        <v>26.4985209</v>
      </c>
    </row>
    <row r="727" ht="15.0" hidden="1" customHeight="1">
      <c r="B727" s="30">
        <v>722.0</v>
      </c>
      <c r="C727" s="31" t="s">
        <v>21</v>
      </c>
      <c r="D727" s="31" t="s">
        <v>216</v>
      </c>
      <c r="E727" s="31" t="s">
        <v>238</v>
      </c>
      <c r="F727" s="31" t="s">
        <v>239</v>
      </c>
      <c r="G727" s="32" t="s">
        <v>15</v>
      </c>
      <c r="H727" s="33">
        <v>5635.0</v>
      </c>
      <c r="I727" s="33">
        <v>3320.0</v>
      </c>
      <c r="J727" s="33">
        <v>1740.0</v>
      </c>
      <c r="K727" s="33">
        <v>1580.0</v>
      </c>
      <c r="L727" s="33">
        <v>2315.0</v>
      </c>
      <c r="M727" s="33">
        <v>4810.0</v>
      </c>
      <c r="N727" s="33">
        <v>4264.0</v>
      </c>
      <c r="O727" s="33">
        <v>3611.0</v>
      </c>
      <c r="P727" s="33">
        <v>653.0</v>
      </c>
      <c r="Q727" s="33">
        <v>546.0</v>
      </c>
      <c r="R727" s="34">
        <v>58.91748</v>
      </c>
      <c r="S727" s="34">
        <v>30.8784383</v>
      </c>
      <c r="T727" s="34">
        <v>28.0390417</v>
      </c>
      <c r="U727" s="34">
        <v>41.08252</v>
      </c>
      <c r="V727" s="34">
        <v>88.6486486</v>
      </c>
      <c r="W727" s="34">
        <v>75.0727651</v>
      </c>
      <c r="X727" s="34">
        <v>13.5758836</v>
      </c>
      <c r="Y727" s="34">
        <v>11.3513514</v>
      </c>
    </row>
    <row r="728" ht="15.0" hidden="1" customHeight="1">
      <c r="B728" s="30">
        <v>723.0</v>
      </c>
      <c r="C728" s="31" t="s">
        <v>21</v>
      </c>
      <c r="D728" s="31" t="s">
        <v>216</v>
      </c>
      <c r="E728" s="31" t="s">
        <v>238</v>
      </c>
      <c r="F728" s="31" t="s">
        <v>239</v>
      </c>
      <c r="G728" s="32" t="s">
        <v>16</v>
      </c>
      <c r="H728" s="33">
        <v>1554.0</v>
      </c>
      <c r="I728" s="33">
        <v>39.0</v>
      </c>
      <c r="J728" s="33">
        <v>14.0</v>
      </c>
      <c r="K728" s="33">
        <v>25.0</v>
      </c>
      <c r="L728" s="33">
        <v>1515.0</v>
      </c>
      <c r="M728" s="33">
        <v>1613.0</v>
      </c>
      <c r="N728" s="33">
        <v>457.0</v>
      </c>
      <c r="O728" s="33">
        <v>411.0</v>
      </c>
      <c r="P728" s="33">
        <v>46.0</v>
      </c>
      <c r="Q728" s="33">
        <v>1156.0</v>
      </c>
      <c r="R728" s="34">
        <v>2.5096525</v>
      </c>
      <c r="S728" s="34">
        <v>0.9009009</v>
      </c>
      <c r="T728" s="34">
        <v>1.6087516</v>
      </c>
      <c r="U728" s="34">
        <v>97.4903475</v>
      </c>
      <c r="V728" s="34">
        <v>28.3323001</v>
      </c>
      <c r="W728" s="34">
        <v>25.4804712</v>
      </c>
      <c r="X728" s="34">
        <v>2.8518289</v>
      </c>
      <c r="Y728" s="34">
        <v>71.6676999</v>
      </c>
    </row>
    <row r="729" ht="15.0" customHeight="1">
      <c r="B729" s="35">
        <v>724.0</v>
      </c>
      <c r="C729" s="36" t="s">
        <v>21</v>
      </c>
      <c r="D729" s="41" t="s">
        <v>216</v>
      </c>
      <c r="E729" s="41" t="s">
        <v>238</v>
      </c>
      <c r="F729" s="41" t="s">
        <v>240</v>
      </c>
      <c r="G729" s="42" t="s">
        <v>240</v>
      </c>
      <c r="H729" s="37">
        <v>1558.0</v>
      </c>
      <c r="I729" s="37">
        <v>621.0</v>
      </c>
      <c r="J729" s="37">
        <v>298.0</v>
      </c>
      <c r="K729" s="37">
        <v>323.0</v>
      </c>
      <c r="L729" s="37">
        <v>937.0</v>
      </c>
      <c r="M729" s="37">
        <v>2176.0</v>
      </c>
      <c r="N729" s="37">
        <v>1353.0</v>
      </c>
      <c r="O729" s="37">
        <v>1122.0</v>
      </c>
      <c r="P729" s="37">
        <v>231.0</v>
      </c>
      <c r="Q729" s="37">
        <v>823.0</v>
      </c>
      <c r="R729" s="38">
        <v>39.8587933</v>
      </c>
      <c r="S729" s="38">
        <v>19.127086</v>
      </c>
      <c r="T729" s="38">
        <v>20.7317073</v>
      </c>
      <c r="U729" s="38">
        <v>60.1412067</v>
      </c>
      <c r="V729" s="38">
        <v>62.1783088</v>
      </c>
      <c r="W729" s="38">
        <v>51.5625</v>
      </c>
      <c r="X729" s="38">
        <v>10.6158088</v>
      </c>
      <c r="Y729" s="38">
        <v>37.8216912</v>
      </c>
    </row>
    <row r="730" ht="15.0" hidden="1" customHeight="1">
      <c r="B730" s="30">
        <v>725.0</v>
      </c>
      <c r="C730" s="31" t="s">
        <v>21</v>
      </c>
      <c r="D730" s="31" t="s">
        <v>216</v>
      </c>
      <c r="E730" s="31" t="s">
        <v>238</v>
      </c>
      <c r="F730" s="31" t="s">
        <v>240</v>
      </c>
      <c r="G730" s="32" t="s">
        <v>15</v>
      </c>
      <c r="H730" s="33">
        <v>782.0</v>
      </c>
      <c r="I730" s="33">
        <v>454.0</v>
      </c>
      <c r="J730" s="33">
        <v>194.0</v>
      </c>
      <c r="K730" s="33">
        <v>260.0</v>
      </c>
      <c r="L730" s="33">
        <v>328.0</v>
      </c>
      <c r="M730" s="33">
        <v>1074.0</v>
      </c>
      <c r="N730" s="33">
        <v>915.0</v>
      </c>
      <c r="O730" s="33">
        <v>764.0</v>
      </c>
      <c r="P730" s="33">
        <v>151.0</v>
      </c>
      <c r="Q730" s="33">
        <v>159.0</v>
      </c>
      <c r="R730" s="34">
        <v>58.056266</v>
      </c>
      <c r="S730" s="34">
        <v>24.8081841</v>
      </c>
      <c r="T730" s="34">
        <v>33.2480818</v>
      </c>
      <c r="U730" s="34">
        <v>41.943734</v>
      </c>
      <c r="V730" s="34">
        <v>85.1955307</v>
      </c>
      <c r="W730" s="34">
        <v>71.1359404</v>
      </c>
      <c r="X730" s="34">
        <v>14.0595903</v>
      </c>
      <c r="Y730" s="34">
        <v>14.8044693</v>
      </c>
    </row>
    <row r="731" ht="15.0" hidden="1" customHeight="1">
      <c r="B731" s="30">
        <v>726.0</v>
      </c>
      <c r="C731" s="31" t="s">
        <v>21</v>
      </c>
      <c r="D731" s="31" t="s">
        <v>216</v>
      </c>
      <c r="E731" s="31" t="s">
        <v>238</v>
      </c>
      <c r="F731" s="31" t="s">
        <v>240</v>
      </c>
      <c r="G731" s="32" t="s">
        <v>16</v>
      </c>
      <c r="H731" s="33">
        <v>776.0</v>
      </c>
      <c r="I731" s="33">
        <v>167.0</v>
      </c>
      <c r="J731" s="33">
        <v>104.0</v>
      </c>
      <c r="K731" s="33">
        <v>63.0</v>
      </c>
      <c r="L731" s="33">
        <v>609.0</v>
      </c>
      <c r="M731" s="33">
        <v>1102.0</v>
      </c>
      <c r="N731" s="33">
        <v>438.0</v>
      </c>
      <c r="O731" s="33">
        <v>358.0</v>
      </c>
      <c r="P731" s="33">
        <v>80.0</v>
      </c>
      <c r="Q731" s="33">
        <v>664.0</v>
      </c>
      <c r="R731" s="34">
        <v>21.5206186</v>
      </c>
      <c r="S731" s="34">
        <v>13.4020619</v>
      </c>
      <c r="T731" s="34">
        <v>8.1185567</v>
      </c>
      <c r="U731" s="34">
        <v>78.4793814</v>
      </c>
      <c r="V731" s="34">
        <v>39.7459165</v>
      </c>
      <c r="W731" s="34">
        <v>32.4863884</v>
      </c>
      <c r="X731" s="34">
        <v>7.2595281</v>
      </c>
      <c r="Y731" s="34">
        <v>60.2540835</v>
      </c>
    </row>
    <row r="732" ht="15.0" hidden="1" customHeight="1">
      <c r="B732" s="26">
        <v>727.0</v>
      </c>
      <c r="C732" s="27" t="s">
        <v>19</v>
      </c>
      <c r="D732" s="40" t="s">
        <v>216</v>
      </c>
      <c r="E732" s="40" t="s">
        <v>241</v>
      </c>
      <c r="F732" s="40"/>
      <c r="G732" s="27" t="s">
        <v>241</v>
      </c>
      <c r="H732" s="28">
        <v>4967.0</v>
      </c>
      <c r="I732" s="28">
        <v>784.0</v>
      </c>
      <c r="J732" s="28">
        <v>450.0</v>
      </c>
      <c r="K732" s="28">
        <v>334.0</v>
      </c>
      <c r="L732" s="28">
        <v>4183.0</v>
      </c>
      <c r="M732" s="28">
        <v>7244.0</v>
      </c>
      <c r="N732" s="28">
        <v>2872.0</v>
      </c>
      <c r="O732" s="28">
        <v>2319.0</v>
      </c>
      <c r="P732" s="28">
        <v>553.0</v>
      </c>
      <c r="Q732" s="28">
        <v>4372.0</v>
      </c>
      <c r="R732" s="29">
        <v>15.7841756</v>
      </c>
      <c r="S732" s="29">
        <v>9.0597946</v>
      </c>
      <c r="T732" s="29">
        <v>6.7243809</v>
      </c>
      <c r="U732" s="29">
        <v>84.2158244</v>
      </c>
      <c r="V732" s="29">
        <v>39.6466041</v>
      </c>
      <c r="W732" s="29">
        <v>32.0127002</v>
      </c>
      <c r="X732" s="29">
        <v>7.6339039</v>
      </c>
      <c r="Y732" s="29">
        <v>60.3533959</v>
      </c>
    </row>
    <row r="733" ht="15.0" hidden="1" customHeight="1">
      <c r="B733" s="30">
        <v>728.0</v>
      </c>
      <c r="C733" s="31" t="s">
        <v>19</v>
      </c>
      <c r="D733" s="31" t="s">
        <v>216</v>
      </c>
      <c r="E733" s="31" t="s">
        <v>241</v>
      </c>
      <c r="F733" s="31"/>
      <c r="G733" s="32" t="s">
        <v>15</v>
      </c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4"/>
      <c r="S733" s="34"/>
      <c r="T733" s="34"/>
      <c r="U733" s="34"/>
      <c r="V733" s="34"/>
      <c r="W733" s="34"/>
      <c r="X733" s="34"/>
      <c r="Y733" s="34"/>
    </row>
    <row r="734" ht="15.0" hidden="1" customHeight="1">
      <c r="B734" s="30">
        <v>729.0</v>
      </c>
      <c r="C734" s="31" t="s">
        <v>19</v>
      </c>
      <c r="D734" s="31" t="s">
        <v>216</v>
      </c>
      <c r="E734" s="31" t="s">
        <v>241</v>
      </c>
      <c r="F734" s="31"/>
      <c r="G734" s="32" t="s">
        <v>16</v>
      </c>
      <c r="H734" s="33">
        <v>4967.0</v>
      </c>
      <c r="I734" s="33">
        <v>784.0</v>
      </c>
      <c r="J734" s="33">
        <v>450.0</v>
      </c>
      <c r="K734" s="33">
        <v>334.0</v>
      </c>
      <c r="L734" s="33">
        <v>4183.0</v>
      </c>
      <c r="M734" s="33">
        <v>7244.0</v>
      </c>
      <c r="N734" s="33">
        <v>2872.0</v>
      </c>
      <c r="O734" s="33">
        <v>2319.0</v>
      </c>
      <c r="P734" s="33">
        <v>553.0</v>
      </c>
      <c r="Q734" s="33">
        <v>4372.0</v>
      </c>
      <c r="R734" s="34">
        <v>15.7841756</v>
      </c>
      <c r="S734" s="34">
        <v>9.0597946</v>
      </c>
      <c r="T734" s="34">
        <v>6.7243809</v>
      </c>
      <c r="U734" s="34">
        <v>84.2158244</v>
      </c>
      <c r="V734" s="34">
        <v>39.6466041</v>
      </c>
      <c r="W734" s="34">
        <v>32.0127002</v>
      </c>
      <c r="X734" s="34">
        <v>7.6339039</v>
      </c>
      <c r="Y734" s="34">
        <v>60.3533959</v>
      </c>
    </row>
    <row r="735" ht="15.0" customHeight="1">
      <c r="B735" s="35">
        <v>730.0</v>
      </c>
      <c r="C735" s="36" t="s">
        <v>21</v>
      </c>
      <c r="D735" s="41" t="s">
        <v>216</v>
      </c>
      <c r="E735" s="41" t="s">
        <v>241</v>
      </c>
      <c r="F735" s="41" t="s">
        <v>242</v>
      </c>
      <c r="G735" s="42" t="s">
        <v>242</v>
      </c>
      <c r="H735" s="37">
        <v>3927.0</v>
      </c>
      <c r="I735" s="37">
        <v>599.0</v>
      </c>
      <c r="J735" s="37">
        <v>351.0</v>
      </c>
      <c r="K735" s="37">
        <v>248.0</v>
      </c>
      <c r="L735" s="37">
        <v>3328.0</v>
      </c>
      <c r="M735" s="37">
        <v>5969.0</v>
      </c>
      <c r="N735" s="37">
        <v>2375.0</v>
      </c>
      <c r="O735" s="37">
        <v>1888.0</v>
      </c>
      <c r="P735" s="37">
        <v>487.0</v>
      </c>
      <c r="Q735" s="37">
        <v>3594.0</v>
      </c>
      <c r="R735" s="38">
        <v>15.2533741</v>
      </c>
      <c r="S735" s="38">
        <v>8.9381207</v>
      </c>
      <c r="T735" s="38">
        <v>6.3152534</v>
      </c>
      <c r="U735" s="38">
        <v>84.7466259</v>
      </c>
      <c r="V735" s="38">
        <v>39.7889094</v>
      </c>
      <c r="W735" s="38">
        <v>31.6300888</v>
      </c>
      <c r="X735" s="38">
        <v>8.1588206</v>
      </c>
      <c r="Y735" s="38">
        <v>60.2110906</v>
      </c>
    </row>
    <row r="736" ht="15.0" hidden="1" customHeight="1">
      <c r="B736" s="30">
        <v>731.0</v>
      </c>
      <c r="C736" s="31" t="s">
        <v>21</v>
      </c>
      <c r="D736" s="31" t="s">
        <v>216</v>
      </c>
      <c r="E736" s="31" t="s">
        <v>241</v>
      </c>
      <c r="F736" s="31" t="s">
        <v>242</v>
      </c>
      <c r="G736" s="32" t="s">
        <v>15</v>
      </c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4"/>
      <c r="S736" s="34"/>
      <c r="T736" s="34"/>
      <c r="U736" s="34"/>
      <c r="V736" s="34"/>
      <c r="W736" s="34"/>
      <c r="X736" s="34"/>
      <c r="Y736" s="34"/>
    </row>
    <row r="737" ht="15.0" hidden="1" customHeight="1">
      <c r="B737" s="30">
        <v>732.0</v>
      </c>
      <c r="C737" s="31" t="s">
        <v>21</v>
      </c>
      <c r="D737" s="31" t="s">
        <v>216</v>
      </c>
      <c r="E737" s="31" t="s">
        <v>241</v>
      </c>
      <c r="F737" s="31" t="s">
        <v>242</v>
      </c>
      <c r="G737" s="32" t="s">
        <v>16</v>
      </c>
      <c r="H737" s="33">
        <v>3927.0</v>
      </c>
      <c r="I737" s="33">
        <v>599.0</v>
      </c>
      <c r="J737" s="33">
        <v>351.0</v>
      </c>
      <c r="K737" s="33">
        <v>248.0</v>
      </c>
      <c r="L737" s="33">
        <v>3328.0</v>
      </c>
      <c r="M737" s="33">
        <v>5969.0</v>
      </c>
      <c r="N737" s="33">
        <v>2375.0</v>
      </c>
      <c r="O737" s="33">
        <v>1888.0</v>
      </c>
      <c r="P737" s="33">
        <v>487.0</v>
      </c>
      <c r="Q737" s="33">
        <v>3594.0</v>
      </c>
      <c r="R737" s="34">
        <v>15.2533741</v>
      </c>
      <c r="S737" s="34">
        <v>8.9381207</v>
      </c>
      <c r="T737" s="34">
        <v>6.3152534</v>
      </c>
      <c r="U737" s="34">
        <v>84.7466259</v>
      </c>
      <c r="V737" s="34">
        <v>39.7889094</v>
      </c>
      <c r="W737" s="34">
        <v>31.6300888</v>
      </c>
      <c r="X737" s="34">
        <v>8.1588206</v>
      </c>
      <c r="Y737" s="34">
        <v>60.2110906</v>
      </c>
    </row>
    <row r="738" ht="15.0" customHeight="1">
      <c r="B738" s="35">
        <v>733.0</v>
      </c>
      <c r="C738" s="36" t="s">
        <v>21</v>
      </c>
      <c r="D738" s="41" t="s">
        <v>216</v>
      </c>
      <c r="E738" s="41" t="s">
        <v>241</v>
      </c>
      <c r="F738" s="41" t="s">
        <v>243</v>
      </c>
      <c r="G738" s="42" t="s">
        <v>243</v>
      </c>
      <c r="H738" s="37">
        <v>1040.0</v>
      </c>
      <c r="I738" s="37">
        <v>185.0</v>
      </c>
      <c r="J738" s="37">
        <v>99.0</v>
      </c>
      <c r="K738" s="37">
        <v>86.0</v>
      </c>
      <c r="L738" s="37">
        <v>855.0</v>
      </c>
      <c r="M738" s="37">
        <v>1275.0</v>
      </c>
      <c r="N738" s="37">
        <v>497.0</v>
      </c>
      <c r="O738" s="37">
        <v>431.0</v>
      </c>
      <c r="P738" s="37">
        <v>66.0</v>
      </c>
      <c r="Q738" s="37">
        <v>778.0</v>
      </c>
      <c r="R738" s="38">
        <v>17.7884615</v>
      </c>
      <c r="S738" s="38">
        <v>9.5192308</v>
      </c>
      <c r="T738" s="38">
        <v>8.2692308</v>
      </c>
      <c r="U738" s="38">
        <v>82.2115385</v>
      </c>
      <c r="V738" s="38">
        <v>38.9803922</v>
      </c>
      <c r="W738" s="38">
        <v>33.8039216</v>
      </c>
      <c r="X738" s="38">
        <v>5.1764706</v>
      </c>
      <c r="Y738" s="38">
        <v>61.0196078</v>
      </c>
    </row>
    <row r="739" ht="15.0" hidden="1" customHeight="1">
      <c r="B739" s="30">
        <v>734.0</v>
      </c>
      <c r="C739" s="31" t="s">
        <v>21</v>
      </c>
      <c r="D739" s="31" t="s">
        <v>216</v>
      </c>
      <c r="E739" s="31" t="s">
        <v>241</v>
      </c>
      <c r="F739" s="31" t="s">
        <v>243</v>
      </c>
      <c r="G739" s="32" t="s">
        <v>15</v>
      </c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4"/>
      <c r="S739" s="34"/>
      <c r="T739" s="34"/>
      <c r="U739" s="34"/>
      <c r="V739" s="34"/>
      <c r="W739" s="34"/>
      <c r="X739" s="34"/>
      <c r="Y739" s="34"/>
    </row>
    <row r="740" ht="15.0" hidden="1" customHeight="1">
      <c r="B740" s="30">
        <v>735.0</v>
      </c>
      <c r="C740" s="31" t="s">
        <v>21</v>
      </c>
      <c r="D740" s="31" t="s">
        <v>216</v>
      </c>
      <c r="E740" s="31" t="s">
        <v>241</v>
      </c>
      <c r="F740" s="31" t="s">
        <v>243</v>
      </c>
      <c r="G740" s="32" t="s">
        <v>16</v>
      </c>
      <c r="H740" s="33">
        <v>1040.0</v>
      </c>
      <c r="I740" s="33">
        <v>185.0</v>
      </c>
      <c r="J740" s="33">
        <v>99.0</v>
      </c>
      <c r="K740" s="33">
        <v>86.0</v>
      </c>
      <c r="L740" s="33">
        <v>855.0</v>
      </c>
      <c r="M740" s="33">
        <v>1275.0</v>
      </c>
      <c r="N740" s="33">
        <v>497.0</v>
      </c>
      <c r="O740" s="33">
        <v>431.0</v>
      </c>
      <c r="P740" s="33">
        <v>66.0</v>
      </c>
      <c r="Q740" s="33">
        <v>778.0</v>
      </c>
      <c r="R740" s="34">
        <v>17.7884615</v>
      </c>
      <c r="S740" s="34">
        <v>9.5192308</v>
      </c>
      <c r="T740" s="34">
        <v>8.2692308</v>
      </c>
      <c r="U740" s="34">
        <v>82.2115385</v>
      </c>
      <c r="V740" s="34">
        <v>38.9803922</v>
      </c>
      <c r="W740" s="34">
        <v>33.8039216</v>
      </c>
      <c r="X740" s="34">
        <v>5.1764706</v>
      </c>
      <c r="Y740" s="34">
        <v>61.0196078</v>
      </c>
    </row>
    <row r="741" ht="15.0" hidden="1" customHeight="1">
      <c r="B741" s="26">
        <v>736.0</v>
      </c>
      <c r="C741" s="27" t="s">
        <v>19</v>
      </c>
      <c r="D741" s="40" t="s">
        <v>216</v>
      </c>
      <c r="E741" s="40" t="s">
        <v>244</v>
      </c>
      <c r="F741" s="40"/>
      <c r="G741" s="27" t="s">
        <v>244</v>
      </c>
      <c r="H741" s="28">
        <v>3090.0</v>
      </c>
      <c r="I741" s="28">
        <v>478.0</v>
      </c>
      <c r="J741" s="28">
        <v>221.0</v>
      </c>
      <c r="K741" s="28">
        <v>257.0</v>
      </c>
      <c r="L741" s="28">
        <v>2612.0</v>
      </c>
      <c r="M741" s="28">
        <v>5317.0</v>
      </c>
      <c r="N741" s="28">
        <v>2315.0</v>
      </c>
      <c r="O741" s="28">
        <v>1667.0</v>
      </c>
      <c r="P741" s="28">
        <v>648.0</v>
      </c>
      <c r="Q741" s="28">
        <v>3002.0</v>
      </c>
      <c r="R741" s="29">
        <v>15.4692557</v>
      </c>
      <c r="S741" s="29">
        <v>7.1521036</v>
      </c>
      <c r="T741" s="29">
        <v>8.3171521</v>
      </c>
      <c r="U741" s="29">
        <v>84.5307443</v>
      </c>
      <c r="V741" s="29">
        <v>43.53959</v>
      </c>
      <c r="W741" s="29">
        <v>31.3522663</v>
      </c>
      <c r="X741" s="29">
        <v>12.1873237</v>
      </c>
      <c r="Y741" s="29">
        <v>56.46041</v>
      </c>
    </row>
    <row r="742" ht="15.0" hidden="1" customHeight="1">
      <c r="B742" s="30">
        <v>737.0</v>
      </c>
      <c r="C742" s="31" t="s">
        <v>19</v>
      </c>
      <c r="D742" s="31" t="s">
        <v>216</v>
      </c>
      <c r="E742" s="31" t="s">
        <v>244</v>
      </c>
      <c r="F742" s="31"/>
      <c r="G742" s="32" t="s">
        <v>15</v>
      </c>
      <c r="H742" s="33"/>
      <c r="I742" s="33"/>
      <c r="J742" s="33"/>
      <c r="K742" s="33"/>
      <c r="L742" s="33"/>
      <c r="M742" s="33">
        <v>462.0</v>
      </c>
      <c r="N742" s="33">
        <v>321.0</v>
      </c>
      <c r="O742" s="33">
        <v>166.0</v>
      </c>
      <c r="P742" s="33">
        <v>155.0</v>
      </c>
      <c r="Q742" s="33">
        <v>141.0</v>
      </c>
      <c r="R742" s="34"/>
      <c r="S742" s="34"/>
      <c r="T742" s="34"/>
      <c r="U742" s="34"/>
      <c r="V742" s="34">
        <v>69.4805195</v>
      </c>
      <c r="W742" s="34">
        <v>35.9307359</v>
      </c>
      <c r="X742" s="34">
        <v>33.5497835</v>
      </c>
      <c r="Y742" s="34">
        <v>30.5194805</v>
      </c>
    </row>
    <row r="743" ht="15.0" hidden="1" customHeight="1">
      <c r="B743" s="30">
        <v>738.0</v>
      </c>
      <c r="C743" s="31" t="s">
        <v>19</v>
      </c>
      <c r="D743" s="31" t="s">
        <v>216</v>
      </c>
      <c r="E743" s="31" t="s">
        <v>244</v>
      </c>
      <c r="F743" s="31"/>
      <c r="G743" s="32" t="s">
        <v>16</v>
      </c>
      <c r="H743" s="33">
        <v>3090.0</v>
      </c>
      <c r="I743" s="33">
        <v>478.0</v>
      </c>
      <c r="J743" s="33">
        <v>221.0</v>
      </c>
      <c r="K743" s="33">
        <v>257.0</v>
      </c>
      <c r="L743" s="33">
        <v>2612.0</v>
      </c>
      <c r="M743" s="33">
        <v>4855.0</v>
      </c>
      <c r="N743" s="33">
        <v>1994.0</v>
      </c>
      <c r="O743" s="33">
        <v>1501.0</v>
      </c>
      <c r="P743" s="33">
        <v>493.0</v>
      </c>
      <c r="Q743" s="33">
        <v>2861.0</v>
      </c>
      <c r="R743" s="34">
        <v>15.4692557</v>
      </c>
      <c r="S743" s="34">
        <v>7.1521036</v>
      </c>
      <c r="T743" s="34">
        <v>8.3171521</v>
      </c>
      <c r="U743" s="34">
        <v>84.5307443</v>
      </c>
      <c r="V743" s="34">
        <v>41.0710608</v>
      </c>
      <c r="W743" s="34">
        <v>30.9165808</v>
      </c>
      <c r="X743" s="34">
        <v>10.1544799</v>
      </c>
      <c r="Y743" s="34">
        <v>58.9289392</v>
      </c>
    </row>
    <row r="744" ht="15.0" customHeight="1">
      <c r="B744" s="35">
        <v>739.0</v>
      </c>
      <c r="C744" s="36" t="s">
        <v>21</v>
      </c>
      <c r="D744" s="41" t="s">
        <v>216</v>
      </c>
      <c r="E744" s="41" t="s">
        <v>244</v>
      </c>
      <c r="F744" s="41" t="s">
        <v>244</v>
      </c>
      <c r="G744" s="42" t="s">
        <v>244</v>
      </c>
      <c r="H744" s="37">
        <v>2247.0</v>
      </c>
      <c r="I744" s="37">
        <v>255.0</v>
      </c>
      <c r="J744" s="37">
        <v>126.0</v>
      </c>
      <c r="K744" s="37">
        <v>129.0</v>
      </c>
      <c r="L744" s="37">
        <v>1992.0</v>
      </c>
      <c r="M744" s="37">
        <v>3855.0</v>
      </c>
      <c r="N744" s="37">
        <v>1719.0</v>
      </c>
      <c r="O744" s="37">
        <v>1152.0</v>
      </c>
      <c r="P744" s="37">
        <v>567.0</v>
      </c>
      <c r="Q744" s="37">
        <v>2136.0</v>
      </c>
      <c r="R744" s="38">
        <v>11.3484646</v>
      </c>
      <c r="S744" s="38">
        <v>5.6074766</v>
      </c>
      <c r="T744" s="38">
        <v>5.740988</v>
      </c>
      <c r="U744" s="38">
        <v>88.6515354</v>
      </c>
      <c r="V744" s="38">
        <v>44.5914397</v>
      </c>
      <c r="W744" s="38">
        <v>29.8832685</v>
      </c>
      <c r="X744" s="38">
        <v>14.7081712</v>
      </c>
      <c r="Y744" s="38">
        <v>55.4085603</v>
      </c>
    </row>
    <row r="745" ht="15.0" hidden="1" customHeight="1">
      <c r="B745" s="30">
        <v>740.0</v>
      </c>
      <c r="C745" s="31" t="s">
        <v>21</v>
      </c>
      <c r="D745" s="31" t="s">
        <v>216</v>
      </c>
      <c r="E745" s="31" t="s">
        <v>244</v>
      </c>
      <c r="F745" s="31" t="s">
        <v>244</v>
      </c>
      <c r="G745" s="32" t="s">
        <v>15</v>
      </c>
      <c r="H745" s="33"/>
      <c r="I745" s="33"/>
      <c r="J745" s="33"/>
      <c r="K745" s="33"/>
      <c r="L745" s="33"/>
      <c r="M745" s="33">
        <v>462.0</v>
      </c>
      <c r="N745" s="33">
        <v>321.0</v>
      </c>
      <c r="O745" s="33">
        <v>166.0</v>
      </c>
      <c r="P745" s="33">
        <v>155.0</v>
      </c>
      <c r="Q745" s="33">
        <v>141.0</v>
      </c>
      <c r="R745" s="34"/>
      <c r="S745" s="34"/>
      <c r="T745" s="34"/>
      <c r="U745" s="34"/>
      <c r="V745" s="34">
        <v>69.4805195</v>
      </c>
      <c r="W745" s="34">
        <v>35.9307359</v>
      </c>
      <c r="X745" s="34">
        <v>33.5497835</v>
      </c>
      <c r="Y745" s="34">
        <v>30.5194805</v>
      </c>
    </row>
    <row r="746" ht="15.0" hidden="1" customHeight="1">
      <c r="B746" s="30">
        <v>741.0</v>
      </c>
      <c r="C746" s="31" t="s">
        <v>21</v>
      </c>
      <c r="D746" s="31" t="s">
        <v>216</v>
      </c>
      <c r="E746" s="31" t="s">
        <v>244</v>
      </c>
      <c r="F746" s="31" t="s">
        <v>244</v>
      </c>
      <c r="G746" s="32" t="s">
        <v>16</v>
      </c>
      <c r="H746" s="33">
        <v>2247.0</v>
      </c>
      <c r="I746" s="33">
        <v>255.0</v>
      </c>
      <c r="J746" s="33">
        <v>126.0</v>
      </c>
      <c r="K746" s="33">
        <v>129.0</v>
      </c>
      <c r="L746" s="33">
        <v>1992.0</v>
      </c>
      <c r="M746" s="33">
        <v>3393.0</v>
      </c>
      <c r="N746" s="33">
        <v>1398.0</v>
      </c>
      <c r="O746" s="33">
        <v>986.0</v>
      </c>
      <c r="P746" s="33">
        <v>412.0</v>
      </c>
      <c r="Q746" s="33">
        <v>1995.0</v>
      </c>
      <c r="R746" s="34">
        <v>11.3484646</v>
      </c>
      <c r="S746" s="34">
        <v>5.6074766</v>
      </c>
      <c r="T746" s="34">
        <v>5.740988</v>
      </c>
      <c r="U746" s="34">
        <v>88.6515354</v>
      </c>
      <c r="V746" s="34">
        <v>41.2024757</v>
      </c>
      <c r="W746" s="34">
        <v>29.0598291</v>
      </c>
      <c r="X746" s="34">
        <v>12.1426466</v>
      </c>
      <c r="Y746" s="34">
        <v>58.7975243</v>
      </c>
    </row>
    <row r="747" ht="15.0" customHeight="1">
      <c r="B747" s="35">
        <v>742.0</v>
      </c>
      <c r="C747" s="36" t="s">
        <v>21</v>
      </c>
      <c r="D747" s="41" t="s">
        <v>216</v>
      </c>
      <c r="E747" s="41" t="s">
        <v>244</v>
      </c>
      <c r="F747" s="41" t="s">
        <v>245</v>
      </c>
      <c r="G747" s="42" t="s">
        <v>245</v>
      </c>
      <c r="H747" s="37">
        <v>253.0</v>
      </c>
      <c r="I747" s="37">
        <v>13.0</v>
      </c>
      <c r="J747" s="37">
        <v>2.0</v>
      </c>
      <c r="K747" s="37">
        <v>11.0</v>
      </c>
      <c r="L747" s="37">
        <v>240.0</v>
      </c>
      <c r="M747" s="37">
        <v>357.0</v>
      </c>
      <c r="N747" s="37">
        <v>172.0</v>
      </c>
      <c r="O747" s="37">
        <v>130.0</v>
      </c>
      <c r="P747" s="37">
        <v>42.0</v>
      </c>
      <c r="Q747" s="37">
        <v>185.0</v>
      </c>
      <c r="R747" s="38">
        <v>5.1383399</v>
      </c>
      <c r="S747" s="38">
        <v>0.7905138</v>
      </c>
      <c r="T747" s="38">
        <v>4.3478261</v>
      </c>
      <c r="U747" s="38">
        <v>94.8616601</v>
      </c>
      <c r="V747" s="38">
        <v>48.1792717</v>
      </c>
      <c r="W747" s="38">
        <v>36.4145658</v>
      </c>
      <c r="X747" s="38">
        <v>11.7647059</v>
      </c>
      <c r="Y747" s="38">
        <v>51.8207283</v>
      </c>
    </row>
    <row r="748" ht="15.0" hidden="1" customHeight="1">
      <c r="B748" s="30">
        <v>743.0</v>
      </c>
      <c r="C748" s="31" t="s">
        <v>21</v>
      </c>
      <c r="D748" s="31" t="s">
        <v>216</v>
      </c>
      <c r="E748" s="31" t="s">
        <v>244</v>
      </c>
      <c r="F748" s="31" t="s">
        <v>245</v>
      </c>
      <c r="G748" s="32" t="s">
        <v>15</v>
      </c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4"/>
      <c r="S748" s="34"/>
      <c r="T748" s="34"/>
      <c r="U748" s="34"/>
      <c r="V748" s="34"/>
      <c r="W748" s="34"/>
      <c r="X748" s="34"/>
      <c r="Y748" s="34"/>
    </row>
    <row r="749" ht="15.0" hidden="1" customHeight="1">
      <c r="B749" s="30">
        <v>744.0</v>
      </c>
      <c r="C749" s="31" t="s">
        <v>21</v>
      </c>
      <c r="D749" s="31" t="s">
        <v>216</v>
      </c>
      <c r="E749" s="31" t="s">
        <v>244</v>
      </c>
      <c r="F749" s="31" t="s">
        <v>245</v>
      </c>
      <c r="G749" s="32" t="s">
        <v>16</v>
      </c>
      <c r="H749" s="33">
        <v>253.0</v>
      </c>
      <c r="I749" s="33">
        <v>13.0</v>
      </c>
      <c r="J749" s="33">
        <v>2.0</v>
      </c>
      <c r="K749" s="33">
        <v>11.0</v>
      </c>
      <c r="L749" s="33">
        <v>240.0</v>
      </c>
      <c r="M749" s="33">
        <v>357.0</v>
      </c>
      <c r="N749" s="33">
        <v>172.0</v>
      </c>
      <c r="O749" s="33">
        <v>130.0</v>
      </c>
      <c r="P749" s="33">
        <v>42.0</v>
      </c>
      <c r="Q749" s="33">
        <v>185.0</v>
      </c>
      <c r="R749" s="34">
        <v>5.1383399</v>
      </c>
      <c r="S749" s="34">
        <v>0.7905138</v>
      </c>
      <c r="T749" s="34">
        <v>4.3478261</v>
      </c>
      <c r="U749" s="34">
        <v>94.8616601</v>
      </c>
      <c r="V749" s="34">
        <v>48.1792717</v>
      </c>
      <c r="W749" s="34">
        <v>36.4145658</v>
      </c>
      <c r="X749" s="34">
        <v>11.7647059</v>
      </c>
      <c r="Y749" s="34">
        <v>51.8207283</v>
      </c>
    </row>
    <row r="750" ht="15.0" customHeight="1">
      <c r="B750" s="35">
        <v>745.0</v>
      </c>
      <c r="C750" s="36" t="s">
        <v>21</v>
      </c>
      <c r="D750" s="41" t="s">
        <v>216</v>
      </c>
      <c r="E750" s="41" t="s">
        <v>244</v>
      </c>
      <c r="F750" s="41" t="s">
        <v>246</v>
      </c>
      <c r="G750" s="42" t="s">
        <v>246</v>
      </c>
      <c r="H750" s="37">
        <v>590.0</v>
      </c>
      <c r="I750" s="37">
        <v>210.0</v>
      </c>
      <c r="J750" s="37">
        <v>93.0</v>
      </c>
      <c r="K750" s="37">
        <v>117.0</v>
      </c>
      <c r="L750" s="37">
        <v>380.0</v>
      </c>
      <c r="M750" s="37">
        <v>1105.0</v>
      </c>
      <c r="N750" s="37">
        <v>424.0</v>
      </c>
      <c r="O750" s="37">
        <v>385.0</v>
      </c>
      <c r="P750" s="37">
        <v>39.0</v>
      </c>
      <c r="Q750" s="37">
        <v>681.0</v>
      </c>
      <c r="R750" s="38">
        <v>35.5932203</v>
      </c>
      <c r="S750" s="38">
        <v>15.7627119</v>
      </c>
      <c r="T750" s="38">
        <v>19.8305085</v>
      </c>
      <c r="U750" s="38">
        <v>64.4067797</v>
      </c>
      <c r="V750" s="38">
        <v>38.3710407</v>
      </c>
      <c r="W750" s="38">
        <v>34.841629</v>
      </c>
      <c r="X750" s="38">
        <v>3.5294118</v>
      </c>
      <c r="Y750" s="38">
        <v>61.6289593</v>
      </c>
    </row>
    <row r="751" ht="15.0" hidden="1" customHeight="1">
      <c r="B751" s="30">
        <v>746.0</v>
      </c>
      <c r="C751" s="31" t="s">
        <v>21</v>
      </c>
      <c r="D751" s="31" t="s">
        <v>216</v>
      </c>
      <c r="E751" s="31" t="s">
        <v>244</v>
      </c>
      <c r="F751" s="31" t="s">
        <v>246</v>
      </c>
      <c r="G751" s="32" t="s">
        <v>15</v>
      </c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4"/>
      <c r="S751" s="34"/>
      <c r="T751" s="34"/>
      <c r="U751" s="34"/>
      <c r="V751" s="34"/>
      <c r="W751" s="34"/>
      <c r="X751" s="34"/>
      <c r="Y751" s="34"/>
    </row>
    <row r="752" ht="15.0" hidden="1" customHeight="1">
      <c r="B752" s="30">
        <v>747.0</v>
      </c>
      <c r="C752" s="31" t="s">
        <v>21</v>
      </c>
      <c r="D752" s="31" t="s">
        <v>216</v>
      </c>
      <c r="E752" s="31" t="s">
        <v>244</v>
      </c>
      <c r="F752" s="31" t="s">
        <v>246</v>
      </c>
      <c r="G752" s="32" t="s">
        <v>16</v>
      </c>
      <c r="H752" s="33">
        <v>590.0</v>
      </c>
      <c r="I752" s="33">
        <v>210.0</v>
      </c>
      <c r="J752" s="33">
        <v>93.0</v>
      </c>
      <c r="K752" s="33">
        <v>117.0</v>
      </c>
      <c r="L752" s="33">
        <v>380.0</v>
      </c>
      <c r="M752" s="33">
        <v>1105.0</v>
      </c>
      <c r="N752" s="33">
        <v>424.0</v>
      </c>
      <c r="O752" s="33">
        <v>385.0</v>
      </c>
      <c r="P752" s="33">
        <v>39.0</v>
      </c>
      <c r="Q752" s="33">
        <v>681.0</v>
      </c>
      <c r="R752" s="34">
        <v>35.5932203</v>
      </c>
      <c r="S752" s="34">
        <v>15.7627119</v>
      </c>
      <c r="T752" s="34">
        <v>19.8305085</v>
      </c>
      <c r="U752" s="34">
        <v>64.4067797</v>
      </c>
      <c r="V752" s="34">
        <v>38.3710407</v>
      </c>
      <c r="W752" s="34">
        <v>34.841629</v>
      </c>
      <c r="X752" s="34">
        <v>3.5294118</v>
      </c>
      <c r="Y752" s="34">
        <v>61.6289593</v>
      </c>
    </row>
    <row r="753" ht="15.0" hidden="1" customHeight="1">
      <c r="B753" s="26">
        <v>748.0</v>
      </c>
      <c r="C753" s="27" t="s">
        <v>19</v>
      </c>
      <c r="D753" s="40" t="s">
        <v>216</v>
      </c>
      <c r="E753" s="40" t="s">
        <v>247</v>
      </c>
      <c r="F753" s="40"/>
      <c r="G753" s="27" t="s">
        <v>247</v>
      </c>
      <c r="H753" s="28">
        <v>4331.0</v>
      </c>
      <c r="I753" s="28">
        <v>264.0</v>
      </c>
      <c r="J753" s="28">
        <v>133.0</v>
      </c>
      <c r="K753" s="28">
        <v>131.0</v>
      </c>
      <c r="L753" s="28">
        <v>4067.0</v>
      </c>
      <c r="M753" s="28">
        <v>4732.0</v>
      </c>
      <c r="N753" s="28">
        <v>770.0</v>
      </c>
      <c r="O753" s="28">
        <v>688.0</v>
      </c>
      <c r="P753" s="28">
        <v>82.0</v>
      </c>
      <c r="Q753" s="28">
        <v>3962.0</v>
      </c>
      <c r="R753" s="29">
        <v>6.0955899</v>
      </c>
      <c r="S753" s="29">
        <v>3.0708843</v>
      </c>
      <c r="T753" s="29">
        <v>3.0247056</v>
      </c>
      <c r="U753" s="29">
        <v>93.9044101</v>
      </c>
      <c r="V753" s="29">
        <v>16.2721893</v>
      </c>
      <c r="W753" s="29">
        <v>14.5393068</v>
      </c>
      <c r="X753" s="29">
        <v>1.7328825</v>
      </c>
      <c r="Y753" s="29">
        <v>83.7278107</v>
      </c>
    </row>
    <row r="754" ht="15.0" hidden="1" customHeight="1">
      <c r="B754" s="30">
        <v>749.0</v>
      </c>
      <c r="C754" s="31" t="s">
        <v>19</v>
      </c>
      <c r="D754" s="31" t="s">
        <v>216</v>
      </c>
      <c r="E754" s="31" t="s">
        <v>247</v>
      </c>
      <c r="F754" s="31"/>
      <c r="G754" s="32" t="s">
        <v>15</v>
      </c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4"/>
      <c r="S754" s="34"/>
      <c r="T754" s="34"/>
      <c r="U754" s="34"/>
      <c r="V754" s="34"/>
      <c r="W754" s="34"/>
      <c r="X754" s="34"/>
      <c r="Y754" s="34"/>
    </row>
    <row r="755" ht="15.0" hidden="1" customHeight="1">
      <c r="B755" s="30">
        <v>750.0</v>
      </c>
      <c r="C755" s="31" t="s">
        <v>19</v>
      </c>
      <c r="D755" s="31" t="s">
        <v>216</v>
      </c>
      <c r="E755" s="31" t="s">
        <v>247</v>
      </c>
      <c r="F755" s="31"/>
      <c r="G755" s="32" t="s">
        <v>16</v>
      </c>
      <c r="H755" s="33">
        <v>4331.0</v>
      </c>
      <c r="I755" s="33">
        <v>264.0</v>
      </c>
      <c r="J755" s="33">
        <v>133.0</v>
      </c>
      <c r="K755" s="33">
        <v>131.0</v>
      </c>
      <c r="L755" s="33">
        <v>4067.0</v>
      </c>
      <c r="M755" s="33">
        <v>4732.0</v>
      </c>
      <c r="N755" s="33">
        <v>770.0</v>
      </c>
      <c r="O755" s="33">
        <v>688.0</v>
      </c>
      <c r="P755" s="33">
        <v>82.0</v>
      </c>
      <c r="Q755" s="33">
        <v>3962.0</v>
      </c>
      <c r="R755" s="34">
        <v>6.0955899</v>
      </c>
      <c r="S755" s="34">
        <v>3.0708843</v>
      </c>
      <c r="T755" s="34">
        <v>3.0247056</v>
      </c>
      <c r="U755" s="34">
        <v>93.9044101</v>
      </c>
      <c r="V755" s="34">
        <v>16.2721893</v>
      </c>
      <c r="W755" s="34">
        <v>14.5393068</v>
      </c>
      <c r="X755" s="34">
        <v>1.7328825</v>
      </c>
      <c r="Y755" s="34">
        <v>83.7278107</v>
      </c>
    </row>
    <row r="756" ht="15.0" customHeight="1">
      <c r="B756" s="35">
        <v>751.0</v>
      </c>
      <c r="C756" s="36" t="s">
        <v>21</v>
      </c>
      <c r="D756" s="41" t="s">
        <v>216</v>
      </c>
      <c r="E756" s="41" t="s">
        <v>247</v>
      </c>
      <c r="F756" s="41" t="s">
        <v>248</v>
      </c>
      <c r="G756" s="42" t="s">
        <v>248</v>
      </c>
      <c r="H756" s="37">
        <v>4331.0</v>
      </c>
      <c r="I756" s="37">
        <v>264.0</v>
      </c>
      <c r="J756" s="37">
        <v>133.0</v>
      </c>
      <c r="K756" s="37">
        <v>131.0</v>
      </c>
      <c r="L756" s="37">
        <v>4067.0</v>
      </c>
      <c r="M756" s="37">
        <v>4732.0</v>
      </c>
      <c r="N756" s="37">
        <v>770.0</v>
      </c>
      <c r="O756" s="37">
        <v>688.0</v>
      </c>
      <c r="P756" s="37">
        <v>82.0</v>
      </c>
      <c r="Q756" s="37">
        <v>3962.0</v>
      </c>
      <c r="R756" s="38">
        <v>6.0955899</v>
      </c>
      <c r="S756" s="38">
        <v>3.0708843</v>
      </c>
      <c r="T756" s="38">
        <v>3.0247056</v>
      </c>
      <c r="U756" s="38">
        <v>93.9044101</v>
      </c>
      <c r="V756" s="38">
        <v>16.2721893</v>
      </c>
      <c r="W756" s="38">
        <v>14.5393068</v>
      </c>
      <c r="X756" s="38">
        <v>1.7328825</v>
      </c>
      <c r="Y756" s="38">
        <v>83.7278107</v>
      </c>
    </row>
    <row r="757" ht="15.0" hidden="1" customHeight="1">
      <c r="B757" s="30">
        <v>752.0</v>
      </c>
      <c r="C757" s="31" t="s">
        <v>21</v>
      </c>
      <c r="D757" s="31" t="s">
        <v>216</v>
      </c>
      <c r="E757" s="31" t="s">
        <v>247</v>
      </c>
      <c r="F757" s="31" t="s">
        <v>248</v>
      </c>
      <c r="G757" s="32" t="s">
        <v>15</v>
      </c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4"/>
      <c r="S757" s="34"/>
      <c r="T757" s="34"/>
      <c r="U757" s="34"/>
      <c r="V757" s="34"/>
      <c r="W757" s="34"/>
      <c r="X757" s="34"/>
      <c r="Y757" s="34"/>
    </row>
    <row r="758" ht="15.0" hidden="1" customHeight="1">
      <c r="B758" s="30">
        <v>753.0</v>
      </c>
      <c r="C758" s="31" t="s">
        <v>21</v>
      </c>
      <c r="D758" s="31" t="s">
        <v>216</v>
      </c>
      <c r="E758" s="31" t="s">
        <v>247</v>
      </c>
      <c r="F758" s="31" t="s">
        <v>248</v>
      </c>
      <c r="G758" s="32" t="s">
        <v>16</v>
      </c>
      <c r="H758" s="33">
        <v>4331.0</v>
      </c>
      <c r="I758" s="33">
        <v>264.0</v>
      </c>
      <c r="J758" s="33">
        <v>133.0</v>
      </c>
      <c r="K758" s="33">
        <v>131.0</v>
      </c>
      <c r="L758" s="33">
        <v>4067.0</v>
      </c>
      <c r="M758" s="33">
        <v>4732.0</v>
      </c>
      <c r="N758" s="33">
        <v>770.0</v>
      </c>
      <c r="O758" s="33">
        <v>688.0</v>
      </c>
      <c r="P758" s="33">
        <v>82.0</v>
      </c>
      <c r="Q758" s="33">
        <v>3962.0</v>
      </c>
      <c r="R758" s="34">
        <v>6.0955899</v>
      </c>
      <c r="S758" s="34">
        <v>3.0708843</v>
      </c>
      <c r="T758" s="34">
        <v>3.0247056</v>
      </c>
      <c r="U758" s="34">
        <v>93.9044101</v>
      </c>
      <c r="V758" s="34">
        <v>16.2721893</v>
      </c>
      <c r="W758" s="34">
        <v>14.5393068</v>
      </c>
      <c r="X758" s="34">
        <v>1.7328825</v>
      </c>
      <c r="Y758" s="34">
        <v>83.7278107</v>
      </c>
    </row>
    <row r="759" ht="15.0" hidden="1" customHeight="1">
      <c r="B759" s="26">
        <v>754.0</v>
      </c>
      <c r="C759" s="27" t="s">
        <v>19</v>
      </c>
      <c r="D759" s="40" t="s">
        <v>216</v>
      </c>
      <c r="E759" s="40" t="s">
        <v>249</v>
      </c>
      <c r="F759" s="40"/>
      <c r="G759" s="27" t="s">
        <v>249</v>
      </c>
      <c r="H759" s="28">
        <v>1898.0</v>
      </c>
      <c r="I759" s="28">
        <v>362.0</v>
      </c>
      <c r="J759" s="28">
        <v>137.0</v>
      </c>
      <c r="K759" s="28">
        <v>225.0</v>
      </c>
      <c r="L759" s="28">
        <v>1536.0</v>
      </c>
      <c r="M759" s="28">
        <v>1936.0</v>
      </c>
      <c r="N759" s="28">
        <v>836.0</v>
      </c>
      <c r="O759" s="28">
        <v>691.0</v>
      </c>
      <c r="P759" s="28">
        <v>145.0</v>
      </c>
      <c r="Q759" s="28">
        <v>1100.0</v>
      </c>
      <c r="R759" s="29">
        <v>19.0727081</v>
      </c>
      <c r="S759" s="29">
        <v>7.2181243</v>
      </c>
      <c r="T759" s="29">
        <v>11.8545838</v>
      </c>
      <c r="U759" s="29">
        <v>80.9272919</v>
      </c>
      <c r="V759" s="29">
        <v>43.1818182</v>
      </c>
      <c r="W759" s="29">
        <v>35.6921488</v>
      </c>
      <c r="X759" s="29">
        <v>7.4896694</v>
      </c>
      <c r="Y759" s="29">
        <v>56.8181818</v>
      </c>
    </row>
    <row r="760" ht="15.0" hidden="1" customHeight="1">
      <c r="B760" s="30">
        <v>755.0</v>
      </c>
      <c r="C760" s="31" t="s">
        <v>19</v>
      </c>
      <c r="D760" s="31" t="s">
        <v>216</v>
      </c>
      <c r="E760" s="31" t="s">
        <v>249</v>
      </c>
      <c r="F760" s="31"/>
      <c r="G760" s="32" t="s">
        <v>15</v>
      </c>
      <c r="H760" s="33">
        <v>1015.0</v>
      </c>
      <c r="I760" s="33">
        <v>285.0</v>
      </c>
      <c r="J760" s="33">
        <v>106.0</v>
      </c>
      <c r="K760" s="33">
        <v>179.0</v>
      </c>
      <c r="L760" s="33">
        <v>730.0</v>
      </c>
      <c r="M760" s="33">
        <v>873.0</v>
      </c>
      <c r="N760" s="33">
        <v>507.0</v>
      </c>
      <c r="O760" s="33">
        <v>449.0</v>
      </c>
      <c r="P760" s="33">
        <v>58.0</v>
      </c>
      <c r="Q760" s="33">
        <v>366.0</v>
      </c>
      <c r="R760" s="34">
        <v>28.0788177</v>
      </c>
      <c r="S760" s="34">
        <v>10.4433498</v>
      </c>
      <c r="T760" s="34">
        <v>17.635468</v>
      </c>
      <c r="U760" s="34">
        <v>71.9211823</v>
      </c>
      <c r="V760" s="34">
        <v>58.0756014</v>
      </c>
      <c r="W760" s="34">
        <v>51.4318442</v>
      </c>
      <c r="X760" s="34">
        <v>6.6437572</v>
      </c>
      <c r="Y760" s="34">
        <v>41.9243986</v>
      </c>
    </row>
    <row r="761" ht="15.0" hidden="1" customHeight="1">
      <c r="B761" s="30">
        <v>756.0</v>
      </c>
      <c r="C761" s="31" t="s">
        <v>19</v>
      </c>
      <c r="D761" s="31" t="s">
        <v>216</v>
      </c>
      <c r="E761" s="31" t="s">
        <v>249</v>
      </c>
      <c r="F761" s="31"/>
      <c r="G761" s="32" t="s">
        <v>16</v>
      </c>
      <c r="H761" s="33">
        <v>883.0</v>
      </c>
      <c r="I761" s="33">
        <v>77.0</v>
      </c>
      <c r="J761" s="33">
        <v>31.0</v>
      </c>
      <c r="K761" s="33">
        <v>46.0</v>
      </c>
      <c r="L761" s="33">
        <v>806.0</v>
      </c>
      <c r="M761" s="33">
        <v>1063.0</v>
      </c>
      <c r="N761" s="33">
        <v>329.0</v>
      </c>
      <c r="O761" s="33">
        <v>242.0</v>
      </c>
      <c r="P761" s="33">
        <v>87.0</v>
      </c>
      <c r="Q761" s="33">
        <v>734.0</v>
      </c>
      <c r="R761" s="34">
        <v>8.7202718</v>
      </c>
      <c r="S761" s="34">
        <v>3.5107588</v>
      </c>
      <c r="T761" s="34">
        <v>5.209513</v>
      </c>
      <c r="U761" s="34">
        <v>91.2797282</v>
      </c>
      <c r="V761" s="34">
        <v>30.9501411</v>
      </c>
      <c r="W761" s="34">
        <v>22.7657573</v>
      </c>
      <c r="X761" s="34">
        <v>8.1843838</v>
      </c>
      <c r="Y761" s="34">
        <v>69.0498589</v>
      </c>
    </row>
    <row r="762" ht="15.0" customHeight="1">
      <c r="B762" s="35">
        <v>757.0</v>
      </c>
      <c r="C762" s="36" t="s">
        <v>21</v>
      </c>
      <c r="D762" s="41" t="s">
        <v>216</v>
      </c>
      <c r="E762" s="41" t="s">
        <v>249</v>
      </c>
      <c r="F762" s="41" t="s">
        <v>250</v>
      </c>
      <c r="G762" s="42" t="s">
        <v>250</v>
      </c>
      <c r="H762" s="37">
        <v>1898.0</v>
      </c>
      <c r="I762" s="37">
        <v>362.0</v>
      </c>
      <c r="J762" s="37">
        <v>137.0</v>
      </c>
      <c r="K762" s="37">
        <v>225.0</v>
      </c>
      <c r="L762" s="37">
        <v>1536.0</v>
      </c>
      <c r="M762" s="37">
        <v>1936.0</v>
      </c>
      <c r="N762" s="37">
        <v>836.0</v>
      </c>
      <c r="O762" s="37">
        <v>691.0</v>
      </c>
      <c r="P762" s="37">
        <v>145.0</v>
      </c>
      <c r="Q762" s="37">
        <v>1100.0</v>
      </c>
      <c r="R762" s="38">
        <v>19.0727081</v>
      </c>
      <c r="S762" s="38">
        <v>7.2181243</v>
      </c>
      <c r="T762" s="38">
        <v>11.8545838</v>
      </c>
      <c r="U762" s="38">
        <v>80.9272919</v>
      </c>
      <c r="V762" s="38">
        <v>43.1818182</v>
      </c>
      <c r="W762" s="38">
        <v>35.6921488</v>
      </c>
      <c r="X762" s="38">
        <v>7.4896694</v>
      </c>
      <c r="Y762" s="38">
        <v>56.8181818</v>
      </c>
    </row>
    <row r="763" ht="15.0" hidden="1" customHeight="1">
      <c r="B763" s="30">
        <v>758.0</v>
      </c>
      <c r="C763" s="31" t="s">
        <v>21</v>
      </c>
      <c r="D763" s="31" t="s">
        <v>216</v>
      </c>
      <c r="E763" s="31" t="s">
        <v>249</v>
      </c>
      <c r="F763" s="31" t="s">
        <v>250</v>
      </c>
      <c r="G763" s="32" t="s">
        <v>15</v>
      </c>
      <c r="H763" s="33">
        <v>1015.0</v>
      </c>
      <c r="I763" s="33">
        <v>285.0</v>
      </c>
      <c r="J763" s="33">
        <v>106.0</v>
      </c>
      <c r="K763" s="33">
        <v>179.0</v>
      </c>
      <c r="L763" s="33">
        <v>730.0</v>
      </c>
      <c r="M763" s="33">
        <v>873.0</v>
      </c>
      <c r="N763" s="33">
        <v>507.0</v>
      </c>
      <c r="O763" s="33">
        <v>449.0</v>
      </c>
      <c r="P763" s="33">
        <v>58.0</v>
      </c>
      <c r="Q763" s="33">
        <v>366.0</v>
      </c>
      <c r="R763" s="34">
        <v>28.0788177</v>
      </c>
      <c r="S763" s="34">
        <v>10.4433498</v>
      </c>
      <c r="T763" s="34">
        <v>17.635468</v>
      </c>
      <c r="U763" s="34">
        <v>71.9211823</v>
      </c>
      <c r="V763" s="34">
        <v>58.0756014</v>
      </c>
      <c r="W763" s="34">
        <v>51.4318442</v>
      </c>
      <c r="X763" s="34">
        <v>6.6437572</v>
      </c>
      <c r="Y763" s="34">
        <v>41.9243986</v>
      </c>
    </row>
    <row r="764" ht="15.0" hidden="1" customHeight="1">
      <c r="B764" s="30">
        <v>759.0</v>
      </c>
      <c r="C764" s="31" t="s">
        <v>21</v>
      </c>
      <c r="D764" s="31" t="s">
        <v>216</v>
      </c>
      <c r="E764" s="31" t="s">
        <v>249</v>
      </c>
      <c r="F764" s="31" t="s">
        <v>250</v>
      </c>
      <c r="G764" s="32" t="s">
        <v>16</v>
      </c>
      <c r="H764" s="33">
        <v>883.0</v>
      </c>
      <c r="I764" s="33">
        <v>77.0</v>
      </c>
      <c r="J764" s="33">
        <v>31.0</v>
      </c>
      <c r="K764" s="33">
        <v>46.0</v>
      </c>
      <c r="L764" s="33">
        <v>806.0</v>
      </c>
      <c r="M764" s="33">
        <v>1063.0</v>
      </c>
      <c r="N764" s="33">
        <v>329.0</v>
      </c>
      <c r="O764" s="33">
        <v>242.0</v>
      </c>
      <c r="P764" s="33">
        <v>87.0</v>
      </c>
      <c r="Q764" s="33">
        <v>734.0</v>
      </c>
      <c r="R764" s="34">
        <v>8.7202718</v>
      </c>
      <c r="S764" s="34">
        <v>3.5107588</v>
      </c>
      <c r="T764" s="34">
        <v>5.209513</v>
      </c>
      <c r="U764" s="34">
        <v>91.2797282</v>
      </c>
      <c r="V764" s="34">
        <v>30.9501411</v>
      </c>
      <c r="W764" s="34">
        <v>22.7657573</v>
      </c>
      <c r="X764" s="34">
        <v>8.1843838</v>
      </c>
      <c r="Y764" s="34">
        <v>69.0498589</v>
      </c>
    </row>
    <row r="765" ht="15.0" hidden="1" customHeight="1">
      <c r="B765" s="26">
        <v>760.0</v>
      </c>
      <c r="C765" s="27" t="s">
        <v>19</v>
      </c>
      <c r="D765" s="40" t="s">
        <v>216</v>
      </c>
      <c r="E765" s="40" t="s">
        <v>251</v>
      </c>
      <c r="F765" s="40"/>
      <c r="G765" s="27" t="s">
        <v>251</v>
      </c>
      <c r="H765" s="28">
        <v>2720.0</v>
      </c>
      <c r="I765" s="28">
        <v>138.0</v>
      </c>
      <c r="J765" s="28">
        <v>80.0</v>
      </c>
      <c r="K765" s="28">
        <v>58.0</v>
      </c>
      <c r="L765" s="28">
        <v>2582.0</v>
      </c>
      <c r="M765" s="28">
        <v>3384.0</v>
      </c>
      <c r="N765" s="28">
        <v>1094.0</v>
      </c>
      <c r="O765" s="28">
        <v>874.0</v>
      </c>
      <c r="P765" s="28">
        <v>220.0</v>
      </c>
      <c r="Q765" s="28">
        <v>2290.0</v>
      </c>
      <c r="R765" s="29">
        <v>5.0735294</v>
      </c>
      <c r="S765" s="29">
        <v>2.9411765</v>
      </c>
      <c r="T765" s="29">
        <v>2.1323529</v>
      </c>
      <c r="U765" s="29">
        <v>94.9264706</v>
      </c>
      <c r="V765" s="29">
        <v>32.3286052</v>
      </c>
      <c r="W765" s="29">
        <v>25.8274232</v>
      </c>
      <c r="X765" s="29">
        <v>6.501182</v>
      </c>
      <c r="Y765" s="29">
        <v>67.6713948</v>
      </c>
    </row>
    <row r="766" ht="15.0" hidden="1" customHeight="1">
      <c r="B766" s="30">
        <v>761.0</v>
      </c>
      <c r="C766" s="31" t="s">
        <v>19</v>
      </c>
      <c r="D766" s="31" t="s">
        <v>216</v>
      </c>
      <c r="E766" s="31" t="s">
        <v>251</v>
      </c>
      <c r="F766" s="31"/>
      <c r="G766" s="32" t="s">
        <v>15</v>
      </c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4"/>
      <c r="S766" s="34"/>
      <c r="T766" s="34"/>
      <c r="U766" s="34"/>
      <c r="V766" s="34"/>
      <c r="W766" s="34"/>
      <c r="X766" s="34"/>
      <c r="Y766" s="34"/>
    </row>
    <row r="767" ht="15.0" hidden="1" customHeight="1">
      <c r="B767" s="30">
        <v>762.0</v>
      </c>
      <c r="C767" s="31" t="s">
        <v>19</v>
      </c>
      <c r="D767" s="31" t="s">
        <v>216</v>
      </c>
      <c r="E767" s="31" t="s">
        <v>251</v>
      </c>
      <c r="F767" s="31"/>
      <c r="G767" s="32" t="s">
        <v>16</v>
      </c>
      <c r="H767" s="33">
        <v>2720.0</v>
      </c>
      <c r="I767" s="33">
        <v>138.0</v>
      </c>
      <c r="J767" s="33">
        <v>80.0</v>
      </c>
      <c r="K767" s="33">
        <v>58.0</v>
      </c>
      <c r="L767" s="33">
        <v>2582.0</v>
      </c>
      <c r="M767" s="33">
        <v>3384.0</v>
      </c>
      <c r="N767" s="33">
        <v>1094.0</v>
      </c>
      <c r="O767" s="33">
        <v>874.0</v>
      </c>
      <c r="P767" s="33">
        <v>220.0</v>
      </c>
      <c r="Q767" s="33">
        <v>2290.0</v>
      </c>
      <c r="R767" s="34">
        <v>5.0735294</v>
      </c>
      <c r="S767" s="34">
        <v>2.9411765</v>
      </c>
      <c r="T767" s="34">
        <v>2.1323529</v>
      </c>
      <c r="U767" s="34">
        <v>94.9264706</v>
      </c>
      <c r="V767" s="34">
        <v>32.3286052</v>
      </c>
      <c r="W767" s="34">
        <v>25.8274232</v>
      </c>
      <c r="X767" s="34">
        <v>6.501182</v>
      </c>
      <c r="Y767" s="34">
        <v>67.6713948</v>
      </c>
    </row>
    <row r="768" ht="15.0" customHeight="1">
      <c r="B768" s="35">
        <v>763.0</v>
      </c>
      <c r="C768" s="36" t="s">
        <v>21</v>
      </c>
      <c r="D768" s="41" t="s">
        <v>216</v>
      </c>
      <c r="E768" s="41" t="s">
        <v>251</v>
      </c>
      <c r="F768" s="41" t="s">
        <v>252</v>
      </c>
      <c r="G768" s="42" t="s">
        <v>252</v>
      </c>
      <c r="H768" s="37">
        <v>1992.0</v>
      </c>
      <c r="I768" s="37">
        <v>119.0</v>
      </c>
      <c r="J768" s="37">
        <v>66.0</v>
      </c>
      <c r="K768" s="37">
        <v>53.0</v>
      </c>
      <c r="L768" s="37">
        <v>1873.0</v>
      </c>
      <c r="M768" s="37">
        <v>2285.0</v>
      </c>
      <c r="N768" s="37">
        <v>665.0</v>
      </c>
      <c r="O768" s="37">
        <v>559.0</v>
      </c>
      <c r="P768" s="37">
        <v>106.0</v>
      </c>
      <c r="Q768" s="37">
        <v>1620.0</v>
      </c>
      <c r="R768" s="38">
        <v>5.9738956</v>
      </c>
      <c r="S768" s="38">
        <v>3.313253</v>
      </c>
      <c r="T768" s="38">
        <v>2.6606426</v>
      </c>
      <c r="U768" s="38">
        <v>94.0261044</v>
      </c>
      <c r="V768" s="38">
        <v>29.1028446</v>
      </c>
      <c r="W768" s="38">
        <v>24.463895</v>
      </c>
      <c r="X768" s="38">
        <v>4.6389497</v>
      </c>
      <c r="Y768" s="38">
        <v>70.8971554</v>
      </c>
    </row>
    <row r="769" ht="15.0" hidden="1" customHeight="1">
      <c r="B769" s="30">
        <v>764.0</v>
      </c>
      <c r="C769" s="31" t="s">
        <v>21</v>
      </c>
      <c r="D769" s="31" t="s">
        <v>216</v>
      </c>
      <c r="E769" s="31" t="s">
        <v>251</v>
      </c>
      <c r="F769" s="31" t="s">
        <v>252</v>
      </c>
      <c r="G769" s="32" t="s">
        <v>15</v>
      </c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4"/>
      <c r="S769" s="34"/>
      <c r="T769" s="34"/>
      <c r="U769" s="34"/>
      <c r="V769" s="34"/>
      <c r="W769" s="34"/>
      <c r="X769" s="34"/>
      <c r="Y769" s="34"/>
    </row>
    <row r="770" ht="15.0" hidden="1" customHeight="1">
      <c r="B770" s="30">
        <v>765.0</v>
      </c>
      <c r="C770" s="31" t="s">
        <v>21</v>
      </c>
      <c r="D770" s="31" t="s">
        <v>216</v>
      </c>
      <c r="E770" s="31" t="s">
        <v>251</v>
      </c>
      <c r="F770" s="31" t="s">
        <v>252</v>
      </c>
      <c r="G770" s="32" t="s">
        <v>16</v>
      </c>
      <c r="H770" s="33">
        <v>1992.0</v>
      </c>
      <c r="I770" s="33">
        <v>119.0</v>
      </c>
      <c r="J770" s="33">
        <v>66.0</v>
      </c>
      <c r="K770" s="33">
        <v>53.0</v>
      </c>
      <c r="L770" s="33">
        <v>1873.0</v>
      </c>
      <c r="M770" s="33">
        <v>2285.0</v>
      </c>
      <c r="N770" s="33">
        <v>665.0</v>
      </c>
      <c r="O770" s="33">
        <v>559.0</v>
      </c>
      <c r="P770" s="33">
        <v>106.0</v>
      </c>
      <c r="Q770" s="33">
        <v>1620.0</v>
      </c>
      <c r="R770" s="34">
        <v>5.9738956</v>
      </c>
      <c r="S770" s="34">
        <v>3.313253</v>
      </c>
      <c r="T770" s="34">
        <v>2.6606426</v>
      </c>
      <c r="U770" s="34">
        <v>94.0261044</v>
      </c>
      <c r="V770" s="34">
        <v>29.1028446</v>
      </c>
      <c r="W770" s="34">
        <v>24.463895</v>
      </c>
      <c r="X770" s="34">
        <v>4.6389497</v>
      </c>
      <c r="Y770" s="34">
        <v>70.8971554</v>
      </c>
    </row>
    <row r="771" ht="15.0" customHeight="1">
      <c r="B771" s="35">
        <v>766.0</v>
      </c>
      <c r="C771" s="36" t="s">
        <v>21</v>
      </c>
      <c r="D771" s="41" t="s">
        <v>216</v>
      </c>
      <c r="E771" s="41" t="s">
        <v>251</v>
      </c>
      <c r="F771" s="41" t="s">
        <v>253</v>
      </c>
      <c r="G771" s="42" t="s">
        <v>253</v>
      </c>
      <c r="H771" s="37">
        <v>728.0</v>
      </c>
      <c r="I771" s="37">
        <v>19.0</v>
      </c>
      <c r="J771" s="37">
        <v>14.0</v>
      </c>
      <c r="K771" s="37">
        <v>5.0</v>
      </c>
      <c r="L771" s="37">
        <v>709.0</v>
      </c>
      <c r="M771" s="37">
        <v>1099.0</v>
      </c>
      <c r="N771" s="37">
        <v>429.0</v>
      </c>
      <c r="O771" s="37">
        <v>315.0</v>
      </c>
      <c r="P771" s="37">
        <v>114.0</v>
      </c>
      <c r="Q771" s="37">
        <v>670.0</v>
      </c>
      <c r="R771" s="38">
        <v>2.6098901</v>
      </c>
      <c r="S771" s="38">
        <v>1.9230769</v>
      </c>
      <c r="T771" s="38">
        <v>0.6868132</v>
      </c>
      <c r="U771" s="38">
        <v>97.3901099</v>
      </c>
      <c r="V771" s="38">
        <v>39.0354868</v>
      </c>
      <c r="W771" s="38">
        <v>28.6624204</v>
      </c>
      <c r="X771" s="38">
        <v>10.3730664</v>
      </c>
      <c r="Y771" s="38">
        <v>60.9645132</v>
      </c>
    </row>
    <row r="772" ht="15.0" hidden="1" customHeight="1">
      <c r="B772" s="30">
        <v>767.0</v>
      </c>
      <c r="C772" s="31" t="s">
        <v>21</v>
      </c>
      <c r="D772" s="31" t="s">
        <v>216</v>
      </c>
      <c r="E772" s="31" t="s">
        <v>251</v>
      </c>
      <c r="F772" s="31" t="s">
        <v>253</v>
      </c>
      <c r="G772" s="32" t="s">
        <v>15</v>
      </c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4"/>
      <c r="S772" s="34"/>
      <c r="T772" s="34"/>
      <c r="U772" s="34"/>
      <c r="V772" s="34"/>
      <c r="W772" s="34"/>
      <c r="X772" s="34"/>
      <c r="Y772" s="34"/>
    </row>
    <row r="773" ht="15.0" hidden="1" customHeight="1">
      <c r="B773" s="30">
        <v>768.0</v>
      </c>
      <c r="C773" s="31" t="s">
        <v>21</v>
      </c>
      <c r="D773" s="31" t="s">
        <v>216</v>
      </c>
      <c r="E773" s="31" t="s">
        <v>251</v>
      </c>
      <c r="F773" s="31" t="s">
        <v>253</v>
      </c>
      <c r="G773" s="32" t="s">
        <v>16</v>
      </c>
      <c r="H773" s="33">
        <v>728.0</v>
      </c>
      <c r="I773" s="33">
        <v>19.0</v>
      </c>
      <c r="J773" s="33">
        <v>14.0</v>
      </c>
      <c r="K773" s="33">
        <v>5.0</v>
      </c>
      <c r="L773" s="33">
        <v>709.0</v>
      </c>
      <c r="M773" s="33">
        <v>1099.0</v>
      </c>
      <c r="N773" s="33">
        <v>429.0</v>
      </c>
      <c r="O773" s="33">
        <v>315.0</v>
      </c>
      <c r="P773" s="33">
        <v>114.0</v>
      </c>
      <c r="Q773" s="33">
        <v>670.0</v>
      </c>
      <c r="R773" s="34">
        <v>2.6098901</v>
      </c>
      <c r="S773" s="34">
        <v>1.9230769</v>
      </c>
      <c r="T773" s="34">
        <v>0.6868132</v>
      </c>
      <c r="U773" s="34">
        <v>97.3901099</v>
      </c>
      <c r="V773" s="34">
        <v>39.0354868</v>
      </c>
      <c r="W773" s="34">
        <v>28.6624204</v>
      </c>
      <c r="X773" s="34">
        <v>10.3730664</v>
      </c>
      <c r="Y773" s="34">
        <v>60.9645132</v>
      </c>
    </row>
    <row r="774" ht="15.0" hidden="1" customHeight="1">
      <c r="B774" s="26">
        <v>769.0</v>
      </c>
      <c r="C774" s="27" t="s">
        <v>19</v>
      </c>
      <c r="D774" s="40" t="s">
        <v>216</v>
      </c>
      <c r="E774" s="40" t="s">
        <v>254</v>
      </c>
      <c r="F774" s="40"/>
      <c r="G774" s="27" t="s">
        <v>254</v>
      </c>
      <c r="H774" s="28">
        <v>1886.0</v>
      </c>
      <c r="I774" s="28">
        <v>239.0</v>
      </c>
      <c r="J774" s="28">
        <v>128.0</v>
      </c>
      <c r="K774" s="28">
        <v>111.0</v>
      </c>
      <c r="L774" s="28">
        <v>1647.0</v>
      </c>
      <c r="M774" s="28">
        <v>2648.0</v>
      </c>
      <c r="N774" s="28">
        <v>762.0</v>
      </c>
      <c r="O774" s="28">
        <v>514.0</v>
      </c>
      <c r="P774" s="28">
        <v>248.0</v>
      </c>
      <c r="Q774" s="28">
        <v>1886.0</v>
      </c>
      <c r="R774" s="29">
        <v>12.6723224</v>
      </c>
      <c r="S774" s="29">
        <v>6.7868505</v>
      </c>
      <c r="T774" s="29">
        <v>5.8854719</v>
      </c>
      <c r="U774" s="29">
        <v>87.3276776</v>
      </c>
      <c r="V774" s="29">
        <v>28.776435</v>
      </c>
      <c r="W774" s="29">
        <v>19.4108761</v>
      </c>
      <c r="X774" s="29">
        <v>9.3655589</v>
      </c>
      <c r="Y774" s="29">
        <v>71.223565</v>
      </c>
    </row>
    <row r="775" ht="15.0" hidden="1" customHeight="1">
      <c r="B775" s="30">
        <v>770.0</v>
      </c>
      <c r="C775" s="31" t="s">
        <v>19</v>
      </c>
      <c r="D775" s="31" t="s">
        <v>216</v>
      </c>
      <c r="E775" s="31" t="s">
        <v>254</v>
      </c>
      <c r="F775" s="31"/>
      <c r="G775" s="32" t="s">
        <v>15</v>
      </c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4"/>
      <c r="S775" s="34"/>
      <c r="T775" s="34"/>
      <c r="U775" s="34"/>
      <c r="V775" s="34"/>
      <c r="W775" s="34"/>
      <c r="X775" s="34"/>
      <c r="Y775" s="34"/>
    </row>
    <row r="776" ht="15.0" hidden="1" customHeight="1">
      <c r="B776" s="30">
        <v>771.0</v>
      </c>
      <c r="C776" s="31" t="s">
        <v>19</v>
      </c>
      <c r="D776" s="31" t="s">
        <v>216</v>
      </c>
      <c r="E776" s="31" t="s">
        <v>254</v>
      </c>
      <c r="F776" s="31"/>
      <c r="G776" s="32" t="s">
        <v>16</v>
      </c>
      <c r="H776" s="33">
        <v>1886.0</v>
      </c>
      <c r="I776" s="33">
        <v>239.0</v>
      </c>
      <c r="J776" s="33">
        <v>128.0</v>
      </c>
      <c r="K776" s="33">
        <v>111.0</v>
      </c>
      <c r="L776" s="33">
        <v>1647.0</v>
      </c>
      <c r="M776" s="33">
        <v>2648.0</v>
      </c>
      <c r="N776" s="33">
        <v>762.0</v>
      </c>
      <c r="O776" s="33">
        <v>514.0</v>
      </c>
      <c r="P776" s="33">
        <v>248.0</v>
      </c>
      <c r="Q776" s="33">
        <v>1886.0</v>
      </c>
      <c r="R776" s="34">
        <v>12.6723224</v>
      </c>
      <c r="S776" s="34">
        <v>6.7868505</v>
      </c>
      <c r="T776" s="34">
        <v>5.8854719</v>
      </c>
      <c r="U776" s="34">
        <v>87.3276776</v>
      </c>
      <c r="V776" s="34">
        <v>28.776435</v>
      </c>
      <c r="W776" s="34">
        <v>19.4108761</v>
      </c>
      <c r="X776" s="34">
        <v>9.3655589</v>
      </c>
      <c r="Y776" s="34">
        <v>71.223565</v>
      </c>
    </row>
    <row r="777" ht="15.0" customHeight="1">
      <c r="B777" s="35">
        <v>772.0</v>
      </c>
      <c r="C777" s="36" t="s">
        <v>21</v>
      </c>
      <c r="D777" s="41" t="s">
        <v>216</v>
      </c>
      <c r="E777" s="41" t="s">
        <v>254</v>
      </c>
      <c r="F777" s="41" t="s">
        <v>198</v>
      </c>
      <c r="G777" s="42" t="s">
        <v>198</v>
      </c>
      <c r="H777" s="37">
        <v>1886.0</v>
      </c>
      <c r="I777" s="37">
        <v>239.0</v>
      </c>
      <c r="J777" s="37">
        <v>128.0</v>
      </c>
      <c r="K777" s="37">
        <v>111.0</v>
      </c>
      <c r="L777" s="37">
        <v>1647.0</v>
      </c>
      <c r="M777" s="37">
        <v>2648.0</v>
      </c>
      <c r="N777" s="37">
        <v>762.0</v>
      </c>
      <c r="O777" s="37">
        <v>514.0</v>
      </c>
      <c r="P777" s="37">
        <v>248.0</v>
      </c>
      <c r="Q777" s="37">
        <v>1886.0</v>
      </c>
      <c r="R777" s="38">
        <v>12.6723224</v>
      </c>
      <c r="S777" s="38">
        <v>6.7868505</v>
      </c>
      <c r="T777" s="38">
        <v>5.8854719</v>
      </c>
      <c r="U777" s="38">
        <v>87.3276776</v>
      </c>
      <c r="V777" s="38">
        <v>28.776435</v>
      </c>
      <c r="W777" s="38">
        <v>19.4108761</v>
      </c>
      <c r="X777" s="38">
        <v>9.3655589</v>
      </c>
      <c r="Y777" s="38">
        <v>71.223565</v>
      </c>
    </row>
    <row r="778" ht="15.0" hidden="1" customHeight="1">
      <c r="B778" s="30">
        <v>773.0</v>
      </c>
      <c r="C778" s="31" t="s">
        <v>21</v>
      </c>
      <c r="D778" s="31" t="s">
        <v>216</v>
      </c>
      <c r="E778" s="31" t="s">
        <v>254</v>
      </c>
      <c r="F778" s="31" t="s">
        <v>198</v>
      </c>
      <c r="G778" s="32" t="s">
        <v>15</v>
      </c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4"/>
      <c r="S778" s="34"/>
      <c r="T778" s="34"/>
      <c r="U778" s="34"/>
      <c r="V778" s="34"/>
      <c r="W778" s="34"/>
      <c r="X778" s="34"/>
      <c r="Y778" s="34"/>
    </row>
    <row r="779" ht="15.0" hidden="1" customHeight="1">
      <c r="B779" s="30">
        <v>774.0</v>
      </c>
      <c r="C779" s="31" t="s">
        <v>21</v>
      </c>
      <c r="D779" s="31" t="s">
        <v>216</v>
      </c>
      <c r="E779" s="31" t="s">
        <v>254</v>
      </c>
      <c r="F779" s="31" t="s">
        <v>198</v>
      </c>
      <c r="G779" s="32" t="s">
        <v>16</v>
      </c>
      <c r="H779" s="33">
        <v>1886.0</v>
      </c>
      <c r="I779" s="33">
        <v>239.0</v>
      </c>
      <c r="J779" s="33">
        <v>128.0</v>
      </c>
      <c r="K779" s="33">
        <v>111.0</v>
      </c>
      <c r="L779" s="33">
        <v>1647.0</v>
      </c>
      <c r="M779" s="33">
        <v>2648.0</v>
      </c>
      <c r="N779" s="33">
        <v>762.0</v>
      </c>
      <c r="O779" s="33">
        <v>514.0</v>
      </c>
      <c r="P779" s="33">
        <v>248.0</v>
      </c>
      <c r="Q779" s="33">
        <v>1886.0</v>
      </c>
      <c r="R779" s="34">
        <v>12.6723224</v>
      </c>
      <c r="S779" s="34">
        <v>6.7868505</v>
      </c>
      <c r="T779" s="34">
        <v>5.8854719</v>
      </c>
      <c r="U779" s="34">
        <v>87.3276776</v>
      </c>
      <c r="V779" s="34">
        <v>28.776435</v>
      </c>
      <c r="W779" s="34">
        <v>19.4108761</v>
      </c>
      <c r="X779" s="34">
        <v>9.3655589</v>
      </c>
      <c r="Y779" s="34">
        <v>71.223565</v>
      </c>
    </row>
    <row r="780" ht="15.0" hidden="1" customHeight="1">
      <c r="B780" s="26">
        <v>775.0</v>
      </c>
      <c r="C780" s="27" t="s">
        <v>19</v>
      </c>
      <c r="D780" s="40" t="s">
        <v>216</v>
      </c>
      <c r="E780" s="40" t="s">
        <v>255</v>
      </c>
      <c r="F780" s="40"/>
      <c r="G780" s="27" t="s">
        <v>255</v>
      </c>
      <c r="H780" s="28">
        <v>4302.0</v>
      </c>
      <c r="I780" s="28">
        <v>928.0</v>
      </c>
      <c r="J780" s="28">
        <v>491.0</v>
      </c>
      <c r="K780" s="28">
        <v>437.0</v>
      </c>
      <c r="L780" s="28">
        <v>3374.0</v>
      </c>
      <c r="M780" s="28">
        <v>4639.0</v>
      </c>
      <c r="N780" s="28">
        <v>1661.0</v>
      </c>
      <c r="O780" s="28">
        <v>1350.0</v>
      </c>
      <c r="P780" s="28">
        <v>311.0</v>
      </c>
      <c r="Q780" s="28">
        <v>2978.0</v>
      </c>
      <c r="R780" s="29">
        <v>21.5713622</v>
      </c>
      <c r="S780" s="29">
        <v>11.4132961</v>
      </c>
      <c r="T780" s="29">
        <v>10.158066</v>
      </c>
      <c r="U780" s="29">
        <v>78.4286378</v>
      </c>
      <c r="V780" s="29">
        <v>35.8051304</v>
      </c>
      <c r="W780" s="29">
        <v>29.1010994</v>
      </c>
      <c r="X780" s="29">
        <v>6.704031</v>
      </c>
      <c r="Y780" s="29">
        <v>64.1948696</v>
      </c>
    </row>
    <row r="781" ht="15.0" hidden="1" customHeight="1">
      <c r="B781" s="30">
        <v>776.0</v>
      </c>
      <c r="C781" s="31" t="s">
        <v>19</v>
      </c>
      <c r="D781" s="31" t="s">
        <v>216</v>
      </c>
      <c r="E781" s="31" t="s">
        <v>255</v>
      </c>
      <c r="F781" s="31"/>
      <c r="G781" s="32" t="s">
        <v>15</v>
      </c>
      <c r="H781" s="33">
        <v>1304.0</v>
      </c>
      <c r="I781" s="33">
        <v>811.0</v>
      </c>
      <c r="J781" s="33">
        <v>451.0</v>
      </c>
      <c r="K781" s="33">
        <v>360.0</v>
      </c>
      <c r="L781" s="33">
        <v>493.0</v>
      </c>
      <c r="M781" s="33">
        <v>1146.0</v>
      </c>
      <c r="N781" s="33">
        <v>1043.0</v>
      </c>
      <c r="O781" s="33">
        <v>850.0</v>
      </c>
      <c r="P781" s="33">
        <v>193.0</v>
      </c>
      <c r="Q781" s="33">
        <v>103.0</v>
      </c>
      <c r="R781" s="34">
        <v>62.1932515</v>
      </c>
      <c r="S781" s="34">
        <v>34.5858896</v>
      </c>
      <c r="T781" s="34">
        <v>27.607362</v>
      </c>
      <c r="U781" s="34">
        <v>37.8067485</v>
      </c>
      <c r="V781" s="34">
        <v>91.0122164</v>
      </c>
      <c r="W781" s="34">
        <v>74.1710297</v>
      </c>
      <c r="X781" s="34">
        <v>16.8411867</v>
      </c>
      <c r="Y781" s="34">
        <v>8.9877836</v>
      </c>
    </row>
    <row r="782" ht="15.0" hidden="1" customHeight="1">
      <c r="B782" s="30">
        <v>777.0</v>
      </c>
      <c r="C782" s="31" t="s">
        <v>19</v>
      </c>
      <c r="D782" s="31" t="s">
        <v>216</v>
      </c>
      <c r="E782" s="31" t="s">
        <v>255</v>
      </c>
      <c r="F782" s="31"/>
      <c r="G782" s="32" t="s">
        <v>16</v>
      </c>
      <c r="H782" s="33">
        <v>2998.0</v>
      </c>
      <c r="I782" s="33">
        <v>117.0</v>
      </c>
      <c r="J782" s="33">
        <v>40.0</v>
      </c>
      <c r="K782" s="33">
        <v>77.0</v>
      </c>
      <c r="L782" s="33">
        <v>2881.0</v>
      </c>
      <c r="M782" s="33">
        <v>3493.0</v>
      </c>
      <c r="N782" s="33">
        <v>618.0</v>
      </c>
      <c r="O782" s="33">
        <v>500.0</v>
      </c>
      <c r="P782" s="33">
        <v>118.0</v>
      </c>
      <c r="Q782" s="33">
        <v>2875.0</v>
      </c>
      <c r="R782" s="34">
        <v>3.9026017</v>
      </c>
      <c r="S782" s="34">
        <v>1.3342228</v>
      </c>
      <c r="T782" s="34">
        <v>2.5683789</v>
      </c>
      <c r="U782" s="34">
        <v>96.0973983</v>
      </c>
      <c r="V782" s="34">
        <v>17.6925279</v>
      </c>
      <c r="W782" s="34">
        <v>14.314343</v>
      </c>
      <c r="X782" s="34">
        <v>3.3781849</v>
      </c>
      <c r="Y782" s="34">
        <v>82.3074721</v>
      </c>
    </row>
    <row r="783" ht="15.0" customHeight="1">
      <c r="B783" s="35">
        <v>778.0</v>
      </c>
      <c r="C783" s="36" t="s">
        <v>21</v>
      </c>
      <c r="D783" s="41" t="s">
        <v>216</v>
      </c>
      <c r="E783" s="41" t="s">
        <v>255</v>
      </c>
      <c r="F783" s="41" t="s">
        <v>256</v>
      </c>
      <c r="G783" s="42" t="s">
        <v>256</v>
      </c>
      <c r="H783" s="37">
        <v>4302.0</v>
      </c>
      <c r="I783" s="37">
        <v>928.0</v>
      </c>
      <c r="J783" s="37">
        <v>491.0</v>
      </c>
      <c r="K783" s="37">
        <v>437.0</v>
      </c>
      <c r="L783" s="37">
        <v>3374.0</v>
      </c>
      <c r="M783" s="37">
        <v>4639.0</v>
      </c>
      <c r="N783" s="37">
        <v>1661.0</v>
      </c>
      <c r="O783" s="37">
        <v>1350.0</v>
      </c>
      <c r="P783" s="37">
        <v>311.0</v>
      </c>
      <c r="Q783" s="37">
        <v>2978.0</v>
      </c>
      <c r="R783" s="38">
        <v>21.5713622</v>
      </c>
      <c r="S783" s="38">
        <v>11.4132961</v>
      </c>
      <c r="T783" s="38">
        <v>10.158066</v>
      </c>
      <c r="U783" s="38">
        <v>78.4286378</v>
      </c>
      <c r="V783" s="38">
        <v>35.8051304</v>
      </c>
      <c r="W783" s="38">
        <v>29.1010994</v>
      </c>
      <c r="X783" s="38">
        <v>6.704031</v>
      </c>
      <c r="Y783" s="38">
        <v>64.1948696</v>
      </c>
    </row>
    <row r="784" ht="15.0" hidden="1" customHeight="1">
      <c r="B784" s="30">
        <v>779.0</v>
      </c>
      <c r="C784" s="31" t="s">
        <v>21</v>
      </c>
      <c r="D784" s="31" t="s">
        <v>216</v>
      </c>
      <c r="E784" s="31" t="s">
        <v>255</v>
      </c>
      <c r="F784" s="31" t="s">
        <v>256</v>
      </c>
      <c r="G784" s="32" t="s">
        <v>15</v>
      </c>
      <c r="H784" s="33">
        <v>1304.0</v>
      </c>
      <c r="I784" s="33">
        <v>811.0</v>
      </c>
      <c r="J784" s="33">
        <v>451.0</v>
      </c>
      <c r="K784" s="33">
        <v>360.0</v>
      </c>
      <c r="L784" s="33">
        <v>493.0</v>
      </c>
      <c r="M784" s="33">
        <v>1146.0</v>
      </c>
      <c r="N784" s="33">
        <v>1043.0</v>
      </c>
      <c r="O784" s="33">
        <v>850.0</v>
      </c>
      <c r="P784" s="33">
        <v>193.0</v>
      </c>
      <c r="Q784" s="33">
        <v>103.0</v>
      </c>
      <c r="R784" s="34">
        <v>62.1932515</v>
      </c>
      <c r="S784" s="34">
        <v>34.5858896</v>
      </c>
      <c r="T784" s="34">
        <v>27.607362</v>
      </c>
      <c r="U784" s="34">
        <v>37.8067485</v>
      </c>
      <c r="V784" s="34">
        <v>91.0122164</v>
      </c>
      <c r="W784" s="34">
        <v>74.1710297</v>
      </c>
      <c r="X784" s="34">
        <v>16.8411867</v>
      </c>
      <c r="Y784" s="34">
        <v>8.9877836</v>
      </c>
    </row>
    <row r="785" ht="15.0" hidden="1" customHeight="1">
      <c r="B785" s="30">
        <v>780.0</v>
      </c>
      <c r="C785" s="31" t="s">
        <v>21</v>
      </c>
      <c r="D785" s="31" t="s">
        <v>216</v>
      </c>
      <c r="E785" s="31" t="s">
        <v>255</v>
      </c>
      <c r="F785" s="31" t="s">
        <v>256</v>
      </c>
      <c r="G785" s="32" t="s">
        <v>16</v>
      </c>
      <c r="H785" s="33">
        <v>2998.0</v>
      </c>
      <c r="I785" s="33">
        <v>117.0</v>
      </c>
      <c r="J785" s="33">
        <v>40.0</v>
      </c>
      <c r="K785" s="33">
        <v>77.0</v>
      </c>
      <c r="L785" s="33">
        <v>2881.0</v>
      </c>
      <c r="M785" s="33">
        <v>3493.0</v>
      </c>
      <c r="N785" s="33">
        <v>618.0</v>
      </c>
      <c r="O785" s="33">
        <v>500.0</v>
      </c>
      <c r="P785" s="33">
        <v>118.0</v>
      </c>
      <c r="Q785" s="33">
        <v>2875.0</v>
      </c>
      <c r="R785" s="34">
        <v>3.9026017</v>
      </c>
      <c r="S785" s="34">
        <v>1.3342228</v>
      </c>
      <c r="T785" s="34">
        <v>2.5683789</v>
      </c>
      <c r="U785" s="34">
        <v>96.0973983</v>
      </c>
      <c r="V785" s="34">
        <v>17.6925279</v>
      </c>
      <c r="W785" s="34">
        <v>14.314343</v>
      </c>
      <c r="X785" s="34">
        <v>3.3781849</v>
      </c>
      <c r="Y785" s="34">
        <v>82.3074721</v>
      </c>
    </row>
    <row r="786" ht="15.0" hidden="1" customHeight="1">
      <c r="B786" s="26">
        <v>781.0</v>
      </c>
      <c r="C786" s="27" t="s">
        <v>19</v>
      </c>
      <c r="D786" s="40" t="s">
        <v>216</v>
      </c>
      <c r="E786" s="40" t="s">
        <v>257</v>
      </c>
      <c r="F786" s="40"/>
      <c r="G786" s="27" t="s">
        <v>257</v>
      </c>
      <c r="H786" s="28">
        <v>619.0</v>
      </c>
      <c r="I786" s="28">
        <v>66.0</v>
      </c>
      <c r="J786" s="28">
        <v>12.0</v>
      </c>
      <c r="K786" s="28">
        <v>54.0</v>
      </c>
      <c r="L786" s="28">
        <v>553.0</v>
      </c>
      <c r="M786" s="28">
        <v>869.0</v>
      </c>
      <c r="N786" s="28">
        <v>465.0</v>
      </c>
      <c r="O786" s="28">
        <v>335.0</v>
      </c>
      <c r="P786" s="28">
        <v>130.0</v>
      </c>
      <c r="Q786" s="28">
        <v>404.0</v>
      </c>
      <c r="R786" s="29">
        <v>10.6623586</v>
      </c>
      <c r="S786" s="29">
        <v>1.9386107</v>
      </c>
      <c r="T786" s="29">
        <v>8.723748</v>
      </c>
      <c r="U786" s="29">
        <v>89.3376414</v>
      </c>
      <c r="V786" s="29">
        <v>53.5097814</v>
      </c>
      <c r="W786" s="29">
        <v>38.5500575</v>
      </c>
      <c r="X786" s="29">
        <v>14.9597238</v>
      </c>
      <c r="Y786" s="29">
        <v>46.4902186</v>
      </c>
    </row>
    <row r="787" ht="15.0" hidden="1" customHeight="1">
      <c r="B787" s="30">
        <v>782.0</v>
      </c>
      <c r="C787" s="31" t="s">
        <v>19</v>
      </c>
      <c r="D787" s="31" t="s">
        <v>216</v>
      </c>
      <c r="E787" s="31" t="s">
        <v>257</v>
      </c>
      <c r="F787" s="31"/>
      <c r="G787" s="32" t="s">
        <v>15</v>
      </c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4"/>
      <c r="S787" s="34"/>
      <c r="T787" s="34"/>
      <c r="U787" s="34"/>
      <c r="V787" s="34"/>
      <c r="W787" s="34"/>
      <c r="X787" s="34"/>
      <c r="Y787" s="34"/>
    </row>
    <row r="788" ht="15.0" hidden="1" customHeight="1">
      <c r="B788" s="30">
        <v>783.0</v>
      </c>
      <c r="C788" s="31" t="s">
        <v>19</v>
      </c>
      <c r="D788" s="31" t="s">
        <v>216</v>
      </c>
      <c r="E788" s="31" t="s">
        <v>257</v>
      </c>
      <c r="F788" s="31"/>
      <c r="G788" s="32" t="s">
        <v>16</v>
      </c>
      <c r="H788" s="33">
        <v>619.0</v>
      </c>
      <c r="I788" s="33">
        <v>66.0</v>
      </c>
      <c r="J788" s="33">
        <v>12.0</v>
      </c>
      <c r="K788" s="33">
        <v>54.0</v>
      </c>
      <c r="L788" s="33">
        <v>553.0</v>
      </c>
      <c r="M788" s="33">
        <v>869.0</v>
      </c>
      <c r="N788" s="33">
        <v>465.0</v>
      </c>
      <c r="O788" s="33">
        <v>335.0</v>
      </c>
      <c r="P788" s="33">
        <v>130.0</v>
      </c>
      <c r="Q788" s="33">
        <v>404.0</v>
      </c>
      <c r="R788" s="34">
        <v>10.6623586</v>
      </c>
      <c r="S788" s="34">
        <v>1.9386107</v>
      </c>
      <c r="T788" s="34">
        <v>8.723748</v>
      </c>
      <c r="U788" s="34">
        <v>89.3376414</v>
      </c>
      <c r="V788" s="34">
        <v>53.5097814</v>
      </c>
      <c r="W788" s="34">
        <v>38.5500575</v>
      </c>
      <c r="X788" s="34">
        <v>14.9597238</v>
      </c>
      <c r="Y788" s="34">
        <v>46.4902186</v>
      </c>
    </row>
    <row r="789" ht="15.0" customHeight="1">
      <c r="B789" s="35">
        <v>784.0</v>
      </c>
      <c r="C789" s="36" t="s">
        <v>21</v>
      </c>
      <c r="D789" s="41" t="s">
        <v>216</v>
      </c>
      <c r="E789" s="41" t="s">
        <v>257</v>
      </c>
      <c r="F789" s="41" t="s">
        <v>258</v>
      </c>
      <c r="G789" s="42" t="s">
        <v>258</v>
      </c>
      <c r="H789" s="37">
        <v>181.0</v>
      </c>
      <c r="I789" s="37">
        <v>28.0</v>
      </c>
      <c r="J789" s="37">
        <v>1.0</v>
      </c>
      <c r="K789" s="37">
        <v>27.0</v>
      </c>
      <c r="L789" s="37">
        <v>153.0</v>
      </c>
      <c r="M789" s="37">
        <v>283.0</v>
      </c>
      <c r="N789" s="37">
        <v>141.0</v>
      </c>
      <c r="O789" s="37">
        <v>103.0</v>
      </c>
      <c r="P789" s="37">
        <v>38.0</v>
      </c>
      <c r="Q789" s="37">
        <v>142.0</v>
      </c>
      <c r="R789" s="38">
        <v>15.4696133</v>
      </c>
      <c r="S789" s="38">
        <v>0.5524862</v>
      </c>
      <c r="T789" s="38">
        <v>14.9171271</v>
      </c>
      <c r="U789" s="38">
        <v>84.5303867</v>
      </c>
      <c r="V789" s="38">
        <v>49.8233216</v>
      </c>
      <c r="W789" s="38">
        <v>36.3957597</v>
      </c>
      <c r="X789" s="38">
        <v>13.4275618</v>
      </c>
      <c r="Y789" s="38">
        <v>50.1766784</v>
      </c>
    </row>
    <row r="790" ht="15.0" hidden="1" customHeight="1">
      <c r="B790" s="30">
        <v>785.0</v>
      </c>
      <c r="C790" s="31" t="s">
        <v>21</v>
      </c>
      <c r="D790" s="31" t="s">
        <v>216</v>
      </c>
      <c r="E790" s="31" t="s">
        <v>257</v>
      </c>
      <c r="F790" s="31" t="s">
        <v>258</v>
      </c>
      <c r="G790" s="32" t="s">
        <v>15</v>
      </c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4"/>
      <c r="S790" s="34"/>
      <c r="T790" s="34"/>
      <c r="U790" s="34"/>
      <c r="V790" s="34"/>
      <c r="W790" s="34"/>
      <c r="X790" s="34"/>
      <c r="Y790" s="34"/>
    </row>
    <row r="791" ht="15.0" hidden="1" customHeight="1">
      <c r="B791" s="30">
        <v>786.0</v>
      </c>
      <c r="C791" s="31" t="s">
        <v>21</v>
      </c>
      <c r="D791" s="31" t="s">
        <v>216</v>
      </c>
      <c r="E791" s="31" t="s">
        <v>257</v>
      </c>
      <c r="F791" s="31" t="s">
        <v>258</v>
      </c>
      <c r="G791" s="32" t="s">
        <v>16</v>
      </c>
      <c r="H791" s="33">
        <v>181.0</v>
      </c>
      <c r="I791" s="33">
        <v>28.0</v>
      </c>
      <c r="J791" s="33">
        <v>1.0</v>
      </c>
      <c r="K791" s="33">
        <v>27.0</v>
      </c>
      <c r="L791" s="33">
        <v>153.0</v>
      </c>
      <c r="M791" s="33">
        <v>283.0</v>
      </c>
      <c r="N791" s="33">
        <v>141.0</v>
      </c>
      <c r="O791" s="33">
        <v>103.0</v>
      </c>
      <c r="P791" s="33">
        <v>38.0</v>
      </c>
      <c r="Q791" s="33">
        <v>142.0</v>
      </c>
      <c r="R791" s="34">
        <v>15.4696133</v>
      </c>
      <c r="S791" s="34">
        <v>0.5524862</v>
      </c>
      <c r="T791" s="34">
        <v>14.9171271</v>
      </c>
      <c r="U791" s="34">
        <v>84.5303867</v>
      </c>
      <c r="V791" s="34">
        <v>49.8233216</v>
      </c>
      <c r="W791" s="34">
        <v>36.3957597</v>
      </c>
      <c r="X791" s="34">
        <v>13.4275618</v>
      </c>
      <c r="Y791" s="34">
        <v>50.1766784</v>
      </c>
    </row>
    <row r="792" ht="15.0" customHeight="1">
      <c r="B792" s="35">
        <v>787.0</v>
      </c>
      <c r="C792" s="36" t="s">
        <v>21</v>
      </c>
      <c r="D792" s="41" t="s">
        <v>216</v>
      </c>
      <c r="E792" s="41" t="s">
        <v>257</v>
      </c>
      <c r="F792" s="41" t="s">
        <v>259</v>
      </c>
      <c r="G792" s="42" t="s">
        <v>259</v>
      </c>
      <c r="H792" s="37">
        <v>193.0</v>
      </c>
      <c r="I792" s="37">
        <v>27.0</v>
      </c>
      <c r="J792" s="37">
        <v>5.0</v>
      </c>
      <c r="K792" s="37">
        <v>22.0</v>
      </c>
      <c r="L792" s="37">
        <v>166.0</v>
      </c>
      <c r="M792" s="37">
        <v>329.0</v>
      </c>
      <c r="N792" s="37">
        <v>217.0</v>
      </c>
      <c r="O792" s="37">
        <v>143.0</v>
      </c>
      <c r="P792" s="37">
        <v>74.0</v>
      </c>
      <c r="Q792" s="37">
        <v>112.0</v>
      </c>
      <c r="R792" s="38">
        <v>13.9896373</v>
      </c>
      <c r="S792" s="38">
        <v>2.5906736</v>
      </c>
      <c r="T792" s="38">
        <v>11.3989637</v>
      </c>
      <c r="U792" s="38">
        <v>86.0103627</v>
      </c>
      <c r="V792" s="38">
        <v>65.9574468</v>
      </c>
      <c r="W792" s="38">
        <v>43.4650456</v>
      </c>
      <c r="X792" s="38">
        <v>22.4924012</v>
      </c>
      <c r="Y792" s="38">
        <v>34.0425532</v>
      </c>
    </row>
    <row r="793" ht="15.0" hidden="1" customHeight="1">
      <c r="B793" s="30">
        <v>788.0</v>
      </c>
      <c r="C793" s="31" t="s">
        <v>21</v>
      </c>
      <c r="D793" s="31" t="s">
        <v>216</v>
      </c>
      <c r="E793" s="31" t="s">
        <v>257</v>
      </c>
      <c r="F793" s="31" t="s">
        <v>259</v>
      </c>
      <c r="G793" s="32" t="s">
        <v>15</v>
      </c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4"/>
      <c r="S793" s="34"/>
      <c r="T793" s="34"/>
      <c r="U793" s="34"/>
      <c r="V793" s="34"/>
      <c r="W793" s="34"/>
      <c r="X793" s="34"/>
      <c r="Y793" s="34"/>
    </row>
    <row r="794" ht="15.0" hidden="1" customHeight="1">
      <c r="B794" s="30">
        <v>789.0</v>
      </c>
      <c r="C794" s="31" t="s">
        <v>21</v>
      </c>
      <c r="D794" s="31" t="s">
        <v>216</v>
      </c>
      <c r="E794" s="31" t="s">
        <v>257</v>
      </c>
      <c r="F794" s="31" t="s">
        <v>259</v>
      </c>
      <c r="G794" s="32" t="s">
        <v>16</v>
      </c>
      <c r="H794" s="33">
        <v>193.0</v>
      </c>
      <c r="I794" s="33">
        <v>27.0</v>
      </c>
      <c r="J794" s="33">
        <v>5.0</v>
      </c>
      <c r="K794" s="33">
        <v>22.0</v>
      </c>
      <c r="L794" s="33">
        <v>166.0</v>
      </c>
      <c r="M794" s="33">
        <v>329.0</v>
      </c>
      <c r="N794" s="33">
        <v>217.0</v>
      </c>
      <c r="O794" s="33">
        <v>143.0</v>
      </c>
      <c r="P794" s="33">
        <v>74.0</v>
      </c>
      <c r="Q794" s="33">
        <v>112.0</v>
      </c>
      <c r="R794" s="34">
        <v>13.9896373</v>
      </c>
      <c r="S794" s="34">
        <v>2.5906736</v>
      </c>
      <c r="T794" s="34">
        <v>11.3989637</v>
      </c>
      <c r="U794" s="34">
        <v>86.0103627</v>
      </c>
      <c r="V794" s="34">
        <v>65.9574468</v>
      </c>
      <c r="W794" s="34">
        <v>43.4650456</v>
      </c>
      <c r="X794" s="34">
        <v>22.4924012</v>
      </c>
      <c r="Y794" s="34">
        <v>34.0425532</v>
      </c>
    </row>
    <row r="795" ht="15.0" customHeight="1">
      <c r="B795" s="35">
        <v>790.0</v>
      </c>
      <c r="C795" s="36" t="s">
        <v>21</v>
      </c>
      <c r="D795" s="41" t="s">
        <v>216</v>
      </c>
      <c r="E795" s="41" t="s">
        <v>257</v>
      </c>
      <c r="F795" s="41" t="s">
        <v>223</v>
      </c>
      <c r="G795" s="42" t="s">
        <v>223</v>
      </c>
      <c r="H795" s="37">
        <v>245.0</v>
      </c>
      <c r="I795" s="37">
        <v>11.0</v>
      </c>
      <c r="J795" s="37">
        <v>6.0</v>
      </c>
      <c r="K795" s="37">
        <v>5.0</v>
      </c>
      <c r="L795" s="37">
        <v>234.0</v>
      </c>
      <c r="M795" s="37">
        <v>257.0</v>
      </c>
      <c r="N795" s="37">
        <v>107.0</v>
      </c>
      <c r="O795" s="37">
        <v>89.0</v>
      </c>
      <c r="P795" s="37">
        <v>18.0</v>
      </c>
      <c r="Q795" s="37">
        <v>150.0</v>
      </c>
      <c r="R795" s="38">
        <v>4.4897959</v>
      </c>
      <c r="S795" s="38">
        <v>2.4489796</v>
      </c>
      <c r="T795" s="38">
        <v>2.0408163</v>
      </c>
      <c r="U795" s="38">
        <v>95.5102041</v>
      </c>
      <c r="V795" s="38">
        <v>41.6342412</v>
      </c>
      <c r="W795" s="38">
        <v>34.6303502</v>
      </c>
      <c r="X795" s="38">
        <v>7.0038911</v>
      </c>
      <c r="Y795" s="38">
        <v>58.3657588</v>
      </c>
    </row>
    <row r="796" ht="15.0" hidden="1" customHeight="1">
      <c r="B796" s="30">
        <v>791.0</v>
      </c>
      <c r="C796" s="31" t="s">
        <v>21</v>
      </c>
      <c r="D796" s="31" t="s">
        <v>216</v>
      </c>
      <c r="E796" s="31" t="s">
        <v>257</v>
      </c>
      <c r="F796" s="31" t="s">
        <v>223</v>
      </c>
      <c r="G796" s="32" t="s">
        <v>15</v>
      </c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4"/>
      <c r="S796" s="34"/>
      <c r="T796" s="34"/>
      <c r="U796" s="34"/>
      <c r="V796" s="34"/>
      <c r="W796" s="34"/>
      <c r="X796" s="34"/>
      <c r="Y796" s="34"/>
    </row>
    <row r="797" ht="15.0" hidden="1" customHeight="1">
      <c r="B797" s="30">
        <v>792.0</v>
      </c>
      <c r="C797" s="31" t="s">
        <v>21</v>
      </c>
      <c r="D797" s="31" t="s">
        <v>216</v>
      </c>
      <c r="E797" s="31" t="s">
        <v>257</v>
      </c>
      <c r="F797" s="31" t="s">
        <v>223</v>
      </c>
      <c r="G797" s="32" t="s">
        <v>16</v>
      </c>
      <c r="H797" s="33">
        <v>245.0</v>
      </c>
      <c r="I797" s="33">
        <v>11.0</v>
      </c>
      <c r="J797" s="33">
        <v>6.0</v>
      </c>
      <c r="K797" s="33">
        <v>5.0</v>
      </c>
      <c r="L797" s="33">
        <v>234.0</v>
      </c>
      <c r="M797" s="33">
        <v>257.0</v>
      </c>
      <c r="N797" s="33">
        <v>107.0</v>
      </c>
      <c r="O797" s="33">
        <v>89.0</v>
      </c>
      <c r="P797" s="33">
        <v>18.0</v>
      </c>
      <c r="Q797" s="33">
        <v>150.0</v>
      </c>
      <c r="R797" s="34">
        <v>4.4897959</v>
      </c>
      <c r="S797" s="34">
        <v>2.4489796</v>
      </c>
      <c r="T797" s="34">
        <v>2.0408163</v>
      </c>
      <c r="U797" s="34">
        <v>95.5102041</v>
      </c>
      <c r="V797" s="34">
        <v>41.6342412</v>
      </c>
      <c r="W797" s="34">
        <v>34.6303502</v>
      </c>
      <c r="X797" s="34">
        <v>7.0038911</v>
      </c>
      <c r="Y797" s="34">
        <v>58.3657588</v>
      </c>
    </row>
    <row r="798" ht="15.0" hidden="1" customHeight="1">
      <c r="B798" s="26">
        <v>793.0</v>
      </c>
      <c r="C798" s="27" t="s">
        <v>19</v>
      </c>
      <c r="D798" s="40" t="s">
        <v>216</v>
      </c>
      <c r="E798" s="40" t="s">
        <v>260</v>
      </c>
      <c r="F798" s="40"/>
      <c r="G798" s="27" t="s">
        <v>260</v>
      </c>
      <c r="H798" s="28">
        <v>2254.0</v>
      </c>
      <c r="I798" s="28">
        <v>157.0</v>
      </c>
      <c r="J798" s="28">
        <v>111.0</v>
      </c>
      <c r="K798" s="28">
        <v>46.0</v>
      </c>
      <c r="L798" s="28">
        <v>2097.0</v>
      </c>
      <c r="M798" s="28">
        <v>2722.0</v>
      </c>
      <c r="N798" s="28">
        <v>718.0</v>
      </c>
      <c r="O798" s="28">
        <v>608.0</v>
      </c>
      <c r="P798" s="28">
        <v>110.0</v>
      </c>
      <c r="Q798" s="28">
        <v>2004.0</v>
      </c>
      <c r="R798" s="29">
        <v>6.9653949</v>
      </c>
      <c r="S798" s="29">
        <v>4.9245785</v>
      </c>
      <c r="T798" s="29">
        <v>2.0408163</v>
      </c>
      <c r="U798" s="29">
        <v>93.0346051</v>
      </c>
      <c r="V798" s="29">
        <v>26.3776635</v>
      </c>
      <c r="W798" s="29">
        <v>22.3365173</v>
      </c>
      <c r="X798" s="29">
        <v>4.0411462</v>
      </c>
      <c r="Y798" s="29">
        <v>73.6223365</v>
      </c>
    </row>
    <row r="799" ht="15.0" hidden="1" customHeight="1">
      <c r="B799" s="30">
        <v>794.0</v>
      </c>
      <c r="C799" s="31" t="s">
        <v>19</v>
      </c>
      <c r="D799" s="31" t="s">
        <v>216</v>
      </c>
      <c r="E799" s="31" t="s">
        <v>260</v>
      </c>
      <c r="F799" s="31"/>
      <c r="G799" s="32" t="s">
        <v>15</v>
      </c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4"/>
      <c r="S799" s="34"/>
      <c r="T799" s="34"/>
      <c r="U799" s="34"/>
      <c r="V799" s="34"/>
      <c r="W799" s="34"/>
      <c r="X799" s="34"/>
      <c r="Y799" s="34"/>
    </row>
    <row r="800" ht="15.0" hidden="1" customHeight="1">
      <c r="B800" s="30">
        <v>795.0</v>
      </c>
      <c r="C800" s="31" t="s">
        <v>19</v>
      </c>
      <c r="D800" s="31" t="s">
        <v>216</v>
      </c>
      <c r="E800" s="31" t="s">
        <v>260</v>
      </c>
      <c r="F800" s="31"/>
      <c r="G800" s="32" t="s">
        <v>16</v>
      </c>
      <c r="H800" s="33">
        <v>2254.0</v>
      </c>
      <c r="I800" s="33">
        <v>157.0</v>
      </c>
      <c r="J800" s="33">
        <v>111.0</v>
      </c>
      <c r="K800" s="33">
        <v>46.0</v>
      </c>
      <c r="L800" s="33">
        <v>2097.0</v>
      </c>
      <c r="M800" s="33">
        <v>2722.0</v>
      </c>
      <c r="N800" s="33">
        <v>718.0</v>
      </c>
      <c r="O800" s="33">
        <v>608.0</v>
      </c>
      <c r="P800" s="33">
        <v>110.0</v>
      </c>
      <c r="Q800" s="33">
        <v>2004.0</v>
      </c>
      <c r="R800" s="34">
        <v>6.9653949</v>
      </c>
      <c r="S800" s="34">
        <v>4.9245785</v>
      </c>
      <c r="T800" s="34">
        <v>2.0408163</v>
      </c>
      <c r="U800" s="34">
        <v>93.0346051</v>
      </c>
      <c r="V800" s="34">
        <v>26.3776635</v>
      </c>
      <c r="W800" s="34">
        <v>22.3365173</v>
      </c>
      <c r="X800" s="34">
        <v>4.0411462</v>
      </c>
      <c r="Y800" s="34">
        <v>73.6223365</v>
      </c>
    </row>
    <row r="801" ht="15.0" customHeight="1">
      <c r="B801" s="35">
        <v>796.0</v>
      </c>
      <c r="C801" s="36" t="s">
        <v>21</v>
      </c>
      <c r="D801" s="41" t="s">
        <v>216</v>
      </c>
      <c r="E801" s="41" t="s">
        <v>260</v>
      </c>
      <c r="F801" s="41" t="s">
        <v>261</v>
      </c>
      <c r="G801" s="42" t="s">
        <v>261</v>
      </c>
      <c r="H801" s="37">
        <v>2254.0</v>
      </c>
      <c r="I801" s="37">
        <v>157.0</v>
      </c>
      <c r="J801" s="37">
        <v>111.0</v>
      </c>
      <c r="K801" s="37">
        <v>46.0</v>
      </c>
      <c r="L801" s="37">
        <v>2097.0</v>
      </c>
      <c r="M801" s="37">
        <v>2722.0</v>
      </c>
      <c r="N801" s="37">
        <v>718.0</v>
      </c>
      <c r="O801" s="37">
        <v>608.0</v>
      </c>
      <c r="P801" s="37">
        <v>110.0</v>
      </c>
      <c r="Q801" s="37">
        <v>2004.0</v>
      </c>
      <c r="R801" s="38">
        <v>6.9653949</v>
      </c>
      <c r="S801" s="38">
        <v>4.9245785</v>
      </c>
      <c r="T801" s="38">
        <v>2.0408163</v>
      </c>
      <c r="U801" s="38">
        <v>93.0346051</v>
      </c>
      <c r="V801" s="38">
        <v>26.3776635</v>
      </c>
      <c r="W801" s="38">
        <v>22.3365173</v>
      </c>
      <c r="X801" s="38">
        <v>4.0411462</v>
      </c>
      <c r="Y801" s="38">
        <v>73.6223365</v>
      </c>
    </row>
    <row r="802" ht="15.0" hidden="1" customHeight="1">
      <c r="B802" s="30">
        <v>797.0</v>
      </c>
      <c r="C802" s="31" t="s">
        <v>21</v>
      </c>
      <c r="D802" s="31" t="s">
        <v>216</v>
      </c>
      <c r="E802" s="31" t="s">
        <v>260</v>
      </c>
      <c r="F802" s="31" t="s">
        <v>261</v>
      </c>
      <c r="G802" s="32" t="s">
        <v>15</v>
      </c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4"/>
      <c r="S802" s="34"/>
      <c r="T802" s="34"/>
      <c r="U802" s="34"/>
      <c r="V802" s="34"/>
      <c r="W802" s="34"/>
      <c r="X802" s="34"/>
      <c r="Y802" s="34"/>
    </row>
    <row r="803" ht="15.0" hidden="1" customHeight="1">
      <c r="B803" s="30">
        <v>798.0</v>
      </c>
      <c r="C803" s="31" t="s">
        <v>21</v>
      </c>
      <c r="D803" s="31" t="s">
        <v>216</v>
      </c>
      <c r="E803" s="31" t="s">
        <v>260</v>
      </c>
      <c r="F803" s="31" t="s">
        <v>261</v>
      </c>
      <c r="G803" s="32" t="s">
        <v>16</v>
      </c>
      <c r="H803" s="33">
        <v>2254.0</v>
      </c>
      <c r="I803" s="33">
        <v>157.0</v>
      </c>
      <c r="J803" s="33">
        <v>111.0</v>
      </c>
      <c r="K803" s="33">
        <v>46.0</v>
      </c>
      <c r="L803" s="33">
        <v>2097.0</v>
      </c>
      <c r="M803" s="33">
        <v>2722.0</v>
      </c>
      <c r="N803" s="33">
        <v>718.0</v>
      </c>
      <c r="O803" s="33">
        <v>608.0</v>
      </c>
      <c r="P803" s="33">
        <v>110.0</v>
      </c>
      <c r="Q803" s="33">
        <v>2004.0</v>
      </c>
      <c r="R803" s="34">
        <v>6.9653949</v>
      </c>
      <c r="S803" s="34">
        <v>4.9245785</v>
      </c>
      <c r="T803" s="34">
        <v>2.0408163</v>
      </c>
      <c r="U803" s="34">
        <v>93.0346051</v>
      </c>
      <c r="V803" s="34">
        <v>26.3776635</v>
      </c>
      <c r="W803" s="34">
        <v>22.3365173</v>
      </c>
      <c r="X803" s="34">
        <v>4.0411462</v>
      </c>
      <c r="Y803" s="34">
        <v>73.6223365</v>
      </c>
    </row>
    <row r="804" ht="15.0" hidden="1" customHeight="1">
      <c r="B804" s="18">
        <v>799.0</v>
      </c>
      <c r="C804" s="19" t="s">
        <v>17</v>
      </c>
      <c r="D804" s="19" t="s">
        <v>262</v>
      </c>
      <c r="E804" s="19"/>
      <c r="F804" s="19"/>
      <c r="G804" s="19" t="s">
        <v>262</v>
      </c>
      <c r="H804" s="20">
        <v>242302.0</v>
      </c>
      <c r="I804" s="20">
        <v>100185.0</v>
      </c>
      <c r="J804" s="20">
        <v>47043.0</v>
      </c>
      <c r="K804" s="20">
        <v>53142.0</v>
      </c>
      <c r="L804" s="20">
        <v>142117.0</v>
      </c>
      <c r="M804" s="20">
        <v>303745.0</v>
      </c>
      <c r="N804" s="20">
        <v>161688.0</v>
      </c>
      <c r="O804" s="20">
        <v>125972.0</v>
      </c>
      <c r="P804" s="20">
        <v>35716.0</v>
      </c>
      <c r="Q804" s="20">
        <v>142057.0</v>
      </c>
      <c r="R804" s="21">
        <v>41.3471618</v>
      </c>
      <c r="S804" s="21">
        <v>19.4150275</v>
      </c>
      <c r="T804" s="21">
        <v>21.9321343</v>
      </c>
      <c r="U804" s="21">
        <v>58.6528382</v>
      </c>
      <c r="V804" s="21">
        <v>53.2314935</v>
      </c>
      <c r="W804" s="21">
        <v>41.4729461</v>
      </c>
      <c r="X804" s="21">
        <v>11.7585475</v>
      </c>
      <c r="Y804" s="21">
        <v>46.7685065</v>
      </c>
    </row>
    <row r="805" ht="15.0" hidden="1" customHeight="1">
      <c r="B805" s="22">
        <v>800.0</v>
      </c>
      <c r="C805" s="23" t="s">
        <v>17</v>
      </c>
      <c r="D805" s="39" t="s">
        <v>262</v>
      </c>
      <c r="E805" s="39"/>
      <c r="F805" s="39"/>
      <c r="G805" s="23" t="s">
        <v>15</v>
      </c>
      <c r="H805" s="24">
        <v>93169.0</v>
      </c>
      <c r="I805" s="24">
        <v>73156.0</v>
      </c>
      <c r="J805" s="24">
        <v>32311.0</v>
      </c>
      <c r="K805" s="24">
        <v>40845.0</v>
      </c>
      <c r="L805" s="24">
        <v>20013.0</v>
      </c>
      <c r="M805" s="24">
        <v>123576.0</v>
      </c>
      <c r="N805" s="24">
        <v>108294.0</v>
      </c>
      <c r="O805" s="24">
        <v>80434.0</v>
      </c>
      <c r="P805" s="24">
        <v>27860.0</v>
      </c>
      <c r="Q805" s="24">
        <v>15282.0</v>
      </c>
      <c r="R805" s="25">
        <v>78.5196793</v>
      </c>
      <c r="S805" s="25">
        <v>34.6799901</v>
      </c>
      <c r="T805" s="25">
        <v>43.8396892</v>
      </c>
      <c r="U805" s="25">
        <v>21.4803207</v>
      </c>
      <c r="V805" s="25">
        <v>87.6335211</v>
      </c>
      <c r="W805" s="25">
        <v>65.0886904</v>
      </c>
      <c r="X805" s="25">
        <v>22.5448307</v>
      </c>
      <c r="Y805" s="25">
        <v>12.3664789</v>
      </c>
    </row>
    <row r="806" ht="15.0" hidden="1" customHeight="1">
      <c r="B806" s="22">
        <v>801.0</v>
      </c>
      <c r="C806" s="23" t="s">
        <v>17</v>
      </c>
      <c r="D806" s="39" t="s">
        <v>262</v>
      </c>
      <c r="E806" s="39"/>
      <c r="F806" s="39"/>
      <c r="G806" s="23" t="s">
        <v>16</v>
      </c>
      <c r="H806" s="24">
        <v>149133.0</v>
      </c>
      <c r="I806" s="24">
        <v>27029.0</v>
      </c>
      <c r="J806" s="24">
        <v>14732.0</v>
      </c>
      <c r="K806" s="24">
        <v>12297.0</v>
      </c>
      <c r="L806" s="24">
        <v>122104.0</v>
      </c>
      <c r="M806" s="24">
        <v>180169.0</v>
      </c>
      <c r="N806" s="24">
        <v>53394.0</v>
      </c>
      <c r="O806" s="24">
        <v>45538.0</v>
      </c>
      <c r="P806" s="24">
        <v>7856.0</v>
      </c>
      <c r="Q806" s="24">
        <v>126775.0</v>
      </c>
      <c r="R806" s="25">
        <v>18.1240906</v>
      </c>
      <c r="S806" s="25">
        <v>9.8784307</v>
      </c>
      <c r="T806" s="25">
        <v>8.2456599</v>
      </c>
      <c r="U806" s="25">
        <v>81.8759094</v>
      </c>
      <c r="V806" s="25">
        <v>29.6355089</v>
      </c>
      <c r="W806" s="25">
        <v>25.2751583</v>
      </c>
      <c r="X806" s="25">
        <v>4.3603506</v>
      </c>
      <c r="Y806" s="25">
        <v>70.3644911</v>
      </c>
    </row>
    <row r="807" ht="15.0" hidden="1" customHeight="1">
      <c r="B807" s="26">
        <v>802.0</v>
      </c>
      <c r="C807" s="27" t="s">
        <v>19</v>
      </c>
      <c r="D807" s="40" t="s">
        <v>262</v>
      </c>
      <c r="E807" s="40" t="s">
        <v>263</v>
      </c>
      <c r="F807" s="40"/>
      <c r="G807" s="27" t="s">
        <v>263</v>
      </c>
      <c r="H807" s="28">
        <v>63169.0</v>
      </c>
      <c r="I807" s="28">
        <v>43837.0</v>
      </c>
      <c r="J807" s="28">
        <v>18147.0</v>
      </c>
      <c r="K807" s="28">
        <v>25690.0</v>
      </c>
      <c r="L807" s="28">
        <v>19332.0</v>
      </c>
      <c r="M807" s="28">
        <v>82587.0</v>
      </c>
      <c r="N807" s="28">
        <v>61446.0</v>
      </c>
      <c r="O807" s="28">
        <v>45057.0</v>
      </c>
      <c r="P807" s="28">
        <v>16389.0</v>
      </c>
      <c r="Q807" s="28">
        <v>21141.0</v>
      </c>
      <c r="R807" s="29">
        <v>69.3963811</v>
      </c>
      <c r="S807" s="29">
        <v>28.7276987</v>
      </c>
      <c r="T807" s="29">
        <v>40.6686824</v>
      </c>
      <c r="U807" s="29">
        <v>30.6036189</v>
      </c>
      <c r="V807" s="29">
        <v>74.4015402</v>
      </c>
      <c r="W807" s="29">
        <v>54.5570126</v>
      </c>
      <c r="X807" s="29">
        <v>19.8445276</v>
      </c>
      <c r="Y807" s="29">
        <v>25.5984598</v>
      </c>
    </row>
    <row r="808" ht="15.0" hidden="1" customHeight="1">
      <c r="B808" s="30">
        <v>803.0</v>
      </c>
      <c r="C808" s="31" t="s">
        <v>19</v>
      </c>
      <c r="D808" s="31" t="s">
        <v>262</v>
      </c>
      <c r="E808" s="31" t="s">
        <v>263</v>
      </c>
      <c r="F808" s="31"/>
      <c r="G808" s="32" t="s">
        <v>15</v>
      </c>
      <c r="H808" s="33">
        <v>46764.0</v>
      </c>
      <c r="I808" s="33">
        <v>41522.0</v>
      </c>
      <c r="J808" s="33">
        <v>17004.0</v>
      </c>
      <c r="K808" s="33">
        <v>24518.0</v>
      </c>
      <c r="L808" s="33">
        <v>5242.0</v>
      </c>
      <c r="M808" s="33">
        <v>60712.0</v>
      </c>
      <c r="N808" s="33">
        <v>56099.0</v>
      </c>
      <c r="O808" s="33">
        <v>40715.0</v>
      </c>
      <c r="P808" s="33">
        <v>15384.0</v>
      </c>
      <c r="Q808" s="33">
        <v>4613.0</v>
      </c>
      <c r="R808" s="34">
        <v>88.7905226</v>
      </c>
      <c r="S808" s="34">
        <v>36.3613036</v>
      </c>
      <c r="T808" s="34">
        <v>52.4292191</v>
      </c>
      <c r="U808" s="34">
        <v>11.2094774</v>
      </c>
      <c r="V808" s="34">
        <v>92.4018316</v>
      </c>
      <c r="W808" s="34">
        <v>67.0625247</v>
      </c>
      <c r="X808" s="34">
        <v>25.3393069</v>
      </c>
      <c r="Y808" s="34">
        <v>7.5981684</v>
      </c>
    </row>
    <row r="809" ht="15.0" hidden="1" customHeight="1">
      <c r="B809" s="30">
        <v>804.0</v>
      </c>
      <c r="C809" s="31" t="s">
        <v>19</v>
      </c>
      <c r="D809" s="31" t="s">
        <v>262</v>
      </c>
      <c r="E809" s="31" t="s">
        <v>263</v>
      </c>
      <c r="F809" s="31"/>
      <c r="G809" s="32" t="s">
        <v>16</v>
      </c>
      <c r="H809" s="33">
        <v>16405.0</v>
      </c>
      <c r="I809" s="33">
        <v>2315.0</v>
      </c>
      <c r="J809" s="33">
        <v>1143.0</v>
      </c>
      <c r="K809" s="33">
        <v>1172.0</v>
      </c>
      <c r="L809" s="33">
        <v>14090.0</v>
      </c>
      <c r="M809" s="33">
        <v>21875.0</v>
      </c>
      <c r="N809" s="33">
        <v>5347.0</v>
      </c>
      <c r="O809" s="33">
        <v>4342.0</v>
      </c>
      <c r="P809" s="33">
        <v>1005.0</v>
      </c>
      <c r="Q809" s="33">
        <v>16528.0</v>
      </c>
      <c r="R809" s="34">
        <v>14.1115514</v>
      </c>
      <c r="S809" s="34">
        <v>6.967388</v>
      </c>
      <c r="T809" s="34">
        <v>7.1441634</v>
      </c>
      <c r="U809" s="34">
        <v>85.8884486</v>
      </c>
      <c r="V809" s="34">
        <v>24.4434286</v>
      </c>
      <c r="W809" s="34">
        <v>19.8491429</v>
      </c>
      <c r="X809" s="34">
        <v>4.5942857</v>
      </c>
      <c r="Y809" s="34">
        <v>75.5565714</v>
      </c>
    </row>
    <row r="810" ht="15.0" customHeight="1">
      <c r="B810" s="35">
        <v>805.0</v>
      </c>
      <c r="C810" s="36" t="s">
        <v>21</v>
      </c>
      <c r="D810" s="41" t="s">
        <v>262</v>
      </c>
      <c r="E810" s="41" t="s">
        <v>263</v>
      </c>
      <c r="F810" s="41" t="s">
        <v>262</v>
      </c>
      <c r="G810" s="42" t="s">
        <v>262</v>
      </c>
      <c r="H810" s="37">
        <v>51606.0</v>
      </c>
      <c r="I810" s="37">
        <v>42022.0</v>
      </c>
      <c r="J810" s="37">
        <v>17232.0</v>
      </c>
      <c r="K810" s="37">
        <v>24790.0</v>
      </c>
      <c r="L810" s="37">
        <v>9584.0</v>
      </c>
      <c r="M810" s="37">
        <v>67379.0</v>
      </c>
      <c r="N810" s="37">
        <v>58116.0</v>
      </c>
      <c r="O810" s="37">
        <v>42369.0</v>
      </c>
      <c r="P810" s="37">
        <v>15747.0</v>
      </c>
      <c r="Q810" s="37">
        <v>9263.0</v>
      </c>
      <c r="R810" s="38">
        <v>81.4285161</v>
      </c>
      <c r="S810" s="38">
        <v>33.3914661</v>
      </c>
      <c r="T810" s="38">
        <v>48.03705</v>
      </c>
      <c r="U810" s="38">
        <v>18.5714839</v>
      </c>
      <c r="V810" s="38">
        <v>86.2523932</v>
      </c>
      <c r="W810" s="38">
        <v>62.88161</v>
      </c>
      <c r="X810" s="38">
        <v>23.3707832</v>
      </c>
      <c r="Y810" s="38">
        <v>13.7476068</v>
      </c>
    </row>
    <row r="811" ht="15.0" hidden="1" customHeight="1">
      <c r="B811" s="30">
        <v>806.0</v>
      </c>
      <c r="C811" s="31" t="s">
        <v>21</v>
      </c>
      <c r="D811" s="31" t="s">
        <v>262</v>
      </c>
      <c r="E811" s="31" t="s">
        <v>263</v>
      </c>
      <c r="F811" s="31" t="s">
        <v>262</v>
      </c>
      <c r="G811" s="32" t="s">
        <v>15</v>
      </c>
      <c r="H811" s="33">
        <v>46764.0</v>
      </c>
      <c r="I811" s="33">
        <v>41522.0</v>
      </c>
      <c r="J811" s="33">
        <v>17004.0</v>
      </c>
      <c r="K811" s="33">
        <v>24518.0</v>
      </c>
      <c r="L811" s="33">
        <v>5242.0</v>
      </c>
      <c r="M811" s="33">
        <v>60712.0</v>
      </c>
      <c r="N811" s="33">
        <v>56099.0</v>
      </c>
      <c r="O811" s="33">
        <v>40715.0</v>
      </c>
      <c r="P811" s="33">
        <v>15384.0</v>
      </c>
      <c r="Q811" s="33">
        <v>4613.0</v>
      </c>
      <c r="R811" s="34">
        <v>88.7905226</v>
      </c>
      <c r="S811" s="34">
        <v>36.3613036</v>
      </c>
      <c r="T811" s="34">
        <v>52.4292191</v>
      </c>
      <c r="U811" s="34">
        <v>11.2094774</v>
      </c>
      <c r="V811" s="34">
        <v>92.4018316</v>
      </c>
      <c r="W811" s="34">
        <v>67.0625247</v>
      </c>
      <c r="X811" s="34">
        <v>25.3393069</v>
      </c>
      <c r="Y811" s="34">
        <v>7.5981684</v>
      </c>
    </row>
    <row r="812" ht="15.0" hidden="1" customHeight="1">
      <c r="B812" s="30">
        <v>807.0</v>
      </c>
      <c r="C812" s="31" t="s">
        <v>21</v>
      </c>
      <c r="D812" s="31" t="s">
        <v>262</v>
      </c>
      <c r="E812" s="31" t="s">
        <v>263</v>
      </c>
      <c r="F812" s="31" t="s">
        <v>262</v>
      </c>
      <c r="G812" s="32" t="s">
        <v>16</v>
      </c>
      <c r="H812" s="33">
        <v>4842.0</v>
      </c>
      <c r="I812" s="33">
        <v>500.0</v>
      </c>
      <c r="J812" s="33">
        <v>228.0</v>
      </c>
      <c r="K812" s="33">
        <v>272.0</v>
      </c>
      <c r="L812" s="33">
        <v>4342.0</v>
      </c>
      <c r="M812" s="33">
        <v>6667.0</v>
      </c>
      <c r="N812" s="33">
        <v>2017.0</v>
      </c>
      <c r="O812" s="33">
        <v>1654.0</v>
      </c>
      <c r="P812" s="33">
        <v>363.0</v>
      </c>
      <c r="Q812" s="33">
        <v>4650.0</v>
      </c>
      <c r="R812" s="34">
        <v>10.3263114</v>
      </c>
      <c r="S812" s="34">
        <v>4.708798</v>
      </c>
      <c r="T812" s="34">
        <v>5.6175134</v>
      </c>
      <c r="U812" s="34">
        <v>89.6736886</v>
      </c>
      <c r="V812" s="34">
        <v>30.2534873</v>
      </c>
      <c r="W812" s="34">
        <v>24.8087596</v>
      </c>
      <c r="X812" s="34">
        <v>5.4447278</v>
      </c>
      <c r="Y812" s="34">
        <v>69.7465127</v>
      </c>
    </row>
    <row r="813" ht="15.0" customHeight="1">
      <c r="B813" s="35">
        <v>808.0</v>
      </c>
      <c r="C813" s="36" t="s">
        <v>21</v>
      </c>
      <c r="D813" s="41" t="s">
        <v>262</v>
      </c>
      <c r="E813" s="41" t="s">
        <v>263</v>
      </c>
      <c r="F813" s="41" t="s">
        <v>264</v>
      </c>
      <c r="G813" s="42" t="s">
        <v>264</v>
      </c>
      <c r="H813" s="37">
        <v>7545.0</v>
      </c>
      <c r="I813" s="37">
        <v>817.0</v>
      </c>
      <c r="J813" s="37">
        <v>427.0</v>
      </c>
      <c r="K813" s="37">
        <v>390.0</v>
      </c>
      <c r="L813" s="37">
        <v>6728.0</v>
      </c>
      <c r="M813" s="37">
        <v>9796.0</v>
      </c>
      <c r="N813" s="37">
        <v>1155.0</v>
      </c>
      <c r="O813" s="37">
        <v>950.0</v>
      </c>
      <c r="P813" s="37">
        <v>205.0</v>
      </c>
      <c r="Q813" s="37">
        <v>8641.0</v>
      </c>
      <c r="R813" s="38">
        <v>10.8283632</v>
      </c>
      <c r="S813" s="38">
        <v>5.6593771</v>
      </c>
      <c r="T813" s="38">
        <v>5.1689861</v>
      </c>
      <c r="U813" s="38">
        <v>89.1716368</v>
      </c>
      <c r="V813" s="38">
        <v>11.7905267</v>
      </c>
      <c r="W813" s="38">
        <v>9.6978359</v>
      </c>
      <c r="X813" s="38">
        <v>2.0926909</v>
      </c>
      <c r="Y813" s="38">
        <v>88.2094733</v>
      </c>
    </row>
    <row r="814" ht="15.0" hidden="1" customHeight="1">
      <c r="B814" s="30">
        <v>809.0</v>
      </c>
      <c r="C814" s="31" t="s">
        <v>21</v>
      </c>
      <c r="D814" s="31" t="s">
        <v>262</v>
      </c>
      <c r="E814" s="31" t="s">
        <v>263</v>
      </c>
      <c r="F814" s="31" t="s">
        <v>264</v>
      </c>
      <c r="G814" s="32" t="s">
        <v>15</v>
      </c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4"/>
      <c r="S814" s="34"/>
      <c r="T814" s="34"/>
      <c r="U814" s="34"/>
      <c r="V814" s="34"/>
      <c r="W814" s="34"/>
      <c r="X814" s="34"/>
      <c r="Y814" s="34"/>
    </row>
    <row r="815" ht="15.0" hidden="1" customHeight="1">
      <c r="B815" s="30">
        <v>810.0</v>
      </c>
      <c r="C815" s="31" t="s">
        <v>21</v>
      </c>
      <c r="D815" s="31" t="s">
        <v>262</v>
      </c>
      <c r="E815" s="31" t="s">
        <v>263</v>
      </c>
      <c r="F815" s="31" t="s">
        <v>264</v>
      </c>
      <c r="G815" s="32" t="s">
        <v>16</v>
      </c>
      <c r="H815" s="33">
        <v>7545.0</v>
      </c>
      <c r="I815" s="33">
        <v>817.0</v>
      </c>
      <c r="J815" s="33">
        <v>427.0</v>
      </c>
      <c r="K815" s="33">
        <v>390.0</v>
      </c>
      <c r="L815" s="33">
        <v>6728.0</v>
      </c>
      <c r="M815" s="33">
        <v>9796.0</v>
      </c>
      <c r="N815" s="33">
        <v>1155.0</v>
      </c>
      <c r="O815" s="33">
        <v>950.0</v>
      </c>
      <c r="P815" s="33">
        <v>205.0</v>
      </c>
      <c r="Q815" s="33">
        <v>8641.0</v>
      </c>
      <c r="R815" s="34">
        <v>10.8283632</v>
      </c>
      <c r="S815" s="34">
        <v>5.6593771</v>
      </c>
      <c r="T815" s="34">
        <v>5.1689861</v>
      </c>
      <c r="U815" s="34">
        <v>89.1716368</v>
      </c>
      <c r="V815" s="34">
        <v>11.7905267</v>
      </c>
      <c r="W815" s="34">
        <v>9.6978359</v>
      </c>
      <c r="X815" s="34">
        <v>2.0926909</v>
      </c>
      <c r="Y815" s="34">
        <v>88.2094733</v>
      </c>
    </row>
    <row r="816" ht="15.0" customHeight="1">
      <c r="B816" s="35">
        <v>811.0</v>
      </c>
      <c r="C816" s="36" t="s">
        <v>21</v>
      </c>
      <c r="D816" s="41" t="s">
        <v>262</v>
      </c>
      <c r="E816" s="41" t="s">
        <v>263</v>
      </c>
      <c r="F816" s="41" t="s">
        <v>265</v>
      </c>
      <c r="G816" s="42" t="s">
        <v>265</v>
      </c>
      <c r="H816" s="37">
        <v>2916.0</v>
      </c>
      <c r="I816" s="37">
        <v>884.0</v>
      </c>
      <c r="J816" s="37">
        <v>431.0</v>
      </c>
      <c r="K816" s="37">
        <v>453.0</v>
      </c>
      <c r="L816" s="37">
        <v>2032.0</v>
      </c>
      <c r="M816" s="37">
        <v>4191.0</v>
      </c>
      <c r="N816" s="37">
        <v>1916.0</v>
      </c>
      <c r="O816" s="37">
        <v>1565.0</v>
      </c>
      <c r="P816" s="37">
        <v>351.0</v>
      </c>
      <c r="Q816" s="37">
        <v>2275.0</v>
      </c>
      <c r="R816" s="38">
        <v>30.3155007</v>
      </c>
      <c r="S816" s="38">
        <v>14.7805213</v>
      </c>
      <c r="T816" s="38">
        <v>15.5349794</v>
      </c>
      <c r="U816" s="38">
        <v>69.6844993</v>
      </c>
      <c r="V816" s="38">
        <v>45.7170126</v>
      </c>
      <c r="W816" s="38">
        <v>37.3419232</v>
      </c>
      <c r="X816" s="38">
        <v>8.3750895</v>
      </c>
      <c r="Y816" s="38">
        <v>54.2829874</v>
      </c>
    </row>
    <row r="817" ht="15.0" hidden="1" customHeight="1">
      <c r="B817" s="30">
        <v>812.0</v>
      </c>
      <c r="C817" s="31" t="s">
        <v>21</v>
      </c>
      <c r="D817" s="31" t="s">
        <v>262</v>
      </c>
      <c r="E817" s="31" t="s">
        <v>263</v>
      </c>
      <c r="F817" s="31" t="s">
        <v>265</v>
      </c>
      <c r="G817" s="32" t="s">
        <v>15</v>
      </c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4"/>
      <c r="S817" s="34"/>
      <c r="T817" s="34"/>
      <c r="U817" s="34"/>
      <c r="V817" s="34"/>
      <c r="W817" s="34"/>
      <c r="X817" s="34"/>
      <c r="Y817" s="34"/>
    </row>
    <row r="818" ht="15.0" hidden="1" customHeight="1">
      <c r="B818" s="30">
        <v>813.0</v>
      </c>
      <c r="C818" s="31" t="s">
        <v>21</v>
      </c>
      <c r="D818" s="31" t="s">
        <v>262</v>
      </c>
      <c r="E818" s="31" t="s">
        <v>263</v>
      </c>
      <c r="F818" s="31" t="s">
        <v>265</v>
      </c>
      <c r="G818" s="32" t="s">
        <v>16</v>
      </c>
      <c r="H818" s="33">
        <v>2916.0</v>
      </c>
      <c r="I818" s="33">
        <v>884.0</v>
      </c>
      <c r="J818" s="33">
        <v>431.0</v>
      </c>
      <c r="K818" s="33">
        <v>453.0</v>
      </c>
      <c r="L818" s="33">
        <v>2032.0</v>
      </c>
      <c r="M818" s="33">
        <v>4191.0</v>
      </c>
      <c r="N818" s="33">
        <v>1916.0</v>
      </c>
      <c r="O818" s="33">
        <v>1565.0</v>
      </c>
      <c r="P818" s="33">
        <v>351.0</v>
      </c>
      <c r="Q818" s="33">
        <v>2275.0</v>
      </c>
      <c r="R818" s="34">
        <v>30.3155007</v>
      </c>
      <c r="S818" s="34">
        <v>14.7805213</v>
      </c>
      <c r="T818" s="34">
        <v>15.5349794</v>
      </c>
      <c r="U818" s="34">
        <v>69.6844993</v>
      </c>
      <c r="V818" s="34">
        <v>45.7170126</v>
      </c>
      <c r="W818" s="34">
        <v>37.3419232</v>
      </c>
      <c r="X818" s="34">
        <v>8.3750895</v>
      </c>
      <c r="Y818" s="34">
        <v>54.2829874</v>
      </c>
    </row>
    <row r="819" ht="15.0" customHeight="1">
      <c r="B819" s="35">
        <v>814.0</v>
      </c>
      <c r="C819" s="36" t="s">
        <v>21</v>
      </c>
      <c r="D819" s="41" t="s">
        <v>262</v>
      </c>
      <c r="E819" s="41" t="s">
        <v>263</v>
      </c>
      <c r="F819" s="41" t="s">
        <v>266</v>
      </c>
      <c r="G819" s="42" t="s">
        <v>266</v>
      </c>
      <c r="H819" s="37">
        <v>1102.0</v>
      </c>
      <c r="I819" s="37">
        <v>114.0</v>
      </c>
      <c r="J819" s="37">
        <v>57.0</v>
      </c>
      <c r="K819" s="37">
        <v>57.0</v>
      </c>
      <c r="L819" s="37">
        <v>988.0</v>
      </c>
      <c r="M819" s="37">
        <v>1221.0</v>
      </c>
      <c r="N819" s="37">
        <v>259.0</v>
      </c>
      <c r="O819" s="37">
        <v>173.0</v>
      </c>
      <c r="P819" s="37">
        <v>86.0</v>
      </c>
      <c r="Q819" s="37">
        <v>962.0</v>
      </c>
      <c r="R819" s="38">
        <v>10.3448276</v>
      </c>
      <c r="S819" s="38">
        <v>5.1724138</v>
      </c>
      <c r="T819" s="38">
        <v>5.1724138</v>
      </c>
      <c r="U819" s="38">
        <v>89.6551724</v>
      </c>
      <c r="V819" s="38">
        <v>21.2121212</v>
      </c>
      <c r="W819" s="38">
        <v>14.1687142</v>
      </c>
      <c r="X819" s="38">
        <v>7.043407</v>
      </c>
      <c r="Y819" s="38">
        <v>78.7878788</v>
      </c>
    </row>
    <row r="820" ht="15.0" hidden="1" customHeight="1">
      <c r="B820" s="30">
        <v>815.0</v>
      </c>
      <c r="C820" s="31" t="s">
        <v>21</v>
      </c>
      <c r="D820" s="31" t="s">
        <v>262</v>
      </c>
      <c r="E820" s="31" t="s">
        <v>263</v>
      </c>
      <c r="F820" s="31" t="s">
        <v>266</v>
      </c>
      <c r="G820" s="32" t="s">
        <v>15</v>
      </c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4"/>
      <c r="S820" s="34"/>
      <c r="T820" s="34"/>
      <c r="U820" s="34"/>
      <c r="V820" s="34"/>
      <c r="W820" s="34"/>
      <c r="X820" s="34"/>
      <c r="Y820" s="34"/>
    </row>
    <row r="821" ht="15.0" hidden="1" customHeight="1">
      <c r="B821" s="30">
        <v>816.0</v>
      </c>
      <c r="C821" s="31" t="s">
        <v>21</v>
      </c>
      <c r="D821" s="31" t="s">
        <v>262</v>
      </c>
      <c r="E821" s="31" t="s">
        <v>263</v>
      </c>
      <c r="F821" s="31" t="s">
        <v>266</v>
      </c>
      <c r="G821" s="32" t="s">
        <v>16</v>
      </c>
      <c r="H821" s="33">
        <v>1102.0</v>
      </c>
      <c r="I821" s="33">
        <v>114.0</v>
      </c>
      <c r="J821" s="33">
        <v>57.0</v>
      </c>
      <c r="K821" s="33">
        <v>57.0</v>
      </c>
      <c r="L821" s="33">
        <v>988.0</v>
      </c>
      <c r="M821" s="33">
        <v>1221.0</v>
      </c>
      <c r="N821" s="33">
        <v>259.0</v>
      </c>
      <c r="O821" s="33">
        <v>173.0</v>
      </c>
      <c r="P821" s="33">
        <v>86.0</v>
      </c>
      <c r="Q821" s="33">
        <v>962.0</v>
      </c>
      <c r="R821" s="34">
        <v>10.3448276</v>
      </c>
      <c r="S821" s="34">
        <v>5.1724138</v>
      </c>
      <c r="T821" s="34">
        <v>5.1724138</v>
      </c>
      <c r="U821" s="34">
        <v>89.6551724</v>
      </c>
      <c r="V821" s="34">
        <v>21.2121212</v>
      </c>
      <c r="W821" s="34">
        <v>14.1687142</v>
      </c>
      <c r="X821" s="34">
        <v>7.043407</v>
      </c>
      <c r="Y821" s="34">
        <v>78.7878788</v>
      </c>
    </row>
    <row r="822" ht="15.0" hidden="1" customHeight="1">
      <c r="B822" s="26">
        <v>817.0</v>
      </c>
      <c r="C822" s="27" t="s">
        <v>19</v>
      </c>
      <c r="D822" s="40" t="s">
        <v>262</v>
      </c>
      <c r="E822" s="40" t="s">
        <v>267</v>
      </c>
      <c r="F822" s="40"/>
      <c r="G822" s="27" t="s">
        <v>267</v>
      </c>
      <c r="H822" s="28">
        <v>25965.0</v>
      </c>
      <c r="I822" s="28">
        <v>10563.0</v>
      </c>
      <c r="J822" s="28">
        <v>5445.0</v>
      </c>
      <c r="K822" s="28">
        <v>5118.0</v>
      </c>
      <c r="L822" s="28">
        <v>15402.0</v>
      </c>
      <c r="M822" s="28">
        <v>33144.0</v>
      </c>
      <c r="N822" s="28">
        <v>17376.0</v>
      </c>
      <c r="O822" s="28">
        <v>13642.0</v>
      </c>
      <c r="P822" s="28">
        <v>3734.0</v>
      </c>
      <c r="Q822" s="28">
        <v>15768.0</v>
      </c>
      <c r="R822" s="29">
        <v>40.6816869</v>
      </c>
      <c r="S822" s="29">
        <v>20.9705373</v>
      </c>
      <c r="T822" s="29">
        <v>19.7111496</v>
      </c>
      <c r="U822" s="29">
        <v>59.3183131</v>
      </c>
      <c r="V822" s="29">
        <v>52.4257784</v>
      </c>
      <c r="W822" s="29">
        <v>41.1597876</v>
      </c>
      <c r="X822" s="29">
        <v>11.2659908</v>
      </c>
      <c r="Y822" s="29">
        <v>47.5742216</v>
      </c>
    </row>
    <row r="823" ht="15.0" hidden="1" customHeight="1">
      <c r="B823" s="30">
        <v>818.0</v>
      </c>
      <c r="C823" s="31" t="s">
        <v>19</v>
      </c>
      <c r="D823" s="31" t="s">
        <v>262</v>
      </c>
      <c r="E823" s="31" t="s">
        <v>267</v>
      </c>
      <c r="F823" s="31"/>
      <c r="G823" s="32" t="s">
        <v>15</v>
      </c>
      <c r="H823" s="33">
        <v>14008.0</v>
      </c>
      <c r="I823" s="33">
        <v>8574.0</v>
      </c>
      <c r="J823" s="33">
        <v>4271.0</v>
      </c>
      <c r="K823" s="33">
        <v>4303.0</v>
      </c>
      <c r="L823" s="33">
        <v>5434.0</v>
      </c>
      <c r="M823" s="33">
        <v>19003.0</v>
      </c>
      <c r="N823" s="33">
        <v>13877.0</v>
      </c>
      <c r="O823" s="33">
        <v>10799.0</v>
      </c>
      <c r="P823" s="33">
        <v>3078.0</v>
      </c>
      <c r="Q823" s="33">
        <v>5126.0</v>
      </c>
      <c r="R823" s="34">
        <v>61.2078812</v>
      </c>
      <c r="S823" s="34">
        <v>30.4897202</v>
      </c>
      <c r="T823" s="34">
        <v>30.7181611</v>
      </c>
      <c r="U823" s="34">
        <v>38.7921188</v>
      </c>
      <c r="V823" s="34">
        <v>73.0253118</v>
      </c>
      <c r="W823" s="34">
        <v>56.8278693</v>
      </c>
      <c r="X823" s="34">
        <v>16.1974425</v>
      </c>
      <c r="Y823" s="34">
        <v>26.9746882</v>
      </c>
    </row>
    <row r="824" ht="15.0" hidden="1" customHeight="1">
      <c r="B824" s="30">
        <v>819.0</v>
      </c>
      <c r="C824" s="31" t="s">
        <v>19</v>
      </c>
      <c r="D824" s="31" t="s">
        <v>262</v>
      </c>
      <c r="E824" s="31" t="s">
        <v>267</v>
      </c>
      <c r="F824" s="31"/>
      <c r="G824" s="32" t="s">
        <v>16</v>
      </c>
      <c r="H824" s="33">
        <v>11957.0</v>
      </c>
      <c r="I824" s="33">
        <v>1989.0</v>
      </c>
      <c r="J824" s="33">
        <v>1174.0</v>
      </c>
      <c r="K824" s="33">
        <v>815.0</v>
      </c>
      <c r="L824" s="33">
        <v>9968.0</v>
      </c>
      <c r="M824" s="33">
        <v>14141.0</v>
      </c>
      <c r="N824" s="33">
        <v>3499.0</v>
      </c>
      <c r="O824" s="33">
        <v>2843.0</v>
      </c>
      <c r="P824" s="33">
        <v>656.0</v>
      </c>
      <c r="Q824" s="33">
        <v>10642.0</v>
      </c>
      <c r="R824" s="34">
        <v>16.6346073</v>
      </c>
      <c r="S824" s="34">
        <v>9.8185164</v>
      </c>
      <c r="T824" s="34">
        <v>6.816091</v>
      </c>
      <c r="U824" s="34">
        <v>83.3653927</v>
      </c>
      <c r="V824" s="34">
        <v>24.7436532</v>
      </c>
      <c r="W824" s="34">
        <v>20.1046602</v>
      </c>
      <c r="X824" s="34">
        <v>4.638993</v>
      </c>
      <c r="Y824" s="34">
        <v>75.2563468</v>
      </c>
    </row>
    <row r="825" ht="15.0" customHeight="1">
      <c r="B825" s="35">
        <v>820.0</v>
      </c>
      <c r="C825" s="36" t="s">
        <v>21</v>
      </c>
      <c r="D825" s="41" t="s">
        <v>262</v>
      </c>
      <c r="E825" s="41" t="s">
        <v>267</v>
      </c>
      <c r="F825" s="41" t="s">
        <v>268</v>
      </c>
      <c r="G825" s="42" t="s">
        <v>268</v>
      </c>
      <c r="H825" s="37">
        <v>6620.0</v>
      </c>
      <c r="I825" s="37">
        <v>2482.0</v>
      </c>
      <c r="J825" s="37">
        <v>1542.0</v>
      </c>
      <c r="K825" s="37">
        <v>940.0</v>
      </c>
      <c r="L825" s="37">
        <v>4138.0</v>
      </c>
      <c r="M825" s="37">
        <v>8437.0</v>
      </c>
      <c r="N825" s="37">
        <v>3782.0</v>
      </c>
      <c r="O825" s="37">
        <v>3296.0</v>
      </c>
      <c r="P825" s="37">
        <v>486.0</v>
      </c>
      <c r="Q825" s="37">
        <v>4655.0</v>
      </c>
      <c r="R825" s="38">
        <v>37.4924471</v>
      </c>
      <c r="S825" s="38">
        <v>23.2930514</v>
      </c>
      <c r="T825" s="38">
        <v>14.1993958</v>
      </c>
      <c r="U825" s="38">
        <v>62.5075529</v>
      </c>
      <c r="V825" s="38">
        <v>44.8263601</v>
      </c>
      <c r="W825" s="38">
        <v>39.0660187</v>
      </c>
      <c r="X825" s="38">
        <v>5.7603414</v>
      </c>
      <c r="Y825" s="38">
        <v>55.1736399</v>
      </c>
    </row>
    <row r="826" ht="15.0" hidden="1" customHeight="1">
      <c r="B826" s="30">
        <v>821.0</v>
      </c>
      <c r="C826" s="31" t="s">
        <v>21</v>
      </c>
      <c r="D826" s="31" t="s">
        <v>262</v>
      </c>
      <c r="E826" s="31" t="s">
        <v>267</v>
      </c>
      <c r="F826" s="31" t="s">
        <v>268</v>
      </c>
      <c r="G826" s="32" t="s">
        <v>15</v>
      </c>
      <c r="H826" s="33">
        <v>2825.0</v>
      </c>
      <c r="I826" s="33">
        <v>1522.0</v>
      </c>
      <c r="J826" s="33">
        <v>963.0</v>
      </c>
      <c r="K826" s="33">
        <v>559.0</v>
      </c>
      <c r="L826" s="33">
        <v>1303.0</v>
      </c>
      <c r="M826" s="33">
        <v>3551.0</v>
      </c>
      <c r="N826" s="33">
        <v>2399.0</v>
      </c>
      <c r="O826" s="33">
        <v>2143.0</v>
      </c>
      <c r="P826" s="33">
        <v>256.0</v>
      </c>
      <c r="Q826" s="33">
        <v>1152.0</v>
      </c>
      <c r="R826" s="34">
        <v>53.8761062</v>
      </c>
      <c r="S826" s="34">
        <v>34.0884956</v>
      </c>
      <c r="T826" s="34">
        <v>19.7876106</v>
      </c>
      <c r="U826" s="34">
        <v>46.1238938</v>
      </c>
      <c r="V826" s="34">
        <v>67.5584342</v>
      </c>
      <c r="W826" s="34">
        <v>60.3491974</v>
      </c>
      <c r="X826" s="34">
        <v>7.2092368</v>
      </c>
      <c r="Y826" s="34">
        <v>32.4415658</v>
      </c>
    </row>
    <row r="827" ht="15.0" hidden="1" customHeight="1">
      <c r="B827" s="30">
        <v>822.0</v>
      </c>
      <c r="C827" s="31" t="s">
        <v>21</v>
      </c>
      <c r="D827" s="31" t="s">
        <v>262</v>
      </c>
      <c r="E827" s="31" t="s">
        <v>267</v>
      </c>
      <c r="F827" s="31" t="s">
        <v>268</v>
      </c>
      <c r="G827" s="32" t="s">
        <v>16</v>
      </c>
      <c r="H827" s="33">
        <v>3795.0</v>
      </c>
      <c r="I827" s="33">
        <v>960.0</v>
      </c>
      <c r="J827" s="33">
        <v>579.0</v>
      </c>
      <c r="K827" s="33">
        <v>381.0</v>
      </c>
      <c r="L827" s="33">
        <v>2835.0</v>
      </c>
      <c r="M827" s="33">
        <v>4886.0</v>
      </c>
      <c r="N827" s="33">
        <v>1383.0</v>
      </c>
      <c r="O827" s="33">
        <v>1153.0</v>
      </c>
      <c r="P827" s="33">
        <v>230.0</v>
      </c>
      <c r="Q827" s="33">
        <v>3503.0</v>
      </c>
      <c r="R827" s="34">
        <v>25.2964427</v>
      </c>
      <c r="S827" s="34">
        <v>15.256917</v>
      </c>
      <c r="T827" s="34">
        <v>10.0395257</v>
      </c>
      <c r="U827" s="34">
        <v>74.7035573</v>
      </c>
      <c r="V827" s="34">
        <v>28.3053623</v>
      </c>
      <c r="W827" s="34">
        <v>23.5980352</v>
      </c>
      <c r="X827" s="34">
        <v>4.7073271</v>
      </c>
      <c r="Y827" s="34">
        <v>71.6946377</v>
      </c>
    </row>
    <row r="828" ht="15.0" customHeight="1">
      <c r="B828" s="35">
        <v>823.0</v>
      </c>
      <c r="C828" s="36" t="s">
        <v>21</v>
      </c>
      <c r="D828" s="41" t="s">
        <v>262</v>
      </c>
      <c r="E828" s="41" t="s">
        <v>267</v>
      </c>
      <c r="F828" s="41" t="s">
        <v>269</v>
      </c>
      <c r="G828" s="42" t="s">
        <v>269</v>
      </c>
      <c r="H828" s="37">
        <v>4667.0</v>
      </c>
      <c r="I828" s="37">
        <v>965.0</v>
      </c>
      <c r="J828" s="37">
        <v>532.0</v>
      </c>
      <c r="K828" s="37">
        <v>433.0</v>
      </c>
      <c r="L828" s="37">
        <v>3702.0</v>
      </c>
      <c r="M828" s="37">
        <v>5658.0</v>
      </c>
      <c r="N828" s="37">
        <v>2237.0</v>
      </c>
      <c r="O828" s="37">
        <v>1846.0</v>
      </c>
      <c r="P828" s="37">
        <v>391.0</v>
      </c>
      <c r="Q828" s="37">
        <v>3421.0</v>
      </c>
      <c r="R828" s="38">
        <v>20.6770945</v>
      </c>
      <c r="S828" s="38">
        <v>11.3991858</v>
      </c>
      <c r="T828" s="38">
        <v>9.2779087</v>
      </c>
      <c r="U828" s="38">
        <v>79.3229055</v>
      </c>
      <c r="V828" s="38">
        <v>39.5369388</v>
      </c>
      <c r="W828" s="38">
        <v>32.6263697</v>
      </c>
      <c r="X828" s="38">
        <v>6.9105691</v>
      </c>
      <c r="Y828" s="38">
        <v>60.4630612</v>
      </c>
    </row>
    <row r="829" ht="15.0" hidden="1" customHeight="1">
      <c r="B829" s="30">
        <v>824.0</v>
      </c>
      <c r="C829" s="31" t="s">
        <v>21</v>
      </c>
      <c r="D829" s="31" t="s">
        <v>262</v>
      </c>
      <c r="E829" s="31" t="s">
        <v>267</v>
      </c>
      <c r="F829" s="31" t="s">
        <v>269</v>
      </c>
      <c r="G829" s="32" t="s">
        <v>15</v>
      </c>
      <c r="H829" s="33">
        <v>810.0</v>
      </c>
      <c r="I829" s="33">
        <v>494.0</v>
      </c>
      <c r="J829" s="33">
        <v>303.0</v>
      </c>
      <c r="K829" s="33">
        <v>191.0</v>
      </c>
      <c r="L829" s="33">
        <v>316.0</v>
      </c>
      <c r="M829" s="33">
        <v>1044.0</v>
      </c>
      <c r="N829" s="33">
        <v>820.0</v>
      </c>
      <c r="O829" s="33">
        <v>695.0</v>
      </c>
      <c r="P829" s="33">
        <v>125.0</v>
      </c>
      <c r="Q829" s="33">
        <v>224.0</v>
      </c>
      <c r="R829" s="34">
        <v>60.9876543</v>
      </c>
      <c r="S829" s="34">
        <v>37.4074074</v>
      </c>
      <c r="T829" s="34">
        <v>23.5802469</v>
      </c>
      <c r="U829" s="34">
        <v>39.0123457</v>
      </c>
      <c r="V829" s="34">
        <v>78.5440613</v>
      </c>
      <c r="W829" s="34">
        <v>66.5708812</v>
      </c>
      <c r="X829" s="34">
        <v>11.9731801</v>
      </c>
      <c r="Y829" s="34">
        <v>21.4559387</v>
      </c>
    </row>
    <row r="830" ht="15.0" hidden="1" customHeight="1">
      <c r="B830" s="30">
        <v>825.0</v>
      </c>
      <c r="C830" s="31" t="s">
        <v>21</v>
      </c>
      <c r="D830" s="31" t="s">
        <v>262</v>
      </c>
      <c r="E830" s="31" t="s">
        <v>267</v>
      </c>
      <c r="F830" s="31" t="s">
        <v>269</v>
      </c>
      <c r="G830" s="32" t="s">
        <v>16</v>
      </c>
      <c r="H830" s="33">
        <v>3857.0</v>
      </c>
      <c r="I830" s="33">
        <v>471.0</v>
      </c>
      <c r="J830" s="33">
        <v>229.0</v>
      </c>
      <c r="K830" s="33">
        <v>242.0</v>
      </c>
      <c r="L830" s="33">
        <v>3386.0</v>
      </c>
      <c r="M830" s="33">
        <v>4614.0</v>
      </c>
      <c r="N830" s="33">
        <v>1417.0</v>
      </c>
      <c r="O830" s="33">
        <v>1151.0</v>
      </c>
      <c r="P830" s="33">
        <v>266.0</v>
      </c>
      <c r="Q830" s="33">
        <v>3197.0</v>
      </c>
      <c r="R830" s="34">
        <v>12.2115634</v>
      </c>
      <c r="S830" s="34">
        <v>5.9372569</v>
      </c>
      <c r="T830" s="34">
        <v>6.2743065</v>
      </c>
      <c r="U830" s="34">
        <v>87.7884366</v>
      </c>
      <c r="V830" s="34">
        <v>30.7108799</v>
      </c>
      <c r="W830" s="34">
        <v>24.9458171</v>
      </c>
      <c r="X830" s="34">
        <v>5.7650629</v>
      </c>
      <c r="Y830" s="34">
        <v>69.2891201</v>
      </c>
    </row>
    <row r="831" ht="15.0" customHeight="1">
      <c r="B831" s="35">
        <v>826.0</v>
      </c>
      <c r="C831" s="36" t="s">
        <v>21</v>
      </c>
      <c r="D831" s="41" t="s">
        <v>262</v>
      </c>
      <c r="E831" s="41" t="s">
        <v>267</v>
      </c>
      <c r="F831" s="41" t="s">
        <v>270</v>
      </c>
      <c r="G831" s="42" t="s">
        <v>270</v>
      </c>
      <c r="H831" s="37">
        <v>12409.0</v>
      </c>
      <c r="I831" s="37">
        <v>6972.0</v>
      </c>
      <c r="J831" s="37">
        <v>3293.0</v>
      </c>
      <c r="K831" s="37">
        <v>3679.0</v>
      </c>
      <c r="L831" s="37">
        <v>5437.0</v>
      </c>
      <c r="M831" s="37">
        <v>16017.0</v>
      </c>
      <c r="N831" s="37">
        <v>10729.0</v>
      </c>
      <c r="O831" s="37">
        <v>8021.0</v>
      </c>
      <c r="P831" s="37">
        <v>2708.0</v>
      </c>
      <c r="Q831" s="37">
        <v>5288.0</v>
      </c>
      <c r="R831" s="38">
        <v>56.185027</v>
      </c>
      <c r="S831" s="38">
        <v>26.5371907</v>
      </c>
      <c r="T831" s="38">
        <v>29.6478362</v>
      </c>
      <c r="U831" s="38">
        <v>43.814973</v>
      </c>
      <c r="V831" s="38">
        <v>66.9850784</v>
      </c>
      <c r="W831" s="38">
        <v>50.0780421</v>
      </c>
      <c r="X831" s="38">
        <v>16.9070363</v>
      </c>
      <c r="Y831" s="38">
        <v>33.0149216</v>
      </c>
    </row>
    <row r="832" ht="15.0" hidden="1" customHeight="1">
      <c r="B832" s="30">
        <v>827.0</v>
      </c>
      <c r="C832" s="31" t="s">
        <v>21</v>
      </c>
      <c r="D832" s="31" t="s">
        <v>262</v>
      </c>
      <c r="E832" s="31" t="s">
        <v>267</v>
      </c>
      <c r="F832" s="31" t="s">
        <v>270</v>
      </c>
      <c r="G832" s="32" t="s">
        <v>15</v>
      </c>
      <c r="H832" s="33">
        <v>10373.0</v>
      </c>
      <c r="I832" s="33">
        <v>6558.0</v>
      </c>
      <c r="J832" s="33">
        <v>3005.0</v>
      </c>
      <c r="K832" s="33">
        <v>3553.0</v>
      </c>
      <c r="L832" s="33">
        <v>3815.0</v>
      </c>
      <c r="M832" s="33">
        <v>13731.0</v>
      </c>
      <c r="N832" s="33">
        <v>10262.0</v>
      </c>
      <c r="O832" s="33">
        <v>7649.0</v>
      </c>
      <c r="P832" s="33">
        <v>2613.0</v>
      </c>
      <c r="Q832" s="33">
        <v>3469.0</v>
      </c>
      <c r="R832" s="34">
        <v>63.2218259</v>
      </c>
      <c r="S832" s="34">
        <v>28.9694399</v>
      </c>
      <c r="T832" s="34">
        <v>34.252386</v>
      </c>
      <c r="U832" s="34">
        <v>36.7781741</v>
      </c>
      <c r="V832" s="34">
        <v>74.7359988</v>
      </c>
      <c r="W832" s="34">
        <v>55.7060666</v>
      </c>
      <c r="X832" s="34">
        <v>19.0299323</v>
      </c>
      <c r="Y832" s="34">
        <v>25.2640012</v>
      </c>
    </row>
    <row r="833" ht="15.0" hidden="1" customHeight="1">
      <c r="B833" s="30">
        <v>828.0</v>
      </c>
      <c r="C833" s="31" t="s">
        <v>21</v>
      </c>
      <c r="D833" s="31" t="s">
        <v>262</v>
      </c>
      <c r="E833" s="31" t="s">
        <v>267</v>
      </c>
      <c r="F833" s="31" t="s">
        <v>270</v>
      </c>
      <c r="G833" s="32" t="s">
        <v>16</v>
      </c>
      <c r="H833" s="33">
        <v>2036.0</v>
      </c>
      <c r="I833" s="33">
        <v>414.0</v>
      </c>
      <c r="J833" s="33">
        <v>288.0</v>
      </c>
      <c r="K833" s="33">
        <v>126.0</v>
      </c>
      <c r="L833" s="33">
        <v>1622.0</v>
      </c>
      <c r="M833" s="33">
        <v>2286.0</v>
      </c>
      <c r="N833" s="33">
        <v>467.0</v>
      </c>
      <c r="O833" s="33">
        <v>372.0</v>
      </c>
      <c r="P833" s="33">
        <v>95.0</v>
      </c>
      <c r="Q833" s="33">
        <v>1819.0</v>
      </c>
      <c r="R833" s="34">
        <v>20.3339882</v>
      </c>
      <c r="S833" s="34">
        <v>14.1453831</v>
      </c>
      <c r="T833" s="34">
        <v>6.1886051</v>
      </c>
      <c r="U833" s="34">
        <v>79.6660118</v>
      </c>
      <c r="V833" s="34">
        <v>20.4286964</v>
      </c>
      <c r="W833" s="34">
        <v>16.2729659</v>
      </c>
      <c r="X833" s="34">
        <v>4.1557305</v>
      </c>
      <c r="Y833" s="34">
        <v>79.5713036</v>
      </c>
    </row>
    <row r="834" ht="15.0" customHeight="1">
      <c r="B834" s="35">
        <v>829.0</v>
      </c>
      <c r="C834" s="36" t="s">
        <v>21</v>
      </c>
      <c r="D834" s="41" t="s">
        <v>262</v>
      </c>
      <c r="E834" s="41" t="s">
        <v>267</v>
      </c>
      <c r="F834" s="41" t="s">
        <v>271</v>
      </c>
      <c r="G834" s="42" t="s">
        <v>271</v>
      </c>
      <c r="H834" s="37">
        <v>2269.0</v>
      </c>
      <c r="I834" s="37">
        <v>144.0</v>
      </c>
      <c r="J834" s="37">
        <v>78.0</v>
      </c>
      <c r="K834" s="37">
        <v>66.0</v>
      </c>
      <c r="L834" s="37">
        <v>2125.0</v>
      </c>
      <c r="M834" s="37">
        <v>3032.0</v>
      </c>
      <c r="N834" s="37">
        <v>628.0</v>
      </c>
      <c r="O834" s="37">
        <v>479.0</v>
      </c>
      <c r="P834" s="37">
        <v>149.0</v>
      </c>
      <c r="Q834" s="37">
        <v>2404.0</v>
      </c>
      <c r="R834" s="38">
        <v>6.3464081</v>
      </c>
      <c r="S834" s="38">
        <v>3.4376377</v>
      </c>
      <c r="T834" s="38">
        <v>2.9087704</v>
      </c>
      <c r="U834" s="38">
        <v>93.6535919</v>
      </c>
      <c r="V834" s="38">
        <v>20.7124011</v>
      </c>
      <c r="W834" s="38">
        <v>15.798153</v>
      </c>
      <c r="X834" s="38">
        <v>4.914248</v>
      </c>
      <c r="Y834" s="38">
        <v>79.2875989</v>
      </c>
    </row>
    <row r="835" ht="15.0" hidden="1" customHeight="1">
      <c r="B835" s="30">
        <v>830.0</v>
      </c>
      <c r="C835" s="31" t="s">
        <v>21</v>
      </c>
      <c r="D835" s="31" t="s">
        <v>262</v>
      </c>
      <c r="E835" s="31" t="s">
        <v>267</v>
      </c>
      <c r="F835" s="31" t="s">
        <v>271</v>
      </c>
      <c r="G835" s="32" t="s">
        <v>15</v>
      </c>
      <c r="H835" s="33"/>
      <c r="I835" s="33"/>
      <c r="J835" s="33"/>
      <c r="K835" s="33"/>
      <c r="L835" s="33"/>
      <c r="M835" s="33">
        <v>677.0</v>
      </c>
      <c r="N835" s="33">
        <v>396.0</v>
      </c>
      <c r="O835" s="33">
        <v>312.0</v>
      </c>
      <c r="P835" s="33">
        <v>84.0</v>
      </c>
      <c r="Q835" s="33">
        <v>281.0</v>
      </c>
      <c r="R835" s="34"/>
      <c r="S835" s="34"/>
      <c r="T835" s="34"/>
      <c r="U835" s="34"/>
      <c r="V835" s="34">
        <v>58.493353</v>
      </c>
      <c r="W835" s="34">
        <v>46.0856721</v>
      </c>
      <c r="X835" s="34">
        <v>12.4076809</v>
      </c>
      <c r="Y835" s="34">
        <v>41.506647</v>
      </c>
    </row>
    <row r="836" ht="15.0" hidden="1" customHeight="1">
      <c r="B836" s="30">
        <v>831.0</v>
      </c>
      <c r="C836" s="31" t="s">
        <v>21</v>
      </c>
      <c r="D836" s="31" t="s">
        <v>262</v>
      </c>
      <c r="E836" s="31" t="s">
        <v>267</v>
      </c>
      <c r="F836" s="31" t="s">
        <v>271</v>
      </c>
      <c r="G836" s="32" t="s">
        <v>16</v>
      </c>
      <c r="H836" s="33">
        <v>2269.0</v>
      </c>
      <c r="I836" s="33">
        <v>144.0</v>
      </c>
      <c r="J836" s="33">
        <v>78.0</v>
      </c>
      <c r="K836" s="33">
        <v>66.0</v>
      </c>
      <c r="L836" s="33">
        <v>2125.0</v>
      </c>
      <c r="M836" s="33">
        <v>2355.0</v>
      </c>
      <c r="N836" s="33">
        <v>232.0</v>
      </c>
      <c r="O836" s="33">
        <v>167.0</v>
      </c>
      <c r="P836" s="33">
        <v>65.0</v>
      </c>
      <c r="Q836" s="33">
        <v>2123.0</v>
      </c>
      <c r="R836" s="34">
        <v>6.3464081</v>
      </c>
      <c r="S836" s="34">
        <v>3.4376377</v>
      </c>
      <c r="T836" s="34">
        <v>2.9087704</v>
      </c>
      <c r="U836" s="34">
        <v>93.6535919</v>
      </c>
      <c r="V836" s="34">
        <v>9.85138</v>
      </c>
      <c r="W836" s="34">
        <v>7.0912951</v>
      </c>
      <c r="X836" s="34">
        <v>2.7600849</v>
      </c>
      <c r="Y836" s="34">
        <v>90.14862</v>
      </c>
    </row>
    <row r="837" ht="15.0" hidden="1" customHeight="1">
      <c r="B837" s="26">
        <v>832.0</v>
      </c>
      <c r="C837" s="27" t="s">
        <v>19</v>
      </c>
      <c r="D837" s="40" t="s">
        <v>262</v>
      </c>
      <c r="E837" s="40" t="s">
        <v>272</v>
      </c>
      <c r="F837" s="40"/>
      <c r="G837" s="27" t="s">
        <v>272</v>
      </c>
      <c r="H837" s="28">
        <v>16840.0</v>
      </c>
      <c r="I837" s="28">
        <v>3620.0</v>
      </c>
      <c r="J837" s="28">
        <v>1920.0</v>
      </c>
      <c r="K837" s="28">
        <v>1700.0</v>
      </c>
      <c r="L837" s="28">
        <v>13220.0</v>
      </c>
      <c r="M837" s="28">
        <v>19584.0</v>
      </c>
      <c r="N837" s="28">
        <v>6646.0</v>
      </c>
      <c r="O837" s="28">
        <v>5842.0</v>
      </c>
      <c r="P837" s="28">
        <v>804.0</v>
      </c>
      <c r="Q837" s="28">
        <v>12938.0</v>
      </c>
      <c r="R837" s="29">
        <v>21.4964371</v>
      </c>
      <c r="S837" s="29">
        <v>11.4014252</v>
      </c>
      <c r="T837" s="29">
        <v>10.0950119</v>
      </c>
      <c r="U837" s="29">
        <v>78.5035629</v>
      </c>
      <c r="V837" s="29">
        <v>33.935866</v>
      </c>
      <c r="W837" s="29">
        <v>29.8304739</v>
      </c>
      <c r="X837" s="29">
        <v>4.1053922</v>
      </c>
      <c r="Y837" s="29">
        <v>66.064134</v>
      </c>
    </row>
    <row r="838" ht="15.0" hidden="1" customHeight="1">
      <c r="B838" s="30">
        <v>833.0</v>
      </c>
      <c r="C838" s="31" t="s">
        <v>19</v>
      </c>
      <c r="D838" s="31" t="s">
        <v>262</v>
      </c>
      <c r="E838" s="31" t="s">
        <v>272</v>
      </c>
      <c r="F838" s="31"/>
      <c r="G838" s="32" t="s">
        <v>15</v>
      </c>
      <c r="H838" s="33">
        <v>1438.0</v>
      </c>
      <c r="I838" s="33">
        <v>1084.0</v>
      </c>
      <c r="J838" s="33">
        <v>479.0</v>
      </c>
      <c r="K838" s="33">
        <v>605.0</v>
      </c>
      <c r="L838" s="33">
        <v>354.0</v>
      </c>
      <c r="M838" s="33">
        <v>2182.0</v>
      </c>
      <c r="N838" s="33">
        <v>1732.0</v>
      </c>
      <c r="O838" s="33">
        <v>1492.0</v>
      </c>
      <c r="P838" s="33">
        <v>240.0</v>
      </c>
      <c r="Q838" s="33">
        <v>450.0</v>
      </c>
      <c r="R838" s="34">
        <v>75.3824757</v>
      </c>
      <c r="S838" s="34">
        <v>33.310153</v>
      </c>
      <c r="T838" s="34">
        <v>42.0723227</v>
      </c>
      <c r="U838" s="34">
        <v>24.6175243</v>
      </c>
      <c r="V838" s="34">
        <v>79.3767186</v>
      </c>
      <c r="W838" s="34">
        <v>68.3776352</v>
      </c>
      <c r="X838" s="34">
        <v>10.9990834</v>
      </c>
      <c r="Y838" s="34">
        <v>20.6232814</v>
      </c>
    </row>
    <row r="839" ht="15.0" hidden="1" customHeight="1">
      <c r="B839" s="30">
        <v>834.0</v>
      </c>
      <c r="C839" s="31" t="s">
        <v>19</v>
      </c>
      <c r="D839" s="31" t="s">
        <v>262</v>
      </c>
      <c r="E839" s="31" t="s">
        <v>272</v>
      </c>
      <c r="F839" s="31"/>
      <c r="G839" s="32" t="s">
        <v>16</v>
      </c>
      <c r="H839" s="33">
        <v>15402.0</v>
      </c>
      <c r="I839" s="33">
        <v>2536.0</v>
      </c>
      <c r="J839" s="33">
        <v>1441.0</v>
      </c>
      <c r="K839" s="33">
        <v>1095.0</v>
      </c>
      <c r="L839" s="33">
        <v>12866.0</v>
      </c>
      <c r="M839" s="33">
        <v>17402.0</v>
      </c>
      <c r="N839" s="33">
        <v>4914.0</v>
      </c>
      <c r="O839" s="33">
        <v>4350.0</v>
      </c>
      <c r="P839" s="33">
        <v>564.0</v>
      </c>
      <c r="Q839" s="33">
        <v>12488.0</v>
      </c>
      <c r="R839" s="34">
        <v>16.4653941</v>
      </c>
      <c r="S839" s="34">
        <v>9.3559278</v>
      </c>
      <c r="T839" s="34">
        <v>7.1094663</v>
      </c>
      <c r="U839" s="34">
        <v>83.5346059</v>
      </c>
      <c r="V839" s="34">
        <v>28.2381335</v>
      </c>
      <c r="W839" s="34">
        <v>24.9971268</v>
      </c>
      <c r="X839" s="34">
        <v>3.2410068</v>
      </c>
      <c r="Y839" s="34">
        <v>71.7618665</v>
      </c>
    </row>
    <row r="840" ht="15.0" customHeight="1">
      <c r="B840" s="35">
        <v>835.0</v>
      </c>
      <c r="C840" s="36" t="s">
        <v>21</v>
      </c>
      <c r="D840" s="41" t="s">
        <v>262</v>
      </c>
      <c r="E840" s="41" t="s">
        <v>272</v>
      </c>
      <c r="F840" s="41" t="s">
        <v>273</v>
      </c>
      <c r="G840" s="42" t="s">
        <v>273</v>
      </c>
      <c r="H840" s="37">
        <v>9721.0</v>
      </c>
      <c r="I840" s="37">
        <v>2685.0</v>
      </c>
      <c r="J840" s="37">
        <v>1470.0</v>
      </c>
      <c r="K840" s="37">
        <v>1215.0</v>
      </c>
      <c r="L840" s="37">
        <v>7036.0</v>
      </c>
      <c r="M840" s="37">
        <v>10921.0</v>
      </c>
      <c r="N840" s="37">
        <v>4775.0</v>
      </c>
      <c r="O840" s="37">
        <v>4229.0</v>
      </c>
      <c r="P840" s="37">
        <v>546.0</v>
      </c>
      <c r="Q840" s="37">
        <v>6146.0</v>
      </c>
      <c r="R840" s="38">
        <v>27.6206152</v>
      </c>
      <c r="S840" s="38">
        <v>15.121901</v>
      </c>
      <c r="T840" s="38">
        <v>12.4987141</v>
      </c>
      <c r="U840" s="38">
        <v>72.3793848</v>
      </c>
      <c r="V840" s="38">
        <v>43.7231023</v>
      </c>
      <c r="W840" s="38">
        <v>38.7235601</v>
      </c>
      <c r="X840" s="38">
        <v>4.9995422</v>
      </c>
      <c r="Y840" s="38">
        <v>56.2768977</v>
      </c>
    </row>
    <row r="841" ht="15.0" hidden="1" customHeight="1">
      <c r="B841" s="30">
        <v>836.0</v>
      </c>
      <c r="C841" s="31" t="s">
        <v>21</v>
      </c>
      <c r="D841" s="31" t="s">
        <v>262</v>
      </c>
      <c r="E841" s="31" t="s">
        <v>272</v>
      </c>
      <c r="F841" s="31" t="s">
        <v>273</v>
      </c>
      <c r="G841" s="32" t="s">
        <v>15</v>
      </c>
      <c r="H841" s="33">
        <v>1438.0</v>
      </c>
      <c r="I841" s="33">
        <v>1084.0</v>
      </c>
      <c r="J841" s="33">
        <v>479.0</v>
      </c>
      <c r="K841" s="33">
        <v>605.0</v>
      </c>
      <c r="L841" s="33">
        <v>354.0</v>
      </c>
      <c r="M841" s="33">
        <v>2182.0</v>
      </c>
      <c r="N841" s="33">
        <v>1732.0</v>
      </c>
      <c r="O841" s="33">
        <v>1492.0</v>
      </c>
      <c r="P841" s="33">
        <v>240.0</v>
      </c>
      <c r="Q841" s="33">
        <v>450.0</v>
      </c>
      <c r="R841" s="34">
        <v>75.3824757</v>
      </c>
      <c r="S841" s="34">
        <v>33.310153</v>
      </c>
      <c r="T841" s="34">
        <v>42.0723227</v>
      </c>
      <c r="U841" s="34">
        <v>24.6175243</v>
      </c>
      <c r="V841" s="34">
        <v>79.3767186</v>
      </c>
      <c r="W841" s="34">
        <v>68.3776352</v>
      </c>
      <c r="X841" s="34">
        <v>10.9990834</v>
      </c>
      <c r="Y841" s="34">
        <v>20.6232814</v>
      </c>
    </row>
    <row r="842" ht="15.0" hidden="1" customHeight="1">
      <c r="B842" s="30">
        <v>837.0</v>
      </c>
      <c r="C842" s="31" t="s">
        <v>21</v>
      </c>
      <c r="D842" s="31" t="s">
        <v>262</v>
      </c>
      <c r="E842" s="31" t="s">
        <v>272</v>
      </c>
      <c r="F842" s="31" t="s">
        <v>273</v>
      </c>
      <c r="G842" s="32" t="s">
        <v>16</v>
      </c>
      <c r="H842" s="33">
        <v>8283.0</v>
      </c>
      <c r="I842" s="33">
        <v>1601.0</v>
      </c>
      <c r="J842" s="33">
        <v>991.0</v>
      </c>
      <c r="K842" s="33">
        <v>610.0</v>
      </c>
      <c r="L842" s="33">
        <v>6682.0</v>
      </c>
      <c r="M842" s="33">
        <v>8739.0</v>
      </c>
      <c r="N842" s="33">
        <v>3043.0</v>
      </c>
      <c r="O842" s="33">
        <v>2737.0</v>
      </c>
      <c r="P842" s="33">
        <v>306.0</v>
      </c>
      <c r="Q842" s="33">
        <v>5696.0</v>
      </c>
      <c r="R842" s="34">
        <v>19.3287456</v>
      </c>
      <c r="S842" s="34">
        <v>11.9642642</v>
      </c>
      <c r="T842" s="34">
        <v>7.3644815</v>
      </c>
      <c r="U842" s="34">
        <v>80.6712544</v>
      </c>
      <c r="V842" s="34">
        <v>34.8209177</v>
      </c>
      <c r="W842" s="34">
        <v>31.3193729</v>
      </c>
      <c r="X842" s="34">
        <v>3.5015448</v>
      </c>
      <c r="Y842" s="34">
        <v>65.1790823</v>
      </c>
    </row>
    <row r="843" ht="15.0" customHeight="1">
      <c r="B843" s="35">
        <v>838.0</v>
      </c>
      <c r="C843" s="36" t="s">
        <v>21</v>
      </c>
      <c r="D843" s="41" t="s">
        <v>262</v>
      </c>
      <c r="E843" s="41" t="s">
        <v>272</v>
      </c>
      <c r="F843" s="41" t="s">
        <v>274</v>
      </c>
      <c r="G843" s="42" t="s">
        <v>274</v>
      </c>
      <c r="H843" s="37">
        <v>3222.0</v>
      </c>
      <c r="I843" s="37">
        <v>839.0</v>
      </c>
      <c r="J843" s="37">
        <v>395.0</v>
      </c>
      <c r="K843" s="37">
        <v>444.0</v>
      </c>
      <c r="L843" s="37">
        <v>2383.0</v>
      </c>
      <c r="M843" s="37">
        <v>3482.0</v>
      </c>
      <c r="N843" s="37">
        <v>1393.0</v>
      </c>
      <c r="O843" s="37">
        <v>1244.0</v>
      </c>
      <c r="P843" s="37">
        <v>149.0</v>
      </c>
      <c r="Q843" s="37">
        <v>2089.0</v>
      </c>
      <c r="R843" s="38">
        <v>26.0397269</v>
      </c>
      <c r="S843" s="38">
        <v>12.2594662</v>
      </c>
      <c r="T843" s="38">
        <v>13.7802607</v>
      </c>
      <c r="U843" s="38">
        <v>73.9602731</v>
      </c>
      <c r="V843" s="38">
        <v>40.0057438</v>
      </c>
      <c r="W843" s="38">
        <v>35.7265939</v>
      </c>
      <c r="X843" s="38">
        <v>4.2791499</v>
      </c>
      <c r="Y843" s="38">
        <v>59.9942562</v>
      </c>
    </row>
    <row r="844" ht="15.0" hidden="1" customHeight="1">
      <c r="B844" s="30">
        <v>839.0</v>
      </c>
      <c r="C844" s="31" t="s">
        <v>21</v>
      </c>
      <c r="D844" s="31" t="s">
        <v>262</v>
      </c>
      <c r="E844" s="31" t="s">
        <v>272</v>
      </c>
      <c r="F844" s="31" t="s">
        <v>274</v>
      </c>
      <c r="G844" s="32" t="s">
        <v>15</v>
      </c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4"/>
      <c r="S844" s="34"/>
      <c r="T844" s="34"/>
      <c r="U844" s="34"/>
      <c r="V844" s="34"/>
      <c r="W844" s="34"/>
      <c r="X844" s="34"/>
      <c r="Y844" s="34"/>
    </row>
    <row r="845" ht="15.0" hidden="1" customHeight="1">
      <c r="B845" s="30">
        <v>840.0</v>
      </c>
      <c r="C845" s="31" t="s">
        <v>21</v>
      </c>
      <c r="D845" s="31" t="s">
        <v>262</v>
      </c>
      <c r="E845" s="31" t="s">
        <v>272</v>
      </c>
      <c r="F845" s="31" t="s">
        <v>274</v>
      </c>
      <c r="G845" s="32" t="s">
        <v>16</v>
      </c>
      <c r="H845" s="33">
        <v>3222.0</v>
      </c>
      <c r="I845" s="33">
        <v>839.0</v>
      </c>
      <c r="J845" s="33">
        <v>395.0</v>
      </c>
      <c r="K845" s="33">
        <v>444.0</v>
      </c>
      <c r="L845" s="33">
        <v>2383.0</v>
      </c>
      <c r="M845" s="33">
        <v>3482.0</v>
      </c>
      <c r="N845" s="33">
        <v>1393.0</v>
      </c>
      <c r="O845" s="33">
        <v>1244.0</v>
      </c>
      <c r="P845" s="33">
        <v>149.0</v>
      </c>
      <c r="Q845" s="33">
        <v>2089.0</v>
      </c>
      <c r="R845" s="34">
        <v>26.0397269</v>
      </c>
      <c r="S845" s="34">
        <v>12.2594662</v>
      </c>
      <c r="T845" s="34">
        <v>13.7802607</v>
      </c>
      <c r="U845" s="34">
        <v>73.9602731</v>
      </c>
      <c r="V845" s="34">
        <v>40.0057438</v>
      </c>
      <c r="W845" s="34">
        <v>35.7265939</v>
      </c>
      <c r="X845" s="34">
        <v>4.2791499</v>
      </c>
      <c r="Y845" s="34">
        <v>59.9942562</v>
      </c>
    </row>
    <row r="846" ht="15.0" customHeight="1">
      <c r="B846" s="35">
        <v>841.0</v>
      </c>
      <c r="C846" s="36" t="s">
        <v>21</v>
      </c>
      <c r="D846" s="41" t="s">
        <v>262</v>
      </c>
      <c r="E846" s="41" t="s">
        <v>272</v>
      </c>
      <c r="F846" s="41" t="s">
        <v>275</v>
      </c>
      <c r="G846" s="42" t="s">
        <v>275</v>
      </c>
      <c r="H846" s="37">
        <v>3897.0</v>
      </c>
      <c r="I846" s="37">
        <v>96.0</v>
      </c>
      <c r="J846" s="37">
        <v>55.0</v>
      </c>
      <c r="K846" s="37">
        <v>41.0</v>
      </c>
      <c r="L846" s="37">
        <v>3801.0</v>
      </c>
      <c r="M846" s="37">
        <v>5181.0</v>
      </c>
      <c r="N846" s="37">
        <v>478.0</v>
      </c>
      <c r="O846" s="37">
        <v>369.0</v>
      </c>
      <c r="P846" s="37">
        <v>109.0</v>
      </c>
      <c r="Q846" s="37">
        <v>4703.0</v>
      </c>
      <c r="R846" s="38">
        <v>2.4634334</v>
      </c>
      <c r="S846" s="38">
        <v>1.4113421</v>
      </c>
      <c r="T846" s="38">
        <v>1.0520914</v>
      </c>
      <c r="U846" s="38">
        <v>97.5365666</v>
      </c>
      <c r="V846" s="38">
        <v>9.2260181</v>
      </c>
      <c r="W846" s="38">
        <v>7.1221772</v>
      </c>
      <c r="X846" s="38">
        <v>2.103841</v>
      </c>
      <c r="Y846" s="38">
        <v>90.7739819</v>
      </c>
    </row>
    <row r="847" ht="15.0" hidden="1" customHeight="1">
      <c r="B847" s="30">
        <v>842.0</v>
      </c>
      <c r="C847" s="31" t="s">
        <v>21</v>
      </c>
      <c r="D847" s="31" t="s">
        <v>262</v>
      </c>
      <c r="E847" s="31" t="s">
        <v>272</v>
      </c>
      <c r="F847" s="31" t="s">
        <v>275</v>
      </c>
      <c r="G847" s="32" t="s">
        <v>15</v>
      </c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4"/>
      <c r="S847" s="34"/>
      <c r="T847" s="34"/>
      <c r="U847" s="34"/>
      <c r="V847" s="34"/>
      <c r="W847" s="34"/>
      <c r="X847" s="34"/>
      <c r="Y847" s="34"/>
    </row>
    <row r="848" ht="15.0" hidden="1" customHeight="1">
      <c r="B848" s="30">
        <v>843.0</v>
      </c>
      <c r="C848" s="31" t="s">
        <v>21</v>
      </c>
      <c r="D848" s="31" t="s">
        <v>262</v>
      </c>
      <c r="E848" s="31" t="s">
        <v>272</v>
      </c>
      <c r="F848" s="31" t="s">
        <v>275</v>
      </c>
      <c r="G848" s="32" t="s">
        <v>16</v>
      </c>
      <c r="H848" s="33">
        <v>3897.0</v>
      </c>
      <c r="I848" s="33">
        <v>96.0</v>
      </c>
      <c r="J848" s="33">
        <v>55.0</v>
      </c>
      <c r="K848" s="33">
        <v>41.0</v>
      </c>
      <c r="L848" s="33">
        <v>3801.0</v>
      </c>
      <c r="M848" s="33">
        <v>5181.0</v>
      </c>
      <c r="N848" s="33">
        <v>478.0</v>
      </c>
      <c r="O848" s="33">
        <v>369.0</v>
      </c>
      <c r="P848" s="33">
        <v>109.0</v>
      </c>
      <c r="Q848" s="33">
        <v>4703.0</v>
      </c>
      <c r="R848" s="34">
        <v>2.4634334</v>
      </c>
      <c r="S848" s="34">
        <v>1.4113421</v>
      </c>
      <c r="T848" s="34">
        <v>1.0520914</v>
      </c>
      <c r="U848" s="34">
        <v>97.5365666</v>
      </c>
      <c r="V848" s="34">
        <v>9.2260181</v>
      </c>
      <c r="W848" s="34">
        <v>7.1221772</v>
      </c>
      <c r="X848" s="34">
        <v>2.103841</v>
      </c>
      <c r="Y848" s="34">
        <v>90.7739819</v>
      </c>
    </row>
    <row r="849" ht="15.0" hidden="1" customHeight="1">
      <c r="B849" s="26">
        <v>844.0</v>
      </c>
      <c r="C849" s="27" t="s">
        <v>19</v>
      </c>
      <c r="D849" s="40" t="s">
        <v>262</v>
      </c>
      <c r="E849" s="40" t="s">
        <v>269</v>
      </c>
      <c r="F849" s="40"/>
      <c r="G849" s="27" t="s">
        <v>269</v>
      </c>
      <c r="H849" s="28">
        <v>30864.0</v>
      </c>
      <c r="I849" s="28">
        <v>5689.0</v>
      </c>
      <c r="J849" s="28">
        <v>3102.0</v>
      </c>
      <c r="K849" s="28">
        <v>2587.0</v>
      </c>
      <c r="L849" s="28">
        <v>25175.0</v>
      </c>
      <c r="M849" s="28">
        <v>40534.0</v>
      </c>
      <c r="N849" s="28">
        <v>9267.0</v>
      </c>
      <c r="O849" s="28">
        <v>7269.0</v>
      </c>
      <c r="P849" s="28">
        <v>1998.0</v>
      </c>
      <c r="Q849" s="28">
        <v>31267.0</v>
      </c>
      <c r="R849" s="29">
        <v>18.432478</v>
      </c>
      <c r="S849" s="29">
        <v>10.0505443</v>
      </c>
      <c r="T849" s="29">
        <v>8.3819336</v>
      </c>
      <c r="U849" s="29">
        <v>81.567522</v>
      </c>
      <c r="V849" s="29">
        <v>22.8622884</v>
      </c>
      <c r="W849" s="29">
        <v>17.9330932</v>
      </c>
      <c r="X849" s="29">
        <v>4.9291952</v>
      </c>
      <c r="Y849" s="29">
        <v>77.1377116</v>
      </c>
    </row>
    <row r="850" ht="15.0" hidden="1" customHeight="1">
      <c r="B850" s="30">
        <v>845.0</v>
      </c>
      <c r="C850" s="31" t="s">
        <v>19</v>
      </c>
      <c r="D850" s="31" t="s">
        <v>262</v>
      </c>
      <c r="E850" s="31" t="s">
        <v>269</v>
      </c>
      <c r="F850" s="31"/>
      <c r="G850" s="32" t="s">
        <v>15</v>
      </c>
      <c r="H850" s="33">
        <v>1085.0</v>
      </c>
      <c r="I850" s="33">
        <v>529.0</v>
      </c>
      <c r="J850" s="33">
        <v>253.0</v>
      </c>
      <c r="K850" s="33">
        <v>276.0</v>
      </c>
      <c r="L850" s="33">
        <v>556.0</v>
      </c>
      <c r="M850" s="33">
        <v>3467.0</v>
      </c>
      <c r="N850" s="33">
        <v>2049.0</v>
      </c>
      <c r="O850" s="33">
        <v>1166.0</v>
      </c>
      <c r="P850" s="33">
        <v>883.0</v>
      </c>
      <c r="Q850" s="33">
        <v>1418.0</v>
      </c>
      <c r="R850" s="34">
        <v>48.7557604</v>
      </c>
      <c r="S850" s="34">
        <v>23.3179724</v>
      </c>
      <c r="T850" s="34">
        <v>25.437788</v>
      </c>
      <c r="U850" s="34">
        <v>51.2442396</v>
      </c>
      <c r="V850" s="34">
        <v>59.1000865</v>
      </c>
      <c r="W850" s="34">
        <v>33.6313816</v>
      </c>
      <c r="X850" s="34">
        <v>25.4687049</v>
      </c>
      <c r="Y850" s="34">
        <v>40.8999135</v>
      </c>
    </row>
    <row r="851" ht="15.0" hidden="1" customHeight="1">
      <c r="B851" s="30">
        <v>846.0</v>
      </c>
      <c r="C851" s="31" t="s">
        <v>19</v>
      </c>
      <c r="D851" s="31" t="s">
        <v>262</v>
      </c>
      <c r="E851" s="31" t="s">
        <v>269</v>
      </c>
      <c r="F851" s="31"/>
      <c r="G851" s="32" t="s">
        <v>16</v>
      </c>
      <c r="H851" s="33">
        <v>29779.0</v>
      </c>
      <c r="I851" s="33">
        <v>5160.0</v>
      </c>
      <c r="J851" s="33">
        <v>2849.0</v>
      </c>
      <c r="K851" s="33">
        <v>2311.0</v>
      </c>
      <c r="L851" s="33">
        <v>24619.0</v>
      </c>
      <c r="M851" s="33">
        <v>37067.0</v>
      </c>
      <c r="N851" s="33">
        <v>7218.0</v>
      </c>
      <c r="O851" s="33">
        <v>6103.0</v>
      </c>
      <c r="P851" s="33">
        <v>1115.0</v>
      </c>
      <c r="Q851" s="33">
        <v>29849.0</v>
      </c>
      <c r="R851" s="34">
        <v>17.327647</v>
      </c>
      <c r="S851" s="34">
        <v>9.5671446</v>
      </c>
      <c r="T851" s="34">
        <v>7.7605024</v>
      </c>
      <c r="U851" s="34">
        <v>82.672353</v>
      </c>
      <c r="V851" s="34">
        <v>19.4728465</v>
      </c>
      <c r="W851" s="34">
        <v>16.46478</v>
      </c>
      <c r="X851" s="34">
        <v>3.0080665</v>
      </c>
      <c r="Y851" s="34">
        <v>80.5271535</v>
      </c>
    </row>
    <row r="852" ht="15.0" customHeight="1">
      <c r="B852" s="35">
        <v>847.0</v>
      </c>
      <c r="C852" s="36" t="s">
        <v>21</v>
      </c>
      <c r="D852" s="41" t="s">
        <v>262</v>
      </c>
      <c r="E852" s="41" t="s">
        <v>269</v>
      </c>
      <c r="F852" s="41" t="s">
        <v>276</v>
      </c>
      <c r="G852" s="42" t="s">
        <v>276</v>
      </c>
      <c r="H852" s="37">
        <v>4286.0</v>
      </c>
      <c r="I852" s="37">
        <v>984.0</v>
      </c>
      <c r="J852" s="37">
        <v>445.0</v>
      </c>
      <c r="K852" s="37">
        <v>539.0</v>
      </c>
      <c r="L852" s="37">
        <v>3302.0</v>
      </c>
      <c r="M852" s="37">
        <v>6497.0</v>
      </c>
      <c r="N852" s="37">
        <v>2072.0</v>
      </c>
      <c r="O852" s="37">
        <v>1179.0</v>
      </c>
      <c r="P852" s="37">
        <v>893.0</v>
      </c>
      <c r="Q852" s="37">
        <v>4425.0</v>
      </c>
      <c r="R852" s="38">
        <v>22.9584694</v>
      </c>
      <c r="S852" s="38">
        <v>10.3826412</v>
      </c>
      <c r="T852" s="38">
        <v>12.5758283</v>
      </c>
      <c r="U852" s="38">
        <v>77.0415306</v>
      </c>
      <c r="V852" s="38">
        <v>31.8916423</v>
      </c>
      <c r="W852" s="38">
        <v>18.146837</v>
      </c>
      <c r="X852" s="38">
        <v>13.7448053</v>
      </c>
      <c r="Y852" s="38">
        <v>68.1083577</v>
      </c>
    </row>
    <row r="853" ht="15.0" hidden="1" customHeight="1">
      <c r="B853" s="30">
        <v>848.0</v>
      </c>
      <c r="C853" s="31" t="s">
        <v>21</v>
      </c>
      <c r="D853" s="31" t="s">
        <v>262</v>
      </c>
      <c r="E853" s="31" t="s">
        <v>269</v>
      </c>
      <c r="F853" s="31" t="s">
        <v>276</v>
      </c>
      <c r="G853" s="32" t="s">
        <v>15</v>
      </c>
      <c r="H853" s="33">
        <v>1085.0</v>
      </c>
      <c r="I853" s="33">
        <v>529.0</v>
      </c>
      <c r="J853" s="33">
        <v>253.0</v>
      </c>
      <c r="K853" s="33">
        <v>276.0</v>
      </c>
      <c r="L853" s="33">
        <v>556.0</v>
      </c>
      <c r="M853" s="33">
        <v>2012.0</v>
      </c>
      <c r="N853" s="33">
        <v>1546.0</v>
      </c>
      <c r="O853" s="33">
        <v>738.0</v>
      </c>
      <c r="P853" s="33">
        <v>808.0</v>
      </c>
      <c r="Q853" s="33">
        <v>466.0</v>
      </c>
      <c r="R853" s="34">
        <v>48.7557604</v>
      </c>
      <c r="S853" s="34">
        <v>23.3179724</v>
      </c>
      <c r="T853" s="34">
        <v>25.437788</v>
      </c>
      <c r="U853" s="34">
        <v>51.2442396</v>
      </c>
      <c r="V853" s="34">
        <v>76.8389662</v>
      </c>
      <c r="W853" s="34">
        <v>36.6799205</v>
      </c>
      <c r="X853" s="34">
        <v>40.1590457</v>
      </c>
      <c r="Y853" s="34">
        <v>23.1610338</v>
      </c>
    </row>
    <row r="854" ht="15.0" hidden="1" customHeight="1">
      <c r="B854" s="30">
        <v>849.0</v>
      </c>
      <c r="C854" s="31" t="s">
        <v>21</v>
      </c>
      <c r="D854" s="31" t="s">
        <v>262</v>
      </c>
      <c r="E854" s="31" t="s">
        <v>269</v>
      </c>
      <c r="F854" s="31" t="s">
        <v>276</v>
      </c>
      <c r="G854" s="32" t="s">
        <v>16</v>
      </c>
      <c r="H854" s="33">
        <v>3201.0</v>
      </c>
      <c r="I854" s="33">
        <v>455.0</v>
      </c>
      <c r="J854" s="33">
        <v>192.0</v>
      </c>
      <c r="K854" s="33">
        <v>263.0</v>
      </c>
      <c r="L854" s="33">
        <v>2746.0</v>
      </c>
      <c r="M854" s="33">
        <v>4485.0</v>
      </c>
      <c r="N854" s="33">
        <v>526.0</v>
      </c>
      <c r="O854" s="33">
        <v>441.0</v>
      </c>
      <c r="P854" s="33">
        <v>85.0</v>
      </c>
      <c r="Q854" s="33">
        <v>3959.0</v>
      </c>
      <c r="R854" s="34">
        <v>14.214308</v>
      </c>
      <c r="S854" s="34">
        <v>5.9981256</v>
      </c>
      <c r="T854" s="34">
        <v>8.2161824</v>
      </c>
      <c r="U854" s="34">
        <v>85.785692</v>
      </c>
      <c r="V854" s="34">
        <v>11.7279822</v>
      </c>
      <c r="W854" s="34">
        <v>9.8327759</v>
      </c>
      <c r="X854" s="34">
        <v>1.8952062</v>
      </c>
      <c r="Y854" s="34">
        <v>88.2720178</v>
      </c>
    </row>
    <row r="855" ht="15.0" customHeight="1">
      <c r="B855" s="35">
        <v>850.0</v>
      </c>
      <c r="C855" s="36" t="s">
        <v>21</v>
      </c>
      <c r="D855" s="41" t="s">
        <v>262</v>
      </c>
      <c r="E855" s="41" t="s">
        <v>269</v>
      </c>
      <c r="F855" s="41" t="s">
        <v>277</v>
      </c>
      <c r="G855" s="42" t="s">
        <v>277</v>
      </c>
      <c r="H855" s="37">
        <v>6685.0</v>
      </c>
      <c r="I855" s="37">
        <v>1819.0</v>
      </c>
      <c r="J855" s="37">
        <v>1044.0</v>
      </c>
      <c r="K855" s="37">
        <v>775.0</v>
      </c>
      <c r="L855" s="37">
        <v>4866.0</v>
      </c>
      <c r="M855" s="37">
        <v>6880.0</v>
      </c>
      <c r="N855" s="37">
        <v>1780.0</v>
      </c>
      <c r="O855" s="37">
        <v>1609.0</v>
      </c>
      <c r="P855" s="37">
        <v>171.0</v>
      </c>
      <c r="Q855" s="37">
        <v>5100.0</v>
      </c>
      <c r="R855" s="38">
        <v>27.210172</v>
      </c>
      <c r="S855" s="38">
        <v>15.6170531</v>
      </c>
      <c r="T855" s="38">
        <v>11.5931189</v>
      </c>
      <c r="U855" s="38">
        <v>72.789828</v>
      </c>
      <c r="V855" s="38">
        <v>25.872093</v>
      </c>
      <c r="W855" s="38">
        <v>23.3866279</v>
      </c>
      <c r="X855" s="38">
        <v>2.4854651</v>
      </c>
      <c r="Y855" s="38">
        <v>74.127907</v>
      </c>
    </row>
    <row r="856" ht="15.0" hidden="1" customHeight="1">
      <c r="B856" s="30">
        <v>851.0</v>
      </c>
      <c r="C856" s="31" t="s">
        <v>21</v>
      </c>
      <c r="D856" s="31" t="s">
        <v>262</v>
      </c>
      <c r="E856" s="31" t="s">
        <v>269</v>
      </c>
      <c r="F856" s="31" t="s">
        <v>277</v>
      </c>
      <c r="G856" s="32" t="s">
        <v>15</v>
      </c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4"/>
      <c r="S856" s="34"/>
      <c r="T856" s="34"/>
      <c r="U856" s="34"/>
      <c r="V856" s="34"/>
      <c r="W856" s="34"/>
      <c r="X856" s="34"/>
      <c r="Y856" s="34"/>
    </row>
    <row r="857" ht="15.0" hidden="1" customHeight="1">
      <c r="B857" s="30">
        <v>852.0</v>
      </c>
      <c r="C857" s="31" t="s">
        <v>21</v>
      </c>
      <c r="D857" s="31" t="s">
        <v>262</v>
      </c>
      <c r="E857" s="31" t="s">
        <v>269</v>
      </c>
      <c r="F857" s="31" t="s">
        <v>277</v>
      </c>
      <c r="G857" s="32" t="s">
        <v>16</v>
      </c>
      <c r="H857" s="33">
        <v>6685.0</v>
      </c>
      <c r="I857" s="33">
        <v>1819.0</v>
      </c>
      <c r="J857" s="33">
        <v>1044.0</v>
      </c>
      <c r="K857" s="33">
        <v>775.0</v>
      </c>
      <c r="L857" s="33">
        <v>4866.0</v>
      </c>
      <c r="M857" s="33">
        <v>6880.0</v>
      </c>
      <c r="N857" s="33">
        <v>1780.0</v>
      </c>
      <c r="O857" s="33">
        <v>1609.0</v>
      </c>
      <c r="P857" s="33">
        <v>171.0</v>
      </c>
      <c r="Q857" s="33">
        <v>5100.0</v>
      </c>
      <c r="R857" s="34">
        <v>27.210172</v>
      </c>
      <c r="S857" s="34">
        <v>15.6170531</v>
      </c>
      <c r="T857" s="34">
        <v>11.5931189</v>
      </c>
      <c r="U857" s="34">
        <v>72.789828</v>
      </c>
      <c r="V857" s="34">
        <v>25.872093</v>
      </c>
      <c r="W857" s="34">
        <v>23.3866279</v>
      </c>
      <c r="X857" s="34">
        <v>2.4854651</v>
      </c>
      <c r="Y857" s="34">
        <v>74.127907</v>
      </c>
    </row>
    <row r="858" ht="15.0" customHeight="1">
      <c r="B858" s="35">
        <v>853.0</v>
      </c>
      <c r="C858" s="36" t="s">
        <v>21</v>
      </c>
      <c r="D858" s="41" t="s">
        <v>262</v>
      </c>
      <c r="E858" s="41" t="s">
        <v>269</v>
      </c>
      <c r="F858" s="41" t="s">
        <v>278</v>
      </c>
      <c r="G858" s="42" t="s">
        <v>278</v>
      </c>
      <c r="H858" s="37">
        <v>8436.0</v>
      </c>
      <c r="I858" s="37">
        <v>898.0</v>
      </c>
      <c r="J858" s="37">
        <v>489.0</v>
      </c>
      <c r="K858" s="37">
        <v>409.0</v>
      </c>
      <c r="L858" s="37">
        <v>7538.0</v>
      </c>
      <c r="M858" s="37">
        <v>12538.0</v>
      </c>
      <c r="N858" s="37">
        <v>2388.0</v>
      </c>
      <c r="O858" s="37">
        <v>1956.0</v>
      </c>
      <c r="P858" s="37">
        <v>432.0</v>
      </c>
      <c r="Q858" s="37">
        <v>10150.0</v>
      </c>
      <c r="R858" s="38">
        <v>10.6448554</v>
      </c>
      <c r="S858" s="38">
        <v>5.7965861</v>
      </c>
      <c r="T858" s="38">
        <v>4.8482693</v>
      </c>
      <c r="U858" s="38">
        <v>89.3551446</v>
      </c>
      <c r="V858" s="38">
        <v>19.0460999</v>
      </c>
      <c r="W858" s="38">
        <v>15.6005743</v>
      </c>
      <c r="X858" s="38">
        <v>3.4455256</v>
      </c>
      <c r="Y858" s="38">
        <v>80.9539001</v>
      </c>
    </row>
    <row r="859" ht="15.0" hidden="1" customHeight="1">
      <c r="B859" s="30">
        <v>854.0</v>
      </c>
      <c r="C859" s="31" t="s">
        <v>21</v>
      </c>
      <c r="D859" s="31" t="s">
        <v>262</v>
      </c>
      <c r="E859" s="31" t="s">
        <v>269</v>
      </c>
      <c r="F859" s="31" t="s">
        <v>278</v>
      </c>
      <c r="G859" s="32" t="s">
        <v>15</v>
      </c>
      <c r="H859" s="33"/>
      <c r="I859" s="33"/>
      <c r="J859" s="33"/>
      <c r="K859" s="33"/>
      <c r="L859" s="33"/>
      <c r="M859" s="33">
        <v>1455.0</v>
      </c>
      <c r="N859" s="33">
        <v>503.0</v>
      </c>
      <c r="O859" s="33">
        <v>428.0</v>
      </c>
      <c r="P859" s="33">
        <v>75.0</v>
      </c>
      <c r="Q859" s="33">
        <v>952.0</v>
      </c>
      <c r="R859" s="34"/>
      <c r="S859" s="34"/>
      <c r="T859" s="34"/>
      <c r="U859" s="34"/>
      <c r="V859" s="34">
        <v>34.5704467</v>
      </c>
      <c r="W859" s="34">
        <v>29.4158076</v>
      </c>
      <c r="X859" s="34">
        <v>5.1546392</v>
      </c>
      <c r="Y859" s="34">
        <v>65.4295533</v>
      </c>
    </row>
    <row r="860" ht="15.0" hidden="1" customHeight="1">
      <c r="B860" s="30">
        <v>855.0</v>
      </c>
      <c r="C860" s="31" t="s">
        <v>21</v>
      </c>
      <c r="D860" s="31" t="s">
        <v>262</v>
      </c>
      <c r="E860" s="31" t="s">
        <v>269</v>
      </c>
      <c r="F860" s="31" t="s">
        <v>278</v>
      </c>
      <c r="G860" s="32" t="s">
        <v>16</v>
      </c>
      <c r="H860" s="33">
        <v>8436.0</v>
      </c>
      <c r="I860" s="33">
        <v>898.0</v>
      </c>
      <c r="J860" s="33">
        <v>489.0</v>
      </c>
      <c r="K860" s="33">
        <v>409.0</v>
      </c>
      <c r="L860" s="33">
        <v>7538.0</v>
      </c>
      <c r="M860" s="33">
        <v>11083.0</v>
      </c>
      <c r="N860" s="33">
        <v>1885.0</v>
      </c>
      <c r="O860" s="33">
        <v>1528.0</v>
      </c>
      <c r="P860" s="33">
        <v>357.0</v>
      </c>
      <c r="Q860" s="33">
        <v>9198.0</v>
      </c>
      <c r="R860" s="34">
        <v>10.6448554</v>
      </c>
      <c r="S860" s="34">
        <v>5.7965861</v>
      </c>
      <c r="T860" s="34">
        <v>4.8482693</v>
      </c>
      <c r="U860" s="34">
        <v>89.3551446</v>
      </c>
      <c r="V860" s="34">
        <v>17.0080303</v>
      </c>
      <c r="W860" s="34">
        <v>13.7868808</v>
      </c>
      <c r="X860" s="34">
        <v>3.2211495</v>
      </c>
      <c r="Y860" s="34">
        <v>82.9919697</v>
      </c>
    </row>
    <row r="861" ht="15.0" customHeight="1">
      <c r="B861" s="35">
        <v>856.0</v>
      </c>
      <c r="C861" s="36" t="s">
        <v>21</v>
      </c>
      <c r="D861" s="41" t="s">
        <v>262</v>
      </c>
      <c r="E861" s="41" t="s">
        <v>269</v>
      </c>
      <c r="F861" s="41" t="s">
        <v>279</v>
      </c>
      <c r="G861" s="42" t="s">
        <v>279</v>
      </c>
      <c r="H861" s="37">
        <v>5093.0</v>
      </c>
      <c r="I861" s="37">
        <v>820.0</v>
      </c>
      <c r="J861" s="37">
        <v>505.0</v>
      </c>
      <c r="K861" s="37">
        <v>315.0</v>
      </c>
      <c r="L861" s="37">
        <v>4273.0</v>
      </c>
      <c r="M861" s="37">
        <v>6181.0</v>
      </c>
      <c r="N861" s="37">
        <v>1240.0</v>
      </c>
      <c r="O861" s="37">
        <v>1094.0</v>
      </c>
      <c r="P861" s="37">
        <v>146.0</v>
      </c>
      <c r="Q861" s="37">
        <v>4941.0</v>
      </c>
      <c r="R861" s="38">
        <v>16.1005301</v>
      </c>
      <c r="S861" s="38">
        <v>9.9155704</v>
      </c>
      <c r="T861" s="38">
        <v>6.1849597</v>
      </c>
      <c r="U861" s="38">
        <v>83.8994699</v>
      </c>
      <c r="V861" s="38">
        <v>20.0614787</v>
      </c>
      <c r="W861" s="38">
        <v>17.6994014</v>
      </c>
      <c r="X861" s="38">
        <v>2.3620773</v>
      </c>
      <c r="Y861" s="38">
        <v>79.9385213</v>
      </c>
    </row>
    <row r="862" ht="15.0" hidden="1" customHeight="1">
      <c r="B862" s="30">
        <v>857.0</v>
      </c>
      <c r="C862" s="31" t="s">
        <v>21</v>
      </c>
      <c r="D862" s="31" t="s">
        <v>262</v>
      </c>
      <c r="E862" s="31" t="s">
        <v>269</v>
      </c>
      <c r="F862" s="31" t="s">
        <v>279</v>
      </c>
      <c r="G862" s="32" t="s">
        <v>15</v>
      </c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4"/>
      <c r="S862" s="34"/>
      <c r="T862" s="34"/>
      <c r="U862" s="34"/>
      <c r="V862" s="34"/>
      <c r="W862" s="34"/>
      <c r="X862" s="34"/>
      <c r="Y862" s="34"/>
    </row>
    <row r="863" ht="15.0" hidden="1" customHeight="1">
      <c r="B863" s="30">
        <v>858.0</v>
      </c>
      <c r="C863" s="31" t="s">
        <v>21</v>
      </c>
      <c r="D863" s="31" t="s">
        <v>262</v>
      </c>
      <c r="E863" s="31" t="s">
        <v>269</v>
      </c>
      <c r="F863" s="31" t="s">
        <v>279</v>
      </c>
      <c r="G863" s="32" t="s">
        <v>16</v>
      </c>
      <c r="H863" s="33">
        <v>5093.0</v>
      </c>
      <c r="I863" s="33">
        <v>820.0</v>
      </c>
      <c r="J863" s="33">
        <v>505.0</v>
      </c>
      <c r="K863" s="33">
        <v>315.0</v>
      </c>
      <c r="L863" s="33">
        <v>4273.0</v>
      </c>
      <c r="M863" s="33">
        <v>6181.0</v>
      </c>
      <c r="N863" s="33">
        <v>1240.0</v>
      </c>
      <c r="O863" s="33">
        <v>1094.0</v>
      </c>
      <c r="P863" s="33">
        <v>146.0</v>
      </c>
      <c r="Q863" s="33">
        <v>4941.0</v>
      </c>
      <c r="R863" s="34">
        <v>16.1005301</v>
      </c>
      <c r="S863" s="34">
        <v>9.9155704</v>
      </c>
      <c r="T863" s="34">
        <v>6.1849597</v>
      </c>
      <c r="U863" s="34">
        <v>83.8994699</v>
      </c>
      <c r="V863" s="34">
        <v>20.0614787</v>
      </c>
      <c r="W863" s="34">
        <v>17.6994014</v>
      </c>
      <c r="X863" s="34">
        <v>2.3620773</v>
      </c>
      <c r="Y863" s="34">
        <v>79.9385213</v>
      </c>
    </row>
    <row r="864" ht="15.0" customHeight="1">
      <c r="B864" s="35">
        <v>859.0</v>
      </c>
      <c r="C864" s="36" t="s">
        <v>21</v>
      </c>
      <c r="D864" s="41" t="s">
        <v>262</v>
      </c>
      <c r="E864" s="41" t="s">
        <v>269</v>
      </c>
      <c r="F864" s="41" t="s">
        <v>280</v>
      </c>
      <c r="G864" s="42" t="s">
        <v>280</v>
      </c>
      <c r="H864" s="37">
        <v>6364.0</v>
      </c>
      <c r="I864" s="37">
        <v>1168.0</v>
      </c>
      <c r="J864" s="37">
        <v>619.0</v>
      </c>
      <c r="K864" s="37">
        <v>549.0</v>
      </c>
      <c r="L864" s="37">
        <v>5196.0</v>
      </c>
      <c r="M864" s="37">
        <v>8438.0</v>
      </c>
      <c r="N864" s="37">
        <v>1787.0</v>
      </c>
      <c r="O864" s="37">
        <v>1431.0</v>
      </c>
      <c r="P864" s="37">
        <v>356.0</v>
      </c>
      <c r="Q864" s="37">
        <v>6651.0</v>
      </c>
      <c r="R864" s="38">
        <v>18.353237</v>
      </c>
      <c r="S864" s="38">
        <v>9.7265871</v>
      </c>
      <c r="T864" s="38">
        <v>8.6266499</v>
      </c>
      <c r="U864" s="38">
        <v>81.646763</v>
      </c>
      <c r="V864" s="38">
        <v>21.1780043</v>
      </c>
      <c r="W864" s="38">
        <v>16.958995</v>
      </c>
      <c r="X864" s="38">
        <v>4.2190092</v>
      </c>
      <c r="Y864" s="38">
        <v>78.8219957</v>
      </c>
    </row>
    <row r="865" ht="15.0" hidden="1" customHeight="1">
      <c r="B865" s="30">
        <v>860.0</v>
      </c>
      <c r="C865" s="31" t="s">
        <v>21</v>
      </c>
      <c r="D865" s="31" t="s">
        <v>262</v>
      </c>
      <c r="E865" s="31" t="s">
        <v>269</v>
      </c>
      <c r="F865" s="31" t="s">
        <v>280</v>
      </c>
      <c r="G865" s="32" t="s">
        <v>15</v>
      </c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4"/>
      <c r="S865" s="34"/>
      <c r="T865" s="34"/>
      <c r="U865" s="34"/>
      <c r="V865" s="34"/>
      <c r="W865" s="34"/>
      <c r="X865" s="34"/>
      <c r="Y865" s="34"/>
    </row>
    <row r="866" ht="15.0" hidden="1" customHeight="1">
      <c r="B866" s="30">
        <v>861.0</v>
      </c>
      <c r="C866" s="31" t="s">
        <v>21</v>
      </c>
      <c r="D866" s="31" t="s">
        <v>262</v>
      </c>
      <c r="E866" s="31" t="s">
        <v>269</v>
      </c>
      <c r="F866" s="31" t="s">
        <v>280</v>
      </c>
      <c r="G866" s="32" t="s">
        <v>16</v>
      </c>
      <c r="H866" s="33">
        <v>6364.0</v>
      </c>
      <c r="I866" s="33">
        <v>1168.0</v>
      </c>
      <c r="J866" s="33">
        <v>619.0</v>
      </c>
      <c r="K866" s="33">
        <v>549.0</v>
      </c>
      <c r="L866" s="33">
        <v>5196.0</v>
      </c>
      <c r="M866" s="33">
        <v>8438.0</v>
      </c>
      <c r="N866" s="33">
        <v>1787.0</v>
      </c>
      <c r="O866" s="33">
        <v>1431.0</v>
      </c>
      <c r="P866" s="33">
        <v>356.0</v>
      </c>
      <c r="Q866" s="33">
        <v>6651.0</v>
      </c>
      <c r="R866" s="34">
        <v>18.353237</v>
      </c>
      <c r="S866" s="34">
        <v>9.7265871</v>
      </c>
      <c r="T866" s="34">
        <v>8.6266499</v>
      </c>
      <c r="U866" s="34">
        <v>81.646763</v>
      </c>
      <c r="V866" s="34">
        <v>21.1780043</v>
      </c>
      <c r="W866" s="34">
        <v>16.958995</v>
      </c>
      <c r="X866" s="34">
        <v>4.2190092</v>
      </c>
      <c r="Y866" s="34">
        <v>78.8219957</v>
      </c>
    </row>
    <row r="867" ht="15.0" hidden="1" customHeight="1">
      <c r="B867" s="26">
        <v>862.0</v>
      </c>
      <c r="C867" s="27" t="s">
        <v>19</v>
      </c>
      <c r="D867" s="40" t="s">
        <v>262</v>
      </c>
      <c r="E867" s="40" t="s">
        <v>281</v>
      </c>
      <c r="F867" s="40"/>
      <c r="G867" s="27" t="s">
        <v>281</v>
      </c>
      <c r="H867" s="28">
        <v>11788.0</v>
      </c>
      <c r="I867" s="28">
        <v>1356.0</v>
      </c>
      <c r="J867" s="28">
        <v>750.0</v>
      </c>
      <c r="K867" s="28">
        <v>606.0</v>
      </c>
      <c r="L867" s="28">
        <v>10432.0</v>
      </c>
      <c r="M867" s="28">
        <v>15495.0</v>
      </c>
      <c r="N867" s="28">
        <v>2789.0</v>
      </c>
      <c r="O867" s="28">
        <v>2315.0</v>
      </c>
      <c r="P867" s="28">
        <v>474.0</v>
      </c>
      <c r="Q867" s="28">
        <v>12706.0</v>
      </c>
      <c r="R867" s="29">
        <v>11.5032236</v>
      </c>
      <c r="S867" s="29">
        <v>6.3624024</v>
      </c>
      <c r="T867" s="29">
        <v>5.1408212</v>
      </c>
      <c r="U867" s="29">
        <v>88.4967764</v>
      </c>
      <c r="V867" s="29">
        <v>17.9993546</v>
      </c>
      <c r="W867" s="29">
        <v>14.9403033</v>
      </c>
      <c r="X867" s="29">
        <v>3.0590513</v>
      </c>
      <c r="Y867" s="29">
        <v>82.0006454</v>
      </c>
    </row>
    <row r="868" ht="15.0" hidden="1" customHeight="1">
      <c r="B868" s="30">
        <v>863.0</v>
      </c>
      <c r="C868" s="31" t="s">
        <v>19</v>
      </c>
      <c r="D868" s="31" t="s">
        <v>262</v>
      </c>
      <c r="E868" s="31" t="s">
        <v>281</v>
      </c>
      <c r="F868" s="31"/>
      <c r="G868" s="32" t="s">
        <v>15</v>
      </c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4"/>
      <c r="S868" s="34"/>
      <c r="T868" s="34"/>
      <c r="U868" s="34"/>
      <c r="V868" s="34"/>
      <c r="W868" s="34"/>
      <c r="X868" s="34"/>
      <c r="Y868" s="34"/>
    </row>
    <row r="869" ht="15.0" hidden="1" customHeight="1">
      <c r="B869" s="30">
        <v>864.0</v>
      </c>
      <c r="C869" s="31" t="s">
        <v>19</v>
      </c>
      <c r="D869" s="31" t="s">
        <v>262</v>
      </c>
      <c r="E869" s="31" t="s">
        <v>281</v>
      </c>
      <c r="F869" s="31"/>
      <c r="G869" s="32" t="s">
        <v>16</v>
      </c>
      <c r="H869" s="33">
        <v>11788.0</v>
      </c>
      <c r="I869" s="33">
        <v>1356.0</v>
      </c>
      <c r="J869" s="33">
        <v>750.0</v>
      </c>
      <c r="K869" s="33">
        <v>606.0</v>
      </c>
      <c r="L869" s="33">
        <v>10432.0</v>
      </c>
      <c r="M869" s="33">
        <v>15495.0</v>
      </c>
      <c r="N869" s="33">
        <v>2789.0</v>
      </c>
      <c r="O869" s="33">
        <v>2315.0</v>
      </c>
      <c r="P869" s="33">
        <v>474.0</v>
      </c>
      <c r="Q869" s="33">
        <v>12706.0</v>
      </c>
      <c r="R869" s="34">
        <v>11.5032236</v>
      </c>
      <c r="S869" s="34">
        <v>6.3624024</v>
      </c>
      <c r="T869" s="34">
        <v>5.1408212</v>
      </c>
      <c r="U869" s="34">
        <v>88.4967764</v>
      </c>
      <c r="V869" s="34">
        <v>17.9993546</v>
      </c>
      <c r="W869" s="34">
        <v>14.9403033</v>
      </c>
      <c r="X869" s="34">
        <v>3.0590513</v>
      </c>
      <c r="Y869" s="34">
        <v>82.0006454</v>
      </c>
    </row>
    <row r="870" ht="15.0" customHeight="1">
      <c r="B870" s="35">
        <v>865.0</v>
      </c>
      <c r="C870" s="36" t="s">
        <v>21</v>
      </c>
      <c r="D870" s="41" t="s">
        <v>262</v>
      </c>
      <c r="E870" s="41" t="s">
        <v>281</v>
      </c>
      <c r="F870" s="41" t="s">
        <v>282</v>
      </c>
      <c r="G870" s="42" t="s">
        <v>282</v>
      </c>
      <c r="H870" s="37">
        <v>8277.0</v>
      </c>
      <c r="I870" s="37">
        <v>635.0</v>
      </c>
      <c r="J870" s="37">
        <v>363.0</v>
      </c>
      <c r="K870" s="37">
        <v>272.0</v>
      </c>
      <c r="L870" s="37">
        <v>7642.0</v>
      </c>
      <c r="M870" s="37">
        <v>11303.0</v>
      </c>
      <c r="N870" s="37">
        <v>1584.0</v>
      </c>
      <c r="O870" s="37">
        <v>1327.0</v>
      </c>
      <c r="P870" s="37">
        <v>257.0</v>
      </c>
      <c r="Q870" s="37">
        <v>9719.0</v>
      </c>
      <c r="R870" s="38">
        <v>7.6718618</v>
      </c>
      <c r="S870" s="38">
        <v>4.385647</v>
      </c>
      <c r="T870" s="38">
        <v>3.2862148</v>
      </c>
      <c r="U870" s="38">
        <v>92.3281382</v>
      </c>
      <c r="V870" s="38">
        <v>14.0139786</v>
      </c>
      <c r="W870" s="38">
        <v>11.740246</v>
      </c>
      <c r="X870" s="38">
        <v>2.2737326</v>
      </c>
      <c r="Y870" s="38">
        <v>85.9860214</v>
      </c>
    </row>
    <row r="871" ht="15.0" hidden="1" customHeight="1">
      <c r="B871" s="30">
        <v>866.0</v>
      </c>
      <c r="C871" s="31" t="s">
        <v>21</v>
      </c>
      <c r="D871" s="31" t="s">
        <v>262</v>
      </c>
      <c r="E871" s="31" t="s">
        <v>281</v>
      </c>
      <c r="F871" s="31" t="s">
        <v>282</v>
      </c>
      <c r="G871" s="32" t="s">
        <v>15</v>
      </c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4"/>
      <c r="S871" s="34"/>
      <c r="T871" s="34"/>
      <c r="U871" s="34"/>
      <c r="V871" s="34"/>
      <c r="W871" s="34"/>
      <c r="X871" s="34"/>
      <c r="Y871" s="34"/>
    </row>
    <row r="872" ht="15.0" hidden="1" customHeight="1">
      <c r="B872" s="30">
        <v>867.0</v>
      </c>
      <c r="C872" s="31" t="s">
        <v>21</v>
      </c>
      <c r="D872" s="31" t="s">
        <v>262</v>
      </c>
      <c r="E872" s="31" t="s">
        <v>281</v>
      </c>
      <c r="F872" s="31" t="s">
        <v>282</v>
      </c>
      <c r="G872" s="32" t="s">
        <v>16</v>
      </c>
      <c r="H872" s="33">
        <v>8277.0</v>
      </c>
      <c r="I872" s="33">
        <v>635.0</v>
      </c>
      <c r="J872" s="33">
        <v>363.0</v>
      </c>
      <c r="K872" s="33">
        <v>272.0</v>
      </c>
      <c r="L872" s="33">
        <v>7642.0</v>
      </c>
      <c r="M872" s="33">
        <v>11303.0</v>
      </c>
      <c r="N872" s="33">
        <v>1584.0</v>
      </c>
      <c r="O872" s="33">
        <v>1327.0</v>
      </c>
      <c r="P872" s="33">
        <v>257.0</v>
      </c>
      <c r="Q872" s="33">
        <v>9719.0</v>
      </c>
      <c r="R872" s="34">
        <v>7.6718618</v>
      </c>
      <c r="S872" s="34">
        <v>4.385647</v>
      </c>
      <c r="T872" s="34">
        <v>3.2862148</v>
      </c>
      <c r="U872" s="34">
        <v>92.3281382</v>
      </c>
      <c r="V872" s="34">
        <v>14.0139786</v>
      </c>
      <c r="W872" s="34">
        <v>11.740246</v>
      </c>
      <c r="X872" s="34">
        <v>2.2737326</v>
      </c>
      <c r="Y872" s="34">
        <v>85.9860214</v>
      </c>
    </row>
    <row r="873" ht="15.0" customHeight="1">
      <c r="B873" s="35">
        <v>868.0</v>
      </c>
      <c r="C873" s="36" t="s">
        <v>21</v>
      </c>
      <c r="D873" s="41" t="s">
        <v>262</v>
      </c>
      <c r="E873" s="41" t="s">
        <v>281</v>
      </c>
      <c r="F873" s="41" t="s">
        <v>283</v>
      </c>
      <c r="G873" s="42" t="s">
        <v>283</v>
      </c>
      <c r="H873" s="37">
        <v>3511.0</v>
      </c>
      <c r="I873" s="37">
        <v>721.0</v>
      </c>
      <c r="J873" s="37">
        <v>387.0</v>
      </c>
      <c r="K873" s="37">
        <v>334.0</v>
      </c>
      <c r="L873" s="37">
        <v>2790.0</v>
      </c>
      <c r="M873" s="37">
        <v>4192.0</v>
      </c>
      <c r="N873" s="37">
        <v>1205.0</v>
      </c>
      <c r="O873" s="37">
        <v>988.0</v>
      </c>
      <c r="P873" s="37">
        <v>217.0</v>
      </c>
      <c r="Q873" s="37">
        <v>2987.0</v>
      </c>
      <c r="R873" s="38">
        <v>20.53546</v>
      </c>
      <c r="S873" s="38">
        <v>11.0225007</v>
      </c>
      <c r="T873" s="38">
        <v>9.5129593</v>
      </c>
      <c r="U873" s="38">
        <v>79.46454</v>
      </c>
      <c r="V873" s="38">
        <v>28.745229</v>
      </c>
      <c r="W873" s="38">
        <v>23.5687023</v>
      </c>
      <c r="X873" s="38">
        <v>5.1765267</v>
      </c>
      <c r="Y873" s="38">
        <v>71.254771</v>
      </c>
    </row>
    <row r="874" ht="15.0" hidden="1" customHeight="1">
      <c r="B874" s="30">
        <v>869.0</v>
      </c>
      <c r="C874" s="31" t="s">
        <v>21</v>
      </c>
      <c r="D874" s="31" t="s">
        <v>262</v>
      </c>
      <c r="E874" s="31" t="s">
        <v>281</v>
      </c>
      <c r="F874" s="31" t="s">
        <v>283</v>
      </c>
      <c r="G874" s="32" t="s">
        <v>15</v>
      </c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4"/>
      <c r="S874" s="34"/>
      <c r="T874" s="34"/>
      <c r="U874" s="34"/>
      <c r="V874" s="34"/>
      <c r="W874" s="34"/>
      <c r="X874" s="34"/>
      <c r="Y874" s="34"/>
    </row>
    <row r="875" ht="15.0" hidden="1" customHeight="1">
      <c r="B875" s="30">
        <v>870.0</v>
      </c>
      <c r="C875" s="31" t="s">
        <v>21</v>
      </c>
      <c r="D875" s="31" t="s">
        <v>262</v>
      </c>
      <c r="E875" s="31" t="s">
        <v>281</v>
      </c>
      <c r="F875" s="31" t="s">
        <v>283</v>
      </c>
      <c r="G875" s="32" t="s">
        <v>16</v>
      </c>
      <c r="H875" s="33">
        <v>3511.0</v>
      </c>
      <c r="I875" s="33">
        <v>721.0</v>
      </c>
      <c r="J875" s="33">
        <v>387.0</v>
      </c>
      <c r="K875" s="33">
        <v>334.0</v>
      </c>
      <c r="L875" s="33">
        <v>2790.0</v>
      </c>
      <c r="M875" s="33">
        <v>4192.0</v>
      </c>
      <c r="N875" s="33">
        <v>1205.0</v>
      </c>
      <c r="O875" s="33">
        <v>988.0</v>
      </c>
      <c r="P875" s="33">
        <v>217.0</v>
      </c>
      <c r="Q875" s="33">
        <v>2987.0</v>
      </c>
      <c r="R875" s="34">
        <v>20.53546</v>
      </c>
      <c r="S875" s="34">
        <v>11.0225007</v>
      </c>
      <c r="T875" s="34">
        <v>9.5129593</v>
      </c>
      <c r="U875" s="34">
        <v>79.46454</v>
      </c>
      <c r="V875" s="34">
        <v>28.745229</v>
      </c>
      <c r="W875" s="34">
        <v>23.5687023</v>
      </c>
      <c r="X875" s="34">
        <v>5.1765267</v>
      </c>
      <c r="Y875" s="34">
        <v>71.254771</v>
      </c>
    </row>
    <row r="876" ht="15.0" hidden="1" customHeight="1">
      <c r="B876" s="26">
        <v>871.0</v>
      </c>
      <c r="C876" s="27" t="s">
        <v>19</v>
      </c>
      <c r="D876" s="40" t="s">
        <v>262</v>
      </c>
      <c r="E876" s="40" t="s">
        <v>284</v>
      </c>
      <c r="F876" s="40"/>
      <c r="G876" s="27" t="s">
        <v>284</v>
      </c>
      <c r="H876" s="28">
        <v>12595.0</v>
      </c>
      <c r="I876" s="28">
        <v>3535.0</v>
      </c>
      <c r="J876" s="28">
        <v>1815.0</v>
      </c>
      <c r="K876" s="28">
        <v>1720.0</v>
      </c>
      <c r="L876" s="28">
        <v>9060.0</v>
      </c>
      <c r="M876" s="28">
        <v>15104.0</v>
      </c>
      <c r="N876" s="28">
        <v>7183.0</v>
      </c>
      <c r="O876" s="28">
        <v>6338.0</v>
      </c>
      <c r="P876" s="28">
        <v>845.0</v>
      </c>
      <c r="Q876" s="28">
        <v>7921.0</v>
      </c>
      <c r="R876" s="29">
        <v>28.0666931</v>
      </c>
      <c r="S876" s="29">
        <v>14.4104803</v>
      </c>
      <c r="T876" s="29">
        <v>13.6562128</v>
      </c>
      <c r="U876" s="29">
        <v>71.9333069</v>
      </c>
      <c r="V876" s="29">
        <v>47.5569386</v>
      </c>
      <c r="W876" s="29">
        <v>41.9623941</v>
      </c>
      <c r="X876" s="29">
        <v>5.5945445</v>
      </c>
      <c r="Y876" s="29">
        <v>52.4430614</v>
      </c>
    </row>
    <row r="877" ht="15.0" hidden="1" customHeight="1">
      <c r="B877" s="30">
        <v>872.0</v>
      </c>
      <c r="C877" s="31" t="s">
        <v>19</v>
      </c>
      <c r="D877" s="31" t="s">
        <v>262</v>
      </c>
      <c r="E877" s="31" t="s">
        <v>284</v>
      </c>
      <c r="F877" s="31"/>
      <c r="G877" s="32" t="s">
        <v>15</v>
      </c>
      <c r="H877" s="33">
        <v>1765.0</v>
      </c>
      <c r="I877" s="33">
        <v>803.0</v>
      </c>
      <c r="J877" s="33">
        <v>406.0</v>
      </c>
      <c r="K877" s="33">
        <v>397.0</v>
      </c>
      <c r="L877" s="33">
        <v>962.0</v>
      </c>
      <c r="M877" s="33">
        <v>1322.0</v>
      </c>
      <c r="N877" s="33">
        <v>1199.0</v>
      </c>
      <c r="O877" s="33">
        <v>1089.0</v>
      </c>
      <c r="P877" s="33">
        <v>110.0</v>
      </c>
      <c r="Q877" s="33">
        <v>123.0</v>
      </c>
      <c r="R877" s="34">
        <v>45.4957507</v>
      </c>
      <c r="S877" s="34">
        <v>23.0028329</v>
      </c>
      <c r="T877" s="34">
        <v>22.4929178</v>
      </c>
      <c r="U877" s="34">
        <v>54.5042493</v>
      </c>
      <c r="V877" s="34">
        <v>90.6959153</v>
      </c>
      <c r="W877" s="34">
        <v>82.3751891</v>
      </c>
      <c r="X877" s="34">
        <v>8.3207262</v>
      </c>
      <c r="Y877" s="34">
        <v>9.3040847</v>
      </c>
    </row>
    <row r="878" ht="15.0" hidden="1" customHeight="1">
      <c r="B878" s="30">
        <v>873.0</v>
      </c>
      <c r="C878" s="31" t="s">
        <v>19</v>
      </c>
      <c r="D878" s="31" t="s">
        <v>262</v>
      </c>
      <c r="E878" s="31" t="s">
        <v>284</v>
      </c>
      <c r="F878" s="31"/>
      <c r="G878" s="32" t="s">
        <v>16</v>
      </c>
      <c r="H878" s="33">
        <v>10830.0</v>
      </c>
      <c r="I878" s="33">
        <v>2732.0</v>
      </c>
      <c r="J878" s="33">
        <v>1409.0</v>
      </c>
      <c r="K878" s="33">
        <v>1323.0</v>
      </c>
      <c r="L878" s="33">
        <v>8098.0</v>
      </c>
      <c r="M878" s="33">
        <v>13782.0</v>
      </c>
      <c r="N878" s="33">
        <v>5984.0</v>
      </c>
      <c r="O878" s="33">
        <v>5249.0</v>
      </c>
      <c r="P878" s="33">
        <v>735.0</v>
      </c>
      <c r="Q878" s="33">
        <v>7798.0</v>
      </c>
      <c r="R878" s="34">
        <v>25.2262235</v>
      </c>
      <c r="S878" s="34">
        <v>13.010157</v>
      </c>
      <c r="T878" s="34">
        <v>12.2160665</v>
      </c>
      <c r="U878" s="34">
        <v>74.7737765</v>
      </c>
      <c r="V878" s="34">
        <v>43.4189523</v>
      </c>
      <c r="W878" s="34">
        <v>38.0859092</v>
      </c>
      <c r="X878" s="34">
        <v>5.3330431</v>
      </c>
      <c r="Y878" s="34">
        <v>56.5810477</v>
      </c>
    </row>
    <row r="879" ht="15.0" customHeight="1">
      <c r="B879" s="35">
        <v>874.0</v>
      </c>
      <c r="C879" s="36" t="s">
        <v>21</v>
      </c>
      <c r="D879" s="41" t="s">
        <v>262</v>
      </c>
      <c r="E879" s="41" t="s">
        <v>284</v>
      </c>
      <c r="F879" s="41" t="s">
        <v>285</v>
      </c>
      <c r="G879" s="42" t="s">
        <v>285</v>
      </c>
      <c r="H879" s="37">
        <v>9471.0</v>
      </c>
      <c r="I879" s="37">
        <v>2590.0</v>
      </c>
      <c r="J879" s="37">
        <v>1245.0</v>
      </c>
      <c r="K879" s="37">
        <v>1345.0</v>
      </c>
      <c r="L879" s="37">
        <v>6881.0</v>
      </c>
      <c r="M879" s="37">
        <v>11224.0</v>
      </c>
      <c r="N879" s="37">
        <v>5302.0</v>
      </c>
      <c r="O879" s="37">
        <v>4672.0</v>
      </c>
      <c r="P879" s="37">
        <v>630.0</v>
      </c>
      <c r="Q879" s="37">
        <v>5922.0</v>
      </c>
      <c r="R879" s="38">
        <v>27.3466371</v>
      </c>
      <c r="S879" s="38">
        <v>13.1453912</v>
      </c>
      <c r="T879" s="38">
        <v>14.2012459</v>
      </c>
      <c r="U879" s="38">
        <v>72.6533629</v>
      </c>
      <c r="V879" s="38">
        <v>47.2380613</v>
      </c>
      <c r="W879" s="38">
        <v>41.6250891</v>
      </c>
      <c r="X879" s="38">
        <v>5.6129722</v>
      </c>
      <c r="Y879" s="38">
        <v>52.7619387</v>
      </c>
    </row>
    <row r="880" ht="15.0" hidden="1" customHeight="1">
      <c r="B880" s="30">
        <v>875.0</v>
      </c>
      <c r="C880" s="31" t="s">
        <v>21</v>
      </c>
      <c r="D880" s="31" t="s">
        <v>262</v>
      </c>
      <c r="E880" s="31" t="s">
        <v>284</v>
      </c>
      <c r="F880" s="31" t="s">
        <v>285</v>
      </c>
      <c r="G880" s="32" t="s">
        <v>15</v>
      </c>
      <c r="H880" s="33">
        <v>1765.0</v>
      </c>
      <c r="I880" s="33">
        <v>803.0</v>
      </c>
      <c r="J880" s="33">
        <v>406.0</v>
      </c>
      <c r="K880" s="33">
        <v>397.0</v>
      </c>
      <c r="L880" s="33">
        <v>962.0</v>
      </c>
      <c r="M880" s="33">
        <v>1322.0</v>
      </c>
      <c r="N880" s="33">
        <v>1199.0</v>
      </c>
      <c r="O880" s="33">
        <v>1089.0</v>
      </c>
      <c r="P880" s="33">
        <v>110.0</v>
      </c>
      <c r="Q880" s="33">
        <v>123.0</v>
      </c>
      <c r="R880" s="34">
        <v>45.4957507</v>
      </c>
      <c r="S880" s="34">
        <v>23.0028329</v>
      </c>
      <c r="T880" s="34">
        <v>22.4929178</v>
      </c>
      <c r="U880" s="34">
        <v>54.5042493</v>
      </c>
      <c r="V880" s="34">
        <v>90.6959153</v>
      </c>
      <c r="W880" s="34">
        <v>82.3751891</v>
      </c>
      <c r="X880" s="34">
        <v>8.3207262</v>
      </c>
      <c r="Y880" s="34">
        <v>9.3040847</v>
      </c>
    </row>
    <row r="881" ht="15.0" hidden="1" customHeight="1">
      <c r="B881" s="30">
        <v>876.0</v>
      </c>
      <c r="C881" s="31" t="s">
        <v>21</v>
      </c>
      <c r="D881" s="31" t="s">
        <v>262</v>
      </c>
      <c r="E881" s="31" t="s">
        <v>284</v>
      </c>
      <c r="F881" s="31" t="s">
        <v>285</v>
      </c>
      <c r="G881" s="32" t="s">
        <v>16</v>
      </c>
      <c r="H881" s="33">
        <v>7706.0</v>
      </c>
      <c r="I881" s="33">
        <v>1787.0</v>
      </c>
      <c r="J881" s="33">
        <v>839.0</v>
      </c>
      <c r="K881" s="33">
        <v>948.0</v>
      </c>
      <c r="L881" s="33">
        <v>5919.0</v>
      </c>
      <c r="M881" s="33">
        <v>9902.0</v>
      </c>
      <c r="N881" s="33">
        <v>4103.0</v>
      </c>
      <c r="O881" s="33">
        <v>3583.0</v>
      </c>
      <c r="P881" s="33">
        <v>520.0</v>
      </c>
      <c r="Q881" s="33">
        <v>5799.0</v>
      </c>
      <c r="R881" s="34">
        <v>23.1897223</v>
      </c>
      <c r="S881" s="34">
        <v>10.88762</v>
      </c>
      <c r="T881" s="34">
        <v>12.3021023</v>
      </c>
      <c r="U881" s="34">
        <v>76.8102777</v>
      </c>
      <c r="V881" s="34">
        <v>41.4360735</v>
      </c>
      <c r="W881" s="34">
        <v>36.1846092</v>
      </c>
      <c r="X881" s="34">
        <v>5.2514644</v>
      </c>
      <c r="Y881" s="34">
        <v>58.5639265</v>
      </c>
    </row>
    <row r="882" ht="15.0" customHeight="1">
      <c r="B882" s="35">
        <v>877.0</v>
      </c>
      <c r="C882" s="36" t="s">
        <v>21</v>
      </c>
      <c r="D882" s="41" t="s">
        <v>262</v>
      </c>
      <c r="E882" s="41" t="s">
        <v>284</v>
      </c>
      <c r="F882" s="41" t="s">
        <v>286</v>
      </c>
      <c r="G882" s="42" t="s">
        <v>286</v>
      </c>
      <c r="H882" s="37">
        <v>3124.0</v>
      </c>
      <c r="I882" s="37">
        <v>945.0</v>
      </c>
      <c r="J882" s="37">
        <v>570.0</v>
      </c>
      <c r="K882" s="37">
        <v>375.0</v>
      </c>
      <c r="L882" s="37">
        <v>2179.0</v>
      </c>
      <c r="M882" s="37">
        <v>3880.0</v>
      </c>
      <c r="N882" s="37">
        <v>1881.0</v>
      </c>
      <c r="O882" s="37">
        <v>1666.0</v>
      </c>
      <c r="P882" s="37">
        <v>215.0</v>
      </c>
      <c r="Q882" s="37">
        <v>1999.0</v>
      </c>
      <c r="R882" s="38">
        <v>30.2496799</v>
      </c>
      <c r="S882" s="38">
        <v>18.2458387</v>
      </c>
      <c r="T882" s="38">
        <v>12.0038412</v>
      </c>
      <c r="U882" s="38">
        <v>69.7503201</v>
      </c>
      <c r="V882" s="38">
        <v>48.4793814</v>
      </c>
      <c r="W882" s="38">
        <v>42.9381443</v>
      </c>
      <c r="X882" s="38">
        <v>5.5412371</v>
      </c>
      <c r="Y882" s="38">
        <v>51.5206186</v>
      </c>
    </row>
    <row r="883" ht="15.0" hidden="1" customHeight="1">
      <c r="B883" s="30">
        <v>878.0</v>
      </c>
      <c r="C883" s="31" t="s">
        <v>21</v>
      </c>
      <c r="D883" s="31" t="s">
        <v>262</v>
      </c>
      <c r="E883" s="31" t="s">
        <v>284</v>
      </c>
      <c r="F883" s="31" t="s">
        <v>286</v>
      </c>
      <c r="G883" s="32" t="s">
        <v>15</v>
      </c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4"/>
      <c r="S883" s="34"/>
      <c r="T883" s="34"/>
      <c r="U883" s="34"/>
      <c r="V883" s="34"/>
      <c r="W883" s="34"/>
      <c r="X883" s="34"/>
      <c r="Y883" s="34"/>
    </row>
    <row r="884" ht="15.0" hidden="1" customHeight="1">
      <c r="B884" s="30">
        <v>879.0</v>
      </c>
      <c r="C884" s="31" t="s">
        <v>21</v>
      </c>
      <c r="D884" s="31" t="s">
        <v>262</v>
      </c>
      <c r="E884" s="31" t="s">
        <v>284</v>
      </c>
      <c r="F884" s="31" t="s">
        <v>286</v>
      </c>
      <c r="G884" s="32" t="s">
        <v>16</v>
      </c>
      <c r="H884" s="33">
        <v>3124.0</v>
      </c>
      <c r="I884" s="33">
        <v>945.0</v>
      </c>
      <c r="J884" s="33">
        <v>570.0</v>
      </c>
      <c r="K884" s="33">
        <v>375.0</v>
      </c>
      <c r="L884" s="33">
        <v>2179.0</v>
      </c>
      <c r="M884" s="33">
        <v>3880.0</v>
      </c>
      <c r="N884" s="33">
        <v>1881.0</v>
      </c>
      <c r="O884" s="33">
        <v>1666.0</v>
      </c>
      <c r="P884" s="33">
        <v>215.0</v>
      </c>
      <c r="Q884" s="33">
        <v>1999.0</v>
      </c>
      <c r="R884" s="34">
        <v>30.2496799</v>
      </c>
      <c r="S884" s="34">
        <v>18.2458387</v>
      </c>
      <c r="T884" s="34">
        <v>12.0038412</v>
      </c>
      <c r="U884" s="34">
        <v>69.7503201</v>
      </c>
      <c r="V884" s="34">
        <v>48.4793814</v>
      </c>
      <c r="W884" s="34">
        <v>42.9381443</v>
      </c>
      <c r="X884" s="34">
        <v>5.5412371</v>
      </c>
      <c r="Y884" s="34">
        <v>51.5206186</v>
      </c>
    </row>
    <row r="885" ht="15.0" hidden="1" customHeight="1">
      <c r="B885" s="26">
        <v>880.0</v>
      </c>
      <c r="C885" s="27" t="s">
        <v>19</v>
      </c>
      <c r="D885" s="40" t="s">
        <v>262</v>
      </c>
      <c r="E885" s="40" t="s">
        <v>287</v>
      </c>
      <c r="F885" s="40"/>
      <c r="G885" s="27" t="s">
        <v>287</v>
      </c>
      <c r="H885" s="28">
        <v>8359.0</v>
      </c>
      <c r="I885" s="28">
        <v>1265.0</v>
      </c>
      <c r="J885" s="28">
        <v>743.0</v>
      </c>
      <c r="K885" s="28">
        <v>522.0</v>
      </c>
      <c r="L885" s="28">
        <v>7094.0</v>
      </c>
      <c r="M885" s="28">
        <v>10296.0</v>
      </c>
      <c r="N885" s="28">
        <v>2135.0</v>
      </c>
      <c r="O885" s="28">
        <v>1791.0</v>
      </c>
      <c r="P885" s="28">
        <v>344.0</v>
      </c>
      <c r="Q885" s="28">
        <v>8161.0</v>
      </c>
      <c r="R885" s="29">
        <v>15.1333892</v>
      </c>
      <c r="S885" s="29">
        <v>8.888623</v>
      </c>
      <c r="T885" s="29">
        <v>6.2447661</v>
      </c>
      <c r="U885" s="29">
        <v>84.8666108</v>
      </c>
      <c r="V885" s="29">
        <v>20.7362082</v>
      </c>
      <c r="W885" s="29">
        <v>17.3951049</v>
      </c>
      <c r="X885" s="29">
        <v>3.3411033</v>
      </c>
      <c r="Y885" s="29">
        <v>79.2637918</v>
      </c>
    </row>
    <row r="886" ht="15.0" hidden="1" customHeight="1">
      <c r="B886" s="30">
        <v>881.0</v>
      </c>
      <c r="C886" s="31" t="s">
        <v>19</v>
      </c>
      <c r="D886" s="31" t="s">
        <v>262</v>
      </c>
      <c r="E886" s="31" t="s">
        <v>287</v>
      </c>
      <c r="F886" s="31"/>
      <c r="G886" s="32" t="s">
        <v>15</v>
      </c>
      <c r="H886" s="33">
        <v>914.0</v>
      </c>
      <c r="I886" s="33">
        <v>576.0</v>
      </c>
      <c r="J886" s="33">
        <v>302.0</v>
      </c>
      <c r="K886" s="33">
        <v>274.0</v>
      </c>
      <c r="L886" s="33">
        <v>338.0</v>
      </c>
      <c r="M886" s="33">
        <v>1026.0</v>
      </c>
      <c r="N886" s="33">
        <v>829.0</v>
      </c>
      <c r="O886" s="33">
        <v>677.0</v>
      </c>
      <c r="P886" s="33">
        <v>152.0</v>
      </c>
      <c r="Q886" s="33">
        <v>197.0</v>
      </c>
      <c r="R886" s="34">
        <v>63.0196937</v>
      </c>
      <c r="S886" s="34">
        <v>33.0415755</v>
      </c>
      <c r="T886" s="34">
        <v>29.9781182</v>
      </c>
      <c r="U886" s="34">
        <v>36.9803063</v>
      </c>
      <c r="V886" s="34">
        <v>80.7992203</v>
      </c>
      <c r="W886" s="34">
        <v>65.9844055</v>
      </c>
      <c r="X886" s="34">
        <v>14.8148148</v>
      </c>
      <c r="Y886" s="34">
        <v>19.2007797</v>
      </c>
    </row>
    <row r="887" ht="15.0" hidden="1" customHeight="1">
      <c r="B887" s="30">
        <v>882.0</v>
      </c>
      <c r="C887" s="31" t="s">
        <v>19</v>
      </c>
      <c r="D887" s="31" t="s">
        <v>262</v>
      </c>
      <c r="E887" s="31" t="s">
        <v>287</v>
      </c>
      <c r="F887" s="31"/>
      <c r="G887" s="32" t="s">
        <v>16</v>
      </c>
      <c r="H887" s="33">
        <v>7445.0</v>
      </c>
      <c r="I887" s="33">
        <v>689.0</v>
      </c>
      <c r="J887" s="33">
        <v>441.0</v>
      </c>
      <c r="K887" s="33">
        <v>248.0</v>
      </c>
      <c r="L887" s="33">
        <v>6756.0</v>
      </c>
      <c r="M887" s="33">
        <v>9270.0</v>
      </c>
      <c r="N887" s="33">
        <v>1306.0</v>
      </c>
      <c r="O887" s="33">
        <v>1114.0</v>
      </c>
      <c r="P887" s="33">
        <v>192.0</v>
      </c>
      <c r="Q887" s="33">
        <v>7964.0</v>
      </c>
      <c r="R887" s="34">
        <v>9.2545332</v>
      </c>
      <c r="S887" s="34">
        <v>5.9234385</v>
      </c>
      <c r="T887" s="34">
        <v>3.3310947</v>
      </c>
      <c r="U887" s="34">
        <v>90.7454668</v>
      </c>
      <c r="V887" s="34">
        <v>14.0884574</v>
      </c>
      <c r="W887" s="34">
        <v>12.01726</v>
      </c>
      <c r="X887" s="34">
        <v>2.0711974</v>
      </c>
      <c r="Y887" s="34">
        <v>85.9115426</v>
      </c>
    </row>
    <row r="888" ht="15.0" customHeight="1">
      <c r="B888" s="35">
        <v>883.0</v>
      </c>
      <c r="C888" s="36" t="s">
        <v>21</v>
      </c>
      <c r="D888" s="41" t="s">
        <v>262</v>
      </c>
      <c r="E888" s="41" t="s">
        <v>287</v>
      </c>
      <c r="F888" s="41" t="s">
        <v>288</v>
      </c>
      <c r="G888" s="42" t="s">
        <v>288</v>
      </c>
      <c r="H888" s="37">
        <v>5618.0</v>
      </c>
      <c r="I888" s="37">
        <v>877.0</v>
      </c>
      <c r="J888" s="37">
        <v>479.0</v>
      </c>
      <c r="K888" s="37">
        <v>398.0</v>
      </c>
      <c r="L888" s="37">
        <v>4741.0</v>
      </c>
      <c r="M888" s="37">
        <v>6779.0</v>
      </c>
      <c r="N888" s="37">
        <v>1633.0</v>
      </c>
      <c r="O888" s="37">
        <v>1386.0</v>
      </c>
      <c r="P888" s="37">
        <v>247.0</v>
      </c>
      <c r="Q888" s="37">
        <v>5146.0</v>
      </c>
      <c r="R888" s="38">
        <v>15.6105376</v>
      </c>
      <c r="S888" s="38">
        <v>8.5261659</v>
      </c>
      <c r="T888" s="38">
        <v>7.0843717</v>
      </c>
      <c r="U888" s="38">
        <v>84.3894624</v>
      </c>
      <c r="V888" s="38">
        <v>24.0890987</v>
      </c>
      <c r="W888" s="38">
        <v>20.4454934</v>
      </c>
      <c r="X888" s="38">
        <v>3.6436053</v>
      </c>
      <c r="Y888" s="38">
        <v>75.9109013</v>
      </c>
    </row>
    <row r="889" ht="15.0" hidden="1" customHeight="1">
      <c r="B889" s="30">
        <v>884.0</v>
      </c>
      <c r="C889" s="31" t="s">
        <v>21</v>
      </c>
      <c r="D889" s="31" t="s">
        <v>262</v>
      </c>
      <c r="E889" s="31" t="s">
        <v>287</v>
      </c>
      <c r="F889" s="31" t="s">
        <v>288</v>
      </c>
      <c r="G889" s="32" t="s">
        <v>15</v>
      </c>
      <c r="H889" s="33">
        <v>914.0</v>
      </c>
      <c r="I889" s="33">
        <v>576.0</v>
      </c>
      <c r="J889" s="33">
        <v>302.0</v>
      </c>
      <c r="K889" s="33">
        <v>274.0</v>
      </c>
      <c r="L889" s="33">
        <v>338.0</v>
      </c>
      <c r="M889" s="33">
        <v>1026.0</v>
      </c>
      <c r="N889" s="33">
        <v>829.0</v>
      </c>
      <c r="O889" s="33">
        <v>677.0</v>
      </c>
      <c r="P889" s="33">
        <v>152.0</v>
      </c>
      <c r="Q889" s="33">
        <v>197.0</v>
      </c>
      <c r="R889" s="34">
        <v>63.0196937</v>
      </c>
      <c r="S889" s="34">
        <v>33.0415755</v>
      </c>
      <c r="T889" s="34">
        <v>29.9781182</v>
      </c>
      <c r="U889" s="34">
        <v>36.9803063</v>
      </c>
      <c r="V889" s="34">
        <v>80.7992203</v>
      </c>
      <c r="W889" s="34">
        <v>65.9844055</v>
      </c>
      <c r="X889" s="34">
        <v>14.8148148</v>
      </c>
      <c r="Y889" s="34">
        <v>19.2007797</v>
      </c>
    </row>
    <row r="890" ht="15.0" hidden="1" customHeight="1">
      <c r="B890" s="30">
        <v>885.0</v>
      </c>
      <c r="C890" s="31" t="s">
        <v>21</v>
      </c>
      <c r="D890" s="31" t="s">
        <v>262</v>
      </c>
      <c r="E890" s="31" t="s">
        <v>287</v>
      </c>
      <c r="F890" s="31" t="s">
        <v>288</v>
      </c>
      <c r="G890" s="32" t="s">
        <v>16</v>
      </c>
      <c r="H890" s="33">
        <v>4704.0</v>
      </c>
      <c r="I890" s="33">
        <v>301.0</v>
      </c>
      <c r="J890" s="33">
        <v>177.0</v>
      </c>
      <c r="K890" s="33">
        <v>124.0</v>
      </c>
      <c r="L890" s="33">
        <v>4403.0</v>
      </c>
      <c r="M890" s="33">
        <v>5753.0</v>
      </c>
      <c r="N890" s="33">
        <v>804.0</v>
      </c>
      <c r="O890" s="33">
        <v>709.0</v>
      </c>
      <c r="P890" s="33">
        <v>95.0</v>
      </c>
      <c r="Q890" s="33">
        <v>4949.0</v>
      </c>
      <c r="R890" s="34">
        <v>6.3988095</v>
      </c>
      <c r="S890" s="34">
        <v>3.7627551</v>
      </c>
      <c r="T890" s="34">
        <v>2.6360544</v>
      </c>
      <c r="U890" s="34">
        <v>93.6011905</v>
      </c>
      <c r="V890" s="34">
        <v>13.9753172</v>
      </c>
      <c r="W890" s="34">
        <v>12.3240049</v>
      </c>
      <c r="X890" s="34">
        <v>1.6513124</v>
      </c>
      <c r="Y890" s="34">
        <v>86.0246828</v>
      </c>
    </row>
    <row r="891" ht="15.0" customHeight="1">
      <c r="B891" s="35">
        <v>886.0</v>
      </c>
      <c r="C891" s="36" t="s">
        <v>21</v>
      </c>
      <c r="D891" s="41" t="s">
        <v>262</v>
      </c>
      <c r="E891" s="41" t="s">
        <v>287</v>
      </c>
      <c r="F891" s="41" t="s">
        <v>289</v>
      </c>
      <c r="G891" s="42" t="s">
        <v>289</v>
      </c>
      <c r="H891" s="37">
        <v>2741.0</v>
      </c>
      <c r="I891" s="37">
        <v>388.0</v>
      </c>
      <c r="J891" s="37">
        <v>264.0</v>
      </c>
      <c r="K891" s="37">
        <v>124.0</v>
      </c>
      <c r="L891" s="37">
        <v>2353.0</v>
      </c>
      <c r="M891" s="37">
        <v>3517.0</v>
      </c>
      <c r="N891" s="37">
        <v>502.0</v>
      </c>
      <c r="O891" s="37">
        <v>405.0</v>
      </c>
      <c r="P891" s="37">
        <v>97.0</v>
      </c>
      <c r="Q891" s="37">
        <v>3015.0</v>
      </c>
      <c r="R891" s="38">
        <v>14.1554177</v>
      </c>
      <c r="S891" s="38">
        <v>9.6315213</v>
      </c>
      <c r="T891" s="38">
        <v>4.5238964</v>
      </c>
      <c r="U891" s="38">
        <v>85.8445823</v>
      </c>
      <c r="V891" s="38">
        <v>14.2735286</v>
      </c>
      <c r="W891" s="38">
        <v>11.5154962</v>
      </c>
      <c r="X891" s="38">
        <v>2.7580324</v>
      </c>
      <c r="Y891" s="38">
        <v>85.7264714</v>
      </c>
    </row>
    <row r="892" ht="15.0" hidden="1" customHeight="1">
      <c r="B892" s="30">
        <v>887.0</v>
      </c>
      <c r="C892" s="31" t="s">
        <v>21</v>
      </c>
      <c r="D892" s="31" t="s">
        <v>262</v>
      </c>
      <c r="E892" s="31" t="s">
        <v>287</v>
      </c>
      <c r="F892" s="31" t="s">
        <v>289</v>
      </c>
      <c r="G892" s="32" t="s">
        <v>15</v>
      </c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4"/>
      <c r="S892" s="34"/>
      <c r="T892" s="34"/>
      <c r="U892" s="34"/>
      <c r="V892" s="34"/>
      <c r="W892" s="34"/>
      <c r="X892" s="34"/>
      <c r="Y892" s="34"/>
    </row>
    <row r="893" ht="15.0" hidden="1" customHeight="1">
      <c r="B893" s="30">
        <v>888.0</v>
      </c>
      <c r="C893" s="31" t="s">
        <v>21</v>
      </c>
      <c r="D893" s="31" t="s">
        <v>262</v>
      </c>
      <c r="E893" s="31" t="s">
        <v>287</v>
      </c>
      <c r="F893" s="31" t="s">
        <v>289</v>
      </c>
      <c r="G893" s="32" t="s">
        <v>16</v>
      </c>
      <c r="H893" s="33">
        <v>2741.0</v>
      </c>
      <c r="I893" s="33">
        <v>388.0</v>
      </c>
      <c r="J893" s="33">
        <v>264.0</v>
      </c>
      <c r="K893" s="33">
        <v>124.0</v>
      </c>
      <c r="L893" s="33">
        <v>2353.0</v>
      </c>
      <c r="M893" s="33">
        <v>3517.0</v>
      </c>
      <c r="N893" s="33">
        <v>502.0</v>
      </c>
      <c r="O893" s="33">
        <v>405.0</v>
      </c>
      <c r="P893" s="33">
        <v>97.0</v>
      </c>
      <c r="Q893" s="33">
        <v>3015.0</v>
      </c>
      <c r="R893" s="34">
        <v>14.1554177</v>
      </c>
      <c r="S893" s="34">
        <v>9.6315213</v>
      </c>
      <c r="T893" s="34">
        <v>4.5238964</v>
      </c>
      <c r="U893" s="34">
        <v>85.8445823</v>
      </c>
      <c r="V893" s="34">
        <v>14.2735286</v>
      </c>
      <c r="W893" s="34">
        <v>11.5154962</v>
      </c>
      <c r="X893" s="34">
        <v>2.7580324</v>
      </c>
      <c r="Y893" s="34">
        <v>85.7264714</v>
      </c>
    </row>
    <row r="894" ht="15.0" hidden="1" customHeight="1">
      <c r="B894" s="26">
        <v>889.0</v>
      </c>
      <c r="C894" s="27" t="s">
        <v>19</v>
      </c>
      <c r="D894" s="40" t="s">
        <v>262</v>
      </c>
      <c r="E894" s="40" t="s">
        <v>290</v>
      </c>
      <c r="F894" s="40"/>
      <c r="G894" s="27" t="s">
        <v>290</v>
      </c>
      <c r="H894" s="28">
        <v>16895.0</v>
      </c>
      <c r="I894" s="28">
        <v>9311.0</v>
      </c>
      <c r="J894" s="28">
        <v>5232.0</v>
      </c>
      <c r="K894" s="28">
        <v>4079.0</v>
      </c>
      <c r="L894" s="28">
        <v>7584.0</v>
      </c>
      <c r="M894" s="28">
        <v>19627.0</v>
      </c>
      <c r="N894" s="28">
        <v>14198.0</v>
      </c>
      <c r="O894" s="28">
        <v>11968.0</v>
      </c>
      <c r="P894" s="28">
        <v>2230.0</v>
      </c>
      <c r="Q894" s="28">
        <v>5429.0</v>
      </c>
      <c r="R894" s="29">
        <v>55.1109796</v>
      </c>
      <c r="S894" s="29">
        <v>30.9677419</v>
      </c>
      <c r="T894" s="29">
        <v>24.1432376</v>
      </c>
      <c r="U894" s="29">
        <v>44.8890204</v>
      </c>
      <c r="V894" s="29">
        <v>72.3391247</v>
      </c>
      <c r="W894" s="29">
        <v>60.9772253</v>
      </c>
      <c r="X894" s="29">
        <v>11.3618994</v>
      </c>
      <c r="Y894" s="29">
        <v>27.6608753</v>
      </c>
    </row>
    <row r="895" ht="15.0" hidden="1" customHeight="1">
      <c r="B895" s="30">
        <v>890.0</v>
      </c>
      <c r="C895" s="31" t="s">
        <v>19</v>
      </c>
      <c r="D895" s="31" t="s">
        <v>262</v>
      </c>
      <c r="E895" s="31" t="s">
        <v>290</v>
      </c>
      <c r="F895" s="31"/>
      <c r="G895" s="32" t="s">
        <v>15</v>
      </c>
      <c r="H895" s="33">
        <v>9081.0</v>
      </c>
      <c r="I895" s="33">
        <v>7152.0</v>
      </c>
      <c r="J895" s="33">
        <v>3861.0</v>
      </c>
      <c r="K895" s="33">
        <v>3291.0</v>
      </c>
      <c r="L895" s="33">
        <v>1929.0</v>
      </c>
      <c r="M895" s="33">
        <v>9327.0</v>
      </c>
      <c r="N895" s="33">
        <v>8945.0</v>
      </c>
      <c r="O895" s="33">
        <v>7424.0</v>
      </c>
      <c r="P895" s="33">
        <v>1521.0</v>
      </c>
      <c r="Q895" s="33">
        <v>382.0</v>
      </c>
      <c r="R895" s="34">
        <v>78.7578461</v>
      </c>
      <c r="S895" s="34">
        <v>42.5173439</v>
      </c>
      <c r="T895" s="34">
        <v>36.2405021</v>
      </c>
      <c r="U895" s="34">
        <v>21.2421539</v>
      </c>
      <c r="V895" s="34">
        <v>95.9043637</v>
      </c>
      <c r="W895" s="34">
        <v>79.5968693</v>
      </c>
      <c r="X895" s="34">
        <v>16.3074944</v>
      </c>
      <c r="Y895" s="34">
        <v>4.0956363</v>
      </c>
    </row>
    <row r="896" ht="15.0" hidden="1" customHeight="1">
      <c r="B896" s="30">
        <v>891.0</v>
      </c>
      <c r="C896" s="31" t="s">
        <v>19</v>
      </c>
      <c r="D896" s="31" t="s">
        <v>262</v>
      </c>
      <c r="E896" s="31" t="s">
        <v>290</v>
      </c>
      <c r="F896" s="31"/>
      <c r="G896" s="32" t="s">
        <v>16</v>
      </c>
      <c r="H896" s="33">
        <v>7814.0</v>
      </c>
      <c r="I896" s="33">
        <v>2159.0</v>
      </c>
      <c r="J896" s="33">
        <v>1371.0</v>
      </c>
      <c r="K896" s="33">
        <v>788.0</v>
      </c>
      <c r="L896" s="33">
        <v>5655.0</v>
      </c>
      <c r="M896" s="33">
        <v>10300.0</v>
      </c>
      <c r="N896" s="33">
        <v>5253.0</v>
      </c>
      <c r="O896" s="33">
        <v>4544.0</v>
      </c>
      <c r="P896" s="33">
        <v>709.0</v>
      </c>
      <c r="Q896" s="33">
        <v>5047.0</v>
      </c>
      <c r="R896" s="34">
        <v>27.6298951</v>
      </c>
      <c r="S896" s="34">
        <v>17.5454313</v>
      </c>
      <c r="T896" s="34">
        <v>10.0844638</v>
      </c>
      <c r="U896" s="34">
        <v>72.3701049</v>
      </c>
      <c r="V896" s="34">
        <v>51.0</v>
      </c>
      <c r="W896" s="34">
        <v>44.1165049</v>
      </c>
      <c r="X896" s="34">
        <v>6.8834951</v>
      </c>
      <c r="Y896" s="34">
        <v>49.0</v>
      </c>
    </row>
    <row r="897" ht="15.0" customHeight="1">
      <c r="B897" s="35">
        <v>892.0</v>
      </c>
      <c r="C897" s="36" t="s">
        <v>21</v>
      </c>
      <c r="D897" s="41" t="s">
        <v>262</v>
      </c>
      <c r="E897" s="41" t="s">
        <v>290</v>
      </c>
      <c r="F897" s="41" t="s">
        <v>291</v>
      </c>
      <c r="G897" s="42" t="s">
        <v>291</v>
      </c>
      <c r="H897" s="37">
        <v>13319.0</v>
      </c>
      <c r="I897" s="37">
        <v>8508.0</v>
      </c>
      <c r="J897" s="37">
        <v>4719.0</v>
      </c>
      <c r="K897" s="37">
        <v>3789.0</v>
      </c>
      <c r="L897" s="37">
        <v>4811.0</v>
      </c>
      <c r="M897" s="37">
        <v>15876.0</v>
      </c>
      <c r="N897" s="37">
        <v>12665.0</v>
      </c>
      <c r="O897" s="37">
        <v>10777.0</v>
      </c>
      <c r="P897" s="37">
        <v>1888.0</v>
      </c>
      <c r="Q897" s="37">
        <v>3211.0</v>
      </c>
      <c r="R897" s="38">
        <v>63.8786696</v>
      </c>
      <c r="S897" s="38">
        <v>35.4305879</v>
      </c>
      <c r="T897" s="38">
        <v>28.4480817</v>
      </c>
      <c r="U897" s="38">
        <v>36.1213304</v>
      </c>
      <c r="V897" s="38">
        <v>79.7745024</v>
      </c>
      <c r="W897" s="38">
        <v>67.8823381</v>
      </c>
      <c r="X897" s="38">
        <v>11.8921643</v>
      </c>
      <c r="Y897" s="38">
        <v>20.2254976</v>
      </c>
    </row>
    <row r="898" ht="15.0" hidden="1" customHeight="1">
      <c r="B898" s="30">
        <v>893.0</v>
      </c>
      <c r="C898" s="31" t="s">
        <v>21</v>
      </c>
      <c r="D898" s="31" t="s">
        <v>262</v>
      </c>
      <c r="E898" s="31" t="s">
        <v>290</v>
      </c>
      <c r="F898" s="31" t="s">
        <v>291</v>
      </c>
      <c r="G898" s="32" t="s">
        <v>15</v>
      </c>
      <c r="H898" s="33">
        <v>7534.0</v>
      </c>
      <c r="I898" s="33">
        <v>6761.0</v>
      </c>
      <c r="J898" s="33">
        <v>3630.0</v>
      </c>
      <c r="K898" s="33">
        <v>3131.0</v>
      </c>
      <c r="L898" s="33">
        <v>773.0</v>
      </c>
      <c r="M898" s="33">
        <v>9327.0</v>
      </c>
      <c r="N898" s="33">
        <v>8945.0</v>
      </c>
      <c r="O898" s="33">
        <v>7424.0</v>
      </c>
      <c r="P898" s="33">
        <v>1521.0</v>
      </c>
      <c r="Q898" s="33">
        <v>382.0</v>
      </c>
      <c r="R898" s="34">
        <v>89.739846</v>
      </c>
      <c r="S898" s="34">
        <v>48.1815769</v>
      </c>
      <c r="T898" s="34">
        <v>41.5582692</v>
      </c>
      <c r="U898" s="34">
        <v>10.260154</v>
      </c>
      <c r="V898" s="34">
        <v>95.9043637</v>
      </c>
      <c r="W898" s="34">
        <v>79.5968693</v>
      </c>
      <c r="X898" s="34">
        <v>16.3074944</v>
      </c>
      <c r="Y898" s="34">
        <v>4.0956363</v>
      </c>
    </row>
    <row r="899" ht="15.0" hidden="1" customHeight="1">
      <c r="B899" s="30">
        <v>894.0</v>
      </c>
      <c r="C899" s="31" t="s">
        <v>21</v>
      </c>
      <c r="D899" s="31" t="s">
        <v>262</v>
      </c>
      <c r="E899" s="31" t="s">
        <v>290</v>
      </c>
      <c r="F899" s="31" t="s">
        <v>291</v>
      </c>
      <c r="G899" s="32" t="s">
        <v>16</v>
      </c>
      <c r="H899" s="33">
        <v>5785.0</v>
      </c>
      <c r="I899" s="33">
        <v>1747.0</v>
      </c>
      <c r="J899" s="33">
        <v>1089.0</v>
      </c>
      <c r="K899" s="33">
        <v>658.0</v>
      </c>
      <c r="L899" s="33">
        <v>4038.0</v>
      </c>
      <c r="M899" s="33">
        <v>6549.0</v>
      </c>
      <c r="N899" s="33">
        <v>3720.0</v>
      </c>
      <c r="O899" s="33">
        <v>3353.0</v>
      </c>
      <c r="P899" s="33">
        <v>367.0</v>
      </c>
      <c r="Q899" s="33">
        <v>2829.0</v>
      </c>
      <c r="R899" s="34">
        <v>30.19879</v>
      </c>
      <c r="S899" s="34">
        <v>18.8245462</v>
      </c>
      <c r="T899" s="34">
        <v>11.3742437</v>
      </c>
      <c r="U899" s="34">
        <v>69.80121</v>
      </c>
      <c r="V899" s="34">
        <v>56.8025653</v>
      </c>
      <c r="W899" s="34">
        <v>51.1986563</v>
      </c>
      <c r="X899" s="34">
        <v>5.603909</v>
      </c>
      <c r="Y899" s="34">
        <v>43.1974347</v>
      </c>
    </row>
    <row r="900" ht="15.0" customHeight="1">
      <c r="B900" s="35">
        <v>895.0</v>
      </c>
      <c r="C900" s="36" t="s">
        <v>21</v>
      </c>
      <c r="D900" s="41" t="s">
        <v>262</v>
      </c>
      <c r="E900" s="41" t="s">
        <v>290</v>
      </c>
      <c r="F900" s="41" t="s">
        <v>292</v>
      </c>
      <c r="G900" s="42" t="s">
        <v>292</v>
      </c>
      <c r="H900" s="37">
        <v>3576.0</v>
      </c>
      <c r="I900" s="37">
        <v>803.0</v>
      </c>
      <c r="J900" s="37">
        <v>513.0</v>
      </c>
      <c r="K900" s="37">
        <v>290.0</v>
      </c>
      <c r="L900" s="37">
        <v>2773.0</v>
      </c>
      <c r="M900" s="37">
        <v>3751.0</v>
      </c>
      <c r="N900" s="37">
        <v>1533.0</v>
      </c>
      <c r="O900" s="37">
        <v>1191.0</v>
      </c>
      <c r="P900" s="37">
        <v>342.0</v>
      </c>
      <c r="Q900" s="37">
        <v>2218.0</v>
      </c>
      <c r="R900" s="38">
        <v>22.4552573</v>
      </c>
      <c r="S900" s="38">
        <v>14.3456376</v>
      </c>
      <c r="T900" s="38">
        <v>8.1096197</v>
      </c>
      <c r="U900" s="38">
        <v>77.5447427</v>
      </c>
      <c r="V900" s="38">
        <v>40.8691016</v>
      </c>
      <c r="W900" s="38">
        <v>31.7515329</v>
      </c>
      <c r="X900" s="38">
        <v>9.1175686</v>
      </c>
      <c r="Y900" s="38">
        <v>59.1308984</v>
      </c>
    </row>
    <row r="901" ht="15.0" hidden="1" customHeight="1">
      <c r="B901" s="30">
        <v>896.0</v>
      </c>
      <c r="C901" s="31" t="s">
        <v>21</v>
      </c>
      <c r="D901" s="31" t="s">
        <v>262</v>
      </c>
      <c r="E901" s="31" t="s">
        <v>290</v>
      </c>
      <c r="F901" s="31" t="s">
        <v>292</v>
      </c>
      <c r="G901" s="32" t="s">
        <v>15</v>
      </c>
      <c r="H901" s="33">
        <v>1547.0</v>
      </c>
      <c r="I901" s="33">
        <v>391.0</v>
      </c>
      <c r="J901" s="33">
        <v>231.0</v>
      </c>
      <c r="K901" s="33">
        <v>160.0</v>
      </c>
      <c r="L901" s="33">
        <v>1156.0</v>
      </c>
      <c r="M901" s="33"/>
      <c r="N901" s="33"/>
      <c r="O901" s="33"/>
      <c r="P901" s="33"/>
      <c r="Q901" s="33"/>
      <c r="R901" s="34">
        <v>25.2747253</v>
      </c>
      <c r="S901" s="34">
        <v>14.9321267</v>
      </c>
      <c r="T901" s="34">
        <v>10.3425986</v>
      </c>
      <c r="U901" s="34">
        <v>74.7252747</v>
      </c>
      <c r="V901" s="34"/>
      <c r="W901" s="34"/>
      <c r="X901" s="34"/>
      <c r="Y901" s="34"/>
    </row>
    <row r="902" ht="15.0" hidden="1" customHeight="1">
      <c r="B902" s="30">
        <v>897.0</v>
      </c>
      <c r="C902" s="31" t="s">
        <v>21</v>
      </c>
      <c r="D902" s="31" t="s">
        <v>262</v>
      </c>
      <c r="E902" s="31" t="s">
        <v>290</v>
      </c>
      <c r="F902" s="31" t="s">
        <v>292</v>
      </c>
      <c r="G902" s="32" t="s">
        <v>16</v>
      </c>
      <c r="H902" s="33">
        <v>2029.0</v>
      </c>
      <c r="I902" s="33">
        <v>412.0</v>
      </c>
      <c r="J902" s="33">
        <v>282.0</v>
      </c>
      <c r="K902" s="33">
        <v>130.0</v>
      </c>
      <c r="L902" s="33">
        <v>1617.0</v>
      </c>
      <c r="M902" s="33">
        <v>3751.0</v>
      </c>
      <c r="N902" s="33">
        <v>1533.0</v>
      </c>
      <c r="O902" s="33">
        <v>1191.0</v>
      </c>
      <c r="P902" s="33">
        <v>342.0</v>
      </c>
      <c r="Q902" s="33">
        <v>2218.0</v>
      </c>
      <c r="R902" s="34">
        <v>20.3055692</v>
      </c>
      <c r="S902" s="34">
        <v>13.8984722</v>
      </c>
      <c r="T902" s="34">
        <v>6.4070971</v>
      </c>
      <c r="U902" s="34">
        <v>79.6944308</v>
      </c>
      <c r="V902" s="34">
        <v>40.8691016</v>
      </c>
      <c r="W902" s="34">
        <v>31.7515329</v>
      </c>
      <c r="X902" s="34">
        <v>9.1175686</v>
      </c>
      <c r="Y902" s="34">
        <v>59.1308984</v>
      </c>
    </row>
    <row r="903" ht="15.0" hidden="1" customHeight="1">
      <c r="B903" s="26">
        <v>898.0</v>
      </c>
      <c r="C903" s="27" t="s">
        <v>19</v>
      </c>
      <c r="D903" s="40" t="s">
        <v>262</v>
      </c>
      <c r="E903" s="40" t="s">
        <v>293</v>
      </c>
      <c r="F903" s="40"/>
      <c r="G903" s="27" t="s">
        <v>293</v>
      </c>
      <c r="H903" s="28">
        <v>3679.0</v>
      </c>
      <c r="I903" s="28">
        <v>1078.0</v>
      </c>
      <c r="J903" s="28">
        <v>394.0</v>
      </c>
      <c r="K903" s="28">
        <v>684.0</v>
      </c>
      <c r="L903" s="28">
        <v>2601.0</v>
      </c>
      <c r="M903" s="28">
        <v>4822.0</v>
      </c>
      <c r="N903" s="28">
        <v>3469.0</v>
      </c>
      <c r="O903" s="28">
        <v>2766.0</v>
      </c>
      <c r="P903" s="28">
        <v>703.0</v>
      </c>
      <c r="Q903" s="28">
        <v>1353.0</v>
      </c>
      <c r="R903" s="29">
        <v>29.3014406</v>
      </c>
      <c r="S903" s="29">
        <v>10.7094319</v>
      </c>
      <c r="T903" s="29">
        <v>18.5920087</v>
      </c>
      <c r="U903" s="29">
        <v>70.6985594</v>
      </c>
      <c r="V903" s="29">
        <v>71.9411033</v>
      </c>
      <c r="W903" s="29">
        <v>57.3620904</v>
      </c>
      <c r="X903" s="29">
        <v>14.5790129</v>
      </c>
      <c r="Y903" s="29">
        <v>28.0588967</v>
      </c>
    </row>
    <row r="904" ht="15.0" hidden="1" customHeight="1">
      <c r="B904" s="30">
        <v>899.0</v>
      </c>
      <c r="C904" s="31" t="s">
        <v>19</v>
      </c>
      <c r="D904" s="31" t="s">
        <v>262</v>
      </c>
      <c r="E904" s="31" t="s">
        <v>293</v>
      </c>
      <c r="F904" s="31"/>
      <c r="G904" s="32" t="s">
        <v>15</v>
      </c>
      <c r="H904" s="33"/>
      <c r="I904" s="33"/>
      <c r="J904" s="33"/>
      <c r="K904" s="33"/>
      <c r="L904" s="33"/>
      <c r="M904" s="33">
        <v>711.0</v>
      </c>
      <c r="N904" s="33">
        <v>646.0</v>
      </c>
      <c r="O904" s="33">
        <v>531.0</v>
      </c>
      <c r="P904" s="33">
        <v>115.0</v>
      </c>
      <c r="Q904" s="33">
        <v>65.0</v>
      </c>
      <c r="R904" s="34"/>
      <c r="S904" s="34"/>
      <c r="T904" s="34"/>
      <c r="U904" s="34"/>
      <c r="V904" s="34">
        <v>90.8579466</v>
      </c>
      <c r="W904" s="34">
        <v>74.6835443</v>
      </c>
      <c r="X904" s="34">
        <v>16.1744023</v>
      </c>
      <c r="Y904" s="34">
        <v>9.1420534</v>
      </c>
    </row>
    <row r="905" ht="15.0" hidden="1" customHeight="1">
      <c r="B905" s="30">
        <v>900.0</v>
      </c>
      <c r="C905" s="31" t="s">
        <v>19</v>
      </c>
      <c r="D905" s="31" t="s">
        <v>262</v>
      </c>
      <c r="E905" s="31" t="s">
        <v>293</v>
      </c>
      <c r="F905" s="31"/>
      <c r="G905" s="32" t="s">
        <v>16</v>
      </c>
      <c r="H905" s="33">
        <v>3679.0</v>
      </c>
      <c r="I905" s="33">
        <v>1078.0</v>
      </c>
      <c r="J905" s="33">
        <v>394.0</v>
      </c>
      <c r="K905" s="33">
        <v>684.0</v>
      </c>
      <c r="L905" s="33">
        <v>2601.0</v>
      </c>
      <c r="M905" s="33">
        <v>4111.0</v>
      </c>
      <c r="N905" s="33">
        <v>2823.0</v>
      </c>
      <c r="O905" s="33">
        <v>2235.0</v>
      </c>
      <c r="P905" s="33">
        <v>588.0</v>
      </c>
      <c r="Q905" s="33">
        <v>1288.0</v>
      </c>
      <c r="R905" s="34">
        <v>29.3014406</v>
      </c>
      <c r="S905" s="34">
        <v>10.7094319</v>
      </c>
      <c r="T905" s="34">
        <v>18.5920087</v>
      </c>
      <c r="U905" s="34">
        <v>70.6985594</v>
      </c>
      <c r="V905" s="34">
        <v>68.6694235</v>
      </c>
      <c r="W905" s="34">
        <v>54.3663342</v>
      </c>
      <c r="X905" s="34">
        <v>14.3030893</v>
      </c>
      <c r="Y905" s="34">
        <v>31.3305765</v>
      </c>
    </row>
    <row r="906" ht="15.0" customHeight="1">
      <c r="B906" s="35">
        <v>901.0</v>
      </c>
      <c r="C906" s="36" t="s">
        <v>21</v>
      </c>
      <c r="D906" s="41" t="s">
        <v>262</v>
      </c>
      <c r="E906" s="41" t="s">
        <v>293</v>
      </c>
      <c r="F906" s="41" t="s">
        <v>294</v>
      </c>
      <c r="G906" s="42" t="s">
        <v>294</v>
      </c>
      <c r="H906" s="37">
        <v>3307.0</v>
      </c>
      <c r="I906" s="37">
        <v>978.0</v>
      </c>
      <c r="J906" s="37">
        <v>362.0</v>
      </c>
      <c r="K906" s="37">
        <v>616.0</v>
      </c>
      <c r="L906" s="37">
        <v>2329.0</v>
      </c>
      <c r="M906" s="37">
        <v>4165.0</v>
      </c>
      <c r="N906" s="37">
        <v>3049.0</v>
      </c>
      <c r="O906" s="37">
        <v>2414.0</v>
      </c>
      <c r="P906" s="37">
        <v>635.0</v>
      </c>
      <c r="Q906" s="37">
        <v>1116.0</v>
      </c>
      <c r="R906" s="38">
        <v>29.5736317</v>
      </c>
      <c r="S906" s="38">
        <v>10.9464772</v>
      </c>
      <c r="T906" s="38">
        <v>18.6271545</v>
      </c>
      <c r="U906" s="38">
        <v>70.4263683</v>
      </c>
      <c r="V906" s="38">
        <v>73.2052821</v>
      </c>
      <c r="W906" s="38">
        <v>57.9591837</v>
      </c>
      <c r="X906" s="38">
        <v>15.2460984</v>
      </c>
      <c r="Y906" s="38">
        <v>26.7947179</v>
      </c>
    </row>
    <row r="907" ht="15.0" hidden="1" customHeight="1">
      <c r="B907" s="30">
        <v>902.0</v>
      </c>
      <c r="C907" s="31" t="s">
        <v>21</v>
      </c>
      <c r="D907" s="31" t="s">
        <v>262</v>
      </c>
      <c r="E907" s="31" t="s">
        <v>293</v>
      </c>
      <c r="F907" s="31" t="s">
        <v>294</v>
      </c>
      <c r="G907" s="32" t="s">
        <v>15</v>
      </c>
      <c r="H907" s="33"/>
      <c r="I907" s="33"/>
      <c r="J907" s="33"/>
      <c r="K907" s="33"/>
      <c r="L907" s="33"/>
      <c r="M907" s="33">
        <v>711.0</v>
      </c>
      <c r="N907" s="33">
        <v>646.0</v>
      </c>
      <c r="O907" s="33">
        <v>531.0</v>
      </c>
      <c r="P907" s="33">
        <v>115.0</v>
      </c>
      <c r="Q907" s="33">
        <v>65.0</v>
      </c>
      <c r="R907" s="34"/>
      <c r="S907" s="34"/>
      <c r="T907" s="34"/>
      <c r="U907" s="34"/>
      <c r="V907" s="34">
        <v>90.8579466</v>
      </c>
      <c r="W907" s="34">
        <v>74.6835443</v>
      </c>
      <c r="X907" s="34">
        <v>16.1744023</v>
      </c>
      <c r="Y907" s="34">
        <v>9.1420534</v>
      </c>
    </row>
    <row r="908" ht="15.0" hidden="1" customHeight="1">
      <c r="B908" s="30">
        <v>903.0</v>
      </c>
      <c r="C908" s="31" t="s">
        <v>21</v>
      </c>
      <c r="D908" s="31" t="s">
        <v>262</v>
      </c>
      <c r="E908" s="31" t="s">
        <v>293</v>
      </c>
      <c r="F908" s="31" t="s">
        <v>294</v>
      </c>
      <c r="G908" s="32" t="s">
        <v>16</v>
      </c>
      <c r="H908" s="33">
        <v>3307.0</v>
      </c>
      <c r="I908" s="33">
        <v>978.0</v>
      </c>
      <c r="J908" s="33">
        <v>362.0</v>
      </c>
      <c r="K908" s="33">
        <v>616.0</v>
      </c>
      <c r="L908" s="33">
        <v>2329.0</v>
      </c>
      <c r="M908" s="33">
        <v>3454.0</v>
      </c>
      <c r="N908" s="33">
        <v>2403.0</v>
      </c>
      <c r="O908" s="33">
        <v>1883.0</v>
      </c>
      <c r="P908" s="33">
        <v>520.0</v>
      </c>
      <c r="Q908" s="33">
        <v>1051.0</v>
      </c>
      <c r="R908" s="34">
        <v>29.5736317</v>
      </c>
      <c r="S908" s="34">
        <v>10.9464772</v>
      </c>
      <c r="T908" s="34">
        <v>18.6271545</v>
      </c>
      <c r="U908" s="34">
        <v>70.4263683</v>
      </c>
      <c r="V908" s="34">
        <v>69.5715113</v>
      </c>
      <c r="W908" s="34">
        <v>54.5165026</v>
      </c>
      <c r="X908" s="34">
        <v>15.0550087</v>
      </c>
      <c r="Y908" s="34">
        <v>30.4284887</v>
      </c>
    </row>
    <row r="909" ht="15.0" customHeight="1">
      <c r="B909" s="35">
        <v>904.0</v>
      </c>
      <c r="C909" s="36" t="s">
        <v>21</v>
      </c>
      <c r="D909" s="41" t="s">
        <v>262</v>
      </c>
      <c r="E909" s="41" t="s">
        <v>293</v>
      </c>
      <c r="F909" s="41" t="s">
        <v>295</v>
      </c>
      <c r="G909" s="42" t="s">
        <v>295</v>
      </c>
      <c r="H909" s="37">
        <v>372.0</v>
      </c>
      <c r="I909" s="37">
        <v>100.0</v>
      </c>
      <c r="J909" s="37">
        <v>32.0</v>
      </c>
      <c r="K909" s="37">
        <v>68.0</v>
      </c>
      <c r="L909" s="37">
        <v>272.0</v>
      </c>
      <c r="M909" s="37">
        <v>657.0</v>
      </c>
      <c r="N909" s="37">
        <v>420.0</v>
      </c>
      <c r="O909" s="37">
        <v>352.0</v>
      </c>
      <c r="P909" s="37">
        <v>68.0</v>
      </c>
      <c r="Q909" s="37">
        <v>237.0</v>
      </c>
      <c r="R909" s="38">
        <v>26.8817204</v>
      </c>
      <c r="S909" s="38">
        <v>8.6021505</v>
      </c>
      <c r="T909" s="38">
        <v>18.2795699</v>
      </c>
      <c r="U909" s="38">
        <v>73.1182796</v>
      </c>
      <c r="V909" s="38">
        <v>63.9269406</v>
      </c>
      <c r="W909" s="38">
        <v>53.5768645</v>
      </c>
      <c r="X909" s="38">
        <v>10.3500761</v>
      </c>
      <c r="Y909" s="38">
        <v>36.0730594</v>
      </c>
    </row>
    <row r="910" ht="15.0" hidden="1" customHeight="1">
      <c r="B910" s="30">
        <v>905.0</v>
      </c>
      <c r="C910" s="31" t="s">
        <v>21</v>
      </c>
      <c r="D910" s="31" t="s">
        <v>262</v>
      </c>
      <c r="E910" s="31" t="s">
        <v>293</v>
      </c>
      <c r="F910" s="31" t="s">
        <v>295</v>
      </c>
      <c r="G910" s="32" t="s">
        <v>15</v>
      </c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4"/>
      <c r="S910" s="34"/>
      <c r="T910" s="34"/>
      <c r="U910" s="34"/>
      <c r="V910" s="34"/>
      <c r="W910" s="34"/>
      <c r="X910" s="34"/>
      <c r="Y910" s="34"/>
    </row>
    <row r="911" ht="15.0" hidden="1" customHeight="1">
      <c r="B911" s="30">
        <v>906.0</v>
      </c>
      <c r="C911" s="31" t="s">
        <v>21</v>
      </c>
      <c r="D911" s="31" t="s">
        <v>262</v>
      </c>
      <c r="E911" s="31" t="s">
        <v>293</v>
      </c>
      <c r="F911" s="31" t="s">
        <v>295</v>
      </c>
      <c r="G911" s="32" t="s">
        <v>16</v>
      </c>
      <c r="H911" s="33">
        <v>372.0</v>
      </c>
      <c r="I911" s="33">
        <v>100.0</v>
      </c>
      <c r="J911" s="33">
        <v>32.0</v>
      </c>
      <c r="K911" s="33">
        <v>68.0</v>
      </c>
      <c r="L911" s="33">
        <v>272.0</v>
      </c>
      <c r="M911" s="33">
        <v>657.0</v>
      </c>
      <c r="N911" s="33">
        <v>420.0</v>
      </c>
      <c r="O911" s="33">
        <v>352.0</v>
      </c>
      <c r="P911" s="33">
        <v>68.0</v>
      </c>
      <c r="Q911" s="33">
        <v>237.0</v>
      </c>
      <c r="R911" s="34">
        <v>26.8817204</v>
      </c>
      <c r="S911" s="34">
        <v>8.6021505</v>
      </c>
      <c r="T911" s="34">
        <v>18.2795699</v>
      </c>
      <c r="U911" s="34">
        <v>73.1182796</v>
      </c>
      <c r="V911" s="34">
        <v>63.9269406</v>
      </c>
      <c r="W911" s="34">
        <v>53.5768645</v>
      </c>
      <c r="X911" s="34">
        <v>10.3500761</v>
      </c>
      <c r="Y911" s="34">
        <v>36.0730594</v>
      </c>
    </row>
    <row r="912" ht="15.0" hidden="1" customHeight="1">
      <c r="B912" s="26">
        <v>907.0</v>
      </c>
      <c r="C912" s="27" t="s">
        <v>19</v>
      </c>
      <c r="D912" s="40" t="s">
        <v>262</v>
      </c>
      <c r="E912" s="40" t="s">
        <v>296</v>
      </c>
      <c r="F912" s="40"/>
      <c r="G912" s="27" t="s">
        <v>296</v>
      </c>
      <c r="H912" s="28">
        <v>1944.0</v>
      </c>
      <c r="I912" s="28">
        <v>473.0</v>
      </c>
      <c r="J912" s="28">
        <v>176.0</v>
      </c>
      <c r="K912" s="28">
        <v>297.0</v>
      </c>
      <c r="L912" s="28">
        <v>1471.0</v>
      </c>
      <c r="M912" s="28">
        <v>2125.0</v>
      </c>
      <c r="N912" s="28">
        <v>1114.0</v>
      </c>
      <c r="O912" s="28">
        <v>868.0</v>
      </c>
      <c r="P912" s="28">
        <v>246.0</v>
      </c>
      <c r="Q912" s="28">
        <v>1011.0</v>
      </c>
      <c r="R912" s="29">
        <v>24.3312757</v>
      </c>
      <c r="S912" s="29">
        <v>9.0534979</v>
      </c>
      <c r="T912" s="29">
        <v>15.2777778</v>
      </c>
      <c r="U912" s="29">
        <v>75.6687243</v>
      </c>
      <c r="V912" s="29">
        <v>52.4235294</v>
      </c>
      <c r="W912" s="29">
        <v>40.8470588</v>
      </c>
      <c r="X912" s="29">
        <v>11.5764706</v>
      </c>
      <c r="Y912" s="29">
        <v>47.5764706</v>
      </c>
    </row>
    <row r="913" ht="15.0" hidden="1" customHeight="1">
      <c r="B913" s="30">
        <v>908.0</v>
      </c>
      <c r="C913" s="31" t="s">
        <v>19</v>
      </c>
      <c r="D913" s="31" t="s">
        <v>262</v>
      </c>
      <c r="E913" s="31" t="s">
        <v>296</v>
      </c>
      <c r="F913" s="31"/>
      <c r="G913" s="32" t="s">
        <v>15</v>
      </c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4"/>
      <c r="S913" s="34"/>
      <c r="T913" s="34"/>
      <c r="U913" s="34"/>
      <c r="V913" s="34"/>
      <c r="W913" s="34"/>
      <c r="X913" s="34"/>
      <c r="Y913" s="34"/>
    </row>
    <row r="914" ht="15.0" hidden="1" customHeight="1">
      <c r="B914" s="30">
        <v>909.0</v>
      </c>
      <c r="C914" s="31" t="s">
        <v>19</v>
      </c>
      <c r="D914" s="31" t="s">
        <v>262</v>
      </c>
      <c r="E914" s="31" t="s">
        <v>296</v>
      </c>
      <c r="F914" s="31"/>
      <c r="G914" s="32" t="s">
        <v>16</v>
      </c>
      <c r="H914" s="33">
        <v>1944.0</v>
      </c>
      <c r="I914" s="33">
        <v>473.0</v>
      </c>
      <c r="J914" s="33">
        <v>176.0</v>
      </c>
      <c r="K914" s="33">
        <v>297.0</v>
      </c>
      <c r="L914" s="33">
        <v>1471.0</v>
      </c>
      <c r="M914" s="33">
        <v>2125.0</v>
      </c>
      <c r="N914" s="33">
        <v>1114.0</v>
      </c>
      <c r="O914" s="33">
        <v>868.0</v>
      </c>
      <c r="P914" s="33">
        <v>246.0</v>
      </c>
      <c r="Q914" s="33">
        <v>1011.0</v>
      </c>
      <c r="R914" s="34">
        <v>24.3312757</v>
      </c>
      <c r="S914" s="34">
        <v>9.0534979</v>
      </c>
      <c r="T914" s="34">
        <v>15.2777778</v>
      </c>
      <c r="U914" s="34">
        <v>75.6687243</v>
      </c>
      <c r="V914" s="34">
        <v>52.4235294</v>
      </c>
      <c r="W914" s="34">
        <v>40.8470588</v>
      </c>
      <c r="X914" s="34">
        <v>11.5764706</v>
      </c>
      <c r="Y914" s="34">
        <v>47.5764706</v>
      </c>
    </row>
    <row r="915" ht="15.0" customHeight="1">
      <c r="B915" s="35">
        <v>910.0</v>
      </c>
      <c r="C915" s="36" t="s">
        <v>21</v>
      </c>
      <c r="D915" s="41" t="s">
        <v>262</v>
      </c>
      <c r="E915" s="41" t="s">
        <v>296</v>
      </c>
      <c r="F915" s="41" t="s">
        <v>297</v>
      </c>
      <c r="G915" s="42" t="s">
        <v>297</v>
      </c>
      <c r="H915" s="37">
        <v>871.0</v>
      </c>
      <c r="I915" s="37">
        <v>158.0</v>
      </c>
      <c r="J915" s="37">
        <v>45.0</v>
      </c>
      <c r="K915" s="37">
        <v>113.0</v>
      </c>
      <c r="L915" s="37">
        <v>713.0</v>
      </c>
      <c r="M915" s="37">
        <v>1111.0</v>
      </c>
      <c r="N915" s="37">
        <v>525.0</v>
      </c>
      <c r="O915" s="37">
        <v>399.0</v>
      </c>
      <c r="P915" s="37">
        <v>126.0</v>
      </c>
      <c r="Q915" s="37">
        <v>586.0</v>
      </c>
      <c r="R915" s="38">
        <v>18.1400689</v>
      </c>
      <c r="S915" s="38">
        <v>5.1664753</v>
      </c>
      <c r="T915" s="38">
        <v>12.9735936</v>
      </c>
      <c r="U915" s="38">
        <v>81.8599311</v>
      </c>
      <c r="V915" s="38">
        <v>47.2547255</v>
      </c>
      <c r="W915" s="38">
        <v>35.9135914</v>
      </c>
      <c r="X915" s="38">
        <v>11.3411341</v>
      </c>
      <c r="Y915" s="38">
        <v>52.7452745</v>
      </c>
    </row>
    <row r="916" ht="15.0" hidden="1" customHeight="1">
      <c r="B916" s="30">
        <v>911.0</v>
      </c>
      <c r="C916" s="31" t="s">
        <v>21</v>
      </c>
      <c r="D916" s="31" t="s">
        <v>262</v>
      </c>
      <c r="E916" s="31" t="s">
        <v>296</v>
      </c>
      <c r="F916" s="31" t="s">
        <v>297</v>
      </c>
      <c r="G916" s="32" t="s">
        <v>15</v>
      </c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4"/>
      <c r="S916" s="34"/>
      <c r="T916" s="34"/>
      <c r="U916" s="34"/>
      <c r="V916" s="34"/>
      <c r="W916" s="34"/>
      <c r="X916" s="34"/>
      <c r="Y916" s="34"/>
    </row>
    <row r="917" ht="15.0" hidden="1" customHeight="1">
      <c r="B917" s="30">
        <v>912.0</v>
      </c>
      <c r="C917" s="31" t="s">
        <v>21</v>
      </c>
      <c r="D917" s="31" t="s">
        <v>262</v>
      </c>
      <c r="E917" s="31" t="s">
        <v>296</v>
      </c>
      <c r="F917" s="31" t="s">
        <v>297</v>
      </c>
      <c r="G917" s="32" t="s">
        <v>16</v>
      </c>
      <c r="H917" s="33">
        <v>871.0</v>
      </c>
      <c r="I917" s="33">
        <v>158.0</v>
      </c>
      <c r="J917" s="33">
        <v>45.0</v>
      </c>
      <c r="K917" s="33">
        <v>113.0</v>
      </c>
      <c r="L917" s="33">
        <v>713.0</v>
      </c>
      <c r="M917" s="33">
        <v>1111.0</v>
      </c>
      <c r="N917" s="33">
        <v>525.0</v>
      </c>
      <c r="O917" s="33">
        <v>399.0</v>
      </c>
      <c r="P917" s="33">
        <v>126.0</v>
      </c>
      <c r="Q917" s="33">
        <v>586.0</v>
      </c>
      <c r="R917" s="34">
        <v>18.1400689</v>
      </c>
      <c r="S917" s="34">
        <v>5.1664753</v>
      </c>
      <c r="T917" s="34">
        <v>12.9735936</v>
      </c>
      <c r="U917" s="34">
        <v>81.8599311</v>
      </c>
      <c r="V917" s="34">
        <v>47.2547255</v>
      </c>
      <c r="W917" s="34">
        <v>35.9135914</v>
      </c>
      <c r="X917" s="34">
        <v>11.3411341</v>
      </c>
      <c r="Y917" s="34">
        <v>52.7452745</v>
      </c>
    </row>
    <row r="918" ht="15.0" customHeight="1">
      <c r="B918" s="35">
        <v>913.0</v>
      </c>
      <c r="C918" s="36" t="s">
        <v>21</v>
      </c>
      <c r="D918" s="41" t="s">
        <v>262</v>
      </c>
      <c r="E918" s="41" t="s">
        <v>296</v>
      </c>
      <c r="F918" s="41" t="s">
        <v>298</v>
      </c>
      <c r="G918" s="42" t="s">
        <v>298</v>
      </c>
      <c r="H918" s="37">
        <v>358.0</v>
      </c>
      <c r="I918" s="37">
        <v>105.0</v>
      </c>
      <c r="J918" s="37">
        <v>49.0</v>
      </c>
      <c r="K918" s="37">
        <v>56.0</v>
      </c>
      <c r="L918" s="37">
        <v>253.0</v>
      </c>
      <c r="M918" s="37">
        <v>324.0</v>
      </c>
      <c r="N918" s="37">
        <v>186.0</v>
      </c>
      <c r="O918" s="37">
        <v>140.0</v>
      </c>
      <c r="P918" s="37">
        <v>46.0</v>
      </c>
      <c r="Q918" s="37">
        <v>138.0</v>
      </c>
      <c r="R918" s="38">
        <v>29.3296089</v>
      </c>
      <c r="S918" s="38">
        <v>13.6871508</v>
      </c>
      <c r="T918" s="38">
        <v>15.6424581</v>
      </c>
      <c r="U918" s="38">
        <v>70.6703911</v>
      </c>
      <c r="V918" s="38">
        <v>57.4074074</v>
      </c>
      <c r="W918" s="38">
        <v>43.2098765</v>
      </c>
      <c r="X918" s="38">
        <v>14.1975309</v>
      </c>
      <c r="Y918" s="38">
        <v>42.5925926</v>
      </c>
    </row>
    <row r="919" ht="15.0" hidden="1" customHeight="1">
      <c r="B919" s="30">
        <v>914.0</v>
      </c>
      <c r="C919" s="31" t="s">
        <v>21</v>
      </c>
      <c r="D919" s="31" t="s">
        <v>262</v>
      </c>
      <c r="E919" s="31" t="s">
        <v>296</v>
      </c>
      <c r="F919" s="31" t="s">
        <v>298</v>
      </c>
      <c r="G919" s="32" t="s">
        <v>15</v>
      </c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4"/>
      <c r="S919" s="34"/>
      <c r="T919" s="34"/>
      <c r="U919" s="34"/>
      <c r="V919" s="34"/>
      <c r="W919" s="34"/>
      <c r="X919" s="34"/>
      <c r="Y919" s="34"/>
    </row>
    <row r="920" ht="15.0" hidden="1" customHeight="1">
      <c r="B920" s="30">
        <v>915.0</v>
      </c>
      <c r="C920" s="31" t="s">
        <v>21</v>
      </c>
      <c r="D920" s="31" t="s">
        <v>262</v>
      </c>
      <c r="E920" s="31" t="s">
        <v>296</v>
      </c>
      <c r="F920" s="31" t="s">
        <v>298</v>
      </c>
      <c r="G920" s="32" t="s">
        <v>16</v>
      </c>
      <c r="H920" s="33">
        <v>358.0</v>
      </c>
      <c r="I920" s="33">
        <v>105.0</v>
      </c>
      <c r="J920" s="33">
        <v>49.0</v>
      </c>
      <c r="K920" s="33">
        <v>56.0</v>
      </c>
      <c r="L920" s="33">
        <v>253.0</v>
      </c>
      <c r="M920" s="33">
        <v>324.0</v>
      </c>
      <c r="N920" s="33">
        <v>186.0</v>
      </c>
      <c r="O920" s="33">
        <v>140.0</v>
      </c>
      <c r="P920" s="33">
        <v>46.0</v>
      </c>
      <c r="Q920" s="33">
        <v>138.0</v>
      </c>
      <c r="R920" s="34">
        <v>29.3296089</v>
      </c>
      <c r="S920" s="34">
        <v>13.6871508</v>
      </c>
      <c r="T920" s="34">
        <v>15.6424581</v>
      </c>
      <c r="U920" s="34">
        <v>70.6703911</v>
      </c>
      <c r="V920" s="34">
        <v>57.4074074</v>
      </c>
      <c r="W920" s="34">
        <v>43.2098765</v>
      </c>
      <c r="X920" s="34">
        <v>14.1975309</v>
      </c>
      <c r="Y920" s="34">
        <v>42.5925926</v>
      </c>
    </row>
    <row r="921" ht="15.0" customHeight="1">
      <c r="B921" s="35">
        <v>916.0</v>
      </c>
      <c r="C921" s="36" t="s">
        <v>21</v>
      </c>
      <c r="D921" s="41" t="s">
        <v>262</v>
      </c>
      <c r="E921" s="41" t="s">
        <v>296</v>
      </c>
      <c r="F921" s="41" t="s">
        <v>299</v>
      </c>
      <c r="G921" s="42" t="s">
        <v>299</v>
      </c>
      <c r="H921" s="37">
        <v>715.0</v>
      </c>
      <c r="I921" s="37">
        <v>210.0</v>
      </c>
      <c r="J921" s="37">
        <v>82.0</v>
      </c>
      <c r="K921" s="37">
        <v>128.0</v>
      </c>
      <c r="L921" s="37">
        <v>505.0</v>
      </c>
      <c r="M921" s="37">
        <v>690.0</v>
      </c>
      <c r="N921" s="37">
        <v>403.0</v>
      </c>
      <c r="O921" s="37">
        <v>329.0</v>
      </c>
      <c r="P921" s="37">
        <v>74.0</v>
      </c>
      <c r="Q921" s="37">
        <v>287.0</v>
      </c>
      <c r="R921" s="38">
        <v>29.3706294</v>
      </c>
      <c r="S921" s="38">
        <v>11.4685315</v>
      </c>
      <c r="T921" s="38">
        <v>17.9020979</v>
      </c>
      <c r="U921" s="38">
        <v>70.6293706</v>
      </c>
      <c r="V921" s="38">
        <v>58.4057971</v>
      </c>
      <c r="W921" s="38">
        <v>47.6811594</v>
      </c>
      <c r="X921" s="38">
        <v>10.7246377</v>
      </c>
      <c r="Y921" s="38">
        <v>41.5942029</v>
      </c>
    </row>
    <row r="922" ht="15.0" hidden="1" customHeight="1">
      <c r="B922" s="30">
        <v>917.0</v>
      </c>
      <c r="C922" s="31" t="s">
        <v>21</v>
      </c>
      <c r="D922" s="31" t="s">
        <v>262</v>
      </c>
      <c r="E922" s="31" t="s">
        <v>296</v>
      </c>
      <c r="F922" s="31" t="s">
        <v>299</v>
      </c>
      <c r="G922" s="32" t="s">
        <v>15</v>
      </c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4"/>
      <c r="S922" s="34"/>
      <c r="T922" s="34"/>
      <c r="U922" s="34"/>
      <c r="V922" s="34"/>
      <c r="W922" s="34"/>
      <c r="X922" s="34"/>
      <c r="Y922" s="34"/>
    </row>
    <row r="923" ht="15.0" hidden="1" customHeight="1">
      <c r="B923" s="30">
        <v>918.0</v>
      </c>
      <c r="C923" s="31" t="s">
        <v>21</v>
      </c>
      <c r="D923" s="31" t="s">
        <v>262</v>
      </c>
      <c r="E923" s="31" t="s">
        <v>296</v>
      </c>
      <c r="F923" s="31" t="s">
        <v>299</v>
      </c>
      <c r="G923" s="32" t="s">
        <v>16</v>
      </c>
      <c r="H923" s="33">
        <v>715.0</v>
      </c>
      <c r="I923" s="33">
        <v>210.0</v>
      </c>
      <c r="J923" s="33">
        <v>82.0</v>
      </c>
      <c r="K923" s="33">
        <v>128.0</v>
      </c>
      <c r="L923" s="33">
        <v>505.0</v>
      </c>
      <c r="M923" s="33">
        <v>690.0</v>
      </c>
      <c r="N923" s="33">
        <v>403.0</v>
      </c>
      <c r="O923" s="33">
        <v>329.0</v>
      </c>
      <c r="P923" s="33">
        <v>74.0</v>
      </c>
      <c r="Q923" s="33">
        <v>287.0</v>
      </c>
      <c r="R923" s="34">
        <v>29.3706294</v>
      </c>
      <c r="S923" s="34">
        <v>11.4685315</v>
      </c>
      <c r="T923" s="34">
        <v>17.9020979</v>
      </c>
      <c r="U923" s="34">
        <v>70.6293706</v>
      </c>
      <c r="V923" s="34">
        <v>58.4057971</v>
      </c>
      <c r="W923" s="34">
        <v>47.6811594</v>
      </c>
      <c r="X923" s="34">
        <v>10.7246377</v>
      </c>
      <c r="Y923" s="34">
        <v>41.5942029</v>
      </c>
    </row>
    <row r="924" ht="15.0" hidden="1" customHeight="1">
      <c r="B924" s="26">
        <v>919.0</v>
      </c>
      <c r="C924" s="27" t="s">
        <v>19</v>
      </c>
      <c r="D924" s="40" t="s">
        <v>262</v>
      </c>
      <c r="E924" s="40" t="s">
        <v>300</v>
      </c>
      <c r="F924" s="40"/>
      <c r="G924" s="27" t="s">
        <v>300</v>
      </c>
      <c r="H924" s="28">
        <v>14472.0</v>
      </c>
      <c r="I924" s="28">
        <v>3329.0</v>
      </c>
      <c r="J924" s="28">
        <v>1809.0</v>
      </c>
      <c r="K924" s="28">
        <v>1520.0</v>
      </c>
      <c r="L924" s="28">
        <v>11143.0</v>
      </c>
      <c r="M924" s="28">
        <v>15097.0</v>
      </c>
      <c r="N924" s="28">
        <v>6428.0</v>
      </c>
      <c r="O924" s="28">
        <v>5859.0</v>
      </c>
      <c r="P924" s="28">
        <v>569.0</v>
      </c>
      <c r="Q924" s="28">
        <v>8669.0</v>
      </c>
      <c r="R924" s="29">
        <v>23.0030404</v>
      </c>
      <c r="S924" s="29">
        <v>12.5</v>
      </c>
      <c r="T924" s="29">
        <v>10.5030404</v>
      </c>
      <c r="U924" s="29">
        <v>76.9969596</v>
      </c>
      <c r="V924" s="29">
        <v>42.5779956</v>
      </c>
      <c r="W924" s="29">
        <v>38.8090349</v>
      </c>
      <c r="X924" s="29">
        <v>3.7689607</v>
      </c>
      <c r="Y924" s="29">
        <v>57.4220044</v>
      </c>
    </row>
    <row r="925" ht="15.0" hidden="1" customHeight="1">
      <c r="B925" s="30">
        <v>920.0</v>
      </c>
      <c r="C925" s="31" t="s">
        <v>19</v>
      </c>
      <c r="D925" s="31" t="s">
        <v>262</v>
      </c>
      <c r="E925" s="31" t="s">
        <v>300</v>
      </c>
      <c r="F925" s="31"/>
      <c r="G925" s="32" t="s">
        <v>15</v>
      </c>
      <c r="H925" s="33">
        <v>722.0</v>
      </c>
      <c r="I925" s="33">
        <v>12.0</v>
      </c>
      <c r="J925" s="33">
        <v>9.0</v>
      </c>
      <c r="K925" s="33">
        <v>3.0</v>
      </c>
      <c r="L925" s="33">
        <v>710.0</v>
      </c>
      <c r="M925" s="33">
        <v>1230.0</v>
      </c>
      <c r="N925" s="33">
        <v>825.0</v>
      </c>
      <c r="O925" s="33">
        <v>727.0</v>
      </c>
      <c r="P925" s="33">
        <v>98.0</v>
      </c>
      <c r="Q925" s="33">
        <v>405.0</v>
      </c>
      <c r="R925" s="34">
        <v>1.6620499</v>
      </c>
      <c r="S925" s="34">
        <v>1.2465374</v>
      </c>
      <c r="T925" s="34">
        <v>0.4155125</v>
      </c>
      <c r="U925" s="34">
        <v>98.3379501</v>
      </c>
      <c r="V925" s="34">
        <v>67.0731707</v>
      </c>
      <c r="W925" s="34">
        <v>59.1056911</v>
      </c>
      <c r="X925" s="34">
        <v>7.9674797</v>
      </c>
      <c r="Y925" s="34">
        <v>32.9268293</v>
      </c>
    </row>
    <row r="926" ht="15.0" hidden="1" customHeight="1">
      <c r="B926" s="30">
        <v>921.0</v>
      </c>
      <c r="C926" s="31" t="s">
        <v>19</v>
      </c>
      <c r="D926" s="31" t="s">
        <v>262</v>
      </c>
      <c r="E926" s="31" t="s">
        <v>300</v>
      </c>
      <c r="F926" s="31"/>
      <c r="G926" s="32" t="s">
        <v>16</v>
      </c>
      <c r="H926" s="33">
        <v>13750.0</v>
      </c>
      <c r="I926" s="33">
        <v>3317.0</v>
      </c>
      <c r="J926" s="33">
        <v>1800.0</v>
      </c>
      <c r="K926" s="33">
        <v>1517.0</v>
      </c>
      <c r="L926" s="33">
        <v>10433.0</v>
      </c>
      <c r="M926" s="33">
        <v>13867.0</v>
      </c>
      <c r="N926" s="33">
        <v>5603.0</v>
      </c>
      <c r="O926" s="33">
        <v>5132.0</v>
      </c>
      <c r="P926" s="33">
        <v>471.0</v>
      </c>
      <c r="Q926" s="33">
        <v>8264.0</v>
      </c>
      <c r="R926" s="34">
        <v>24.1236364</v>
      </c>
      <c r="S926" s="34">
        <v>13.0909091</v>
      </c>
      <c r="T926" s="34">
        <v>11.0327273</v>
      </c>
      <c r="U926" s="34">
        <v>75.8763636</v>
      </c>
      <c r="V926" s="34">
        <v>40.4052787</v>
      </c>
      <c r="W926" s="34">
        <v>37.0087258</v>
      </c>
      <c r="X926" s="34">
        <v>3.396553</v>
      </c>
      <c r="Y926" s="34">
        <v>59.5947213</v>
      </c>
    </row>
    <row r="927" ht="15.0" customHeight="1">
      <c r="B927" s="35">
        <v>922.0</v>
      </c>
      <c r="C927" s="36" t="s">
        <v>21</v>
      </c>
      <c r="D927" s="41" t="s">
        <v>262</v>
      </c>
      <c r="E927" s="41" t="s">
        <v>300</v>
      </c>
      <c r="F927" s="41" t="s">
        <v>301</v>
      </c>
      <c r="G927" s="42" t="s">
        <v>301</v>
      </c>
      <c r="H927" s="37">
        <v>7103.0</v>
      </c>
      <c r="I927" s="37">
        <v>2081.0</v>
      </c>
      <c r="J927" s="37">
        <v>1129.0</v>
      </c>
      <c r="K927" s="37">
        <v>952.0</v>
      </c>
      <c r="L927" s="37">
        <v>5022.0</v>
      </c>
      <c r="M927" s="37">
        <v>6251.0</v>
      </c>
      <c r="N927" s="37">
        <v>3157.0</v>
      </c>
      <c r="O927" s="37">
        <v>2896.0</v>
      </c>
      <c r="P927" s="37">
        <v>261.0</v>
      </c>
      <c r="Q927" s="37">
        <v>3094.0</v>
      </c>
      <c r="R927" s="38">
        <v>29.2974799</v>
      </c>
      <c r="S927" s="38">
        <v>15.8946924</v>
      </c>
      <c r="T927" s="38">
        <v>13.4027876</v>
      </c>
      <c r="U927" s="38">
        <v>70.7025201</v>
      </c>
      <c r="V927" s="38">
        <v>50.5039194</v>
      </c>
      <c r="W927" s="38">
        <v>46.3285874</v>
      </c>
      <c r="X927" s="38">
        <v>4.1753319</v>
      </c>
      <c r="Y927" s="38">
        <v>49.4960806</v>
      </c>
    </row>
    <row r="928" ht="15.0" hidden="1" customHeight="1">
      <c r="B928" s="30">
        <v>923.0</v>
      </c>
      <c r="C928" s="31" t="s">
        <v>21</v>
      </c>
      <c r="D928" s="31" t="s">
        <v>262</v>
      </c>
      <c r="E928" s="31" t="s">
        <v>300</v>
      </c>
      <c r="F928" s="31" t="s">
        <v>301</v>
      </c>
      <c r="G928" s="32" t="s">
        <v>15</v>
      </c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4"/>
      <c r="S928" s="34"/>
      <c r="T928" s="34"/>
      <c r="U928" s="34"/>
      <c r="V928" s="34"/>
      <c r="W928" s="34"/>
      <c r="X928" s="34"/>
      <c r="Y928" s="34"/>
    </row>
    <row r="929" ht="15.0" hidden="1" customHeight="1">
      <c r="B929" s="30">
        <v>924.0</v>
      </c>
      <c r="C929" s="31" t="s">
        <v>21</v>
      </c>
      <c r="D929" s="31" t="s">
        <v>262</v>
      </c>
      <c r="E929" s="31" t="s">
        <v>300</v>
      </c>
      <c r="F929" s="31" t="s">
        <v>301</v>
      </c>
      <c r="G929" s="32" t="s">
        <v>16</v>
      </c>
      <c r="H929" s="33">
        <v>7103.0</v>
      </c>
      <c r="I929" s="33">
        <v>2081.0</v>
      </c>
      <c r="J929" s="33">
        <v>1129.0</v>
      </c>
      <c r="K929" s="33">
        <v>952.0</v>
      </c>
      <c r="L929" s="33">
        <v>5022.0</v>
      </c>
      <c r="M929" s="33">
        <v>6251.0</v>
      </c>
      <c r="N929" s="33">
        <v>3157.0</v>
      </c>
      <c r="O929" s="33">
        <v>2896.0</v>
      </c>
      <c r="P929" s="33">
        <v>261.0</v>
      </c>
      <c r="Q929" s="33">
        <v>3094.0</v>
      </c>
      <c r="R929" s="34">
        <v>29.2974799</v>
      </c>
      <c r="S929" s="34">
        <v>15.8946924</v>
      </c>
      <c r="T929" s="34">
        <v>13.4027876</v>
      </c>
      <c r="U929" s="34">
        <v>70.7025201</v>
      </c>
      <c r="V929" s="34">
        <v>50.5039194</v>
      </c>
      <c r="W929" s="34">
        <v>46.3285874</v>
      </c>
      <c r="X929" s="34">
        <v>4.1753319</v>
      </c>
      <c r="Y929" s="34">
        <v>49.4960806</v>
      </c>
    </row>
    <row r="930" ht="15.0" customHeight="1">
      <c r="B930" s="35">
        <v>925.0</v>
      </c>
      <c r="C930" s="36" t="s">
        <v>21</v>
      </c>
      <c r="D930" s="41" t="s">
        <v>262</v>
      </c>
      <c r="E930" s="41" t="s">
        <v>300</v>
      </c>
      <c r="F930" s="41" t="s">
        <v>302</v>
      </c>
      <c r="G930" s="42" t="s">
        <v>302</v>
      </c>
      <c r="H930" s="37">
        <v>3543.0</v>
      </c>
      <c r="I930" s="37">
        <v>993.0</v>
      </c>
      <c r="J930" s="37">
        <v>535.0</v>
      </c>
      <c r="K930" s="37">
        <v>458.0</v>
      </c>
      <c r="L930" s="37">
        <v>2550.0</v>
      </c>
      <c r="M930" s="37">
        <v>4643.0</v>
      </c>
      <c r="N930" s="37">
        <v>2513.0</v>
      </c>
      <c r="O930" s="37">
        <v>2281.0</v>
      </c>
      <c r="P930" s="37">
        <v>232.0</v>
      </c>
      <c r="Q930" s="37">
        <v>2130.0</v>
      </c>
      <c r="R930" s="38">
        <v>28.0270957</v>
      </c>
      <c r="S930" s="38">
        <v>15.1001976</v>
      </c>
      <c r="T930" s="38">
        <v>12.9268981</v>
      </c>
      <c r="U930" s="38">
        <v>71.9729043</v>
      </c>
      <c r="V930" s="38">
        <v>54.1244885</v>
      </c>
      <c r="W930" s="38">
        <v>49.1277191</v>
      </c>
      <c r="X930" s="38">
        <v>4.9967693</v>
      </c>
      <c r="Y930" s="38">
        <v>45.8755115</v>
      </c>
    </row>
    <row r="931" ht="15.0" hidden="1" customHeight="1">
      <c r="B931" s="30">
        <v>926.0</v>
      </c>
      <c r="C931" s="31" t="s">
        <v>21</v>
      </c>
      <c r="D931" s="31" t="s">
        <v>262</v>
      </c>
      <c r="E931" s="31" t="s">
        <v>300</v>
      </c>
      <c r="F931" s="31" t="s">
        <v>302</v>
      </c>
      <c r="G931" s="32" t="s">
        <v>15</v>
      </c>
      <c r="H931" s="33">
        <v>722.0</v>
      </c>
      <c r="I931" s="33">
        <v>12.0</v>
      </c>
      <c r="J931" s="33">
        <v>9.0</v>
      </c>
      <c r="K931" s="33">
        <v>3.0</v>
      </c>
      <c r="L931" s="33">
        <v>710.0</v>
      </c>
      <c r="M931" s="33">
        <v>1230.0</v>
      </c>
      <c r="N931" s="33">
        <v>825.0</v>
      </c>
      <c r="O931" s="33">
        <v>727.0</v>
      </c>
      <c r="P931" s="33">
        <v>98.0</v>
      </c>
      <c r="Q931" s="33">
        <v>405.0</v>
      </c>
      <c r="R931" s="34">
        <v>1.6620499</v>
      </c>
      <c r="S931" s="34">
        <v>1.2465374</v>
      </c>
      <c r="T931" s="34">
        <v>0.4155125</v>
      </c>
      <c r="U931" s="34">
        <v>98.3379501</v>
      </c>
      <c r="V931" s="34">
        <v>67.0731707</v>
      </c>
      <c r="W931" s="34">
        <v>59.1056911</v>
      </c>
      <c r="X931" s="34">
        <v>7.9674797</v>
      </c>
      <c r="Y931" s="34">
        <v>32.9268293</v>
      </c>
    </row>
    <row r="932" ht="15.0" hidden="1" customHeight="1">
      <c r="B932" s="30">
        <v>927.0</v>
      </c>
      <c r="C932" s="31" t="s">
        <v>21</v>
      </c>
      <c r="D932" s="31" t="s">
        <v>262</v>
      </c>
      <c r="E932" s="31" t="s">
        <v>300</v>
      </c>
      <c r="F932" s="31" t="s">
        <v>302</v>
      </c>
      <c r="G932" s="32" t="s">
        <v>16</v>
      </c>
      <c r="H932" s="33">
        <v>2821.0</v>
      </c>
      <c r="I932" s="33">
        <v>981.0</v>
      </c>
      <c r="J932" s="33">
        <v>526.0</v>
      </c>
      <c r="K932" s="33">
        <v>455.0</v>
      </c>
      <c r="L932" s="33">
        <v>1840.0</v>
      </c>
      <c r="M932" s="33">
        <v>3413.0</v>
      </c>
      <c r="N932" s="33">
        <v>1688.0</v>
      </c>
      <c r="O932" s="33">
        <v>1554.0</v>
      </c>
      <c r="P932" s="33">
        <v>134.0</v>
      </c>
      <c r="Q932" s="33">
        <v>1725.0</v>
      </c>
      <c r="R932" s="34">
        <v>34.7749025</v>
      </c>
      <c r="S932" s="34">
        <v>18.6458703</v>
      </c>
      <c r="T932" s="34">
        <v>16.1290323</v>
      </c>
      <c r="U932" s="34">
        <v>65.2250975</v>
      </c>
      <c r="V932" s="34">
        <v>49.4579549</v>
      </c>
      <c r="W932" s="34">
        <v>45.5317902</v>
      </c>
      <c r="X932" s="34">
        <v>3.9261647</v>
      </c>
      <c r="Y932" s="34">
        <v>50.5420451</v>
      </c>
    </row>
    <row r="933" ht="15.0" customHeight="1">
      <c r="B933" s="35">
        <v>928.0</v>
      </c>
      <c r="C933" s="36" t="s">
        <v>21</v>
      </c>
      <c r="D933" s="41" t="s">
        <v>262</v>
      </c>
      <c r="E933" s="41" t="s">
        <v>300</v>
      </c>
      <c r="F933" s="41" t="s">
        <v>303</v>
      </c>
      <c r="G933" s="42" t="s">
        <v>303</v>
      </c>
      <c r="H933" s="37">
        <v>3826.0</v>
      </c>
      <c r="I933" s="37">
        <v>255.0</v>
      </c>
      <c r="J933" s="37">
        <v>145.0</v>
      </c>
      <c r="K933" s="37">
        <v>110.0</v>
      </c>
      <c r="L933" s="37">
        <v>3571.0</v>
      </c>
      <c r="M933" s="37">
        <v>4203.0</v>
      </c>
      <c r="N933" s="37">
        <v>758.0</v>
      </c>
      <c r="O933" s="37">
        <v>682.0</v>
      </c>
      <c r="P933" s="37">
        <v>76.0</v>
      </c>
      <c r="Q933" s="37">
        <v>3445.0</v>
      </c>
      <c r="R933" s="38">
        <v>6.6649242</v>
      </c>
      <c r="S933" s="38">
        <v>3.7898589</v>
      </c>
      <c r="T933" s="38">
        <v>2.8750653</v>
      </c>
      <c r="U933" s="38">
        <v>93.3350758</v>
      </c>
      <c r="V933" s="38">
        <v>18.0347371</v>
      </c>
      <c r="W933" s="38">
        <v>16.2265049</v>
      </c>
      <c r="X933" s="38">
        <v>1.8082322</v>
      </c>
      <c r="Y933" s="38">
        <v>81.9652629</v>
      </c>
    </row>
    <row r="934" ht="15.0" hidden="1" customHeight="1">
      <c r="B934" s="30">
        <v>929.0</v>
      </c>
      <c r="C934" s="31" t="s">
        <v>21</v>
      </c>
      <c r="D934" s="31" t="s">
        <v>262</v>
      </c>
      <c r="E934" s="31" t="s">
        <v>300</v>
      </c>
      <c r="F934" s="31" t="s">
        <v>303</v>
      </c>
      <c r="G934" s="32" t="s">
        <v>15</v>
      </c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4"/>
      <c r="S934" s="34"/>
      <c r="T934" s="34"/>
      <c r="U934" s="34"/>
      <c r="V934" s="34"/>
      <c r="W934" s="34"/>
      <c r="X934" s="34"/>
      <c r="Y934" s="34"/>
    </row>
    <row r="935" ht="15.0" hidden="1" customHeight="1">
      <c r="B935" s="30">
        <v>930.0</v>
      </c>
      <c r="C935" s="31" t="s">
        <v>21</v>
      </c>
      <c r="D935" s="31" t="s">
        <v>262</v>
      </c>
      <c r="E935" s="31" t="s">
        <v>300</v>
      </c>
      <c r="F935" s="31" t="s">
        <v>303</v>
      </c>
      <c r="G935" s="32" t="s">
        <v>16</v>
      </c>
      <c r="H935" s="33">
        <v>3826.0</v>
      </c>
      <c r="I935" s="33">
        <v>255.0</v>
      </c>
      <c r="J935" s="33">
        <v>145.0</v>
      </c>
      <c r="K935" s="33">
        <v>110.0</v>
      </c>
      <c r="L935" s="33">
        <v>3571.0</v>
      </c>
      <c r="M935" s="33">
        <v>4203.0</v>
      </c>
      <c r="N935" s="33">
        <v>758.0</v>
      </c>
      <c r="O935" s="33">
        <v>682.0</v>
      </c>
      <c r="P935" s="33">
        <v>76.0</v>
      </c>
      <c r="Q935" s="33">
        <v>3445.0</v>
      </c>
      <c r="R935" s="34">
        <v>6.6649242</v>
      </c>
      <c r="S935" s="34">
        <v>3.7898589</v>
      </c>
      <c r="T935" s="34">
        <v>2.8750653</v>
      </c>
      <c r="U935" s="34">
        <v>93.3350758</v>
      </c>
      <c r="V935" s="34">
        <v>18.0347371</v>
      </c>
      <c r="W935" s="34">
        <v>16.2265049</v>
      </c>
      <c r="X935" s="34">
        <v>1.8082322</v>
      </c>
      <c r="Y935" s="34">
        <v>81.9652629</v>
      </c>
    </row>
    <row r="936" ht="15.0" hidden="1" customHeight="1">
      <c r="B936" s="26">
        <v>931.0</v>
      </c>
      <c r="C936" s="27" t="s">
        <v>19</v>
      </c>
      <c r="D936" s="40" t="s">
        <v>262</v>
      </c>
      <c r="E936" s="40" t="s">
        <v>304</v>
      </c>
      <c r="F936" s="40"/>
      <c r="G936" s="27" t="s">
        <v>304</v>
      </c>
      <c r="H936" s="28">
        <v>17969.0</v>
      </c>
      <c r="I936" s="28">
        <v>6175.0</v>
      </c>
      <c r="J936" s="28">
        <v>2474.0</v>
      </c>
      <c r="K936" s="28">
        <v>3701.0</v>
      </c>
      <c r="L936" s="28">
        <v>11794.0</v>
      </c>
      <c r="M936" s="28">
        <v>24344.0</v>
      </c>
      <c r="N936" s="28">
        <v>14277.0</v>
      </c>
      <c r="O936" s="28">
        <v>9549.0</v>
      </c>
      <c r="P936" s="28">
        <v>4728.0</v>
      </c>
      <c r="Q936" s="28">
        <v>10067.0</v>
      </c>
      <c r="R936" s="29">
        <v>34.3647393</v>
      </c>
      <c r="S936" s="29">
        <v>13.7681563</v>
      </c>
      <c r="T936" s="29">
        <v>20.596583</v>
      </c>
      <c r="U936" s="29">
        <v>65.6352607</v>
      </c>
      <c r="V936" s="29">
        <v>58.6468945</v>
      </c>
      <c r="W936" s="29">
        <v>39.2252711</v>
      </c>
      <c r="X936" s="29">
        <v>19.4216234</v>
      </c>
      <c r="Y936" s="29">
        <v>41.3531055</v>
      </c>
    </row>
    <row r="937" ht="15.0" hidden="1" customHeight="1">
      <c r="B937" s="30">
        <v>932.0</v>
      </c>
      <c r="C937" s="31" t="s">
        <v>19</v>
      </c>
      <c r="D937" s="31" t="s">
        <v>262</v>
      </c>
      <c r="E937" s="31" t="s">
        <v>304</v>
      </c>
      <c r="F937" s="31"/>
      <c r="G937" s="32" t="s">
        <v>15</v>
      </c>
      <c r="H937" s="33">
        <v>8008.0</v>
      </c>
      <c r="I937" s="33">
        <v>5309.0</v>
      </c>
      <c r="J937" s="33">
        <v>2042.0</v>
      </c>
      <c r="K937" s="33">
        <v>3267.0</v>
      </c>
      <c r="L937" s="33">
        <v>2699.0</v>
      </c>
      <c r="M937" s="33">
        <v>13151.0</v>
      </c>
      <c r="N937" s="33">
        <v>11399.0</v>
      </c>
      <c r="O937" s="33">
        <v>7078.0</v>
      </c>
      <c r="P937" s="33">
        <v>4321.0</v>
      </c>
      <c r="Q937" s="33">
        <v>1752.0</v>
      </c>
      <c r="R937" s="34">
        <v>66.2962038</v>
      </c>
      <c r="S937" s="34">
        <v>25.4995005</v>
      </c>
      <c r="T937" s="34">
        <v>40.7967033</v>
      </c>
      <c r="U937" s="34">
        <v>33.7037962</v>
      </c>
      <c r="V937" s="34">
        <v>86.6778192</v>
      </c>
      <c r="W937" s="34">
        <v>53.8210022</v>
      </c>
      <c r="X937" s="34">
        <v>32.856817</v>
      </c>
      <c r="Y937" s="34">
        <v>13.3221808</v>
      </c>
    </row>
    <row r="938" ht="15.0" hidden="1" customHeight="1">
      <c r="B938" s="30">
        <v>933.0</v>
      </c>
      <c r="C938" s="31" t="s">
        <v>19</v>
      </c>
      <c r="D938" s="31" t="s">
        <v>262</v>
      </c>
      <c r="E938" s="31" t="s">
        <v>304</v>
      </c>
      <c r="F938" s="31"/>
      <c r="G938" s="32" t="s">
        <v>16</v>
      </c>
      <c r="H938" s="33">
        <v>9961.0</v>
      </c>
      <c r="I938" s="33">
        <v>866.0</v>
      </c>
      <c r="J938" s="33">
        <v>432.0</v>
      </c>
      <c r="K938" s="33">
        <v>434.0</v>
      </c>
      <c r="L938" s="33">
        <v>9095.0</v>
      </c>
      <c r="M938" s="33">
        <v>11193.0</v>
      </c>
      <c r="N938" s="33">
        <v>2878.0</v>
      </c>
      <c r="O938" s="33">
        <v>2471.0</v>
      </c>
      <c r="P938" s="33">
        <v>407.0</v>
      </c>
      <c r="Q938" s="33">
        <v>8315.0</v>
      </c>
      <c r="R938" s="34">
        <v>8.6939062</v>
      </c>
      <c r="S938" s="34">
        <v>4.336914</v>
      </c>
      <c r="T938" s="34">
        <v>4.3569923</v>
      </c>
      <c r="U938" s="34">
        <v>91.3060938</v>
      </c>
      <c r="V938" s="34">
        <v>25.7124989</v>
      </c>
      <c r="W938" s="34">
        <v>22.0762977</v>
      </c>
      <c r="X938" s="34">
        <v>3.6362012</v>
      </c>
      <c r="Y938" s="34">
        <v>74.2875011</v>
      </c>
    </row>
    <row r="939" ht="15.0" customHeight="1">
      <c r="B939" s="35">
        <v>934.0</v>
      </c>
      <c r="C939" s="36" t="s">
        <v>21</v>
      </c>
      <c r="D939" s="41" t="s">
        <v>262</v>
      </c>
      <c r="E939" s="41" t="s">
        <v>304</v>
      </c>
      <c r="F939" s="41" t="s">
        <v>305</v>
      </c>
      <c r="G939" s="42" t="s">
        <v>305</v>
      </c>
      <c r="H939" s="37">
        <v>9597.0</v>
      </c>
      <c r="I939" s="37">
        <v>3864.0</v>
      </c>
      <c r="J939" s="37">
        <v>1645.0</v>
      </c>
      <c r="K939" s="37">
        <v>2219.0</v>
      </c>
      <c r="L939" s="37">
        <v>5733.0</v>
      </c>
      <c r="M939" s="37">
        <v>13134.0</v>
      </c>
      <c r="N939" s="37">
        <v>8488.0</v>
      </c>
      <c r="O939" s="37">
        <v>6390.0</v>
      </c>
      <c r="P939" s="37">
        <v>2098.0</v>
      </c>
      <c r="Q939" s="37">
        <v>4646.0</v>
      </c>
      <c r="R939" s="38">
        <v>40.2625821</v>
      </c>
      <c r="S939" s="38">
        <v>17.1407732</v>
      </c>
      <c r="T939" s="38">
        <v>23.1218089</v>
      </c>
      <c r="U939" s="38">
        <v>59.7374179</v>
      </c>
      <c r="V939" s="38">
        <v>64.6261611</v>
      </c>
      <c r="W939" s="38">
        <v>48.6523527</v>
      </c>
      <c r="X939" s="38">
        <v>15.9738084</v>
      </c>
      <c r="Y939" s="38">
        <v>35.3738389</v>
      </c>
    </row>
    <row r="940" ht="15.0" hidden="1" customHeight="1">
      <c r="B940" s="30">
        <v>935.0</v>
      </c>
      <c r="C940" s="31" t="s">
        <v>21</v>
      </c>
      <c r="D940" s="31" t="s">
        <v>262</v>
      </c>
      <c r="E940" s="31" t="s">
        <v>304</v>
      </c>
      <c r="F940" s="31" t="s">
        <v>305</v>
      </c>
      <c r="G940" s="32" t="s">
        <v>15</v>
      </c>
      <c r="H940" s="33">
        <v>5768.0</v>
      </c>
      <c r="I940" s="33">
        <v>3502.0</v>
      </c>
      <c r="J940" s="33">
        <v>1492.0</v>
      </c>
      <c r="K940" s="33">
        <v>2010.0</v>
      </c>
      <c r="L940" s="33">
        <v>2266.0</v>
      </c>
      <c r="M940" s="33">
        <v>9037.0</v>
      </c>
      <c r="N940" s="33">
        <v>7471.0</v>
      </c>
      <c r="O940" s="33">
        <v>5492.0</v>
      </c>
      <c r="P940" s="33">
        <v>1979.0</v>
      </c>
      <c r="Q940" s="33">
        <v>1566.0</v>
      </c>
      <c r="R940" s="34">
        <v>60.7142857</v>
      </c>
      <c r="S940" s="34">
        <v>25.8668516</v>
      </c>
      <c r="T940" s="34">
        <v>34.8474341</v>
      </c>
      <c r="U940" s="34">
        <v>39.2857143</v>
      </c>
      <c r="V940" s="34">
        <v>82.6712405</v>
      </c>
      <c r="W940" s="34">
        <v>60.7723802</v>
      </c>
      <c r="X940" s="34">
        <v>21.8988602</v>
      </c>
      <c r="Y940" s="34">
        <v>17.3287595</v>
      </c>
    </row>
    <row r="941" ht="15.0" hidden="1" customHeight="1">
      <c r="B941" s="30">
        <v>936.0</v>
      </c>
      <c r="C941" s="31" t="s">
        <v>21</v>
      </c>
      <c r="D941" s="31" t="s">
        <v>262</v>
      </c>
      <c r="E941" s="31" t="s">
        <v>304</v>
      </c>
      <c r="F941" s="31" t="s">
        <v>305</v>
      </c>
      <c r="G941" s="32" t="s">
        <v>16</v>
      </c>
      <c r="H941" s="33">
        <v>3829.0</v>
      </c>
      <c r="I941" s="33">
        <v>362.0</v>
      </c>
      <c r="J941" s="33">
        <v>153.0</v>
      </c>
      <c r="K941" s="33">
        <v>209.0</v>
      </c>
      <c r="L941" s="33">
        <v>3467.0</v>
      </c>
      <c r="M941" s="33">
        <v>4097.0</v>
      </c>
      <c r="N941" s="33">
        <v>1017.0</v>
      </c>
      <c r="O941" s="33">
        <v>898.0</v>
      </c>
      <c r="P941" s="33">
        <v>119.0</v>
      </c>
      <c r="Q941" s="33">
        <v>3080.0</v>
      </c>
      <c r="R941" s="34">
        <v>9.4541656</v>
      </c>
      <c r="S941" s="34">
        <v>3.9958214</v>
      </c>
      <c r="T941" s="34">
        <v>5.4583442</v>
      </c>
      <c r="U941" s="34">
        <v>90.5458344</v>
      </c>
      <c r="V941" s="34">
        <v>24.8230412</v>
      </c>
      <c r="W941" s="34">
        <v>21.9184769</v>
      </c>
      <c r="X941" s="34">
        <v>2.9045643</v>
      </c>
      <c r="Y941" s="34">
        <v>75.1769588</v>
      </c>
    </row>
    <row r="942" ht="15.0" customHeight="1">
      <c r="B942" s="35">
        <v>937.0</v>
      </c>
      <c r="C942" s="36" t="s">
        <v>21</v>
      </c>
      <c r="D942" s="41" t="s">
        <v>262</v>
      </c>
      <c r="E942" s="41" t="s">
        <v>304</v>
      </c>
      <c r="F942" s="41" t="s">
        <v>306</v>
      </c>
      <c r="G942" s="42" t="s">
        <v>306</v>
      </c>
      <c r="H942" s="37">
        <v>3077.0</v>
      </c>
      <c r="I942" s="37">
        <v>211.0</v>
      </c>
      <c r="J942" s="37">
        <v>141.0</v>
      </c>
      <c r="K942" s="37">
        <v>70.0</v>
      </c>
      <c r="L942" s="37">
        <v>2866.0</v>
      </c>
      <c r="M942" s="37">
        <v>3317.0</v>
      </c>
      <c r="N942" s="37">
        <v>888.0</v>
      </c>
      <c r="O942" s="37">
        <v>759.0</v>
      </c>
      <c r="P942" s="37">
        <v>129.0</v>
      </c>
      <c r="Q942" s="37">
        <v>2429.0</v>
      </c>
      <c r="R942" s="38">
        <v>6.8573286</v>
      </c>
      <c r="S942" s="38">
        <v>4.5823854</v>
      </c>
      <c r="T942" s="38">
        <v>2.2749431</v>
      </c>
      <c r="U942" s="38">
        <v>93.1426714</v>
      </c>
      <c r="V942" s="38">
        <v>26.7711788</v>
      </c>
      <c r="W942" s="38">
        <v>22.8821224</v>
      </c>
      <c r="X942" s="38">
        <v>3.8890564</v>
      </c>
      <c r="Y942" s="38">
        <v>73.2288212</v>
      </c>
    </row>
    <row r="943" ht="15.0" hidden="1" customHeight="1">
      <c r="B943" s="30">
        <v>938.0</v>
      </c>
      <c r="C943" s="31" t="s">
        <v>21</v>
      </c>
      <c r="D943" s="31" t="s">
        <v>262</v>
      </c>
      <c r="E943" s="31" t="s">
        <v>304</v>
      </c>
      <c r="F943" s="31" t="s">
        <v>306</v>
      </c>
      <c r="G943" s="32" t="s">
        <v>15</v>
      </c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4"/>
      <c r="S943" s="34"/>
      <c r="T943" s="34"/>
      <c r="U943" s="34"/>
      <c r="V943" s="34"/>
      <c r="W943" s="34"/>
      <c r="X943" s="34"/>
      <c r="Y943" s="34"/>
    </row>
    <row r="944" ht="15.0" hidden="1" customHeight="1">
      <c r="B944" s="30">
        <v>939.0</v>
      </c>
      <c r="C944" s="31" t="s">
        <v>21</v>
      </c>
      <c r="D944" s="31" t="s">
        <v>262</v>
      </c>
      <c r="E944" s="31" t="s">
        <v>304</v>
      </c>
      <c r="F944" s="31" t="s">
        <v>306</v>
      </c>
      <c r="G944" s="32" t="s">
        <v>16</v>
      </c>
      <c r="H944" s="33">
        <v>3077.0</v>
      </c>
      <c r="I944" s="33">
        <v>211.0</v>
      </c>
      <c r="J944" s="33">
        <v>141.0</v>
      </c>
      <c r="K944" s="33">
        <v>70.0</v>
      </c>
      <c r="L944" s="33">
        <v>2866.0</v>
      </c>
      <c r="M944" s="33">
        <v>3317.0</v>
      </c>
      <c r="N944" s="33">
        <v>888.0</v>
      </c>
      <c r="O944" s="33">
        <v>759.0</v>
      </c>
      <c r="P944" s="33">
        <v>129.0</v>
      </c>
      <c r="Q944" s="33">
        <v>2429.0</v>
      </c>
      <c r="R944" s="34">
        <v>6.8573286</v>
      </c>
      <c r="S944" s="34">
        <v>4.5823854</v>
      </c>
      <c r="T944" s="34">
        <v>2.2749431</v>
      </c>
      <c r="U944" s="34">
        <v>93.1426714</v>
      </c>
      <c r="V944" s="34">
        <v>26.7711788</v>
      </c>
      <c r="W944" s="34">
        <v>22.8821224</v>
      </c>
      <c r="X944" s="34">
        <v>3.8890564</v>
      </c>
      <c r="Y944" s="34">
        <v>73.2288212</v>
      </c>
    </row>
    <row r="945" ht="15.0" customHeight="1">
      <c r="B945" s="35">
        <v>940.0</v>
      </c>
      <c r="C945" s="36" t="s">
        <v>21</v>
      </c>
      <c r="D945" s="41" t="s">
        <v>262</v>
      </c>
      <c r="E945" s="41" t="s">
        <v>304</v>
      </c>
      <c r="F945" s="41" t="s">
        <v>307</v>
      </c>
      <c r="G945" s="42" t="s">
        <v>307</v>
      </c>
      <c r="H945" s="37">
        <v>3156.0</v>
      </c>
      <c r="I945" s="37">
        <v>1888.0</v>
      </c>
      <c r="J945" s="37">
        <v>579.0</v>
      </c>
      <c r="K945" s="37">
        <v>1309.0</v>
      </c>
      <c r="L945" s="37">
        <v>1268.0</v>
      </c>
      <c r="M945" s="37">
        <v>5286.0</v>
      </c>
      <c r="N945" s="37">
        <v>4126.0</v>
      </c>
      <c r="O945" s="37">
        <v>1733.0</v>
      </c>
      <c r="P945" s="37">
        <v>2393.0</v>
      </c>
      <c r="Q945" s="37">
        <v>1160.0</v>
      </c>
      <c r="R945" s="38">
        <v>59.8225602</v>
      </c>
      <c r="S945" s="38">
        <v>18.3460076</v>
      </c>
      <c r="T945" s="38">
        <v>41.4765526</v>
      </c>
      <c r="U945" s="38">
        <v>40.1774398</v>
      </c>
      <c r="V945" s="38">
        <v>78.0552403</v>
      </c>
      <c r="W945" s="38">
        <v>32.7847143</v>
      </c>
      <c r="X945" s="38">
        <v>45.2705259</v>
      </c>
      <c r="Y945" s="38">
        <v>21.9447597</v>
      </c>
    </row>
    <row r="946" ht="15.0" hidden="1" customHeight="1">
      <c r="B946" s="30">
        <v>941.0</v>
      </c>
      <c r="C946" s="31" t="s">
        <v>21</v>
      </c>
      <c r="D946" s="31" t="s">
        <v>262</v>
      </c>
      <c r="E946" s="31" t="s">
        <v>304</v>
      </c>
      <c r="F946" s="31" t="s">
        <v>307</v>
      </c>
      <c r="G946" s="32" t="s">
        <v>15</v>
      </c>
      <c r="H946" s="33">
        <v>2240.0</v>
      </c>
      <c r="I946" s="33">
        <v>1807.0</v>
      </c>
      <c r="J946" s="33">
        <v>550.0</v>
      </c>
      <c r="K946" s="33">
        <v>1257.0</v>
      </c>
      <c r="L946" s="33">
        <v>433.0</v>
      </c>
      <c r="M946" s="33">
        <v>4114.0</v>
      </c>
      <c r="N946" s="33">
        <v>3928.0</v>
      </c>
      <c r="O946" s="33">
        <v>1586.0</v>
      </c>
      <c r="P946" s="33">
        <v>2342.0</v>
      </c>
      <c r="Q946" s="33">
        <v>186.0</v>
      </c>
      <c r="R946" s="34">
        <v>80.6696429</v>
      </c>
      <c r="S946" s="34">
        <v>24.5535714</v>
      </c>
      <c r="T946" s="34">
        <v>56.1160714</v>
      </c>
      <c r="U946" s="34">
        <v>19.3303571</v>
      </c>
      <c r="V946" s="34">
        <v>95.4788527</v>
      </c>
      <c r="W946" s="34">
        <v>38.5512883</v>
      </c>
      <c r="X946" s="34">
        <v>56.9275644</v>
      </c>
      <c r="Y946" s="34">
        <v>4.5211473</v>
      </c>
    </row>
    <row r="947" ht="15.0" hidden="1" customHeight="1">
      <c r="B947" s="30">
        <v>942.0</v>
      </c>
      <c r="C947" s="31" t="s">
        <v>21</v>
      </c>
      <c r="D947" s="31" t="s">
        <v>262</v>
      </c>
      <c r="E947" s="31" t="s">
        <v>304</v>
      </c>
      <c r="F947" s="31" t="s">
        <v>307</v>
      </c>
      <c r="G947" s="32" t="s">
        <v>16</v>
      </c>
      <c r="H947" s="33">
        <v>916.0</v>
      </c>
      <c r="I947" s="33">
        <v>81.0</v>
      </c>
      <c r="J947" s="33">
        <v>29.0</v>
      </c>
      <c r="K947" s="33">
        <v>52.0</v>
      </c>
      <c r="L947" s="33">
        <v>835.0</v>
      </c>
      <c r="M947" s="33">
        <v>1172.0</v>
      </c>
      <c r="N947" s="33">
        <v>198.0</v>
      </c>
      <c r="O947" s="33">
        <v>147.0</v>
      </c>
      <c r="P947" s="33">
        <v>51.0</v>
      </c>
      <c r="Q947" s="33">
        <v>974.0</v>
      </c>
      <c r="R947" s="34">
        <v>8.8427948</v>
      </c>
      <c r="S947" s="34">
        <v>3.1659389</v>
      </c>
      <c r="T947" s="34">
        <v>5.6768559</v>
      </c>
      <c r="U947" s="34">
        <v>91.1572052</v>
      </c>
      <c r="V947" s="34">
        <v>16.894198</v>
      </c>
      <c r="W947" s="34">
        <v>12.5426621</v>
      </c>
      <c r="X947" s="34">
        <v>4.3515358</v>
      </c>
      <c r="Y947" s="34">
        <v>83.105802</v>
      </c>
    </row>
    <row r="948" ht="15.0" customHeight="1">
      <c r="B948" s="35">
        <v>943.0</v>
      </c>
      <c r="C948" s="36" t="s">
        <v>21</v>
      </c>
      <c r="D948" s="41" t="s">
        <v>262</v>
      </c>
      <c r="E948" s="41" t="s">
        <v>304</v>
      </c>
      <c r="F948" s="41" t="s">
        <v>308</v>
      </c>
      <c r="G948" s="42" t="s">
        <v>308</v>
      </c>
      <c r="H948" s="37">
        <v>2139.0</v>
      </c>
      <c r="I948" s="37">
        <v>212.0</v>
      </c>
      <c r="J948" s="37">
        <v>109.0</v>
      </c>
      <c r="K948" s="37">
        <v>103.0</v>
      </c>
      <c r="L948" s="37">
        <v>1927.0</v>
      </c>
      <c r="M948" s="37">
        <v>2607.0</v>
      </c>
      <c r="N948" s="37">
        <v>775.0</v>
      </c>
      <c r="O948" s="37">
        <v>667.0</v>
      </c>
      <c r="P948" s="37">
        <v>108.0</v>
      </c>
      <c r="Q948" s="37">
        <v>1832.0</v>
      </c>
      <c r="R948" s="38">
        <v>9.9111734</v>
      </c>
      <c r="S948" s="38">
        <v>5.0958392</v>
      </c>
      <c r="T948" s="38">
        <v>4.8153343</v>
      </c>
      <c r="U948" s="38">
        <v>90.0888266</v>
      </c>
      <c r="V948" s="38">
        <v>29.7276563</v>
      </c>
      <c r="W948" s="38">
        <v>25.5849636</v>
      </c>
      <c r="X948" s="38">
        <v>4.1426928</v>
      </c>
      <c r="Y948" s="38">
        <v>70.2723437</v>
      </c>
    </row>
    <row r="949" ht="15.0" hidden="1" customHeight="1">
      <c r="B949" s="30">
        <v>944.0</v>
      </c>
      <c r="C949" s="31" t="s">
        <v>21</v>
      </c>
      <c r="D949" s="31" t="s">
        <v>262</v>
      </c>
      <c r="E949" s="31" t="s">
        <v>304</v>
      </c>
      <c r="F949" s="31" t="s">
        <v>308</v>
      </c>
      <c r="G949" s="32" t="s">
        <v>15</v>
      </c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4"/>
      <c r="S949" s="34"/>
      <c r="T949" s="34"/>
      <c r="U949" s="34"/>
      <c r="V949" s="34"/>
      <c r="W949" s="34"/>
      <c r="X949" s="34"/>
      <c r="Y949" s="34"/>
    </row>
    <row r="950" ht="15.0" hidden="1" customHeight="1">
      <c r="B950" s="30">
        <v>945.0</v>
      </c>
      <c r="C950" s="31" t="s">
        <v>21</v>
      </c>
      <c r="D950" s="31" t="s">
        <v>262</v>
      </c>
      <c r="E950" s="31" t="s">
        <v>304</v>
      </c>
      <c r="F950" s="31" t="s">
        <v>308</v>
      </c>
      <c r="G950" s="32" t="s">
        <v>16</v>
      </c>
      <c r="H950" s="33">
        <v>2139.0</v>
      </c>
      <c r="I950" s="33">
        <v>212.0</v>
      </c>
      <c r="J950" s="33">
        <v>109.0</v>
      </c>
      <c r="K950" s="33">
        <v>103.0</v>
      </c>
      <c r="L950" s="33">
        <v>1927.0</v>
      </c>
      <c r="M950" s="33">
        <v>2607.0</v>
      </c>
      <c r="N950" s="33">
        <v>775.0</v>
      </c>
      <c r="O950" s="33">
        <v>667.0</v>
      </c>
      <c r="P950" s="33">
        <v>108.0</v>
      </c>
      <c r="Q950" s="33">
        <v>1832.0</v>
      </c>
      <c r="R950" s="34">
        <v>9.9111734</v>
      </c>
      <c r="S950" s="34">
        <v>5.0958392</v>
      </c>
      <c r="T950" s="34">
        <v>4.8153343</v>
      </c>
      <c r="U950" s="34">
        <v>90.0888266</v>
      </c>
      <c r="V950" s="34">
        <v>29.7276563</v>
      </c>
      <c r="W950" s="34">
        <v>25.5849636</v>
      </c>
      <c r="X950" s="34">
        <v>4.1426928</v>
      </c>
      <c r="Y950" s="34">
        <v>70.2723437</v>
      </c>
    </row>
    <row r="951" ht="15.0" hidden="1" customHeight="1">
      <c r="B951" s="26">
        <v>946.0</v>
      </c>
      <c r="C951" s="27" t="s">
        <v>19</v>
      </c>
      <c r="D951" s="40" t="s">
        <v>262</v>
      </c>
      <c r="E951" s="40" t="s">
        <v>309</v>
      </c>
      <c r="F951" s="40"/>
      <c r="G951" s="27" t="s">
        <v>309</v>
      </c>
      <c r="H951" s="28">
        <v>3017.0</v>
      </c>
      <c r="I951" s="28">
        <v>470.0</v>
      </c>
      <c r="J951" s="28">
        <v>267.0</v>
      </c>
      <c r="K951" s="28">
        <v>203.0</v>
      </c>
      <c r="L951" s="28">
        <v>2547.0</v>
      </c>
      <c r="M951" s="28">
        <v>3288.0</v>
      </c>
      <c r="N951" s="28">
        <v>873.0</v>
      </c>
      <c r="O951" s="28">
        <v>731.0</v>
      </c>
      <c r="P951" s="28">
        <v>142.0</v>
      </c>
      <c r="Q951" s="28">
        <v>2415.0</v>
      </c>
      <c r="R951" s="29">
        <v>15.5783891</v>
      </c>
      <c r="S951" s="29">
        <v>8.8498508</v>
      </c>
      <c r="T951" s="29">
        <v>6.7285383</v>
      </c>
      <c r="U951" s="29">
        <v>84.4216109</v>
      </c>
      <c r="V951" s="29">
        <v>26.5510949</v>
      </c>
      <c r="W951" s="29">
        <v>22.2323601</v>
      </c>
      <c r="X951" s="29">
        <v>4.3187348</v>
      </c>
      <c r="Y951" s="29">
        <v>73.4489051</v>
      </c>
    </row>
    <row r="952" ht="15.0" hidden="1" customHeight="1">
      <c r="B952" s="30">
        <v>947.0</v>
      </c>
      <c r="C952" s="31" t="s">
        <v>19</v>
      </c>
      <c r="D952" s="31" t="s">
        <v>262</v>
      </c>
      <c r="E952" s="31" t="s">
        <v>309</v>
      </c>
      <c r="F952" s="31"/>
      <c r="G952" s="32" t="s">
        <v>15</v>
      </c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4"/>
      <c r="S952" s="34"/>
      <c r="T952" s="34"/>
      <c r="U952" s="34"/>
      <c r="V952" s="34"/>
      <c r="W952" s="34"/>
      <c r="X952" s="34"/>
      <c r="Y952" s="34"/>
    </row>
    <row r="953" ht="15.0" hidden="1" customHeight="1">
      <c r="B953" s="30">
        <v>948.0</v>
      </c>
      <c r="C953" s="31" t="s">
        <v>19</v>
      </c>
      <c r="D953" s="31" t="s">
        <v>262</v>
      </c>
      <c r="E953" s="31" t="s">
        <v>309</v>
      </c>
      <c r="F953" s="31"/>
      <c r="G953" s="32" t="s">
        <v>16</v>
      </c>
      <c r="H953" s="33">
        <v>3017.0</v>
      </c>
      <c r="I953" s="33">
        <v>470.0</v>
      </c>
      <c r="J953" s="33">
        <v>267.0</v>
      </c>
      <c r="K953" s="33">
        <v>203.0</v>
      </c>
      <c r="L953" s="33">
        <v>2547.0</v>
      </c>
      <c r="M953" s="33">
        <v>3288.0</v>
      </c>
      <c r="N953" s="33">
        <v>873.0</v>
      </c>
      <c r="O953" s="33">
        <v>731.0</v>
      </c>
      <c r="P953" s="33">
        <v>142.0</v>
      </c>
      <c r="Q953" s="33">
        <v>2415.0</v>
      </c>
      <c r="R953" s="34">
        <v>15.5783891</v>
      </c>
      <c r="S953" s="34">
        <v>8.8498508</v>
      </c>
      <c r="T953" s="34">
        <v>6.7285383</v>
      </c>
      <c r="U953" s="34">
        <v>84.4216109</v>
      </c>
      <c r="V953" s="34">
        <v>26.5510949</v>
      </c>
      <c r="W953" s="34">
        <v>22.2323601</v>
      </c>
      <c r="X953" s="34">
        <v>4.3187348</v>
      </c>
      <c r="Y953" s="34">
        <v>73.4489051</v>
      </c>
    </row>
    <row r="954" ht="15.0" customHeight="1">
      <c r="B954" s="35">
        <v>949.0</v>
      </c>
      <c r="C954" s="36" t="s">
        <v>21</v>
      </c>
      <c r="D954" s="41" t="s">
        <v>262</v>
      </c>
      <c r="E954" s="41" t="s">
        <v>309</v>
      </c>
      <c r="F954" s="41" t="s">
        <v>310</v>
      </c>
      <c r="G954" s="42" t="s">
        <v>310</v>
      </c>
      <c r="H954" s="37">
        <v>1298.0</v>
      </c>
      <c r="I954" s="37">
        <v>248.0</v>
      </c>
      <c r="J954" s="37">
        <v>158.0</v>
      </c>
      <c r="K954" s="37">
        <v>90.0</v>
      </c>
      <c r="L954" s="37">
        <v>1050.0</v>
      </c>
      <c r="M954" s="37">
        <v>1457.0</v>
      </c>
      <c r="N954" s="37">
        <v>433.0</v>
      </c>
      <c r="O954" s="37">
        <v>363.0</v>
      </c>
      <c r="P954" s="37">
        <v>70.0</v>
      </c>
      <c r="Q954" s="37">
        <v>1024.0</v>
      </c>
      <c r="R954" s="38">
        <v>19.1063174</v>
      </c>
      <c r="S954" s="38">
        <v>12.1725732</v>
      </c>
      <c r="T954" s="38">
        <v>6.9337442</v>
      </c>
      <c r="U954" s="38">
        <v>80.8936826</v>
      </c>
      <c r="V954" s="38">
        <v>29.7185999</v>
      </c>
      <c r="W954" s="38">
        <v>24.9142073</v>
      </c>
      <c r="X954" s="38">
        <v>4.8043926</v>
      </c>
      <c r="Y954" s="38">
        <v>70.2814001</v>
      </c>
    </row>
    <row r="955" ht="15.0" hidden="1" customHeight="1">
      <c r="B955" s="30">
        <v>950.0</v>
      </c>
      <c r="C955" s="31" t="s">
        <v>21</v>
      </c>
      <c r="D955" s="31" t="s">
        <v>262</v>
      </c>
      <c r="E955" s="31" t="s">
        <v>309</v>
      </c>
      <c r="F955" s="31" t="s">
        <v>310</v>
      </c>
      <c r="G955" s="32" t="s">
        <v>15</v>
      </c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4"/>
      <c r="S955" s="34"/>
      <c r="T955" s="34"/>
      <c r="U955" s="34"/>
      <c r="V955" s="34"/>
      <c r="W955" s="34"/>
      <c r="X955" s="34"/>
      <c r="Y955" s="34"/>
    </row>
    <row r="956" ht="15.0" hidden="1" customHeight="1">
      <c r="B956" s="30">
        <v>951.0</v>
      </c>
      <c r="C956" s="31" t="s">
        <v>21</v>
      </c>
      <c r="D956" s="31" t="s">
        <v>262</v>
      </c>
      <c r="E956" s="31" t="s">
        <v>309</v>
      </c>
      <c r="F956" s="31" t="s">
        <v>310</v>
      </c>
      <c r="G956" s="32" t="s">
        <v>16</v>
      </c>
      <c r="H956" s="33">
        <v>1298.0</v>
      </c>
      <c r="I956" s="33">
        <v>248.0</v>
      </c>
      <c r="J956" s="33">
        <v>158.0</v>
      </c>
      <c r="K956" s="33">
        <v>90.0</v>
      </c>
      <c r="L956" s="33">
        <v>1050.0</v>
      </c>
      <c r="M956" s="33">
        <v>1457.0</v>
      </c>
      <c r="N956" s="33">
        <v>433.0</v>
      </c>
      <c r="O956" s="33">
        <v>363.0</v>
      </c>
      <c r="P956" s="33">
        <v>70.0</v>
      </c>
      <c r="Q956" s="33">
        <v>1024.0</v>
      </c>
      <c r="R956" s="34">
        <v>19.1063174</v>
      </c>
      <c r="S956" s="34">
        <v>12.1725732</v>
      </c>
      <c r="T956" s="34">
        <v>6.9337442</v>
      </c>
      <c r="U956" s="34">
        <v>80.8936826</v>
      </c>
      <c r="V956" s="34">
        <v>29.7185999</v>
      </c>
      <c r="W956" s="34">
        <v>24.9142073</v>
      </c>
      <c r="X956" s="34">
        <v>4.8043926</v>
      </c>
      <c r="Y956" s="34">
        <v>70.2814001</v>
      </c>
    </row>
    <row r="957" ht="15.0" customHeight="1">
      <c r="B957" s="35">
        <v>952.0</v>
      </c>
      <c r="C957" s="36" t="s">
        <v>21</v>
      </c>
      <c r="D957" s="41" t="s">
        <v>262</v>
      </c>
      <c r="E957" s="41" t="s">
        <v>309</v>
      </c>
      <c r="F957" s="41" t="s">
        <v>311</v>
      </c>
      <c r="G957" s="42" t="s">
        <v>311</v>
      </c>
      <c r="H957" s="37">
        <v>1719.0</v>
      </c>
      <c r="I957" s="37">
        <v>222.0</v>
      </c>
      <c r="J957" s="37">
        <v>109.0</v>
      </c>
      <c r="K957" s="37">
        <v>113.0</v>
      </c>
      <c r="L957" s="37">
        <v>1497.0</v>
      </c>
      <c r="M957" s="37">
        <v>1831.0</v>
      </c>
      <c r="N957" s="37">
        <v>440.0</v>
      </c>
      <c r="O957" s="37">
        <v>368.0</v>
      </c>
      <c r="P957" s="37">
        <v>72.0</v>
      </c>
      <c r="Q957" s="37">
        <v>1391.0</v>
      </c>
      <c r="R957" s="38">
        <v>12.9144852</v>
      </c>
      <c r="S957" s="38">
        <v>6.3408959</v>
      </c>
      <c r="T957" s="38">
        <v>6.5735893</v>
      </c>
      <c r="U957" s="38">
        <v>87.0855148</v>
      </c>
      <c r="V957" s="38">
        <v>24.0305844</v>
      </c>
      <c r="W957" s="38">
        <v>20.0983069</v>
      </c>
      <c r="X957" s="38">
        <v>3.9322774</v>
      </c>
      <c r="Y957" s="38">
        <v>75.9694156</v>
      </c>
    </row>
    <row r="958" ht="15.0" hidden="1" customHeight="1">
      <c r="B958" s="30">
        <v>953.0</v>
      </c>
      <c r="C958" s="31" t="s">
        <v>21</v>
      </c>
      <c r="D958" s="31" t="s">
        <v>262</v>
      </c>
      <c r="E958" s="31" t="s">
        <v>309</v>
      </c>
      <c r="F958" s="31" t="s">
        <v>311</v>
      </c>
      <c r="G958" s="32" t="s">
        <v>15</v>
      </c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4"/>
      <c r="S958" s="34"/>
      <c r="T958" s="34"/>
      <c r="U958" s="34"/>
      <c r="V958" s="34"/>
      <c r="W958" s="34"/>
      <c r="X958" s="34"/>
      <c r="Y958" s="34"/>
    </row>
    <row r="959" ht="15.0" hidden="1" customHeight="1">
      <c r="B959" s="30">
        <v>954.0</v>
      </c>
      <c r="C959" s="31" t="s">
        <v>21</v>
      </c>
      <c r="D959" s="31" t="s">
        <v>262</v>
      </c>
      <c r="E959" s="31" t="s">
        <v>309</v>
      </c>
      <c r="F959" s="31" t="s">
        <v>311</v>
      </c>
      <c r="G959" s="32" t="s">
        <v>16</v>
      </c>
      <c r="H959" s="33">
        <v>1719.0</v>
      </c>
      <c r="I959" s="33">
        <v>222.0</v>
      </c>
      <c r="J959" s="33">
        <v>109.0</v>
      </c>
      <c r="K959" s="33">
        <v>113.0</v>
      </c>
      <c r="L959" s="33">
        <v>1497.0</v>
      </c>
      <c r="M959" s="33">
        <v>1831.0</v>
      </c>
      <c r="N959" s="33">
        <v>440.0</v>
      </c>
      <c r="O959" s="33">
        <v>368.0</v>
      </c>
      <c r="P959" s="33">
        <v>72.0</v>
      </c>
      <c r="Q959" s="33">
        <v>1391.0</v>
      </c>
      <c r="R959" s="34">
        <v>12.9144852</v>
      </c>
      <c r="S959" s="34">
        <v>6.3408959</v>
      </c>
      <c r="T959" s="34">
        <v>6.5735893</v>
      </c>
      <c r="U959" s="34">
        <v>87.0855148</v>
      </c>
      <c r="V959" s="34">
        <v>24.0305844</v>
      </c>
      <c r="W959" s="34">
        <v>20.0983069</v>
      </c>
      <c r="X959" s="34">
        <v>3.9322774</v>
      </c>
      <c r="Y959" s="34">
        <v>75.9694156</v>
      </c>
    </row>
    <row r="960" ht="15.0" hidden="1" customHeight="1">
      <c r="B960" s="26">
        <v>955.0</v>
      </c>
      <c r="C960" s="27" t="s">
        <v>19</v>
      </c>
      <c r="D960" s="40" t="s">
        <v>262</v>
      </c>
      <c r="E960" s="40" t="s">
        <v>312</v>
      </c>
      <c r="F960" s="40"/>
      <c r="G960" s="27" t="s">
        <v>312</v>
      </c>
      <c r="H960" s="28">
        <v>2183.0</v>
      </c>
      <c r="I960" s="28">
        <v>415.0</v>
      </c>
      <c r="J960" s="28">
        <v>184.0</v>
      </c>
      <c r="K960" s="28">
        <v>231.0</v>
      </c>
      <c r="L960" s="28">
        <v>1768.0</v>
      </c>
      <c r="M960" s="28">
        <v>2598.0</v>
      </c>
      <c r="N960" s="28">
        <v>1283.0</v>
      </c>
      <c r="O960" s="28">
        <v>997.0</v>
      </c>
      <c r="P960" s="28">
        <v>286.0</v>
      </c>
      <c r="Q960" s="28">
        <v>1315.0</v>
      </c>
      <c r="R960" s="29">
        <v>19.010536</v>
      </c>
      <c r="S960" s="29">
        <v>8.4287678</v>
      </c>
      <c r="T960" s="29">
        <v>10.5817682</v>
      </c>
      <c r="U960" s="29">
        <v>80.989464</v>
      </c>
      <c r="V960" s="29">
        <v>49.3841416</v>
      </c>
      <c r="W960" s="29">
        <v>38.3756736</v>
      </c>
      <c r="X960" s="29">
        <v>11.0084681</v>
      </c>
      <c r="Y960" s="29">
        <v>50.6158584</v>
      </c>
    </row>
    <row r="961" ht="15.0" hidden="1" customHeight="1">
      <c r="B961" s="30">
        <v>956.0</v>
      </c>
      <c r="C961" s="31" t="s">
        <v>19</v>
      </c>
      <c r="D961" s="31" t="s">
        <v>262</v>
      </c>
      <c r="E961" s="31" t="s">
        <v>312</v>
      </c>
      <c r="F961" s="31"/>
      <c r="G961" s="32" t="s">
        <v>15</v>
      </c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4"/>
      <c r="S961" s="34"/>
      <c r="T961" s="34"/>
      <c r="U961" s="34"/>
      <c r="V961" s="34"/>
      <c r="W961" s="34"/>
      <c r="X961" s="34"/>
      <c r="Y961" s="34"/>
    </row>
    <row r="962" ht="15.0" hidden="1" customHeight="1">
      <c r="B962" s="30">
        <v>957.0</v>
      </c>
      <c r="C962" s="31" t="s">
        <v>19</v>
      </c>
      <c r="D962" s="31" t="s">
        <v>262</v>
      </c>
      <c r="E962" s="31" t="s">
        <v>312</v>
      </c>
      <c r="F962" s="31"/>
      <c r="G962" s="32" t="s">
        <v>16</v>
      </c>
      <c r="H962" s="33">
        <v>2183.0</v>
      </c>
      <c r="I962" s="33">
        <v>415.0</v>
      </c>
      <c r="J962" s="33">
        <v>184.0</v>
      </c>
      <c r="K962" s="33">
        <v>231.0</v>
      </c>
      <c r="L962" s="33">
        <v>1768.0</v>
      </c>
      <c r="M962" s="33">
        <v>2598.0</v>
      </c>
      <c r="N962" s="33">
        <v>1283.0</v>
      </c>
      <c r="O962" s="33">
        <v>997.0</v>
      </c>
      <c r="P962" s="33">
        <v>286.0</v>
      </c>
      <c r="Q962" s="33">
        <v>1315.0</v>
      </c>
      <c r="R962" s="34">
        <v>19.010536</v>
      </c>
      <c r="S962" s="34">
        <v>8.4287678</v>
      </c>
      <c r="T962" s="34">
        <v>10.5817682</v>
      </c>
      <c r="U962" s="34">
        <v>80.989464</v>
      </c>
      <c r="V962" s="34">
        <v>49.3841416</v>
      </c>
      <c r="W962" s="34">
        <v>38.3756736</v>
      </c>
      <c r="X962" s="34">
        <v>11.0084681</v>
      </c>
      <c r="Y962" s="34">
        <v>50.6158584</v>
      </c>
    </row>
    <row r="963" ht="15.0" customHeight="1">
      <c r="B963" s="35">
        <v>958.0</v>
      </c>
      <c r="C963" s="36" t="s">
        <v>21</v>
      </c>
      <c r="D963" s="41" t="s">
        <v>262</v>
      </c>
      <c r="E963" s="41" t="s">
        <v>312</v>
      </c>
      <c r="F963" s="41" t="s">
        <v>313</v>
      </c>
      <c r="G963" s="42" t="s">
        <v>313</v>
      </c>
      <c r="H963" s="37">
        <v>1504.0</v>
      </c>
      <c r="I963" s="37">
        <v>361.0</v>
      </c>
      <c r="J963" s="37">
        <v>150.0</v>
      </c>
      <c r="K963" s="37">
        <v>211.0</v>
      </c>
      <c r="L963" s="37">
        <v>1143.0</v>
      </c>
      <c r="M963" s="37">
        <v>1856.0</v>
      </c>
      <c r="N963" s="37">
        <v>1031.0</v>
      </c>
      <c r="O963" s="37">
        <v>766.0</v>
      </c>
      <c r="P963" s="37">
        <v>265.0</v>
      </c>
      <c r="Q963" s="37">
        <v>825.0</v>
      </c>
      <c r="R963" s="38">
        <v>24.0026596</v>
      </c>
      <c r="S963" s="38">
        <v>9.9734043</v>
      </c>
      <c r="T963" s="38">
        <v>14.0292553</v>
      </c>
      <c r="U963" s="38">
        <v>75.9973404</v>
      </c>
      <c r="V963" s="38">
        <v>55.549569</v>
      </c>
      <c r="W963" s="38">
        <v>41.2715517</v>
      </c>
      <c r="X963" s="38">
        <v>14.2780172</v>
      </c>
      <c r="Y963" s="38">
        <v>44.450431</v>
      </c>
    </row>
    <row r="964" ht="15.0" hidden="1" customHeight="1">
      <c r="B964" s="30">
        <v>959.0</v>
      </c>
      <c r="C964" s="31" t="s">
        <v>21</v>
      </c>
      <c r="D964" s="31" t="s">
        <v>262</v>
      </c>
      <c r="E964" s="31" t="s">
        <v>312</v>
      </c>
      <c r="F964" s="31" t="s">
        <v>313</v>
      </c>
      <c r="G964" s="32" t="s">
        <v>15</v>
      </c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4"/>
      <c r="S964" s="34"/>
      <c r="T964" s="34"/>
      <c r="U964" s="34"/>
      <c r="V964" s="34"/>
      <c r="W964" s="34"/>
      <c r="X964" s="34"/>
      <c r="Y964" s="34"/>
    </row>
    <row r="965" ht="15.0" hidden="1" customHeight="1">
      <c r="B965" s="30">
        <v>960.0</v>
      </c>
      <c r="C965" s="31" t="s">
        <v>21</v>
      </c>
      <c r="D965" s="31" t="s">
        <v>262</v>
      </c>
      <c r="E965" s="31" t="s">
        <v>312</v>
      </c>
      <c r="F965" s="31" t="s">
        <v>313</v>
      </c>
      <c r="G965" s="32" t="s">
        <v>16</v>
      </c>
      <c r="H965" s="33">
        <v>1504.0</v>
      </c>
      <c r="I965" s="33">
        <v>361.0</v>
      </c>
      <c r="J965" s="33">
        <v>150.0</v>
      </c>
      <c r="K965" s="33">
        <v>211.0</v>
      </c>
      <c r="L965" s="33">
        <v>1143.0</v>
      </c>
      <c r="M965" s="33">
        <v>1856.0</v>
      </c>
      <c r="N965" s="33">
        <v>1031.0</v>
      </c>
      <c r="O965" s="33">
        <v>766.0</v>
      </c>
      <c r="P965" s="33">
        <v>265.0</v>
      </c>
      <c r="Q965" s="33">
        <v>825.0</v>
      </c>
      <c r="R965" s="34">
        <v>24.0026596</v>
      </c>
      <c r="S965" s="34">
        <v>9.9734043</v>
      </c>
      <c r="T965" s="34">
        <v>14.0292553</v>
      </c>
      <c r="U965" s="34">
        <v>75.9973404</v>
      </c>
      <c r="V965" s="34">
        <v>55.549569</v>
      </c>
      <c r="W965" s="34">
        <v>41.2715517</v>
      </c>
      <c r="X965" s="34">
        <v>14.2780172</v>
      </c>
      <c r="Y965" s="34">
        <v>44.450431</v>
      </c>
    </row>
    <row r="966" ht="15.0" customHeight="1">
      <c r="B966" s="35">
        <v>961.0</v>
      </c>
      <c r="C966" s="36" t="s">
        <v>21</v>
      </c>
      <c r="D966" s="41" t="s">
        <v>262</v>
      </c>
      <c r="E966" s="41" t="s">
        <v>312</v>
      </c>
      <c r="F966" s="41" t="s">
        <v>314</v>
      </c>
      <c r="G966" s="42" t="s">
        <v>314</v>
      </c>
      <c r="H966" s="37">
        <v>679.0</v>
      </c>
      <c r="I966" s="37">
        <v>54.0</v>
      </c>
      <c r="J966" s="37">
        <v>34.0</v>
      </c>
      <c r="K966" s="37">
        <v>20.0</v>
      </c>
      <c r="L966" s="37">
        <v>625.0</v>
      </c>
      <c r="M966" s="37">
        <v>742.0</v>
      </c>
      <c r="N966" s="37">
        <v>252.0</v>
      </c>
      <c r="O966" s="37">
        <v>231.0</v>
      </c>
      <c r="P966" s="37">
        <v>21.0</v>
      </c>
      <c r="Q966" s="37">
        <v>490.0</v>
      </c>
      <c r="R966" s="38">
        <v>7.9528719</v>
      </c>
      <c r="S966" s="38">
        <v>5.0073638</v>
      </c>
      <c r="T966" s="38">
        <v>2.9455081</v>
      </c>
      <c r="U966" s="38">
        <v>92.0471281</v>
      </c>
      <c r="V966" s="38">
        <v>33.9622642</v>
      </c>
      <c r="W966" s="38">
        <v>31.1320755</v>
      </c>
      <c r="X966" s="38">
        <v>2.8301887</v>
      </c>
      <c r="Y966" s="38">
        <v>66.0377358</v>
      </c>
    </row>
    <row r="967" ht="15.0" hidden="1" customHeight="1">
      <c r="B967" s="30">
        <v>962.0</v>
      </c>
      <c r="C967" s="31" t="s">
        <v>21</v>
      </c>
      <c r="D967" s="31" t="s">
        <v>262</v>
      </c>
      <c r="E967" s="31" t="s">
        <v>312</v>
      </c>
      <c r="F967" s="31" t="s">
        <v>314</v>
      </c>
      <c r="G967" s="32" t="s">
        <v>15</v>
      </c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4"/>
      <c r="S967" s="34"/>
      <c r="T967" s="34"/>
      <c r="U967" s="34"/>
      <c r="V967" s="34"/>
      <c r="W967" s="34"/>
      <c r="X967" s="34"/>
      <c r="Y967" s="34"/>
    </row>
    <row r="968" ht="15.0" hidden="1" customHeight="1">
      <c r="B968" s="30">
        <v>963.0</v>
      </c>
      <c r="C968" s="31" t="s">
        <v>21</v>
      </c>
      <c r="D968" s="31" t="s">
        <v>262</v>
      </c>
      <c r="E968" s="31" t="s">
        <v>312</v>
      </c>
      <c r="F968" s="31" t="s">
        <v>314</v>
      </c>
      <c r="G968" s="32" t="s">
        <v>16</v>
      </c>
      <c r="H968" s="33">
        <v>679.0</v>
      </c>
      <c r="I968" s="33">
        <v>54.0</v>
      </c>
      <c r="J968" s="33">
        <v>34.0</v>
      </c>
      <c r="K968" s="33">
        <v>20.0</v>
      </c>
      <c r="L968" s="33">
        <v>625.0</v>
      </c>
      <c r="M968" s="33">
        <v>742.0</v>
      </c>
      <c r="N968" s="33">
        <v>252.0</v>
      </c>
      <c r="O968" s="33">
        <v>231.0</v>
      </c>
      <c r="P968" s="33">
        <v>21.0</v>
      </c>
      <c r="Q968" s="33">
        <v>490.0</v>
      </c>
      <c r="R968" s="34">
        <v>7.9528719</v>
      </c>
      <c r="S968" s="34">
        <v>5.0073638</v>
      </c>
      <c r="T968" s="34">
        <v>2.9455081</v>
      </c>
      <c r="U968" s="34">
        <v>92.0471281</v>
      </c>
      <c r="V968" s="34">
        <v>33.9622642</v>
      </c>
      <c r="W968" s="34">
        <v>31.1320755</v>
      </c>
      <c r="X968" s="34">
        <v>2.8301887</v>
      </c>
      <c r="Y968" s="34">
        <v>66.0377358</v>
      </c>
    </row>
    <row r="969" ht="15.0" hidden="1" customHeight="1">
      <c r="B969" s="26">
        <v>964.0</v>
      </c>
      <c r="C969" s="27" t="s">
        <v>19</v>
      </c>
      <c r="D969" s="40" t="s">
        <v>262</v>
      </c>
      <c r="E969" s="40" t="s">
        <v>315</v>
      </c>
      <c r="F969" s="40"/>
      <c r="G969" s="27" t="s">
        <v>315</v>
      </c>
      <c r="H969" s="28">
        <v>12074.0</v>
      </c>
      <c r="I969" s="28">
        <v>8943.0</v>
      </c>
      <c r="J969" s="28">
        <v>4543.0</v>
      </c>
      <c r="K969" s="28">
        <v>4400.0</v>
      </c>
      <c r="L969" s="28">
        <v>3131.0</v>
      </c>
      <c r="M969" s="28">
        <v>14433.0</v>
      </c>
      <c r="N969" s="28">
        <v>12756.0</v>
      </c>
      <c r="O969" s="28">
        <v>10601.0</v>
      </c>
      <c r="P969" s="28">
        <v>2155.0</v>
      </c>
      <c r="Q969" s="28">
        <v>1677.0</v>
      </c>
      <c r="R969" s="29">
        <v>74.0682458</v>
      </c>
      <c r="S969" s="29">
        <v>37.6263045</v>
      </c>
      <c r="T969" s="29">
        <v>36.4419414</v>
      </c>
      <c r="U969" s="29">
        <v>25.9317542</v>
      </c>
      <c r="V969" s="29">
        <v>88.380794</v>
      </c>
      <c r="W969" s="29">
        <v>73.4497333</v>
      </c>
      <c r="X969" s="29">
        <v>14.9310608</v>
      </c>
      <c r="Y969" s="29">
        <v>11.619206</v>
      </c>
    </row>
    <row r="970" ht="15.0" hidden="1" customHeight="1">
      <c r="B970" s="30">
        <v>965.0</v>
      </c>
      <c r="C970" s="31" t="s">
        <v>19</v>
      </c>
      <c r="D970" s="31" t="s">
        <v>262</v>
      </c>
      <c r="E970" s="31" t="s">
        <v>315</v>
      </c>
      <c r="F970" s="31"/>
      <c r="G970" s="32" t="s">
        <v>15</v>
      </c>
      <c r="H970" s="33">
        <v>9384.0</v>
      </c>
      <c r="I970" s="33">
        <v>7595.0</v>
      </c>
      <c r="J970" s="33">
        <v>3684.0</v>
      </c>
      <c r="K970" s="33">
        <v>3911.0</v>
      </c>
      <c r="L970" s="33">
        <v>1789.0</v>
      </c>
      <c r="M970" s="33">
        <v>11445.0</v>
      </c>
      <c r="N970" s="33">
        <v>10694.0</v>
      </c>
      <c r="O970" s="33">
        <v>8736.0</v>
      </c>
      <c r="P970" s="33">
        <v>1958.0</v>
      </c>
      <c r="Q970" s="33">
        <v>751.0</v>
      </c>
      <c r="R970" s="34">
        <v>80.9356351</v>
      </c>
      <c r="S970" s="34">
        <v>39.258312</v>
      </c>
      <c r="T970" s="34">
        <v>41.6773231</v>
      </c>
      <c r="U970" s="34">
        <v>19.0643649</v>
      </c>
      <c r="V970" s="34">
        <v>93.4381826</v>
      </c>
      <c r="W970" s="34">
        <v>76.3302752</v>
      </c>
      <c r="X970" s="34">
        <v>17.1079074</v>
      </c>
      <c r="Y970" s="34">
        <v>6.5618174</v>
      </c>
    </row>
    <row r="971" ht="15.0" hidden="1" customHeight="1">
      <c r="B971" s="30">
        <v>966.0</v>
      </c>
      <c r="C971" s="31" t="s">
        <v>19</v>
      </c>
      <c r="D971" s="31" t="s">
        <v>262</v>
      </c>
      <c r="E971" s="31" t="s">
        <v>315</v>
      </c>
      <c r="F971" s="31"/>
      <c r="G971" s="32" t="s">
        <v>16</v>
      </c>
      <c r="H971" s="33">
        <v>2690.0</v>
      </c>
      <c r="I971" s="33">
        <v>1348.0</v>
      </c>
      <c r="J971" s="33">
        <v>859.0</v>
      </c>
      <c r="K971" s="33">
        <v>489.0</v>
      </c>
      <c r="L971" s="33">
        <v>1342.0</v>
      </c>
      <c r="M971" s="33">
        <v>2988.0</v>
      </c>
      <c r="N971" s="33">
        <v>2062.0</v>
      </c>
      <c r="O971" s="33">
        <v>1865.0</v>
      </c>
      <c r="P971" s="33">
        <v>197.0</v>
      </c>
      <c r="Q971" s="33">
        <v>926.0</v>
      </c>
      <c r="R971" s="34">
        <v>50.1115242</v>
      </c>
      <c r="S971" s="34">
        <v>31.9330855</v>
      </c>
      <c r="T971" s="34">
        <v>18.1784387</v>
      </c>
      <c r="U971" s="34">
        <v>49.8884758</v>
      </c>
      <c r="V971" s="34">
        <v>69.0093708</v>
      </c>
      <c r="W971" s="34">
        <v>62.416332</v>
      </c>
      <c r="X971" s="34">
        <v>6.5930388</v>
      </c>
      <c r="Y971" s="34">
        <v>30.9906292</v>
      </c>
    </row>
    <row r="972" ht="15.0" customHeight="1">
      <c r="B972" s="35">
        <v>967.0</v>
      </c>
      <c r="C972" s="36" t="s">
        <v>21</v>
      </c>
      <c r="D972" s="41" t="s">
        <v>262</v>
      </c>
      <c r="E972" s="41" t="s">
        <v>315</v>
      </c>
      <c r="F972" s="41" t="s">
        <v>316</v>
      </c>
      <c r="G972" s="42" t="s">
        <v>316</v>
      </c>
      <c r="H972" s="37">
        <v>12074.0</v>
      </c>
      <c r="I972" s="37">
        <v>8943.0</v>
      </c>
      <c r="J972" s="37">
        <v>4543.0</v>
      </c>
      <c r="K972" s="37">
        <v>4400.0</v>
      </c>
      <c r="L972" s="37">
        <v>3131.0</v>
      </c>
      <c r="M972" s="37">
        <v>14433.0</v>
      </c>
      <c r="N972" s="37">
        <v>12756.0</v>
      </c>
      <c r="O972" s="37">
        <v>10601.0</v>
      </c>
      <c r="P972" s="37">
        <v>2155.0</v>
      </c>
      <c r="Q972" s="37">
        <v>1677.0</v>
      </c>
      <c r="R972" s="38">
        <v>74.0682458</v>
      </c>
      <c r="S972" s="38">
        <v>37.6263045</v>
      </c>
      <c r="T972" s="38">
        <v>36.4419414</v>
      </c>
      <c r="U972" s="38">
        <v>25.9317542</v>
      </c>
      <c r="V972" s="38">
        <v>88.380794</v>
      </c>
      <c r="W972" s="38">
        <v>73.4497333</v>
      </c>
      <c r="X972" s="38">
        <v>14.9310608</v>
      </c>
      <c r="Y972" s="38">
        <v>11.619206</v>
      </c>
    </row>
    <row r="973" ht="15.0" hidden="1" customHeight="1">
      <c r="B973" s="30">
        <v>968.0</v>
      </c>
      <c r="C973" s="31" t="s">
        <v>21</v>
      </c>
      <c r="D973" s="31" t="s">
        <v>262</v>
      </c>
      <c r="E973" s="31" t="s">
        <v>315</v>
      </c>
      <c r="F973" s="31" t="s">
        <v>316</v>
      </c>
      <c r="G973" s="32" t="s">
        <v>15</v>
      </c>
      <c r="H973" s="33">
        <v>9384.0</v>
      </c>
      <c r="I973" s="33">
        <v>7595.0</v>
      </c>
      <c r="J973" s="33">
        <v>3684.0</v>
      </c>
      <c r="K973" s="33">
        <v>3911.0</v>
      </c>
      <c r="L973" s="33">
        <v>1789.0</v>
      </c>
      <c r="M973" s="33">
        <v>11445.0</v>
      </c>
      <c r="N973" s="33">
        <v>10694.0</v>
      </c>
      <c r="O973" s="33">
        <v>8736.0</v>
      </c>
      <c r="P973" s="33">
        <v>1958.0</v>
      </c>
      <c r="Q973" s="33">
        <v>751.0</v>
      </c>
      <c r="R973" s="34">
        <v>80.9356351</v>
      </c>
      <c r="S973" s="34">
        <v>39.258312</v>
      </c>
      <c r="T973" s="34">
        <v>41.6773231</v>
      </c>
      <c r="U973" s="34">
        <v>19.0643649</v>
      </c>
      <c r="V973" s="34">
        <v>93.4381826</v>
      </c>
      <c r="W973" s="34">
        <v>76.3302752</v>
      </c>
      <c r="X973" s="34">
        <v>17.1079074</v>
      </c>
      <c r="Y973" s="34">
        <v>6.5618174</v>
      </c>
    </row>
    <row r="974" ht="15.0" hidden="1" customHeight="1">
      <c r="B974" s="30">
        <v>969.0</v>
      </c>
      <c r="C974" s="31" t="s">
        <v>21</v>
      </c>
      <c r="D974" s="31" t="s">
        <v>262</v>
      </c>
      <c r="E974" s="31" t="s">
        <v>315</v>
      </c>
      <c r="F974" s="31" t="s">
        <v>316</v>
      </c>
      <c r="G974" s="32" t="s">
        <v>16</v>
      </c>
      <c r="H974" s="33">
        <v>2690.0</v>
      </c>
      <c r="I974" s="33">
        <v>1348.0</v>
      </c>
      <c r="J974" s="33">
        <v>859.0</v>
      </c>
      <c r="K974" s="33">
        <v>489.0</v>
      </c>
      <c r="L974" s="33">
        <v>1342.0</v>
      </c>
      <c r="M974" s="33">
        <v>2988.0</v>
      </c>
      <c r="N974" s="33">
        <v>2062.0</v>
      </c>
      <c r="O974" s="33">
        <v>1865.0</v>
      </c>
      <c r="P974" s="33">
        <v>197.0</v>
      </c>
      <c r="Q974" s="33">
        <v>926.0</v>
      </c>
      <c r="R974" s="34">
        <v>50.1115242</v>
      </c>
      <c r="S974" s="34">
        <v>31.9330855</v>
      </c>
      <c r="T974" s="34">
        <v>18.1784387</v>
      </c>
      <c r="U974" s="34">
        <v>49.8884758</v>
      </c>
      <c r="V974" s="34">
        <v>69.0093708</v>
      </c>
      <c r="W974" s="34">
        <v>62.416332</v>
      </c>
      <c r="X974" s="34">
        <v>6.5930388</v>
      </c>
      <c r="Y974" s="34">
        <v>30.9906292</v>
      </c>
    </row>
    <row r="975" ht="15.0" hidden="1" customHeight="1">
      <c r="B975" s="26">
        <v>970.0</v>
      </c>
      <c r="C975" s="27" t="s">
        <v>19</v>
      </c>
      <c r="D975" s="40" t="s">
        <v>262</v>
      </c>
      <c r="E975" s="40" t="s">
        <v>317</v>
      </c>
      <c r="F975" s="40"/>
      <c r="G975" s="27" t="s">
        <v>317</v>
      </c>
      <c r="H975" s="28">
        <v>489.0</v>
      </c>
      <c r="I975" s="28">
        <v>126.0</v>
      </c>
      <c r="J975" s="28">
        <v>42.0</v>
      </c>
      <c r="K975" s="28">
        <v>84.0</v>
      </c>
      <c r="L975" s="28">
        <v>363.0</v>
      </c>
      <c r="M975" s="28">
        <v>667.0</v>
      </c>
      <c r="N975" s="28">
        <v>448.0</v>
      </c>
      <c r="O975" s="28">
        <v>379.0</v>
      </c>
      <c r="P975" s="28">
        <v>69.0</v>
      </c>
      <c r="Q975" s="28">
        <v>219.0</v>
      </c>
      <c r="R975" s="29">
        <v>25.7668712</v>
      </c>
      <c r="S975" s="29">
        <v>8.5889571</v>
      </c>
      <c r="T975" s="29">
        <v>17.1779141</v>
      </c>
      <c r="U975" s="29">
        <v>74.2331288</v>
      </c>
      <c r="V975" s="29">
        <v>67.1664168</v>
      </c>
      <c r="W975" s="29">
        <v>56.8215892</v>
      </c>
      <c r="X975" s="29">
        <v>10.3448276</v>
      </c>
      <c r="Y975" s="29">
        <v>32.8335832</v>
      </c>
    </row>
    <row r="976" ht="15.0" hidden="1" customHeight="1">
      <c r="B976" s="30">
        <v>971.0</v>
      </c>
      <c r="C976" s="31" t="s">
        <v>19</v>
      </c>
      <c r="D976" s="31" t="s">
        <v>262</v>
      </c>
      <c r="E976" s="31" t="s">
        <v>317</v>
      </c>
      <c r="F976" s="31"/>
      <c r="G976" s="32" t="s">
        <v>15</v>
      </c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4"/>
      <c r="S976" s="34"/>
      <c r="T976" s="34"/>
      <c r="U976" s="34"/>
      <c r="V976" s="34"/>
      <c r="W976" s="34"/>
      <c r="X976" s="34"/>
      <c r="Y976" s="34"/>
    </row>
    <row r="977" ht="15.0" hidden="1" customHeight="1">
      <c r="B977" s="30">
        <v>972.0</v>
      </c>
      <c r="C977" s="31" t="s">
        <v>19</v>
      </c>
      <c r="D977" s="31" t="s">
        <v>262</v>
      </c>
      <c r="E977" s="31" t="s">
        <v>317</v>
      </c>
      <c r="F977" s="31"/>
      <c r="G977" s="32" t="s">
        <v>16</v>
      </c>
      <c r="H977" s="33">
        <v>489.0</v>
      </c>
      <c r="I977" s="33">
        <v>126.0</v>
      </c>
      <c r="J977" s="33">
        <v>42.0</v>
      </c>
      <c r="K977" s="33">
        <v>84.0</v>
      </c>
      <c r="L977" s="33">
        <v>363.0</v>
      </c>
      <c r="M977" s="33">
        <v>667.0</v>
      </c>
      <c r="N977" s="33">
        <v>448.0</v>
      </c>
      <c r="O977" s="33">
        <v>379.0</v>
      </c>
      <c r="P977" s="33">
        <v>69.0</v>
      </c>
      <c r="Q977" s="33">
        <v>219.0</v>
      </c>
      <c r="R977" s="34">
        <v>25.7668712</v>
      </c>
      <c r="S977" s="34">
        <v>8.5889571</v>
      </c>
      <c r="T977" s="34">
        <v>17.1779141</v>
      </c>
      <c r="U977" s="34">
        <v>74.2331288</v>
      </c>
      <c r="V977" s="34">
        <v>67.1664168</v>
      </c>
      <c r="W977" s="34">
        <v>56.8215892</v>
      </c>
      <c r="X977" s="34">
        <v>10.3448276</v>
      </c>
      <c r="Y977" s="34">
        <v>32.8335832</v>
      </c>
    </row>
    <row r="978" ht="15.0" customHeight="1">
      <c r="B978" s="35">
        <v>973.0</v>
      </c>
      <c r="C978" s="36" t="s">
        <v>21</v>
      </c>
      <c r="D978" s="41" t="s">
        <v>262</v>
      </c>
      <c r="E978" s="41" t="s">
        <v>317</v>
      </c>
      <c r="F978" s="41" t="s">
        <v>318</v>
      </c>
      <c r="G978" s="42" t="s">
        <v>318</v>
      </c>
      <c r="H978" s="37">
        <v>489.0</v>
      </c>
      <c r="I978" s="37">
        <v>126.0</v>
      </c>
      <c r="J978" s="37">
        <v>42.0</v>
      </c>
      <c r="K978" s="37">
        <v>84.0</v>
      </c>
      <c r="L978" s="37">
        <v>363.0</v>
      </c>
      <c r="M978" s="37">
        <v>667.0</v>
      </c>
      <c r="N978" s="37">
        <v>448.0</v>
      </c>
      <c r="O978" s="37">
        <v>379.0</v>
      </c>
      <c r="P978" s="37">
        <v>69.0</v>
      </c>
      <c r="Q978" s="37">
        <v>219.0</v>
      </c>
      <c r="R978" s="38">
        <v>25.7668712</v>
      </c>
      <c r="S978" s="38">
        <v>8.5889571</v>
      </c>
      <c r="T978" s="38">
        <v>17.1779141</v>
      </c>
      <c r="U978" s="38">
        <v>74.2331288</v>
      </c>
      <c r="V978" s="38">
        <v>67.1664168</v>
      </c>
      <c r="W978" s="38">
        <v>56.8215892</v>
      </c>
      <c r="X978" s="38">
        <v>10.3448276</v>
      </c>
      <c r="Y978" s="38">
        <v>32.8335832</v>
      </c>
    </row>
    <row r="979" ht="15.0" hidden="1" customHeight="1">
      <c r="B979" s="30">
        <v>974.0</v>
      </c>
      <c r="C979" s="31" t="s">
        <v>21</v>
      </c>
      <c r="D979" s="31" t="s">
        <v>262</v>
      </c>
      <c r="E979" s="31" t="s">
        <v>317</v>
      </c>
      <c r="F979" s="31" t="s">
        <v>318</v>
      </c>
      <c r="G979" s="32" t="s">
        <v>15</v>
      </c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4"/>
      <c r="S979" s="34"/>
      <c r="T979" s="34"/>
      <c r="U979" s="34"/>
      <c r="V979" s="34"/>
      <c r="W979" s="34"/>
      <c r="X979" s="34"/>
      <c r="Y979" s="34"/>
    </row>
    <row r="980" ht="15.0" hidden="1" customHeight="1">
      <c r="B980" s="30">
        <v>975.0</v>
      </c>
      <c r="C980" s="31" t="s">
        <v>21</v>
      </c>
      <c r="D980" s="31" t="s">
        <v>262</v>
      </c>
      <c r="E980" s="31" t="s">
        <v>317</v>
      </c>
      <c r="F980" s="31" t="s">
        <v>318</v>
      </c>
      <c r="G980" s="32" t="s">
        <v>16</v>
      </c>
      <c r="H980" s="33">
        <v>489.0</v>
      </c>
      <c r="I980" s="33">
        <v>126.0</v>
      </c>
      <c r="J980" s="33">
        <v>42.0</v>
      </c>
      <c r="K980" s="33">
        <v>84.0</v>
      </c>
      <c r="L980" s="33">
        <v>363.0</v>
      </c>
      <c r="M980" s="33">
        <v>667.0</v>
      </c>
      <c r="N980" s="33">
        <v>448.0</v>
      </c>
      <c r="O980" s="33">
        <v>379.0</v>
      </c>
      <c r="P980" s="33">
        <v>69.0</v>
      </c>
      <c r="Q980" s="33">
        <v>219.0</v>
      </c>
      <c r="R980" s="34">
        <v>25.7668712</v>
      </c>
      <c r="S980" s="34">
        <v>8.5889571</v>
      </c>
      <c r="T980" s="34">
        <v>17.1779141</v>
      </c>
      <c r="U980" s="34">
        <v>74.2331288</v>
      </c>
      <c r="V980" s="34">
        <v>67.1664168</v>
      </c>
      <c r="W980" s="34">
        <v>56.8215892</v>
      </c>
      <c r="X980" s="34">
        <v>10.3448276</v>
      </c>
      <c r="Y980" s="34">
        <v>32.8335832</v>
      </c>
    </row>
    <row r="981" ht="15.0" hidden="1" customHeight="1">
      <c r="B981" s="18">
        <v>976.0</v>
      </c>
      <c r="C981" s="19" t="s">
        <v>17</v>
      </c>
      <c r="D981" s="19" t="s">
        <v>319</v>
      </c>
      <c r="E981" s="19"/>
      <c r="F981" s="19"/>
      <c r="G981" s="19" t="s">
        <v>319</v>
      </c>
      <c r="H981" s="20">
        <v>126248.0</v>
      </c>
      <c r="I981" s="20">
        <v>103274.0</v>
      </c>
      <c r="J981" s="20">
        <v>52733.0</v>
      </c>
      <c r="K981" s="20">
        <v>50541.0</v>
      </c>
      <c r="L981" s="20">
        <v>22974.0</v>
      </c>
      <c r="M981" s="20">
        <v>160254.0</v>
      </c>
      <c r="N981" s="20">
        <v>145956.0</v>
      </c>
      <c r="O981" s="20">
        <v>118708.0</v>
      </c>
      <c r="P981" s="20">
        <v>27248.0</v>
      </c>
      <c r="Q981" s="20">
        <v>14298.0</v>
      </c>
      <c r="R981" s="21">
        <v>81.802484</v>
      </c>
      <c r="S981" s="21">
        <v>41.7693746</v>
      </c>
      <c r="T981" s="21">
        <v>40.0331094</v>
      </c>
      <c r="U981" s="21">
        <v>18.197516</v>
      </c>
      <c r="V981" s="21">
        <v>91.0779138</v>
      </c>
      <c r="W981" s="21">
        <v>74.0749061</v>
      </c>
      <c r="X981" s="21">
        <v>17.0030077</v>
      </c>
      <c r="Y981" s="21">
        <v>8.9220862</v>
      </c>
    </row>
    <row r="982" ht="15.0" hidden="1" customHeight="1">
      <c r="B982" s="22">
        <v>977.0</v>
      </c>
      <c r="C982" s="23" t="s">
        <v>17</v>
      </c>
      <c r="D982" s="39" t="s">
        <v>319</v>
      </c>
      <c r="E982" s="39"/>
      <c r="F982" s="39"/>
      <c r="G982" s="23" t="s">
        <v>15</v>
      </c>
      <c r="H982" s="24">
        <v>81982.0</v>
      </c>
      <c r="I982" s="24">
        <v>76674.0</v>
      </c>
      <c r="J982" s="24">
        <v>37100.0</v>
      </c>
      <c r="K982" s="24">
        <v>39574.0</v>
      </c>
      <c r="L982" s="24">
        <v>5308.0</v>
      </c>
      <c r="M982" s="24">
        <v>110632.0</v>
      </c>
      <c r="N982" s="24">
        <v>108081.0</v>
      </c>
      <c r="O982" s="24">
        <v>84192.0</v>
      </c>
      <c r="P982" s="24">
        <v>23889.0</v>
      </c>
      <c r="Q982" s="24">
        <v>2551.0</v>
      </c>
      <c r="R982" s="25">
        <v>93.525408</v>
      </c>
      <c r="S982" s="25">
        <v>45.2538362</v>
      </c>
      <c r="T982" s="25">
        <v>48.2715718</v>
      </c>
      <c r="U982" s="25">
        <v>6.474592</v>
      </c>
      <c r="V982" s="25">
        <v>97.6941572</v>
      </c>
      <c r="W982" s="25">
        <v>76.1009473</v>
      </c>
      <c r="X982" s="25">
        <v>21.5932099</v>
      </c>
      <c r="Y982" s="25">
        <v>2.3058428</v>
      </c>
    </row>
    <row r="983" ht="15.0" hidden="1" customHeight="1">
      <c r="B983" s="22">
        <v>978.0</v>
      </c>
      <c r="C983" s="23" t="s">
        <v>17</v>
      </c>
      <c r="D983" s="39" t="s">
        <v>319</v>
      </c>
      <c r="E983" s="39"/>
      <c r="F983" s="39"/>
      <c r="G983" s="23" t="s">
        <v>16</v>
      </c>
      <c r="H983" s="24">
        <v>44266.0</v>
      </c>
      <c r="I983" s="24">
        <v>26600.0</v>
      </c>
      <c r="J983" s="24">
        <v>15633.0</v>
      </c>
      <c r="K983" s="24">
        <v>10967.0</v>
      </c>
      <c r="L983" s="24">
        <v>17666.0</v>
      </c>
      <c r="M983" s="24">
        <v>49622.0</v>
      </c>
      <c r="N983" s="24">
        <v>37875.0</v>
      </c>
      <c r="O983" s="24">
        <v>34516.0</v>
      </c>
      <c r="P983" s="24">
        <v>3359.0</v>
      </c>
      <c r="Q983" s="24">
        <v>11747.0</v>
      </c>
      <c r="R983" s="25">
        <v>60.0912664</v>
      </c>
      <c r="S983" s="25">
        <v>35.3160439</v>
      </c>
      <c r="T983" s="25">
        <v>24.7752225</v>
      </c>
      <c r="U983" s="25">
        <v>39.9087336</v>
      </c>
      <c r="V983" s="25">
        <v>76.3270324</v>
      </c>
      <c r="W983" s="25">
        <v>69.5578574</v>
      </c>
      <c r="X983" s="25">
        <v>6.769175</v>
      </c>
      <c r="Y983" s="25">
        <v>23.6729676</v>
      </c>
    </row>
    <row r="984" ht="15.0" hidden="1" customHeight="1">
      <c r="B984" s="26">
        <v>979.0</v>
      </c>
      <c r="C984" s="27" t="s">
        <v>19</v>
      </c>
      <c r="D984" s="40" t="s">
        <v>319</v>
      </c>
      <c r="E984" s="40" t="s">
        <v>163</v>
      </c>
      <c r="F984" s="40"/>
      <c r="G984" s="27" t="s">
        <v>163</v>
      </c>
      <c r="H984" s="28">
        <v>54926.0</v>
      </c>
      <c r="I984" s="28">
        <v>47924.0</v>
      </c>
      <c r="J984" s="28">
        <v>24091.0</v>
      </c>
      <c r="K984" s="28">
        <v>23833.0</v>
      </c>
      <c r="L984" s="28">
        <v>7002.0</v>
      </c>
      <c r="M984" s="28">
        <v>72709.0</v>
      </c>
      <c r="N984" s="28">
        <v>69226.0</v>
      </c>
      <c r="O984" s="28">
        <v>53093.0</v>
      </c>
      <c r="P984" s="28">
        <v>16133.0</v>
      </c>
      <c r="Q984" s="28">
        <v>3483.0</v>
      </c>
      <c r="R984" s="29">
        <v>87.251939</v>
      </c>
      <c r="S984" s="29">
        <v>43.8608309</v>
      </c>
      <c r="T984" s="29">
        <v>43.391108</v>
      </c>
      <c r="U984" s="29">
        <v>12.748061</v>
      </c>
      <c r="V984" s="29">
        <v>95.2096714</v>
      </c>
      <c r="W984" s="29">
        <v>73.0212216</v>
      </c>
      <c r="X984" s="29">
        <v>22.1884498</v>
      </c>
      <c r="Y984" s="29">
        <v>4.7903286</v>
      </c>
    </row>
    <row r="985" ht="15.0" hidden="1" customHeight="1">
      <c r="B985" s="30">
        <v>980.0</v>
      </c>
      <c r="C985" s="31" t="s">
        <v>19</v>
      </c>
      <c r="D985" s="31" t="s">
        <v>319</v>
      </c>
      <c r="E985" s="31" t="s">
        <v>163</v>
      </c>
      <c r="F985" s="31"/>
      <c r="G985" s="32" t="s">
        <v>15</v>
      </c>
      <c r="H985" s="33">
        <v>47826.0</v>
      </c>
      <c r="I985" s="33">
        <v>44340.0</v>
      </c>
      <c r="J985" s="33">
        <v>21830.0</v>
      </c>
      <c r="K985" s="33">
        <v>22510.0</v>
      </c>
      <c r="L985" s="33">
        <v>3486.0</v>
      </c>
      <c r="M985" s="33">
        <v>65296.0</v>
      </c>
      <c r="N985" s="33">
        <v>63794.0</v>
      </c>
      <c r="O985" s="33">
        <v>48148.0</v>
      </c>
      <c r="P985" s="33">
        <v>15646.0</v>
      </c>
      <c r="Q985" s="33">
        <v>1502.0</v>
      </c>
      <c r="R985" s="34">
        <v>92.7110777</v>
      </c>
      <c r="S985" s="34">
        <v>45.6446284</v>
      </c>
      <c r="T985" s="34">
        <v>47.0664492</v>
      </c>
      <c r="U985" s="34">
        <v>7.2889223</v>
      </c>
      <c r="V985" s="34">
        <v>97.699706</v>
      </c>
      <c r="W985" s="34">
        <v>73.7380544</v>
      </c>
      <c r="X985" s="34">
        <v>23.9616516</v>
      </c>
      <c r="Y985" s="34">
        <v>2.300294</v>
      </c>
    </row>
    <row r="986" ht="15.0" hidden="1" customHeight="1">
      <c r="B986" s="30">
        <v>981.0</v>
      </c>
      <c r="C986" s="31" t="s">
        <v>19</v>
      </c>
      <c r="D986" s="31" t="s">
        <v>319</v>
      </c>
      <c r="E986" s="31" t="s">
        <v>163</v>
      </c>
      <c r="F986" s="31"/>
      <c r="G986" s="32" t="s">
        <v>16</v>
      </c>
      <c r="H986" s="33">
        <v>7100.0</v>
      </c>
      <c r="I986" s="33">
        <v>3584.0</v>
      </c>
      <c r="J986" s="33">
        <v>2261.0</v>
      </c>
      <c r="K986" s="33">
        <v>1323.0</v>
      </c>
      <c r="L986" s="33">
        <v>3516.0</v>
      </c>
      <c r="M986" s="33">
        <v>7413.0</v>
      </c>
      <c r="N986" s="33">
        <v>5432.0</v>
      </c>
      <c r="O986" s="33">
        <v>4945.0</v>
      </c>
      <c r="P986" s="33">
        <v>487.0</v>
      </c>
      <c r="Q986" s="33">
        <v>1981.0</v>
      </c>
      <c r="R986" s="34">
        <v>50.4788732</v>
      </c>
      <c r="S986" s="34">
        <v>31.8450704</v>
      </c>
      <c r="T986" s="34">
        <v>18.6338028</v>
      </c>
      <c r="U986" s="34">
        <v>49.5211268</v>
      </c>
      <c r="V986" s="34">
        <v>73.2766761</v>
      </c>
      <c r="W986" s="34">
        <v>66.7071361</v>
      </c>
      <c r="X986" s="34">
        <v>6.56954</v>
      </c>
      <c r="Y986" s="34">
        <v>26.7233239</v>
      </c>
    </row>
    <row r="987" ht="15.0" customHeight="1">
      <c r="B987" s="35">
        <v>982.0</v>
      </c>
      <c r="C987" s="36" t="s">
        <v>21</v>
      </c>
      <c r="D987" s="41" t="s">
        <v>319</v>
      </c>
      <c r="E987" s="41" t="s">
        <v>163</v>
      </c>
      <c r="F987" s="41" t="s">
        <v>319</v>
      </c>
      <c r="G987" s="42" t="s">
        <v>319</v>
      </c>
      <c r="H987" s="37">
        <v>54926.0</v>
      </c>
      <c r="I987" s="37">
        <v>47924.0</v>
      </c>
      <c r="J987" s="37">
        <v>24091.0</v>
      </c>
      <c r="K987" s="37">
        <v>23833.0</v>
      </c>
      <c r="L987" s="37">
        <v>7002.0</v>
      </c>
      <c r="M987" s="37">
        <v>72709.0</v>
      </c>
      <c r="N987" s="37">
        <v>69226.0</v>
      </c>
      <c r="O987" s="37">
        <v>53093.0</v>
      </c>
      <c r="P987" s="37">
        <v>16133.0</v>
      </c>
      <c r="Q987" s="37">
        <v>3483.0</v>
      </c>
      <c r="R987" s="38">
        <v>87.251939</v>
      </c>
      <c r="S987" s="38">
        <v>43.8608309</v>
      </c>
      <c r="T987" s="38">
        <v>43.391108</v>
      </c>
      <c r="U987" s="38">
        <v>12.748061</v>
      </c>
      <c r="V987" s="38">
        <v>95.2096714</v>
      </c>
      <c r="W987" s="38">
        <v>73.0212216</v>
      </c>
      <c r="X987" s="38">
        <v>22.1884498</v>
      </c>
      <c r="Y987" s="38">
        <v>4.7903286</v>
      </c>
    </row>
    <row r="988" ht="15.0" hidden="1" customHeight="1">
      <c r="B988" s="30">
        <v>983.0</v>
      </c>
      <c r="C988" s="31" t="s">
        <v>21</v>
      </c>
      <c r="D988" s="31" t="s">
        <v>319</v>
      </c>
      <c r="E988" s="31" t="s">
        <v>163</v>
      </c>
      <c r="F988" s="31" t="s">
        <v>319</v>
      </c>
      <c r="G988" s="32" t="s">
        <v>15</v>
      </c>
      <c r="H988" s="33">
        <v>47826.0</v>
      </c>
      <c r="I988" s="33">
        <v>44340.0</v>
      </c>
      <c r="J988" s="33">
        <v>21830.0</v>
      </c>
      <c r="K988" s="33">
        <v>22510.0</v>
      </c>
      <c r="L988" s="33">
        <v>3486.0</v>
      </c>
      <c r="M988" s="33">
        <v>65296.0</v>
      </c>
      <c r="N988" s="33">
        <v>63794.0</v>
      </c>
      <c r="O988" s="33">
        <v>48148.0</v>
      </c>
      <c r="P988" s="33">
        <v>15646.0</v>
      </c>
      <c r="Q988" s="33">
        <v>1502.0</v>
      </c>
      <c r="R988" s="34">
        <v>92.7110777</v>
      </c>
      <c r="S988" s="34">
        <v>45.6446284</v>
      </c>
      <c r="T988" s="34">
        <v>47.0664492</v>
      </c>
      <c r="U988" s="34">
        <v>7.2889223</v>
      </c>
      <c r="V988" s="34">
        <v>97.699706</v>
      </c>
      <c r="W988" s="34">
        <v>73.7380544</v>
      </c>
      <c r="X988" s="34">
        <v>23.9616516</v>
      </c>
      <c r="Y988" s="34">
        <v>2.300294</v>
      </c>
    </row>
    <row r="989" ht="15.0" hidden="1" customHeight="1">
      <c r="B989" s="30">
        <v>984.0</v>
      </c>
      <c r="C989" s="31" t="s">
        <v>21</v>
      </c>
      <c r="D989" s="31" t="s">
        <v>319</v>
      </c>
      <c r="E989" s="31" t="s">
        <v>163</v>
      </c>
      <c r="F989" s="31" t="s">
        <v>319</v>
      </c>
      <c r="G989" s="32" t="s">
        <v>16</v>
      </c>
      <c r="H989" s="33">
        <v>7100.0</v>
      </c>
      <c r="I989" s="33">
        <v>3584.0</v>
      </c>
      <c r="J989" s="33">
        <v>2261.0</v>
      </c>
      <c r="K989" s="33">
        <v>1323.0</v>
      </c>
      <c r="L989" s="33">
        <v>3516.0</v>
      </c>
      <c r="M989" s="33">
        <v>7413.0</v>
      </c>
      <c r="N989" s="33">
        <v>5432.0</v>
      </c>
      <c r="O989" s="33">
        <v>4945.0</v>
      </c>
      <c r="P989" s="33">
        <v>487.0</v>
      </c>
      <c r="Q989" s="33">
        <v>1981.0</v>
      </c>
      <c r="R989" s="34">
        <v>50.4788732</v>
      </c>
      <c r="S989" s="34">
        <v>31.8450704</v>
      </c>
      <c r="T989" s="34">
        <v>18.6338028</v>
      </c>
      <c r="U989" s="34">
        <v>49.5211268</v>
      </c>
      <c r="V989" s="34">
        <v>73.2766761</v>
      </c>
      <c r="W989" s="34">
        <v>66.7071361</v>
      </c>
      <c r="X989" s="34">
        <v>6.56954</v>
      </c>
      <c r="Y989" s="34">
        <v>26.7233239</v>
      </c>
    </row>
    <row r="990" ht="15.0" hidden="1" customHeight="1">
      <c r="B990" s="26">
        <v>985.0</v>
      </c>
      <c r="C990" s="27" t="s">
        <v>19</v>
      </c>
      <c r="D990" s="40" t="s">
        <v>319</v>
      </c>
      <c r="E990" s="40" t="s">
        <v>320</v>
      </c>
      <c r="F990" s="40"/>
      <c r="G990" s="27" t="s">
        <v>320</v>
      </c>
      <c r="H990" s="28">
        <v>14102.0</v>
      </c>
      <c r="I990" s="28">
        <v>10709.0</v>
      </c>
      <c r="J990" s="28">
        <v>5927.0</v>
      </c>
      <c r="K990" s="28">
        <v>4782.0</v>
      </c>
      <c r="L990" s="28">
        <v>3393.0</v>
      </c>
      <c r="M990" s="28">
        <v>16275.0</v>
      </c>
      <c r="N990" s="28">
        <v>14142.0</v>
      </c>
      <c r="O990" s="28">
        <v>11914.0</v>
      </c>
      <c r="P990" s="28">
        <v>2228.0</v>
      </c>
      <c r="Q990" s="28">
        <v>2133.0</v>
      </c>
      <c r="R990" s="29">
        <v>75.939583</v>
      </c>
      <c r="S990" s="29">
        <v>42.0294994</v>
      </c>
      <c r="T990" s="29">
        <v>33.9100837</v>
      </c>
      <c r="U990" s="29">
        <v>24.060417</v>
      </c>
      <c r="V990" s="29">
        <v>86.8940092</v>
      </c>
      <c r="W990" s="29">
        <v>73.2043011</v>
      </c>
      <c r="X990" s="29">
        <v>13.6897081</v>
      </c>
      <c r="Y990" s="29">
        <v>13.1059908</v>
      </c>
    </row>
    <row r="991" ht="15.0" hidden="1" customHeight="1">
      <c r="B991" s="30">
        <v>986.0</v>
      </c>
      <c r="C991" s="31" t="s">
        <v>19</v>
      </c>
      <c r="D991" s="31" t="s">
        <v>319</v>
      </c>
      <c r="E991" s="31" t="s">
        <v>320</v>
      </c>
      <c r="F991" s="31"/>
      <c r="G991" s="32" t="s">
        <v>15</v>
      </c>
      <c r="H991" s="33">
        <v>7600.0</v>
      </c>
      <c r="I991" s="33">
        <v>7219.0</v>
      </c>
      <c r="J991" s="33">
        <v>3603.0</v>
      </c>
      <c r="K991" s="33">
        <v>3616.0</v>
      </c>
      <c r="L991" s="33">
        <v>381.0</v>
      </c>
      <c r="M991" s="33">
        <v>9414.0</v>
      </c>
      <c r="N991" s="33">
        <v>9237.0</v>
      </c>
      <c r="O991" s="33">
        <v>7424.0</v>
      </c>
      <c r="P991" s="33">
        <v>1813.0</v>
      </c>
      <c r="Q991" s="33">
        <v>177.0</v>
      </c>
      <c r="R991" s="34">
        <v>94.9868421</v>
      </c>
      <c r="S991" s="34">
        <v>47.4078947</v>
      </c>
      <c r="T991" s="34">
        <v>47.5789474</v>
      </c>
      <c r="U991" s="34">
        <v>5.0131579</v>
      </c>
      <c r="V991" s="34">
        <v>98.1198215</v>
      </c>
      <c r="W991" s="34">
        <v>78.8612704</v>
      </c>
      <c r="X991" s="34">
        <v>19.2585511</v>
      </c>
      <c r="Y991" s="34">
        <v>1.8801785</v>
      </c>
    </row>
    <row r="992" ht="15.0" hidden="1" customHeight="1">
      <c r="B992" s="30">
        <v>987.0</v>
      </c>
      <c r="C992" s="31" t="s">
        <v>19</v>
      </c>
      <c r="D992" s="31" t="s">
        <v>319</v>
      </c>
      <c r="E992" s="31" t="s">
        <v>320</v>
      </c>
      <c r="F992" s="31"/>
      <c r="G992" s="32" t="s">
        <v>16</v>
      </c>
      <c r="H992" s="33">
        <v>6502.0</v>
      </c>
      <c r="I992" s="33">
        <v>3490.0</v>
      </c>
      <c r="J992" s="33">
        <v>2324.0</v>
      </c>
      <c r="K992" s="33">
        <v>1166.0</v>
      </c>
      <c r="L992" s="33">
        <v>3012.0</v>
      </c>
      <c r="M992" s="33">
        <v>6861.0</v>
      </c>
      <c r="N992" s="33">
        <v>4905.0</v>
      </c>
      <c r="O992" s="33">
        <v>4490.0</v>
      </c>
      <c r="P992" s="33">
        <v>415.0</v>
      </c>
      <c r="Q992" s="33">
        <v>1956.0</v>
      </c>
      <c r="R992" s="34">
        <v>53.6757921</v>
      </c>
      <c r="S992" s="34">
        <v>35.7428484</v>
      </c>
      <c r="T992" s="34">
        <v>17.9329437</v>
      </c>
      <c r="U992" s="34">
        <v>46.3242079</v>
      </c>
      <c r="V992" s="34">
        <v>71.4910363</v>
      </c>
      <c r="W992" s="34">
        <v>65.4423553</v>
      </c>
      <c r="X992" s="34">
        <v>6.048681</v>
      </c>
      <c r="Y992" s="34">
        <v>28.5089637</v>
      </c>
    </row>
    <row r="993" ht="15.0" customHeight="1">
      <c r="B993" s="35">
        <v>988.0</v>
      </c>
      <c r="C993" s="36" t="s">
        <v>21</v>
      </c>
      <c r="D993" s="41" t="s">
        <v>319</v>
      </c>
      <c r="E993" s="41" t="s">
        <v>320</v>
      </c>
      <c r="F993" s="41" t="s">
        <v>321</v>
      </c>
      <c r="G993" s="42" t="s">
        <v>321</v>
      </c>
      <c r="H993" s="37">
        <v>5090.0</v>
      </c>
      <c r="I993" s="37">
        <v>2633.0</v>
      </c>
      <c r="J993" s="37">
        <v>1793.0</v>
      </c>
      <c r="K993" s="37">
        <v>840.0</v>
      </c>
      <c r="L993" s="37">
        <v>2457.0</v>
      </c>
      <c r="M993" s="37">
        <v>5649.0</v>
      </c>
      <c r="N993" s="37">
        <v>3920.0</v>
      </c>
      <c r="O993" s="37">
        <v>3601.0</v>
      </c>
      <c r="P993" s="37">
        <v>319.0</v>
      </c>
      <c r="Q993" s="37">
        <v>1729.0</v>
      </c>
      <c r="R993" s="38">
        <v>51.7288802</v>
      </c>
      <c r="S993" s="38">
        <v>35.2259332</v>
      </c>
      <c r="T993" s="38">
        <v>16.502947</v>
      </c>
      <c r="U993" s="38">
        <v>48.2711198</v>
      </c>
      <c r="V993" s="38">
        <v>69.3928129</v>
      </c>
      <c r="W993" s="38">
        <v>63.7457957</v>
      </c>
      <c r="X993" s="38">
        <v>5.6470172</v>
      </c>
      <c r="Y993" s="38">
        <v>30.6071871</v>
      </c>
    </row>
    <row r="994" ht="15.0" hidden="1" customHeight="1">
      <c r="B994" s="30">
        <v>989.0</v>
      </c>
      <c r="C994" s="31" t="s">
        <v>21</v>
      </c>
      <c r="D994" s="31" t="s">
        <v>319</v>
      </c>
      <c r="E994" s="31" t="s">
        <v>320</v>
      </c>
      <c r="F994" s="31" t="s">
        <v>321</v>
      </c>
      <c r="G994" s="32" t="s">
        <v>15</v>
      </c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4"/>
      <c r="S994" s="34"/>
      <c r="T994" s="34"/>
      <c r="U994" s="34"/>
      <c r="V994" s="34"/>
      <c r="W994" s="34"/>
      <c r="X994" s="34"/>
      <c r="Y994" s="34"/>
    </row>
    <row r="995" ht="15.0" hidden="1" customHeight="1">
      <c r="B995" s="30">
        <v>990.0</v>
      </c>
      <c r="C995" s="31" t="s">
        <v>21</v>
      </c>
      <c r="D995" s="31" t="s">
        <v>319</v>
      </c>
      <c r="E995" s="31" t="s">
        <v>320</v>
      </c>
      <c r="F995" s="31" t="s">
        <v>321</v>
      </c>
      <c r="G995" s="32" t="s">
        <v>16</v>
      </c>
      <c r="H995" s="33">
        <v>5090.0</v>
      </c>
      <c r="I995" s="33">
        <v>2633.0</v>
      </c>
      <c r="J995" s="33">
        <v>1793.0</v>
      </c>
      <c r="K995" s="33">
        <v>840.0</v>
      </c>
      <c r="L995" s="33">
        <v>2457.0</v>
      </c>
      <c r="M995" s="33">
        <v>5649.0</v>
      </c>
      <c r="N995" s="33">
        <v>3920.0</v>
      </c>
      <c r="O995" s="33">
        <v>3601.0</v>
      </c>
      <c r="P995" s="33">
        <v>319.0</v>
      </c>
      <c r="Q995" s="33">
        <v>1729.0</v>
      </c>
      <c r="R995" s="34">
        <v>51.7288802</v>
      </c>
      <c r="S995" s="34">
        <v>35.2259332</v>
      </c>
      <c r="T995" s="34">
        <v>16.502947</v>
      </c>
      <c r="U995" s="34">
        <v>48.2711198</v>
      </c>
      <c r="V995" s="34">
        <v>69.3928129</v>
      </c>
      <c r="W995" s="34">
        <v>63.7457957</v>
      </c>
      <c r="X995" s="34">
        <v>5.6470172</v>
      </c>
      <c r="Y995" s="34">
        <v>30.6071871</v>
      </c>
    </row>
    <row r="996" ht="15.0" customHeight="1">
      <c r="B996" s="35">
        <v>991.0</v>
      </c>
      <c r="C996" s="36" t="s">
        <v>21</v>
      </c>
      <c r="D996" s="41" t="s">
        <v>319</v>
      </c>
      <c r="E996" s="41" t="s">
        <v>320</v>
      </c>
      <c r="F996" s="41" t="s">
        <v>322</v>
      </c>
      <c r="G996" s="42" t="s">
        <v>322</v>
      </c>
      <c r="H996" s="37">
        <v>9012.0</v>
      </c>
      <c r="I996" s="37">
        <v>8076.0</v>
      </c>
      <c r="J996" s="37">
        <v>4134.0</v>
      </c>
      <c r="K996" s="37">
        <v>3942.0</v>
      </c>
      <c r="L996" s="37">
        <v>936.0</v>
      </c>
      <c r="M996" s="37">
        <v>10626.0</v>
      </c>
      <c r="N996" s="37">
        <v>10222.0</v>
      </c>
      <c r="O996" s="37">
        <v>8313.0</v>
      </c>
      <c r="P996" s="37">
        <v>1909.0</v>
      </c>
      <c r="Q996" s="37">
        <v>404.0</v>
      </c>
      <c r="R996" s="38">
        <v>89.6138482</v>
      </c>
      <c r="S996" s="38">
        <v>45.8721704</v>
      </c>
      <c r="T996" s="38">
        <v>43.7416778</v>
      </c>
      <c r="U996" s="38">
        <v>10.3861518</v>
      </c>
      <c r="V996" s="38">
        <v>96.1980049</v>
      </c>
      <c r="W996" s="38">
        <v>78.2326369</v>
      </c>
      <c r="X996" s="38">
        <v>17.965368</v>
      </c>
      <c r="Y996" s="38">
        <v>3.8019951</v>
      </c>
    </row>
    <row r="997" ht="15.0" hidden="1" customHeight="1">
      <c r="B997" s="30">
        <v>992.0</v>
      </c>
      <c r="C997" s="31" t="s">
        <v>21</v>
      </c>
      <c r="D997" s="31" t="s">
        <v>319</v>
      </c>
      <c r="E997" s="31" t="s">
        <v>320</v>
      </c>
      <c r="F997" s="31" t="s">
        <v>322</v>
      </c>
      <c r="G997" s="32" t="s">
        <v>15</v>
      </c>
      <c r="H997" s="33">
        <v>7600.0</v>
      </c>
      <c r="I997" s="33">
        <v>7219.0</v>
      </c>
      <c r="J997" s="33">
        <v>3603.0</v>
      </c>
      <c r="K997" s="33">
        <v>3616.0</v>
      </c>
      <c r="L997" s="33">
        <v>381.0</v>
      </c>
      <c r="M997" s="33">
        <v>9414.0</v>
      </c>
      <c r="N997" s="33">
        <v>9237.0</v>
      </c>
      <c r="O997" s="33">
        <v>7424.0</v>
      </c>
      <c r="P997" s="33">
        <v>1813.0</v>
      </c>
      <c r="Q997" s="33">
        <v>177.0</v>
      </c>
      <c r="R997" s="34">
        <v>94.9868421</v>
      </c>
      <c r="S997" s="34">
        <v>47.4078947</v>
      </c>
      <c r="T997" s="34">
        <v>47.5789474</v>
      </c>
      <c r="U997" s="34">
        <v>5.0131579</v>
      </c>
      <c r="V997" s="34">
        <v>98.1198215</v>
      </c>
      <c r="W997" s="34">
        <v>78.8612704</v>
      </c>
      <c r="X997" s="34">
        <v>19.2585511</v>
      </c>
      <c r="Y997" s="34">
        <v>1.8801785</v>
      </c>
    </row>
    <row r="998" ht="15.0" hidden="1" customHeight="1">
      <c r="B998" s="30">
        <v>993.0</v>
      </c>
      <c r="C998" s="31" t="s">
        <v>21</v>
      </c>
      <c r="D998" s="31" t="s">
        <v>319</v>
      </c>
      <c r="E998" s="31" t="s">
        <v>320</v>
      </c>
      <c r="F998" s="31" t="s">
        <v>322</v>
      </c>
      <c r="G998" s="32" t="s">
        <v>16</v>
      </c>
      <c r="H998" s="33">
        <v>1412.0</v>
      </c>
      <c r="I998" s="33">
        <v>857.0</v>
      </c>
      <c r="J998" s="33">
        <v>531.0</v>
      </c>
      <c r="K998" s="33">
        <v>326.0</v>
      </c>
      <c r="L998" s="33">
        <v>555.0</v>
      </c>
      <c r="M998" s="33">
        <v>1212.0</v>
      </c>
      <c r="N998" s="33">
        <v>985.0</v>
      </c>
      <c r="O998" s="33">
        <v>889.0</v>
      </c>
      <c r="P998" s="33">
        <v>96.0</v>
      </c>
      <c r="Q998" s="33">
        <v>227.0</v>
      </c>
      <c r="R998" s="34">
        <v>60.694051</v>
      </c>
      <c r="S998" s="34">
        <v>37.6062323</v>
      </c>
      <c r="T998" s="34">
        <v>23.0878187</v>
      </c>
      <c r="U998" s="34">
        <v>39.305949</v>
      </c>
      <c r="V998" s="34">
        <v>81.2706271</v>
      </c>
      <c r="W998" s="34">
        <v>73.349835</v>
      </c>
      <c r="X998" s="34">
        <v>7.9207921</v>
      </c>
      <c r="Y998" s="34">
        <v>18.7293729</v>
      </c>
    </row>
    <row r="999" ht="15.0" hidden="1" customHeight="1">
      <c r="B999" s="26">
        <v>994.0</v>
      </c>
      <c r="C999" s="27" t="s">
        <v>19</v>
      </c>
      <c r="D999" s="40" t="s">
        <v>319</v>
      </c>
      <c r="E999" s="40" t="s">
        <v>323</v>
      </c>
      <c r="F999" s="40"/>
      <c r="G999" s="27" t="s">
        <v>323</v>
      </c>
      <c r="H999" s="28">
        <v>36422.0</v>
      </c>
      <c r="I999" s="28">
        <v>30997.0</v>
      </c>
      <c r="J999" s="28">
        <v>15170.0</v>
      </c>
      <c r="K999" s="28">
        <v>15827.0</v>
      </c>
      <c r="L999" s="28">
        <v>5425.0</v>
      </c>
      <c r="M999" s="28">
        <v>46032.0</v>
      </c>
      <c r="N999" s="28">
        <v>42645.0</v>
      </c>
      <c r="O999" s="28">
        <v>35917.0</v>
      </c>
      <c r="P999" s="28">
        <v>6728.0</v>
      </c>
      <c r="Q999" s="28">
        <v>3387.0</v>
      </c>
      <c r="R999" s="29">
        <v>85.1051562</v>
      </c>
      <c r="S999" s="29">
        <v>41.6506507</v>
      </c>
      <c r="T999" s="29">
        <v>43.4545055</v>
      </c>
      <c r="U999" s="29">
        <v>14.8948438</v>
      </c>
      <c r="V999" s="29">
        <v>92.6420751</v>
      </c>
      <c r="W999" s="29">
        <v>78.0261557</v>
      </c>
      <c r="X999" s="29">
        <v>14.6159194</v>
      </c>
      <c r="Y999" s="29">
        <v>7.3579249</v>
      </c>
    </row>
    <row r="1000" ht="15.0" hidden="1" customHeight="1">
      <c r="B1000" s="30">
        <v>995.0</v>
      </c>
      <c r="C1000" s="31" t="s">
        <v>19</v>
      </c>
      <c r="D1000" s="31" t="s">
        <v>319</v>
      </c>
      <c r="E1000" s="31" t="s">
        <v>323</v>
      </c>
      <c r="F1000" s="31"/>
      <c r="G1000" s="32" t="s">
        <v>15</v>
      </c>
      <c r="H1000" s="33">
        <v>24528.0</v>
      </c>
      <c r="I1000" s="33">
        <v>23212.0</v>
      </c>
      <c r="J1000" s="33">
        <v>10658.0</v>
      </c>
      <c r="K1000" s="33">
        <v>12554.0</v>
      </c>
      <c r="L1000" s="33">
        <v>1316.0</v>
      </c>
      <c r="M1000" s="33">
        <v>32165.0</v>
      </c>
      <c r="N1000" s="33">
        <v>31410.0</v>
      </c>
      <c r="O1000" s="33">
        <v>25540.0</v>
      </c>
      <c r="P1000" s="33">
        <v>5870.0</v>
      </c>
      <c r="Q1000" s="33">
        <v>755.0</v>
      </c>
      <c r="R1000" s="34">
        <v>94.6347032</v>
      </c>
      <c r="S1000" s="34">
        <v>43.452381</v>
      </c>
      <c r="T1000" s="34">
        <v>51.1823222</v>
      </c>
      <c r="U1000" s="34">
        <v>5.3652968</v>
      </c>
      <c r="V1000" s="34">
        <v>97.6527281</v>
      </c>
      <c r="W1000" s="34">
        <v>79.4030779</v>
      </c>
      <c r="X1000" s="34">
        <v>18.2496502</v>
      </c>
      <c r="Y1000" s="34">
        <v>2.3472719</v>
      </c>
    </row>
    <row r="1001" ht="15.0" hidden="1" customHeight="1">
      <c r="B1001" s="30">
        <v>996.0</v>
      </c>
      <c r="C1001" s="31" t="s">
        <v>19</v>
      </c>
      <c r="D1001" s="31" t="s">
        <v>319</v>
      </c>
      <c r="E1001" s="31" t="s">
        <v>323</v>
      </c>
      <c r="F1001" s="31"/>
      <c r="G1001" s="32" t="s">
        <v>16</v>
      </c>
      <c r="H1001" s="33">
        <v>11894.0</v>
      </c>
      <c r="I1001" s="33">
        <v>7785.0</v>
      </c>
      <c r="J1001" s="33">
        <v>4512.0</v>
      </c>
      <c r="K1001" s="33">
        <v>3273.0</v>
      </c>
      <c r="L1001" s="33">
        <v>4109.0</v>
      </c>
      <c r="M1001" s="33">
        <v>13867.0</v>
      </c>
      <c r="N1001" s="33">
        <v>11235.0</v>
      </c>
      <c r="O1001" s="33">
        <v>10377.0</v>
      </c>
      <c r="P1001" s="33">
        <v>858.0</v>
      </c>
      <c r="Q1001" s="33">
        <v>2632.0</v>
      </c>
      <c r="R1001" s="34">
        <v>65.4531697</v>
      </c>
      <c r="S1001" s="34">
        <v>37.9350933</v>
      </c>
      <c r="T1001" s="34">
        <v>27.5180763</v>
      </c>
      <c r="U1001" s="34">
        <v>34.5468303</v>
      </c>
      <c r="V1001" s="34">
        <v>81.019687</v>
      </c>
      <c r="W1001" s="34">
        <v>74.8323358</v>
      </c>
      <c r="X1001" s="34">
        <v>6.1873513</v>
      </c>
      <c r="Y1001" s="34">
        <v>18.980313</v>
      </c>
    </row>
    <row r="1002" ht="15.0" customHeight="1">
      <c r="B1002" s="35">
        <v>997.0</v>
      </c>
      <c r="C1002" s="36" t="s">
        <v>21</v>
      </c>
      <c r="D1002" s="41" t="s">
        <v>319</v>
      </c>
      <c r="E1002" s="41" t="s">
        <v>323</v>
      </c>
      <c r="F1002" s="41" t="s">
        <v>324</v>
      </c>
      <c r="G1002" s="42" t="s">
        <v>324</v>
      </c>
      <c r="H1002" s="37">
        <v>22138.0</v>
      </c>
      <c r="I1002" s="37">
        <v>19071.0</v>
      </c>
      <c r="J1002" s="37">
        <v>8952.0</v>
      </c>
      <c r="K1002" s="37">
        <v>10119.0</v>
      </c>
      <c r="L1002" s="37">
        <v>3067.0</v>
      </c>
      <c r="M1002" s="37">
        <v>27308.0</v>
      </c>
      <c r="N1002" s="37">
        <v>25672.0</v>
      </c>
      <c r="O1002" s="37">
        <v>20834.0</v>
      </c>
      <c r="P1002" s="37">
        <v>4838.0</v>
      </c>
      <c r="Q1002" s="37">
        <v>1636.0</v>
      </c>
      <c r="R1002" s="38">
        <v>86.1459933</v>
      </c>
      <c r="S1002" s="38">
        <v>40.4372572</v>
      </c>
      <c r="T1002" s="38">
        <v>45.7087361</v>
      </c>
      <c r="U1002" s="38">
        <v>13.8540067</v>
      </c>
      <c r="V1002" s="38">
        <v>94.0090816</v>
      </c>
      <c r="W1002" s="38">
        <v>76.2926615</v>
      </c>
      <c r="X1002" s="38">
        <v>17.7164201</v>
      </c>
      <c r="Y1002" s="38">
        <v>5.9909184</v>
      </c>
    </row>
    <row r="1003" ht="15.0" hidden="1" customHeight="1">
      <c r="B1003" s="30">
        <v>998.0</v>
      </c>
      <c r="C1003" s="31" t="s">
        <v>21</v>
      </c>
      <c r="D1003" s="31" t="s">
        <v>319</v>
      </c>
      <c r="E1003" s="31" t="s">
        <v>323</v>
      </c>
      <c r="F1003" s="31" t="s">
        <v>324</v>
      </c>
      <c r="G1003" s="32" t="s">
        <v>15</v>
      </c>
      <c r="H1003" s="33">
        <v>15658.0</v>
      </c>
      <c r="I1003" s="33">
        <v>15119.0</v>
      </c>
      <c r="J1003" s="33">
        <v>6638.0</v>
      </c>
      <c r="K1003" s="33">
        <v>8481.0</v>
      </c>
      <c r="L1003" s="33">
        <v>539.0</v>
      </c>
      <c r="M1003" s="33">
        <v>20574.0</v>
      </c>
      <c r="N1003" s="33">
        <v>20229.0</v>
      </c>
      <c r="O1003" s="33">
        <v>15836.0</v>
      </c>
      <c r="P1003" s="33">
        <v>4393.0</v>
      </c>
      <c r="Q1003" s="33">
        <v>345.0</v>
      </c>
      <c r="R1003" s="34">
        <v>96.5576702</v>
      </c>
      <c r="S1003" s="34">
        <v>42.3936646</v>
      </c>
      <c r="T1003" s="34">
        <v>54.1640056</v>
      </c>
      <c r="U1003" s="34">
        <v>3.4423298</v>
      </c>
      <c r="V1003" s="34">
        <v>98.3231263</v>
      </c>
      <c r="W1003" s="34">
        <v>76.9709342</v>
      </c>
      <c r="X1003" s="34">
        <v>21.3521921</v>
      </c>
      <c r="Y1003" s="34">
        <v>1.6768737</v>
      </c>
    </row>
    <row r="1004" ht="15.0" hidden="1" customHeight="1">
      <c r="B1004" s="30">
        <v>999.0</v>
      </c>
      <c r="C1004" s="31" t="s">
        <v>21</v>
      </c>
      <c r="D1004" s="31" t="s">
        <v>319</v>
      </c>
      <c r="E1004" s="31" t="s">
        <v>323</v>
      </c>
      <c r="F1004" s="31" t="s">
        <v>324</v>
      </c>
      <c r="G1004" s="32" t="s">
        <v>16</v>
      </c>
      <c r="H1004" s="33">
        <v>6480.0</v>
      </c>
      <c r="I1004" s="33">
        <v>3952.0</v>
      </c>
      <c r="J1004" s="33">
        <v>2314.0</v>
      </c>
      <c r="K1004" s="33">
        <v>1638.0</v>
      </c>
      <c r="L1004" s="33">
        <v>2528.0</v>
      </c>
      <c r="M1004" s="33">
        <v>6734.0</v>
      </c>
      <c r="N1004" s="33">
        <v>5443.0</v>
      </c>
      <c r="O1004" s="33">
        <v>4998.0</v>
      </c>
      <c r="P1004" s="33">
        <v>445.0</v>
      </c>
      <c r="Q1004" s="33">
        <v>1291.0</v>
      </c>
      <c r="R1004" s="34">
        <v>60.9876543</v>
      </c>
      <c r="S1004" s="34">
        <v>35.7098765</v>
      </c>
      <c r="T1004" s="34">
        <v>25.2777778</v>
      </c>
      <c r="U1004" s="34">
        <v>39.0123457</v>
      </c>
      <c r="V1004" s="34">
        <v>80.8286308</v>
      </c>
      <c r="W1004" s="34">
        <v>74.2203742</v>
      </c>
      <c r="X1004" s="34">
        <v>6.6082566</v>
      </c>
      <c r="Y1004" s="34">
        <v>19.1713692</v>
      </c>
    </row>
    <row r="1005" ht="15.0" customHeight="1">
      <c r="B1005" s="35">
        <v>1000.0</v>
      </c>
      <c r="C1005" s="36" t="s">
        <v>21</v>
      </c>
      <c r="D1005" s="41" t="s">
        <v>319</v>
      </c>
      <c r="E1005" s="41" t="s">
        <v>323</v>
      </c>
      <c r="F1005" s="41" t="s">
        <v>325</v>
      </c>
      <c r="G1005" s="42" t="s">
        <v>325</v>
      </c>
      <c r="H1005" s="37">
        <v>3995.0</v>
      </c>
      <c r="I1005" s="37">
        <v>3357.0</v>
      </c>
      <c r="J1005" s="37">
        <v>1782.0</v>
      </c>
      <c r="K1005" s="37">
        <v>1575.0</v>
      </c>
      <c r="L1005" s="37">
        <v>638.0</v>
      </c>
      <c r="M1005" s="37">
        <v>4684.0</v>
      </c>
      <c r="N1005" s="37">
        <v>4106.0</v>
      </c>
      <c r="O1005" s="37">
        <v>3578.0</v>
      </c>
      <c r="P1005" s="37">
        <v>528.0</v>
      </c>
      <c r="Q1005" s="37">
        <v>578.0</v>
      </c>
      <c r="R1005" s="38">
        <v>84.0300375</v>
      </c>
      <c r="S1005" s="38">
        <v>44.6057572</v>
      </c>
      <c r="T1005" s="38">
        <v>39.4242804</v>
      </c>
      <c r="U1005" s="38">
        <v>15.9699625</v>
      </c>
      <c r="V1005" s="38">
        <v>87.6601196</v>
      </c>
      <c r="W1005" s="38">
        <v>76.3877028</v>
      </c>
      <c r="X1005" s="38">
        <v>11.2724167</v>
      </c>
      <c r="Y1005" s="38">
        <v>12.3398804</v>
      </c>
    </row>
    <row r="1006" ht="15.0" hidden="1" customHeight="1">
      <c r="B1006" s="30">
        <v>1001.0</v>
      </c>
      <c r="C1006" s="31" t="s">
        <v>21</v>
      </c>
      <c r="D1006" s="31" t="s">
        <v>319</v>
      </c>
      <c r="E1006" s="31" t="s">
        <v>323</v>
      </c>
      <c r="F1006" s="31" t="s">
        <v>325</v>
      </c>
      <c r="G1006" s="32" t="s">
        <v>15</v>
      </c>
      <c r="H1006" s="33">
        <v>962.0</v>
      </c>
      <c r="I1006" s="33">
        <v>924.0</v>
      </c>
      <c r="J1006" s="33">
        <v>296.0</v>
      </c>
      <c r="K1006" s="33">
        <v>628.0</v>
      </c>
      <c r="L1006" s="33">
        <v>38.0</v>
      </c>
      <c r="M1006" s="33">
        <v>1260.0</v>
      </c>
      <c r="N1006" s="33">
        <v>1214.0</v>
      </c>
      <c r="O1006" s="33">
        <v>920.0</v>
      </c>
      <c r="P1006" s="33">
        <v>294.0</v>
      </c>
      <c r="Q1006" s="33">
        <v>46.0</v>
      </c>
      <c r="R1006" s="34">
        <v>96.049896</v>
      </c>
      <c r="S1006" s="34">
        <v>30.7692308</v>
      </c>
      <c r="T1006" s="34">
        <v>65.2806653</v>
      </c>
      <c r="U1006" s="34">
        <v>3.950104</v>
      </c>
      <c r="V1006" s="34">
        <v>96.3492063</v>
      </c>
      <c r="W1006" s="34">
        <v>73.015873</v>
      </c>
      <c r="X1006" s="34">
        <v>23.3333333</v>
      </c>
      <c r="Y1006" s="34">
        <v>3.6507937</v>
      </c>
    </row>
    <row r="1007" ht="15.0" hidden="1" customHeight="1">
      <c r="B1007" s="30">
        <v>1002.0</v>
      </c>
      <c r="C1007" s="31" t="s">
        <v>21</v>
      </c>
      <c r="D1007" s="31" t="s">
        <v>319</v>
      </c>
      <c r="E1007" s="31" t="s">
        <v>323</v>
      </c>
      <c r="F1007" s="31" t="s">
        <v>325</v>
      </c>
      <c r="G1007" s="32" t="s">
        <v>16</v>
      </c>
      <c r="H1007" s="33">
        <v>3033.0</v>
      </c>
      <c r="I1007" s="33">
        <v>2433.0</v>
      </c>
      <c r="J1007" s="33">
        <v>1486.0</v>
      </c>
      <c r="K1007" s="33">
        <v>947.0</v>
      </c>
      <c r="L1007" s="33">
        <v>600.0</v>
      </c>
      <c r="M1007" s="33">
        <v>3424.0</v>
      </c>
      <c r="N1007" s="33">
        <v>2892.0</v>
      </c>
      <c r="O1007" s="33">
        <v>2658.0</v>
      </c>
      <c r="P1007" s="33">
        <v>234.0</v>
      </c>
      <c r="Q1007" s="33">
        <v>532.0</v>
      </c>
      <c r="R1007" s="34">
        <v>80.2176063</v>
      </c>
      <c r="S1007" s="34">
        <v>48.994395</v>
      </c>
      <c r="T1007" s="34">
        <v>31.2232113</v>
      </c>
      <c r="U1007" s="34">
        <v>19.7823937</v>
      </c>
      <c r="V1007" s="34">
        <v>84.4626168</v>
      </c>
      <c r="W1007" s="34">
        <v>77.6285047</v>
      </c>
      <c r="X1007" s="34">
        <v>6.8341121</v>
      </c>
      <c r="Y1007" s="34">
        <v>15.5373832</v>
      </c>
    </row>
    <row r="1008" ht="15.0" customHeight="1">
      <c r="B1008" s="35">
        <v>1003.0</v>
      </c>
      <c r="C1008" s="36" t="s">
        <v>21</v>
      </c>
      <c r="D1008" s="41" t="s">
        <v>319</v>
      </c>
      <c r="E1008" s="41" t="s">
        <v>323</v>
      </c>
      <c r="F1008" s="41" t="s">
        <v>326</v>
      </c>
      <c r="G1008" s="42" t="s">
        <v>326</v>
      </c>
      <c r="H1008" s="37">
        <v>10289.0</v>
      </c>
      <c r="I1008" s="37">
        <v>8569.0</v>
      </c>
      <c r="J1008" s="37">
        <v>4436.0</v>
      </c>
      <c r="K1008" s="37">
        <v>4133.0</v>
      </c>
      <c r="L1008" s="37">
        <v>1720.0</v>
      </c>
      <c r="M1008" s="37">
        <v>14040.0</v>
      </c>
      <c r="N1008" s="37">
        <v>12867.0</v>
      </c>
      <c r="O1008" s="37">
        <v>11505.0</v>
      </c>
      <c r="P1008" s="37">
        <v>1362.0</v>
      </c>
      <c r="Q1008" s="37">
        <v>1173.0</v>
      </c>
      <c r="R1008" s="38">
        <v>83.2831179</v>
      </c>
      <c r="S1008" s="38">
        <v>43.1140052</v>
      </c>
      <c r="T1008" s="38">
        <v>40.1691126</v>
      </c>
      <c r="U1008" s="38">
        <v>16.7168821</v>
      </c>
      <c r="V1008" s="38">
        <v>91.6452991</v>
      </c>
      <c r="W1008" s="38">
        <v>81.9444444</v>
      </c>
      <c r="X1008" s="38">
        <v>9.7008547</v>
      </c>
      <c r="Y1008" s="38">
        <v>8.3547009</v>
      </c>
    </row>
    <row r="1009" ht="15.0" hidden="1" customHeight="1">
      <c r="B1009" s="30">
        <v>1004.0</v>
      </c>
      <c r="C1009" s="31" t="s">
        <v>21</v>
      </c>
      <c r="D1009" s="31" t="s">
        <v>319</v>
      </c>
      <c r="E1009" s="31" t="s">
        <v>323</v>
      </c>
      <c r="F1009" s="31" t="s">
        <v>326</v>
      </c>
      <c r="G1009" s="32" t="s">
        <v>15</v>
      </c>
      <c r="H1009" s="33">
        <v>7908.0</v>
      </c>
      <c r="I1009" s="33">
        <v>7169.0</v>
      </c>
      <c r="J1009" s="33">
        <v>3724.0</v>
      </c>
      <c r="K1009" s="33">
        <v>3445.0</v>
      </c>
      <c r="L1009" s="33">
        <v>739.0</v>
      </c>
      <c r="M1009" s="33">
        <v>10331.0</v>
      </c>
      <c r="N1009" s="33">
        <v>9967.0</v>
      </c>
      <c r="O1009" s="33">
        <v>8784.0</v>
      </c>
      <c r="P1009" s="33">
        <v>1183.0</v>
      </c>
      <c r="Q1009" s="33">
        <v>364.0</v>
      </c>
      <c r="R1009" s="34">
        <v>90.6550329</v>
      </c>
      <c r="S1009" s="34">
        <v>47.0915529</v>
      </c>
      <c r="T1009" s="34">
        <v>43.56348</v>
      </c>
      <c r="U1009" s="34">
        <v>9.3449671</v>
      </c>
      <c r="V1009" s="34">
        <v>96.4766238</v>
      </c>
      <c r="W1009" s="34">
        <v>85.025651</v>
      </c>
      <c r="X1009" s="34">
        <v>11.4509728</v>
      </c>
      <c r="Y1009" s="34">
        <v>3.5233762</v>
      </c>
    </row>
    <row r="1010" ht="15.0" hidden="1" customHeight="1">
      <c r="B1010" s="30">
        <v>1005.0</v>
      </c>
      <c r="C1010" s="31" t="s">
        <v>21</v>
      </c>
      <c r="D1010" s="31" t="s">
        <v>319</v>
      </c>
      <c r="E1010" s="31" t="s">
        <v>323</v>
      </c>
      <c r="F1010" s="31" t="s">
        <v>326</v>
      </c>
      <c r="G1010" s="32" t="s">
        <v>16</v>
      </c>
      <c r="H1010" s="33">
        <v>2381.0</v>
      </c>
      <c r="I1010" s="33">
        <v>1400.0</v>
      </c>
      <c r="J1010" s="33">
        <v>712.0</v>
      </c>
      <c r="K1010" s="33">
        <v>688.0</v>
      </c>
      <c r="L1010" s="33">
        <v>981.0</v>
      </c>
      <c r="M1010" s="33">
        <v>3709.0</v>
      </c>
      <c r="N1010" s="33">
        <v>2900.0</v>
      </c>
      <c r="O1010" s="33">
        <v>2721.0</v>
      </c>
      <c r="P1010" s="33">
        <v>179.0</v>
      </c>
      <c r="Q1010" s="33">
        <v>809.0</v>
      </c>
      <c r="R1010" s="34">
        <v>58.798824</v>
      </c>
      <c r="S1010" s="34">
        <v>29.9034019</v>
      </c>
      <c r="T1010" s="34">
        <v>28.8954221</v>
      </c>
      <c r="U1010" s="34">
        <v>41.201176</v>
      </c>
      <c r="V1010" s="34">
        <v>78.1881909</v>
      </c>
      <c r="W1010" s="34">
        <v>73.3620922</v>
      </c>
      <c r="X1010" s="34">
        <v>4.8260987</v>
      </c>
      <c r="Y1010" s="34">
        <v>21.8118091</v>
      </c>
    </row>
    <row r="1011" ht="15.0" hidden="1" customHeight="1">
      <c r="B1011" s="26">
        <v>1006.0</v>
      </c>
      <c r="C1011" s="27" t="s">
        <v>19</v>
      </c>
      <c r="D1011" s="40" t="s">
        <v>319</v>
      </c>
      <c r="E1011" s="40" t="s">
        <v>327</v>
      </c>
      <c r="F1011" s="40"/>
      <c r="G1011" s="27" t="s">
        <v>327</v>
      </c>
      <c r="H1011" s="28">
        <v>5646.0</v>
      </c>
      <c r="I1011" s="28">
        <v>3678.0</v>
      </c>
      <c r="J1011" s="28">
        <v>2095.0</v>
      </c>
      <c r="K1011" s="28">
        <v>1583.0</v>
      </c>
      <c r="L1011" s="28">
        <v>1968.0</v>
      </c>
      <c r="M1011" s="28">
        <v>6446.0</v>
      </c>
      <c r="N1011" s="28">
        <v>5123.0</v>
      </c>
      <c r="O1011" s="28">
        <v>4544.0</v>
      </c>
      <c r="P1011" s="28">
        <v>579.0</v>
      </c>
      <c r="Q1011" s="28">
        <v>1323.0</v>
      </c>
      <c r="R1011" s="29">
        <v>65.1434644</v>
      </c>
      <c r="S1011" s="29">
        <v>37.1059157</v>
      </c>
      <c r="T1011" s="29">
        <v>28.0375487</v>
      </c>
      <c r="U1011" s="29">
        <v>34.8565356</v>
      </c>
      <c r="V1011" s="29">
        <v>79.4756438</v>
      </c>
      <c r="W1011" s="29">
        <v>70.4933292</v>
      </c>
      <c r="X1011" s="29">
        <v>8.9823146</v>
      </c>
      <c r="Y1011" s="29">
        <v>20.5243562</v>
      </c>
    </row>
    <row r="1012" ht="15.0" hidden="1" customHeight="1">
      <c r="B1012" s="30">
        <v>1007.0</v>
      </c>
      <c r="C1012" s="31" t="s">
        <v>19</v>
      </c>
      <c r="D1012" s="31" t="s">
        <v>319</v>
      </c>
      <c r="E1012" s="31" t="s">
        <v>327</v>
      </c>
      <c r="F1012" s="31"/>
      <c r="G1012" s="32" t="s">
        <v>15</v>
      </c>
      <c r="H1012" s="33"/>
      <c r="I1012" s="33"/>
      <c r="J1012" s="33"/>
      <c r="K1012" s="33"/>
      <c r="L1012" s="33"/>
      <c r="M1012" s="33">
        <v>703.0</v>
      </c>
      <c r="N1012" s="33">
        <v>682.0</v>
      </c>
      <c r="O1012" s="33">
        <v>585.0</v>
      </c>
      <c r="P1012" s="33">
        <v>97.0</v>
      </c>
      <c r="Q1012" s="33">
        <v>21.0</v>
      </c>
      <c r="R1012" s="34"/>
      <c r="S1012" s="34"/>
      <c r="T1012" s="34"/>
      <c r="U1012" s="34"/>
      <c r="V1012" s="34">
        <v>97.0128023</v>
      </c>
      <c r="W1012" s="34">
        <v>83.2147937</v>
      </c>
      <c r="X1012" s="34">
        <v>13.7980085</v>
      </c>
      <c r="Y1012" s="34">
        <v>2.9871977</v>
      </c>
    </row>
    <row r="1013" ht="15.0" hidden="1" customHeight="1">
      <c r="B1013" s="30">
        <v>1008.0</v>
      </c>
      <c r="C1013" s="31" t="s">
        <v>19</v>
      </c>
      <c r="D1013" s="31" t="s">
        <v>319</v>
      </c>
      <c r="E1013" s="31" t="s">
        <v>327</v>
      </c>
      <c r="F1013" s="31"/>
      <c r="G1013" s="32" t="s">
        <v>16</v>
      </c>
      <c r="H1013" s="33">
        <v>5646.0</v>
      </c>
      <c r="I1013" s="33">
        <v>3678.0</v>
      </c>
      <c r="J1013" s="33">
        <v>2095.0</v>
      </c>
      <c r="K1013" s="33">
        <v>1583.0</v>
      </c>
      <c r="L1013" s="33">
        <v>1968.0</v>
      </c>
      <c r="M1013" s="33">
        <v>5743.0</v>
      </c>
      <c r="N1013" s="33">
        <v>4441.0</v>
      </c>
      <c r="O1013" s="33">
        <v>3959.0</v>
      </c>
      <c r="P1013" s="33">
        <v>482.0</v>
      </c>
      <c r="Q1013" s="33">
        <v>1302.0</v>
      </c>
      <c r="R1013" s="34">
        <v>65.1434644</v>
      </c>
      <c r="S1013" s="34">
        <v>37.1059157</v>
      </c>
      <c r="T1013" s="34">
        <v>28.0375487</v>
      </c>
      <c r="U1013" s="34">
        <v>34.8565356</v>
      </c>
      <c r="V1013" s="34">
        <v>77.3289222</v>
      </c>
      <c r="W1013" s="34">
        <v>68.9360961</v>
      </c>
      <c r="X1013" s="34">
        <v>8.392826</v>
      </c>
      <c r="Y1013" s="34">
        <v>22.6710778</v>
      </c>
    </row>
    <row r="1014" ht="15.0" customHeight="1">
      <c r="B1014" s="35">
        <v>1009.0</v>
      </c>
      <c r="C1014" s="36" t="s">
        <v>21</v>
      </c>
      <c r="D1014" s="41" t="s">
        <v>319</v>
      </c>
      <c r="E1014" s="41" t="s">
        <v>327</v>
      </c>
      <c r="F1014" s="41" t="s">
        <v>328</v>
      </c>
      <c r="G1014" s="42" t="s">
        <v>328</v>
      </c>
      <c r="H1014" s="37">
        <v>4162.0</v>
      </c>
      <c r="I1014" s="37">
        <v>2582.0</v>
      </c>
      <c r="J1014" s="37">
        <v>1462.0</v>
      </c>
      <c r="K1014" s="37">
        <v>1120.0</v>
      </c>
      <c r="L1014" s="37">
        <v>1580.0</v>
      </c>
      <c r="M1014" s="37">
        <v>4916.0</v>
      </c>
      <c r="N1014" s="37">
        <v>3926.0</v>
      </c>
      <c r="O1014" s="37">
        <v>3515.0</v>
      </c>
      <c r="P1014" s="37">
        <v>411.0</v>
      </c>
      <c r="Q1014" s="37">
        <v>990.0</v>
      </c>
      <c r="R1014" s="38">
        <v>62.037482</v>
      </c>
      <c r="S1014" s="38">
        <v>35.1273426</v>
      </c>
      <c r="T1014" s="38">
        <v>26.9101394</v>
      </c>
      <c r="U1014" s="38">
        <v>37.962518</v>
      </c>
      <c r="V1014" s="38">
        <v>79.8616762</v>
      </c>
      <c r="W1014" s="38">
        <v>71.5012205</v>
      </c>
      <c r="X1014" s="38">
        <v>8.3604557</v>
      </c>
      <c r="Y1014" s="38">
        <v>20.1383238</v>
      </c>
    </row>
    <row r="1015" ht="15.0" hidden="1" customHeight="1">
      <c r="B1015" s="30">
        <v>1010.0</v>
      </c>
      <c r="C1015" s="31" t="s">
        <v>21</v>
      </c>
      <c r="D1015" s="31" t="s">
        <v>319</v>
      </c>
      <c r="E1015" s="31" t="s">
        <v>327</v>
      </c>
      <c r="F1015" s="31" t="s">
        <v>328</v>
      </c>
      <c r="G1015" s="32" t="s">
        <v>15</v>
      </c>
      <c r="H1015" s="33"/>
      <c r="I1015" s="33"/>
      <c r="J1015" s="33"/>
      <c r="K1015" s="33"/>
      <c r="L1015" s="33"/>
      <c r="M1015" s="33">
        <v>703.0</v>
      </c>
      <c r="N1015" s="33">
        <v>682.0</v>
      </c>
      <c r="O1015" s="33">
        <v>585.0</v>
      </c>
      <c r="P1015" s="33">
        <v>97.0</v>
      </c>
      <c r="Q1015" s="33">
        <v>21.0</v>
      </c>
      <c r="R1015" s="34"/>
      <c r="S1015" s="34"/>
      <c r="T1015" s="34"/>
      <c r="U1015" s="34"/>
      <c r="V1015" s="34">
        <v>97.0128023</v>
      </c>
      <c r="W1015" s="34">
        <v>83.2147937</v>
      </c>
      <c r="X1015" s="34">
        <v>13.7980085</v>
      </c>
      <c r="Y1015" s="34">
        <v>2.9871977</v>
      </c>
    </row>
    <row r="1016" ht="15.0" hidden="1" customHeight="1">
      <c r="B1016" s="30">
        <v>1011.0</v>
      </c>
      <c r="C1016" s="31" t="s">
        <v>21</v>
      </c>
      <c r="D1016" s="31" t="s">
        <v>319</v>
      </c>
      <c r="E1016" s="31" t="s">
        <v>327</v>
      </c>
      <c r="F1016" s="31" t="s">
        <v>328</v>
      </c>
      <c r="G1016" s="32" t="s">
        <v>16</v>
      </c>
      <c r="H1016" s="33">
        <v>4162.0</v>
      </c>
      <c r="I1016" s="33">
        <v>2582.0</v>
      </c>
      <c r="J1016" s="33">
        <v>1462.0</v>
      </c>
      <c r="K1016" s="33">
        <v>1120.0</v>
      </c>
      <c r="L1016" s="33">
        <v>1580.0</v>
      </c>
      <c r="M1016" s="33">
        <v>4213.0</v>
      </c>
      <c r="N1016" s="33">
        <v>3244.0</v>
      </c>
      <c r="O1016" s="33">
        <v>2930.0</v>
      </c>
      <c r="P1016" s="33">
        <v>314.0</v>
      </c>
      <c r="Q1016" s="33">
        <v>969.0</v>
      </c>
      <c r="R1016" s="34">
        <v>62.037482</v>
      </c>
      <c r="S1016" s="34">
        <v>35.1273426</v>
      </c>
      <c r="T1016" s="34">
        <v>26.9101394</v>
      </c>
      <c r="U1016" s="34">
        <v>37.962518</v>
      </c>
      <c r="V1016" s="34">
        <v>76.9997626</v>
      </c>
      <c r="W1016" s="34">
        <v>69.5466413</v>
      </c>
      <c r="X1016" s="34">
        <v>7.4531213</v>
      </c>
      <c r="Y1016" s="34">
        <v>23.0002374</v>
      </c>
    </row>
    <row r="1017" ht="15.0" customHeight="1">
      <c r="B1017" s="35">
        <v>1012.0</v>
      </c>
      <c r="C1017" s="36" t="s">
        <v>21</v>
      </c>
      <c r="D1017" s="41" t="s">
        <v>319</v>
      </c>
      <c r="E1017" s="41" t="s">
        <v>327</v>
      </c>
      <c r="F1017" s="41" t="s">
        <v>329</v>
      </c>
      <c r="G1017" s="42" t="s">
        <v>329</v>
      </c>
      <c r="H1017" s="37">
        <v>1484.0</v>
      </c>
      <c r="I1017" s="37">
        <v>1096.0</v>
      </c>
      <c r="J1017" s="37">
        <v>633.0</v>
      </c>
      <c r="K1017" s="37">
        <v>463.0</v>
      </c>
      <c r="L1017" s="37">
        <v>388.0</v>
      </c>
      <c r="M1017" s="37">
        <v>1530.0</v>
      </c>
      <c r="N1017" s="37">
        <v>1197.0</v>
      </c>
      <c r="O1017" s="37">
        <v>1029.0</v>
      </c>
      <c r="P1017" s="37">
        <v>168.0</v>
      </c>
      <c r="Q1017" s="37">
        <v>333.0</v>
      </c>
      <c r="R1017" s="38">
        <v>73.8544474</v>
      </c>
      <c r="S1017" s="38">
        <v>42.6549865</v>
      </c>
      <c r="T1017" s="38">
        <v>31.1994609</v>
      </c>
      <c r="U1017" s="38">
        <v>26.1455526</v>
      </c>
      <c r="V1017" s="38">
        <v>78.2352941</v>
      </c>
      <c r="W1017" s="38">
        <v>67.254902</v>
      </c>
      <c r="X1017" s="38">
        <v>10.9803922</v>
      </c>
      <c r="Y1017" s="38">
        <v>21.7647059</v>
      </c>
    </row>
    <row r="1018" ht="15.0" hidden="1" customHeight="1">
      <c r="B1018" s="30">
        <v>1013.0</v>
      </c>
      <c r="C1018" s="31" t="s">
        <v>21</v>
      </c>
      <c r="D1018" s="31" t="s">
        <v>319</v>
      </c>
      <c r="E1018" s="31" t="s">
        <v>327</v>
      </c>
      <c r="F1018" s="31" t="s">
        <v>329</v>
      </c>
      <c r="G1018" s="32" t="s">
        <v>15</v>
      </c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4"/>
      <c r="S1018" s="34"/>
      <c r="T1018" s="34"/>
      <c r="U1018" s="34"/>
      <c r="V1018" s="34"/>
      <c r="W1018" s="34"/>
      <c r="X1018" s="34"/>
      <c r="Y1018" s="34"/>
    </row>
    <row r="1019" ht="15.0" hidden="1" customHeight="1">
      <c r="B1019" s="30">
        <v>1014.0</v>
      </c>
      <c r="C1019" s="31" t="s">
        <v>21</v>
      </c>
      <c r="D1019" s="31" t="s">
        <v>319</v>
      </c>
      <c r="E1019" s="31" t="s">
        <v>327</v>
      </c>
      <c r="F1019" s="31" t="s">
        <v>329</v>
      </c>
      <c r="G1019" s="32" t="s">
        <v>16</v>
      </c>
      <c r="H1019" s="33">
        <v>1484.0</v>
      </c>
      <c r="I1019" s="33">
        <v>1096.0</v>
      </c>
      <c r="J1019" s="33">
        <v>633.0</v>
      </c>
      <c r="K1019" s="33">
        <v>463.0</v>
      </c>
      <c r="L1019" s="33">
        <v>388.0</v>
      </c>
      <c r="M1019" s="33">
        <v>1530.0</v>
      </c>
      <c r="N1019" s="33">
        <v>1197.0</v>
      </c>
      <c r="O1019" s="33">
        <v>1029.0</v>
      </c>
      <c r="P1019" s="33">
        <v>168.0</v>
      </c>
      <c r="Q1019" s="33">
        <v>333.0</v>
      </c>
      <c r="R1019" s="34">
        <v>73.8544474</v>
      </c>
      <c r="S1019" s="34">
        <v>42.6549865</v>
      </c>
      <c r="T1019" s="34">
        <v>31.1994609</v>
      </c>
      <c r="U1019" s="34">
        <v>26.1455526</v>
      </c>
      <c r="V1019" s="34">
        <v>78.2352941</v>
      </c>
      <c r="W1019" s="34">
        <v>67.254902</v>
      </c>
      <c r="X1019" s="34">
        <v>10.9803922</v>
      </c>
      <c r="Y1019" s="34">
        <v>21.7647059</v>
      </c>
    </row>
    <row r="1020" ht="15.0" hidden="1" customHeight="1">
      <c r="B1020" s="26">
        <v>1015.0</v>
      </c>
      <c r="C1020" s="27" t="s">
        <v>19</v>
      </c>
      <c r="D1020" s="40" t="s">
        <v>319</v>
      </c>
      <c r="E1020" s="40" t="s">
        <v>330</v>
      </c>
      <c r="F1020" s="40"/>
      <c r="G1020" s="27" t="s">
        <v>330</v>
      </c>
      <c r="H1020" s="28">
        <v>9737.0</v>
      </c>
      <c r="I1020" s="28">
        <v>6699.0</v>
      </c>
      <c r="J1020" s="28">
        <v>3855.0</v>
      </c>
      <c r="K1020" s="28">
        <v>2844.0</v>
      </c>
      <c r="L1020" s="28">
        <v>3038.0</v>
      </c>
      <c r="M1020" s="28">
        <v>12576.0</v>
      </c>
      <c r="N1020" s="28">
        <v>10290.0</v>
      </c>
      <c r="O1020" s="28">
        <v>9163.0</v>
      </c>
      <c r="P1020" s="28">
        <v>1127.0</v>
      </c>
      <c r="Q1020" s="28">
        <v>2286.0</v>
      </c>
      <c r="R1020" s="29">
        <v>68.7994249</v>
      </c>
      <c r="S1020" s="29">
        <v>39.5912499</v>
      </c>
      <c r="T1020" s="29">
        <v>29.208175</v>
      </c>
      <c r="U1020" s="29">
        <v>31.2005751</v>
      </c>
      <c r="V1020" s="29">
        <v>81.8225191</v>
      </c>
      <c r="W1020" s="29">
        <v>72.8610051</v>
      </c>
      <c r="X1020" s="29">
        <v>8.961514</v>
      </c>
      <c r="Y1020" s="29">
        <v>18.1774809</v>
      </c>
    </row>
    <row r="1021" ht="15.0" hidden="1" customHeight="1">
      <c r="B1021" s="30">
        <v>1016.0</v>
      </c>
      <c r="C1021" s="31" t="s">
        <v>19</v>
      </c>
      <c r="D1021" s="31" t="s">
        <v>319</v>
      </c>
      <c r="E1021" s="31" t="s">
        <v>330</v>
      </c>
      <c r="F1021" s="31"/>
      <c r="G1021" s="32" t="s">
        <v>15</v>
      </c>
      <c r="H1021" s="33">
        <v>874.0</v>
      </c>
      <c r="I1021" s="33">
        <v>813.0</v>
      </c>
      <c r="J1021" s="33">
        <v>593.0</v>
      </c>
      <c r="K1021" s="33">
        <v>220.0</v>
      </c>
      <c r="L1021" s="33">
        <v>61.0</v>
      </c>
      <c r="M1021" s="33">
        <v>1762.0</v>
      </c>
      <c r="N1021" s="33">
        <v>1693.0</v>
      </c>
      <c r="O1021" s="33">
        <v>1474.0</v>
      </c>
      <c r="P1021" s="33">
        <v>219.0</v>
      </c>
      <c r="Q1021" s="33">
        <v>69.0</v>
      </c>
      <c r="R1021" s="34">
        <v>93.020595</v>
      </c>
      <c r="S1021" s="34">
        <v>67.8489703</v>
      </c>
      <c r="T1021" s="34">
        <v>25.1716247</v>
      </c>
      <c r="U1021" s="34">
        <v>6.979405</v>
      </c>
      <c r="V1021" s="34">
        <v>96.0839955</v>
      </c>
      <c r="W1021" s="34">
        <v>83.6549376</v>
      </c>
      <c r="X1021" s="34">
        <v>12.4290579</v>
      </c>
      <c r="Y1021" s="34">
        <v>3.9160045</v>
      </c>
    </row>
    <row r="1022" ht="15.0" hidden="1" customHeight="1">
      <c r="B1022" s="30">
        <v>1017.0</v>
      </c>
      <c r="C1022" s="31" t="s">
        <v>19</v>
      </c>
      <c r="D1022" s="31" t="s">
        <v>319</v>
      </c>
      <c r="E1022" s="31" t="s">
        <v>330</v>
      </c>
      <c r="F1022" s="31"/>
      <c r="G1022" s="32" t="s">
        <v>16</v>
      </c>
      <c r="H1022" s="33">
        <v>8863.0</v>
      </c>
      <c r="I1022" s="33">
        <v>5886.0</v>
      </c>
      <c r="J1022" s="33">
        <v>3262.0</v>
      </c>
      <c r="K1022" s="33">
        <v>2624.0</v>
      </c>
      <c r="L1022" s="33">
        <v>2977.0</v>
      </c>
      <c r="M1022" s="33">
        <v>10814.0</v>
      </c>
      <c r="N1022" s="33">
        <v>8597.0</v>
      </c>
      <c r="O1022" s="33">
        <v>7689.0</v>
      </c>
      <c r="P1022" s="33">
        <v>908.0</v>
      </c>
      <c r="Q1022" s="33">
        <v>2217.0</v>
      </c>
      <c r="R1022" s="34">
        <v>66.4109218</v>
      </c>
      <c r="S1022" s="34">
        <v>36.8046937</v>
      </c>
      <c r="T1022" s="34">
        <v>29.6062281</v>
      </c>
      <c r="U1022" s="34">
        <v>33.5890782</v>
      </c>
      <c r="V1022" s="34">
        <v>79.4987979</v>
      </c>
      <c r="W1022" s="34">
        <v>71.1022748</v>
      </c>
      <c r="X1022" s="34">
        <v>8.396523</v>
      </c>
      <c r="Y1022" s="34">
        <v>20.5012021</v>
      </c>
    </row>
    <row r="1023" ht="15.0" customHeight="1">
      <c r="B1023" s="35">
        <v>1018.0</v>
      </c>
      <c r="C1023" s="36" t="s">
        <v>21</v>
      </c>
      <c r="D1023" s="41" t="s">
        <v>319</v>
      </c>
      <c r="E1023" s="41" t="s">
        <v>330</v>
      </c>
      <c r="F1023" s="41" t="s">
        <v>331</v>
      </c>
      <c r="G1023" s="42" t="s">
        <v>331</v>
      </c>
      <c r="H1023" s="37">
        <v>6484.0</v>
      </c>
      <c r="I1023" s="37">
        <v>4165.0</v>
      </c>
      <c r="J1023" s="37">
        <v>2506.0</v>
      </c>
      <c r="K1023" s="37">
        <v>1659.0</v>
      </c>
      <c r="L1023" s="37">
        <v>2319.0</v>
      </c>
      <c r="M1023" s="37">
        <v>9336.0</v>
      </c>
      <c r="N1023" s="37">
        <v>7545.0</v>
      </c>
      <c r="O1023" s="37">
        <v>6740.0</v>
      </c>
      <c r="P1023" s="37">
        <v>805.0</v>
      </c>
      <c r="Q1023" s="37">
        <v>1791.0</v>
      </c>
      <c r="R1023" s="38">
        <v>64.2350401</v>
      </c>
      <c r="S1023" s="38">
        <v>38.6489821</v>
      </c>
      <c r="T1023" s="38">
        <v>25.586058</v>
      </c>
      <c r="U1023" s="38">
        <v>35.7649599</v>
      </c>
      <c r="V1023" s="38">
        <v>80.8161954</v>
      </c>
      <c r="W1023" s="38">
        <v>72.193659</v>
      </c>
      <c r="X1023" s="38">
        <v>8.6225364</v>
      </c>
      <c r="Y1023" s="38">
        <v>19.1838046</v>
      </c>
    </row>
    <row r="1024" ht="15.0" hidden="1" customHeight="1">
      <c r="B1024" s="30">
        <v>1019.0</v>
      </c>
      <c r="C1024" s="31" t="s">
        <v>21</v>
      </c>
      <c r="D1024" s="31" t="s">
        <v>319</v>
      </c>
      <c r="E1024" s="31" t="s">
        <v>330</v>
      </c>
      <c r="F1024" s="31" t="s">
        <v>331</v>
      </c>
      <c r="G1024" s="32" t="s">
        <v>15</v>
      </c>
      <c r="H1024" s="33">
        <v>874.0</v>
      </c>
      <c r="I1024" s="33">
        <v>813.0</v>
      </c>
      <c r="J1024" s="33">
        <v>593.0</v>
      </c>
      <c r="K1024" s="33">
        <v>220.0</v>
      </c>
      <c r="L1024" s="33">
        <v>61.0</v>
      </c>
      <c r="M1024" s="33">
        <v>1762.0</v>
      </c>
      <c r="N1024" s="33">
        <v>1693.0</v>
      </c>
      <c r="O1024" s="33">
        <v>1474.0</v>
      </c>
      <c r="P1024" s="33">
        <v>219.0</v>
      </c>
      <c r="Q1024" s="33">
        <v>69.0</v>
      </c>
      <c r="R1024" s="34">
        <v>93.020595</v>
      </c>
      <c r="S1024" s="34">
        <v>67.8489703</v>
      </c>
      <c r="T1024" s="34">
        <v>25.1716247</v>
      </c>
      <c r="U1024" s="34">
        <v>6.979405</v>
      </c>
      <c r="V1024" s="34">
        <v>96.0839955</v>
      </c>
      <c r="W1024" s="34">
        <v>83.6549376</v>
      </c>
      <c r="X1024" s="34">
        <v>12.4290579</v>
      </c>
      <c r="Y1024" s="34">
        <v>3.9160045</v>
      </c>
    </row>
    <row r="1025" ht="15.0" hidden="1" customHeight="1">
      <c r="B1025" s="30">
        <v>1020.0</v>
      </c>
      <c r="C1025" s="31" t="s">
        <v>21</v>
      </c>
      <c r="D1025" s="31" t="s">
        <v>319</v>
      </c>
      <c r="E1025" s="31" t="s">
        <v>330</v>
      </c>
      <c r="F1025" s="31" t="s">
        <v>331</v>
      </c>
      <c r="G1025" s="32" t="s">
        <v>16</v>
      </c>
      <c r="H1025" s="33">
        <v>5610.0</v>
      </c>
      <c r="I1025" s="33">
        <v>3352.0</v>
      </c>
      <c r="J1025" s="33">
        <v>1913.0</v>
      </c>
      <c r="K1025" s="33">
        <v>1439.0</v>
      </c>
      <c r="L1025" s="33">
        <v>2258.0</v>
      </c>
      <c r="M1025" s="33">
        <v>7574.0</v>
      </c>
      <c r="N1025" s="33">
        <v>5852.0</v>
      </c>
      <c r="O1025" s="33">
        <v>5266.0</v>
      </c>
      <c r="P1025" s="33">
        <v>586.0</v>
      </c>
      <c r="Q1025" s="33">
        <v>1722.0</v>
      </c>
      <c r="R1025" s="34">
        <v>59.7504456</v>
      </c>
      <c r="S1025" s="34">
        <v>34.0998217</v>
      </c>
      <c r="T1025" s="34">
        <v>25.6506239</v>
      </c>
      <c r="U1025" s="34">
        <v>40.2495544</v>
      </c>
      <c r="V1025" s="34">
        <v>77.2643253</v>
      </c>
      <c r="W1025" s="34">
        <v>69.5273303</v>
      </c>
      <c r="X1025" s="34">
        <v>7.736995</v>
      </c>
      <c r="Y1025" s="34">
        <v>22.7356747</v>
      </c>
    </row>
    <row r="1026" ht="15.0" customHeight="1">
      <c r="B1026" s="35">
        <v>1021.0</v>
      </c>
      <c r="C1026" s="36" t="s">
        <v>21</v>
      </c>
      <c r="D1026" s="41" t="s">
        <v>319</v>
      </c>
      <c r="E1026" s="41" t="s">
        <v>330</v>
      </c>
      <c r="F1026" s="41" t="s">
        <v>332</v>
      </c>
      <c r="G1026" s="42" t="s">
        <v>332</v>
      </c>
      <c r="H1026" s="37">
        <v>3253.0</v>
      </c>
      <c r="I1026" s="37">
        <v>2534.0</v>
      </c>
      <c r="J1026" s="37">
        <v>1349.0</v>
      </c>
      <c r="K1026" s="37">
        <v>1185.0</v>
      </c>
      <c r="L1026" s="37">
        <v>719.0</v>
      </c>
      <c r="M1026" s="37">
        <v>3240.0</v>
      </c>
      <c r="N1026" s="37">
        <v>2745.0</v>
      </c>
      <c r="O1026" s="37">
        <v>2423.0</v>
      </c>
      <c r="P1026" s="37">
        <v>322.0</v>
      </c>
      <c r="Q1026" s="37">
        <v>495.0</v>
      </c>
      <c r="R1026" s="38">
        <v>77.8973255</v>
      </c>
      <c r="S1026" s="38">
        <v>41.4694128</v>
      </c>
      <c r="T1026" s="38">
        <v>36.4279127</v>
      </c>
      <c r="U1026" s="38">
        <v>22.1026745</v>
      </c>
      <c r="V1026" s="38">
        <v>84.7222222</v>
      </c>
      <c r="W1026" s="38">
        <v>74.7839506</v>
      </c>
      <c r="X1026" s="38">
        <v>9.9382716</v>
      </c>
      <c r="Y1026" s="38">
        <v>15.2777778</v>
      </c>
    </row>
    <row r="1027" ht="15.0" hidden="1" customHeight="1">
      <c r="B1027" s="30">
        <v>1022.0</v>
      </c>
      <c r="C1027" s="31" t="s">
        <v>21</v>
      </c>
      <c r="D1027" s="31" t="s">
        <v>319</v>
      </c>
      <c r="E1027" s="31" t="s">
        <v>330</v>
      </c>
      <c r="F1027" s="31" t="s">
        <v>332</v>
      </c>
      <c r="G1027" s="32" t="s">
        <v>15</v>
      </c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4"/>
      <c r="S1027" s="34"/>
      <c r="T1027" s="34"/>
      <c r="U1027" s="34"/>
      <c r="V1027" s="34"/>
      <c r="W1027" s="34"/>
      <c r="X1027" s="34"/>
      <c r="Y1027" s="34"/>
    </row>
    <row r="1028" ht="15.0" hidden="1" customHeight="1">
      <c r="B1028" s="30">
        <v>1023.0</v>
      </c>
      <c r="C1028" s="31" t="s">
        <v>21</v>
      </c>
      <c r="D1028" s="31" t="s">
        <v>319</v>
      </c>
      <c r="E1028" s="31" t="s">
        <v>330</v>
      </c>
      <c r="F1028" s="31" t="s">
        <v>332</v>
      </c>
      <c r="G1028" s="32" t="s">
        <v>16</v>
      </c>
      <c r="H1028" s="33">
        <v>3253.0</v>
      </c>
      <c r="I1028" s="33">
        <v>2534.0</v>
      </c>
      <c r="J1028" s="33">
        <v>1349.0</v>
      </c>
      <c r="K1028" s="33">
        <v>1185.0</v>
      </c>
      <c r="L1028" s="33">
        <v>719.0</v>
      </c>
      <c r="M1028" s="33">
        <v>3240.0</v>
      </c>
      <c r="N1028" s="33">
        <v>2745.0</v>
      </c>
      <c r="O1028" s="33">
        <v>2423.0</v>
      </c>
      <c r="P1028" s="33">
        <v>322.0</v>
      </c>
      <c r="Q1028" s="33">
        <v>495.0</v>
      </c>
      <c r="R1028" s="34">
        <v>77.8973255</v>
      </c>
      <c r="S1028" s="34">
        <v>41.4694128</v>
      </c>
      <c r="T1028" s="34">
        <v>36.4279127</v>
      </c>
      <c r="U1028" s="34">
        <v>22.1026745</v>
      </c>
      <c r="V1028" s="34">
        <v>84.7222222</v>
      </c>
      <c r="W1028" s="34">
        <v>74.7839506</v>
      </c>
      <c r="X1028" s="34">
        <v>9.9382716</v>
      </c>
      <c r="Y1028" s="34">
        <v>15.2777778</v>
      </c>
    </row>
    <row r="1029" ht="15.0" hidden="1" customHeight="1">
      <c r="B1029" s="26">
        <v>1024.0</v>
      </c>
      <c r="C1029" s="27" t="s">
        <v>19</v>
      </c>
      <c r="D1029" s="40" t="s">
        <v>319</v>
      </c>
      <c r="E1029" s="40" t="s">
        <v>333</v>
      </c>
      <c r="F1029" s="40"/>
      <c r="G1029" s="27" t="s">
        <v>333</v>
      </c>
      <c r="H1029" s="28">
        <v>5415.0</v>
      </c>
      <c r="I1029" s="28">
        <v>3267.0</v>
      </c>
      <c r="J1029" s="28">
        <v>1595.0</v>
      </c>
      <c r="K1029" s="28">
        <v>1672.0</v>
      </c>
      <c r="L1029" s="28">
        <v>2148.0</v>
      </c>
      <c r="M1029" s="28">
        <v>6216.0</v>
      </c>
      <c r="N1029" s="28">
        <v>4530.0</v>
      </c>
      <c r="O1029" s="28">
        <v>4077.0</v>
      </c>
      <c r="P1029" s="28">
        <v>453.0</v>
      </c>
      <c r="Q1029" s="28">
        <v>1686.0</v>
      </c>
      <c r="R1029" s="29">
        <v>60.33241</v>
      </c>
      <c r="S1029" s="29">
        <v>29.455217</v>
      </c>
      <c r="T1029" s="29">
        <v>30.877193</v>
      </c>
      <c r="U1029" s="29">
        <v>39.66759</v>
      </c>
      <c r="V1029" s="29">
        <v>72.8764479</v>
      </c>
      <c r="W1029" s="29">
        <v>65.5888031</v>
      </c>
      <c r="X1029" s="29">
        <v>7.2876448</v>
      </c>
      <c r="Y1029" s="29">
        <v>27.1235521</v>
      </c>
    </row>
    <row r="1030" ht="15.0" hidden="1" customHeight="1">
      <c r="B1030" s="30">
        <v>1025.0</v>
      </c>
      <c r="C1030" s="31" t="s">
        <v>19</v>
      </c>
      <c r="D1030" s="31" t="s">
        <v>319</v>
      </c>
      <c r="E1030" s="31" t="s">
        <v>333</v>
      </c>
      <c r="F1030" s="31"/>
      <c r="G1030" s="32" t="s">
        <v>15</v>
      </c>
      <c r="H1030" s="33">
        <v>1154.0</v>
      </c>
      <c r="I1030" s="33">
        <v>1090.0</v>
      </c>
      <c r="J1030" s="33">
        <v>416.0</v>
      </c>
      <c r="K1030" s="33">
        <v>674.0</v>
      </c>
      <c r="L1030" s="33">
        <v>64.0</v>
      </c>
      <c r="M1030" s="33">
        <v>1292.0</v>
      </c>
      <c r="N1030" s="33">
        <v>1265.0</v>
      </c>
      <c r="O1030" s="33">
        <v>1021.0</v>
      </c>
      <c r="P1030" s="33">
        <v>244.0</v>
      </c>
      <c r="Q1030" s="33">
        <v>27.0</v>
      </c>
      <c r="R1030" s="34">
        <v>94.4540728</v>
      </c>
      <c r="S1030" s="34">
        <v>36.0485269</v>
      </c>
      <c r="T1030" s="34">
        <v>58.4055459</v>
      </c>
      <c r="U1030" s="34">
        <v>5.5459272</v>
      </c>
      <c r="V1030" s="34">
        <v>97.9102167</v>
      </c>
      <c r="W1030" s="34">
        <v>79.0247678</v>
      </c>
      <c r="X1030" s="34">
        <v>18.8854489</v>
      </c>
      <c r="Y1030" s="34">
        <v>2.0897833</v>
      </c>
    </row>
    <row r="1031" ht="15.0" hidden="1" customHeight="1">
      <c r="B1031" s="30">
        <v>1026.0</v>
      </c>
      <c r="C1031" s="31" t="s">
        <v>19</v>
      </c>
      <c r="D1031" s="31" t="s">
        <v>319</v>
      </c>
      <c r="E1031" s="31" t="s">
        <v>333</v>
      </c>
      <c r="F1031" s="31"/>
      <c r="G1031" s="32" t="s">
        <v>16</v>
      </c>
      <c r="H1031" s="33">
        <v>4261.0</v>
      </c>
      <c r="I1031" s="33">
        <v>2177.0</v>
      </c>
      <c r="J1031" s="33">
        <v>1179.0</v>
      </c>
      <c r="K1031" s="33">
        <v>998.0</v>
      </c>
      <c r="L1031" s="33">
        <v>2084.0</v>
      </c>
      <c r="M1031" s="33">
        <v>4924.0</v>
      </c>
      <c r="N1031" s="33">
        <v>3265.0</v>
      </c>
      <c r="O1031" s="33">
        <v>3056.0</v>
      </c>
      <c r="P1031" s="33">
        <v>209.0</v>
      </c>
      <c r="Q1031" s="33">
        <v>1659.0</v>
      </c>
      <c r="R1031" s="34">
        <v>51.0912931</v>
      </c>
      <c r="S1031" s="34">
        <v>27.6695611</v>
      </c>
      <c r="T1031" s="34">
        <v>23.421732</v>
      </c>
      <c r="U1031" s="34">
        <v>48.9087069</v>
      </c>
      <c r="V1031" s="34">
        <v>66.3078798</v>
      </c>
      <c r="W1031" s="34">
        <v>62.0633631</v>
      </c>
      <c r="X1031" s="34">
        <v>4.2445167</v>
      </c>
      <c r="Y1031" s="34">
        <v>33.6921202</v>
      </c>
    </row>
    <row r="1032" ht="15.0" customHeight="1">
      <c r="B1032" s="35">
        <v>1027.0</v>
      </c>
      <c r="C1032" s="36" t="s">
        <v>21</v>
      </c>
      <c r="D1032" s="41" t="s">
        <v>319</v>
      </c>
      <c r="E1032" s="41" t="s">
        <v>333</v>
      </c>
      <c r="F1032" s="41" t="s">
        <v>203</v>
      </c>
      <c r="G1032" s="42" t="s">
        <v>203</v>
      </c>
      <c r="H1032" s="37">
        <v>5415.0</v>
      </c>
      <c r="I1032" s="37">
        <v>3267.0</v>
      </c>
      <c r="J1032" s="37">
        <v>1595.0</v>
      </c>
      <c r="K1032" s="37">
        <v>1672.0</v>
      </c>
      <c r="L1032" s="37">
        <v>2148.0</v>
      </c>
      <c r="M1032" s="37">
        <v>6216.0</v>
      </c>
      <c r="N1032" s="37">
        <v>4530.0</v>
      </c>
      <c r="O1032" s="37">
        <v>4077.0</v>
      </c>
      <c r="P1032" s="37">
        <v>453.0</v>
      </c>
      <c r="Q1032" s="37">
        <v>1686.0</v>
      </c>
      <c r="R1032" s="38">
        <v>60.33241</v>
      </c>
      <c r="S1032" s="38">
        <v>29.455217</v>
      </c>
      <c r="T1032" s="38">
        <v>30.877193</v>
      </c>
      <c r="U1032" s="38">
        <v>39.66759</v>
      </c>
      <c r="V1032" s="38">
        <v>72.8764479</v>
      </c>
      <c r="W1032" s="38">
        <v>65.5888031</v>
      </c>
      <c r="X1032" s="38">
        <v>7.2876448</v>
      </c>
      <c r="Y1032" s="38">
        <v>27.1235521</v>
      </c>
    </row>
    <row r="1033" ht="15.0" hidden="1" customHeight="1">
      <c r="B1033" s="30">
        <v>1028.0</v>
      </c>
      <c r="C1033" s="31" t="s">
        <v>21</v>
      </c>
      <c r="D1033" s="31" t="s">
        <v>319</v>
      </c>
      <c r="E1033" s="31" t="s">
        <v>333</v>
      </c>
      <c r="F1033" s="31" t="s">
        <v>203</v>
      </c>
      <c r="G1033" s="32" t="s">
        <v>15</v>
      </c>
      <c r="H1033" s="33">
        <v>1154.0</v>
      </c>
      <c r="I1033" s="33">
        <v>1090.0</v>
      </c>
      <c r="J1033" s="33">
        <v>416.0</v>
      </c>
      <c r="K1033" s="33">
        <v>674.0</v>
      </c>
      <c r="L1033" s="33">
        <v>64.0</v>
      </c>
      <c r="M1033" s="33">
        <v>1292.0</v>
      </c>
      <c r="N1033" s="33">
        <v>1265.0</v>
      </c>
      <c r="O1033" s="33">
        <v>1021.0</v>
      </c>
      <c r="P1033" s="33">
        <v>244.0</v>
      </c>
      <c r="Q1033" s="33">
        <v>27.0</v>
      </c>
      <c r="R1033" s="34">
        <v>94.4540728</v>
      </c>
      <c r="S1033" s="34">
        <v>36.0485269</v>
      </c>
      <c r="T1033" s="34">
        <v>58.4055459</v>
      </c>
      <c r="U1033" s="34">
        <v>5.5459272</v>
      </c>
      <c r="V1033" s="34">
        <v>97.9102167</v>
      </c>
      <c r="W1033" s="34">
        <v>79.0247678</v>
      </c>
      <c r="X1033" s="34">
        <v>18.8854489</v>
      </c>
      <c r="Y1033" s="34">
        <v>2.0897833</v>
      </c>
    </row>
    <row r="1034" ht="15.0" hidden="1" customHeight="1">
      <c r="B1034" s="30">
        <v>1029.0</v>
      </c>
      <c r="C1034" s="31" t="s">
        <v>21</v>
      </c>
      <c r="D1034" s="31" t="s">
        <v>319</v>
      </c>
      <c r="E1034" s="31" t="s">
        <v>333</v>
      </c>
      <c r="F1034" s="31" t="s">
        <v>203</v>
      </c>
      <c r="G1034" s="32" t="s">
        <v>16</v>
      </c>
      <c r="H1034" s="33">
        <v>4261.0</v>
      </c>
      <c r="I1034" s="33">
        <v>2177.0</v>
      </c>
      <c r="J1034" s="33">
        <v>1179.0</v>
      </c>
      <c r="K1034" s="33">
        <v>998.0</v>
      </c>
      <c r="L1034" s="33">
        <v>2084.0</v>
      </c>
      <c r="M1034" s="33">
        <v>4924.0</v>
      </c>
      <c r="N1034" s="33">
        <v>3265.0</v>
      </c>
      <c r="O1034" s="33">
        <v>3056.0</v>
      </c>
      <c r="P1034" s="33">
        <v>209.0</v>
      </c>
      <c r="Q1034" s="33">
        <v>1659.0</v>
      </c>
      <c r="R1034" s="34">
        <v>51.0912931</v>
      </c>
      <c r="S1034" s="34">
        <v>27.6695611</v>
      </c>
      <c r="T1034" s="34">
        <v>23.421732</v>
      </c>
      <c r="U1034" s="34">
        <v>48.9087069</v>
      </c>
      <c r="V1034" s="34">
        <v>66.3078798</v>
      </c>
      <c r="W1034" s="34">
        <v>62.0633631</v>
      </c>
      <c r="X1034" s="34">
        <v>4.2445167</v>
      </c>
      <c r="Y1034" s="34">
        <v>33.6921202</v>
      </c>
    </row>
    <row r="1035" ht="15.0" hidden="1" customHeight="1">
      <c r="B1035" s="18">
        <v>1030.0</v>
      </c>
      <c r="C1035" s="19" t="s">
        <v>17</v>
      </c>
      <c r="D1035" s="19" t="s">
        <v>334</v>
      </c>
      <c r="E1035" s="19"/>
      <c r="F1035" s="19"/>
      <c r="G1035" s="19" t="s">
        <v>334</v>
      </c>
      <c r="H1035" s="20">
        <v>644854.0</v>
      </c>
      <c r="I1035" s="20">
        <v>578675.0</v>
      </c>
      <c r="J1035" s="20">
        <v>285053.0</v>
      </c>
      <c r="K1035" s="20">
        <v>293622.0</v>
      </c>
      <c r="L1035" s="20">
        <v>66179.0</v>
      </c>
      <c r="M1035" s="20">
        <v>877257.0</v>
      </c>
      <c r="N1035" s="20">
        <v>823477.0</v>
      </c>
      <c r="O1035" s="20">
        <v>643649.0</v>
      </c>
      <c r="P1035" s="20">
        <v>179828.0</v>
      </c>
      <c r="Q1035" s="20">
        <v>53780.0</v>
      </c>
      <c r="R1035" s="21">
        <v>89.7373669</v>
      </c>
      <c r="S1035" s="21">
        <v>44.2042695</v>
      </c>
      <c r="T1035" s="21">
        <v>45.5330974</v>
      </c>
      <c r="U1035" s="21">
        <v>10.2626331</v>
      </c>
      <c r="V1035" s="21">
        <v>93.8695274</v>
      </c>
      <c r="W1035" s="21">
        <v>73.3706314</v>
      </c>
      <c r="X1035" s="21">
        <v>20.498896</v>
      </c>
      <c r="Y1035" s="21">
        <v>6.1304726</v>
      </c>
    </row>
    <row r="1036" ht="15.0" hidden="1" customHeight="1">
      <c r="B1036" s="22">
        <v>1031.0</v>
      </c>
      <c r="C1036" s="23" t="s">
        <v>17</v>
      </c>
      <c r="D1036" s="39" t="s">
        <v>334</v>
      </c>
      <c r="E1036" s="39"/>
      <c r="F1036" s="39"/>
      <c r="G1036" s="23" t="s">
        <v>15</v>
      </c>
      <c r="H1036" s="24">
        <v>529389.0</v>
      </c>
      <c r="I1036" s="24">
        <v>501573.0</v>
      </c>
      <c r="J1036" s="24">
        <v>242161.0</v>
      </c>
      <c r="K1036" s="24">
        <v>259412.0</v>
      </c>
      <c r="L1036" s="24">
        <v>27816.0</v>
      </c>
      <c r="M1036" s="24">
        <v>718856.0</v>
      </c>
      <c r="N1036" s="24">
        <v>702757.0</v>
      </c>
      <c r="O1036" s="24">
        <v>537342.0</v>
      </c>
      <c r="P1036" s="24">
        <v>165415.0</v>
      </c>
      <c r="Q1036" s="24">
        <v>16099.0</v>
      </c>
      <c r="R1036" s="25">
        <v>94.7456407</v>
      </c>
      <c r="S1036" s="25">
        <v>45.7434892</v>
      </c>
      <c r="T1036" s="25">
        <v>49.0021515</v>
      </c>
      <c r="U1036" s="25">
        <v>5.2543593</v>
      </c>
      <c r="V1036" s="25">
        <v>97.7604694</v>
      </c>
      <c r="W1036" s="25">
        <v>74.7496021</v>
      </c>
      <c r="X1036" s="25">
        <v>23.0108673</v>
      </c>
      <c r="Y1036" s="25">
        <v>2.2395306</v>
      </c>
    </row>
    <row r="1037" ht="15.0" hidden="1" customHeight="1">
      <c r="B1037" s="22">
        <v>1032.0</v>
      </c>
      <c r="C1037" s="23" t="s">
        <v>17</v>
      </c>
      <c r="D1037" s="39" t="s">
        <v>334</v>
      </c>
      <c r="E1037" s="39"/>
      <c r="F1037" s="39"/>
      <c r="G1037" s="23" t="s">
        <v>16</v>
      </c>
      <c r="H1037" s="24">
        <v>115465.0</v>
      </c>
      <c r="I1037" s="24">
        <v>77102.0</v>
      </c>
      <c r="J1037" s="24">
        <v>42892.0</v>
      </c>
      <c r="K1037" s="24">
        <v>34210.0</v>
      </c>
      <c r="L1037" s="24">
        <v>38363.0</v>
      </c>
      <c r="M1037" s="24">
        <v>158401.0</v>
      </c>
      <c r="N1037" s="24">
        <v>120720.0</v>
      </c>
      <c r="O1037" s="24">
        <v>106307.0</v>
      </c>
      <c r="P1037" s="24">
        <v>14413.0</v>
      </c>
      <c r="Q1037" s="24">
        <v>37681.0</v>
      </c>
      <c r="R1037" s="25">
        <v>66.7752133</v>
      </c>
      <c r="S1037" s="25">
        <v>37.1471875</v>
      </c>
      <c r="T1037" s="25">
        <v>29.6280258</v>
      </c>
      <c r="U1037" s="25">
        <v>33.2247867</v>
      </c>
      <c r="V1037" s="25">
        <v>76.2116401</v>
      </c>
      <c r="W1037" s="25">
        <v>67.1125814</v>
      </c>
      <c r="X1037" s="25">
        <v>9.0990587</v>
      </c>
      <c r="Y1037" s="25">
        <v>23.7883599</v>
      </c>
    </row>
    <row r="1038" ht="15.0" hidden="1" customHeight="1">
      <c r="B1038" s="26">
        <v>1033.0</v>
      </c>
      <c r="C1038" s="27" t="s">
        <v>19</v>
      </c>
      <c r="D1038" s="40" t="s">
        <v>334</v>
      </c>
      <c r="E1038" s="40" t="s">
        <v>335</v>
      </c>
      <c r="F1038" s="40"/>
      <c r="G1038" s="27" t="s">
        <v>335</v>
      </c>
      <c r="H1038" s="28">
        <v>410289.0</v>
      </c>
      <c r="I1038" s="28">
        <v>390203.0</v>
      </c>
      <c r="J1038" s="28">
        <v>189043.0</v>
      </c>
      <c r="K1038" s="28">
        <v>201160.0</v>
      </c>
      <c r="L1038" s="28">
        <v>20086.0</v>
      </c>
      <c r="M1038" s="28">
        <v>544512.0</v>
      </c>
      <c r="N1038" s="28">
        <v>533984.0</v>
      </c>
      <c r="O1038" s="28">
        <v>404767.0</v>
      </c>
      <c r="P1038" s="28">
        <v>129217.0</v>
      </c>
      <c r="Q1038" s="28">
        <v>10528.0</v>
      </c>
      <c r="R1038" s="29">
        <v>95.1044264</v>
      </c>
      <c r="S1038" s="29">
        <v>46.0755711</v>
      </c>
      <c r="T1038" s="29">
        <v>49.0288553</v>
      </c>
      <c r="U1038" s="29">
        <v>4.8955736</v>
      </c>
      <c r="V1038" s="29">
        <v>98.0665256</v>
      </c>
      <c r="W1038" s="29">
        <v>74.3357355</v>
      </c>
      <c r="X1038" s="29">
        <v>23.7307901</v>
      </c>
      <c r="Y1038" s="29">
        <v>1.9334744</v>
      </c>
    </row>
    <row r="1039" ht="15.0" hidden="1" customHeight="1">
      <c r="B1039" s="30">
        <v>1034.0</v>
      </c>
      <c r="C1039" s="31" t="s">
        <v>19</v>
      </c>
      <c r="D1039" s="31" t="s">
        <v>334</v>
      </c>
      <c r="E1039" s="31" t="s">
        <v>335</v>
      </c>
      <c r="F1039" s="31"/>
      <c r="G1039" s="32" t="s">
        <v>15</v>
      </c>
      <c r="H1039" s="33">
        <v>392949.0</v>
      </c>
      <c r="I1039" s="33">
        <v>379032.0</v>
      </c>
      <c r="J1039" s="33">
        <v>182819.0</v>
      </c>
      <c r="K1039" s="33">
        <v>196213.0</v>
      </c>
      <c r="L1039" s="33">
        <v>13917.0</v>
      </c>
      <c r="M1039" s="33">
        <v>526832.0</v>
      </c>
      <c r="N1039" s="33">
        <v>519140.0</v>
      </c>
      <c r="O1039" s="33">
        <v>391784.0</v>
      </c>
      <c r="P1039" s="33">
        <v>127356.0</v>
      </c>
      <c r="Q1039" s="33">
        <v>7692.0</v>
      </c>
      <c r="R1039" s="34">
        <v>96.458319</v>
      </c>
      <c r="S1039" s="34">
        <v>46.5248671</v>
      </c>
      <c r="T1039" s="34">
        <v>49.9334519</v>
      </c>
      <c r="U1039" s="34">
        <v>3.541681</v>
      </c>
      <c r="V1039" s="34">
        <v>98.539952</v>
      </c>
      <c r="W1039" s="34">
        <v>74.3660218</v>
      </c>
      <c r="X1039" s="34">
        <v>24.1739302</v>
      </c>
      <c r="Y1039" s="34">
        <v>1.460048</v>
      </c>
    </row>
    <row r="1040" ht="15.0" hidden="1" customHeight="1">
      <c r="B1040" s="30">
        <v>1035.0</v>
      </c>
      <c r="C1040" s="31" t="s">
        <v>19</v>
      </c>
      <c r="D1040" s="31" t="s">
        <v>334</v>
      </c>
      <c r="E1040" s="31" t="s">
        <v>335</v>
      </c>
      <c r="F1040" s="31"/>
      <c r="G1040" s="32" t="s">
        <v>16</v>
      </c>
      <c r="H1040" s="33">
        <v>17340.0</v>
      </c>
      <c r="I1040" s="33">
        <v>11171.0</v>
      </c>
      <c r="J1040" s="33">
        <v>6224.0</v>
      </c>
      <c r="K1040" s="33">
        <v>4947.0</v>
      </c>
      <c r="L1040" s="33">
        <v>6169.0</v>
      </c>
      <c r="M1040" s="33">
        <v>17680.0</v>
      </c>
      <c r="N1040" s="33">
        <v>14844.0</v>
      </c>
      <c r="O1040" s="33">
        <v>12983.0</v>
      </c>
      <c r="P1040" s="33">
        <v>1861.0</v>
      </c>
      <c r="Q1040" s="33">
        <v>2836.0</v>
      </c>
      <c r="R1040" s="34">
        <v>64.4232987</v>
      </c>
      <c r="S1040" s="34">
        <v>35.893887</v>
      </c>
      <c r="T1040" s="34">
        <v>28.5294118</v>
      </c>
      <c r="U1040" s="34">
        <v>35.5767013</v>
      </c>
      <c r="V1040" s="34">
        <v>83.959276</v>
      </c>
      <c r="W1040" s="34">
        <v>73.4332579</v>
      </c>
      <c r="X1040" s="34">
        <v>10.5260181</v>
      </c>
      <c r="Y1040" s="34">
        <v>16.040724</v>
      </c>
    </row>
    <row r="1041" ht="15.0" customHeight="1">
      <c r="B1041" s="35">
        <v>1036.0</v>
      </c>
      <c r="C1041" s="36" t="s">
        <v>21</v>
      </c>
      <c r="D1041" s="41" t="s">
        <v>334</v>
      </c>
      <c r="E1041" s="41" t="s">
        <v>335</v>
      </c>
      <c r="F1041" s="41" t="s">
        <v>336</v>
      </c>
      <c r="G1041" s="42" t="s">
        <v>336</v>
      </c>
      <c r="H1041" s="37">
        <v>360441.0</v>
      </c>
      <c r="I1041" s="37">
        <v>348140.0</v>
      </c>
      <c r="J1041" s="37">
        <v>167394.0</v>
      </c>
      <c r="K1041" s="37">
        <v>180746.0</v>
      </c>
      <c r="L1041" s="37">
        <v>12301.0</v>
      </c>
      <c r="M1041" s="37">
        <v>453158.0</v>
      </c>
      <c r="N1041" s="37">
        <v>447792.0</v>
      </c>
      <c r="O1041" s="37">
        <v>335189.0</v>
      </c>
      <c r="P1041" s="37">
        <v>112603.0</v>
      </c>
      <c r="Q1041" s="37">
        <v>5366.0</v>
      </c>
      <c r="R1041" s="38">
        <v>96.5872362</v>
      </c>
      <c r="S1041" s="38">
        <v>46.4414426</v>
      </c>
      <c r="T1041" s="38">
        <v>50.1457936</v>
      </c>
      <c r="U1041" s="38">
        <v>3.4127638</v>
      </c>
      <c r="V1041" s="38">
        <v>98.8158655</v>
      </c>
      <c r="W1041" s="38">
        <v>73.967358</v>
      </c>
      <c r="X1041" s="38">
        <v>24.8485076</v>
      </c>
      <c r="Y1041" s="38">
        <v>1.1841345</v>
      </c>
    </row>
    <row r="1042" ht="15.0" hidden="1" customHeight="1">
      <c r="B1042" s="30">
        <v>1037.0</v>
      </c>
      <c r="C1042" s="31" t="s">
        <v>21</v>
      </c>
      <c r="D1042" s="31" t="s">
        <v>334</v>
      </c>
      <c r="E1042" s="31" t="s">
        <v>335</v>
      </c>
      <c r="F1042" s="31" t="s">
        <v>336</v>
      </c>
      <c r="G1042" s="32" t="s">
        <v>15</v>
      </c>
      <c r="H1042" s="33">
        <v>357586.0</v>
      </c>
      <c r="I1042" s="33">
        <v>346234.0</v>
      </c>
      <c r="J1042" s="33">
        <v>166335.0</v>
      </c>
      <c r="K1042" s="33">
        <v>179899.0</v>
      </c>
      <c r="L1042" s="33">
        <v>11352.0</v>
      </c>
      <c r="M1042" s="33">
        <v>450791.0</v>
      </c>
      <c r="N1042" s="33">
        <v>445714.0</v>
      </c>
      <c r="O1042" s="33">
        <v>333341.0</v>
      </c>
      <c r="P1042" s="33">
        <v>112373.0</v>
      </c>
      <c r="Q1042" s="33">
        <v>5077.0</v>
      </c>
      <c r="R1042" s="34">
        <v>96.8253791</v>
      </c>
      <c r="S1042" s="34">
        <v>46.5160828</v>
      </c>
      <c r="T1042" s="34">
        <v>50.3092962</v>
      </c>
      <c r="U1042" s="34">
        <v>3.1746209</v>
      </c>
      <c r="V1042" s="34">
        <v>98.8737575</v>
      </c>
      <c r="W1042" s="34">
        <v>73.9457975</v>
      </c>
      <c r="X1042" s="34">
        <v>24.92796</v>
      </c>
      <c r="Y1042" s="34">
        <v>1.1262425</v>
      </c>
    </row>
    <row r="1043" ht="15.0" hidden="1" customHeight="1">
      <c r="B1043" s="30">
        <v>1038.0</v>
      </c>
      <c r="C1043" s="31" t="s">
        <v>21</v>
      </c>
      <c r="D1043" s="31" t="s">
        <v>334</v>
      </c>
      <c r="E1043" s="31" t="s">
        <v>335</v>
      </c>
      <c r="F1043" s="31" t="s">
        <v>336</v>
      </c>
      <c r="G1043" s="32" t="s">
        <v>16</v>
      </c>
      <c r="H1043" s="33">
        <v>2855.0</v>
      </c>
      <c r="I1043" s="33">
        <v>1906.0</v>
      </c>
      <c r="J1043" s="33">
        <v>1059.0</v>
      </c>
      <c r="K1043" s="33">
        <v>847.0</v>
      </c>
      <c r="L1043" s="33">
        <v>949.0</v>
      </c>
      <c r="M1043" s="33">
        <v>2367.0</v>
      </c>
      <c r="N1043" s="33">
        <v>2078.0</v>
      </c>
      <c r="O1043" s="33">
        <v>1848.0</v>
      </c>
      <c r="P1043" s="33">
        <v>230.0</v>
      </c>
      <c r="Q1043" s="33">
        <v>289.0</v>
      </c>
      <c r="R1043" s="34">
        <v>66.7600701</v>
      </c>
      <c r="S1043" s="34">
        <v>37.0928196</v>
      </c>
      <c r="T1043" s="34">
        <v>29.6672504</v>
      </c>
      <c r="U1043" s="34">
        <v>33.2399299</v>
      </c>
      <c r="V1043" s="34">
        <v>87.790452</v>
      </c>
      <c r="W1043" s="34">
        <v>78.0735108</v>
      </c>
      <c r="X1043" s="34">
        <v>9.7169413</v>
      </c>
      <c r="Y1043" s="34">
        <v>12.209548</v>
      </c>
    </row>
    <row r="1044" ht="15.0" customHeight="1">
      <c r="B1044" s="35">
        <v>1039.0</v>
      </c>
      <c r="C1044" s="36" t="s">
        <v>21</v>
      </c>
      <c r="D1044" s="41" t="s">
        <v>334</v>
      </c>
      <c r="E1044" s="41" t="s">
        <v>335</v>
      </c>
      <c r="F1044" s="41" t="s">
        <v>337</v>
      </c>
      <c r="G1044" s="42" t="s">
        <v>337</v>
      </c>
      <c r="H1044" s="37">
        <v>12677.0</v>
      </c>
      <c r="I1044" s="37">
        <v>10176.0</v>
      </c>
      <c r="J1044" s="37">
        <v>4983.0</v>
      </c>
      <c r="K1044" s="37">
        <v>5193.0</v>
      </c>
      <c r="L1044" s="37">
        <v>2501.0</v>
      </c>
      <c r="M1044" s="37">
        <v>27833.0</v>
      </c>
      <c r="N1044" s="37">
        <v>26149.0</v>
      </c>
      <c r="O1044" s="37">
        <v>21344.0</v>
      </c>
      <c r="P1044" s="37">
        <v>4805.0</v>
      </c>
      <c r="Q1044" s="37">
        <v>1684.0</v>
      </c>
      <c r="R1044" s="38">
        <v>80.2713576</v>
      </c>
      <c r="S1044" s="38">
        <v>39.3074071</v>
      </c>
      <c r="T1044" s="38">
        <v>40.9639505</v>
      </c>
      <c r="U1044" s="38">
        <v>19.7286424</v>
      </c>
      <c r="V1044" s="38">
        <v>93.9496281</v>
      </c>
      <c r="W1044" s="38">
        <v>76.6859483</v>
      </c>
      <c r="X1044" s="38">
        <v>17.2636798</v>
      </c>
      <c r="Y1044" s="38">
        <v>6.0503719</v>
      </c>
    </row>
    <row r="1045" ht="15.0" hidden="1" customHeight="1">
      <c r="B1045" s="30">
        <v>1040.0</v>
      </c>
      <c r="C1045" s="31" t="s">
        <v>21</v>
      </c>
      <c r="D1045" s="31" t="s">
        <v>334</v>
      </c>
      <c r="E1045" s="31" t="s">
        <v>335</v>
      </c>
      <c r="F1045" s="31" t="s">
        <v>337</v>
      </c>
      <c r="G1045" s="32" t="s">
        <v>15</v>
      </c>
      <c r="H1045" s="33">
        <v>7746.0</v>
      </c>
      <c r="I1045" s="33">
        <v>7009.0</v>
      </c>
      <c r="J1045" s="33">
        <v>3548.0</v>
      </c>
      <c r="K1045" s="33">
        <v>3461.0</v>
      </c>
      <c r="L1045" s="33">
        <v>737.0</v>
      </c>
      <c r="M1045" s="33">
        <v>23514.0</v>
      </c>
      <c r="N1045" s="33">
        <v>22281.0</v>
      </c>
      <c r="O1045" s="33">
        <v>18005.0</v>
      </c>
      <c r="P1045" s="33">
        <v>4276.0</v>
      </c>
      <c r="Q1045" s="33">
        <v>1233.0</v>
      </c>
      <c r="R1045" s="34">
        <v>90.4854118</v>
      </c>
      <c r="S1045" s="34">
        <v>45.8042861</v>
      </c>
      <c r="T1045" s="34">
        <v>44.6811257</v>
      </c>
      <c r="U1045" s="34">
        <v>9.5145882</v>
      </c>
      <c r="V1045" s="34">
        <v>94.7563154</v>
      </c>
      <c r="W1045" s="34">
        <v>76.5714043</v>
      </c>
      <c r="X1045" s="34">
        <v>18.1849111</v>
      </c>
      <c r="Y1045" s="34">
        <v>5.2436846</v>
      </c>
    </row>
    <row r="1046" ht="15.0" hidden="1" customHeight="1">
      <c r="B1046" s="30">
        <v>1041.0</v>
      </c>
      <c r="C1046" s="31" t="s">
        <v>21</v>
      </c>
      <c r="D1046" s="31" t="s">
        <v>334</v>
      </c>
      <c r="E1046" s="31" t="s">
        <v>335</v>
      </c>
      <c r="F1046" s="31" t="s">
        <v>337</v>
      </c>
      <c r="G1046" s="32" t="s">
        <v>16</v>
      </c>
      <c r="H1046" s="33">
        <v>4931.0</v>
      </c>
      <c r="I1046" s="33">
        <v>3167.0</v>
      </c>
      <c r="J1046" s="33">
        <v>1435.0</v>
      </c>
      <c r="K1046" s="33">
        <v>1732.0</v>
      </c>
      <c r="L1046" s="33">
        <v>1764.0</v>
      </c>
      <c r="M1046" s="33">
        <v>4319.0</v>
      </c>
      <c r="N1046" s="33">
        <v>3868.0</v>
      </c>
      <c r="O1046" s="33">
        <v>3339.0</v>
      </c>
      <c r="P1046" s="33">
        <v>529.0</v>
      </c>
      <c r="Q1046" s="33">
        <v>451.0</v>
      </c>
      <c r="R1046" s="34">
        <v>64.2263233</v>
      </c>
      <c r="S1046" s="34">
        <v>29.1016021</v>
      </c>
      <c r="T1046" s="34">
        <v>35.1247212</v>
      </c>
      <c r="U1046" s="34">
        <v>35.7736767</v>
      </c>
      <c r="V1046" s="34">
        <v>89.557768</v>
      </c>
      <c r="W1046" s="34">
        <v>77.3095624</v>
      </c>
      <c r="X1046" s="34">
        <v>12.2482056</v>
      </c>
      <c r="Y1046" s="34">
        <v>10.442232</v>
      </c>
    </row>
    <row r="1047" ht="15.0" customHeight="1">
      <c r="B1047" s="35">
        <v>1042.0</v>
      </c>
      <c r="C1047" s="36" t="s">
        <v>21</v>
      </c>
      <c r="D1047" s="41" t="s">
        <v>334</v>
      </c>
      <c r="E1047" s="41" t="s">
        <v>335</v>
      </c>
      <c r="F1047" s="41" t="s">
        <v>338</v>
      </c>
      <c r="G1047" s="42" t="s">
        <v>338</v>
      </c>
      <c r="H1047" s="37">
        <v>3622.0</v>
      </c>
      <c r="I1047" s="37">
        <v>2668.0</v>
      </c>
      <c r="J1047" s="37">
        <v>1827.0</v>
      </c>
      <c r="K1047" s="37">
        <v>841.0</v>
      </c>
      <c r="L1047" s="37">
        <v>954.0</v>
      </c>
      <c r="M1047" s="37">
        <v>6642.0</v>
      </c>
      <c r="N1047" s="37">
        <v>6091.0</v>
      </c>
      <c r="O1047" s="37">
        <v>5508.0</v>
      </c>
      <c r="P1047" s="37">
        <v>583.0</v>
      </c>
      <c r="Q1047" s="37">
        <v>551.0</v>
      </c>
      <c r="R1047" s="38">
        <v>73.6609608</v>
      </c>
      <c r="S1047" s="38">
        <v>50.4417449</v>
      </c>
      <c r="T1047" s="38">
        <v>23.2192159</v>
      </c>
      <c r="U1047" s="38">
        <v>26.3390392</v>
      </c>
      <c r="V1047" s="38">
        <v>91.7043059</v>
      </c>
      <c r="W1047" s="38">
        <v>82.9268293</v>
      </c>
      <c r="X1047" s="38">
        <v>8.7774767</v>
      </c>
      <c r="Y1047" s="38">
        <v>8.2956941</v>
      </c>
    </row>
    <row r="1048" ht="15.0" hidden="1" customHeight="1">
      <c r="B1048" s="30">
        <v>1043.0</v>
      </c>
      <c r="C1048" s="31" t="s">
        <v>21</v>
      </c>
      <c r="D1048" s="31" t="s">
        <v>334</v>
      </c>
      <c r="E1048" s="31" t="s">
        <v>335</v>
      </c>
      <c r="F1048" s="31" t="s">
        <v>338</v>
      </c>
      <c r="G1048" s="32" t="s">
        <v>15</v>
      </c>
      <c r="H1048" s="33">
        <v>958.0</v>
      </c>
      <c r="I1048" s="33">
        <v>934.0</v>
      </c>
      <c r="J1048" s="33">
        <v>810.0</v>
      </c>
      <c r="K1048" s="33">
        <v>124.0</v>
      </c>
      <c r="L1048" s="33">
        <v>24.0</v>
      </c>
      <c r="M1048" s="33">
        <v>3074.0</v>
      </c>
      <c r="N1048" s="33">
        <v>3026.0</v>
      </c>
      <c r="O1048" s="33">
        <v>2800.0</v>
      </c>
      <c r="P1048" s="33">
        <v>226.0</v>
      </c>
      <c r="Q1048" s="33">
        <v>48.0</v>
      </c>
      <c r="R1048" s="34">
        <v>97.4947808</v>
      </c>
      <c r="S1048" s="34">
        <v>84.5511482</v>
      </c>
      <c r="T1048" s="34">
        <v>12.9436326</v>
      </c>
      <c r="U1048" s="34">
        <v>2.5052192</v>
      </c>
      <c r="V1048" s="34">
        <v>98.4385166</v>
      </c>
      <c r="W1048" s="34">
        <v>91.0865322</v>
      </c>
      <c r="X1048" s="34">
        <v>7.3519844</v>
      </c>
      <c r="Y1048" s="34">
        <v>1.5614834</v>
      </c>
    </row>
    <row r="1049" ht="15.0" hidden="1" customHeight="1">
      <c r="B1049" s="30">
        <v>1044.0</v>
      </c>
      <c r="C1049" s="31" t="s">
        <v>21</v>
      </c>
      <c r="D1049" s="31" t="s">
        <v>334</v>
      </c>
      <c r="E1049" s="31" t="s">
        <v>335</v>
      </c>
      <c r="F1049" s="31" t="s">
        <v>338</v>
      </c>
      <c r="G1049" s="32" t="s">
        <v>16</v>
      </c>
      <c r="H1049" s="33">
        <v>2664.0</v>
      </c>
      <c r="I1049" s="33">
        <v>1734.0</v>
      </c>
      <c r="J1049" s="33">
        <v>1017.0</v>
      </c>
      <c r="K1049" s="33">
        <v>717.0</v>
      </c>
      <c r="L1049" s="33">
        <v>930.0</v>
      </c>
      <c r="M1049" s="33">
        <v>3568.0</v>
      </c>
      <c r="N1049" s="33">
        <v>3065.0</v>
      </c>
      <c r="O1049" s="33">
        <v>2708.0</v>
      </c>
      <c r="P1049" s="33">
        <v>357.0</v>
      </c>
      <c r="Q1049" s="33">
        <v>503.0</v>
      </c>
      <c r="R1049" s="34">
        <v>65.0900901</v>
      </c>
      <c r="S1049" s="34">
        <v>38.1756757</v>
      </c>
      <c r="T1049" s="34">
        <v>26.9144144</v>
      </c>
      <c r="U1049" s="34">
        <v>34.9099099</v>
      </c>
      <c r="V1049" s="34">
        <v>85.9024664</v>
      </c>
      <c r="W1049" s="34">
        <v>75.896861</v>
      </c>
      <c r="X1049" s="34">
        <v>10.0056054</v>
      </c>
      <c r="Y1049" s="34">
        <v>14.0975336</v>
      </c>
    </row>
    <row r="1050" ht="15.0" customHeight="1">
      <c r="B1050" s="35">
        <v>1045.0</v>
      </c>
      <c r="C1050" s="36" t="s">
        <v>21</v>
      </c>
      <c r="D1050" s="41" t="s">
        <v>334</v>
      </c>
      <c r="E1050" s="41" t="s">
        <v>335</v>
      </c>
      <c r="F1050" s="41" t="s">
        <v>339</v>
      </c>
      <c r="G1050" s="42" t="s">
        <v>339</v>
      </c>
      <c r="H1050" s="37">
        <v>21314.0</v>
      </c>
      <c r="I1050" s="37">
        <v>19548.0</v>
      </c>
      <c r="J1050" s="37">
        <v>10152.0</v>
      </c>
      <c r="K1050" s="37">
        <v>9396.0</v>
      </c>
      <c r="L1050" s="37">
        <v>1766.0</v>
      </c>
      <c r="M1050" s="37">
        <v>40267.0</v>
      </c>
      <c r="N1050" s="37">
        <v>39063.0</v>
      </c>
      <c r="O1050" s="37">
        <v>30728.0</v>
      </c>
      <c r="P1050" s="37">
        <v>8335.0</v>
      </c>
      <c r="Q1050" s="37">
        <v>1204.0</v>
      </c>
      <c r="R1050" s="38">
        <v>91.7143661</v>
      </c>
      <c r="S1050" s="38">
        <v>47.6306653</v>
      </c>
      <c r="T1050" s="38">
        <v>44.0837009</v>
      </c>
      <c r="U1050" s="38">
        <v>8.2856339</v>
      </c>
      <c r="V1050" s="38">
        <v>97.0099585</v>
      </c>
      <c r="W1050" s="38">
        <v>76.3106266</v>
      </c>
      <c r="X1050" s="38">
        <v>20.699332</v>
      </c>
      <c r="Y1050" s="38">
        <v>2.9900415</v>
      </c>
    </row>
    <row r="1051" ht="15.0" hidden="1" customHeight="1">
      <c r="B1051" s="30">
        <v>1046.0</v>
      </c>
      <c r="C1051" s="31" t="s">
        <v>21</v>
      </c>
      <c r="D1051" s="31" t="s">
        <v>334</v>
      </c>
      <c r="E1051" s="31" t="s">
        <v>335</v>
      </c>
      <c r="F1051" s="31" t="s">
        <v>339</v>
      </c>
      <c r="G1051" s="32" t="s">
        <v>15</v>
      </c>
      <c r="H1051" s="33">
        <v>18957.0</v>
      </c>
      <c r="I1051" s="33">
        <v>17704.0</v>
      </c>
      <c r="J1051" s="33">
        <v>8975.0</v>
      </c>
      <c r="K1051" s="33">
        <v>8729.0</v>
      </c>
      <c r="L1051" s="33">
        <v>1253.0</v>
      </c>
      <c r="M1051" s="33">
        <v>37921.0</v>
      </c>
      <c r="N1051" s="33">
        <v>36948.0</v>
      </c>
      <c r="O1051" s="33">
        <v>28970.0</v>
      </c>
      <c r="P1051" s="33">
        <v>7978.0</v>
      </c>
      <c r="Q1051" s="33">
        <v>973.0</v>
      </c>
      <c r="R1051" s="34">
        <v>93.3903044</v>
      </c>
      <c r="S1051" s="34">
        <v>47.343989</v>
      </c>
      <c r="T1051" s="34">
        <v>46.0463153</v>
      </c>
      <c r="U1051" s="34">
        <v>6.6096956</v>
      </c>
      <c r="V1051" s="34">
        <v>97.4341394</v>
      </c>
      <c r="W1051" s="34">
        <v>76.3956647</v>
      </c>
      <c r="X1051" s="34">
        <v>21.0384747</v>
      </c>
      <c r="Y1051" s="34">
        <v>2.5658606</v>
      </c>
    </row>
    <row r="1052" ht="15.0" hidden="1" customHeight="1">
      <c r="B1052" s="30">
        <v>1047.0</v>
      </c>
      <c r="C1052" s="31" t="s">
        <v>21</v>
      </c>
      <c r="D1052" s="31" t="s">
        <v>334</v>
      </c>
      <c r="E1052" s="31" t="s">
        <v>335</v>
      </c>
      <c r="F1052" s="31" t="s">
        <v>339</v>
      </c>
      <c r="G1052" s="32" t="s">
        <v>16</v>
      </c>
      <c r="H1052" s="33">
        <v>2357.0</v>
      </c>
      <c r="I1052" s="33">
        <v>1844.0</v>
      </c>
      <c r="J1052" s="33">
        <v>1177.0</v>
      </c>
      <c r="K1052" s="33">
        <v>667.0</v>
      </c>
      <c r="L1052" s="33">
        <v>513.0</v>
      </c>
      <c r="M1052" s="33">
        <v>2346.0</v>
      </c>
      <c r="N1052" s="33">
        <v>2115.0</v>
      </c>
      <c r="O1052" s="33">
        <v>1758.0</v>
      </c>
      <c r="P1052" s="33">
        <v>357.0</v>
      </c>
      <c r="Q1052" s="33">
        <v>231.0</v>
      </c>
      <c r="R1052" s="34">
        <v>78.2350445</v>
      </c>
      <c r="S1052" s="34">
        <v>49.9363598</v>
      </c>
      <c r="T1052" s="34">
        <v>28.2986848</v>
      </c>
      <c r="U1052" s="34">
        <v>21.7649555</v>
      </c>
      <c r="V1052" s="34">
        <v>90.1534527</v>
      </c>
      <c r="W1052" s="34">
        <v>74.9360614</v>
      </c>
      <c r="X1052" s="34">
        <v>15.2173913</v>
      </c>
      <c r="Y1052" s="34">
        <v>9.8465473</v>
      </c>
    </row>
    <row r="1053" ht="15.0" customHeight="1">
      <c r="B1053" s="35">
        <v>1048.0</v>
      </c>
      <c r="C1053" s="36" t="s">
        <v>21</v>
      </c>
      <c r="D1053" s="41" t="s">
        <v>334</v>
      </c>
      <c r="E1053" s="41" t="s">
        <v>335</v>
      </c>
      <c r="F1053" s="41" t="s">
        <v>340</v>
      </c>
      <c r="G1053" s="42" t="s">
        <v>340</v>
      </c>
      <c r="H1053" s="37">
        <v>12235.0</v>
      </c>
      <c r="I1053" s="37">
        <v>9671.0</v>
      </c>
      <c r="J1053" s="37">
        <v>4687.0</v>
      </c>
      <c r="K1053" s="37">
        <v>4984.0</v>
      </c>
      <c r="L1053" s="37">
        <v>2564.0</v>
      </c>
      <c r="M1053" s="37">
        <v>16612.0</v>
      </c>
      <c r="N1053" s="37">
        <v>14889.0</v>
      </c>
      <c r="O1053" s="37">
        <v>11998.0</v>
      </c>
      <c r="P1053" s="37">
        <v>2891.0</v>
      </c>
      <c r="Q1053" s="37">
        <v>1723.0</v>
      </c>
      <c r="R1053" s="38">
        <v>79.043727</v>
      </c>
      <c r="S1053" s="38">
        <v>38.3081324</v>
      </c>
      <c r="T1053" s="38">
        <v>40.7355946</v>
      </c>
      <c r="U1053" s="38">
        <v>20.956273</v>
      </c>
      <c r="V1053" s="38">
        <v>89.6279798</v>
      </c>
      <c r="W1053" s="38">
        <v>72.2248977</v>
      </c>
      <c r="X1053" s="38">
        <v>17.4030821</v>
      </c>
      <c r="Y1053" s="38">
        <v>10.3720202</v>
      </c>
    </row>
    <row r="1054" ht="15.0" hidden="1" customHeight="1">
      <c r="B1054" s="30">
        <v>1049.0</v>
      </c>
      <c r="C1054" s="31" t="s">
        <v>21</v>
      </c>
      <c r="D1054" s="31" t="s">
        <v>334</v>
      </c>
      <c r="E1054" s="31" t="s">
        <v>335</v>
      </c>
      <c r="F1054" s="31" t="s">
        <v>340</v>
      </c>
      <c r="G1054" s="32" t="s">
        <v>15</v>
      </c>
      <c r="H1054" s="33">
        <v>7702.0</v>
      </c>
      <c r="I1054" s="33">
        <v>7151.0</v>
      </c>
      <c r="J1054" s="33">
        <v>3151.0</v>
      </c>
      <c r="K1054" s="33">
        <v>4000.0</v>
      </c>
      <c r="L1054" s="33">
        <v>551.0</v>
      </c>
      <c r="M1054" s="33">
        <v>11532.0</v>
      </c>
      <c r="N1054" s="33">
        <v>11171.0</v>
      </c>
      <c r="O1054" s="33">
        <v>8668.0</v>
      </c>
      <c r="P1054" s="33">
        <v>2503.0</v>
      </c>
      <c r="Q1054" s="33">
        <v>361.0</v>
      </c>
      <c r="R1054" s="34">
        <v>92.846014</v>
      </c>
      <c r="S1054" s="34">
        <v>40.9114516</v>
      </c>
      <c r="T1054" s="34">
        <v>51.9345625</v>
      </c>
      <c r="U1054" s="34">
        <v>7.153986</v>
      </c>
      <c r="V1054" s="34">
        <v>96.8695803</v>
      </c>
      <c r="W1054" s="34">
        <v>75.1647589</v>
      </c>
      <c r="X1054" s="34">
        <v>21.7048214</v>
      </c>
      <c r="Y1054" s="34">
        <v>3.1304197</v>
      </c>
    </row>
    <row r="1055" ht="15.0" hidden="1" customHeight="1">
      <c r="B1055" s="30">
        <v>1050.0</v>
      </c>
      <c r="C1055" s="31" t="s">
        <v>21</v>
      </c>
      <c r="D1055" s="31" t="s">
        <v>334</v>
      </c>
      <c r="E1055" s="31" t="s">
        <v>335</v>
      </c>
      <c r="F1055" s="31" t="s">
        <v>340</v>
      </c>
      <c r="G1055" s="32" t="s">
        <v>16</v>
      </c>
      <c r="H1055" s="33">
        <v>4533.0</v>
      </c>
      <c r="I1055" s="33">
        <v>2520.0</v>
      </c>
      <c r="J1055" s="33">
        <v>1536.0</v>
      </c>
      <c r="K1055" s="33">
        <v>984.0</v>
      </c>
      <c r="L1055" s="33">
        <v>2013.0</v>
      </c>
      <c r="M1055" s="33">
        <v>5080.0</v>
      </c>
      <c r="N1055" s="33">
        <v>3718.0</v>
      </c>
      <c r="O1055" s="33">
        <v>3330.0</v>
      </c>
      <c r="P1055" s="33">
        <v>388.0</v>
      </c>
      <c r="Q1055" s="33">
        <v>1362.0</v>
      </c>
      <c r="R1055" s="34">
        <v>55.592323</v>
      </c>
      <c r="S1055" s="34">
        <v>33.8848445</v>
      </c>
      <c r="T1055" s="34">
        <v>21.7074785</v>
      </c>
      <c r="U1055" s="34">
        <v>44.407677</v>
      </c>
      <c r="V1055" s="34">
        <v>73.1889764</v>
      </c>
      <c r="W1055" s="34">
        <v>65.5511811</v>
      </c>
      <c r="X1055" s="34">
        <v>7.6377953</v>
      </c>
      <c r="Y1055" s="34">
        <v>26.8110236</v>
      </c>
    </row>
    <row r="1056" ht="15.0" hidden="1" customHeight="1">
      <c r="B1056" s="26">
        <v>1051.0</v>
      </c>
      <c r="C1056" s="27" t="s">
        <v>19</v>
      </c>
      <c r="D1056" s="40" t="s">
        <v>334</v>
      </c>
      <c r="E1056" s="40" t="s">
        <v>341</v>
      </c>
      <c r="F1056" s="40"/>
      <c r="G1056" s="27" t="s">
        <v>341</v>
      </c>
      <c r="H1056" s="28">
        <v>25778.0</v>
      </c>
      <c r="I1056" s="28">
        <v>21462.0</v>
      </c>
      <c r="J1056" s="28">
        <v>10845.0</v>
      </c>
      <c r="K1056" s="28">
        <v>10617.0</v>
      </c>
      <c r="L1056" s="28">
        <v>4316.0</v>
      </c>
      <c r="M1056" s="28">
        <v>43493.0</v>
      </c>
      <c r="N1056" s="28">
        <v>41216.0</v>
      </c>
      <c r="O1056" s="28">
        <v>33160.0</v>
      </c>
      <c r="P1056" s="28">
        <v>8056.0</v>
      </c>
      <c r="Q1056" s="28">
        <v>2277.0</v>
      </c>
      <c r="R1056" s="29">
        <v>83.2570409</v>
      </c>
      <c r="S1056" s="29">
        <v>42.070758</v>
      </c>
      <c r="T1056" s="29">
        <v>41.1862829</v>
      </c>
      <c r="U1056" s="29">
        <v>16.7429591</v>
      </c>
      <c r="V1056" s="29">
        <v>94.7646748</v>
      </c>
      <c r="W1056" s="29">
        <v>76.2421539</v>
      </c>
      <c r="X1056" s="29">
        <v>18.5225209</v>
      </c>
      <c r="Y1056" s="29">
        <v>5.2353252</v>
      </c>
    </row>
    <row r="1057" ht="15.0" hidden="1" customHeight="1">
      <c r="B1057" s="30">
        <v>1052.0</v>
      </c>
      <c r="C1057" s="31" t="s">
        <v>19</v>
      </c>
      <c r="D1057" s="31" t="s">
        <v>334</v>
      </c>
      <c r="E1057" s="31" t="s">
        <v>341</v>
      </c>
      <c r="F1057" s="31"/>
      <c r="G1057" s="32" t="s">
        <v>15</v>
      </c>
      <c r="H1057" s="33">
        <v>20750.0</v>
      </c>
      <c r="I1057" s="33">
        <v>17594.0</v>
      </c>
      <c r="J1057" s="33">
        <v>8965.0</v>
      </c>
      <c r="K1057" s="33">
        <v>8629.0</v>
      </c>
      <c r="L1057" s="33">
        <v>3156.0</v>
      </c>
      <c r="M1057" s="33">
        <v>37618.0</v>
      </c>
      <c r="N1057" s="33">
        <v>35837.0</v>
      </c>
      <c r="O1057" s="33">
        <v>28900.0</v>
      </c>
      <c r="P1057" s="33">
        <v>6937.0</v>
      </c>
      <c r="Q1057" s="33">
        <v>1781.0</v>
      </c>
      <c r="R1057" s="34">
        <v>84.7903614</v>
      </c>
      <c r="S1057" s="34">
        <v>43.2048193</v>
      </c>
      <c r="T1057" s="34">
        <v>41.5855422</v>
      </c>
      <c r="U1057" s="34">
        <v>15.2096386</v>
      </c>
      <c r="V1057" s="34">
        <v>95.2655644</v>
      </c>
      <c r="W1057" s="34">
        <v>76.8249242</v>
      </c>
      <c r="X1057" s="34">
        <v>18.4406401</v>
      </c>
      <c r="Y1057" s="34">
        <v>4.7344356</v>
      </c>
    </row>
    <row r="1058" ht="15.0" hidden="1" customHeight="1">
      <c r="B1058" s="30">
        <v>1053.0</v>
      </c>
      <c r="C1058" s="31" t="s">
        <v>19</v>
      </c>
      <c r="D1058" s="31" t="s">
        <v>334</v>
      </c>
      <c r="E1058" s="31" t="s">
        <v>341</v>
      </c>
      <c r="F1058" s="31"/>
      <c r="G1058" s="32" t="s">
        <v>16</v>
      </c>
      <c r="H1058" s="33">
        <v>5028.0</v>
      </c>
      <c r="I1058" s="33">
        <v>3868.0</v>
      </c>
      <c r="J1058" s="33">
        <v>1880.0</v>
      </c>
      <c r="K1058" s="33">
        <v>1988.0</v>
      </c>
      <c r="L1058" s="33">
        <v>1160.0</v>
      </c>
      <c r="M1058" s="33">
        <v>5875.0</v>
      </c>
      <c r="N1058" s="33">
        <v>5379.0</v>
      </c>
      <c r="O1058" s="33">
        <v>4260.0</v>
      </c>
      <c r="P1058" s="33">
        <v>1119.0</v>
      </c>
      <c r="Q1058" s="33">
        <v>496.0</v>
      </c>
      <c r="R1058" s="34">
        <v>76.9291965</v>
      </c>
      <c r="S1058" s="34">
        <v>37.3906126</v>
      </c>
      <c r="T1058" s="34">
        <v>39.5385839</v>
      </c>
      <c r="U1058" s="34">
        <v>23.0708035</v>
      </c>
      <c r="V1058" s="34">
        <v>91.5574468</v>
      </c>
      <c r="W1058" s="34">
        <v>72.5106383</v>
      </c>
      <c r="X1058" s="34">
        <v>19.0468085</v>
      </c>
      <c r="Y1058" s="34">
        <v>8.4425532</v>
      </c>
    </row>
    <row r="1059" ht="15.0" customHeight="1">
      <c r="B1059" s="35">
        <v>1054.0</v>
      </c>
      <c r="C1059" s="36" t="s">
        <v>21</v>
      </c>
      <c r="D1059" s="41" t="s">
        <v>334</v>
      </c>
      <c r="E1059" s="41" t="s">
        <v>341</v>
      </c>
      <c r="F1059" s="41" t="s">
        <v>341</v>
      </c>
      <c r="G1059" s="42" t="s">
        <v>341</v>
      </c>
      <c r="H1059" s="37">
        <v>23218.0</v>
      </c>
      <c r="I1059" s="37">
        <v>19178.0</v>
      </c>
      <c r="J1059" s="37">
        <v>9838.0</v>
      </c>
      <c r="K1059" s="37">
        <v>9340.0</v>
      </c>
      <c r="L1059" s="37">
        <v>4040.0</v>
      </c>
      <c r="M1059" s="37">
        <v>40597.0</v>
      </c>
      <c r="N1059" s="37">
        <v>38430.0</v>
      </c>
      <c r="O1059" s="37">
        <v>31305.0</v>
      </c>
      <c r="P1059" s="37">
        <v>7125.0</v>
      </c>
      <c r="Q1059" s="37">
        <v>2167.0</v>
      </c>
      <c r="R1059" s="38">
        <v>82.5997071</v>
      </c>
      <c r="S1059" s="38">
        <v>42.3722974</v>
      </c>
      <c r="T1059" s="38">
        <v>40.2274098</v>
      </c>
      <c r="U1059" s="38">
        <v>17.4002929</v>
      </c>
      <c r="V1059" s="38">
        <v>94.6621672</v>
      </c>
      <c r="W1059" s="38">
        <v>77.1116092</v>
      </c>
      <c r="X1059" s="38">
        <v>17.5505579</v>
      </c>
      <c r="Y1059" s="38">
        <v>5.3378328</v>
      </c>
    </row>
    <row r="1060" ht="15.0" hidden="1" customHeight="1">
      <c r="B1060" s="30">
        <v>1055.0</v>
      </c>
      <c r="C1060" s="31" t="s">
        <v>21</v>
      </c>
      <c r="D1060" s="31" t="s">
        <v>334</v>
      </c>
      <c r="E1060" s="31" t="s">
        <v>341</v>
      </c>
      <c r="F1060" s="31" t="s">
        <v>341</v>
      </c>
      <c r="G1060" s="32" t="s">
        <v>15</v>
      </c>
      <c r="H1060" s="33">
        <v>19509.0</v>
      </c>
      <c r="I1060" s="33">
        <v>16427.0</v>
      </c>
      <c r="J1060" s="33">
        <v>8464.0</v>
      </c>
      <c r="K1060" s="33">
        <v>7963.0</v>
      </c>
      <c r="L1060" s="33">
        <v>3082.0</v>
      </c>
      <c r="M1060" s="33">
        <v>36182.0</v>
      </c>
      <c r="N1060" s="33">
        <v>34422.0</v>
      </c>
      <c r="O1060" s="33">
        <v>28158.0</v>
      </c>
      <c r="P1060" s="33">
        <v>6264.0</v>
      </c>
      <c r="Q1060" s="33">
        <v>1760.0</v>
      </c>
      <c r="R1060" s="34">
        <v>84.2021631</v>
      </c>
      <c r="S1060" s="34">
        <v>43.3851043</v>
      </c>
      <c r="T1060" s="34">
        <v>40.8170588</v>
      </c>
      <c r="U1060" s="34">
        <v>15.7978369</v>
      </c>
      <c r="V1060" s="34">
        <v>95.1357028</v>
      </c>
      <c r="W1060" s="34">
        <v>77.823227</v>
      </c>
      <c r="X1060" s="34">
        <v>17.3124758</v>
      </c>
      <c r="Y1060" s="34">
        <v>4.8642972</v>
      </c>
    </row>
    <row r="1061" ht="15.0" hidden="1" customHeight="1">
      <c r="B1061" s="30">
        <v>1056.0</v>
      </c>
      <c r="C1061" s="31" t="s">
        <v>21</v>
      </c>
      <c r="D1061" s="31" t="s">
        <v>334</v>
      </c>
      <c r="E1061" s="31" t="s">
        <v>341</v>
      </c>
      <c r="F1061" s="31" t="s">
        <v>341</v>
      </c>
      <c r="G1061" s="32" t="s">
        <v>16</v>
      </c>
      <c r="H1061" s="33">
        <v>3709.0</v>
      </c>
      <c r="I1061" s="33">
        <v>2751.0</v>
      </c>
      <c r="J1061" s="33">
        <v>1374.0</v>
      </c>
      <c r="K1061" s="33">
        <v>1377.0</v>
      </c>
      <c r="L1061" s="33">
        <v>958.0</v>
      </c>
      <c r="M1061" s="33">
        <v>4415.0</v>
      </c>
      <c r="N1061" s="33">
        <v>4008.0</v>
      </c>
      <c r="O1061" s="33">
        <v>3147.0</v>
      </c>
      <c r="P1061" s="33">
        <v>861.0</v>
      </c>
      <c r="Q1061" s="33">
        <v>407.0</v>
      </c>
      <c r="R1061" s="34">
        <v>74.1709356</v>
      </c>
      <c r="S1061" s="34">
        <v>37.0450256</v>
      </c>
      <c r="T1061" s="34">
        <v>37.1259099</v>
      </c>
      <c r="U1061" s="34">
        <v>25.8290644</v>
      </c>
      <c r="V1061" s="34">
        <v>90.781427</v>
      </c>
      <c r="W1061" s="34">
        <v>71.2797282</v>
      </c>
      <c r="X1061" s="34">
        <v>19.5016988</v>
      </c>
      <c r="Y1061" s="34">
        <v>9.218573</v>
      </c>
    </row>
    <row r="1062" ht="15.0" customHeight="1">
      <c r="B1062" s="35">
        <v>1057.0</v>
      </c>
      <c r="C1062" s="36" t="s">
        <v>21</v>
      </c>
      <c r="D1062" s="41" t="s">
        <v>334</v>
      </c>
      <c r="E1062" s="41" t="s">
        <v>341</v>
      </c>
      <c r="F1062" s="41" t="s">
        <v>342</v>
      </c>
      <c r="G1062" s="42" t="s">
        <v>342</v>
      </c>
      <c r="H1062" s="37">
        <v>2560.0</v>
      </c>
      <c r="I1062" s="37">
        <v>2284.0</v>
      </c>
      <c r="J1062" s="37">
        <v>1007.0</v>
      </c>
      <c r="K1062" s="37">
        <v>1277.0</v>
      </c>
      <c r="L1062" s="37">
        <v>276.0</v>
      </c>
      <c r="M1062" s="37">
        <v>2896.0</v>
      </c>
      <c r="N1062" s="37">
        <v>2786.0</v>
      </c>
      <c r="O1062" s="37">
        <v>1855.0</v>
      </c>
      <c r="P1062" s="37">
        <v>931.0</v>
      </c>
      <c r="Q1062" s="37">
        <v>110.0</v>
      </c>
      <c r="R1062" s="38">
        <v>89.21875</v>
      </c>
      <c r="S1062" s="38">
        <v>39.3359375</v>
      </c>
      <c r="T1062" s="38">
        <v>49.8828125</v>
      </c>
      <c r="U1062" s="38">
        <v>10.78125</v>
      </c>
      <c r="V1062" s="38">
        <v>96.2016575</v>
      </c>
      <c r="W1062" s="38">
        <v>64.0538674</v>
      </c>
      <c r="X1062" s="38">
        <v>32.1477901</v>
      </c>
      <c r="Y1062" s="38">
        <v>3.7983425</v>
      </c>
    </row>
    <row r="1063" ht="15.0" hidden="1" customHeight="1">
      <c r="B1063" s="30">
        <v>1058.0</v>
      </c>
      <c r="C1063" s="31" t="s">
        <v>21</v>
      </c>
      <c r="D1063" s="31" t="s">
        <v>334</v>
      </c>
      <c r="E1063" s="31" t="s">
        <v>341</v>
      </c>
      <c r="F1063" s="31" t="s">
        <v>342</v>
      </c>
      <c r="G1063" s="32" t="s">
        <v>15</v>
      </c>
      <c r="H1063" s="33">
        <v>1241.0</v>
      </c>
      <c r="I1063" s="33">
        <v>1167.0</v>
      </c>
      <c r="J1063" s="33">
        <v>501.0</v>
      </c>
      <c r="K1063" s="33">
        <v>666.0</v>
      </c>
      <c r="L1063" s="33">
        <v>74.0</v>
      </c>
      <c r="M1063" s="33">
        <v>1436.0</v>
      </c>
      <c r="N1063" s="33">
        <v>1415.0</v>
      </c>
      <c r="O1063" s="33">
        <v>742.0</v>
      </c>
      <c r="P1063" s="33">
        <v>673.0</v>
      </c>
      <c r="Q1063" s="33">
        <v>21.0</v>
      </c>
      <c r="R1063" s="34">
        <v>94.0370669</v>
      </c>
      <c r="S1063" s="34">
        <v>40.3706688</v>
      </c>
      <c r="T1063" s="34">
        <v>53.6663981</v>
      </c>
      <c r="U1063" s="34">
        <v>5.9629331</v>
      </c>
      <c r="V1063" s="34">
        <v>98.5376045</v>
      </c>
      <c r="W1063" s="34">
        <v>51.6713092</v>
      </c>
      <c r="X1063" s="34">
        <v>46.8662953</v>
      </c>
      <c r="Y1063" s="34">
        <v>1.4623955</v>
      </c>
    </row>
    <row r="1064" ht="15.0" hidden="1" customHeight="1">
      <c r="B1064" s="30">
        <v>1059.0</v>
      </c>
      <c r="C1064" s="31" t="s">
        <v>21</v>
      </c>
      <c r="D1064" s="31" t="s">
        <v>334</v>
      </c>
      <c r="E1064" s="31" t="s">
        <v>341</v>
      </c>
      <c r="F1064" s="31" t="s">
        <v>342</v>
      </c>
      <c r="G1064" s="32" t="s">
        <v>16</v>
      </c>
      <c r="H1064" s="33">
        <v>1319.0</v>
      </c>
      <c r="I1064" s="33">
        <v>1117.0</v>
      </c>
      <c r="J1064" s="33">
        <v>506.0</v>
      </c>
      <c r="K1064" s="33">
        <v>611.0</v>
      </c>
      <c r="L1064" s="33">
        <v>202.0</v>
      </c>
      <c r="M1064" s="33">
        <v>1460.0</v>
      </c>
      <c r="N1064" s="33">
        <v>1371.0</v>
      </c>
      <c r="O1064" s="33">
        <v>1113.0</v>
      </c>
      <c r="P1064" s="33">
        <v>258.0</v>
      </c>
      <c r="Q1064" s="33">
        <v>89.0</v>
      </c>
      <c r="R1064" s="34">
        <v>84.6853677</v>
      </c>
      <c r="S1064" s="34">
        <v>38.3623958</v>
      </c>
      <c r="T1064" s="34">
        <v>46.3229719</v>
      </c>
      <c r="U1064" s="34">
        <v>15.3146323</v>
      </c>
      <c r="V1064" s="34">
        <v>93.9041096</v>
      </c>
      <c r="W1064" s="34">
        <v>76.2328767</v>
      </c>
      <c r="X1064" s="34">
        <v>17.6712329</v>
      </c>
      <c r="Y1064" s="34">
        <v>6.0958904</v>
      </c>
    </row>
    <row r="1065" ht="15.0" hidden="1" customHeight="1">
      <c r="B1065" s="26">
        <v>1060.0</v>
      </c>
      <c r="C1065" s="27" t="s">
        <v>19</v>
      </c>
      <c r="D1065" s="40" t="s">
        <v>334</v>
      </c>
      <c r="E1065" s="40" t="s">
        <v>343</v>
      </c>
      <c r="F1065" s="40"/>
      <c r="G1065" s="27" t="s">
        <v>343</v>
      </c>
      <c r="H1065" s="28">
        <v>14546.0</v>
      </c>
      <c r="I1065" s="28">
        <v>13201.0</v>
      </c>
      <c r="J1065" s="28">
        <v>6137.0</v>
      </c>
      <c r="K1065" s="28">
        <v>7064.0</v>
      </c>
      <c r="L1065" s="28">
        <v>1345.0</v>
      </c>
      <c r="M1065" s="28">
        <v>25104.0</v>
      </c>
      <c r="N1065" s="28">
        <v>21409.0</v>
      </c>
      <c r="O1065" s="28">
        <v>17900.0</v>
      </c>
      <c r="P1065" s="28">
        <v>3509.0</v>
      </c>
      <c r="Q1065" s="28">
        <v>3695.0</v>
      </c>
      <c r="R1065" s="29">
        <v>90.7534717</v>
      </c>
      <c r="S1065" s="29">
        <v>42.1902929</v>
      </c>
      <c r="T1065" s="29">
        <v>48.5631789</v>
      </c>
      <c r="U1065" s="29">
        <v>9.2465283</v>
      </c>
      <c r="V1065" s="29">
        <v>85.2812301</v>
      </c>
      <c r="W1065" s="29">
        <v>71.3033779</v>
      </c>
      <c r="X1065" s="29">
        <v>13.9778521</v>
      </c>
      <c r="Y1065" s="29">
        <v>14.7187699</v>
      </c>
    </row>
    <row r="1066" ht="15.0" hidden="1" customHeight="1">
      <c r="B1066" s="30">
        <v>1061.0</v>
      </c>
      <c r="C1066" s="31" t="s">
        <v>19</v>
      </c>
      <c r="D1066" s="31" t="s">
        <v>334</v>
      </c>
      <c r="E1066" s="31" t="s">
        <v>343</v>
      </c>
      <c r="F1066" s="31"/>
      <c r="G1066" s="32" t="s">
        <v>15</v>
      </c>
      <c r="H1066" s="33">
        <v>6674.0</v>
      </c>
      <c r="I1066" s="33">
        <v>6533.0</v>
      </c>
      <c r="J1066" s="33">
        <v>2914.0</v>
      </c>
      <c r="K1066" s="33">
        <v>3619.0</v>
      </c>
      <c r="L1066" s="33">
        <v>141.0</v>
      </c>
      <c r="M1066" s="33">
        <v>10963.0</v>
      </c>
      <c r="N1066" s="33">
        <v>10480.0</v>
      </c>
      <c r="O1066" s="33">
        <v>8282.0</v>
      </c>
      <c r="P1066" s="33">
        <v>2198.0</v>
      </c>
      <c r="Q1066" s="33">
        <v>483.0</v>
      </c>
      <c r="R1066" s="34">
        <v>97.8873239</v>
      </c>
      <c r="S1066" s="34">
        <v>43.6619718</v>
      </c>
      <c r="T1066" s="34">
        <v>54.2253521</v>
      </c>
      <c r="U1066" s="34">
        <v>2.1126761</v>
      </c>
      <c r="V1066" s="34">
        <v>95.5942716</v>
      </c>
      <c r="W1066" s="34">
        <v>75.5450151</v>
      </c>
      <c r="X1066" s="34">
        <v>20.0492566</v>
      </c>
      <c r="Y1066" s="34">
        <v>4.4057284</v>
      </c>
    </row>
    <row r="1067" ht="15.0" hidden="1" customHeight="1">
      <c r="B1067" s="30">
        <v>1062.0</v>
      </c>
      <c r="C1067" s="31" t="s">
        <v>19</v>
      </c>
      <c r="D1067" s="31" t="s">
        <v>334</v>
      </c>
      <c r="E1067" s="31" t="s">
        <v>343</v>
      </c>
      <c r="F1067" s="31"/>
      <c r="G1067" s="32" t="s">
        <v>16</v>
      </c>
      <c r="H1067" s="33">
        <v>7872.0</v>
      </c>
      <c r="I1067" s="33">
        <v>6668.0</v>
      </c>
      <c r="J1067" s="33">
        <v>3223.0</v>
      </c>
      <c r="K1067" s="33">
        <v>3445.0</v>
      </c>
      <c r="L1067" s="33">
        <v>1204.0</v>
      </c>
      <c r="M1067" s="33">
        <v>14141.0</v>
      </c>
      <c r="N1067" s="33">
        <v>10929.0</v>
      </c>
      <c r="O1067" s="33">
        <v>9618.0</v>
      </c>
      <c r="P1067" s="33">
        <v>1311.0</v>
      </c>
      <c r="Q1067" s="33">
        <v>3212.0</v>
      </c>
      <c r="R1067" s="34">
        <v>84.7052846</v>
      </c>
      <c r="S1067" s="34">
        <v>40.9425813</v>
      </c>
      <c r="T1067" s="34">
        <v>43.7627033</v>
      </c>
      <c r="U1067" s="34">
        <v>15.2947154</v>
      </c>
      <c r="V1067" s="34">
        <v>77.2859062</v>
      </c>
      <c r="W1067" s="34">
        <v>68.0149919</v>
      </c>
      <c r="X1067" s="34">
        <v>9.2709144</v>
      </c>
      <c r="Y1067" s="34">
        <v>22.7140938</v>
      </c>
    </row>
    <row r="1068" ht="15.0" customHeight="1">
      <c r="B1068" s="35">
        <v>1063.0</v>
      </c>
      <c r="C1068" s="36" t="s">
        <v>21</v>
      </c>
      <c r="D1068" s="41" t="s">
        <v>334</v>
      </c>
      <c r="E1068" s="41" t="s">
        <v>343</v>
      </c>
      <c r="F1068" s="41" t="s">
        <v>344</v>
      </c>
      <c r="G1068" s="42" t="s">
        <v>344</v>
      </c>
      <c r="H1068" s="37">
        <v>10825.0</v>
      </c>
      <c r="I1068" s="37">
        <v>10008.0</v>
      </c>
      <c r="J1068" s="37">
        <v>4795.0</v>
      </c>
      <c r="K1068" s="37">
        <v>5213.0</v>
      </c>
      <c r="L1068" s="37">
        <v>817.0</v>
      </c>
      <c r="M1068" s="37">
        <v>17760.0</v>
      </c>
      <c r="N1068" s="37">
        <v>15917.0</v>
      </c>
      <c r="O1068" s="37">
        <v>13072.0</v>
      </c>
      <c r="P1068" s="37">
        <v>2845.0</v>
      </c>
      <c r="Q1068" s="37">
        <v>1843.0</v>
      </c>
      <c r="R1068" s="38">
        <v>92.4526559</v>
      </c>
      <c r="S1068" s="38">
        <v>44.295612</v>
      </c>
      <c r="T1068" s="38">
        <v>48.1570439</v>
      </c>
      <c r="U1068" s="38">
        <v>7.5473441</v>
      </c>
      <c r="V1068" s="38">
        <v>89.6227477</v>
      </c>
      <c r="W1068" s="38">
        <v>73.6036036</v>
      </c>
      <c r="X1068" s="38">
        <v>16.0191441</v>
      </c>
      <c r="Y1068" s="38">
        <v>10.3772523</v>
      </c>
    </row>
    <row r="1069" ht="15.0" hidden="1" customHeight="1">
      <c r="B1069" s="30">
        <v>1064.0</v>
      </c>
      <c r="C1069" s="31" t="s">
        <v>21</v>
      </c>
      <c r="D1069" s="31" t="s">
        <v>334</v>
      </c>
      <c r="E1069" s="31" t="s">
        <v>343</v>
      </c>
      <c r="F1069" s="31" t="s">
        <v>344</v>
      </c>
      <c r="G1069" s="32" t="s">
        <v>15</v>
      </c>
      <c r="H1069" s="33">
        <v>4874.0</v>
      </c>
      <c r="I1069" s="33">
        <v>4790.0</v>
      </c>
      <c r="J1069" s="33">
        <v>2126.0</v>
      </c>
      <c r="K1069" s="33">
        <v>2664.0</v>
      </c>
      <c r="L1069" s="33">
        <v>84.0</v>
      </c>
      <c r="M1069" s="33">
        <v>8746.0</v>
      </c>
      <c r="N1069" s="33">
        <v>8313.0</v>
      </c>
      <c r="O1069" s="33">
        <v>6388.0</v>
      </c>
      <c r="P1069" s="33">
        <v>1925.0</v>
      </c>
      <c r="Q1069" s="33">
        <v>433.0</v>
      </c>
      <c r="R1069" s="34">
        <v>98.2765696</v>
      </c>
      <c r="S1069" s="34">
        <v>43.6192039</v>
      </c>
      <c r="T1069" s="34">
        <v>54.6573656</v>
      </c>
      <c r="U1069" s="34">
        <v>1.7234304</v>
      </c>
      <c r="V1069" s="34">
        <v>95.0491653</v>
      </c>
      <c r="W1069" s="34">
        <v>73.0391036</v>
      </c>
      <c r="X1069" s="34">
        <v>22.0100617</v>
      </c>
      <c r="Y1069" s="34">
        <v>4.9508347</v>
      </c>
    </row>
    <row r="1070" ht="15.0" hidden="1" customHeight="1">
      <c r="B1070" s="30">
        <v>1065.0</v>
      </c>
      <c r="C1070" s="31" t="s">
        <v>21</v>
      </c>
      <c r="D1070" s="31" t="s">
        <v>334</v>
      </c>
      <c r="E1070" s="31" t="s">
        <v>343</v>
      </c>
      <c r="F1070" s="31" t="s">
        <v>344</v>
      </c>
      <c r="G1070" s="32" t="s">
        <v>16</v>
      </c>
      <c r="H1070" s="33">
        <v>5951.0</v>
      </c>
      <c r="I1070" s="33">
        <v>5218.0</v>
      </c>
      <c r="J1070" s="33">
        <v>2669.0</v>
      </c>
      <c r="K1070" s="33">
        <v>2549.0</v>
      </c>
      <c r="L1070" s="33">
        <v>733.0</v>
      </c>
      <c r="M1070" s="33">
        <v>9014.0</v>
      </c>
      <c r="N1070" s="33">
        <v>7604.0</v>
      </c>
      <c r="O1070" s="33">
        <v>6684.0</v>
      </c>
      <c r="P1070" s="33">
        <v>920.0</v>
      </c>
      <c r="Q1070" s="33">
        <v>1410.0</v>
      </c>
      <c r="R1070" s="34">
        <v>87.6827424</v>
      </c>
      <c r="S1070" s="34">
        <v>44.8496051</v>
      </c>
      <c r="T1070" s="34">
        <v>42.8331373</v>
      </c>
      <c r="U1070" s="34">
        <v>12.3172576</v>
      </c>
      <c r="V1070" s="34">
        <v>84.3576659</v>
      </c>
      <c r="W1070" s="34">
        <v>74.1513202</v>
      </c>
      <c r="X1070" s="34">
        <v>10.2063457</v>
      </c>
      <c r="Y1070" s="34">
        <v>15.6423341</v>
      </c>
    </row>
    <row r="1071" ht="15.0" customHeight="1">
      <c r="B1071" s="35">
        <v>1066.0</v>
      </c>
      <c r="C1071" s="36" t="s">
        <v>21</v>
      </c>
      <c r="D1071" s="41" t="s">
        <v>334</v>
      </c>
      <c r="E1071" s="41" t="s">
        <v>343</v>
      </c>
      <c r="F1071" s="41" t="s">
        <v>345</v>
      </c>
      <c r="G1071" s="42" t="s">
        <v>345</v>
      </c>
      <c r="H1071" s="37">
        <v>2582.0</v>
      </c>
      <c r="I1071" s="37">
        <v>2206.0</v>
      </c>
      <c r="J1071" s="37">
        <v>975.0</v>
      </c>
      <c r="K1071" s="37">
        <v>1231.0</v>
      </c>
      <c r="L1071" s="37">
        <v>376.0</v>
      </c>
      <c r="M1071" s="37">
        <v>4447.0</v>
      </c>
      <c r="N1071" s="37">
        <v>3588.0</v>
      </c>
      <c r="O1071" s="37">
        <v>3237.0</v>
      </c>
      <c r="P1071" s="37">
        <v>351.0</v>
      </c>
      <c r="Q1071" s="37">
        <v>859.0</v>
      </c>
      <c r="R1071" s="38">
        <v>85.4376452</v>
      </c>
      <c r="S1071" s="38">
        <v>37.7614253</v>
      </c>
      <c r="T1071" s="38">
        <v>47.67622</v>
      </c>
      <c r="U1071" s="38">
        <v>14.5623548</v>
      </c>
      <c r="V1071" s="38">
        <v>80.6836069</v>
      </c>
      <c r="W1071" s="38">
        <v>72.7906454</v>
      </c>
      <c r="X1071" s="38">
        <v>7.8929615</v>
      </c>
      <c r="Y1071" s="38">
        <v>19.3163931</v>
      </c>
    </row>
    <row r="1072" ht="15.0" hidden="1" customHeight="1">
      <c r="B1072" s="30">
        <v>1067.0</v>
      </c>
      <c r="C1072" s="31" t="s">
        <v>21</v>
      </c>
      <c r="D1072" s="31" t="s">
        <v>334</v>
      </c>
      <c r="E1072" s="31" t="s">
        <v>343</v>
      </c>
      <c r="F1072" s="31" t="s">
        <v>345</v>
      </c>
      <c r="G1072" s="32" t="s">
        <v>15</v>
      </c>
      <c r="H1072" s="33">
        <v>1177.0</v>
      </c>
      <c r="I1072" s="33">
        <v>1141.0</v>
      </c>
      <c r="J1072" s="33">
        <v>505.0</v>
      </c>
      <c r="K1072" s="33">
        <v>636.0</v>
      </c>
      <c r="L1072" s="33">
        <v>36.0</v>
      </c>
      <c r="M1072" s="33">
        <v>1456.0</v>
      </c>
      <c r="N1072" s="33">
        <v>1426.0</v>
      </c>
      <c r="O1072" s="33">
        <v>1289.0</v>
      </c>
      <c r="P1072" s="33">
        <v>137.0</v>
      </c>
      <c r="Q1072" s="33">
        <v>30.0</v>
      </c>
      <c r="R1072" s="34">
        <v>96.9413764</v>
      </c>
      <c r="S1072" s="34">
        <v>42.9056924</v>
      </c>
      <c r="T1072" s="34">
        <v>54.0356839</v>
      </c>
      <c r="U1072" s="34">
        <v>3.0586236</v>
      </c>
      <c r="V1072" s="34">
        <v>97.9395604</v>
      </c>
      <c r="W1072" s="34">
        <v>88.5302198</v>
      </c>
      <c r="X1072" s="34">
        <v>9.4093407</v>
      </c>
      <c r="Y1072" s="34">
        <v>2.0604396</v>
      </c>
    </row>
    <row r="1073" ht="15.0" hidden="1" customHeight="1">
      <c r="B1073" s="30">
        <v>1068.0</v>
      </c>
      <c r="C1073" s="31" t="s">
        <v>21</v>
      </c>
      <c r="D1073" s="31" t="s">
        <v>334</v>
      </c>
      <c r="E1073" s="31" t="s">
        <v>343</v>
      </c>
      <c r="F1073" s="31" t="s">
        <v>345</v>
      </c>
      <c r="G1073" s="32" t="s">
        <v>16</v>
      </c>
      <c r="H1073" s="33">
        <v>1405.0</v>
      </c>
      <c r="I1073" s="33">
        <v>1065.0</v>
      </c>
      <c r="J1073" s="33">
        <v>470.0</v>
      </c>
      <c r="K1073" s="33">
        <v>595.0</v>
      </c>
      <c r="L1073" s="33">
        <v>340.0</v>
      </c>
      <c r="M1073" s="33">
        <v>2991.0</v>
      </c>
      <c r="N1073" s="33">
        <v>2162.0</v>
      </c>
      <c r="O1073" s="33">
        <v>1948.0</v>
      </c>
      <c r="P1073" s="33">
        <v>214.0</v>
      </c>
      <c r="Q1073" s="33">
        <v>829.0</v>
      </c>
      <c r="R1073" s="34">
        <v>75.8007117</v>
      </c>
      <c r="S1073" s="34">
        <v>33.4519573</v>
      </c>
      <c r="T1073" s="34">
        <v>42.3487544</v>
      </c>
      <c r="U1073" s="34">
        <v>24.1992883</v>
      </c>
      <c r="V1073" s="34">
        <v>72.2835172</v>
      </c>
      <c r="W1073" s="34">
        <v>65.1287195</v>
      </c>
      <c r="X1073" s="34">
        <v>7.1547977</v>
      </c>
      <c r="Y1073" s="34">
        <v>27.7164828</v>
      </c>
    </row>
    <row r="1074" ht="15.0" customHeight="1">
      <c r="B1074" s="35">
        <v>1069.0</v>
      </c>
      <c r="C1074" s="36" t="s">
        <v>21</v>
      </c>
      <c r="D1074" s="41" t="s">
        <v>334</v>
      </c>
      <c r="E1074" s="41" t="s">
        <v>343</v>
      </c>
      <c r="F1074" s="41" t="s">
        <v>346</v>
      </c>
      <c r="G1074" s="42" t="s">
        <v>346</v>
      </c>
      <c r="H1074" s="37">
        <v>1139.0</v>
      </c>
      <c r="I1074" s="37">
        <v>987.0</v>
      </c>
      <c r="J1074" s="37">
        <v>367.0</v>
      </c>
      <c r="K1074" s="37">
        <v>620.0</v>
      </c>
      <c r="L1074" s="37">
        <v>152.0</v>
      </c>
      <c r="M1074" s="37">
        <v>2897.0</v>
      </c>
      <c r="N1074" s="37">
        <v>1904.0</v>
      </c>
      <c r="O1074" s="37">
        <v>1591.0</v>
      </c>
      <c r="P1074" s="37">
        <v>313.0</v>
      </c>
      <c r="Q1074" s="37">
        <v>993.0</v>
      </c>
      <c r="R1074" s="38">
        <v>86.6549605</v>
      </c>
      <c r="S1074" s="38">
        <v>32.2212467</v>
      </c>
      <c r="T1074" s="38">
        <v>54.4337138</v>
      </c>
      <c r="U1074" s="38">
        <v>13.3450395</v>
      </c>
      <c r="V1074" s="38">
        <v>65.7231619</v>
      </c>
      <c r="W1074" s="38">
        <v>54.9188816</v>
      </c>
      <c r="X1074" s="38">
        <v>10.8042803</v>
      </c>
      <c r="Y1074" s="38">
        <v>34.2768381</v>
      </c>
    </row>
    <row r="1075" ht="15.0" hidden="1" customHeight="1">
      <c r="B1075" s="30">
        <v>1070.0</v>
      </c>
      <c r="C1075" s="31" t="s">
        <v>21</v>
      </c>
      <c r="D1075" s="31" t="s">
        <v>334</v>
      </c>
      <c r="E1075" s="31" t="s">
        <v>343</v>
      </c>
      <c r="F1075" s="31" t="s">
        <v>346</v>
      </c>
      <c r="G1075" s="32" t="s">
        <v>15</v>
      </c>
      <c r="H1075" s="33">
        <v>623.0</v>
      </c>
      <c r="I1075" s="33">
        <v>602.0</v>
      </c>
      <c r="J1075" s="33">
        <v>283.0</v>
      </c>
      <c r="K1075" s="33">
        <v>319.0</v>
      </c>
      <c r="L1075" s="33">
        <v>21.0</v>
      </c>
      <c r="M1075" s="33">
        <v>761.0</v>
      </c>
      <c r="N1075" s="33">
        <v>741.0</v>
      </c>
      <c r="O1075" s="33">
        <v>605.0</v>
      </c>
      <c r="P1075" s="33">
        <v>136.0</v>
      </c>
      <c r="Q1075" s="33">
        <v>20.0</v>
      </c>
      <c r="R1075" s="34">
        <v>96.6292135</v>
      </c>
      <c r="S1075" s="34">
        <v>45.4253612</v>
      </c>
      <c r="T1075" s="34">
        <v>51.2038523</v>
      </c>
      <c r="U1075" s="34">
        <v>3.3707865</v>
      </c>
      <c r="V1075" s="34">
        <v>97.3718791</v>
      </c>
      <c r="W1075" s="34">
        <v>79.500657</v>
      </c>
      <c r="X1075" s="34">
        <v>17.8712221</v>
      </c>
      <c r="Y1075" s="34">
        <v>2.6281209</v>
      </c>
    </row>
    <row r="1076" ht="15.0" hidden="1" customHeight="1">
      <c r="B1076" s="30">
        <v>1071.0</v>
      </c>
      <c r="C1076" s="31" t="s">
        <v>21</v>
      </c>
      <c r="D1076" s="31" t="s">
        <v>334</v>
      </c>
      <c r="E1076" s="31" t="s">
        <v>343</v>
      </c>
      <c r="F1076" s="31" t="s">
        <v>346</v>
      </c>
      <c r="G1076" s="32" t="s">
        <v>16</v>
      </c>
      <c r="H1076" s="33">
        <v>516.0</v>
      </c>
      <c r="I1076" s="33">
        <v>385.0</v>
      </c>
      <c r="J1076" s="33">
        <v>84.0</v>
      </c>
      <c r="K1076" s="33">
        <v>301.0</v>
      </c>
      <c r="L1076" s="33">
        <v>131.0</v>
      </c>
      <c r="M1076" s="33">
        <v>2136.0</v>
      </c>
      <c r="N1076" s="33">
        <v>1163.0</v>
      </c>
      <c r="O1076" s="33">
        <v>986.0</v>
      </c>
      <c r="P1076" s="33">
        <v>177.0</v>
      </c>
      <c r="Q1076" s="33">
        <v>973.0</v>
      </c>
      <c r="R1076" s="34">
        <v>74.6124031</v>
      </c>
      <c r="S1076" s="34">
        <v>16.2790698</v>
      </c>
      <c r="T1076" s="34">
        <v>58.3333333</v>
      </c>
      <c r="U1076" s="34">
        <v>25.3875969</v>
      </c>
      <c r="V1076" s="34">
        <v>54.4475655</v>
      </c>
      <c r="W1076" s="34">
        <v>46.1610487</v>
      </c>
      <c r="X1076" s="34">
        <v>8.2865169</v>
      </c>
      <c r="Y1076" s="34">
        <v>45.5524345</v>
      </c>
    </row>
    <row r="1077" ht="15.0" hidden="1" customHeight="1">
      <c r="B1077" s="26">
        <v>1072.0</v>
      </c>
      <c r="C1077" s="27" t="s">
        <v>19</v>
      </c>
      <c r="D1077" s="40" t="s">
        <v>334</v>
      </c>
      <c r="E1077" s="40" t="s">
        <v>347</v>
      </c>
      <c r="F1077" s="40"/>
      <c r="G1077" s="27" t="s">
        <v>347</v>
      </c>
      <c r="H1077" s="28">
        <v>24574.0</v>
      </c>
      <c r="I1077" s="28">
        <v>16788.0</v>
      </c>
      <c r="J1077" s="28">
        <v>8270.0</v>
      </c>
      <c r="K1077" s="28">
        <v>8518.0</v>
      </c>
      <c r="L1077" s="28">
        <v>7786.0</v>
      </c>
      <c r="M1077" s="28">
        <v>32331.0</v>
      </c>
      <c r="N1077" s="28">
        <v>24770.0</v>
      </c>
      <c r="O1077" s="28">
        <v>20071.0</v>
      </c>
      <c r="P1077" s="28">
        <v>4699.0</v>
      </c>
      <c r="Q1077" s="28">
        <v>7561.0</v>
      </c>
      <c r="R1077" s="29">
        <v>68.3161065</v>
      </c>
      <c r="S1077" s="29">
        <v>33.6534549</v>
      </c>
      <c r="T1077" s="29">
        <v>34.6626516</v>
      </c>
      <c r="U1077" s="29">
        <v>31.6838935</v>
      </c>
      <c r="V1077" s="29">
        <v>76.6137763</v>
      </c>
      <c r="W1077" s="29">
        <v>62.0797377</v>
      </c>
      <c r="X1077" s="29">
        <v>14.5340385</v>
      </c>
      <c r="Y1077" s="29">
        <v>23.3862237</v>
      </c>
    </row>
    <row r="1078" ht="15.0" hidden="1" customHeight="1">
      <c r="B1078" s="30">
        <v>1073.0</v>
      </c>
      <c r="C1078" s="31" t="s">
        <v>19</v>
      </c>
      <c r="D1078" s="31" t="s">
        <v>334</v>
      </c>
      <c r="E1078" s="31" t="s">
        <v>347</v>
      </c>
      <c r="F1078" s="31"/>
      <c r="G1078" s="32" t="s">
        <v>15</v>
      </c>
      <c r="H1078" s="33">
        <v>13523.0</v>
      </c>
      <c r="I1078" s="33">
        <v>11324.0</v>
      </c>
      <c r="J1078" s="33">
        <v>5394.0</v>
      </c>
      <c r="K1078" s="33">
        <v>5930.0</v>
      </c>
      <c r="L1078" s="33">
        <v>2199.0</v>
      </c>
      <c r="M1078" s="33">
        <v>16853.0</v>
      </c>
      <c r="N1078" s="33">
        <v>15914.0</v>
      </c>
      <c r="O1078" s="33">
        <v>11983.0</v>
      </c>
      <c r="P1078" s="33">
        <v>3931.0</v>
      </c>
      <c r="Q1078" s="33">
        <v>939.0</v>
      </c>
      <c r="R1078" s="34">
        <v>83.7388154</v>
      </c>
      <c r="S1078" s="34">
        <v>39.8875989</v>
      </c>
      <c r="T1078" s="34">
        <v>43.8512164</v>
      </c>
      <c r="U1078" s="34">
        <v>16.2611846</v>
      </c>
      <c r="V1078" s="34">
        <v>94.4282917</v>
      </c>
      <c r="W1078" s="34">
        <v>71.1030677</v>
      </c>
      <c r="X1078" s="34">
        <v>23.325224</v>
      </c>
      <c r="Y1078" s="34">
        <v>5.5717083</v>
      </c>
    </row>
    <row r="1079" ht="15.0" hidden="1" customHeight="1">
      <c r="B1079" s="30">
        <v>1074.0</v>
      </c>
      <c r="C1079" s="31" t="s">
        <v>19</v>
      </c>
      <c r="D1079" s="31" t="s">
        <v>334</v>
      </c>
      <c r="E1079" s="31" t="s">
        <v>347</v>
      </c>
      <c r="F1079" s="31"/>
      <c r="G1079" s="32" t="s">
        <v>16</v>
      </c>
      <c r="H1079" s="33">
        <v>11051.0</v>
      </c>
      <c r="I1079" s="33">
        <v>5464.0</v>
      </c>
      <c r="J1079" s="33">
        <v>2876.0</v>
      </c>
      <c r="K1079" s="33">
        <v>2588.0</v>
      </c>
      <c r="L1079" s="33">
        <v>5587.0</v>
      </c>
      <c r="M1079" s="33">
        <v>15478.0</v>
      </c>
      <c r="N1079" s="33">
        <v>8856.0</v>
      </c>
      <c r="O1079" s="33">
        <v>8088.0</v>
      </c>
      <c r="P1079" s="33">
        <v>768.0</v>
      </c>
      <c r="Q1079" s="33">
        <v>6622.0</v>
      </c>
      <c r="R1079" s="34">
        <v>49.4434893</v>
      </c>
      <c r="S1079" s="34">
        <v>26.0247941</v>
      </c>
      <c r="T1079" s="34">
        <v>23.4186951</v>
      </c>
      <c r="U1079" s="34">
        <v>50.5565107</v>
      </c>
      <c r="V1079" s="34">
        <v>57.2166947</v>
      </c>
      <c r="W1079" s="34">
        <v>52.2548133</v>
      </c>
      <c r="X1079" s="34">
        <v>4.9618814</v>
      </c>
      <c r="Y1079" s="34">
        <v>42.7833053</v>
      </c>
    </row>
    <row r="1080" ht="15.0" customHeight="1">
      <c r="B1080" s="35">
        <v>1075.0</v>
      </c>
      <c r="C1080" s="36" t="s">
        <v>21</v>
      </c>
      <c r="D1080" s="41" t="s">
        <v>334</v>
      </c>
      <c r="E1080" s="41" t="s">
        <v>347</v>
      </c>
      <c r="F1080" s="41" t="s">
        <v>348</v>
      </c>
      <c r="G1080" s="42" t="s">
        <v>348</v>
      </c>
      <c r="H1080" s="37">
        <v>3171.0</v>
      </c>
      <c r="I1080" s="37">
        <v>2506.0</v>
      </c>
      <c r="J1080" s="37">
        <v>1501.0</v>
      </c>
      <c r="K1080" s="37">
        <v>1005.0</v>
      </c>
      <c r="L1080" s="37">
        <v>665.0</v>
      </c>
      <c r="M1080" s="37">
        <v>3776.0</v>
      </c>
      <c r="N1080" s="37">
        <v>3412.0</v>
      </c>
      <c r="O1080" s="37">
        <v>3018.0</v>
      </c>
      <c r="P1080" s="37">
        <v>394.0</v>
      </c>
      <c r="Q1080" s="37">
        <v>364.0</v>
      </c>
      <c r="R1080" s="38">
        <v>79.0286976</v>
      </c>
      <c r="S1080" s="38">
        <v>47.3352255</v>
      </c>
      <c r="T1080" s="38">
        <v>31.6934721</v>
      </c>
      <c r="U1080" s="38">
        <v>20.9713024</v>
      </c>
      <c r="V1080" s="38">
        <v>90.3601695</v>
      </c>
      <c r="W1080" s="38">
        <v>79.9258475</v>
      </c>
      <c r="X1080" s="38">
        <v>10.434322</v>
      </c>
      <c r="Y1080" s="38">
        <v>9.6398305</v>
      </c>
    </row>
    <row r="1081" ht="15.0" hidden="1" customHeight="1">
      <c r="B1081" s="30">
        <v>1076.0</v>
      </c>
      <c r="C1081" s="31" t="s">
        <v>21</v>
      </c>
      <c r="D1081" s="31" t="s">
        <v>334</v>
      </c>
      <c r="E1081" s="31" t="s">
        <v>347</v>
      </c>
      <c r="F1081" s="31" t="s">
        <v>348</v>
      </c>
      <c r="G1081" s="32" t="s">
        <v>15</v>
      </c>
      <c r="H1081" s="33">
        <v>1019.0</v>
      </c>
      <c r="I1081" s="33">
        <v>924.0</v>
      </c>
      <c r="J1081" s="33">
        <v>667.0</v>
      </c>
      <c r="K1081" s="33">
        <v>257.0</v>
      </c>
      <c r="L1081" s="33">
        <v>95.0</v>
      </c>
      <c r="M1081" s="33">
        <v>1435.0</v>
      </c>
      <c r="N1081" s="33">
        <v>1381.0</v>
      </c>
      <c r="O1081" s="33">
        <v>1168.0</v>
      </c>
      <c r="P1081" s="33">
        <v>213.0</v>
      </c>
      <c r="Q1081" s="33">
        <v>54.0</v>
      </c>
      <c r="R1081" s="34">
        <v>90.6771344</v>
      </c>
      <c r="S1081" s="34">
        <v>65.4563297</v>
      </c>
      <c r="T1081" s="34">
        <v>25.2208047</v>
      </c>
      <c r="U1081" s="34">
        <v>9.3228656</v>
      </c>
      <c r="V1081" s="34">
        <v>96.2369338</v>
      </c>
      <c r="W1081" s="34">
        <v>81.3937282</v>
      </c>
      <c r="X1081" s="34">
        <v>14.8432056</v>
      </c>
      <c r="Y1081" s="34">
        <v>3.7630662</v>
      </c>
    </row>
    <row r="1082" ht="15.0" hidden="1" customHeight="1">
      <c r="B1082" s="30">
        <v>1077.0</v>
      </c>
      <c r="C1082" s="31" t="s">
        <v>21</v>
      </c>
      <c r="D1082" s="31" t="s">
        <v>334</v>
      </c>
      <c r="E1082" s="31" t="s">
        <v>347</v>
      </c>
      <c r="F1082" s="31" t="s">
        <v>348</v>
      </c>
      <c r="G1082" s="32" t="s">
        <v>16</v>
      </c>
      <c r="H1082" s="33">
        <v>2152.0</v>
      </c>
      <c r="I1082" s="33">
        <v>1582.0</v>
      </c>
      <c r="J1082" s="33">
        <v>834.0</v>
      </c>
      <c r="K1082" s="33">
        <v>748.0</v>
      </c>
      <c r="L1082" s="33">
        <v>570.0</v>
      </c>
      <c r="M1082" s="33">
        <v>2341.0</v>
      </c>
      <c r="N1082" s="33">
        <v>2031.0</v>
      </c>
      <c r="O1082" s="33">
        <v>1850.0</v>
      </c>
      <c r="P1082" s="33">
        <v>181.0</v>
      </c>
      <c r="Q1082" s="33">
        <v>310.0</v>
      </c>
      <c r="R1082" s="34">
        <v>73.5130112</v>
      </c>
      <c r="S1082" s="34">
        <v>38.7546468</v>
      </c>
      <c r="T1082" s="34">
        <v>34.7583643</v>
      </c>
      <c r="U1082" s="34">
        <v>26.4869888</v>
      </c>
      <c r="V1082" s="34">
        <v>86.7577958</v>
      </c>
      <c r="W1082" s="34">
        <v>79.0260572</v>
      </c>
      <c r="X1082" s="34">
        <v>7.7317386</v>
      </c>
      <c r="Y1082" s="34">
        <v>13.2422042</v>
      </c>
    </row>
    <row r="1083" ht="15.0" customHeight="1">
      <c r="B1083" s="35">
        <v>1078.0</v>
      </c>
      <c r="C1083" s="36" t="s">
        <v>21</v>
      </c>
      <c r="D1083" s="41" t="s">
        <v>334</v>
      </c>
      <c r="E1083" s="41" t="s">
        <v>347</v>
      </c>
      <c r="F1083" s="41" t="s">
        <v>349</v>
      </c>
      <c r="G1083" s="42" t="s">
        <v>349</v>
      </c>
      <c r="H1083" s="37">
        <v>4573.0</v>
      </c>
      <c r="I1083" s="37">
        <v>3534.0</v>
      </c>
      <c r="J1083" s="37">
        <v>1980.0</v>
      </c>
      <c r="K1083" s="37">
        <v>1554.0</v>
      </c>
      <c r="L1083" s="37">
        <v>1039.0</v>
      </c>
      <c r="M1083" s="37">
        <v>5523.0</v>
      </c>
      <c r="N1083" s="37">
        <v>4832.0</v>
      </c>
      <c r="O1083" s="37">
        <v>4012.0</v>
      </c>
      <c r="P1083" s="37">
        <v>820.0</v>
      </c>
      <c r="Q1083" s="37">
        <v>691.0</v>
      </c>
      <c r="R1083" s="38">
        <v>77.2796851</v>
      </c>
      <c r="S1083" s="38">
        <v>43.2976164</v>
      </c>
      <c r="T1083" s="38">
        <v>33.9820687</v>
      </c>
      <c r="U1083" s="38">
        <v>22.7203149</v>
      </c>
      <c r="V1083" s="38">
        <v>87.4886837</v>
      </c>
      <c r="W1083" s="38">
        <v>72.6416802</v>
      </c>
      <c r="X1083" s="38">
        <v>14.8470034</v>
      </c>
      <c r="Y1083" s="38">
        <v>12.5113163</v>
      </c>
    </row>
    <row r="1084" ht="15.0" hidden="1" customHeight="1">
      <c r="B1084" s="30">
        <v>1079.0</v>
      </c>
      <c r="C1084" s="31" t="s">
        <v>21</v>
      </c>
      <c r="D1084" s="31" t="s">
        <v>334</v>
      </c>
      <c r="E1084" s="31" t="s">
        <v>347</v>
      </c>
      <c r="F1084" s="31" t="s">
        <v>349</v>
      </c>
      <c r="G1084" s="32" t="s">
        <v>15</v>
      </c>
      <c r="H1084" s="33">
        <v>2936.0</v>
      </c>
      <c r="I1084" s="33">
        <v>2535.0</v>
      </c>
      <c r="J1084" s="33">
        <v>1433.0</v>
      </c>
      <c r="K1084" s="33">
        <v>1102.0</v>
      </c>
      <c r="L1084" s="33">
        <v>401.0</v>
      </c>
      <c r="M1084" s="33">
        <v>3491.0</v>
      </c>
      <c r="N1084" s="33">
        <v>3334.0</v>
      </c>
      <c r="O1084" s="33">
        <v>2661.0</v>
      </c>
      <c r="P1084" s="33">
        <v>673.0</v>
      </c>
      <c r="Q1084" s="33">
        <v>157.0</v>
      </c>
      <c r="R1084" s="34">
        <v>86.3419619</v>
      </c>
      <c r="S1084" s="34">
        <v>48.8079019</v>
      </c>
      <c r="T1084" s="34">
        <v>37.5340599</v>
      </c>
      <c r="U1084" s="34">
        <v>13.6580381</v>
      </c>
      <c r="V1084" s="34">
        <v>95.5027213</v>
      </c>
      <c r="W1084" s="34">
        <v>76.2245775</v>
      </c>
      <c r="X1084" s="34">
        <v>19.2781438</v>
      </c>
      <c r="Y1084" s="34">
        <v>4.4972787</v>
      </c>
    </row>
    <row r="1085" ht="15.0" hidden="1" customHeight="1">
      <c r="B1085" s="30">
        <v>1080.0</v>
      </c>
      <c r="C1085" s="31" t="s">
        <v>21</v>
      </c>
      <c r="D1085" s="31" t="s">
        <v>334</v>
      </c>
      <c r="E1085" s="31" t="s">
        <v>347</v>
      </c>
      <c r="F1085" s="31" t="s">
        <v>349</v>
      </c>
      <c r="G1085" s="32" t="s">
        <v>16</v>
      </c>
      <c r="H1085" s="33">
        <v>1637.0</v>
      </c>
      <c r="I1085" s="33">
        <v>999.0</v>
      </c>
      <c r="J1085" s="33">
        <v>547.0</v>
      </c>
      <c r="K1085" s="33">
        <v>452.0</v>
      </c>
      <c r="L1085" s="33">
        <v>638.0</v>
      </c>
      <c r="M1085" s="33">
        <v>2032.0</v>
      </c>
      <c r="N1085" s="33">
        <v>1498.0</v>
      </c>
      <c r="O1085" s="33">
        <v>1351.0</v>
      </c>
      <c r="P1085" s="33">
        <v>147.0</v>
      </c>
      <c r="Q1085" s="33">
        <v>534.0</v>
      </c>
      <c r="R1085" s="34">
        <v>61.0262676</v>
      </c>
      <c r="S1085" s="34">
        <v>33.4147831</v>
      </c>
      <c r="T1085" s="34">
        <v>27.6114844</v>
      </c>
      <c r="U1085" s="34">
        <v>38.9737324</v>
      </c>
      <c r="V1085" s="34">
        <v>73.7204724</v>
      </c>
      <c r="W1085" s="34">
        <v>66.4862205</v>
      </c>
      <c r="X1085" s="34">
        <v>7.234252</v>
      </c>
      <c r="Y1085" s="34">
        <v>26.2795276</v>
      </c>
    </row>
    <row r="1086" ht="15.0" customHeight="1">
      <c r="B1086" s="35">
        <v>1081.0</v>
      </c>
      <c r="C1086" s="36" t="s">
        <v>21</v>
      </c>
      <c r="D1086" s="41" t="s">
        <v>334</v>
      </c>
      <c r="E1086" s="41" t="s">
        <v>347</v>
      </c>
      <c r="F1086" s="41" t="s">
        <v>350</v>
      </c>
      <c r="G1086" s="42" t="s">
        <v>350</v>
      </c>
      <c r="H1086" s="37">
        <v>14775.0</v>
      </c>
      <c r="I1086" s="37">
        <v>9171.0</v>
      </c>
      <c r="J1086" s="37">
        <v>3899.0</v>
      </c>
      <c r="K1086" s="37">
        <v>5272.0</v>
      </c>
      <c r="L1086" s="37">
        <v>5604.0</v>
      </c>
      <c r="M1086" s="37">
        <v>20075.0</v>
      </c>
      <c r="N1086" s="37">
        <v>14137.0</v>
      </c>
      <c r="O1086" s="37">
        <v>11068.0</v>
      </c>
      <c r="P1086" s="37">
        <v>3069.0</v>
      </c>
      <c r="Q1086" s="37">
        <v>5938.0</v>
      </c>
      <c r="R1086" s="38">
        <v>62.071066</v>
      </c>
      <c r="S1086" s="38">
        <v>26.3891709</v>
      </c>
      <c r="T1086" s="38">
        <v>35.6818951</v>
      </c>
      <c r="U1086" s="38">
        <v>37.928934</v>
      </c>
      <c r="V1086" s="38">
        <v>70.4209215</v>
      </c>
      <c r="W1086" s="38">
        <v>55.1332503</v>
      </c>
      <c r="X1086" s="38">
        <v>15.2876712</v>
      </c>
      <c r="Y1086" s="38">
        <v>29.5790785</v>
      </c>
    </row>
    <row r="1087" ht="15.0" hidden="1" customHeight="1">
      <c r="B1087" s="30">
        <v>1082.0</v>
      </c>
      <c r="C1087" s="31" t="s">
        <v>21</v>
      </c>
      <c r="D1087" s="31" t="s">
        <v>334</v>
      </c>
      <c r="E1087" s="31" t="s">
        <v>347</v>
      </c>
      <c r="F1087" s="31" t="s">
        <v>350</v>
      </c>
      <c r="G1087" s="32" t="s">
        <v>15</v>
      </c>
      <c r="H1087" s="33">
        <v>8484.0</v>
      </c>
      <c r="I1087" s="33">
        <v>6835.0</v>
      </c>
      <c r="J1087" s="33">
        <v>2709.0</v>
      </c>
      <c r="K1087" s="33">
        <v>4126.0</v>
      </c>
      <c r="L1087" s="33">
        <v>1649.0</v>
      </c>
      <c r="M1087" s="33">
        <v>10463.0</v>
      </c>
      <c r="N1087" s="33">
        <v>9834.0</v>
      </c>
      <c r="O1087" s="33">
        <v>7063.0</v>
      </c>
      <c r="P1087" s="33">
        <v>2771.0</v>
      </c>
      <c r="Q1087" s="33">
        <v>629.0</v>
      </c>
      <c r="R1087" s="34">
        <v>80.5634135</v>
      </c>
      <c r="S1087" s="34">
        <v>31.9306931</v>
      </c>
      <c r="T1087" s="34">
        <v>48.6327204</v>
      </c>
      <c r="U1087" s="34">
        <v>19.4365865</v>
      </c>
      <c r="V1087" s="34">
        <v>93.9883399</v>
      </c>
      <c r="W1087" s="34">
        <v>67.5045398</v>
      </c>
      <c r="X1087" s="34">
        <v>26.4838001</v>
      </c>
      <c r="Y1087" s="34">
        <v>6.0116601</v>
      </c>
    </row>
    <row r="1088" ht="15.0" hidden="1" customHeight="1">
      <c r="B1088" s="30">
        <v>1083.0</v>
      </c>
      <c r="C1088" s="31" t="s">
        <v>21</v>
      </c>
      <c r="D1088" s="31" t="s">
        <v>334</v>
      </c>
      <c r="E1088" s="31" t="s">
        <v>347</v>
      </c>
      <c r="F1088" s="31" t="s">
        <v>350</v>
      </c>
      <c r="G1088" s="32" t="s">
        <v>16</v>
      </c>
      <c r="H1088" s="33">
        <v>6291.0</v>
      </c>
      <c r="I1088" s="33">
        <v>2336.0</v>
      </c>
      <c r="J1088" s="33">
        <v>1190.0</v>
      </c>
      <c r="K1088" s="33">
        <v>1146.0</v>
      </c>
      <c r="L1088" s="33">
        <v>3955.0</v>
      </c>
      <c r="M1088" s="33">
        <v>9612.0</v>
      </c>
      <c r="N1088" s="33">
        <v>4303.0</v>
      </c>
      <c r="O1088" s="33">
        <v>4005.0</v>
      </c>
      <c r="P1088" s="33">
        <v>298.0</v>
      </c>
      <c r="Q1088" s="33">
        <v>5309.0</v>
      </c>
      <c r="R1088" s="34">
        <v>37.1324114</v>
      </c>
      <c r="S1088" s="34">
        <v>18.9159116</v>
      </c>
      <c r="T1088" s="34">
        <v>18.2164998</v>
      </c>
      <c r="U1088" s="34">
        <v>62.8675886</v>
      </c>
      <c r="V1088" s="34">
        <v>44.766958</v>
      </c>
      <c r="W1088" s="34">
        <v>41.6666667</v>
      </c>
      <c r="X1088" s="34">
        <v>3.1002913</v>
      </c>
      <c r="Y1088" s="34">
        <v>55.233042</v>
      </c>
    </row>
    <row r="1089" ht="15.0" customHeight="1">
      <c r="B1089" s="35">
        <v>1084.0</v>
      </c>
      <c r="C1089" s="36" t="s">
        <v>21</v>
      </c>
      <c r="D1089" s="41" t="s">
        <v>334</v>
      </c>
      <c r="E1089" s="41" t="s">
        <v>347</v>
      </c>
      <c r="F1089" s="41" t="s">
        <v>351</v>
      </c>
      <c r="G1089" s="42" t="s">
        <v>351</v>
      </c>
      <c r="H1089" s="37">
        <v>2055.0</v>
      </c>
      <c r="I1089" s="37">
        <v>1577.0</v>
      </c>
      <c r="J1089" s="37">
        <v>890.0</v>
      </c>
      <c r="K1089" s="37">
        <v>687.0</v>
      </c>
      <c r="L1089" s="37">
        <v>478.0</v>
      </c>
      <c r="M1089" s="37">
        <v>2957.0</v>
      </c>
      <c r="N1089" s="37">
        <v>2389.0</v>
      </c>
      <c r="O1089" s="37">
        <v>1973.0</v>
      </c>
      <c r="P1089" s="37">
        <v>416.0</v>
      </c>
      <c r="Q1089" s="37">
        <v>568.0</v>
      </c>
      <c r="R1089" s="38">
        <v>76.7396594</v>
      </c>
      <c r="S1089" s="38">
        <v>43.3090024</v>
      </c>
      <c r="T1089" s="38">
        <v>33.4306569</v>
      </c>
      <c r="U1089" s="38">
        <v>23.2603406</v>
      </c>
      <c r="V1089" s="38">
        <v>80.7913426</v>
      </c>
      <c r="W1089" s="38">
        <v>66.7230301</v>
      </c>
      <c r="X1089" s="38">
        <v>14.0683125</v>
      </c>
      <c r="Y1089" s="38">
        <v>19.2086574</v>
      </c>
    </row>
    <row r="1090" ht="15.0" hidden="1" customHeight="1">
      <c r="B1090" s="30">
        <v>1085.0</v>
      </c>
      <c r="C1090" s="31" t="s">
        <v>21</v>
      </c>
      <c r="D1090" s="31" t="s">
        <v>334</v>
      </c>
      <c r="E1090" s="31" t="s">
        <v>347</v>
      </c>
      <c r="F1090" s="31" t="s">
        <v>351</v>
      </c>
      <c r="G1090" s="32" t="s">
        <v>15</v>
      </c>
      <c r="H1090" s="33">
        <v>1084.0</v>
      </c>
      <c r="I1090" s="33">
        <v>1030.0</v>
      </c>
      <c r="J1090" s="33">
        <v>585.0</v>
      </c>
      <c r="K1090" s="33">
        <v>445.0</v>
      </c>
      <c r="L1090" s="33">
        <v>54.0</v>
      </c>
      <c r="M1090" s="33">
        <v>1464.0</v>
      </c>
      <c r="N1090" s="33">
        <v>1365.0</v>
      </c>
      <c r="O1090" s="33">
        <v>1091.0</v>
      </c>
      <c r="P1090" s="33">
        <v>274.0</v>
      </c>
      <c r="Q1090" s="33">
        <v>99.0</v>
      </c>
      <c r="R1090" s="34">
        <v>95.0184502</v>
      </c>
      <c r="S1090" s="34">
        <v>53.9667897</v>
      </c>
      <c r="T1090" s="34">
        <v>41.0516605</v>
      </c>
      <c r="U1090" s="34">
        <v>4.9815498</v>
      </c>
      <c r="V1090" s="34">
        <v>93.2377049</v>
      </c>
      <c r="W1090" s="34">
        <v>74.5218579</v>
      </c>
      <c r="X1090" s="34">
        <v>18.715847</v>
      </c>
      <c r="Y1090" s="34">
        <v>6.7622951</v>
      </c>
    </row>
    <row r="1091" ht="15.0" hidden="1" customHeight="1">
      <c r="B1091" s="30">
        <v>1086.0</v>
      </c>
      <c r="C1091" s="31" t="s">
        <v>21</v>
      </c>
      <c r="D1091" s="31" t="s">
        <v>334</v>
      </c>
      <c r="E1091" s="31" t="s">
        <v>347</v>
      </c>
      <c r="F1091" s="31" t="s">
        <v>351</v>
      </c>
      <c r="G1091" s="32" t="s">
        <v>16</v>
      </c>
      <c r="H1091" s="33">
        <v>971.0</v>
      </c>
      <c r="I1091" s="33">
        <v>547.0</v>
      </c>
      <c r="J1091" s="33">
        <v>305.0</v>
      </c>
      <c r="K1091" s="33">
        <v>242.0</v>
      </c>
      <c r="L1091" s="33">
        <v>424.0</v>
      </c>
      <c r="M1091" s="33">
        <v>1493.0</v>
      </c>
      <c r="N1091" s="33">
        <v>1024.0</v>
      </c>
      <c r="O1091" s="33">
        <v>882.0</v>
      </c>
      <c r="P1091" s="33">
        <v>142.0</v>
      </c>
      <c r="Q1091" s="33">
        <v>469.0</v>
      </c>
      <c r="R1091" s="34">
        <v>56.3336766</v>
      </c>
      <c r="S1091" s="34">
        <v>31.4109166</v>
      </c>
      <c r="T1091" s="34">
        <v>24.92276</v>
      </c>
      <c r="U1091" s="34">
        <v>43.6663234</v>
      </c>
      <c r="V1091" s="34">
        <v>68.5867381</v>
      </c>
      <c r="W1091" s="34">
        <v>59.0756865</v>
      </c>
      <c r="X1091" s="34">
        <v>9.5110516</v>
      </c>
      <c r="Y1091" s="34">
        <v>31.4132619</v>
      </c>
    </row>
    <row r="1092" ht="15.0" hidden="1" customHeight="1">
      <c r="B1092" s="26">
        <v>1087.0</v>
      </c>
      <c r="C1092" s="27" t="s">
        <v>19</v>
      </c>
      <c r="D1092" s="40" t="s">
        <v>334</v>
      </c>
      <c r="E1092" s="40" t="s">
        <v>352</v>
      </c>
      <c r="F1092" s="40"/>
      <c r="G1092" s="27" t="s">
        <v>352</v>
      </c>
      <c r="H1092" s="28">
        <v>15495.0</v>
      </c>
      <c r="I1092" s="28">
        <v>13967.0</v>
      </c>
      <c r="J1092" s="28">
        <v>8212.0</v>
      </c>
      <c r="K1092" s="28">
        <v>5755.0</v>
      </c>
      <c r="L1092" s="28">
        <v>1528.0</v>
      </c>
      <c r="M1092" s="28">
        <v>29925.0</v>
      </c>
      <c r="N1092" s="28">
        <v>25126.0</v>
      </c>
      <c r="O1092" s="28">
        <v>21791.0</v>
      </c>
      <c r="P1092" s="28">
        <v>3335.0</v>
      </c>
      <c r="Q1092" s="28">
        <v>4799.0</v>
      </c>
      <c r="R1092" s="29">
        <v>90.1387544</v>
      </c>
      <c r="S1092" s="29">
        <v>52.9977412</v>
      </c>
      <c r="T1092" s="29">
        <v>37.1410132</v>
      </c>
      <c r="U1092" s="29">
        <v>9.8612456</v>
      </c>
      <c r="V1092" s="29">
        <v>83.9632414</v>
      </c>
      <c r="W1092" s="29">
        <v>72.8187135</v>
      </c>
      <c r="X1092" s="29">
        <v>11.144528</v>
      </c>
      <c r="Y1092" s="29">
        <v>16.0367586</v>
      </c>
    </row>
    <row r="1093" ht="15.0" hidden="1" customHeight="1">
      <c r="B1093" s="30">
        <v>1088.0</v>
      </c>
      <c r="C1093" s="31" t="s">
        <v>19</v>
      </c>
      <c r="D1093" s="31" t="s">
        <v>334</v>
      </c>
      <c r="E1093" s="31" t="s">
        <v>352</v>
      </c>
      <c r="F1093" s="31"/>
      <c r="G1093" s="32" t="s">
        <v>15</v>
      </c>
      <c r="H1093" s="33">
        <v>7260.0</v>
      </c>
      <c r="I1093" s="33">
        <v>6882.0</v>
      </c>
      <c r="J1093" s="33">
        <v>3294.0</v>
      </c>
      <c r="K1093" s="33">
        <v>3588.0</v>
      </c>
      <c r="L1093" s="33">
        <v>378.0</v>
      </c>
      <c r="M1093" s="33">
        <v>11099.0</v>
      </c>
      <c r="N1093" s="33">
        <v>10653.0</v>
      </c>
      <c r="O1093" s="33">
        <v>8518.0</v>
      </c>
      <c r="P1093" s="33">
        <v>2135.0</v>
      </c>
      <c r="Q1093" s="33">
        <v>446.0</v>
      </c>
      <c r="R1093" s="34">
        <v>94.7933884</v>
      </c>
      <c r="S1093" s="34">
        <v>45.3719008</v>
      </c>
      <c r="T1093" s="34">
        <v>49.4214876</v>
      </c>
      <c r="U1093" s="34">
        <v>5.2066116</v>
      </c>
      <c r="V1093" s="34">
        <v>95.98162</v>
      </c>
      <c r="W1093" s="34">
        <v>76.7456528</v>
      </c>
      <c r="X1093" s="34">
        <v>19.2359672</v>
      </c>
      <c r="Y1093" s="34">
        <v>4.01838</v>
      </c>
    </row>
    <row r="1094" ht="15.0" hidden="1" customHeight="1">
      <c r="B1094" s="30">
        <v>1089.0</v>
      </c>
      <c r="C1094" s="31" t="s">
        <v>19</v>
      </c>
      <c r="D1094" s="31" t="s">
        <v>334</v>
      </c>
      <c r="E1094" s="31" t="s">
        <v>352</v>
      </c>
      <c r="F1094" s="31"/>
      <c r="G1094" s="32" t="s">
        <v>16</v>
      </c>
      <c r="H1094" s="33">
        <v>8235.0</v>
      </c>
      <c r="I1094" s="33">
        <v>7085.0</v>
      </c>
      <c r="J1094" s="33">
        <v>4918.0</v>
      </c>
      <c r="K1094" s="33">
        <v>2167.0</v>
      </c>
      <c r="L1094" s="33">
        <v>1150.0</v>
      </c>
      <c r="M1094" s="33">
        <v>18826.0</v>
      </c>
      <c r="N1094" s="33">
        <v>14473.0</v>
      </c>
      <c r="O1094" s="33">
        <v>13273.0</v>
      </c>
      <c r="P1094" s="33">
        <v>1200.0</v>
      </c>
      <c r="Q1094" s="33">
        <v>4353.0</v>
      </c>
      <c r="R1094" s="34">
        <v>86.0352155</v>
      </c>
      <c r="S1094" s="34">
        <v>59.7207043</v>
      </c>
      <c r="T1094" s="34">
        <v>26.3145112</v>
      </c>
      <c r="U1094" s="34">
        <v>13.9647845</v>
      </c>
      <c r="V1094" s="34">
        <v>76.8777223</v>
      </c>
      <c r="W1094" s="34">
        <v>70.5035589</v>
      </c>
      <c r="X1094" s="34">
        <v>6.3741634</v>
      </c>
      <c r="Y1094" s="34">
        <v>23.1222777</v>
      </c>
    </row>
    <row r="1095" ht="15.0" customHeight="1">
      <c r="B1095" s="35">
        <v>1090.0</v>
      </c>
      <c r="C1095" s="36" t="s">
        <v>21</v>
      </c>
      <c r="D1095" s="41" t="s">
        <v>334</v>
      </c>
      <c r="E1095" s="41" t="s">
        <v>352</v>
      </c>
      <c r="F1095" s="41" t="s">
        <v>353</v>
      </c>
      <c r="G1095" s="42" t="s">
        <v>353</v>
      </c>
      <c r="H1095" s="37">
        <v>4566.0</v>
      </c>
      <c r="I1095" s="37">
        <v>4153.0</v>
      </c>
      <c r="J1095" s="37">
        <v>1901.0</v>
      </c>
      <c r="K1095" s="37">
        <v>2252.0</v>
      </c>
      <c r="L1095" s="37">
        <v>413.0</v>
      </c>
      <c r="M1095" s="37">
        <v>11607.0</v>
      </c>
      <c r="N1095" s="37">
        <v>8596.0</v>
      </c>
      <c r="O1095" s="37">
        <v>7522.0</v>
      </c>
      <c r="P1095" s="37">
        <v>1074.0</v>
      </c>
      <c r="Q1095" s="37">
        <v>3011.0</v>
      </c>
      <c r="R1095" s="38">
        <v>90.9548839</v>
      </c>
      <c r="S1095" s="38">
        <v>41.6338152</v>
      </c>
      <c r="T1095" s="38">
        <v>49.3210688</v>
      </c>
      <c r="U1095" s="38">
        <v>9.0451161</v>
      </c>
      <c r="V1095" s="38">
        <v>74.0587576</v>
      </c>
      <c r="W1095" s="38">
        <v>64.8057207</v>
      </c>
      <c r="X1095" s="38">
        <v>9.253037</v>
      </c>
      <c r="Y1095" s="38">
        <v>25.9412424</v>
      </c>
    </row>
    <row r="1096" ht="15.0" hidden="1" customHeight="1">
      <c r="B1096" s="30">
        <v>1091.0</v>
      </c>
      <c r="C1096" s="31" t="s">
        <v>21</v>
      </c>
      <c r="D1096" s="31" t="s">
        <v>334</v>
      </c>
      <c r="E1096" s="31" t="s">
        <v>352</v>
      </c>
      <c r="F1096" s="31" t="s">
        <v>353</v>
      </c>
      <c r="G1096" s="32" t="s">
        <v>15</v>
      </c>
      <c r="H1096" s="33">
        <v>2680.0</v>
      </c>
      <c r="I1096" s="33">
        <v>2579.0</v>
      </c>
      <c r="J1096" s="33">
        <v>1122.0</v>
      </c>
      <c r="K1096" s="33">
        <v>1457.0</v>
      </c>
      <c r="L1096" s="33">
        <v>101.0</v>
      </c>
      <c r="M1096" s="33">
        <v>3535.0</v>
      </c>
      <c r="N1096" s="33">
        <v>3403.0</v>
      </c>
      <c r="O1096" s="33">
        <v>2715.0</v>
      </c>
      <c r="P1096" s="33">
        <v>688.0</v>
      </c>
      <c r="Q1096" s="33">
        <v>132.0</v>
      </c>
      <c r="R1096" s="34">
        <v>96.2313433</v>
      </c>
      <c r="S1096" s="34">
        <v>41.8656716</v>
      </c>
      <c r="T1096" s="34">
        <v>54.3656716</v>
      </c>
      <c r="U1096" s="34">
        <v>3.7686567</v>
      </c>
      <c r="V1096" s="34">
        <v>96.2659123</v>
      </c>
      <c r="W1096" s="34">
        <v>76.8033946</v>
      </c>
      <c r="X1096" s="34">
        <v>19.4625177</v>
      </c>
      <c r="Y1096" s="34">
        <v>3.7340877</v>
      </c>
    </row>
    <row r="1097" ht="15.0" hidden="1" customHeight="1">
      <c r="B1097" s="30">
        <v>1092.0</v>
      </c>
      <c r="C1097" s="31" t="s">
        <v>21</v>
      </c>
      <c r="D1097" s="31" t="s">
        <v>334</v>
      </c>
      <c r="E1097" s="31" t="s">
        <v>352</v>
      </c>
      <c r="F1097" s="31" t="s">
        <v>353</v>
      </c>
      <c r="G1097" s="32" t="s">
        <v>16</v>
      </c>
      <c r="H1097" s="33">
        <v>1886.0</v>
      </c>
      <c r="I1097" s="33">
        <v>1574.0</v>
      </c>
      <c r="J1097" s="33">
        <v>779.0</v>
      </c>
      <c r="K1097" s="33">
        <v>795.0</v>
      </c>
      <c r="L1097" s="33">
        <v>312.0</v>
      </c>
      <c r="M1097" s="33">
        <v>8072.0</v>
      </c>
      <c r="N1097" s="33">
        <v>5193.0</v>
      </c>
      <c r="O1097" s="33">
        <v>4807.0</v>
      </c>
      <c r="P1097" s="33">
        <v>386.0</v>
      </c>
      <c r="Q1097" s="33">
        <v>2879.0</v>
      </c>
      <c r="R1097" s="34">
        <v>83.457052</v>
      </c>
      <c r="S1097" s="34">
        <v>41.3043478</v>
      </c>
      <c r="T1097" s="34">
        <v>42.1527041</v>
      </c>
      <c r="U1097" s="34">
        <v>16.542948</v>
      </c>
      <c r="V1097" s="34">
        <v>64.3334985</v>
      </c>
      <c r="W1097" s="34">
        <v>59.5515362</v>
      </c>
      <c r="X1097" s="34">
        <v>4.7819623</v>
      </c>
      <c r="Y1097" s="34">
        <v>35.6665015</v>
      </c>
    </row>
    <row r="1098" ht="15.0" customHeight="1">
      <c r="B1098" s="35">
        <v>1093.0</v>
      </c>
      <c r="C1098" s="36" t="s">
        <v>21</v>
      </c>
      <c r="D1098" s="41" t="s">
        <v>334</v>
      </c>
      <c r="E1098" s="41" t="s">
        <v>352</v>
      </c>
      <c r="F1098" s="41" t="s">
        <v>354</v>
      </c>
      <c r="G1098" s="42" t="s">
        <v>354</v>
      </c>
      <c r="H1098" s="37">
        <v>7182.0</v>
      </c>
      <c r="I1098" s="37">
        <v>6511.0</v>
      </c>
      <c r="J1098" s="37">
        <v>4453.0</v>
      </c>
      <c r="K1098" s="37">
        <v>2058.0</v>
      </c>
      <c r="L1098" s="37">
        <v>671.0</v>
      </c>
      <c r="M1098" s="37">
        <v>12970.0</v>
      </c>
      <c r="N1098" s="37">
        <v>11647.0</v>
      </c>
      <c r="O1098" s="37">
        <v>10092.0</v>
      </c>
      <c r="P1098" s="37">
        <v>1555.0</v>
      </c>
      <c r="Q1098" s="37">
        <v>1323.0</v>
      </c>
      <c r="R1098" s="38">
        <v>90.6571986</v>
      </c>
      <c r="S1098" s="38">
        <v>62.0022278</v>
      </c>
      <c r="T1098" s="38">
        <v>28.6549708</v>
      </c>
      <c r="U1098" s="38">
        <v>9.3428014</v>
      </c>
      <c r="V1098" s="38">
        <v>89.7995374</v>
      </c>
      <c r="W1098" s="38">
        <v>77.8103315</v>
      </c>
      <c r="X1098" s="38">
        <v>11.9892059</v>
      </c>
      <c r="Y1098" s="38">
        <v>10.2004626</v>
      </c>
    </row>
    <row r="1099" ht="15.0" hidden="1" customHeight="1">
      <c r="B1099" s="30">
        <v>1094.0</v>
      </c>
      <c r="C1099" s="31" t="s">
        <v>21</v>
      </c>
      <c r="D1099" s="31" t="s">
        <v>334</v>
      </c>
      <c r="E1099" s="31" t="s">
        <v>352</v>
      </c>
      <c r="F1099" s="31" t="s">
        <v>354</v>
      </c>
      <c r="G1099" s="32" t="s">
        <v>15</v>
      </c>
      <c r="H1099" s="33">
        <v>2138.0</v>
      </c>
      <c r="I1099" s="33">
        <v>2005.0</v>
      </c>
      <c r="J1099" s="33">
        <v>887.0</v>
      </c>
      <c r="K1099" s="33">
        <v>1118.0</v>
      </c>
      <c r="L1099" s="33">
        <v>133.0</v>
      </c>
      <c r="M1099" s="33">
        <v>4296.0</v>
      </c>
      <c r="N1099" s="33">
        <v>4091.0</v>
      </c>
      <c r="O1099" s="33">
        <v>3130.0</v>
      </c>
      <c r="P1099" s="33">
        <v>961.0</v>
      </c>
      <c r="Q1099" s="33">
        <v>205.0</v>
      </c>
      <c r="R1099" s="34">
        <v>93.7792329</v>
      </c>
      <c r="S1099" s="34">
        <v>41.4873714</v>
      </c>
      <c r="T1099" s="34">
        <v>52.2918616</v>
      </c>
      <c r="U1099" s="34">
        <v>6.2207671</v>
      </c>
      <c r="V1099" s="34">
        <v>95.2281192</v>
      </c>
      <c r="W1099" s="34">
        <v>72.858473</v>
      </c>
      <c r="X1099" s="34">
        <v>22.3696462</v>
      </c>
      <c r="Y1099" s="34">
        <v>4.7718808</v>
      </c>
    </row>
    <row r="1100" ht="15.0" hidden="1" customHeight="1">
      <c r="B1100" s="30">
        <v>1095.0</v>
      </c>
      <c r="C1100" s="31" t="s">
        <v>21</v>
      </c>
      <c r="D1100" s="31" t="s">
        <v>334</v>
      </c>
      <c r="E1100" s="31" t="s">
        <v>352</v>
      </c>
      <c r="F1100" s="31" t="s">
        <v>354</v>
      </c>
      <c r="G1100" s="32" t="s">
        <v>16</v>
      </c>
      <c r="H1100" s="33">
        <v>5044.0</v>
      </c>
      <c r="I1100" s="33">
        <v>4506.0</v>
      </c>
      <c r="J1100" s="33">
        <v>3566.0</v>
      </c>
      <c r="K1100" s="33">
        <v>940.0</v>
      </c>
      <c r="L1100" s="33">
        <v>538.0</v>
      </c>
      <c r="M1100" s="33">
        <v>8674.0</v>
      </c>
      <c r="N1100" s="33">
        <v>7556.0</v>
      </c>
      <c r="O1100" s="33">
        <v>6962.0</v>
      </c>
      <c r="P1100" s="33">
        <v>594.0</v>
      </c>
      <c r="Q1100" s="33">
        <v>1118.0</v>
      </c>
      <c r="R1100" s="34">
        <v>89.333862</v>
      </c>
      <c r="S1100" s="34">
        <v>70.6978588</v>
      </c>
      <c r="T1100" s="34">
        <v>18.6360032</v>
      </c>
      <c r="U1100" s="34">
        <v>10.666138</v>
      </c>
      <c r="V1100" s="34">
        <v>87.1109062</v>
      </c>
      <c r="W1100" s="34">
        <v>80.2628545</v>
      </c>
      <c r="X1100" s="34">
        <v>6.8480516</v>
      </c>
      <c r="Y1100" s="34">
        <v>12.8890938</v>
      </c>
    </row>
    <row r="1101" ht="15.0" customHeight="1">
      <c r="B1101" s="35">
        <v>1096.0</v>
      </c>
      <c r="C1101" s="36" t="s">
        <v>21</v>
      </c>
      <c r="D1101" s="41" t="s">
        <v>334</v>
      </c>
      <c r="E1101" s="41" t="s">
        <v>352</v>
      </c>
      <c r="F1101" s="41" t="s">
        <v>355</v>
      </c>
      <c r="G1101" s="42" t="s">
        <v>355</v>
      </c>
      <c r="H1101" s="37">
        <v>3747.0</v>
      </c>
      <c r="I1101" s="37">
        <v>3303.0</v>
      </c>
      <c r="J1101" s="37">
        <v>1858.0</v>
      </c>
      <c r="K1101" s="37">
        <v>1445.0</v>
      </c>
      <c r="L1101" s="37">
        <v>444.0</v>
      </c>
      <c r="M1101" s="37">
        <v>5348.0</v>
      </c>
      <c r="N1101" s="37">
        <v>4883.0</v>
      </c>
      <c r="O1101" s="37">
        <v>4177.0</v>
      </c>
      <c r="P1101" s="37">
        <v>706.0</v>
      </c>
      <c r="Q1101" s="37">
        <v>465.0</v>
      </c>
      <c r="R1101" s="38">
        <v>88.1505204</v>
      </c>
      <c r="S1101" s="38">
        <v>49.5863357</v>
      </c>
      <c r="T1101" s="38">
        <v>38.5641847</v>
      </c>
      <c r="U1101" s="38">
        <v>11.8494796</v>
      </c>
      <c r="V1101" s="38">
        <v>91.3051608</v>
      </c>
      <c r="W1101" s="38">
        <v>78.1039641</v>
      </c>
      <c r="X1101" s="38">
        <v>13.2011967</v>
      </c>
      <c r="Y1101" s="38">
        <v>8.6948392</v>
      </c>
    </row>
    <row r="1102" ht="15.0" hidden="1" customHeight="1">
      <c r="B1102" s="30">
        <v>1097.0</v>
      </c>
      <c r="C1102" s="31" t="s">
        <v>21</v>
      </c>
      <c r="D1102" s="31" t="s">
        <v>334</v>
      </c>
      <c r="E1102" s="31" t="s">
        <v>352</v>
      </c>
      <c r="F1102" s="31" t="s">
        <v>355</v>
      </c>
      <c r="G1102" s="32" t="s">
        <v>15</v>
      </c>
      <c r="H1102" s="33">
        <v>2442.0</v>
      </c>
      <c r="I1102" s="33">
        <v>2298.0</v>
      </c>
      <c r="J1102" s="33">
        <v>1285.0</v>
      </c>
      <c r="K1102" s="33">
        <v>1013.0</v>
      </c>
      <c r="L1102" s="33">
        <v>144.0</v>
      </c>
      <c r="M1102" s="33">
        <v>3268.0</v>
      </c>
      <c r="N1102" s="33">
        <v>3159.0</v>
      </c>
      <c r="O1102" s="33">
        <v>2673.0</v>
      </c>
      <c r="P1102" s="33">
        <v>486.0</v>
      </c>
      <c r="Q1102" s="33">
        <v>109.0</v>
      </c>
      <c r="R1102" s="34">
        <v>94.1031941</v>
      </c>
      <c r="S1102" s="34">
        <v>52.6208026</v>
      </c>
      <c r="T1102" s="34">
        <v>41.4823915</v>
      </c>
      <c r="U1102" s="34">
        <v>5.8968059</v>
      </c>
      <c r="V1102" s="34">
        <v>96.6646267</v>
      </c>
      <c r="W1102" s="34">
        <v>81.7931457</v>
      </c>
      <c r="X1102" s="34">
        <v>14.871481</v>
      </c>
      <c r="Y1102" s="34">
        <v>3.3353733</v>
      </c>
    </row>
    <row r="1103" ht="15.0" hidden="1" customHeight="1">
      <c r="B1103" s="30">
        <v>1098.0</v>
      </c>
      <c r="C1103" s="31" t="s">
        <v>21</v>
      </c>
      <c r="D1103" s="31" t="s">
        <v>334</v>
      </c>
      <c r="E1103" s="31" t="s">
        <v>352</v>
      </c>
      <c r="F1103" s="31" t="s">
        <v>355</v>
      </c>
      <c r="G1103" s="32" t="s">
        <v>16</v>
      </c>
      <c r="H1103" s="33">
        <v>1305.0</v>
      </c>
      <c r="I1103" s="33">
        <v>1005.0</v>
      </c>
      <c r="J1103" s="33">
        <v>573.0</v>
      </c>
      <c r="K1103" s="33">
        <v>432.0</v>
      </c>
      <c r="L1103" s="33">
        <v>300.0</v>
      </c>
      <c r="M1103" s="33">
        <v>2080.0</v>
      </c>
      <c r="N1103" s="33">
        <v>1724.0</v>
      </c>
      <c r="O1103" s="33">
        <v>1504.0</v>
      </c>
      <c r="P1103" s="33">
        <v>220.0</v>
      </c>
      <c r="Q1103" s="33">
        <v>356.0</v>
      </c>
      <c r="R1103" s="34">
        <v>77.0114943</v>
      </c>
      <c r="S1103" s="34">
        <v>43.908046</v>
      </c>
      <c r="T1103" s="34">
        <v>33.1034483</v>
      </c>
      <c r="U1103" s="34">
        <v>22.9885057</v>
      </c>
      <c r="V1103" s="34">
        <v>82.8846154</v>
      </c>
      <c r="W1103" s="34">
        <v>72.3076923</v>
      </c>
      <c r="X1103" s="34">
        <v>10.5769231</v>
      </c>
      <c r="Y1103" s="34">
        <v>17.1153846</v>
      </c>
    </row>
    <row r="1104" ht="15.0" hidden="1" customHeight="1">
      <c r="B1104" s="26">
        <v>1099.0</v>
      </c>
      <c r="C1104" s="27" t="s">
        <v>19</v>
      </c>
      <c r="D1104" s="40" t="s">
        <v>334</v>
      </c>
      <c r="E1104" s="40" t="s">
        <v>356</v>
      </c>
      <c r="F1104" s="40"/>
      <c r="G1104" s="27" t="s">
        <v>356</v>
      </c>
      <c r="H1104" s="28">
        <v>10451.0</v>
      </c>
      <c r="I1104" s="28">
        <v>8061.0</v>
      </c>
      <c r="J1104" s="28">
        <v>3485.0</v>
      </c>
      <c r="K1104" s="28">
        <v>4576.0</v>
      </c>
      <c r="L1104" s="28">
        <v>2390.0</v>
      </c>
      <c r="M1104" s="28">
        <v>12935.0</v>
      </c>
      <c r="N1104" s="28">
        <v>11561.0</v>
      </c>
      <c r="O1104" s="28">
        <v>9994.0</v>
      </c>
      <c r="P1104" s="28">
        <v>1567.0</v>
      </c>
      <c r="Q1104" s="28">
        <v>1374.0</v>
      </c>
      <c r="R1104" s="29">
        <v>77.131375</v>
      </c>
      <c r="S1104" s="29">
        <v>33.3460913</v>
      </c>
      <c r="T1104" s="29">
        <v>43.7852837</v>
      </c>
      <c r="U1104" s="29">
        <v>22.868625</v>
      </c>
      <c r="V1104" s="29">
        <v>89.3776575</v>
      </c>
      <c r="W1104" s="29">
        <v>77.2632393</v>
      </c>
      <c r="X1104" s="29">
        <v>12.1144182</v>
      </c>
      <c r="Y1104" s="29">
        <v>10.6223425</v>
      </c>
    </row>
    <row r="1105" ht="15.0" hidden="1" customHeight="1">
      <c r="B1105" s="30">
        <v>1100.0</v>
      </c>
      <c r="C1105" s="31" t="s">
        <v>19</v>
      </c>
      <c r="D1105" s="31" t="s">
        <v>334</v>
      </c>
      <c r="E1105" s="31" t="s">
        <v>356</v>
      </c>
      <c r="F1105" s="31"/>
      <c r="G1105" s="32" t="s">
        <v>15</v>
      </c>
      <c r="H1105" s="33">
        <v>5404.0</v>
      </c>
      <c r="I1105" s="33">
        <v>4965.0</v>
      </c>
      <c r="J1105" s="33">
        <v>2173.0</v>
      </c>
      <c r="K1105" s="33">
        <v>2792.0</v>
      </c>
      <c r="L1105" s="33">
        <v>439.0</v>
      </c>
      <c r="M1105" s="33">
        <v>6698.0</v>
      </c>
      <c r="N1105" s="33">
        <v>6530.0</v>
      </c>
      <c r="O1105" s="33">
        <v>5447.0</v>
      </c>
      <c r="P1105" s="33">
        <v>1083.0</v>
      </c>
      <c r="Q1105" s="33">
        <v>168.0</v>
      </c>
      <c r="R1105" s="34">
        <v>91.8763879</v>
      </c>
      <c r="S1105" s="34">
        <v>40.2109548</v>
      </c>
      <c r="T1105" s="34">
        <v>51.665433</v>
      </c>
      <c r="U1105" s="34">
        <v>8.1236121</v>
      </c>
      <c r="V1105" s="34">
        <v>97.4917886</v>
      </c>
      <c r="W1105" s="34">
        <v>81.3227829</v>
      </c>
      <c r="X1105" s="34">
        <v>16.1690057</v>
      </c>
      <c r="Y1105" s="34">
        <v>2.5082114</v>
      </c>
    </row>
    <row r="1106" ht="15.0" hidden="1" customHeight="1">
      <c r="B1106" s="30">
        <v>1101.0</v>
      </c>
      <c r="C1106" s="31" t="s">
        <v>19</v>
      </c>
      <c r="D1106" s="31" t="s">
        <v>334</v>
      </c>
      <c r="E1106" s="31" t="s">
        <v>356</v>
      </c>
      <c r="F1106" s="31"/>
      <c r="G1106" s="32" t="s">
        <v>16</v>
      </c>
      <c r="H1106" s="33">
        <v>5047.0</v>
      </c>
      <c r="I1106" s="33">
        <v>3096.0</v>
      </c>
      <c r="J1106" s="33">
        <v>1312.0</v>
      </c>
      <c r="K1106" s="33">
        <v>1784.0</v>
      </c>
      <c r="L1106" s="33">
        <v>1951.0</v>
      </c>
      <c r="M1106" s="33">
        <v>6237.0</v>
      </c>
      <c r="N1106" s="33">
        <v>5031.0</v>
      </c>
      <c r="O1106" s="33">
        <v>4547.0</v>
      </c>
      <c r="P1106" s="33">
        <v>484.0</v>
      </c>
      <c r="Q1106" s="33">
        <v>1206.0</v>
      </c>
      <c r="R1106" s="34">
        <v>61.3433723</v>
      </c>
      <c r="S1106" s="34">
        <v>25.995641</v>
      </c>
      <c r="T1106" s="34">
        <v>35.3477313</v>
      </c>
      <c r="U1106" s="34">
        <v>38.6566277</v>
      </c>
      <c r="V1106" s="34">
        <v>80.6637807</v>
      </c>
      <c r="W1106" s="34">
        <v>72.9036396</v>
      </c>
      <c r="X1106" s="34">
        <v>7.7601411</v>
      </c>
      <c r="Y1106" s="34">
        <v>19.3362193</v>
      </c>
    </row>
    <row r="1107" ht="15.0" customHeight="1">
      <c r="B1107" s="35">
        <v>1102.0</v>
      </c>
      <c r="C1107" s="36" t="s">
        <v>21</v>
      </c>
      <c r="D1107" s="41" t="s">
        <v>334</v>
      </c>
      <c r="E1107" s="41" t="s">
        <v>356</v>
      </c>
      <c r="F1107" s="41" t="s">
        <v>357</v>
      </c>
      <c r="G1107" s="42" t="s">
        <v>357</v>
      </c>
      <c r="H1107" s="37">
        <v>4119.0</v>
      </c>
      <c r="I1107" s="37">
        <v>3632.0</v>
      </c>
      <c r="J1107" s="37">
        <v>1619.0</v>
      </c>
      <c r="K1107" s="37">
        <v>2013.0</v>
      </c>
      <c r="L1107" s="37">
        <v>487.0</v>
      </c>
      <c r="M1107" s="37">
        <v>5445.0</v>
      </c>
      <c r="N1107" s="37">
        <v>5272.0</v>
      </c>
      <c r="O1107" s="37">
        <v>4403.0</v>
      </c>
      <c r="P1107" s="37">
        <v>869.0</v>
      </c>
      <c r="Q1107" s="37">
        <v>173.0</v>
      </c>
      <c r="R1107" s="38">
        <v>88.1767419</v>
      </c>
      <c r="S1107" s="38">
        <v>39.3056567</v>
      </c>
      <c r="T1107" s="38">
        <v>48.8710852</v>
      </c>
      <c r="U1107" s="38">
        <v>11.8232581</v>
      </c>
      <c r="V1107" s="38">
        <v>96.8227732</v>
      </c>
      <c r="W1107" s="38">
        <v>80.8631772</v>
      </c>
      <c r="X1107" s="38">
        <v>15.959596</v>
      </c>
      <c r="Y1107" s="38">
        <v>3.1772268</v>
      </c>
    </row>
    <row r="1108" ht="15.0" hidden="1" customHeight="1">
      <c r="B1108" s="30">
        <v>1103.0</v>
      </c>
      <c r="C1108" s="31" t="s">
        <v>21</v>
      </c>
      <c r="D1108" s="31" t="s">
        <v>334</v>
      </c>
      <c r="E1108" s="31" t="s">
        <v>356</v>
      </c>
      <c r="F1108" s="31" t="s">
        <v>357</v>
      </c>
      <c r="G1108" s="32" t="s">
        <v>15</v>
      </c>
      <c r="H1108" s="33">
        <v>3189.0</v>
      </c>
      <c r="I1108" s="33">
        <v>2963.0</v>
      </c>
      <c r="J1108" s="33">
        <v>1261.0</v>
      </c>
      <c r="K1108" s="33">
        <v>1702.0</v>
      </c>
      <c r="L1108" s="33">
        <v>226.0</v>
      </c>
      <c r="M1108" s="33">
        <v>4186.0</v>
      </c>
      <c r="N1108" s="33">
        <v>4135.0</v>
      </c>
      <c r="O1108" s="33">
        <v>3473.0</v>
      </c>
      <c r="P1108" s="33">
        <v>662.0</v>
      </c>
      <c r="Q1108" s="33">
        <v>51.0</v>
      </c>
      <c r="R1108" s="34">
        <v>92.9131389</v>
      </c>
      <c r="S1108" s="34">
        <v>39.5421762</v>
      </c>
      <c r="T1108" s="34">
        <v>53.3709627</v>
      </c>
      <c r="U1108" s="34">
        <v>7.0868611</v>
      </c>
      <c r="V1108" s="34">
        <v>98.7816531</v>
      </c>
      <c r="W1108" s="34">
        <v>82.967033</v>
      </c>
      <c r="X1108" s="34">
        <v>15.8146202</v>
      </c>
      <c r="Y1108" s="34">
        <v>1.2183469</v>
      </c>
    </row>
    <row r="1109" ht="15.0" hidden="1" customHeight="1">
      <c r="B1109" s="30">
        <v>1104.0</v>
      </c>
      <c r="C1109" s="31" t="s">
        <v>21</v>
      </c>
      <c r="D1109" s="31" t="s">
        <v>334</v>
      </c>
      <c r="E1109" s="31" t="s">
        <v>356</v>
      </c>
      <c r="F1109" s="31" t="s">
        <v>357</v>
      </c>
      <c r="G1109" s="32" t="s">
        <v>16</v>
      </c>
      <c r="H1109" s="33">
        <v>930.0</v>
      </c>
      <c r="I1109" s="33">
        <v>669.0</v>
      </c>
      <c r="J1109" s="33">
        <v>358.0</v>
      </c>
      <c r="K1109" s="33">
        <v>311.0</v>
      </c>
      <c r="L1109" s="33">
        <v>261.0</v>
      </c>
      <c r="M1109" s="33">
        <v>1259.0</v>
      </c>
      <c r="N1109" s="33">
        <v>1137.0</v>
      </c>
      <c r="O1109" s="33">
        <v>930.0</v>
      </c>
      <c r="P1109" s="33">
        <v>207.0</v>
      </c>
      <c r="Q1109" s="33">
        <v>122.0</v>
      </c>
      <c r="R1109" s="34">
        <v>71.9354839</v>
      </c>
      <c r="S1109" s="34">
        <v>38.4946237</v>
      </c>
      <c r="T1109" s="34">
        <v>33.4408602</v>
      </c>
      <c r="U1109" s="34">
        <v>28.0645161</v>
      </c>
      <c r="V1109" s="34">
        <v>90.3097697</v>
      </c>
      <c r="W1109" s="34">
        <v>73.8681493</v>
      </c>
      <c r="X1109" s="34">
        <v>16.4416203</v>
      </c>
      <c r="Y1109" s="34">
        <v>9.6902303</v>
      </c>
    </row>
    <row r="1110" ht="15.0" customHeight="1">
      <c r="B1110" s="35">
        <v>1105.0</v>
      </c>
      <c r="C1110" s="36" t="s">
        <v>21</v>
      </c>
      <c r="D1110" s="41" t="s">
        <v>334</v>
      </c>
      <c r="E1110" s="41" t="s">
        <v>356</v>
      </c>
      <c r="F1110" s="41" t="s">
        <v>358</v>
      </c>
      <c r="G1110" s="42" t="s">
        <v>358</v>
      </c>
      <c r="H1110" s="37">
        <v>4978.0</v>
      </c>
      <c r="I1110" s="37">
        <v>3276.0</v>
      </c>
      <c r="J1110" s="37">
        <v>1181.0</v>
      </c>
      <c r="K1110" s="37">
        <v>2095.0</v>
      </c>
      <c r="L1110" s="37">
        <v>1702.0</v>
      </c>
      <c r="M1110" s="37">
        <v>5957.0</v>
      </c>
      <c r="N1110" s="37">
        <v>4869.0</v>
      </c>
      <c r="O1110" s="37">
        <v>4439.0</v>
      </c>
      <c r="P1110" s="37">
        <v>430.0</v>
      </c>
      <c r="Q1110" s="37">
        <v>1088.0</v>
      </c>
      <c r="R1110" s="38">
        <v>65.8095621</v>
      </c>
      <c r="S1110" s="38">
        <v>23.7243873</v>
      </c>
      <c r="T1110" s="38">
        <v>42.0851748</v>
      </c>
      <c r="U1110" s="38">
        <v>34.1904379</v>
      </c>
      <c r="V1110" s="38">
        <v>81.735773</v>
      </c>
      <c r="W1110" s="38">
        <v>74.5173745</v>
      </c>
      <c r="X1110" s="38">
        <v>7.2183985</v>
      </c>
      <c r="Y1110" s="38">
        <v>18.264227</v>
      </c>
    </row>
    <row r="1111" ht="15.0" hidden="1" customHeight="1">
      <c r="B1111" s="30">
        <v>1106.0</v>
      </c>
      <c r="C1111" s="31" t="s">
        <v>21</v>
      </c>
      <c r="D1111" s="31" t="s">
        <v>334</v>
      </c>
      <c r="E1111" s="31" t="s">
        <v>356</v>
      </c>
      <c r="F1111" s="31" t="s">
        <v>358</v>
      </c>
      <c r="G1111" s="32" t="s">
        <v>15</v>
      </c>
      <c r="H1111" s="33">
        <v>1164.0</v>
      </c>
      <c r="I1111" s="33">
        <v>1058.0</v>
      </c>
      <c r="J1111" s="33">
        <v>340.0</v>
      </c>
      <c r="K1111" s="33">
        <v>718.0</v>
      </c>
      <c r="L1111" s="33">
        <v>106.0</v>
      </c>
      <c r="M1111" s="33">
        <v>1288.0</v>
      </c>
      <c r="N1111" s="33">
        <v>1230.0</v>
      </c>
      <c r="O1111" s="33">
        <v>1048.0</v>
      </c>
      <c r="P1111" s="33">
        <v>182.0</v>
      </c>
      <c r="Q1111" s="33">
        <v>58.0</v>
      </c>
      <c r="R1111" s="34">
        <v>90.8934708</v>
      </c>
      <c r="S1111" s="34">
        <v>29.209622</v>
      </c>
      <c r="T1111" s="34">
        <v>61.6838488</v>
      </c>
      <c r="U1111" s="34">
        <v>9.1065292</v>
      </c>
      <c r="V1111" s="34">
        <v>95.4968944</v>
      </c>
      <c r="W1111" s="34">
        <v>81.3664596</v>
      </c>
      <c r="X1111" s="34">
        <v>14.1304348</v>
      </c>
      <c r="Y1111" s="34">
        <v>4.5031056</v>
      </c>
    </row>
    <row r="1112" ht="15.0" hidden="1" customHeight="1">
      <c r="B1112" s="30">
        <v>1107.0</v>
      </c>
      <c r="C1112" s="31" t="s">
        <v>21</v>
      </c>
      <c r="D1112" s="31" t="s">
        <v>334</v>
      </c>
      <c r="E1112" s="31" t="s">
        <v>356</v>
      </c>
      <c r="F1112" s="31" t="s">
        <v>358</v>
      </c>
      <c r="G1112" s="32" t="s">
        <v>16</v>
      </c>
      <c r="H1112" s="33">
        <v>3814.0</v>
      </c>
      <c r="I1112" s="33">
        <v>2218.0</v>
      </c>
      <c r="J1112" s="33">
        <v>841.0</v>
      </c>
      <c r="K1112" s="33">
        <v>1377.0</v>
      </c>
      <c r="L1112" s="33">
        <v>1596.0</v>
      </c>
      <c r="M1112" s="33">
        <v>4669.0</v>
      </c>
      <c r="N1112" s="33">
        <v>3639.0</v>
      </c>
      <c r="O1112" s="33">
        <v>3391.0</v>
      </c>
      <c r="P1112" s="33">
        <v>248.0</v>
      </c>
      <c r="Q1112" s="33">
        <v>1030.0</v>
      </c>
      <c r="R1112" s="34">
        <v>58.1541689</v>
      </c>
      <c r="S1112" s="34">
        <v>22.0503408</v>
      </c>
      <c r="T1112" s="34">
        <v>36.103828</v>
      </c>
      <c r="U1112" s="34">
        <v>41.8458311</v>
      </c>
      <c r="V1112" s="34">
        <v>77.9396016</v>
      </c>
      <c r="W1112" s="34">
        <v>72.6279717</v>
      </c>
      <c r="X1112" s="34">
        <v>5.3116299</v>
      </c>
      <c r="Y1112" s="34">
        <v>22.0603984</v>
      </c>
    </row>
    <row r="1113" ht="15.0" customHeight="1">
      <c r="B1113" s="35">
        <v>1108.0</v>
      </c>
      <c r="C1113" s="36" t="s">
        <v>21</v>
      </c>
      <c r="D1113" s="41" t="s">
        <v>334</v>
      </c>
      <c r="E1113" s="41" t="s">
        <v>356</v>
      </c>
      <c r="F1113" s="41" t="s">
        <v>359</v>
      </c>
      <c r="G1113" s="42" t="s">
        <v>359</v>
      </c>
      <c r="H1113" s="37">
        <v>1354.0</v>
      </c>
      <c r="I1113" s="37">
        <v>1153.0</v>
      </c>
      <c r="J1113" s="37">
        <v>685.0</v>
      </c>
      <c r="K1113" s="37">
        <v>468.0</v>
      </c>
      <c r="L1113" s="37">
        <v>201.0</v>
      </c>
      <c r="M1113" s="37">
        <v>1533.0</v>
      </c>
      <c r="N1113" s="37">
        <v>1420.0</v>
      </c>
      <c r="O1113" s="37">
        <v>1152.0</v>
      </c>
      <c r="P1113" s="37">
        <v>268.0</v>
      </c>
      <c r="Q1113" s="37">
        <v>113.0</v>
      </c>
      <c r="R1113" s="38">
        <v>85.155096</v>
      </c>
      <c r="S1113" s="38">
        <v>50.5908419</v>
      </c>
      <c r="T1113" s="38">
        <v>34.5642541</v>
      </c>
      <c r="U1113" s="38">
        <v>14.844904</v>
      </c>
      <c r="V1113" s="38">
        <v>92.6288324</v>
      </c>
      <c r="W1113" s="38">
        <v>75.146771</v>
      </c>
      <c r="X1113" s="38">
        <v>17.4820613</v>
      </c>
      <c r="Y1113" s="38">
        <v>7.3711676</v>
      </c>
    </row>
    <row r="1114" ht="15.0" hidden="1" customHeight="1">
      <c r="B1114" s="30">
        <v>1109.0</v>
      </c>
      <c r="C1114" s="31" t="s">
        <v>21</v>
      </c>
      <c r="D1114" s="31" t="s">
        <v>334</v>
      </c>
      <c r="E1114" s="31" t="s">
        <v>356</v>
      </c>
      <c r="F1114" s="31" t="s">
        <v>359</v>
      </c>
      <c r="G1114" s="32" t="s">
        <v>15</v>
      </c>
      <c r="H1114" s="33">
        <v>1051.0</v>
      </c>
      <c r="I1114" s="33">
        <v>944.0</v>
      </c>
      <c r="J1114" s="33">
        <v>572.0</v>
      </c>
      <c r="K1114" s="33">
        <v>372.0</v>
      </c>
      <c r="L1114" s="33">
        <v>107.0</v>
      </c>
      <c r="M1114" s="33">
        <v>1224.0</v>
      </c>
      <c r="N1114" s="33">
        <v>1165.0</v>
      </c>
      <c r="O1114" s="33">
        <v>926.0</v>
      </c>
      <c r="P1114" s="33">
        <v>239.0</v>
      </c>
      <c r="Q1114" s="33">
        <v>59.0</v>
      </c>
      <c r="R1114" s="34">
        <v>89.8192198</v>
      </c>
      <c r="S1114" s="34">
        <v>54.4243578</v>
      </c>
      <c r="T1114" s="34">
        <v>35.394862</v>
      </c>
      <c r="U1114" s="34">
        <v>10.1807802</v>
      </c>
      <c r="V1114" s="34">
        <v>95.1797386</v>
      </c>
      <c r="W1114" s="34">
        <v>75.6535948</v>
      </c>
      <c r="X1114" s="34">
        <v>19.5261438</v>
      </c>
      <c r="Y1114" s="34">
        <v>4.8202614</v>
      </c>
    </row>
    <row r="1115" ht="15.0" hidden="1" customHeight="1">
      <c r="B1115" s="30">
        <v>1110.0</v>
      </c>
      <c r="C1115" s="31" t="s">
        <v>21</v>
      </c>
      <c r="D1115" s="31" t="s">
        <v>334</v>
      </c>
      <c r="E1115" s="31" t="s">
        <v>356</v>
      </c>
      <c r="F1115" s="31" t="s">
        <v>359</v>
      </c>
      <c r="G1115" s="32" t="s">
        <v>16</v>
      </c>
      <c r="H1115" s="33">
        <v>303.0</v>
      </c>
      <c r="I1115" s="33">
        <v>209.0</v>
      </c>
      <c r="J1115" s="33">
        <v>113.0</v>
      </c>
      <c r="K1115" s="33">
        <v>96.0</v>
      </c>
      <c r="L1115" s="33">
        <v>94.0</v>
      </c>
      <c r="M1115" s="33">
        <v>309.0</v>
      </c>
      <c r="N1115" s="33">
        <v>255.0</v>
      </c>
      <c r="O1115" s="33">
        <v>226.0</v>
      </c>
      <c r="P1115" s="33">
        <v>29.0</v>
      </c>
      <c r="Q1115" s="33">
        <v>54.0</v>
      </c>
      <c r="R1115" s="34">
        <v>68.9768977</v>
      </c>
      <c r="S1115" s="34">
        <v>37.2937294</v>
      </c>
      <c r="T1115" s="34">
        <v>31.6831683</v>
      </c>
      <c r="U1115" s="34">
        <v>31.0231023</v>
      </c>
      <c r="V1115" s="34">
        <v>82.5242718</v>
      </c>
      <c r="W1115" s="34">
        <v>73.1391586</v>
      </c>
      <c r="X1115" s="34">
        <v>9.3851133</v>
      </c>
      <c r="Y1115" s="34">
        <v>17.4757282</v>
      </c>
    </row>
    <row r="1116" ht="15.0" hidden="1" customHeight="1">
      <c r="B1116" s="26">
        <v>1111.0</v>
      </c>
      <c r="C1116" s="27" t="s">
        <v>19</v>
      </c>
      <c r="D1116" s="40" t="s">
        <v>334</v>
      </c>
      <c r="E1116" s="40" t="s">
        <v>360</v>
      </c>
      <c r="F1116" s="40"/>
      <c r="G1116" s="27" t="s">
        <v>360</v>
      </c>
      <c r="H1116" s="28">
        <v>25882.0</v>
      </c>
      <c r="I1116" s="28">
        <v>19666.0</v>
      </c>
      <c r="J1116" s="28">
        <v>10885.0</v>
      </c>
      <c r="K1116" s="28">
        <v>8781.0</v>
      </c>
      <c r="L1116" s="28">
        <v>6216.0</v>
      </c>
      <c r="M1116" s="28">
        <v>34985.0</v>
      </c>
      <c r="N1116" s="28">
        <v>30190.0</v>
      </c>
      <c r="O1116" s="28">
        <v>25639.0</v>
      </c>
      <c r="P1116" s="28">
        <v>4551.0</v>
      </c>
      <c r="Q1116" s="28">
        <v>4795.0</v>
      </c>
      <c r="R1116" s="29">
        <v>75.9833089</v>
      </c>
      <c r="S1116" s="29">
        <v>42.0562553</v>
      </c>
      <c r="T1116" s="29">
        <v>33.9270536</v>
      </c>
      <c r="U1116" s="29">
        <v>24.0166911</v>
      </c>
      <c r="V1116" s="29">
        <v>86.2941261</v>
      </c>
      <c r="W1116" s="29">
        <v>73.2856939</v>
      </c>
      <c r="X1116" s="29">
        <v>13.0084322</v>
      </c>
      <c r="Y1116" s="29">
        <v>13.7058739</v>
      </c>
    </row>
    <row r="1117" ht="15.0" hidden="1" customHeight="1">
      <c r="B1117" s="30">
        <v>1112.0</v>
      </c>
      <c r="C1117" s="31" t="s">
        <v>19</v>
      </c>
      <c r="D1117" s="31" t="s">
        <v>334</v>
      </c>
      <c r="E1117" s="31" t="s">
        <v>360</v>
      </c>
      <c r="F1117" s="31"/>
      <c r="G1117" s="32" t="s">
        <v>15</v>
      </c>
      <c r="H1117" s="33">
        <v>10425.0</v>
      </c>
      <c r="I1117" s="33">
        <v>9853.0</v>
      </c>
      <c r="J1117" s="33">
        <v>5156.0</v>
      </c>
      <c r="K1117" s="33">
        <v>4697.0</v>
      </c>
      <c r="L1117" s="33">
        <v>572.0</v>
      </c>
      <c r="M1117" s="33">
        <v>12872.0</v>
      </c>
      <c r="N1117" s="33">
        <v>12523.0</v>
      </c>
      <c r="O1117" s="33">
        <v>10338.0</v>
      </c>
      <c r="P1117" s="33">
        <v>2185.0</v>
      </c>
      <c r="Q1117" s="33">
        <v>349.0</v>
      </c>
      <c r="R1117" s="34">
        <v>94.5131894</v>
      </c>
      <c r="S1117" s="34">
        <v>49.4580336</v>
      </c>
      <c r="T1117" s="34">
        <v>45.0551559</v>
      </c>
      <c r="U1117" s="34">
        <v>5.4868106</v>
      </c>
      <c r="V1117" s="34">
        <v>97.2886886</v>
      </c>
      <c r="W1117" s="34">
        <v>80.3138595</v>
      </c>
      <c r="X1117" s="34">
        <v>16.9748291</v>
      </c>
      <c r="Y1117" s="34">
        <v>2.7113114</v>
      </c>
    </row>
    <row r="1118" ht="15.0" hidden="1" customHeight="1">
      <c r="B1118" s="30">
        <v>1113.0</v>
      </c>
      <c r="C1118" s="31" t="s">
        <v>19</v>
      </c>
      <c r="D1118" s="31" t="s">
        <v>334</v>
      </c>
      <c r="E1118" s="31" t="s">
        <v>360</v>
      </c>
      <c r="F1118" s="31"/>
      <c r="G1118" s="32" t="s">
        <v>16</v>
      </c>
      <c r="H1118" s="33">
        <v>15457.0</v>
      </c>
      <c r="I1118" s="33">
        <v>9813.0</v>
      </c>
      <c r="J1118" s="33">
        <v>5729.0</v>
      </c>
      <c r="K1118" s="33">
        <v>4084.0</v>
      </c>
      <c r="L1118" s="33">
        <v>5644.0</v>
      </c>
      <c r="M1118" s="33">
        <v>22113.0</v>
      </c>
      <c r="N1118" s="33">
        <v>17667.0</v>
      </c>
      <c r="O1118" s="33">
        <v>15301.0</v>
      </c>
      <c r="P1118" s="33">
        <v>2366.0</v>
      </c>
      <c r="Q1118" s="33">
        <v>4446.0</v>
      </c>
      <c r="R1118" s="34">
        <v>63.4857993</v>
      </c>
      <c r="S1118" s="34">
        <v>37.0641133</v>
      </c>
      <c r="T1118" s="34">
        <v>26.421686</v>
      </c>
      <c r="U1118" s="34">
        <v>36.5142007</v>
      </c>
      <c r="V1118" s="34">
        <v>79.8941799</v>
      </c>
      <c r="W1118" s="34">
        <v>69.1945914</v>
      </c>
      <c r="X1118" s="34">
        <v>10.6995885</v>
      </c>
      <c r="Y1118" s="34">
        <v>20.1058201</v>
      </c>
    </row>
    <row r="1119" ht="15.0" customHeight="1">
      <c r="B1119" s="35">
        <v>1114.0</v>
      </c>
      <c r="C1119" s="36" t="s">
        <v>21</v>
      </c>
      <c r="D1119" s="41" t="s">
        <v>334</v>
      </c>
      <c r="E1119" s="41" t="s">
        <v>360</v>
      </c>
      <c r="F1119" s="41" t="s">
        <v>361</v>
      </c>
      <c r="G1119" s="42" t="s">
        <v>361</v>
      </c>
      <c r="H1119" s="37">
        <v>1071.0</v>
      </c>
      <c r="I1119" s="37">
        <v>621.0</v>
      </c>
      <c r="J1119" s="37">
        <v>451.0</v>
      </c>
      <c r="K1119" s="37">
        <v>170.0</v>
      </c>
      <c r="L1119" s="37">
        <v>450.0</v>
      </c>
      <c r="M1119" s="37">
        <v>1569.0</v>
      </c>
      <c r="N1119" s="37">
        <v>1344.0</v>
      </c>
      <c r="O1119" s="37">
        <v>1173.0</v>
      </c>
      <c r="P1119" s="37">
        <v>171.0</v>
      </c>
      <c r="Q1119" s="37">
        <v>225.0</v>
      </c>
      <c r="R1119" s="38">
        <v>57.9831933</v>
      </c>
      <c r="S1119" s="38">
        <v>42.1101774</v>
      </c>
      <c r="T1119" s="38">
        <v>15.8730159</v>
      </c>
      <c r="U1119" s="38">
        <v>42.0168067</v>
      </c>
      <c r="V1119" s="38">
        <v>85.6596558</v>
      </c>
      <c r="W1119" s="38">
        <v>74.7609943</v>
      </c>
      <c r="X1119" s="38">
        <v>10.8986616</v>
      </c>
      <c r="Y1119" s="38">
        <v>14.3403442</v>
      </c>
    </row>
    <row r="1120" ht="15.0" hidden="1" customHeight="1">
      <c r="B1120" s="30">
        <v>1115.0</v>
      </c>
      <c r="C1120" s="31" t="s">
        <v>21</v>
      </c>
      <c r="D1120" s="31" t="s">
        <v>334</v>
      </c>
      <c r="E1120" s="31" t="s">
        <v>360</v>
      </c>
      <c r="F1120" s="31" t="s">
        <v>361</v>
      </c>
      <c r="G1120" s="32" t="s">
        <v>15</v>
      </c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4"/>
      <c r="S1120" s="34"/>
      <c r="T1120" s="34"/>
      <c r="U1120" s="34"/>
      <c r="V1120" s="34"/>
      <c r="W1120" s="34"/>
      <c r="X1120" s="34"/>
      <c r="Y1120" s="34"/>
    </row>
    <row r="1121" ht="15.0" hidden="1" customHeight="1">
      <c r="B1121" s="30">
        <v>1116.0</v>
      </c>
      <c r="C1121" s="31" t="s">
        <v>21</v>
      </c>
      <c r="D1121" s="31" t="s">
        <v>334</v>
      </c>
      <c r="E1121" s="31" t="s">
        <v>360</v>
      </c>
      <c r="F1121" s="31" t="s">
        <v>361</v>
      </c>
      <c r="G1121" s="32" t="s">
        <v>16</v>
      </c>
      <c r="H1121" s="33">
        <v>1071.0</v>
      </c>
      <c r="I1121" s="33">
        <v>621.0</v>
      </c>
      <c r="J1121" s="33">
        <v>451.0</v>
      </c>
      <c r="K1121" s="33">
        <v>170.0</v>
      </c>
      <c r="L1121" s="33">
        <v>450.0</v>
      </c>
      <c r="M1121" s="33">
        <v>1569.0</v>
      </c>
      <c r="N1121" s="33">
        <v>1344.0</v>
      </c>
      <c r="O1121" s="33">
        <v>1173.0</v>
      </c>
      <c r="P1121" s="33">
        <v>171.0</v>
      </c>
      <c r="Q1121" s="33">
        <v>225.0</v>
      </c>
      <c r="R1121" s="34">
        <v>57.9831933</v>
      </c>
      <c r="S1121" s="34">
        <v>42.1101774</v>
      </c>
      <c r="T1121" s="34">
        <v>15.8730159</v>
      </c>
      <c r="U1121" s="34">
        <v>42.0168067</v>
      </c>
      <c r="V1121" s="34">
        <v>85.6596558</v>
      </c>
      <c r="W1121" s="34">
        <v>74.7609943</v>
      </c>
      <c r="X1121" s="34">
        <v>10.8986616</v>
      </c>
      <c r="Y1121" s="34">
        <v>14.3403442</v>
      </c>
    </row>
    <row r="1122" ht="15.0" customHeight="1">
      <c r="B1122" s="35">
        <v>1117.0</v>
      </c>
      <c r="C1122" s="36" t="s">
        <v>21</v>
      </c>
      <c r="D1122" s="41" t="s">
        <v>334</v>
      </c>
      <c r="E1122" s="41" t="s">
        <v>360</v>
      </c>
      <c r="F1122" s="41" t="s">
        <v>362</v>
      </c>
      <c r="G1122" s="42" t="s">
        <v>362</v>
      </c>
      <c r="H1122" s="37">
        <v>6289.0</v>
      </c>
      <c r="I1122" s="37">
        <v>4344.0</v>
      </c>
      <c r="J1122" s="37">
        <v>2322.0</v>
      </c>
      <c r="K1122" s="37">
        <v>2022.0</v>
      </c>
      <c r="L1122" s="37">
        <v>1945.0</v>
      </c>
      <c r="M1122" s="37">
        <v>9548.0</v>
      </c>
      <c r="N1122" s="37">
        <v>7734.0</v>
      </c>
      <c r="O1122" s="37">
        <v>6513.0</v>
      </c>
      <c r="P1122" s="37">
        <v>1221.0</v>
      </c>
      <c r="Q1122" s="37">
        <v>1814.0</v>
      </c>
      <c r="R1122" s="38">
        <v>69.0729846</v>
      </c>
      <c r="S1122" s="38">
        <v>36.9216092</v>
      </c>
      <c r="T1122" s="38">
        <v>32.1513754</v>
      </c>
      <c r="U1122" s="38">
        <v>30.9270154</v>
      </c>
      <c r="V1122" s="38">
        <v>81.0012568</v>
      </c>
      <c r="W1122" s="38">
        <v>68.2132384</v>
      </c>
      <c r="X1122" s="38">
        <v>12.7880184</v>
      </c>
      <c r="Y1122" s="38">
        <v>18.9987432</v>
      </c>
    </row>
    <row r="1123" ht="15.0" hidden="1" customHeight="1">
      <c r="B1123" s="30">
        <v>1118.0</v>
      </c>
      <c r="C1123" s="31" t="s">
        <v>21</v>
      </c>
      <c r="D1123" s="31" t="s">
        <v>334</v>
      </c>
      <c r="E1123" s="31" t="s">
        <v>360</v>
      </c>
      <c r="F1123" s="31" t="s">
        <v>362</v>
      </c>
      <c r="G1123" s="32" t="s">
        <v>15</v>
      </c>
      <c r="H1123" s="33">
        <v>742.0</v>
      </c>
      <c r="I1123" s="33">
        <v>690.0</v>
      </c>
      <c r="J1123" s="33">
        <v>366.0</v>
      </c>
      <c r="K1123" s="33">
        <v>324.0</v>
      </c>
      <c r="L1123" s="33">
        <v>52.0</v>
      </c>
      <c r="M1123" s="33">
        <v>1504.0</v>
      </c>
      <c r="N1123" s="33">
        <v>1462.0</v>
      </c>
      <c r="O1123" s="33">
        <v>1142.0</v>
      </c>
      <c r="P1123" s="33">
        <v>320.0</v>
      </c>
      <c r="Q1123" s="33">
        <v>42.0</v>
      </c>
      <c r="R1123" s="34">
        <v>92.9919137</v>
      </c>
      <c r="S1123" s="34">
        <v>49.3261456</v>
      </c>
      <c r="T1123" s="34">
        <v>43.6657682</v>
      </c>
      <c r="U1123" s="34">
        <v>7.0080863</v>
      </c>
      <c r="V1123" s="34">
        <v>97.2074468</v>
      </c>
      <c r="W1123" s="34">
        <v>75.9308511</v>
      </c>
      <c r="X1123" s="34">
        <v>21.2765957</v>
      </c>
      <c r="Y1123" s="34">
        <v>2.7925532</v>
      </c>
    </row>
    <row r="1124" ht="15.0" hidden="1" customHeight="1">
      <c r="B1124" s="30">
        <v>1119.0</v>
      </c>
      <c r="C1124" s="31" t="s">
        <v>21</v>
      </c>
      <c r="D1124" s="31" t="s">
        <v>334</v>
      </c>
      <c r="E1124" s="31" t="s">
        <v>360</v>
      </c>
      <c r="F1124" s="31" t="s">
        <v>362</v>
      </c>
      <c r="G1124" s="32" t="s">
        <v>16</v>
      </c>
      <c r="H1124" s="33">
        <v>5547.0</v>
      </c>
      <c r="I1124" s="33">
        <v>3654.0</v>
      </c>
      <c r="J1124" s="33">
        <v>1956.0</v>
      </c>
      <c r="K1124" s="33">
        <v>1698.0</v>
      </c>
      <c r="L1124" s="33">
        <v>1893.0</v>
      </c>
      <c r="M1124" s="33">
        <v>8044.0</v>
      </c>
      <c r="N1124" s="33">
        <v>6272.0</v>
      </c>
      <c r="O1124" s="33">
        <v>5371.0</v>
      </c>
      <c r="P1124" s="33">
        <v>901.0</v>
      </c>
      <c r="Q1124" s="33">
        <v>1772.0</v>
      </c>
      <c r="R1124" s="34">
        <v>65.8734451</v>
      </c>
      <c r="S1124" s="34">
        <v>35.2623039</v>
      </c>
      <c r="T1124" s="34">
        <v>30.6111412</v>
      </c>
      <c r="U1124" s="34">
        <v>34.1265549</v>
      </c>
      <c r="V1124" s="34">
        <v>77.9711586</v>
      </c>
      <c r="W1124" s="34">
        <v>66.7702636</v>
      </c>
      <c r="X1124" s="34">
        <v>11.2008951</v>
      </c>
      <c r="Y1124" s="34">
        <v>22.0288414</v>
      </c>
    </row>
    <row r="1125" ht="15.0" customHeight="1">
      <c r="B1125" s="35">
        <v>1120.0</v>
      </c>
      <c r="C1125" s="36" t="s">
        <v>21</v>
      </c>
      <c r="D1125" s="41" t="s">
        <v>334</v>
      </c>
      <c r="E1125" s="41" t="s">
        <v>360</v>
      </c>
      <c r="F1125" s="41" t="s">
        <v>363</v>
      </c>
      <c r="G1125" s="42" t="s">
        <v>363</v>
      </c>
      <c r="H1125" s="37">
        <v>5628.0</v>
      </c>
      <c r="I1125" s="37">
        <v>4314.0</v>
      </c>
      <c r="J1125" s="37">
        <v>2803.0</v>
      </c>
      <c r="K1125" s="37">
        <v>1511.0</v>
      </c>
      <c r="L1125" s="37">
        <v>1314.0</v>
      </c>
      <c r="M1125" s="37">
        <v>8291.0</v>
      </c>
      <c r="N1125" s="37">
        <v>7209.0</v>
      </c>
      <c r="O1125" s="37">
        <v>6278.0</v>
      </c>
      <c r="P1125" s="37">
        <v>931.0</v>
      </c>
      <c r="Q1125" s="37">
        <v>1082.0</v>
      </c>
      <c r="R1125" s="38">
        <v>76.652452</v>
      </c>
      <c r="S1125" s="38">
        <v>49.8045487</v>
      </c>
      <c r="T1125" s="38">
        <v>26.8479033</v>
      </c>
      <c r="U1125" s="38">
        <v>23.347548</v>
      </c>
      <c r="V1125" s="38">
        <v>86.9497045</v>
      </c>
      <c r="W1125" s="38">
        <v>75.720661</v>
      </c>
      <c r="X1125" s="38">
        <v>11.2290435</v>
      </c>
      <c r="Y1125" s="38">
        <v>13.0502955</v>
      </c>
    </row>
    <row r="1126" ht="15.0" hidden="1" customHeight="1">
      <c r="B1126" s="30">
        <v>1121.0</v>
      </c>
      <c r="C1126" s="31" t="s">
        <v>21</v>
      </c>
      <c r="D1126" s="31" t="s">
        <v>334</v>
      </c>
      <c r="E1126" s="31" t="s">
        <v>360</v>
      </c>
      <c r="F1126" s="31" t="s">
        <v>363</v>
      </c>
      <c r="G1126" s="32" t="s">
        <v>15</v>
      </c>
      <c r="H1126" s="33">
        <v>1067.0</v>
      </c>
      <c r="I1126" s="33">
        <v>968.0</v>
      </c>
      <c r="J1126" s="33">
        <v>548.0</v>
      </c>
      <c r="K1126" s="33">
        <v>420.0</v>
      </c>
      <c r="L1126" s="33">
        <v>99.0</v>
      </c>
      <c r="M1126" s="33">
        <v>2248.0</v>
      </c>
      <c r="N1126" s="33">
        <v>2138.0</v>
      </c>
      <c r="O1126" s="33">
        <v>1645.0</v>
      </c>
      <c r="P1126" s="33">
        <v>493.0</v>
      </c>
      <c r="Q1126" s="33">
        <v>110.0</v>
      </c>
      <c r="R1126" s="34">
        <v>90.7216495</v>
      </c>
      <c r="S1126" s="34">
        <v>51.3589503</v>
      </c>
      <c r="T1126" s="34">
        <v>39.3626992</v>
      </c>
      <c r="U1126" s="34">
        <v>9.2783505</v>
      </c>
      <c r="V1126" s="34">
        <v>95.1067616</v>
      </c>
      <c r="W1126" s="34">
        <v>73.1761566</v>
      </c>
      <c r="X1126" s="34">
        <v>21.930605</v>
      </c>
      <c r="Y1126" s="34">
        <v>4.8932384</v>
      </c>
    </row>
    <row r="1127" ht="15.0" hidden="1" customHeight="1">
      <c r="B1127" s="30">
        <v>1122.0</v>
      </c>
      <c r="C1127" s="31" t="s">
        <v>21</v>
      </c>
      <c r="D1127" s="31" t="s">
        <v>334</v>
      </c>
      <c r="E1127" s="31" t="s">
        <v>360</v>
      </c>
      <c r="F1127" s="31" t="s">
        <v>363</v>
      </c>
      <c r="G1127" s="32" t="s">
        <v>16</v>
      </c>
      <c r="H1127" s="33">
        <v>4561.0</v>
      </c>
      <c r="I1127" s="33">
        <v>3346.0</v>
      </c>
      <c r="J1127" s="33">
        <v>2255.0</v>
      </c>
      <c r="K1127" s="33">
        <v>1091.0</v>
      </c>
      <c r="L1127" s="33">
        <v>1215.0</v>
      </c>
      <c r="M1127" s="33">
        <v>6043.0</v>
      </c>
      <c r="N1127" s="33">
        <v>5071.0</v>
      </c>
      <c r="O1127" s="33">
        <v>4633.0</v>
      </c>
      <c r="P1127" s="33">
        <v>438.0</v>
      </c>
      <c r="Q1127" s="33">
        <v>972.0</v>
      </c>
      <c r="R1127" s="34">
        <v>73.361105</v>
      </c>
      <c r="S1127" s="34">
        <v>49.4409121</v>
      </c>
      <c r="T1127" s="34">
        <v>23.9201929</v>
      </c>
      <c r="U1127" s="34">
        <v>26.638895</v>
      </c>
      <c r="V1127" s="34">
        <v>83.9152739</v>
      </c>
      <c r="W1127" s="34">
        <v>76.6672183</v>
      </c>
      <c r="X1127" s="34">
        <v>7.2480556</v>
      </c>
      <c r="Y1127" s="34">
        <v>16.0847261</v>
      </c>
    </row>
    <row r="1128" ht="15.0" customHeight="1">
      <c r="B1128" s="35">
        <v>1123.0</v>
      </c>
      <c r="C1128" s="36" t="s">
        <v>21</v>
      </c>
      <c r="D1128" s="41" t="s">
        <v>334</v>
      </c>
      <c r="E1128" s="41" t="s">
        <v>360</v>
      </c>
      <c r="F1128" s="41" t="s">
        <v>364</v>
      </c>
      <c r="G1128" s="42" t="s">
        <v>364</v>
      </c>
      <c r="H1128" s="37">
        <v>1117.0</v>
      </c>
      <c r="I1128" s="37">
        <v>763.0</v>
      </c>
      <c r="J1128" s="37">
        <v>403.0</v>
      </c>
      <c r="K1128" s="37">
        <v>360.0</v>
      </c>
      <c r="L1128" s="37">
        <v>354.0</v>
      </c>
      <c r="M1128" s="37">
        <v>1261.0</v>
      </c>
      <c r="N1128" s="37">
        <v>1077.0</v>
      </c>
      <c r="O1128" s="37">
        <v>931.0</v>
      </c>
      <c r="P1128" s="37">
        <v>146.0</v>
      </c>
      <c r="Q1128" s="37">
        <v>184.0</v>
      </c>
      <c r="R1128" s="38">
        <v>68.3079678</v>
      </c>
      <c r="S1128" s="38">
        <v>36.0787825</v>
      </c>
      <c r="T1128" s="38">
        <v>32.2291853</v>
      </c>
      <c r="U1128" s="38">
        <v>31.6920322</v>
      </c>
      <c r="V1128" s="38">
        <v>85.408406</v>
      </c>
      <c r="W1128" s="38">
        <v>73.8302934</v>
      </c>
      <c r="X1128" s="38">
        <v>11.5781126</v>
      </c>
      <c r="Y1128" s="38">
        <v>14.591594</v>
      </c>
    </row>
    <row r="1129" ht="15.0" hidden="1" customHeight="1">
      <c r="B1129" s="30">
        <v>1124.0</v>
      </c>
      <c r="C1129" s="31" t="s">
        <v>21</v>
      </c>
      <c r="D1129" s="31" t="s">
        <v>334</v>
      </c>
      <c r="E1129" s="31" t="s">
        <v>360</v>
      </c>
      <c r="F1129" s="31" t="s">
        <v>364</v>
      </c>
      <c r="G1129" s="32" t="s">
        <v>15</v>
      </c>
      <c r="H1129" s="33">
        <v>570.0</v>
      </c>
      <c r="I1129" s="33">
        <v>522.0</v>
      </c>
      <c r="J1129" s="33">
        <v>259.0</v>
      </c>
      <c r="K1129" s="33">
        <v>263.0</v>
      </c>
      <c r="L1129" s="33">
        <v>48.0</v>
      </c>
      <c r="M1129" s="33">
        <v>546.0</v>
      </c>
      <c r="N1129" s="33">
        <v>529.0</v>
      </c>
      <c r="O1129" s="33">
        <v>483.0</v>
      </c>
      <c r="P1129" s="33">
        <v>46.0</v>
      </c>
      <c r="Q1129" s="33">
        <v>17.0</v>
      </c>
      <c r="R1129" s="34">
        <v>91.5789474</v>
      </c>
      <c r="S1129" s="34">
        <v>45.4385965</v>
      </c>
      <c r="T1129" s="34">
        <v>46.1403509</v>
      </c>
      <c r="U1129" s="34">
        <v>8.4210526</v>
      </c>
      <c r="V1129" s="34">
        <v>96.8864469</v>
      </c>
      <c r="W1129" s="34">
        <v>88.4615385</v>
      </c>
      <c r="X1129" s="34">
        <v>8.4249084</v>
      </c>
      <c r="Y1129" s="34">
        <v>3.1135531</v>
      </c>
    </row>
    <row r="1130" ht="15.0" hidden="1" customHeight="1">
      <c r="B1130" s="30">
        <v>1125.0</v>
      </c>
      <c r="C1130" s="31" t="s">
        <v>21</v>
      </c>
      <c r="D1130" s="31" t="s">
        <v>334</v>
      </c>
      <c r="E1130" s="31" t="s">
        <v>360</v>
      </c>
      <c r="F1130" s="31" t="s">
        <v>364</v>
      </c>
      <c r="G1130" s="32" t="s">
        <v>16</v>
      </c>
      <c r="H1130" s="33">
        <v>547.0</v>
      </c>
      <c r="I1130" s="33">
        <v>241.0</v>
      </c>
      <c r="J1130" s="33">
        <v>144.0</v>
      </c>
      <c r="K1130" s="33">
        <v>97.0</v>
      </c>
      <c r="L1130" s="33">
        <v>306.0</v>
      </c>
      <c r="M1130" s="33">
        <v>715.0</v>
      </c>
      <c r="N1130" s="33">
        <v>548.0</v>
      </c>
      <c r="O1130" s="33">
        <v>448.0</v>
      </c>
      <c r="P1130" s="33">
        <v>100.0</v>
      </c>
      <c r="Q1130" s="33">
        <v>167.0</v>
      </c>
      <c r="R1130" s="34">
        <v>44.0585009</v>
      </c>
      <c r="S1130" s="34">
        <v>26.3254113</v>
      </c>
      <c r="T1130" s="34">
        <v>17.7330896</v>
      </c>
      <c r="U1130" s="34">
        <v>55.9414991</v>
      </c>
      <c r="V1130" s="34">
        <v>76.6433566</v>
      </c>
      <c r="W1130" s="34">
        <v>62.6573427</v>
      </c>
      <c r="X1130" s="34">
        <v>13.986014</v>
      </c>
      <c r="Y1130" s="34">
        <v>23.3566434</v>
      </c>
    </row>
    <row r="1131" ht="15.0" customHeight="1">
      <c r="B1131" s="35">
        <v>1126.0</v>
      </c>
      <c r="C1131" s="36" t="s">
        <v>21</v>
      </c>
      <c r="D1131" s="41" t="s">
        <v>334</v>
      </c>
      <c r="E1131" s="41" t="s">
        <v>360</v>
      </c>
      <c r="F1131" s="41" t="s">
        <v>365</v>
      </c>
      <c r="G1131" s="42" t="s">
        <v>365</v>
      </c>
      <c r="H1131" s="37">
        <v>2390.0</v>
      </c>
      <c r="I1131" s="37">
        <v>1271.0</v>
      </c>
      <c r="J1131" s="37">
        <v>604.0</v>
      </c>
      <c r="K1131" s="37">
        <v>667.0</v>
      </c>
      <c r="L1131" s="37">
        <v>1119.0</v>
      </c>
      <c r="M1131" s="37">
        <v>3626.0</v>
      </c>
      <c r="N1131" s="37">
        <v>2865.0</v>
      </c>
      <c r="O1131" s="37">
        <v>2333.0</v>
      </c>
      <c r="P1131" s="37">
        <v>532.0</v>
      </c>
      <c r="Q1131" s="37">
        <v>761.0</v>
      </c>
      <c r="R1131" s="38">
        <v>53.1799163</v>
      </c>
      <c r="S1131" s="38">
        <v>25.2719665</v>
      </c>
      <c r="T1131" s="38">
        <v>27.9079498</v>
      </c>
      <c r="U1131" s="38">
        <v>46.8200837</v>
      </c>
      <c r="V1131" s="38">
        <v>79.0126862</v>
      </c>
      <c r="W1131" s="38">
        <v>64.3408715</v>
      </c>
      <c r="X1131" s="38">
        <v>14.6718147</v>
      </c>
      <c r="Y1131" s="38">
        <v>20.9873138</v>
      </c>
    </row>
    <row r="1132" ht="15.0" hidden="1" customHeight="1">
      <c r="B1132" s="30">
        <v>1127.0</v>
      </c>
      <c r="C1132" s="31" t="s">
        <v>21</v>
      </c>
      <c r="D1132" s="31" t="s">
        <v>334</v>
      </c>
      <c r="E1132" s="31" t="s">
        <v>360</v>
      </c>
      <c r="F1132" s="31" t="s">
        <v>365</v>
      </c>
      <c r="G1132" s="32" t="s">
        <v>15</v>
      </c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4"/>
      <c r="S1132" s="34"/>
      <c r="T1132" s="34"/>
      <c r="U1132" s="34"/>
      <c r="V1132" s="34"/>
      <c r="W1132" s="34"/>
      <c r="X1132" s="34"/>
      <c r="Y1132" s="34"/>
    </row>
    <row r="1133" ht="15.0" hidden="1" customHeight="1">
      <c r="B1133" s="30">
        <v>1128.0</v>
      </c>
      <c r="C1133" s="31" t="s">
        <v>21</v>
      </c>
      <c r="D1133" s="31" t="s">
        <v>334</v>
      </c>
      <c r="E1133" s="31" t="s">
        <v>360</v>
      </c>
      <c r="F1133" s="31" t="s">
        <v>365</v>
      </c>
      <c r="G1133" s="32" t="s">
        <v>16</v>
      </c>
      <c r="H1133" s="33">
        <v>2390.0</v>
      </c>
      <c r="I1133" s="33">
        <v>1271.0</v>
      </c>
      <c r="J1133" s="33">
        <v>604.0</v>
      </c>
      <c r="K1133" s="33">
        <v>667.0</v>
      </c>
      <c r="L1133" s="33">
        <v>1119.0</v>
      </c>
      <c r="M1133" s="33">
        <v>3626.0</v>
      </c>
      <c r="N1133" s="33">
        <v>2865.0</v>
      </c>
      <c r="O1133" s="33">
        <v>2333.0</v>
      </c>
      <c r="P1133" s="33">
        <v>532.0</v>
      </c>
      <c r="Q1133" s="33">
        <v>761.0</v>
      </c>
      <c r="R1133" s="34">
        <v>53.1799163</v>
      </c>
      <c r="S1133" s="34">
        <v>25.2719665</v>
      </c>
      <c r="T1133" s="34">
        <v>27.9079498</v>
      </c>
      <c r="U1133" s="34">
        <v>46.8200837</v>
      </c>
      <c r="V1133" s="34">
        <v>79.0126862</v>
      </c>
      <c r="W1133" s="34">
        <v>64.3408715</v>
      </c>
      <c r="X1133" s="34">
        <v>14.6718147</v>
      </c>
      <c r="Y1133" s="34">
        <v>20.9873138</v>
      </c>
    </row>
    <row r="1134" ht="15.0" customHeight="1">
      <c r="B1134" s="35">
        <v>1129.0</v>
      </c>
      <c r="C1134" s="36" t="s">
        <v>21</v>
      </c>
      <c r="D1134" s="41" t="s">
        <v>334</v>
      </c>
      <c r="E1134" s="41" t="s">
        <v>360</v>
      </c>
      <c r="F1134" s="41" t="s">
        <v>366</v>
      </c>
      <c r="G1134" s="42" t="s">
        <v>366</v>
      </c>
      <c r="H1134" s="37">
        <v>8374.0</v>
      </c>
      <c r="I1134" s="37">
        <v>7570.0</v>
      </c>
      <c r="J1134" s="37">
        <v>3830.0</v>
      </c>
      <c r="K1134" s="37">
        <v>3740.0</v>
      </c>
      <c r="L1134" s="37">
        <v>804.0</v>
      </c>
      <c r="M1134" s="37">
        <v>9305.0</v>
      </c>
      <c r="N1134" s="37">
        <v>8669.0</v>
      </c>
      <c r="O1134" s="37">
        <v>7268.0</v>
      </c>
      <c r="P1134" s="37">
        <v>1401.0</v>
      </c>
      <c r="Q1134" s="37">
        <v>636.0</v>
      </c>
      <c r="R1134" s="38">
        <v>90.3988536</v>
      </c>
      <c r="S1134" s="38">
        <v>45.7368044</v>
      </c>
      <c r="T1134" s="38">
        <v>44.6620492</v>
      </c>
      <c r="U1134" s="38">
        <v>9.6011464</v>
      </c>
      <c r="V1134" s="38">
        <v>93.1649651</v>
      </c>
      <c r="W1134" s="38">
        <v>78.1085438</v>
      </c>
      <c r="X1134" s="38">
        <v>15.0564213</v>
      </c>
      <c r="Y1134" s="38">
        <v>6.8350349</v>
      </c>
    </row>
    <row r="1135" ht="15.0" hidden="1" customHeight="1">
      <c r="B1135" s="30">
        <v>1130.0</v>
      </c>
      <c r="C1135" s="31" t="s">
        <v>21</v>
      </c>
      <c r="D1135" s="31" t="s">
        <v>334</v>
      </c>
      <c r="E1135" s="31" t="s">
        <v>360</v>
      </c>
      <c r="F1135" s="31" t="s">
        <v>366</v>
      </c>
      <c r="G1135" s="32" t="s">
        <v>15</v>
      </c>
      <c r="H1135" s="33">
        <v>7338.0</v>
      </c>
      <c r="I1135" s="33">
        <v>7054.0</v>
      </c>
      <c r="J1135" s="33">
        <v>3593.0</v>
      </c>
      <c r="K1135" s="33">
        <v>3461.0</v>
      </c>
      <c r="L1135" s="33">
        <v>284.0</v>
      </c>
      <c r="M1135" s="33">
        <v>7611.0</v>
      </c>
      <c r="N1135" s="33">
        <v>7464.0</v>
      </c>
      <c r="O1135" s="33">
        <v>6260.0</v>
      </c>
      <c r="P1135" s="33">
        <v>1204.0</v>
      </c>
      <c r="Q1135" s="33">
        <v>147.0</v>
      </c>
      <c r="R1135" s="34">
        <v>96.1297356</v>
      </c>
      <c r="S1135" s="34">
        <v>48.9642954</v>
      </c>
      <c r="T1135" s="34">
        <v>47.1654402</v>
      </c>
      <c r="U1135" s="34">
        <v>3.8702644</v>
      </c>
      <c r="V1135" s="34">
        <v>98.0685849</v>
      </c>
      <c r="W1135" s="34">
        <v>82.2493759</v>
      </c>
      <c r="X1135" s="34">
        <v>15.819209</v>
      </c>
      <c r="Y1135" s="34">
        <v>1.9314151</v>
      </c>
    </row>
    <row r="1136" ht="15.0" hidden="1" customHeight="1">
      <c r="B1136" s="30">
        <v>1131.0</v>
      </c>
      <c r="C1136" s="31" t="s">
        <v>21</v>
      </c>
      <c r="D1136" s="31" t="s">
        <v>334</v>
      </c>
      <c r="E1136" s="31" t="s">
        <v>360</v>
      </c>
      <c r="F1136" s="31" t="s">
        <v>366</v>
      </c>
      <c r="G1136" s="32" t="s">
        <v>16</v>
      </c>
      <c r="H1136" s="33">
        <v>1036.0</v>
      </c>
      <c r="I1136" s="33">
        <v>516.0</v>
      </c>
      <c r="J1136" s="33">
        <v>237.0</v>
      </c>
      <c r="K1136" s="33">
        <v>279.0</v>
      </c>
      <c r="L1136" s="33">
        <v>520.0</v>
      </c>
      <c r="M1136" s="33">
        <v>1694.0</v>
      </c>
      <c r="N1136" s="33">
        <v>1205.0</v>
      </c>
      <c r="O1136" s="33">
        <v>1008.0</v>
      </c>
      <c r="P1136" s="33">
        <v>197.0</v>
      </c>
      <c r="Q1136" s="33">
        <v>489.0</v>
      </c>
      <c r="R1136" s="34">
        <v>49.8069498</v>
      </c>
      <c r="S1136" s="34">
        <v>22.8764479</v>
      </c>
      <c r="T1136" s="34">
        <v>26.9305019</v>
      </c>
      <c r="U1136" s="34">
        <v>50.1930502</v>
      </c>
      <c r="V1136" s="34">
        <v>71.133412</v>
      </c>
      <c r="W1136" s="34">
        <v>59.5041322</v>
      </c>
      <c r="X1136" s="34">
        <v>11.6292798</v>
      </c>
      <c r="Y1136" s="34">
        <v>28.866588</v>
      </c>
    </row>
    <row r="1137" ht="15.0" customHeight="1">
      <c r="B1137" s="35">
        <v>1132.0</v>
      </c>
      <c r="C1137" s="36" t="s">
        <v>21</v>
      </c>
      <c r="D1137" s="41" t="s">
        <v>334</v>
      </c>
      <c r="E1137" s="41" t="s">
        <v>360</v>
      </c>
      <c r="F1137" s="41" t="s">
        <v>367</v>
      </c>
      <c r="G1137" s="42" t="s">
        <v>367</v>
      </c>
      <c r="H1137" s="37">
        <v>1013.0</v>
      </c>
      <c r="I1137" s="37">
        <v>783.0</v>
      </c>
      <c r="J1137" s="37">
        <v>472.0</v>
      </c>
      <c r="K1137" s="37">
        <v>311.0</v>
      </c>
      <c r="L1137" s="37">
        <v>230.0</v>
      </c>
      <c r="M1137" s="37">
        <v>1385.0</v>
      </c>
      <c r="N1137" s="37">
        <v>1292.0</v>
      </c>
      <c r="O1137" s="37">
        <v>1143.0</v>
      </c>
      <c r="P1137" s="37">
        <v>149.0</v>
      </c>
      <c r="Q1137" s="37">
        <v>93.0</v>
      </c>
      <c r="R1137" s="38">
        <v>77.2951629</v>
      </c>
      <c r="S1137" s="38">
        <v>46.5942744</v>
      </c>
      <c r="T1137" s="38">
        <v>30.7008885</v>
      </c>
      <c r="U1137" s="38">
        <v>22.7048371</v>
      </c>
      <c r="V1137" s="38">
        <v>93.2851986</v>
      </c>
      <c r="W1137" s="38">
        <v>82.5270758</v>
      </c>
      <c r="X1137" s="38">
        <v>10.7581227</v>
      </c>
      <c r="Y1137" s="38">
        <v>6.7148014</v>
      </c>
    </row>
    <row r="1138" ht="15.0" hidden="1" customHeight="1">
      <c r="B1138" s="30">
        <v>1133.0</v>
      </c>
      <c r="C1138" s="31" t="s">
        <v>21</v>
      </c>
      <c r="D1138" s="31" t="s">
        <v>334</v>
      </c>
      <c r="E1138" s="31" t="s">
        <v>360</v>
      </c>
      <c r="F1138" s="31" t="s">
        <v>367</v>
      </c>
      <c r="G1138" s="32" t="s">
        <v>15</v>
      </c>
      <c r="H1138" s="33">
        <v>708.0</v>
      </c>
      <c r="I1138" s="33">
        <v>619.0</v>
      </c>
      <c r="J1138" s="33">
        <v>390.0</v>
      </c>
      <c r="K1138" s="33">
        <v>229.0</v>
      </c>
      <c r="L1138" s="33">
        <v>89.0</v>
      </c>
      <c r="M1138" s="33">
        <v>963.0</v>
      </c>
      <c r="N1138" s="33">
        <v>930.0</v>
      </c>
      <c r="O1138" s="33">
        <v>808.0</v>
      </c>
      <c r="P1138" s="33">
        <v>122.0</v>
      </c>
      <c r="Q1138" s="33">
        <v>33.0</v>
      </c>
      <c r="R1138" s="34">
        <v>87.4293785</v>
      </c>
      <c r="S1138" s="34">
        <v>55.0847458</v>
      </c>
      <c r="T1138" s="34">
        <v>32.3446328</v>
      </c>
      <c r="U1138" s="34">
        <v>12.5706215</v>
      </c>
      <c r="V1138" s="34">
        <v>96.5732087</v>
      </c>
      <c r="W1138" s="34">
        <v>83.9044652</v>
      </c>
      <c r="X1138" s="34">
        <v>12.6687435</v>
      </c>
      <c r="Y1138" s="34">
        <v>3.4267913</v>
      </c>
    </row>
    <row r="1139" ht="15.0" hidden="1" customHeight="1">
      <c r="B1139" s="30">
        <v>1134.0</v>
      </c>
      <c r="C1139" s="31" t="s">
        <v>21</v>
      </c>
      <c r="D1139" s="31" t="s">
        <v>334</v>
      </c>
      <c r="E1139" s="31" t="s">
        <v>360</v>
      </c>
      <c r="F1139" s="31" t="s">
        <v>367</v>
      </c>
      <c r="G1139" s="32" t="s">
        <v>16</v>
      </c>
      <c r="H1139" s="33">
        <v>305.0</v>
      </c>
      <c r="I1139" s="33">
        <v>164.0</v>
      </c>
      <c r="J1139" s="33">
        <v>82.0</v>
      </c>
      <c r="K1139" s="33">
        <v>82.0</v>
      </c>
      <c r="L1139" s="33">
        <v>141.0</v>
      </c>
      <c r="M1139" s="33">
        <v>422.0</v>
      </c>
      <c r="N1139" s="33">
        <v>362.0</v>
      </c>
      <c r="O1139" s="33">
        <v>335.0</v>
      </c>
      <c r="P1139" s="33">
        <v>27.0</v>
      </c>
      <c r="Q1139" s="33">
        <v>60.0</v>
      </c>
      <c r="R1139" s="34">
        <v>53.7704918</v>
      </c>
      <c r="S1139" s="34">
        <v>26.8852459</v>
      </c>
      <c r="T1139" s="34">
        <v>26.8852459</v>
      </c>
      <c r="U1139" s="34">
        <v>46.2295082</v>
      </c>
      <c r="V1139" s="34">
        <v>85.7819905</v>
      </c>
      <c r="W1139" s="34">
        <v>79.3838863</v>
      </c>
      <c r="X1139" s="34">
        <v>6.3981043</v>
      </c>
      <c r="Y1139" s="34">
        <v>14.2180095</v>
      </c>
    </row>
    <row r="1140" ht="15.0" hidden="1" customHeight="1">
      <c r="B1140" s="26">
        <v>1135.0</v>
      </c>
      <c r="C1140" s="27" t="s">
        <v>19</v>
      </c>
      <c r="D1140" s="40" t="s">
        <v>334</v>
      </c>
      <c r="E1140" s="40" t="s">
        <v>368</v>
      </c>
      <c r="F1140" s="40"/>
      <c r="G1140" s="27" t="s">
        <v>368</v>
      </c>
      <c r="H1140" s="28">
        <v>7956.0</v>
      </c>
      <c r="I1140" s="28">
        <v>4802.0</v>
      </c>
      <c r="J1140" s="28">
        <v>2842.0</v>
      </c>
      <c r="K1140" s="28">
        <v>1960.0</v>
      </c>
      <c r="L1140" s="28">
        <v>3154.0</v>
      </c>
      <c r="M1140" s="28">
        <v>9338.0</v>
      </c>
      <c r="N1140" s="28">
        <v>7117.0</v>
      </c>
      <c r="O1140" s="28">
        <v>6049.0</v>
      </c>
      <c r="P1140" s="28">
        <v>1068.0</v>
      </c>
      <c r="Q1140" s="28">
        <v>2221.0</v>
      </c>
      <c r="R1140" s="29">
        <v>60.3569633</v>
      </c>
      <c r="S1140" s="29">
        <v>35.7214681</v>
      </c>
      <c r="T1140" s="29">
        <v>24.6354952</v>
      </c>
      <c r="U1140" s="29">
        <v>39.6430367</v>
      </c>
      <c r="V1140" s="29">
        <v>76.2154637</v>
      </c>
      <c r="W1140" s="29">
        <v>64.7783251</v>
      </c>
      <c r="X1140" s="29">
        <v>11.4371386</v>
      </c>
      <c r="Y1140" s="29">
        <v>23.7845363</v>
      </c>
    </row>
    <row r="1141" ht="15.0" hidden="1" customHeight="1">
      <c r="B1141" s="30">
        <v>1136.0</v>
      </c>
      <c r="C1141" s="31" t="s">
        <v>19</v>
      </c>
      <c r="D1141" s="31" t="s">
        <v>334</v>
      </c>
      <c r="E1141" s="31" t="s">
        <v>368</v>
      </c>
      <c r="F1141" s="31"/>
      <c r="G1141" s="32" t="s">
        <v>15</v>
      </c>
      <c r="H1141" s="33">
        <v>2981.0</v>
      </c>
      <c r="I1141" s="33">
        <v>2778.0</v>
      </c>
      <c r="J1141" s="33">
        <v>1505.0</v>
      </c>
      <c r="K1141" s="33">
        <v>1273.0</v>
      </c>
      <c r="L1141" s="33">
        <v>203.0</v>
      </c>
      <c r="M1141" s="33">
        <v>3589.0</v>
      </c>
      <c r="N1141" s="33">
        <v>3492.0</v>
      </c>
      <c r="O1141" s="33">
        <v>2738.0</v>
      </c>
      <c r="P1141" s="33">
        <v>754.0</v>
      </c>
      <c r="Q1141" s="33">
        <v>97.0</v>
      </c>
      <c r="R1141" s="34">
        <v>93.1902046</v>
      </c>
      <c r="S1141" s="34">
        <v>50.486414</v>
      </c>
      <c r="T1141" s="34">
        <v>42.7037907</v>
      </c>
      <c r="U1141" s="34">
        <v>6.8097954</v>
      </c>
      <c r="V1141" s="34">
        <v>97.2972973</v>
      </c>
      <c r="W1141" s="34">
        <v>76.2886598</v>
      </c>
      <c r="X1141" s="34">
        <v>21.0086375</v>
      </c>
      <c r="Y1141" s="34">
        <v>2.7027027</v>
      </c>
    </row>
    <row r="1142" ht="15.0" hidden="1" customHeight="1">
      <c r="B1142" s="30">
        <v>1137.0</v>
      </c>
      <c r="C1142" s="31" t="s">
        <v>19</v>
      </c>
      <c r="D1142" s="31" t="s">
        <v>334</v>
      </c>
      <c r="E1142" s="31" t="s">
        <v>368</v>
      </c>
      <c r="F1142" s="31"/>
      <c r="G1142" s="32" t="s">
        <v>16</v>
      </c>
      <c r="H1142" s="33">
        <v>4975.0</v>
      </c>
      <c r="I1142" s="33">
        <v>2024.0</v>
      </c>
      <c r="J1142" s="33">
        <v>1337.0</v>
      </c>
      <c r="K1142" s="33">
        <v>687.0</v>
      </c>
      <c r="L1142" s="33">
        <v>2951.0</v>
      </c>
      <c r="M1142" s="33">
        <v>5749.0</v>
      </c>
      <c r="N1142" s="33">
        <v>3625.0</v>
      </c>
      <c r="O1142" s="33">
        <v>3311.0</v>
      </c>
      <c r="P1142" s="33">
        <v>314.0</v>
      </c>
      <c r="Q1142" s="33">
        <v>2124.0</v>
      </c>
      <c r="R1142" s="34">
        <v>40.6834171</v>
      </c>
      <c r="S1142" s="34">
        <v>26.8743719</v>
      </c>
      <c r="T1142" s="34">
        <v>13.8090452</v>
      </c>
      <c r="U1142" s="34">
        <v>59.3165829</v>
      </c>
      <c r="V1142" s="34">
        <v>63.0544443</v>
      </c>
      <c r="W1142" s="34">
        <v>57.5926248</v>
      </c>
      <c r="X1142" s="34">
        <v>5.4618194</v>
      </c>
      <c r="Y1142" s="34">
        <v>36.9455557</v>
      </c>
    </row>
    <row r="1143" ht="15.0" customHeight="1">
      <c r="B1143" s="35">
        <v>1138.0</v>
      </c>
      <c r="C1143" s="36" t="s">
        <v>21</v>
      </c>
      <c r="D1143" s="41" t="s">
        <v>334</v>
      </c>
      <c r="E1143" s="41" t="s">
        <v>368</v>
      </c>
      <c r="F1143" s="41" t="s">
        <v>369</v>
      </c>
      <c r="G1143" s="42" t="s">
        <v>369</v>
      </c>
      <c r="H1143" s="37">
        <v>5275.0</v>
      </c>
      <c r="I1143" s="37">
        <v>3500.0</v>
      </c>
      <c r="J1143" s="37">
        <v>2003.0</v>
      </c>
      <c r="K1143" s="37">
        <v>1497.0</v>
      </c>
      <c r="L1143" s="37">
        <v>1775.0</v>
      </c>
      <c r="M1143" s="37">
        <v>6197.0</v>
      </c>
      <c r="N1143" s="37">
        <v>4930.0</v>
      </c>
      <c r="O1143" s="37">
        <v>4078.0</v>
      </c>
      <c r="P1143" s="37">
        <v>852.0</v>
      </c>
      <c r="Q1143" s="37">
        <v>1267.0</v>
      </c>
      <c r="R1143" s="38">
        <v>66.3507109</v>
      </c>
      <c r="S1143" s="38">
        <v>37.971564</v>
      </c>
      <c r="T1143" s="38">
        <v>28.3791469</v>
      </c>
      <c r="U1143" s="38">
        <v>33.6492891</v>
      </c>
      <c r="V1143" s="38">
        <v>79.5546232</v>
      </c>
      <c r="W1143" s="38">
        <v>65.8060352</v>
      </c>
      <c r="X1143" s="38">
        <v>13.748588</v>
      </c>
      <c r="Y1143" s="38">
        <v>20.4453768</v>
      </c>
    </row>
    <row r="1144" ht="15.0" hidden="1" customHeight="1">
      <c r="B1144" s="30">
        <v>1139.0</v>
      </c>
      <c r="C1144" s="31" t="s">
        <v>21</v>
      </c>
      <c r="D1144" s="31" t="s">
        <v>334</v>
      </c>
      <c r="E1144" s="31" t="s">
        <v>368</v>
      </c>
      <c r="F1144" s="31" t="s">
        <v>369</v>
      </c>
      <c r="G1144" s="32" t="s">
        <v>15</v>
      </c>
      <c r="H1144" s="33">
        <v>2981.0</v>
      </c>
      <c r="I1144" s="33">
        <v>2778.0</v>
      </c>
      <c r="J1144" s="33">
        <v>1505.0</v>
      </c>
      <c r="K1144" s="33">
        <v>1273.0</v>
      </c>
      <c r="L1144" s="33">
        <v>203.0</v>
      </c>
      <c r="M1144" s="33">
        <v>3589.0</v>
      </c>
      <c r="N1144" s="33">
        <v>3492.0</v>
      </c>
      <c r="O1144" s="33">
        <v>2738.0</v>
      </c>
      <c r="P1144" s="33">
        <v>754.0</v>
      </c>
      <c r="Q1144" s="33">
        <v>97.0</v>
      </c>
      <c r="R1144" s="34">
        <v>93.1902046</v>
      </c>
      <c r="S1144" s="34">
        <v>50.486414</v>
      </c>
      <c r="T1144" s="34">
        <v>42.7037907</v>
      </c>
      <c r="U1144" s="34">
        <v>6.8097954</v>
      </c>
      <c r="V1144" s="34">
        <v>97.2972973</v>
      </c>
      <c r="W1144" s="34">
        <v>76.2886598</v>
      </c>
      <c r="X1144" s="34">
        <v>21.0086375</v>
      </c>
      <c r="Y1144" s="34">
        <v>2.7027027</v>
      </c>
    </row>
    <row r="1145" ht="15.0" hidden="1" customHeight="1">
      <c r="B1145" s="30">
        <v>1140.0</v>
      </c>
      <c r="C1145" s="31" t="s">
        <v>21</v>
      </c>
      <c r="D1145" s="31" t="s">
        <v>334</v>
      </c>
      <c r="E1145" s="31" t="s">
        <v>368</v>
      </c>
      <c r="F1145" s="31" t="s">
        <v>369</v>
      </c>
      <c r="G1145" s="32" t="s">
        <v>16</v>
      </c>
      <c r="H1145" s="33">
        <v>2294.0</v>
      </c>
      <c r="I1145" s="33">
        <v>722.0</v>
      </c>
      <c r="J1145" s="33">
        <v>498.0</v>
      </c>
      <c r="K1145" s="33">
        <v>224.0</v>
      </c>
      <c r="L1145" s="33">
        <v>1572.0</v>
      </c>
      <c r="M1145" s="33">
        <v>2608.0</v>
      </c>
      <c r="N1145" s="33">
        <v>1438.0</v>
      </c>
      <c r="O1145" s="33">
        <v>1340.0</v>
      </c>
      <c r="P1145" s="33">
        <v>98.0</v>
      </c>
      <c r="Q1145" s="33">
        <v>1170.0</v>
      </c>
      <c r="R1145" s="34">
        <v>31.4734089</v>
      </c>
      <c r="S1145" s="34">
        <v>21.7088056</v>
      </c>
      <c r="T1145" s="34">
        <v>9.7646033</v>
      </c>
      <c r="U1145" s="34">
        <v>68.5265911</v>
      </c>
      <c r="V1145" s="34">
        <v>55.1380368</v>
      </c>
      <c r="W1145" s="34">
        <v>51.3803681</v>
      </c>
      <c r="X1145" s="34">
        <v>3.7576687</v>
      </c>
      <c r="Y1145" s="34">
        <v>44.8619632</v>
      </c>
    </row>
    <row r="1146" ht="15.0" customHeight="1">
      <c r="B1146" s="35">
        <v>1141.0</v>
      </c>
      <c r="C1146" s="36" t="s">
        <v>21</v>
      </c>
      <c r="D1146" s="41" t="s">
        <v>334</v>
      </c>
      <c r="E1146" s="41" t="s">
        <v>368</v>
      </c>
      <c r="F1146" s="41" t="s">
        <v>370</v>
      </c>
      <c r="G1146" s="42" t="s">
        <v>370</v>
      </c>
      <c r="H1146" s="37">
        <v>576.0</v>
      </c>
      <c r="I1146" s="37">
        <v>385.0</v>
      </c>
      <c r="J1146" s="37">
        <v>251.0</v>
      </c>
      <c r="K1146" s="37">
        <v>134.0</v>
      </c>
      <c r="L1146" s="37">
        <v>191.0</v>
      </c>
      <c r="M1146" s="37">
        <v>795.0</v>
      </c>
      <c r="N1146" s="37">
        <v>691.0</v>
      </c>
      <c r="O1146" s="37">
        <v>620.0</v>
      </c>
      <c r="P1146" s="37">
        <v>71.0</v>
      </c>
      <c r="Q1146" s="37">
        <v>104.0</v>
      </c>
      <c r="R1146" s="38">
        <v>66.8402778</v>
      </c>
      <c r="S1146" s="38">
        <v>43.5763889</v>
      </c>
      <c r="T1146" s="38">
        <v>23.2638889</v>
      </c>
      <c r="U1146" s="38">
        <v>33.1597222</v>
      </c>
      <c r="V1146" s="38">
        <v>86.918239</v>
      </c>
      <c r="W1146" s="38">
        <v>77.9874214</v>
      </c>
      <c r="X1146" s="38">
        <v>8.9308176</v>
      </c>
      <c r="Y1146" s="38">
        <v>13.081761</v>
      </c>
    </row>
    <row r="1147" ht="15.0" hidden="1" customHeight="1">
      <c r="B1147" s="30">
        <v>1142.0</v>
      </c>
      <c r="C1147" s="31" t="s">
        <v>21</v>
      </c>
      <c r="D1147" s="31" t="s">
        <v>334</v>
      </c>
      <c r="E1147" s="31" t="s">
        <v>368</v>
      </c>
      <c r="F1147" s="31" t="s">
        <v>370</v>
      </c>
      <c r="G1147" s="32" t="s">
        <v>15</v>
      </c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4"/>
      <c r="S1147" s="34"/>
      <c r="T1147" s="34"/>
      <c r="U1147" s="34"/>
      <c r="V1147" s="34"/>
      <c r="W1147" s="34"/>
      <c r="X1147" s="34"/>
      <c r="Y1147" s="34"/>
    </row>
    <row r="1148" ht="15.0" hidden="1" customHeight="1">
      <c r="B1148" s="30">
        <v>1143.0</v>
      </c>
      <c r="C1148" s="31" t="s">
        <v>21</v>
      </c>
      <c r="D1148" s="31" t="s">
        <v>334</v>
      </c>
      <c r="E1148" s="31" t="s">
        <v>368</v>
      </c>
      <c r="F1148" s="31" t="s">
        <v>370</v>
      </c>
      <c r="G1148" s="32" t="s">
        <v>16</v>
      </c>
      <c r="H1148" s="33">
        <v>576.0</v>
      </c>
      <c r="I1148" s="33">
        <v>385.0</v>
      </c>
      <c r="J1148" s="33">
        <v>251.0</v>
      </c>
      <c r="K1148" s="33">
        <v>134.0</v>
      </c>
      <c r="L1148" s="33">
        <v>191.0</v>
      </c>
      <c r="M1148" s="33">
        <v>795.0</v>
      </c>
      <c r="N1148" s="33">
        <v>691.0</v>
      </c>
      <c r="O1148" s="33">
        <v>620.0</v>
      </c>
      <c r="P1148" s="33">
        <v>71.0</v>
      </c>
      <c r="Q1148" s="33">
        <v>104.0</v>
      </c>
      <c r="R1148" s="34">
        <v>66.8402778</v>
      </c>
      <c r="S1148" s="34">
        <v>43.5763889</v>
      </c>
      <c r="T1148" s="34">
        <v>23.2638889</v>
      </c>
      <c r="U1148" s="34">
        <v>33.1597222</v>
      </c>
      <c r="V1148" s="34">
        <v>86.918239</v>
      </c>
      <c r="W1148" s="34">
        <v>77.9874214</v>
      </c>
      <c r="X1148" s="34">
        <v>8.9308176</v>
      </c>
      <c r="Y1148" s="34">
        <v>13.081761</v>
      </c>
    </row>
    <row r="1149" ht="15.0" customHeight="1">
      <c r="B1149" s="35">
        <v>1144.0</v>
      </c>
      <c r="C1149" s="36" t="s">
        <v>21</v>
      </c>
      <c r="D1149" s="41" t="s">
        <v>334</v>
      </c>
      <c r="E1149" s="41" t="s">
        <v>368</v>
      </c>
      <c r="F1149" s="41" t="s">
        <v>371</v>
      </c>
      <c r="G1149" s="42" t="s">
        <v>371</v>
      </c>
      <c r="H1149" s="37">
        <v>870.0</v>
      </c>
      <c r="I1149" s="37">
        <v>481.0</v>
      </c>
      <c r="J1149" s="37">
        <v>336.0</v>
      </c>
      <c r="K1149" s="37">
        <v>145.0</v>
      </c>
      <c r="L1149" s="37">
        <v>389.0</v>
      </c>
      <c r="M1149" s="37">
        <v>991.0</v>
      </c>
      <c r="N1149" s="37">
        <v>667.0</v>
      </c>
      <c r="O1149" s="37">
        <v>606.0</v>
      </c>
      <c r="P1149" s="37">
        <v>61.0</v>
      </c>
      <c r="Q1149" s="37">
        <v>324.0</v>
      </c>
      <c r="R1149" s="38">
        <v>55.2873563</v>
      </c>
      <c r="S1149" s="38">
        <v>38.6206897</v>
      </c>
      <c r="T1149" s="38">
        <v>16.6666667</v>
      </c>
      <c r="U1149" s="38">
        <v>44.7126437</v>
      </c>
      <c r="V1149" s="38">
        <v>67.3057518</v>
      </c>
      <c r="W1149" s="38">
        <v>61.1503532</v>
      </c>
      <c r="X1149" s="38">
        <v>6.1553986</v>
      </c>
      <c r="Y1149" s="38">
        <v>32.6942482</v>
      </c>
    </row>
    <row r="1150" ht="15.0" hidden="1" customHeight="1">
      <c r="B1150" s="30">
        <v>1145.0</v>
      </c>
      <c r="C1150" s="31" t="s">
        <v>21</v>
      </c>
      <c r="D1150" s="31" t="s">
        <v>334</v>
      </c>
      <c r="E1150" s="31" t="s">
        <v>368</v>
      </c>
      <c r="F1150" s="31" t="s">
        <v>371</v>
      </c>
      <c r="G1150" s="32" t="s">
        <v>15</v>
      </c>
      <c r="H1150" s="33"/>
      <c r="I1150" s="33"/>
      <c r="J1150" s="33"/>
      <c r="K1150" s="33"/>
      <c r="L1150" s="33"/>
      <c r="M1150" s="33"/>
      <c r="N1150" s="33"/>
      <c r="O1150" s="33"/>
      <c r="P1150" s="33"/>
      <c r="Q1150" s="33"/>
      <c r="R1150" s="34"/>
      <c r="S1150" s="34"/>
      <c r="T1150" s="34"/>
      <c r="U1150" s="34"/>
      <c r="V1150" s="34"/>
      <c r="W1150" s="34"/>
      <c r="X1150" s="34"/>
      <c r="Y1150" s="34"/>
    </row>
    <row r="1151" ht="15.0" hidden="1" customHeight="1">
      <c r="B1151" s="30">
        <v>1146.0</v>
      </c>
      <c r="C1151" s="31" t="s">
        <v>21</v>
      </c>
      <c r="D1151" s="31" t="s">
        <v>334</v>
      </c>
      <c r="E1151" s="31" t="s">
        <v>368</v>
      </c>
      <c r="F1151" s="31" t="s">
        <v>371</v>
      </c>
      <c r="G1151" s="32" t="s">
        <v>16</v>
      </c>
      <c r="H1151" s="33">
        <v>870.0</v>
      </c>
      <c r="I1151" s="33">
        <v>481.0</v>
      </c>
      <c r="J1151" s="33">
        <v>336.0</v>
      </c>
      <c r="K1151" s="33">
        <v>145.0</v>
      </c>
      <c r="L1151" s="33">
        <v>389.0</v>
      </c>
      <c r="M1151" s="33">
        <v>991.0</v>
      </c>
      <c r="N1151" s="33">
        <v>667.0</v>
      </c>
      <c r="O1151" s="33">
        <v>606.0</v>
      </c>
      <c r="P1151" s="33">
        <v>61.0</v>
      </c>
      <c r="Q1151" s="33">
        <v>324.0</v>
      </c>
      <c r="R1151" s="34">
        <v>55.2873563</v>
      </c>
      <c r="S1151" s="34">
        <v>38.6206897</v>
      </c>
      <c r="T1151" s="34">
        <v>16.6666667</v>
      </c>
      <c r="U1151" s="34">
        <v>44.7126437</v>
      </c>
      <c r="V1151" s="34">
        <v>67.3057518</v>
      </c>
      <c r="W1151" s="34">
        <v>61.1503532</v>
      </c>
      <c r="X1151" s="34">
        <v>6.1553986</v>
      </c>
      <c r="Y1151" s="34">
        <v>32.6942482</v>
      </c>
    </row>
    <row r="1152" ht="15.0" customHeight="1">
      <c r="B1152" s="35">
        <v>1147.0</v>
      </c>
      <c r="C1152" s="36" t="s">
        <v>21</v>
      </c>
      <c r="D1152" s="41" t="s">
        <v>334</v>
      </c>
      <c r="E1152" s="41" t="s">
        <v>368</v>
      </c>
      <c r="F1152" s="41" t="s">
        <v>372</v>
      </c>
      <c r="G1152" s="42" t="s">
        <v>372</v>
      </c>
      <c r="H1152" s="37">
        <v>600.0</v>
      </c>
      <c r="I1152" s="37">
        <v>245.0</v>
      </c>
      <c r="J1152" s="37">
        <v>118.0</v>
      </c>
      <c r="K1152" s="37">
        <v>127.0</v>
      </c>
      <c r="L1152" s="37">
        <v>355.0</v>
      </c>
      <c r="M1152" s="37">
        <v>606.0</v>
      </c>
      <c r="N1152" s="37">
        <v>398.0</v>
      </c>
      <c r="O1152" s="37">
        <v>355.0</v>
      </c>
      <c r="P1152" s="37">
        <v>43.0</v>
      </c>
      <c r="Q1152" s="37">
        <v>208.0</v>
      </c>
      <c r="R1152" s="38">
        <v>40.8333333</v>
      </c>
      <c r="S1152" s="38">
        <v>19.6666667</v>
      </c>
      <c r="T1152" s="38">
        <v>21.1666667</v>
      </c>
      <c r="U1152" s="38">
        <v>59.1666667</v>
      </c>
      <c r="V1152" s="38">
        <v>65.6765677</v>
      </c>
      <c r="W1152" s="38">
        <v>58.5808581</v>
      </c>
      <c r="X1152" s="38">
        <v>7.0957096</v>
      </c>
      <c r="Y1152" s="38">
        <v>34.3234323</v>
      </c>
    </row>
    <row r="1153" ht="15.0" hidden="1" customHeight="1">
      <c r="B1153" s="30">
        <v>1148.0</v>
      </c>
      <c r="C1153" s="31" t="s">
        <v>21</v>
      </c>
      <c r="D1153" s="31" t="s">
        <v>334</v>
      </c>
      <c r="E1153" s="31" t="s">
        <v>368</v>
      </c>
      <c r="F1153" s="31" t="s">
        <v>372</v>
      </c>
      <c r="G1153" s="32" t="s">
        <v>15</v>
      </c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4"/>
      <c r="S1153" s="34"/>
      <c r="T1153" s="34"/>
      <c r="U1153" s="34"/>
      <c r="V1153" s="34"/>
      <c r="W1153" s="34"/>
      <c r="X1153" s="34"/>
      <c r="Y1153" s="34"/>
    </row>
    <row r="1154" ht="15.0" hidden="1" customHeight="1">
      <c r="B1154" s="30">
        <v>1149.0</v>
      </c>
      <c r="C1154" s="31" t="s">
        <v>21</v>
      </c>
      <c r="D1154" s="31" t="s">
        <v>334</v>
      </c>
      <c r="E1154" s="31" t="s">
        <v>368</v>
      </c>
      <c r="F1154" s="31" t="s">
        <v>372</v>
      </c>
      <c r="G1154" s="32" t="s">
        <v>16</v>
      </c>
      <c r="H1154" s="33">
        <v>600.0</v>
      </c>
      <c r="I1154" s="33">
        <v>245.0</v>
      </c>
      <c r="J1154" s="33">
        <v>118.0</v>
      </c>
      <c r="K1154" s="33">
        <v>127.0</v>
      </c>
      <c r="L1154" s="33">
        <v>355.0</v>
      </c>
      <c r="M1154" s="33">
        <v>606.0</v>
      </c>
      <c r="N1154" s="33">
        <v>398.0</v>
      </c>
      <c r="O1154" s="33">
        <v>355.0</v>
      </c>
      <c r="P1154" s="33">
        <v>43.0</v>
      </c>
      <c r="Q1154" s="33">
        <v>208.0</v>
      </c>
      <c r="R1154" s="34">
        <v>40.8333333</v>
      </c>
      <c r="S1154" s="34">
        <v>19.6666667</v>
      </c>
      <c r="T1154" s="34">
        <v>21.1666667</v>
      </c>
      <c r="U1154" s="34">
        <v>59.1666667</v>
      </c>
      <c r="V1154" s="34">
        <v>65.6765677</v>
      </c>
      <c r="W1154" s="34">
        <v>58.5808581</v>
      </c>
      <c r="X1154" s="34">
        <v>7.0957096</v>
      </c>
      <c r="Y1154" s="34">
        <v>34.3234323</v>
      </c>
    </row>
    <row r="1155" ht="15.0" customHeight="1">
      <c r="B1155" s="35">
        <v>1150.0</v>
      </c>
      <c r="C1155" s="36" t="s">
        <v>21</v>
      </c>
      <c r="D1155" s="41" t="s">
        <v>334</v>
      </c>
      <c r="E1155" s="41" t="s">
        <v>368</v>
      </c>
      <c r="F1155" s="41" t="s">
        <v>373</v>
      </c>
      <c r="G1155" s="42" t="s">
        <v>373</v>
      </c>
      <c r="H1155" s="37">
        <v>635.0</v>
      </c>
      <c r="I1155" s="37">
        <v>191.0</v>
      </c>
      <c r="J1155" s="37">
        <v>134.0</v>
      </c>
      <c r="K1155" s="37">
        <v>57.0</v>
      </c>
      <c r="L1155" s="37">
        <v>444.0</v>
      </c>
      <c r="M1155" s="37">
        <v>749.0</v>
      </c>
      <c r="N1155" s="37">
        <v>431.0</v>
      </c>
      <c r="O1155" s="37">
        <v>390.0</v>
      </c>
      <c r="P1155" s="37">
        <v>41.0</v>
      </c>
      <c r="Q1155" s="37">
        <v>318.0</v>
      </c>
      <c r="R1155" s="38">
        <v>30.0787402</v>
      </c>
      <c r="S1155" s="38">
        <v>21.1023622</v>
      </c>
      <c r="T1155" s="38">
        <v>8.976378</v>
      </c>
      <c r="U1155" s="38">
        <v>69.9212598</v>
      </c>
      <c r="V1155" s="38">
        <v>57.5433912</v>
      </c>
      <c r="W1155" s="38">
        <v>52.0694259</v>
      </c>
      <c r="X1155" s="38">
        <v>5.4739653</v>
      </c>
      <c r="Y1155" s="38">
        <v>42.4566088</v>
      </c>
    </row>
    <row r="1156" ht="15.0" hidden="1" customHeight="1">
      <c r="B1156" s="30">
        <v>1151.0</v>
      </c>
      <c r="C1156" s="31" t="s">
        <v>21</v>
      </c>
      <c r="D1156" s="31" t="s">
        <v>334</v>
      </c>
      <c r="E1156" s="31" t="s">
        <v>368</v>
      </c>
      <c r="F1156" s="31" t="s">
        <v>373</v>
      </c>
      <c r="G1156" s="32" t="s">
        <v>15</v>
      </c>
      <c r="H1156" s="33"/>
      <c r="I1156" s="33"/>
      <c r="J1156" s="33"/>
      <c r="K1156" s="33"/>
      <c r="L1156" s="33"/>
      <c r="M1156" s="33"/>
      <c r="N1156" s="33"/>
      <c r="O1156" s="33"/>
      <c r="P1156" s="33"/>
      <c r="Q1156" s="33"/>
      <c r="R1156" s="34"/>
      <c r="S1156" s="34"/>
      <c r="T1156" s="34"/>
      <c r="U1156" s="34"/>
      <c r="V1156" s="34"/>
      <c r="W1156" s="34"/>
      <c r="X1156" s="34"/>
      <c r="Y1156" s="34"/>
    </row>
    <row r="1157" ht="15.0" hidden="1" customHeight="1">
      <c r="B1157" s="30">
        <v>1152.0</v>
      </c>
      <c r="C1157" s="31" t="s">
        <v>21</v>
      </c>
      <c r="D1157" s="31" t="s">
        <v>334</v>
      </c>
      <c r="E1157" s="31" t="s">
        <v>368</v>
      </c>
      <c r="F1157" s="31" t="s">
        <v>373</v>
      </c>
      <c r="G1157" s="32" t="s">
        <v>16</v>
      </c>
      <c r="H1157" s="33">
        <v>635.0</v>
      </c>
      <c r="I1157" s="33">
        <v>191.0</v>
      </c>
      <c r="J1157" s="33">
        <v>134.0</v>
      </c>
      <c r="K1157" s="33">
        <v>57.0</v>
      </c>
      <c r="L1157" s="33">
        <v>444.0</v>
      </c>
      <c r="M1157" s="33">
        <v>749.0</v>
      </c>
      <c r="N1157" s="33">
        <v>431.0</v>
      </c>
      <c r="O1157" s="33">
        <v>390.0</v>
      </c>
      <c r="P1157" s="33">
        <v>41.0</v>
      </c>
      <c r="Q1157" s="33">
        <v>318.0</v>
      </c>
      <c r="R1157" s="34">
        <v>30.0787402</v>
      </c>
      <c r="S1157" s="34">
        <v>21.1023622</v>
      </c>
      <c r="T1157" s="34">
        <v>8.976378</v>
      </c>
      <c r="U1157" s="34">
        <v>69.9212598</v>
      </c>
      <c r="V1157" s="34">
        <v>57.5433912</v>
      </c>
      <c r="W1157" s="34">
        <v>52.0694259</v>
      </c>
      <c r="X1157" s="34">
        <v>5.4739653</v>
      </c>
      <c r="Y1157" s="34">
        <v>42.4566088</v>
      </c>
    </row>
    <row r="1158" ht="15.0" hidden="1" customHeight="1">
      <c r="B1158" s="26">
        <v>1153.0</v>
      </c>
      <c r="C1158" s="27" t="s">
        <v>19</v>
      </c>
      <c r="D1158" s="40" t="s">
        <v>334</v>
      </c>
      <c r="E1158" s="40" t="s">
        <v>374</v>
      </c>
      <c r="F1158" s="40"/>
      <c r="G1158" s="27" t="s">
        <v>374</v>
      </c>
      <c r="H1158" s="28">
        <v>9507.0</v>
      </c>
      <c r="I1158" s="28">
        <v>6959.0</v>
      </c>
      <c r="J1158" s="28">
        <v>3928.0</v>
      </c>
      <c r="K1158" s="28">
        <v>3031.0</v>
      </c>
      <c r="L1158" s="28">
        <v>2548.0</v>
      </c>
      <c r="M1158" s="28">
        <v>12199.0</v>
      </c>
      <c r="N1158" s="28">
        <v>10187.0</v>
      </c>
      <c r="O1158" s="28">
        <v>8068.0</v>
      </c>
      <c r="P1158" s="28">
        <v>2119.0</v>
      </c>
      <c r="Q1158" s="28">
        <v>2012.0</v>
      </c>
      <c r="R1158" s="29">
        <v>73.1986957</v>
      </c>
      <c r="S1158" s="29">
        <v>41.3169244</v>
      </c>
      <c r="T1158" s="29">
        <v>31.8817713</v>
      </c>
      <c r="U1158" s="29">
        <v>26.8013043</v>
      </c>
      <c r="V1158" s="29">
        <v>83.5068448</v>
      </c>
      <c r="W1158" s="29">
        <v>66.1365686</v>
      </c>
      <c r="X1158" s="29">
        <v>17.3702763</v>
      </c>
      <c r="Y1158" s="29">
        <v>16.4931552</v>
      </c>
    </row>
    <row r="1159" ht="15.0" hidden="1" customHeight="1">
      <c r="B1159" s="30">
        <v>1154.0</v>
      </c>
      <c r="C1159" s="31" t="s">
        <v>19</v>
      </c>
      <c r="D1159" s="31" t="s">
        <v>334</v>
      </c>
      <c r="E1159" s="31" t="s">
        <v>374</v>
      </c>
      <c r="F1159" s="31"/>
      <c r="G1159" s="32" t="s">
        <v>15</v>
      </c>
      <c r="H1159" s="33">
        <v>4185.0</v>
      </c>
      <c r="I1159" s="33">
        <v>3773.0</v>
      </c>
      <c r="J1159" s="33">
        <v>2093.0</v>
      </c>
      <c r="K1159" s="33">
        <v>1680.0</v>
      </c>
      <c r="L1159" s="33">
        <v>412.0</v>
      </c>
      <c r="M1159" s="33">
        <v>5420.0</v>
      </c>
      <c r="N1159" s="33">
        <v>5250.0</v>
      </c>
      <c r="O1159" s="33">
        <v>3864.0</v>
      </c>
      <c r="P1159" s="33">
        <v>1386.0</v>
      </c>
      <c r="Q1159" s="33">
        <v>170.0</v>
      </c>
      <c r="R1159" s="34">
        <v>90.1553166</v>
      </c>
      <c r="S1159" s="34">
        <v>50.0119474</v>
      </c>
      <c r="T1159" s="34">
        <v>40.1433692</v>
      </c>
      <c r="U1159" s="34">
        <v>9.8446834</v>
      </c>
      <c r="V1159" s="34">
        <v>96.8634686</v>
      </c>
      <c r="W1159" s="34">
        <v>71.2915129</v>
      </c>
      <c r="X1159" s="34">
        <v>25.5719557</v>
      </c>
      <c r="Y1159" s="34">
        <v>3.1365314</v>
      </c>
    </row>
    <row r="1160" ht="15.0" hidden="1" customHeight="1">
      <c r="B1160" s="30">
        <v>1155.0</v>
      </c>
      <c r="C1160" s="31" t="s">
        <v>19</v>
      </c>
      <c r="D1160" s="31" t="s">
        <v>334</v>
      </c>
      <c r="E1160" s="31" t="s">
        <v>374</v>
      </c>
      <c r="F1160" s="31"/>
      <c r="G1160" s="32" t="s">
        <v>16</v>
      </c>
      <c r="H1160" s="33">
        <v>5322.0</v>
      </c>
      <c r="I1160" s="33">
        <v>3186.0</v>
      </c>
      <c r="J1160" s="33">
        <v>1835.0</v>
      </c>
      <c r="K1160" s="33">
        <v>1351.0</v>
      </c>
      <c r="L1160" s="33">
        <v>2136.0</v>
      </c>
      <c r="M1160" s="33">
        <v>6779.0</v>
      </c>
      <c r="N1160" s="33">
        <v>4937.0</v>
      </c>
      <c r="O1160" s="33">
        <v>4204.0</v>
      </c>
      <c r="P1160" s="33">
        <v>733.0</v>
      </c>
      <c r="Q1160" s="33">
        <v>1842.0</v>
      </c>
      <c r="R1160" s="34">
        <v>59.8647125</v>
      </c>
      <c r="S1160" s="34">
        <v>34.479519</v>
      </c>
      <c r="T1160" s="34">
        <v>25.3851935</v>
      </c>
      <c r="U1160" s="34">
        <v>40.1352875</v>
      </c>
      <c r="V1160" s="34">
        <v>72.8278507</v>
      </c>
      <c r="W1160" s="34">
        <v>62.0150465</v>
      </c>
      <c r="X1160" s="34">
        <v>10.8128042</v>
      </c>
      <c r="Y1160" s="34">
        <v>27.1721493</v>
      </c>
    </row>
    <row r="1161" ht="15.0" customHeight="1">
      <c r="B1161" s="35">
        <v>1156.0</v>
      </c>
      <c r="C1161" s="36" t="s">
        <v>21</v>
      </c>
      <c r="D1161" s="41" t="s">
        <v>334</v>
      </c>
      <c r="E1161" s="41" t="s">
        <v>374</v>
      </c>
      <c r="F1161" s="41" t="s">
        <v>375</v>
      </c>
      <c r="G1161" s="42" t="s">
        <v>375</v>
      </c>
      <c r="H1161" s="37">
        <v>3099.0</v>
      </c>
      <c r="I1161" s="37">
        <v>2124.0</v>
      </c>
      <c r="J1161" s="37">
        <v>1333.0</v>
      </c>
      <c r="K1161" s="37">
        <v>791.0</v>
      </c>
      <c r="L1161" s="37">
        <v>975.0</v>
      </c>
      <c r="M1161" s="37">
        <v>4052.0</v>
      </c>
      <c r="N1161" s="37">
        <v>3382.0</v>
      </c>
      <c r="O1161" s="37">
        <v>2777.0</v>
      </c>
      <c r="P1161" s="37">
        <v>605.0</v>
      </c>
      <c r="Q1161" s="37">
        <v>670.0</v>
      </c>
      <c r="R1161" s="38">
        <v>68.5382381</v>
      </c>
      <c r="S1161" s="38">
        <v>43.0138754</v>
      </c>
      <c r="T1161" s="38">
        <v>25.5243627</v>
      </c>
      <c r="U1161" s="38">
        <v>31.4617619</v>
      </c>
      <c r="V1161" s="38">
        <v>83.4649556</v>
      </c>
      <c r="W1161" s="38">
        <v>68.5340573</v>
      </c>
      <c r="X1161" s="38">
        <v>14.9308983</v>
      </c>
      <c r="Y1161" s="38">
        <v>16.5350444</v>
      </c>
    </row>
    <row r="1162" ht="15.0" hidden="1" customHeight="1">
      <c r="B1162" s="30">
        <v>1157.0</v>
      </c>
      <c r="C1162" s="31" t="s">
        <v>21</v>
      </c>
      <c r="D1162" s="31" t="s">
        <v>334</v>
      </c>
      <c r="E1162" s="31" t="s">
        <v>374</v>
      </c>
      <c r="F1162" s="31" t="s">
        <v>375</v>
      </c>
      <c r="G1162" s="32" t="s">
        <v>15</v>
      </c>
      <c r="H1162" s="33">
        <v>1290.0</v>
      </c>
      <c r="I1162" s="33">
        <v>1171.0</v>
      </c>
      <c r="J1162" s="33">
        <v>704.0</v>
      </c>
      <c r="K1162" s="33">
        <v>467.0</v>
      </c>
      <c r="L1162" s="33">
        <v>119.0</v>
      </c>
      <c r="M1162" s="33">
        <v>1760.0</v>
      </c>
      <c r="N1162" s="33">
        <v>1708.0</v>
      </c>
      <c r="O1162" s="33">
        <v>1297.0</v>
      </c>
      <c r="P1162" s="33">
        <v>411.0</v>
      </c>
      <c r="Q1162" s="33">
        <v>52.0</v>
      </c>
      <c r="R1162" s="34">
        <v>90.7751938</v>
      </c>
      <c r="S1162" s="34">
        <v>54.5736434</v>
      </c>
      <c r="T1162" s="34">
        <v>36.2015504</v>
      </c>
      <c r="U1162" s="34">
        <v>9.2248062</v>
      </c>
      <c r="V1162" s="34">
        <v>97.0454545</v>
      </c>
      <c r="W1162" s="34">
        <v>73.6931818</v>
      </c>
      <c r="X1162" s="34">
        <v>23.3522727</v>
      </c>
      <c r="Y1162" s="34">
        <v>2.9545455</v>
      </c>
    </row>
    <row r="1163" ht="15.0" hidden="1" customHeight="1">
      <c r="B1163" s="30">
        <v>1158.0</v>
      </c>
      <c r="C1163" s="31" t="s">
        <v>21</v>
      </c>
      <c r="D1163" s="31" t="s">
        <v>334</v>
      </c>
      <c r="E1163" s="31" t="s">
        <v>374</v>
      </c>
      <c r="F1163" s="31" t="s">
        <v>375</v>
      </c>
      <c r="G1163" s="32" t="s">
        <v>16</v>
      </c>
      <c r="H1163" s="33">
        <v>1809.0</v>
      </c>
      <c r="I1163" s="33">
        <v>953.0</v>
      </c>
      <c r="J1163" s="33">
        <v>629.0</v>
      </c>
      <c r="K1163" s="33">
        <v>324.0</v>
      </c>
      <c r="L1163" s="33">
        <v>856.0</v>
      </c>
      <c r="M1163" s="33">
        <v>2292.0</v>
      </c>
      <c r="N1163" s="33">
        <v>1674.0</v>
      </c>
      <c r="O1163" s="33">
        <v>1480.0</v>
      </c>
      <c r="P1163" s="33">
        <v>194.0</v>
      </c>
      <c r="Q1163" s="33">
        <v>618.0</v>
      </c>
      <c r="R1163" s="34">
        <v>52.6810392</v>
      </c>
      <c r="S1163" s="34">
        <v>34.7705915</v>
      </c>
      <c r="T1163" s="34">
        <v>17.9104478</v>
      </c>
      <c r="U1163" s="34">
        <v>47.3189608</v>
      </c>
      <c r="V1163" s="34">
        <v>73.0366492</v>
      </c>
      <c r="W1163" s="34">
        <v>64.5724258</v>
      </c>
      <c r="X1163" s="34">
        <v>8.4642234</v>
      </c>
      <c r="Y1163" s="34">
        <v>26.9633508</v>
      </c>
    </row>
    <row r="1164" ht="15.0" customHeight="1">
      <c r="B1164" s="35">
        <v>1159.0</v>
      </c>
      <c r="C1164" s="36" t="s">
        <v>21</v>
      </c>
      <c r="D1164" s="41" t="s">
        <v>334</v>
      </c>
      <c r="E1164" s="41" t="s">
        <v>374</v>
      </c>
      <c r="F1164" s="41" t="s">
        <v>376</v>
      </c>
      <c r="G1164" s="42" t="s">
        <v>376</v>
      </c>
      <c r="H1164" s="37">
        <v>2714.0</v>
      </c>
      <c r="I1164" s="37">
        <v>1990.0</v>
      </c>
      <c r="J1164" s="37">
        <v>1102.0</v>
      </c>
      <c r="K1164" s="37">
        <v>888.0</v>
      </c>
      <c r="L1164" s="37">
        <v>724.0</v>
      </c>
      <c r="M1164" s="37">
        <v>3050.0</v>
      </c>
      <c r="N1164" s="37">
        <v>2588.0</v>
      </c>
      <c r="O1164" s="37">
        <v>2089.0</v>
      </c>
      <c r="P1164" s="37">
        <v>499.0</v>
      </c>
      <c r="Q1164" s="37">
        <v>462.0</v>
      </c>
      <c r="R1164" s="38">
        <v>73.3235077</v>
      </c>
      <c r="S1164" s="38">
        <v>40.6042741</v>
      </c>
      <c r="T1164" s="38">
        <v>32.7192336</v>
      </c>
      <c r="U1164" s="38">
        <v>26.6764923</v>
      </c>
      <c r="V1164" s="38">
        <v>84.852459</v>
      </c>
      <c r="W1164" s="38">
        <v>68.4918033</v>
      </c>
      <c r="X1164" s="38">
        <v>16.3606557</v>
      </c>
      <c r="Y1164" s="38">
        <v>15.147541</v>
      </c>
    </row>
    <row r="1165" ht="15.0" hidden="1" customHeight="1">
      <c r="B1165" s="30">
        <v>1160.0</v>
      </c>
      <c r="C1165" s="31" t="s">
        <v>21</v>
      </c>
      <c r="D1165" s="31" t="s">
        <v>334</v>
      </c>
      <c r="E1165" s="31" t="s">
        <v>374</v>
      </c>
      <c r="F1165" s="31" t="s">
        <v>376</v>
      </c>
      <c r="G1165" s="32" t="s">
        <v>15</v>
      </c>
      <c r="H1165" s="33">
        <v>1002.0</v>
      </c>
      <c r="I1165" s="33">
        <v>858.0</v>
      </c>
      <c r="J1165" s="33">
        <v>433.0</v>
      </c>
      <c r="K1165" s="33">
        <v>425.0</v>
      </c>
      <c r="L1165" s="33">
        <v>144.0</v>
      </c>
      <c r="M1165" s="33">
        <v>1181.0</v>
      </c>
      <c r="N1165" s="33">
        <v>1124.0</v>
      </c>
      <c r="O1165" s="33">
        <v>863.0</v>
      </c>
      <c r="P1165" s="33">
        <v>261.0</v>
      </c>
      <c r="Q1165" s="33">
        <v>57.0</v>
      </c>
      <c r="R1165" s="34">
        <v>85.6287425</v>
      </c>
      <c r="S1165" s="34">
        <v>43.2135729</v>
      </c>
      <c r="T1165" s="34">
        <v>42.4151697</v>
      </c>
      <c r="U1165" s="34">
        <v>14.3712575</v>
      </c>
      <c r="V1165" s="34">
        <v>95.1735817</v>
      </c>
      <c r="W1165" s="34">
        <v>73.0736664</v>
      </c>
      <c r="X1165" s="34">
        <v>22.0999153</v>
      </c>
      <c r="Y1165" s="34">
        <v>4.8264183</v>
      </c>
    </row>
    <row r="1166" ht="15.0" hidden="1" customHeight="1">
      <c r="B1166" s="30">
        <v>1161.0</v>
      </c>
      <c r="C1166" s="31" t="s">
        <v>21</v>
      </c>
      <c r="D1166" s="31" t="s">
        <v>334</v>
      </c>
      <c r="E1166" s="31" t="s">
        <v>374</v>
      </c>
      <c r="F1166" s="31" t="s">
        <v>376</v>
      </c>
      <c r="G1166" s="32" t="s">
        <v>16</v>
      </c>
      <c r="H1166" s="33">
        <v>1712.0</v>
      </c>
      <c r="I1166" s="33">
        <v>1132.0</v>
      </c>
      <c r="J1166" s="33">
        <v>669.0</v>
      </c>
      <c r="K1166" s="33">
        <v>463.0</v>
      </c>
      <c r="L1166" s="33">
        <v>580.0</v>
      </c>
      <c r="M1166" s="33">
        <v>1869.0</v>
      </c>
      <c r="N1166" s="33">
        <v>1464.0</v>
      </c>
      <c r="O1166" s="33">
        <v>1226.0</v>
      </c>
      <c r="P1166" s="33">
        <v>238.0</v>
      </c>
      <c r="Q1166" s="33">
        <v>405.0</v>
      </c>
      <c r="R1166" s="34">
        <v>66.1214953</v>
      </c>
      <c r="S1166" s="34">
        <v>39.0771028</v>
      </c>
      <c r="T1166" s="34">
        <v>27.0443925</v>
      </c>
      <c r="U1166" s="34">
        <v>33.8785047</v>
      </c>
      <c r="V1166" s="34">
        <v>78.3306581</v>
      </c>
      <c r="W1166" s="34">
        <v>65.5965757</v>
      </c>
      <c r="X1166" s="34">
        <v>12.7340824</v>
      </c>
      <c r="Y1166" s="34">
        <v>21.6693419</v>
      </c>
    </row>
    <row r="1167" ht="15.0" customHeight="1">
      <c r="B1167" s="35">
        <v>1162.0</v>
      </c>
      <c r="C1167" s="36" t="s">
        <v>21</v>
      </c>
      <c r="D1167" s="41" t="s">
        <v>334</v>
      </c>
      <c r="E1167" s="41" t="s">
        <v>374</v>
      </c>
      <c r="F1167" s="41" t="s">
        <v>377</v>
      </c>
      <c r="G1167" s="42" t="s">
        <v>377</v>
      </c>
      <c r="H1167" s="37">
        <v>2964.0</v>
      </c>
      <c r="I1167" s="37">
        <v>2390.0</v>
      </c>
      <c r="J1167" s="37">
        <v>1305.0</v>
      </c>
      <c r="K1167" s="37">
        <v>1085.0</v>
      </c>
      <c r="L1167" s="37">
        <v>574.0</v>
      </c>
      <c r="M1167" s="37">
        <v>4310.0</v>
      </c>
      <c r="N1167" s="37">
        <v>3631.0</v>
      </c>
      <c r="O1167" s="37">
        <v>2691.0</v>
      </c>
      <c r="P1167" s="37">
        <v>940.0</v>
      </c>
      <c r="Q1167" s="37">
        <v>679.0</v>
      </c>
      <c r="R1167" s="38">
        <v>80.634278</v>
      </c>
      <c r="S1167" s="38">
        <v>44.0283401</v>
      </c>
      <c r="T1167" s="38">
        <v>36.6059379</v>
      </c>
      <c r="U1167" s="38">
        <v>19.365722</v>
      </c>
      <c r="V1167" s="38">
        <v>84.2459397</v>
      </c>
      <c r="W1167" s="38">
        <v>62.4361949</v>
      </c>
      <c r="X1167" s="38">
        <v>21.8097448</v>
      </c>
      <c r="Y1167" s="38">
        <v>15.7540603</v>
      </c>
    </row>
    <row r="1168" ht="15.0" hidden="1" customHeight="1">
      <c r="B1168" s="30">
        <v>1163.0</v>
      </c>
      <c r="C1168" s="31" t="s">
        <v>21</v>
      </c>
      <c r="D1168" s="31" t="s">
        <v>334</v>
      </c>
      <c r="E1168" s="31" t="s">
        <v>374</v>
      </c>
      <c r="F1168" s="31" t="s">
        <v>377</v>
      </c>
      <c r="G1168" s="32" t="s">
        <v>15</v>
      </c>
      <c r="H1168" s="33">
        <v>1893.0</v>
      </c>
      <c r="I1168" s="33">
        <v>1744.0</v>
      </c>
      <c r="J1168" s="33">
        <v>956.0</v>
      </c>
      <c r="K1168" s="33">
        <v>788.0</v>
      </c>
      <c r="L1168" s="33">
        <v>149.0</v>
      </c>
      <c r="M1168" s="33">
        <v>2479.0</v>
      </c>
      <c r="N1168" s="33">
        <v>2418.0</v>
      </c>
      <c r="O1168" s="33">
        <v>1704.0</v>
      </c>
      <c r="P1168" s="33">
        <v>714.0</v>
      </c>
      <c r="Q1168" s="33">
        <v>61.0</v>
      </c>
      <c r="R1168" s="34">
        <v>92.1288959</v>
      </c>
      <c r="S1168" s="34">
        <v>50.5018489</v>
      </c>
      <c r="T1168" s="34">
        <v>41.627047</v>
      </c>
      <c r="U1168" s="34">
        <v>7.8711041</v>
      </c>
      <c r="V1168" s="34">
        <v>97.5393304</v>
      </c>
      <c r="W1168" s="34">
        <v>68.7373941</v>
      </c>
      <c r="X1168" s="34">
        <v>28.8019363</v>
      </c>
      <c r="Y1168" s="34">
        <v>2.4606696</v>
      </c>
    </row>
    <row r="1169" ht="15.0" hidden="1" customHeight="1">
      <c r="B1169" s="30">
        <v>1164.0</v>
      </c>
      <c r="C1169" s="31" t="s">
        <v>21</v>
      </c>
      <c r="D1169" s="31" t="s">
        <v>334</v>
      </c>
      <c r="E1169" s="31" t="s">
        <v>374</v>
      </c>
      <c r="F1169" s="31" t="s">
        <v>377</v>
      </c>
      <c r="G1169" s="32" t="s">
        <v>16</v>
      </c>
      <c r="H1169" s="33">
        <v>1071.0</v>
      </c>
      <c r="I1169" s="33">
        <v>646.0</v>
      </c>
      <c r="J1169" s="33">
        <v>349.0</v>
      </c>
      <c r="K1169" s="33">
        <v>297.0</v>
      </c>
      <c r="L1169" s="33">
        <v>425.0</v>
      </c>
      <c r="M1169" s="33">
        <v>1831.0</v>
      </c>
      <c r="N1169" s="33">
        <v>1213.0</v>
      </c>
      <c r="O1169" s="33">
        <v>987.0</v>
      </c>
      <c r="P1169" s="33">
        <v>226.0</v>
      </c>
      <c r="Q1169" s="33">
        <v>618.0</v>
      </c>
      <c r="R1169" s="34">
        <v>60.3174603</v>
      </c>
      <c r="S1169" s="34">
        <v>32.5863679</v>
      </c>
      <c r="T1169" s="34">
        <v>27.7310924</v>
      </c>
      <c r="U1169" s="34">
        <v>39.6825397</v>
      </c>
      <c r="V1169" s="34">
        <v>66.2479519</v>
      </c>
      <c r="W1169" s="34">
        <v>53.90497</v>
      </c>
      <c r="X1169" s="34">
        <v>12.342982</v>
      </c>
      <c r="Y1169" s="34">
        <v>33.7520481</v>
      </c>
    </row>
    <row r="1170" ht="15.0" customHeight="1">
      <c r="B1170" s="35">
        <v>1165.0</v>
      </c>
      <c r="C1170" s="36" t="s">
        <v>21</v>
      </c>
      <c r="D1170" s="41" t="s">
        <v>334</v>
      </c>
      <c r="E1170" s="41" t="s">
        <v>374</v>
      </c>
      <c r="F1170" s="41" t="s">
        <v>378</v>
      </c>
      <c r="G1170" s="42" t="s">
        <v>378</v>
      </c>
      <c r="H1170" s="37">
        <v>730.0</v>
      </c>
      <c r="I1170" s="37">
        <v>455.0</v>
      </c>
      <c r="J1170" s="37">
        <v>188.0</v>
      </c>
      <c r="K1170" s="37">
        <v>267.0</v>
      </c>
      <c r="L1170" s="37">
        <v>275.0</v>
      </c>
      <c r="M1170" s="37">
        <v>787.0</v>
      </c>
      <c r="N1170" s="37">
        <v>586.0</v>
      </c>
      <c r="O1170" s="37">
        <v>511.0</v>
      </c>
      <c r="P1170" s="37">
        <v>75.0</v>
      </c>
      <c r="Q1170" s="37">
        <v>201.0</v>
      </c>
      <c r="R1170" s="38">
        <v>62.3287671</v>
      </c>
      <c r="S1170" s="38">
        <v>25.7534247</v>
      </c>
      <c r="T1170" s="38">
        <v>36.5753425</v>
      </c>
      <c r="U1170" s="38">
        <v>37.6712329</v>
      </c>
      <c r="V1170" s="38">
        <v>74.4599746</v>
      </c>
      <c r="W1170" s="38">
        <v>64.9301144</v>
      </c>
      <c r="X1170" s="38">
        <v>9.5298602</v>
      </c>
      <c r="Y1170" s="38">
        <v>25.5400254</v>
      </c>
    </row>
    <row r="1171" ht="15.0" hidden="1" customHeight="1">
      <c r="B1171" s="30">
        <v>1166.0</v>
      </c>
      <c r="C1171" s="31" t="s">
        <v>21</v>
      </c>
      <c r="D1171" s="31" t="s">
        <v>334</v>
      </c>
      <c r="E1171" s="31" t="s">
        <v>374</v>
      </c>
      <c r="F1171" s="31" t="s">
        <v>378</v>
      </c>
      <c r="G1171" s="32" t="s">
        <v>15</v>
      </c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4"/>
      <c r="S1171" s="34"/>
      <c r="T1171" s="34"/>
      <c r="U1171" s="34"/>
      <c r="V1171" s="34"/>
      <c r="W1171" s="34"/>
      <c r="X1171" s="34"/>
      <c r="Y1171" s="34"/>
    </row>
    <row r="1172" ht="15.0" hidden="1" customHeight="1">
      <c r="B1172" s="30">
        <v>1167.0</v>
      </c>
      <c r="C1172" s="31" t="s">
        <v>21</v>
      </c>
      <c r="D1172" s="31" t="s">
        <v>334</v>
      </c>
      <c r="E1172" s="31" t="s">
        <v>374</v>
      </c>
      <c r="F1172" s="31" t="s">
        <v>378</v>
      </c>
      <c r="G1172" s="32" t="s">
        <v>16</v>
      </c>
      <c r="H1172" s="33">
        <v>730.0</v>
      </c>
      <c r="I1172" s="33">
        <v>455.0</v>
      </c>
      <c r="J1172" s="33">
        <v>188.0</v>
      </c>
      <c r="K1172" s="33">
        <v>267.0</v>
      </c>
      <c r="L1172" s="33">
        <v>275.0</v>
      </c>
      <c r="M1172" s="33">
        <v>787.0</v>
      </c>
      <c r="N1172" s="33">
        <v>586.0</v>
      </c>
      <c r="O1172" s="33">
        <v>511.0</v>
      </c>
      <c r="P1172" s="33">
        <v>75.0</v>
      </c>
      <c r="Q1172" s="33">
        <v>201.0</v>
      </c>
      <c r="R1172" s="34">
        <v>62.3287671</v>
      </c>
      <c r="S1172" s="34">
        <v>25.7534247</v>
      </c>
      <c r="T1172" s="34">
        <v>36.5753425</v>
      </c>
      <c r="U1172" s="34">
        <v>37.6712329</v>
      </c>
      <c r="V1172" s="34">
        <v>74.4599746</v>
      </c>
      <c r="W1172" s="34">
        <v>64.9301144</v>
      </c>
      <c r="X1172" s="34">
        <v>9.5298602</v>
      </c>
      <c r="Y1172" s="34">
        <v>25.5400254</v>
      </c>
    </row>
    <row r="1173" ht="15.0" hidden="1" customHeight="1">
      <c r="B1173" s="26">
        <v>1168.0</v>
      </c>
      <c r="C1173" s="27" t="s">
        <v>19</v>
      </c>
      <c r="D1173" s="40" t="s">
        <v>334</v>
      </c>
      <c r="E1173" s="40" t="s">
        <v>379</v>
      </c>
      <c r="F1173" s="40"/>
      <c r="G1173" s="27" t="s">
        <v>379</v>
      </c>
      <c r="H1173" s="28">
        <v>41546.0</v>
      </c>
      <c r="I1173" s="28">
        <v>36447.0</v>
      </c>
      <c r="J1173" s="28">
        <v>16633.0</v>
      </c>
      <c r="K1173" s="28">
        <v>19814.0</v>
      </c>
      <c r="L1173" s="28">
        <v>5099.0</v>
      </c>
      <c r="M1173" s="28">
        <v>51149.0</v>
      </c>
      <c r="N1173" s="28">
        <v>48319.0</v>
      </c>
      <c r="O1173" s="28">
        <v>38045.0</v>
      </c>
      <c r="P1173" s="28">
        <v>10274.0</v>
      </c>
      <c r="Q1173" s="28">
        <v>2830.0</v>
      </c>
      <c r="R1173" s="29">
        <v>87.726857</v>
      </c>
      <c r="S1173" s="29">
        <v>40.0351418</v>
      </c>
      <c r="T1173" s="29">
        <v>47.6917152</v>
      </c>
      <c r="U1173" s="29">
        <v>12.273143</v>
      </c>
      <c r="V1173" s="29">
        <v>94.467145</v>
      </c>
      <c r="W1173" s="29">
        <v>74.3807308</v>
      </c>
      <c r="X1173" s="29">
        <v>20.0864142</v>
      </c>
      <c r="Y1173" s="29">
        <v>5.532855</v>
      </c>
    </row>
    <row r="1174" ht="15.0" hidden="1" customHeight="1">
      <c r="B1174" s="30">
        <v>1169.0</v>
      </c>
      <c r="C1174" s="31" t="s">
        <v>19</v>
      </c>
      <c r="D1174" s="31" t="s">
        <v>334</v>
      </c>
      <c r="E1174" s="31" t="s">
        <v>379</v>
      </c>
      <c r="F1174" s="31"/>
      <c r="G1174" s="32" t="s">
        <v>15</v>
      </c>
      <c r="H1174" s="33">
        <v>34714.0</v>
      </c>
      <c r="I1174" s="33">
        <v>31286.0</v>
      </c>
      <c r="J1174" s="33">
        <v>14079.0</v>
      </c>
      <c r="K1174" s="33">
        <v>17207.0</v>
      </c>
      <c r="L1174" s="33">
        <v>3428.0</v>
      </c>
      <c r="M1174" s="33">
        <v>45332.0</v>
      </c>
      <c r="N1174" s="33">
        <v>43395.0</v>
      </c>
      <c r="O1174" s="33">
        <v>33821.0</v>
      </c>
      <c r="P1174" s="33">
        <v>9574.0</v>
      </c>
      <c r="Q1174" s="33">
        <v>1937.0</v>
      </c>
      <c r="R1174" s="34">
        <v>90.1250216</v>
      </c>
      <c r="S1174" s="34">
        <v>40.5571239</v>
      </c>
      <c r="T1174" s="34">
        <v>49.5678977</v>
      </c>
      <c r="U1174" s="34">
        <v>9.8749784</v>
      </c>
      <c r="V1174" s="34">
        <v>95.7270802</v>
      </c>
      <c r="W1174" s="34">
        <v>74.6073414</v>
      </c>
      <c r="X1174" s="34">
        <v>21.1197388</v>
      </c>
      <c r="Y1174" s="34">
        <v>4.2729198</v>
      </c>
    </row>
    <row r="1175" ht="15.0" hidden="1" customHeight="1">
      <c r="B1175" s="30">
        <v>1170.0</v>
      </c>
      <c r="C1175" s="31" t="s">
        <v>19</v>
      </c>
      <c r="D1175" s="31" t="s">
        <v>334</v>
      </c>
      <c r="E1175" s="31" t="s">
        <v>379</v>
      </c>
      <c r="F1175" s="31"/>
      <c r="G1175" s="32" t="s">
        <v>16</v>
      </c>
      <c r="H1175" s="33">
        <v>6832.0</v>
      </c>
      <c r="I1175" s="33">
        <v>5161.0</v>
      </c>
      <c r="J1175" s="33">
        <v>2554.0</v>
      </c>
      <c r="K1175" s="33">
        <v>2607.0</v>
      </c>
      <c r="L1175" s="33">
        <v>1671.0</v>
      </c>
      <c r="M1175" s="33">
        <v>5817.0</v>
      </c>
      <c r="N1175" s="33">
        <v>4924.0</v>
      </c>
      <c r="O1175" s="33">
        <v>4224.0</v>
      </c>
      <c r="P1175" s="33">
        <v>700.0</v>
      </c>
      <c r="Q1175" s="33">
        <v>893.0</v>
      </c>
      <c r="R1175" s="34">
        <v>75.5415691</v>
      </c>
      <c r="S1175" s="34">
        <v>37.382904</v>
      </c>
      <c r="T1175" s="34">
        <v>38.1586651</v>
      </c>
      <c r="U1175" s="34">
        <v>24.4584309</v>
      </c>
      <c r="V1175" s="34">
        <v>84.6484442</v>
      </c>
      <c r="W1175" s="34">
        <v>72.6147499</v>
      </c>
      <c r="X1175" s="34">
        <v>12.0336943</v>
      </c>
      <c r="Y1175" s="34">
        <v>15.3515558</v>
      </c>
    </row>
    <row r="1176" ht="15.0" customHeight="1">
      <c r="B1176" s="35">
        <v>1171.0</v>
      </c>
      <c r="C1176" s="36" t="s">
        <v>21</v>
      </c>
      <c r="D1176" s="41" t="s">
        <v>334</v>
      </c>
      <c r="E1176" s="41" t="s">
        <v>379</v>
      </c>
      <c r="F1176" s="41" t="s">
        <v>380</v>
      </c>
      <c r="G1176" s="42" t="s">
        <v>380</v>
      </c>
      <c r="H1176" s="37">
        <v>26343.0</v>
      </c>
      <c r="I1176" s="37">
        <v>23643.0</v>
      </c>
      <c r="J1176" s="37">
        <v>10113.0</v>
      </c>
      <c r="K1176" s="37">
        <v>13530.0</v>
      </c>
      <c r="L1176" s="37">
        <v>2700.0</v>
      </c>
      <c r="M1176" s="37">
        <v>33384.0</v>
      </c>
      <c r="N1176" s="37">
        <v>32134.0</v>
      </c>
      <c r="O1176" s="37">
        <v>24676.0</v>
      </c>
      <c r="P1176" s="37">
        <v>7458.0</v>
      </c>
      <c r="Q1176" s="37">
        <v>1250.0</v>
      </c>
      <c r="R1176" s="38">
        <v>89.7505979</v>
      </c>
      <c r="S1176" s="38">
        <v>38.389705</v>
      </c>
      <c r="T1176" s="38">
        <v>51.3608928</v>
      </c>
      <c r="U1176" s="38">
        <v>10.2494021</v>
      </c>
      <c r="V1176" s="38">
        <v>96.2556913</v>
      </c>
      <c r="W1176" s="38">
        <v>73.9156482</v>
      </c>
      <c r="X1176" s="38">
        <v>22.3400431</v>
      </c>
      <c r="Y1176" s="38">
        <v>3.7443087</v>
      </c>
    </row>
    <row r="1177" ht="15.0" hidden="1" customHeight="1">
      <c r="B1177" s="30">
        <v>1172.0</v>
      </c>
      <c r="C1177" s="31" t="s">
        <v>21</v>
      </c>
      <c r="D1177" s="31" t="s">
        <v>334</v>
      </c>
      <c r="E1177" s="31" t="s">
        <v>379</v>
      </c>
      <c r="F1177" s="31" t="s">
        <v>380</v>
      </c>
      <c r="G1177" s="32" t="s">
        <v>15</v>
      </c>
      <c r="H1177" s="33">
        <v>25783.0</v>
      </c>
      <c r="I1177" s="33">
        <v>23259.0</v>
      </c>
      <c r="J1177" s="33">
        <v>9938.0</v>
      </c>
      <c r="K1177" s="33">
        <v>13321.0</v>
      </c>
      <c r="L1177" s="33">
        <v>2524.0</v>
      </c>
      <c r="M1177" s="33">
        <v>33175.0</v>
      </c>
      <c r="N1177" s="33">
        <v>31956.0</v>
      </c>
      <c r="O1177" s="33">
        <v>24542.0</v>
      </c>
      <c r="P1177" s="33">
        <v>7414.0</v>
      </c>
      <c r="Q1177" s="33">
        <v>1219.0</v>
      </c>
      <c r="R1177" s="34">
        <v>90.2106039</v>
      </c>
      <c r="S1177" s="34">
        <v>38.5447776</v>
      </c>
      <c r="T1177" s="34">
        <v>51.6658263</v>
      </c>
      <c r="U1177" s="34">
        <v>9.7893961</v>
      </c>
      <c r="V1177" s="34">
        <v>96.3255463</v>
      </c>
      <c r="W1177" s="34">
        <v>73.9773926</v>
      </c>
      <c r="X1177" s="34">
        <v>22.3481537</v>
      </c>
      <c r="Y1177" s="34">
        <v>3.6744537</v>
      </c>
    </row>
    <row r="1178" ht="15.0" hidden="1" customHeight="1">
      <c r="B1178" s="30">
        <v>1173.0</v>
      </c>
      <c r="C1178" s="31" t="s">
        <v>21</v>
      </c>
      <c r="D1178" s="31" t="s">
        <v>334</v>
      </c>
      <c r="E1178" s="31" t="s">
        <v>379</v>
      </c>
      <c r="F1178" s="31" t="s">
        <v>380</v>
      </c>
      <c r="G1178" s="32" t="s">
        <v>16</v>
      </c>
      <c r="H1178" s="33">
        <v>560.0</v>
      </c>
      <c r="I1178" s="33">
        <v>384.0</v>
      </c>
      <c r="J1178" s="33">
        <v>175.0</v>
      </c>
      <c r="K1178" s="33">
        <v>209.0</v>
      </c>
      <c r="L1178" s="33">
        <v>176.0</v>
      </c>
      <c r="M1178" s="33">
        <v>209.0</v>
      </c>
      <c r="N1178" s="33">
        <v>178.0</v>
      </c>
      <c r="O1178" s="33">
        <v>134.0</v>
      </c>
      <c r="P1178" s="33">
        <v>44.0</v>
      </c>
      <c r="Q1178" s="33">
        <v>31.0</v>
      </c>
      <c r="R1178" s="34">
        <v>68.5714286</v>
      </c>
      <c r="S1178" s="34">
        <v>31.25</v>
      </c>
      <c r="T1178" s="34">
        <v>37.3214286</v>
      </c>
      <c r="U1178" s="34">
        <v>31.4285714</v>
      </c>
      <c r="V1178" s="34">
        <v>85.1674641</v>
      </c>
      <c r="W1178" s="34">
        <v>64.1148325</v>
      </c>
      <c r="X1178" s="34">
        <v>21.0526316</v>
      </c>
      <c r="Y1178" s="34">
        <v>14.8325359</v>
      </c>
    </row>
    <row r="1179" ht="15.0" customHeight="1">
      <c r="B1179" s="35">
        <v>1174.0</v>
      </c>
      <c r="C1179" s="36" t="s">
        <v>21</v>
      </c>
      <c r="D1179" s="41" t="s">
        <v>334</v>
      </c>
      <c r="E1179" s="41" t="s">
        <v>379</v>
      </c>
      <c r="F1179" s="41" t="s">
        <v>381</v>
      </c>
      <c r="G1179" s="42" t="s">
        <v>381</v>
      </c>
      <c r="H1179" s="37">
        <v>3236.0</v>
      </c>
      <c r="I1179" s="37">
        <v>2607.0</v>
      </c>
      <c r="J1179" s="37">
        <v>1324.0</v>
      </c>
      <c r="K1179" s="37">
        <v>1283.0</v>
      </c>
      <c r="L1179" s="37">
        <v>629.0</v>
      </c>
      <c r="M1179" s="37">
        <v>4358.0</v>
      </c>
      <c r="N1179" s="37">
        <v>3914.0</v>
      </c>
      <c r="O1179" s="37">
        <v>3236.0</v>
      </c>
      <c r="P1179" s="37">
        <v>678.0</v>
      </c>
      <c r="Q1179" s="37">
        <v>444.0</v>
      </c>
      <c r="R1179" s="38">
        <v>80.5624227</v>
      </c>
      <c r="S1179" s="38">
        <v>40.9147095</v>
      </c>
      <c r="T1179" s="38">
        <v>39.6477132</v>
      </c>
      <c r="U1179" s="38">
        <v>19.4375773</v>
      </c>
      <c r="V1179" s="38">
        <v>89.8118403</v>
      </c>
      <c r="W1179" s="38">
        <v>74.2542451</v>
      </c>
      <c r="X1179" s="38">
        <v>15.5575952</v>
      </c>
      <c r="Y1179" s="38">
        <v>10.1881597</v>
      </c>
    </row>
    <row r="1180" ht="15.0" hidden="1" customHeight="1">
      <c r="B1180" s="30">
        <v>1175.0</v>
      </c>
      <c r="C1180" s="31" t="s">
        <v>21</v>
      </c>
      <c r="D1180" s="31" t="s">
        <v>334</v>
      </c>
      <c r="E1180" s="31" t="s">
        <v>379</v>
      </c>
      <c r="F1180" s="31" t="s">
        <v>381</v>
      </c>
      <c r="G1180" s="32" t="s">
        <v>15</v>
      </c>
      <c r="H1180" s="33">
        <v>1177.0</v>
      </c>
      <c r="I1180" s="33">
        <v>1086.0</v>
      </c>
      <c r="J1180" s="33">
        <v>516.0</v>
      </c>
      <c r="K1180" s="33">
        <v>570.0</v>
      </c>
      <c r="L1180" s="33">
        <v>91.0</v>
      </c>
      <c r="M1180" s="33">
        <v>1986.0</v>
      </c>
      <c r="N1180" s="33">
        <v>1882.0</v>
      </c>
      <c r="O1180" s="33">
        <v>1475.0</v>
      </c>
      <c r="P1180" s="33">
        <v>407.0</v>
      </c>
      <c r="Q1180" s="33">
        <v>104.0</v>
      </c>
      <c r="R1180" s="34">
        <v>92.2684792</v>
      </c>
      <c r="S1180" s="34">
        <v>43.8402719</v>
      </c>
      <c r="T1180" s="34">
        <v>48.4282073</v>
      </c>
      <c r="U1180" s="34">
        <v>7.7315208</v>
      </c>
      <c r="V1180" s="34">
        <v>94.7633434</v>
      </c>
      <c r="W1180" s="34">
        <v>74.2698892</v>
      </c>
      <c r="X1180" s="34">
        <v>20.4934542</v>
      </c>
      <c r="Y1180" s="34">
        <v>5.2366566</v>
      </c>
    </row>
    <row r="1181" ht="15.0" hidden="1" customHeight="1">
      <c r="B1181" s="30">
        <v>1176.0</v>
      </c>
      <c r="C1181" s="31" t="s">
        <v>21</v>
      </c>
      <c r="D1181" s="31" t="s">
        <v>334</v>
      </c>
      <c r="E1181" s="31" t="s">
        <v>379</v>
      </c>
      <c r="F1181" s="31" t="s">
        <v>381</v>
      </c>
      <c r="G1181" s="32" t="s">
        <v>16</v>
      </c>
      <c r="H1181" s="33">
        <v>2059.0</v>
      </c>
      <c r="I1181" s="33">
        <v>1521.0</v>
      </c>
      <c r="J1181" s="33">
        <v>808.0</v>
      </c>
      <c r="K1181" s="33">
        <v>713.0</v>
      </c>
      <c r="L1181" s="33">
        <v>538.0</v>
      </c>
      <c r="M1181" s="33">
        <v>2372.0</v>
      </c>
      <c r="N1181" s="33">
        <v>2032.0</v>
      </c>
      <c r="O1181" s="33">
        <v>1761.0</v>
      </c>
      <c r="P1181" s="33">
        <v>271.0</v>
      </c>
      <c r="Q1181" s="33">
        <v>340.0</v>
      </c>
      <c r="R1181" s="34">
        <v>73.8708111</v>
      </c>
      <c r="S1181" s="34">
        <v>39.2423507</v>
      </c>
      <c r="T1181" s="34">
        <v>34.6284604</v>
      </c>
      <c r="U1181" s="34">
        <v>26.1291889</v>
      </c>
      <c r="V1181" s="34">
        <v>85.6661046</v>
      </c>
      <c r="W1181" s="34">
        <v>74.2411467</v>
      </c>
      <c r="X1181" s="34">
        <v>11.4249578</v>
      </c>
      <c r="Y1181" s="34">
        <v>14.3338954</v>
      </c>
    </row>
    <row r="1182" ht="15.0" customHeight="1">
      <c r="B1182" s="35">
        <v>1177.0</v>
      </c>
      <c r="C1182" s="36" t="s">
        <v>21</v>
      </c>
      <c r="D1182" s="41" t="s">
        <v>334</v>
      </c>
      <c r="E1182" s="41" t="s">
        <v>379</v>
      </c>
      <c r="F1182" s="41" t="s">
        <v>382</v>
      </c>
      <c r="G1182" s="42" t="s">
        <v>382</v>
      </c>
      <c r="H1182" s="37">
        <v>5327.0</v>
      </c>
      <c r="I1182" s="37">
        <v>4421.0</v>
      </c>
      <c r="J1182" s="37">
        <v>2189.0</v>
      </c>
      <c r="K1182" s="37">
        <v>2232.0</v>
      </c>
      <c r="L1182" s="37">
        <v>906.0</v>
      </c>
      <c r="M1182" s="37">
        <v>6194.0</v>
      </c>
      <c r="N1182" s="37">
        <v>5774.0</v>
      </c>
      <c r="O1182" s="37">
        <v>4738.0</v>
      </c>
      <c r="P1182" s="37">
        <v>1036.0</v>
      </c>
      <c r="Q1182" s="37">
        <v>420.0</v>
      </c>
      <c r="R1182" s="38">
        <v>82.9923034</v>
      </c>
      <c r="S1182" s="38">
        <v>41.0925474</v>
      </c>
      <c r="T1182" s="38">
        <v>41.899756</v>
      </c>
      <c r="U1182" s="38">
        <v>17.0076966</v>
      </c>
      <c r="V1182" s="38">
        <v>93.2192444</v>
      </c>
      <c r="W1182" s="38">
        <v>76.4933807</v>
      </c>
      <c r="X1182" s="38">
        <v>16.7258637</v>
      </c>
      <c r="Y1182" s="38">
        <v>6.7807556</v>
      </c>
    </row>
    <row r="1183" ht="15.0" hidden="1" customHeight="1">
      <c r="B1183" s="30">
        <v>1178.0</v>
      </c>
      <c r="C1183" s="31" t="s">
        <v>21</v>
      </c>
      <c r="D1183" s="31" t="s">
        <v>334</v>
      </c>
      <c r="E1183" s="31" t="s">
        <v>379</v>
      </c>
      <c r="F1183" s="31" t="s">
        <v>382</v>
      </c>
      <c r="G1183" s="32" t="s">
        <v>15</v>
      </c>
      <c r="H1183" s="33">
        <v>4211.0</v>
      </c>
      <c r="I1183" s="33">
        <v>3739.0</v>
      </c>
      <c r="J1183" s="33">
        <v>1865.0</v>
      </c>
      <c r="K1183" s="33">
        <v>1874.0</v>
      </c>
      <c r="L1183" s="33">
        <v>472.0</v>
      </c>
      <c r="M1183" s="33">
        <v>4954.0</v>
      </c>
      <c r="N1183" s="33">
        <v>4779.0</v>
      </c>
      <c r="O1183" s="33">
        <v>3830.0</v>
      </c>
      <c r="P1183" s="33">
        <v>949.0</v>
      </c>
      <c r="Q1183" s="33">
        <v>175.0</v>
      </c>
      <c r="R1183" s="34">
        <v>88.791261</v>
      </c>
      <c r="S1183" s="34">
        <v>44.2887675</v>
      </c>
      <c r="T1183" s="34">
        <v>44.5024935</v>
      </c>
      <c r="U1183" s="34">
        <v>11.208739</v>
      </c>
      <c r="V1183" s="34">
        <v>96.467501</v>
      </c>
      <c r="W1183" s="34">
        <v>77.3112636</v>
      </c>
      <c r="X1183" s="34">
        <v>19.1562374</v>
      </c>
      <c r="Y1183" s="34">
        <v>3.532499</v>
      </c>
    </row>
    <row r="1184" ht="15.0" hidden="1" customHeight="1">
      <c r="B1184" s="30">
        <v>1179.0</v>
      </c>
      <c r="C1184" s="31" t="s">
        <v>21</v>
      </c>
      <c r="D1184" s="31" t="s">
        <v>334</v>
      </c>
      <c r="E1184" s="31" t="s">
        <v>379</v>
      </c>
      <c r="F1184" s="31" t="s">
        <v>382</v>
      </c>
      <c r="G1184" s="32" t="s">
        <v>16</v>
      </c>
      <c r="H1184" s="33">
        <v>1116.0</v>
      </c>
      <c r="I1184" s="33">
        <v>682.0</v>
      </c>
      <c r="J1184" s="33">
        <v>324.0</v>
      </c>
      <c r="K1184" s="33">
        <v>358.0</v>
      </c>
      <c r="L1184" s="33">
        <v>434.0</v>
      </c>
      <c r="M1184" s="33">
        <v>1240.0</v>
      </c>
      <c r="N1184" s="33">
        <v>995.0</v>
      </c>
      <c r="O1184" s="33">
        <v>908.0</v>
      </c>
      <c r="P1184" s="33">
        <v>87.0</v>
      </c>
      <c r="Q1184" s="33">
        <v>245.0</v>
      </c>
      <c r="R1184" s="34">
        <v>61.1111111</v>
      </c>
      <c r="S1184" s="34">
        <v>29.0322581</v>
      </c>
      <c r="T1184" s="34">
        <v>32.078853</v>
      </c>
      <c r="U1184" s="34">
        <v>38.8888889</v>
      </c>
      <c r="V1184" s="34">
        <v>80.2419355</v>
      </c>
      <c r="W1184" s="34">
        <v>73.2258065</v>
      </c>
      <c r="X1184" s="34">
        <v>7.016129</v>
      </c>
      <c r="Y1184" s="34">
        <v>19.7580645</v>
      </c>
    </row>
    <row r="1185" ht="15.0" customHeight="1">
      <c r="B1185" s="35">
        <v>1180.0</v>
      </c>
      <c r="C1185" s="36" t="s">
        <v>21</v>
      </c>
      <c r="D1185" s="41" t="s">
        <v>334</v>
      </c>
      <c r="E1185" s="41" t="s">
        <v>379</v>
      </c>
      <c r="F1185" s="41" t="s">
        <v>383</v>
      </c>
      <c r="G1185" s="42" t="s">
        <v>383</v>
      </c>
      <c r="H1185" s="37">
        <v>3163.0</v>
      </c>
      <c r="I1185" s="37">
        <v>2593.0</v>
      </c>
      <c r="J1185" s="37">
        <v>1494.0</v>
      </c>
      <c r="K1185" s="37">
        <v>1099.0</v>
      </c>
      <c r="L1185" s="37">
        <v>570.0</v>
      </c>
      <c r="M1185" s="37">
        <v>3438.0</v>
      </c>
      <c r="N1185" s="37">
        <v>3011.0</v>
      </c>
      <c r="O1185" s="37">
        <v>2602.0</v>
      </c>
      <c r="P1185" s="37">
        <v>409.0</v>
      </c>
      <c r="Q1185" s="37">
        <v>427.0</v>
      </c>
      <c r="R1185" s="38">
        <v>81.9791337</v>
      </c>
      <c r="S1185" s="38">
        <v>47.233639</v>
      </c>
      <c r="T1185" s="38">
        <v>34.7454948</v>
      </c>
      <c r="U1185" s="38">
        <v>18.0208663</v>
      </c>
      <c r="V1185" s="38">
        <v>87.5799884</v>
      </c>
      <c r="W1185" s="38">
        <v>75.6835369</v>
      </c>
      <c r="X1185" s="38">
        <v>11.8964514</v>
      </c>
      <c r="Y1185" s="38">
        <v>12.4200116</v>
      </c>
    </row>
    <row r="1186" ht="15.0" hidden="1" customHeight="1">
      <c r="B1186" s="30">
        <v>1181.0</v>
      </c>
      <c r="C1186" s="31" t="s">
        <v>21</v>
      </c>
      <c r="D1186" s="31" t="s">
        <v>334</v>
      </c>
      <c r="E1186" s="31" t="s">
        <v>379</v>
      </c>
      <c r="F1186" s="31" t="s">
        <v>383</v>
      </c>
      <c r="G1186" s="32" t="s">
        <v>15</v>
      </c>
      <c r="H1186" s="33">
        <v>2113.0</v>
      </c>
      <c r="I1186" s="33">
        <v>1845.0</v>
      </c>
      <c r="J1186" s="33">
        <v>1132.0</v>
      </c>
      <c r="K1186" s="33">
        <v>713.0</v>
      </c>
      <c r="L1186" s="33">
        <v>268.0</v>
      </c>
      <c r="M1186" s="33">
        <v>2870.0</v>
      </c>
      <c r="N1186" s="33">
        <v>2576.0</v>
      </c>
      <c r="O1186" s="33">
        <v>2241.0</v>
      </c>
      <c r="P1186" s="33">
        <v>335.0</v>
      </c>
      <c r="Q1186" s="33">
        <v>294.0</v>
      </c>
      <c r="R1186" s="34">
        <v>87.3166115</v>
      </c>
      <c r="S1186" s="34">
        <v>53.5731188</v>
      </c>
      <c r="T1186" s="34">
        <v>33.7434927</v>
      </c>
      <c r="U1186" s="34">
        <v>12.6833885</v>
      </c>
      <c r="V1186" s="34">
        <v>89.7560976</v>
      </c>
      <c r="W1186" s="34">
        <v>78.0836237</v>
      </c>
      <c r="X1186" s="34">
        <v>11.6724739</v>
      </c>
      <c r="Y1186" s="34">
        <v>10.2439024</v>
      </c>
    </row>
    <row r="1187" ht="15.0" hidden="1" customHeight="1">
      <c r="B1187" s="30">
        <v>1182.0</v>
      </c>
      <c r="C1187" s="31" t="s">
        <v>21</v>
      </c>
      <c r="D1187" s="31" t="s">
        <v>334</v>
      </c>
      <c r="E1187" s="31" t="s">
        <v>379</v>
      </c>
      <c r="F1187" s="31" t="s">
        <v>383</v>
      </c>
      <c r="G1187" s="32" t="s">
        <v>16</v>
      </c>
      <c r="H1187" s="33">
        <v>1050.0</v>
      </c>
      <c r="I1187" s="33">
        <v>748.0</v>
      </c>
      <c r="J1187" s="33">
        <v>362.0</v>
      </c>
      <c r="K1187" s="33">
        <v>386.0</v>
      </c>
      <c r="L1187" s="33">
        <v>302.0</v>
      </c>
      <c r="M1187" s="33">
        <v>568.0</v>
      </c>
      <c r="N1187" s="33">
        <v>435.0</v>
      </c>
      <c r="O1187" s="33">
        <v>361.0</v>
      </c>
      <c r="P1187" s="33">
        <v>74.0</v>
      </c>
      <c r="Q1187" s="33">
        <v>133.0</v>
      </c>
      <c r="R1187" s="34">
        <v>71.2380952</v>
      </c>
      <c r="S1187" s="34">
        <v>34.4761905</v>
      </c>
      <c r="T1187" s="34">
        <v>36.7619048</v>
      </c>
      <c r="U1187" s="34">
        <v>28.7619048</v>
      </c>
      <c r="V1187" s="34">
        <v>76.584507</v>
      </c>
      <c r="W1187" s="34">
        <v>63.556338</v>
      </c>
      <c r="X1187" s="34">
        <v>13.028169</v>
      </c>
      <c r="Y1187" s="34">
        <v>23.415493</v>
      </c>
    </row>
    <row r="1188" ht="15.0" customHeight="1">
      <c r="B1188" s="35">
        <v>1183.0</v>
      </c>
      <c r="C1188" s="36" t="s">
        <v>21</v>
      </c>
      <c r="D1188" s="41" t="s">
        <v>334</v>
      </c>
      <c r="E1188" s="41" t="s">
        <v>379</v>
      </c>
      <c r="F1188" s="41" t="s">
        <v>282</v>
      </c>
      <c r="G1188" s="42" t="s">
        <v>282</v>
      </c>
      <c r="H1188" s="37">
        <v>3477.0</v>
      </c>
      <c r="I1188" s="37">
        <v>3183.0</v>
      </c>
      <c r="J1188" s="37">
        <v>1513.0</v>
      </c>
      <c r="K1188" s="37">
        <v>1670.0</v>
      </c>
      <c r="L1188" s="37">
        <v>294.0</v>
      </c>
      <c r="M1188" s="37">
        <v>3775.0</v>
      </c>
      <c r="N1188" s="37">
        <v>3486.0</v>
      </c>
      <c r="O1188" s="37">
        <v>2793.0</v>
      </c>
      <c r="P1188" s="37">
        <v>693.0</v>
      </c>
      <c r="Q1188" s="37">
        <v>289.0</v>
      </c>
      <c r="R1188" s="38">
        <v>91.5444349</v>
      </c>
      <c r="S1188" s="38">
        <v>43.514524</v>
      </c>
      <c r="T1188" s="38">
        <v>48.0299108</v>
      </c>
      <c r="U1188" s="38">
        <v>8.4555651</v>
      </c>
      <c r="V1188" s="38">
        <v>92.3443709</v>
      </c>
      <c r="W1188" s="38">
        <v>73.986755</v>
      </c>
      <c r="X1188" s="38">
        <v>18.3576159</v>
      </c>
      <c r="Y1188" s="38">
        <v>7.6556291</v>
      </c>
    </row>
    <row r="1189" ht="15.0" hidden="1" customHeight="1">
      <c r="B1189" s="30">
        <v>1184.0</v>
      </c>
      <c r="C1189" s="31" t="s">
        <v>21</v>
      </c>
      <c r="D1189" s="31" t="s">
        <v>334</v>
      </c>
      <c r="E1189" s="31" t="s">
        <v>379</v>
      </c>
      <c r="F1189" s="31" t="s">
        <v>282</v>
      </c>
      <c r="G1189" s="32" t="s">
        <v>15</v>
      </c>
      <c r="H1189" s="33">
        <v>1430.0</v>
      </c>
      <c r="I1189" s="33">
        <v>1357.0</v>
      </c>
      <c r="J1189" s="33">
        <v>628.0</v>
      </c>
      <c r="K1189" s="33">
        <v>729.0</v>
      </c>
      <c r="L1189" s="33">
        <v>73.0</v>
      </c>
      <c r="M1189" s="33">
        <v>2347.0</v>
      </c>
      <c r="N1189" s="33">
        <v>2202.0</v>
      </c>
      <c r="O1189" s="33">
        <v>1733.0</v>
      </c>
      <c r="P1189" s="33">
        <v>469.0</v>
      </c>
      <c r="Q1189" s="33">
        <v>145.0</v>
      </c>
      <c r="R1189" s="34">
        <v>94.8951049</v>
      </c>
      <c r="S1189" s="34">
        <v>43.9160839</v>
      </c>
      <c r="T1189" s="34">
        <v>50.979021</v>
      </c>
      <c r="U1189" s="34">
        <v>5.1048951</v>
      </c>
      <c r="V1189" s="34">
        <v>93.8219003</v>
      </c>
      <c r="W1189" s="34">
        <v>73.8389433</v>
      </c>
      <c r="X1189" s="34">
        <v>19.982957</v>
      </c>
      <c r="Y1189" s="34">
        <v>6.1780997</v>
      </c>
    </row>
    <row r="1190" ht="15.0" hidden="1" customHeight="1">
      <c r="B1190" s="30">
        <v>1185.0</v>
      </c>
      <c r="C1190" s="31" t="s">
        <v>21</v>
      </c>
      <c r="D1190" s="31" t="s">
        <v>334</v>
      </c>
      <c r="E1190" s="31" t="s">
        <v>379</v>
      </c>
      <c r="F1190" s="31" t="s">
        <v>282</v>
      </c>
      <c r="G1190" s="32" t="s">
        <v>16</v>
      </c>
      <c r="H1190" s="33">
        <v>2047.0</v>
      </c>
      <c r="I1190" s="33">
        <v>1826.0</v>
      </c>
      <c r="J1190" s="33">
        <v>885.0</v>
      </c>
      <c r="K1190" s="33">
        <v>941.0</v>
      </c>
      <c r="L1190" s="33">
        <v>221.0</v>
      </c>
      <c r="M1190" s="33">
        <v>1428.0</v>
      </c>
      <c r="N1190" s="33">
        <v>1284.0</v>
      </c>
      <c r="O1190" s="33">
        <v>1060.0</v>
      </c>
      <c r="P1190" s="33">
        <v>224.0</v>
      </c>
      <c r="Q1190" s="33">
        <v>144.0</v>
      </c>
      <c r="R1190" s="34">
        <v>89.2037128</v>
      </c>
      <c r="S1190" s="34">
        <v>43.234001</v>
      </c>
      <c r="T1190" s="34">
        <v>45.9697118</v>
      </c>
      <c r="U1190" s="34">
        <v>10.7962872</v>
      </c>
      <c r="V1190" s="34">
        <v>89.9159664</v>
      </c>
      <c r="W1190" s="34">
        <v>74.2296919</v>
      </c>
      <c r="X1190" s="34">
        <v>15.6862745</v>
      </c>
      <c r="Y1190" s="34">
        <v>10.0840336</v>
      </c>
    </row>
    <row r="1191" ht="15.0" hidden="1" customHeight="1">
      <c r="B1191" s="26">
        <v>1186.0</v>
      </c>
      <c r="C1191" s="27" t="s">
        <v>19</v>
      </c>
      <c r="D1191" s="40" t="s">
        <v>334</v>
      </c>
      <c r="E1191" s="40" t="s">
        <v>384</v>
      </c>
      <c r="F1191" s="40"/>
      <c r="G1191" s="27" t="s">
        <v>384</v>
      </c>
      <c r="H1191" s="28">
        <v>28102.0</v>
      </c>
      <c r="I1191" s="28">
        <v>22734.0</v>
      </c>
      <c r="J1191" s="28">
        <v>12039.0</v>
      </c>
      <c r="K1191" s="28">
        <v>10695.0</v>
      </c>
      <c r="L1191" s="28">
        <v>5368.0</v>
      </c>
      <c r="M1191" s="28">
        <v>38255.0</v>
      </c>
      <c r="N1191" s="28">
        <v>33548.0</v>
      </c>
      <c r="O1191" s="28">
        <v>27452.0</v>
      </c>
      <c r="P1191" s="28">
        <v>6096.0</v>
      </c>
      <c r="Q1191" s="28">
        <v>4707.0</v>
      </c>
      <c r="R1191" s="29">
        <v>80.8981567</v>
      </c>
      <c r="S1191" s="29">
        <v>42.8403672</v>
      </c>
      <c r="T1191" s="29">
        <v>38.0577895</v>
      </c>
      <c r="U1191" s="29">
        <v>19.1018433</v>
      </c>
      <c r="V1191" s="29">
        <v>87.695726</v>
      </c>
      <c r="W1191" s="29">
        <v>71.7605542</v>
      </c>
      <c r="X1191" s="29">
        <v>15.9351719</v>
      </c>
      <c r="Y1191" s="29">
        <v>12.304274</v>
      </c>
    </row>
    <row r="1192" ht="15.0" hidden="1" customHeight="1">
      <c r="B1192" s="30">
        <v>1187.0</v>
      </c>
      <c r="C1192" s="31" t="s">
        <v>19</v>
      </c>
      <c r="D1192" s="31" t="s">
        <v>334</v>
      </c>
      <c r="E1192" s="31" t="s">
        <v>384</v>
      </c>
      <c r="F1192" s="31"/>
      <c r="G1192" s="32" t="s">
        <v>15</v>
      </c>
      <c r="H1192" s="33">
        <v>12417.0</v>
      </c>
      <c r="I1192" s="33">
        <v>10967.0</v>
      </c>
      <c r="J1192" s="33">
        <v>5231.0</v>
      </c>
      <c r="K1192" s="33">
        <v>5736.0</v>
      </c>
      <c r="L1192" s="33">
        <v>1450.0</v>
      </c>
      <c r="M1192" s="33">
        <v>18864.0</v>
      </c>
      <c r="N1192" s="33">
        <v>17810.0</v>
      </c>
      <c r="O1192" s="33">
        <v>13680.0</v>
      </c>
      <c r="P1192" s="33">
        <v>4130.0</v>
      </c>
      <c r="Q1192" s="33">
        <v>1054.0</v>
      </c>
      <c r="R1192" s="34">
        <v>88.3224611</v>
      </c>
      <c r="S1192" s="34">
        <v>42.1277281</v>
      </c>
      <c r="T1192" s="34">
        <v>46.194733</v>
      </c>
      <c r="U1192" s="34">
        <v>11.6775389</v>
      </c>
      <c r="V1192" s="34">
        <v>94.4126378</v>
      </c>
      <c r="W1192" s="34">
        <v>72.519084</v>
      </c>
      <c r="X1192" s="34">
        <v>21.8935539</v>
      </c>
      <c r="Y1192" s="34">
        <v>5.5873622</v>
      </c>
    </row>
    <row r="1193" ht="15.0" hidden="1" customHeight="1">
      <c r="B1193" s="30">
        <v>1188.0</v>
      </c>
      <c r="C1193" s="31" t="s">
        <v>19</v>
      </c>
      <c r="D1193" s="31" t="s">
        <v>334</v>
      </c>
      <c r="E1193" s="31" t="s">
        <v>384</v>
      </c>
      <c r="F1193" s="31"/>
      <c r="G1193" s="32" t="s">
        <v>16</v>
      </c>
      <c r="H1193" s="33">
        <v>15685.0</v>
      </c>
      <c r="I1193" s="33">
        <v>11767.0</v>
      </c>
      <c r="J1193" s="33">
        <v>6808.0</v>
      </c>
      <c r="K1193" s="33">
        <v>4959.0</v>
      </c>
      <c r="L1193" s="33">
        <v>3918.0</v>
      </c>
      <c r="M1193" s="33">
        <v>19391.0</v>
      </c>
      <c r="N1193" s="33">
        <v>15738.0</v>
      </c>
      <c r="O1193" s="33">
        <v>13772.0</v>
      </c>
      <c r="P1193" s="33">
        <v>1966.0</v>
      </c>
      <c r="Q1193" s="33">
        <v>3653.0</v>
      </c>
      <c r="R1193" s="34">
        <v>75.0207204</v>
      </c>
      <c r="S1193" s="34">
        <v>43.4045266</v>
      </c>
      <c r="T1193" s="34">
        <v>31.6161938</v>
      </c>
      <c r="U1193" s="34">
        <v>24.9792796</v>
      </c>
      <c r="V1193" s="34">
        <v>81.1613635</v>
      </c>
      <c r="W1193" s="34">
        <v>71.0226394</v>
      </c>
      <c r="X1193" s="34">
        <v>10.1387242</v>
      </c>
      <c r="Y1193" s="34">
        <v>18.8386365</v>
      </c>
    </row>
    <row r="1194" ht="15.0" customHeight="1">
      <c r="B1194" s="35">
        <v>1189.0</v>
      </c>
      <c r="C1194" s="36" t="s">
        <v>21</v>
      </c>
      <c r="D1194" s="41" t="s">
        <v>334</v>
      </c>
      <c r="E1194" s="41" t="s">
        <v>384</v>
      </c>
      <c r="F1194" s="41" t="s">
        <v>385</v>
      </c>
      <c r="G1194" s="42" t="s">
        <v>385</v>
      </c>
      <c r="H1194" s="37">
        <v>4261.0</v>
      </c>
      <c r="I1194" s="37">
        <v>3557.0</v>
      </c>
      <c r="J1194" s="37">
        <v>1837.0</v>
      </c>
      <c r="K1194" s="37">
        <v>1720.0</v>
      </c>
      <c r="L1194" s="37">
        <v>704.0</v>
      </c>
      <c r="M1194" s="37">
        <v>9407.0</v>
      </c>
      <c r="N1194" s="37">
        <v>7753.0</v>
      </c>
      <c r="O1194" s="37">
        <v>6336.0</v>
      </c>
      <c r="P1194" s="37">
        <v>1417.0</v>
      </c>
      <c r="Q1194" s="37">
        <v>1654.0</v>
      </c>
      <c r="R1194" s="38">
        <v>83.4780568</v>
      </c>
      <c r="S1194" s="38">
        <v>43.1119456</v>
      </c>
      <c r="T1194" s="38">
        <v>40.3661112</v>
      </c>
      <c r="U1194" s="38">
        <v>16.5219432</v>
      </c>
      <c r="V1194" s="38">
        <v>82.4173488</v>
      </c>
      <c r="W1194" s="38">
        <v>67.354098</v>
      </c>
      <c r="X1194" s="38">
        <v>15.0632508</v>
      </c>
      <c r="Y1194" s="38">
        <v>17.5826512</v>
      </c>
    </row>
    <row r="1195" ht="15.0" hidden="1" customHeight="1">
      <c r="B1195" s="30">
        <v>1190.0</v>
      </c>
      <c r="C1195" s="31" t="s">
        <v>21</v>
      </c>
      <c r="D1195" s="31" t="s">
        <v>334</v>
      </c>
      <c r="E1195" s="31" t="s">
        <v>384</v>
      </c>
      <c r="F1195" s="31" t="s">
        <v>385</v>
      </c>
      <c r="G1195" s="32" t="s">
        <v>15</v>
      </c>
      <c r="H1195" s="33">
        <v>2292.0</v>
      </c>
      <c r="I1195" s="33">
        <v>2108.0</v>
      </c>
      <c r="J1195" s="33">
        <v>1073.0</v>
      </c>
      <c r="K1195" s="33">
        <v>1035.0</v>
      </c>
      <c r="L1195" s="33">
        <v>184.0</v>
      </c>
      <c r="M1195" s="33">
        <v>4163.0</v>
      </c>
      <c r="N1195" s="33">
        <v>3983.0</v>
      </c>
      <c r="O1195" s="33">
        <v>3095.0</v>
      </c>
      <c r="P1195" s="33">
        <v>888.0</v>
      </c>
      <c r="Q1195" s="33">
        <v>180.0</v>
      </c>
      <c r="R1195" s="34">
        <v>91.9720768</v>
      </c>
      <c r="S1195" s="34">
        <v>46.8150087</v>
      </c>
      <c r="T1195" s="34">
        <v>45.1570681</v>
      </c>
      <c r="U1195" s="34">
        <v>8.0279232</v>
      </c>
      <c r="V1195" s="34">
        <v>95.6761951</v>
      </c>
      <c r="W1195" s="34">
        <v>74.345424</v>
      </c>
      <c r="X1195" s="34">
        <v>21.3307711</v>
      </c>
      <c r="Y1195" s="34">
        <v>4.3238049</v>
      </c>
    </row>
    <row r="1196" ht="15.0" hidden="1" customHeight="1">
      <c r="B1196" s="30">
        <v>1191.0</v>
      </c>
      <c r="C1196" s="31" t="s">
        <v>21</v>
      </c>
      <c r="D1196" s="31" t="s">
        <v>334</v>
      </c>
      <c r="E1196" s="31" t="s">
        <v>384</v>
      </c>
      <c r="F1196" s="31" t="s">
        <v>385</v>
      </c>
      <c r="G1196" s="32" t="s">
        <v>16</v>
      </c>
      <c r="H1196" s="33">
        <v>1969.0</v>
      </c>
      <c r="I1196" s="33">
        <v>1449.0</v>
      </c>
      <c r="J1196" s="33">
        <v>764.0</v>
      </c>
      <c r="K1196" s="33">
        <v>685.0</v>
      </c>
      <c r="L1196" s="33">
        <v>520.0</v>
      </c>
      <c r="M1196" s="33">
        <v>5244.0</v>
      </c>
      <c r="N1196" s="33">
        <v>3770.0</v>
      </c>
      <c r="O1196" s="33">
        <v>3241.0</v>
      </c>
      <c r="P1196" s="33">
        <v>529.0</v>
      </c>
      <c r="Q1196" s="33">
        <v>1474.0</v>
      </c>
      <c r="R1196" s="34">
        <v>73.5906552</v>
      </c>
      <c r="S1196" s="34">
        <v>38.801422</v>
      </c>
      <c r="T1196" s="34">
        <v>34.7892331</v>
      </c>
      <c r="U1196" s="34">
        <v>26.4093448</v>
      </c>
      <c r="V1196" s="34">
        <v>71.8916857</v>
      </c>
      <c r="W1196" s="34">
        <v>61.8039664</v>
      </c>
      <c r="X1196" s="34">
        <v>10.0877193</v>
      </c>
      <c r="Y1196" s="34">
        <v>28.1083143</v>
      </c>
    </row>
    <row r="1197" ht="15.0" customHeight="1">
      <c r="B1197" s="35">
        <v>1192.0</v>
      </c>
      <c r="C1197" s="36" t="s">
        <v>21</v>
      </c>
      <c r="D1197" s="41" t="s">
        <v>334</v>
      </c>
      <c r="E1197" s="41" t="s">
        <v>384</v>
      </c>
      <c r="F1197" s="41" t="s">
        <v>386</v>
      </c>
      <c r="G1197" s="42" t="s">
        <v>386</v>
      </c>
      <c r="H1197" s="37">
        <v>3185.0</v>
      </c>
      <c r="I1197" s="37">
        <v>2724.0</v>
      </c>
      <c r="J1197" s="37">
        <v>1317.0</v>
      </c>
      <c r="K1197" s="37">
        <v>1407.0</v>
      </c>
      <c r="L1197" s="37">
        <v>461.0</v>
      </c>
      <c r="M1197" s="37">
        <v>3941.0</v>
      </c>
      <c r="N1197" s="37">
        <v>3632.0</v>
      </c>
      <c r="O1197" s="37">
        <v>2664.0</v>
      </c>
      <c r="P1197" s="37">
        <v>968.0</v>
      </c>
      <c r="Q1197" s="37">
        <v>309.0</v>
      </c>
      <c r="R1197" s="38">
        <v>85.5259027</v>
      </c>
      <c r="S1197" s="38">
        <v>41.3500785</v>
      </c>
      <c r="T1197" s="38">
        <v>44.1758242</v>
      </c>
      <c r="U1197" s="38">
        <v>14.4740973</v>
      </c>
      <c r="V1197" s="38">
        <v>92.1593504</v>
      </c>
      <c r="W1197" s="38">
        <v>67.5970566</v>
      </c>
      <c r="X1197" s="38">
        <v>24.5622938</v>
      </c>
      <c r="Y1197" s="38">
        <v>7.8406496</v>
      </c>
    </row>
    <row r="1198" ht="15.0" hidden="1" customHeight="1">
      <c r="B1198" s="30">
        <v>1193.0</v>
      </c>
      <c r="C1198" s="31" t="s">
        <v>21</v>
      </c>
      <c r="D1198" s="31" t="s">
        <v>334</v>
      </c>
      <c r="E1198" s="31" t="s">
        <v>384</v>
      </c>
      <c r="F1198" s="31" t="s">
        <v>386</v>
      </c>
      <c r="G1198" s="32" t="s">
        <v>15</v>
      </c>
      <c r="H1198" s="33">
        <v>1677.0</v>
      </c>
      <c r="I1198" s="33">
        <v>1560.0</v>
      </c>
      <c r="J1198" s="33">
        <v>694.0</v>
      </c>
      <c r="K1198" s="33">
        <v>866.0</v>
      </c>
      <c r="L1198" s="33">
        <v>117.0</v>
      </c>
      <c r="M1198" s="33">
        <v>2107.0</v>
      </c>
      <c r="N1198" s="33">
        <v>2013.0</v>
      </c>
      <c r="O1198" s="33">
        <v>1444.0</v>
      </c>
      <c r="P1198" s="33">
        <v>569.0</v>
      </c>
      <c r="Q1198" s="33">
        <v>94.0</v>
      </c>
      <c r="R1198" s="34">
        <v>93.0232558</v>
      </c>
      <c r="S1198" s="34">
        <v>41.3834228</v>
      </c>
      <c r="T1198" s="34">
        <v>51.639833</v>
      </c>
      <c r="U1198" s="34">
        <v>6.9767442</v>
      </c>
      <c r="V1198" s="34">
        <v>95.5386806</v>
      </c>
      <c r="W1198" s="34">
        <v>68.5334599</v>
      </c>
      <c r="X1198" s="34">
        <v>27.0052207</v>
      </c>
      <c r="Y1198" s="34">
        <v>4.4613194</v>
      </c>
    </row>
    <row r="1199" ht="15.0" hidden="1" customHeight="1">
      <c r="B1199" s="30">
        <v>1194.0</v>
      </c>
      <c r="C1199" s="31" t="s">
        <v>21</v>
      </c>
      <c r="D1199" s="31" t="s">
        <v>334</v>
      </c>
      <c r="E1199" s="31" t="s">
        <v>384</v>
      </c>
      <c r="F1199" s="31" t="s">
        <v>386</v>
      </c>
      <c r="G1199" s="32" t="s">
        <v>16</v>
      </c>
      <c r="H1199" s="33">
        <v>1508.0</v>
      </c>
      <c r="I1199" s="33">
        <v>1164.0</v>
      </c>
      <c r="J1199" s="33">
        <v>623.0</v>
      </c>
      <c r="K1199" s="33">
        <v>541.0</v>
      </c>
      <c r="L1199" s="33">
        <v>344.0</v>
      </c>
      <c r="M1199" s="33">
        <v>1834.0</v>
      </c>
      <c r="N1199" s="33">
        <v>1619.0</v>
      </c>
      <c r="O1199" s="33">
        <v>1220.0</v>
      </c>
      <c r="P1199" s="33">
        <v>399.0</v>
      </c>
      <c r="Q1199" s="33">
        <v>215.0</v>
      </c>
      <c r="R1199" s="34">
        <v>77.1883289</v>
      </c>
      <c r="S1199" s="34">
        <v>41.3129973</v>
      </c>
      <c r="T1199" s="34">
        <v>35.8753316</v>
      </c>
      <c r="U1199" s="34">
        <v>22.8116711</v>
      </c>
      <c r="V1199" s="34">
        <v>88.2769902</v>
      </c>
      <c r="W1199" s="34">
        <v>66.521265</v>
      </c>
      <c r="X1199" s="34">
        <v>21.7557252</v>
      </c>
      <c r="Y1199" s="34">
        <v>11.7230098</v>
      </c>
    </row>
    <row r="1200" ht="15.0" customHeight="1">
      <c r="B1200" s="35">
        <v>1195.0</v>
      </c>
      <c r="C1200" s="36" t="s">
        <v>21</v>
      </c>
      <c r="D1200" s="41" t="s">
        <v>334</v>
      </c>
      <c r="E1200" s="41" t="s">
        <v>384</v>
      </c>
      <c r="F1200" s="41" t="s">
        <v>387</v>
      </c>
      <c r="G1200" s="42" t="s">
        <v>387</v>
      </c>
      <c r="H1200" s="37">
        <v>12767.0</v>
      </c>
      <c r="I1200" s="37">
        <v>9891.0</v>
      </c>
      <c r="J1200" s="37">
        <v>5712.0</v>
      </c>
      <c r="K1200" s="37">
        <v>4179.0</v>
      </c>
      <c r="L1200" s="37">
        <v>2876.0</v>
      </c>
      <c r="M1200" s="37">
        <v>14448.0</v>
      </c>
      <c r="N1200" s="37">
        <v>12576.0</v>
      </c>
      <c r="O1200" s="37">
        <v>10622.0</v>
      </c>
      <c r="P1200" s="37">
        <v>1954.0</v>
      </c>
      <c r="Q1200" s="37">
        <v>1872.0</v>
      </c>
      <c r="R1200" s="38">
        <v>77.473173</v>
      </c>
      <c r="S1200" s="38">
        <v>44.7403462</v>
      </c>
      <c r="T1200" s="38">
        <v>32.7328268</v>
      </c>
      <c r="U1200" s="38">
        <v>22.526827</v>
      </c>
      <c r="V1200" s="38">
        <v>87.0431894</v>
      </c>
      <c r="W1200" s="38">
        <v>73.5188261</v>
      </c>
      <c r="X1200" s="38">
        <v>13.5243632</v>
      </c>
      <c r="Y1200" s="38">
        <v>12.9568106</v>
      </c>
    </row>
    <row r="1201" ht="15.0" hidden="1" customHeight="1">
      <c r="B1201" s="30">
        <v>1196.0</v>
      </c>
      <c r="C1201" s="31" t="s">
        <v>21</v>
      </c>
      <c r="D1201" s="31" t="s">
        <v>334</v>
      </c>
      <c r="E1201" s="31" t="s">
        <v>384</v>
      </c>
      <c r="F1201" s="31" t="s">
        <v>387</v>
      </c>
      <c r="G1201" s="32" t="s">
        <v>15</v>
      </c>
      <c r="H1201" s="33">
        <v>4926.0</v>
      </c>
      <c r="I1201" s="33">
        <v>4315.0</v>
      </c>
      <c r="J1201" s="33">
        <v>2125.0</v>
      </c>
      <c r="K1201" s="33">
        <v>2190.0</v>
      </c>
      <c r="L1201" s="33">
        <v>611.0</v>
      </c>
      <c r="M1201" s="33">
        <v>7582.0</v>
      </c>
      <c r="N1201" s="33">
        <v>7048.0</v>
      </c>
      <c r="O1201" s="33">
        <v>5670.0</v>
      </c>
      <c r="P1201" s="33">
        <v>1378.0</v>
      </c>
      <c r="Q1201" s="33">
        <v>534.0</v>
      </c>
      <c r="R1201" s="34">
        <v>87.5964271</v>
      </c>
      <c r="S1201" s="34">
        <v>43.138449</v>
      </c>
      <c r="T1201" s="34">
        <v>44.4579781</v>
      </c>
      <c r="U1201" s="34">
        <v>12.4035729</v>
      </c>
      <c r="V1201" s="34">
        <v>92.9570034</v>
      </c>
      <c r="W1201" s="34">
        <v>74.7823793</v>
      </c>
      <c r="X1201" s="34">
        <v>18.1746241</v>
      </c>
      <c r="Y1201" s="34">
        <v>7.0429966</v>
      </c>
    </row>
    <row r="1202" ht="15.0" hidden="1" customHeight="1">
      <c r="B1202" s="30">
        <v>1197.0</v>
      </c>
      <c r="C1202" s="31" t="s">
        <v>21</v>
      </c>
      <c r="D1202" s="31" t="s">
        <v>334</v>
      </c>
      <c r="E1202" s="31" t="s">
        <v>384</v>
      </c>
      <c r="F1202" s="31" t="s">
        <v>387</v>
      </c>
      <c r="G1202" s="32" t="s">
        <v>16</v>
      </c>
      <c r="H1202" s="33">
        <v>7841.0</v>
      </c>
      <c r="I1202" s="33">
        <v>5576.0</v>
      </c>
      <c r="J1202" s="33">
        <v>3587.0</v>
      </c>
      <c r="K1202" s="33">
        <v>1989.0</v>
      </c>
      <c r="L1202" s="33">
        <v>2265.0</v>
      </c>
      <c r="M1202" s="33">
        <v>6866.0</v>
      </c>
      <c r="N1202" s="33">
        <v>5528.0</v>
      </c>
      <c r="O1202" s="33">
        <v>4952.0</v>
      </c>
      <c r="P1202" s="33">
        <v>576.0</v>
      </c>
      <c r="Q1202" s="33">
        <v>1338.0</v>
      </c>
      <c r="R1202" s="34">
        <v>71.1133784</v>
      </c>
      <c r="S1202" s="34">
        <v>45.746716</v>
      </c>
      <c r="T1202" s="34">
        <v>25.3666624</v>
      </c>
      <c r="U1202" s="34">
        <v>28.8866216</v>
      </c>
      <c r="V1202" s="34">
        <v>80.5126711</v>
      </c>
      <c r="W1202" s="34">
        <v>72.1235071</v>
      </c>
      <c r="X1202" s="34">
        <v>8.389164</v>
      </c>
      <c r="Y1202" s="34">
        <v>19.4873289</v>
      </c>
    </row>
    <row r="1203" ht="15.0" customHeight="1">
      <c r="B1203" s="35">
        <v>1198.0</v>
      </c>
      <c r="C1203" s="36" t="s">
        <v>21</v>
      </c>
      <c r="D1203" s="41" t="s">
        <v>334</v>
      </c>
      <c r="E1203" s="41" t="s">
        <v>384</v>
      </c>
      <c r="F1203" s="41" t="s">
        <v>388</v>
      </c>
      <c r="G1203" s="42" t="s">
        <v>388</v>
      </c>
      <c r="H1203" s="37">
        <v>1146.0</v>
      </c>
      <c r="I1203" s="37">
        <v>961.0</v>
      </c>
      <c r="J1203" s="37">
        <v>143.0</v>
      </c>
      <c r="K1203" s="37">
        <v>818.0</v>
      </c>
      <c r="L1203" s="37">
        <v>185.0</v>
      </c>
      <c r="M1203" s="37">
        <v>1475.0</v>
      </c>
      <c r="N1203" s="37">
        <v>1363.0</v>
      </c>
      <c r="O1203" s="37">
        <v>1242.0</v>
      </c>
      <c r="P1203" s="37">
        <v>121.0</v>
      </c>
      <c r="Q1203" s="37">
        <v>112.0</v>
      </c>
      <c r="R1203" s="38">
        <v>83.8568935</v>
      </c>
      <c r="S1203" s="38">
        <v>12.478185</v>
      </c>
      <c r="T1203" s="38">
        <v>71.3787086</v>
      </c>
      <c r="U1203" s="38">
        <v>16.1431065</v>
      </c>
      <c r="V1203" s="38">
        <v>92.4067797</v>
      </c>
      <c r="W1203" s="38">
        <v>84.2033898</v>
      </c>
      <c r="X1203" s="38">
        <v>8.2033898</v>
      </c>
      <c r="Y1203" s="38">
        <v>7.5932203</v>
      </c>
    </row>
    <row r="1204" ht="15.0" hidden="1" customHeight="1">
      <c r="B1204" s="30">
        <v>1199.0</v>
      </c>
      <c r="C1204" s="31" t="s">
        <v>21</v>
      </c>
      <c r="D1204" s="31" t="s">
        <v>334</v>
      </c>
      <c r="E1204" s="31" t="s">
        <v>384</v>
      </c>
      <c r="F1204" s="31" t="s">
        <v>388</v>
      </c>
      <c r="G1204" s="32" t="s">
        <v>15</v>
      </c>
      <c r="H1204" s="33"/>
      <c r="I1204" s="33"/>
      <c r="J1204" s="33"/>
      <c r="K1204" s="33"/>
      <c r="L1204" s="33"/>
      <c r="M1204" s="33"/>
      <c r="N1204" s="33"/>
      <c r="O1204" s="33"/>
      <c r="P1204" s="33"/>
      <c r="Q1204" s="33"/>
      <c r="R1204" s="34"/>
      <c r="S1204" s="34"/>
      <c r="T1204" s="34"/>
      <c r="U1204" s="34"/>
      <c r="V1204" s="34"/>
      <c r="W1204" s="34"/>
      <c r="X1204" s="34"/>
      <c r="Y1204" s="34"/>
    </row>
    <row r="1205" ht="15.0" hidden="1" customHeight="1">
      <c r="B1205" s="30">
        <v>1200.0</v>
      </c>
      <c r="C1205" s="31" t="s">
        <v>21</v>
      </c>
      <c r="D1205" s="31" t="s">
        <v>334</v>
      </c>
      <c r="E1205" s="31" t="s">
        <v>384</v>
      </c>
      <c r="F1205" s="31" t="s">
        <v>388</v>
      </c>
      <c r="G1205" s="32" t="s">
        <v>16</v>
      </c>
      <c r="H1205" s="33">
        <v>1146.0</v>
      </c>
      <c r="I1205" s="33">
        <v>961.0</v>
      </c>
      <c r="J1205" s="33">
        <v>143.0</v>
      </c>
      <c r="K1205" s="33">
        <v>818.0</v>
      </c>
      <c r="L1205" s="33">
        <v>185.0</v>
      </c>
      <c r="M1205" s="33">
        <v>1475.0</v>
      </c>
      <c r="N1205" s="33">
        <v>1363.0</v>
      </c>
      <c r="O1205" s="33">
        <v>1242.0</v>
      </c>
      <c r="P1205" s="33">
        <v>121.0</v>
      </c>
      <c r="Q1205" s="33">
        <v>112.0</v>
      </c>
      <c r="R1205" s="34">
        <v>83.8568935</v>
      </c>
      <c r="S1205" s="34">
        <v>12.478185</v>
      </c>
      <c r="T1205" s="34">
        <v>71.3787086</v>
      </c>
      <c r="U1205" s="34">
        <v>16.1431065</v>
      </c>
      <c r="V1205" s="34">
        <v>92.4067797</v>
      </c>
      <c r="W1205" s="34">
        <v>84.2033898</v>
      </c>
      <c r="X1205" s="34">
        <v>8.2033898</v>
      </c>
      <c r="Y1205" s="34">
        <v>7.5932203</v>
      </c>
    </row>
    <row r="1206" ht="15.0" customHeight="1">
      <c r="B1206" s="35">
        <v>1201.0</v>
      </c>
      <c r="C1206" s="36" t="s">
        <v>21</v>
      </c>
      <c r="D1206" s="41" t="s">
        <v>334</v>
      </c>
      <c r="E1206" s="41" t="s">
        <v>384</v>
      </c>
      <c r="F1206" s="41" t="s">
        <v>389</v>
      </c>
      <c r="G1206" s="42" t="s">
        <v>389</v>
      </c>
      <c r="H1206" s="37">
        <v>1685.0</v>
      </c>
      <c r="I1206" s="37">
        <v>1350.0</v>
      </c>
      <c r="J1206" s="37">
        <v>611.0</v>
      </c>
      <c r="K1206" s="37">
        <v>739.0</v>
      </c>
      <c r="L1206" s="37">
        <v>335.0</v>
      </c>
      <c r="M1206" s="37">
        <v>2433.0</v>
      </c>
      <c r="N1206" s="37">
        <v>2163.0</v>
      </c>
      <c r="O1206" s="37">
        <v>1683.0</v>
      </c>
      <c r="P1206" s="37">
        <v>480.0</v>
      </c>
      <c r="Q1206" s="37">
        <v>270.0</v>
      </c>
      <c r="R1206" s="38">
        <v>80.1186944</v>
      </c>
      <c r="S1206" s="38">
        <v>36.2611276</v>
      </c>
      <c r="T1206" s="38">
        <v>43.8575668</v>
      </c>
      <c r="U1206" s="38">
        <v>19.8813056</v>
      </c>
      <c r="V1206" s="38">
        <v>88.9025894</v>
      </c>
      <c r="W1206" s="38">
        <v>69.1738594</v>
      </c>
      <c r="X1206" s="38">
        <v>19.72873</v>
      </c>
      <c r="Y1206" s="38">
        <v>11.0974106</v>
      </c>
    </row>
    <row r="1207" ht="15.0" hidden="1" customHeight="1">
      <c r="B1207" s="30">
        <v>1202.0</v>
      </c>
      <c r="C1207" s="31" t="s">
        <v>21</v>
      </c>
      <c r="D1207" s="31" t="s">
        <v>334</v>
      </c>
      <c r="E1207" s="31" t="s">
        <v>384</v>
      </c>
      <c r="F1207" s="31" t="s">
        <v>389</v>
      </c>
      <c r="G1207" s="32" t="s">
        <v>15</v>
      </c>
      <c r="H1207" s="33">
        <v>1446.0</v>
      </c>
      <c r="I1207" s="33">
        <v>1237.0</v>
      </c>
      <c r="J1207" s="33">
        <v>568.0</v>
      </c>
      <c r="K1207" s="33">
        <v>669.0</v>
      </c>
      <c r="L1207" s="33">
        <v>209.0</v>
      </c>
      <c r="M1207" s="33">
        <v>1959.0</v>
      </c>
      <c r="N1207" s="33">
        <v>1848.0</v>
      </c>
      <c r="O1207" s="33">
        <v>1393.0</v>
      </c>
      <c r="P1207" s="33">
        <v>455.0</v>
      </c>
      <c r="Q1207" s="33">
        <v>111.0</v>
      </c>
      <c r="R1207" s="34">
        <v>85.5463347</v>
      </c>
      <c r="S1207" s="34">
        <v>39.2807746</v>
      </c>
      <c r="T1207" s="34">
        <v>46.2655602</v>
      </c>
      <c r="U1207" s="34">
        <v>14.4536653</v>
      </c>
      <c r="V1207" s="34">
        <v>94.3338438</v>
      </c>
      <c r="W1207" s="34">
        <v>71.107708</v>
      </c>
      <c r="X1207" s="34">
        <v>23.2261358</v>
      </c>
      <c r="Y1207" s="34">
        <v>5.6661562</v>
      </c>
    </row>
    <row r="1208" ht="15.0" hidden="1" customHeight="1">
      <c r="B1208" s="30">
        <v>1203.0</v>
      </c>
      <c r="C1208" s="31" t="s">
        <v>21</v>
      </c>
      <c r="D1208" s="31" t="s">
        <v>334</v>
      </c>
      <c r="E1208" s="31" t="s">
        <v>384</v>
      </c>
      <c r="F1208" s="31" t="s">
        <v>389</v>
      </c>
      <c r="G1208" s="32" t="s">
        <v>16</v>
      </c>
      <c r="H1208" s="33">
        <v>239.0</v>
      </c>
      <c r="I1208" s="33">
        <v>113.0</v>
      </c>
      <c r="J1208" s="33">
        <v>43.0</v>
      </c>
      <c r="K1208" s="33">
        <v>70.0</v>
      </c>
      <c r="L1208" s="33">
        <v>126.0</v>
      </c>
      <c r="M1208" s="33">
        <v>474.0</v>
      </c>
      <c r="N1208" s="33">
        <v>315.0</v>
      </c>
      <c r="O1208" s="33">
        <v>290.0</v>
      </c>
      <c r="P1208" s="33">
        <v>25.0</v>
      </c>
      <c r="Q1208" s="33">
        <v>159.0</v>
      </c>
      <c r="R1208" s="34">
        <v>47.2803347</v>
      </c>
      <c r="S1208" s="34">
        <v>17.9916318</v>
      </c>
      <c r="T1208" s="34">
        <v>29.2887029</v>
      </c>
      <c r="U1208" s="34">
        <v>52.7196653</v>
      </c>
      <c r="V1208" s="34">
        <v>66.4556962</v>
      </c>
      <c r="W1208" s="34">
        <v>61.1814346</v>
      </c>
      <c r="X1208" s="34">
        <v>5.2742616</v>
      </c>
      <c r="Y1208" s="34">
        <v>33.5443038</v>
      </c>
    </row>
    <row r="1209" ht="15.0" customHeight="1">
      <c r="B1209" s="35">
        <v>1204.0</v>
      </c>
      <c r="C1209" s="36" t="s">
        <v>21</v>
      </c>
      <c r="D1209" s="41" t="s">
        <v>334</v>
      </c>
      <c r="E1209" s="41" t="s">
        <v>384</v>
      </c>
      <c r="F1209" s="41" t="s">
        <v>390</v>
      </c>
      <c r="G1209" s="42" t="s">
        <v>390</v>
      </c>
      <c r="H1209" s="37">
        <v>5058.0</v>
      </c>
      <c r="I1209" s="37">
        <v>4251.0</v>
      </c>
      <c r="J1209" s="37">
        <v>2419.0</v>
      </c>
      <c r="K1209" s="37">
        <v>1832.0</v>
      </c>
      <c r="L1209" s="37">
        <v>807.0</v>
      </c>
      <c r="M1209" s="37">
        <v>6551.0</v>
      </c>
      <c r="N1209" s="37">
        <v>6061.0</v>
      </c>
      <c r="O1209" s="37">
        <v>4905.0</v>
      </c>
      <c r="P1209" s="37">
        <v>1156.0</v>
      </c>
      <c r="Q1209" s="37">
        <v>490.0</v>
      </c>
      <c r="R1209" s="38">
        <v>84.0450771</v>
      </c>
      <c r="S1209" s="38">
        <v>47.8252274</v>
      </c>
      <c r="T1209" s="38">
        <v>36.2198497</v>
      </c>
      <c r="U1209" s="38">
        <v>15.9549229</v>
      </c>
      <c r="V1209" s="38">
        <v>92.5202259</v>
      </c>
      <c r="W1209" s="38">
        <v>74.874065</v>
      </c>
      <c r="X1209" s="38">
        <v>17.6461609</v>
      </c>
      <c r="Y1209" s="38">
        <v>7.4797741</v>
      </c>
    </row>
    <row r="1210" ht="15.0" hidden="1" customHeight="1">
      <c r="B1210" s="30">
        <v>1205.0</v>
      </c>
      <c r="C1210" s="31" t="s">
        <v>21</v>
      </c>
      <c r="D1210" s="31" t="s">
        <v>334</v>
      </c>
      <c r="E1210" s="31" t="s">
        <v>384</v>
      </c>
      <c r="F1210" s="31" t="s">
        <v>390</v>
      </c>
      <c r="G1210" s="32" t="s">
        <v>15</v>
      </c>
      <c r="H1210" s="33">
        <v>2076.0</v>
      </c>
      <c r="I1210" s="33">
        <v>1747.0</v>
      </c>
      <c r="J1210" s="33">
        <v>771.0</v>
      </c>
      <c r="K1210" s="33">
        <v>976.0</v>
      </c>
      <c r="L1210" s="33">
        <v>329.0</v>
      </c>
      <c r="M1210" s="33">
        <v>3053.0</v>
      </c>
      <c r="N1210" s="33">
        <v>2918.0</v>
      </c>
      <c r="O1210" s="33">
        <v>2078.0</v>
      </c>
      <c r="P1210" s="33">
        <v>840.0</v>
      </c>
      <c r="Q1210" s="33">
        <v>135.0</v>
      </c>
      <c r="R1210" s="34">
        <v>84.1522158</v>
      </c>
      <c r="S1210" s="34">
        <v>37.1387283</v>
      </c>
      <c r="T1210" s="34">
        <v>47.0134875</v>
      </c>
      <c r="U1210" s="34">
        <v>15.8477842</v>
      </c>
      <c r="V1210" s="34">
        <v>95.5781199</v>
      </c>
      <c r="W1210" s="34">
        <v>68.0641991</v>
      </c>
      <c r="X1210" s="34">
        <v>27.5139207</v>
      </c>
      <c r="Y1210" s="34">
        <v>4.4218801</v>
      </c>
    </row>
    <row r="1211" ht="15.0" hidden="1" customHeight="1">
      <c r="B1211" s="30">
        <v>1206.0</v>
      </c>
      <c r="C1211" s="31" t="s">
        <v>21</v>
      </c>
      <c r="D1211" s="31" t="s">
        <v>334</v>
      </c>
      <c r="E1211" s="31" t="s">
        <v>384</v>
      </c>
      <c r="F1211" s="31" t="s">
        <v>390</v>
      </c>
      <c r="G1211" s="32" t="s">
        <v>16</v>
      </c>
      <c r="H1211" s="33">
        <v>2982.0</v>
      </c>
      <c r="I1211" s="33">
        <v>2504.0</v>
      </c>
      <c r="J1211" s="33">
        <v>1648.0</v>
      </c>
      <c r="K1211" s="33">
        <v>856.0</v>
      </c>
      <c r="L1211" s="33">
        <v>478.0</v>
      </c>
      <c r="M1211" s="33">
        <v>3498.0</v>
      </c>
      <c r="N1211" s="33">
        <v>3143.0</v>
      </c>
      <c r="O1211" s="33">
        <v>2827.0</v>
      </c>
      <c r="P1211" s="33">
        <v>316.0</v>
      </c>
      <c r="Q1211" s="33">
        <v>355.0</v>
      </c>
      <c r="R1211" s="34">
        <v>83.9704896</v>
      </c>
      <c r="S1211" s="34">
        <v>55.2649229</v>
      </c>
      <c r="T1211" s="34">
        <v>28.7055667</v>
      </c>
      <c r="U1211" s="34">
        <v>16.0295104</v>
      </c>
      <c r="V1211" s="34">
        <v>89.8513436</v>
      </c>
      <c r="W1211" s="34">
        <v>80.8176101</v>
      </c>
      <c r="X1211" s="34">
        <v>9.0337336</v>
      </c>
      <c r="Y1211" s="34">
        <v>10.1486564</v>
      </c>
    </row>
    <row r="1212" ht="15.0" hidden="1" customHeight="1">
      <c r="B1212" s="26">
        <v>1207.0</v>
      </c>
      <c r="C1212" s="27" t="s">
        <v>19</v>
      </c>
      <c r="D1212" s="40" t="s">
        <v>334</v>
      </c>
      <c r="E1212" s="40" t="s">
        <v>391</v>
      </c>
      <c r="F1212" s="40"/>
      <c r="G1212" s="27" t="s">
        <v>391</v>
      </c>
      <c r="H1212" s="28">
        <v>3215.0</v>
      </c>
      <c r="I1212" s="28">
        <v>2798.0</v>
      </c>
      <c r="J1212" s="28">
        <v>1065.0</v>
      </c>
      <c r="K1212" s="28">
        <v>1733.0</v>
      </c>
      <c r="L1212" s="28">
        <v>417.0</v>
      </c>
      <c r="M1212" s="28">
        <v>4145.0</v>
      </c>
      <c r="N1212" s="28">
        <v>3832.0</v>
      </c>
      <c r="O1212" s="28">
        <v>3411.0</v>
      </c>
      <c r="P1212" s="28">
        <v>421.0</v>
      </c>
      <c r="Q1212" s="28">
        <v>313.0</v>
      </c>
      <c r="R1212" s="29">
        <v>87.029549</v>
      </c>
      <c r="S1212" s="29">
        <v>33.125972</v>
      </c>
      <c r="T1212" s="29">
        <v>53.903577</v>
      </c>
      <c r="U1212" s="29">
        <v>12.970451</v>
      </c>
      <c r="V1212" s="29">
        <v>92.4487334</v>
      </c>
      <c r="W1212" s="29">
        <v>82.291918</v>
      </c>
      <c r="X1212" s="29">
        <v>10.1568154</v>
      </c>
      <c r="Y1212" s="29">
        <v>7.5512666</v>
      </c>
    </row>
    <row r="1213" ht="15.0" hidden="1" customHeight="1">
      <c r="B1213" s="30">
        <v>1208.0</v>
      </c>
      <c r="C1213" s="31" t="s">
        <v>19</v>
      </c>
      <c r="D1213" s="31" t="s">
        <v>334</v>
      </c>
      <c r="E1213" s="31" t="s">
        <v>391</v>
      </c>
      <c r="F1213" s="31"/>
      <c r="G1213" s="32" t="s">
        <v>15</v>
      </c>
      <c r="H1213" s="33">
        <v>1501.0</v>
      </c>
      <c r="I1213" s="33">
        <v>1400.0</v>
      </c>
      <c r="J1213" s="33">
        <v>691.0</v>
      </c>
      <c r="K1213" s="33">
        <v>709.0</v>
      </c>
      <c r="L1213" s="33">
        <v>101.0</v>
      </c>
      <c r="M1213" s="33">
        <v>2079.0</v>
      </c>
      <c r="N1213" s="33">
        <v>1978.0</v>
      </c>
      <c r="O1213" s="33">
        <v>1731.0</v>
      </c>
      <c r="P1213" s="33">
        <v>247.0</v>
      </c>
      <c r="Q1213" s="33">
        <v>101.0</v>
      </c>
      <c r="R1213" s="34">
        <v>93.2711526</v>
      </c>
      <c r="S1213" s="34">
        <v>46.035976</v>
      </c>
      <c r="T1213" s="34">
        <v>47.2351765</v>
      </c>
      <c r="U1213" s="34">
        <v>6.7288474</v>
      </c>
      <c r="V1213" s="34">
        <v>95.1418951</v>
      </c>
      <c r="W1213" s="34">
        <v>83.2611833</v>
      </c>
      <c r="X1213" s="34">
        <v>11.8807119</v>
      </c>
      <c r="Y1213" s="34">
        <v>4.8581049</v>
      </c>
    </row>
    <row r="1214" ht="15.0" hidden="1" customHeight="1">
      <c r="B1214" s="30">
        <v>1209.0</v>
      </c>
      <c r="C1214" s="31" t="s">
        <v>19</v>
      </c>
      <c r="D1214" s="31" t="s">
        <v>334</v>
      </c>
      <c r="E1214" s="31" t="s">
        <v>391</v>
      </c>
      <c r="F1214" s="31"/>
      <c r="G1214" s="32" t="s">
        <v>16</v>
      </c>
      <c r="H1214" s="33">
        <v>1714.0</v>
      </c>
      <c r="I1214" s="33">
        <v>1398.0</v>
      </c>
      <c r="J1214" s="33">
        <v>374.0</v>
      </c>
      <c r="K1214" s="33">
        <v>1024.0</v>
      </c>
      <c r="L1214" s="33">
        <v>316.0</v>
      </c>
      <c r="M1214" s="33">
        <v>2066.0</v>
      </c>
      <c r="N1214" s="33">
        <v>1854.0</v>
      </c>
      <c r="O1214" s="33">
        <v>1680.0</v>
      </c>
      <c r="P1214" s="33">
        <v>174.0</v>
      </c>
      <c r="Q1214" s="33">
        <v>212.0</v>
      </c>
      <c r="R1214" s="34">
        <v>81.5635939</v>
      </c>
      <c r="S1214" s="34">
        <v>21.8203034</v>
      </c>
      <c r="T1214" s="34">
        <v>59.7432905</v>
      </c>
      <c r="U1214" s="34">
        <v>18.4364061</v>
      </c>
      <c r="V1214" s="34">
        <v>89.7386254</v>
      </c>
      <c r="W1214" s="34">
        <v>81.3165537</v>
      </c>
      <c r="X1214" s="34">
        <v>8.4220716</v>
      </c>
      <c r="Y1214" s="34">
        <v>10.2613746</v>
      </c>
    </row>
    <row r="1215" ht="15.0" customHeight="1">
      <c r="B1215" s="35">
        <v>1210.0</v>
      </c>
      <c r="C1215" s="36" t="s">
        <v>21</v>
      </c>
      <c r="D1215" s="41" t="s">
        <v>334</v>
      </c>
      <c r="E1215" s="41" t="s">
        <v>391</v>
      </c>
      <c r="F1215" s="41" t="s">
        <v>392</v>
      </c>
      <c r="G1215" s="42" t="s">
        <v>392</v>
      </c>
      <c r="H1215" s="37">
        <v>3215.0</v>
      </c>
      <c r="I1215" s="37">
        <v>2798.0</v>
      </c>
      <c r="J1215" s="37">
        <v>1065.0</v>
      </c>
      <c r="K1215" s="37">
        <v>1733.0</v>
      </c>
      <c r="L1215" s="37">
        <v>417.0</v>
      </c>
      <c r="M1215" s="37">
        <v>4145.0</v>
      </c>
      <c r="N1215" s="37">
        <v>3832.0</v>
      </c>
      <c r="O1215" s="37">
        <v>3411.0</v>
      </c>
      <c r="P1215" s="37">
        <v>421.0</v>
      </c>
      <c r="Q1215" s="37">
        <v>313.0</v>
      </c>
      <c r="R1215" s="38">
        <v>87.029549</v>
      </c>
      <c r="S1215" s="38">
        <v>33.125972</v>
      </c>
      <c r="T1215" s="38">
        <v>53.903577</v>
      </c>
      <c r="U1215" s="38">
        <v>12.970451</v>
      </c>
      <c r="V1215" s="38">
        <v>92.4487334</v>
      </c>
      <c r="W1215" s="38">
        <v>82.291918</v>
      </c>
      <c r="X1215" s="38">
        <v>10.1568154</v>
      </c>
      <c r="Y1215" s="38">
        <v>7.5512666</v>
      </c>
    </row>
    <row r="1216" ht="15.0" hidden="1" customHeight="1">
      <c r="B1216" s="30">
        <v>1211.0</v>
      </c>
      <c r="C1216" s="31" t="s">
        <v>21</v>
      </c>
      <c r="D1216" s="31" t="s">
        <v>334</v>
      </c>
      <c r="E1216" s="31" t="s">
        <v>391</v>
      </c>
      <c r="F1216" s="31" t="s">
        <v>392</v>
      </c>
      <c r="G1216" s="32" t="s">
        <v>15</v>
      </c>
      <c r="H1216" s="33">
        <v>1501.0</v>
      </c>
      <c r="I1216" s="33">
        <v>1400.0</v>
      </c>
      <c r="J1216" s="33">
        <v>691.0</v>
      </c>
      <c r="K1216" s="33">
        <v>709.0</v>
      </c>
      <c r="L1216" s="33">
        <v>101.0</v>
      </c>
      <c r="M1216" s="33">
        <v>2079.0</v>
      </c>
      <c r="N1216" s="33">
        <v>1978.0</v>
      </c>
      <c r="O1216" s="33">
        <v>1731.0</v>
      </c>
      <c r="P1216" s="33">
        <v>247.0</v>
      </c>
      <c r="Q1216" s="33">
        <v>101.0</v>
      </c>
      <c r="R1216" s="34">
        <v>93.2711526</v>
      </c>
      <c r="S1216" s="34">
        <v>46.035976</v>
      </c>
      <c r="T1216" s="34">
        <v>47.2351765</v>
      </c>
      <c r="U1216" s="34">
        <v>6.7288474</v>
      </c>
      <c r="V1216" s="34">
        <v>95.1418951</v>
      </c>
      <c r="W1216" s="34">
        <v>83.2611833</v>
      </c>
      <c r="X1216" s="34">
        <v>11.8807119</v>
      </c>
      <c r="Y1216" s="34">
        <v>4.8581049</v>
      </c>
    </row>
    <row r="1217" ht="15.0" hidden="1" customHeight="1">
      <c r="B1217" s="30">
        <v>1212.0</v>
      </c>
      <c r="C1217" s="31" t="s">
        <v>21</v>
      </c>
      <c r="D1217" s="31" t="s">
        <v>334</v>
      </c>
      <c r="E1217" s="31" t="s">
        <v>391</v>
      </c>
      <c r="F1217" s="31" t="s">
        <v>392</v>
      </c>
      <c r="G1217" s="32" t="s">
        <v>16</v>
      </c>
      <c r="H1217" s="33">
        <v>1714.0</v>
      </c>
      <c r="I1217" s="33">
        <v>1398.0</v>
      </c>
      <c r="J1217" s="33">
        <v>374.0</v>
      </c>
      <c r="K1217" s="33">
        <v>1024.0</v>
      </c>
      <c r="L1217" s="33">
        <v>316.0</v>
      </c>
      <c r="M1217" s="33">
        <v>2066.0</v>
      </c>
      <c r="N1217" s="33">
        <v>1854.0</v>
      </c>
      <c r="O1217" s="33">
        <v>1680.0</v>
      </c>
      <c r="P1217" s="33">
        <v>174.0</v>
      </c>
      <c r="Q1217" s="33">
        <v>212.0</v>
      </c>
      <c r="R1217" s="34">
        <v>81.5635939</v>
      </c>
      <c r="S1217" s="34">
        <v>21.8203034</v>
      </c>
      <c r="T1217" s="34">
        <v>59.7432905</v>
      </c>
      <c r="U1217" s="34">
        <v>18.4364061</v>
      </c>
      <c r="V1217" s="34">
        <v>89.7386254</v>
      </c>
      <c r="W1217" s="34">
        <v>81.3165537</v>
      </c>
      <c r="X1217" s="34">
        <v>8.4220716</v>
      </c>
      <c r="Y1217" s="34">
        <v>10.2613746</v>
      </c>
    </row>
    <row r="1218" ht="15.0" hidden="1" customHeight="1">
      <c r="B1218" s="26">
        <v>1213.0</v>
      </c>
      <c r="C1218" s="27" t="s">
        <v>19</v>
      </c>
      <c r="D1218" s="40" t="s">
        <v>334</v>
      </c>
      <c r="E1218" s="40" t="s">
        <v>393</v>
      </c>
      <c r="F1218" s="40"/>
      <c r="G1218" s="27" t="s">
        <v>393</v>
      </c>
      <c r="H1218" s="28">
        <v>6422.0</v>
      </c>
      <c r="I1218" s="28">
        <v>4278.0</v>
      </c>
      <c r="J1218" s="28">
        <v>2439.0</v>
      </c>
      <c r="K1218" s="28">
        <v>1839.0</v>
      </c>
      <c r="L1218" s="28">
        <v>2144.0</v>
      </c>
      <c r="M1218" s="28">
        <v>7743.0</v>
      </c>
      <c r="N1218" s="28">
        <v>5998.0</v>
      </c>
      <c r="O1218" s="28">
        <v>4841.0</v>
      </c>
      <c r="P1218" s="28">
        <v>1157.0</v>
      </c>
      <c r="Q1218" s="28">
        <v>1745.0</v>
      </c>
      <c r="R1218" s="29">
        <v>66.6147618</v>
      </c>
      <c r="S1218" s="29">
        <v>37.9788228</v>
      </c>
      <c r="T1218" s="29">
        <v>28.635939</v>
      </c>
      <c r="U1218" s="29">
        <v>33.3852382</v>
      </c>
      <c r="V1218" s="29">
        <v>77.4635154</v>
      </c>
      <c r="W1218" s="29">
        <v>62.5209867</v>
      </c>
      <c r="X1218" s="29">
        <v>14.9425287</v>
      </c>
      <c r="Y1218" s="29">
        <v>22.5364846</v>
      </c>
    </row>
    <row r="1219" ht="15.0" hidden="1" customHeight="1">
      <c r="B1219" s="30">
        <v>1214.0</v>
      </c>
      <c r="C1219" s="31" t="s">
        <v>19</v>
      </c>
      <c r="D1219" s="31" t="s">
        <v>334</v>
      </c>
      <c r="E1219" s="31" t="s">
        <v>393</v>
      </c>
      <c r="F1219" s="31"/>
      <c r="G1219" s="32" t="s">
        <v>15</v>
      </c>
      <c r="H1219" s="33">
        <v>2423.0</v>
      </c>
      <c r="I1219" s="33">
        <v>2144.0</v>
      </c>
      <c r="J1219" s="33">
        <v>1012.0</v>
      </c>
      <c r="K1219" s="33">
        <v>1132.0</v>
      </c>
      <c r="L1219" s="33">
        <v>279.0</v>
      </c>
      <c r="M1219" s="33">
        <v>3217.0</v>
      </c>
      <c r="N1219" s="33">
        <v>3081.0</v>
      </c>
      <c r="O1219" s="33">
        <v>2314.0</v>
      </c>
      <c r="P1219" s="33">
        <v>767.0</v>
      </c>
      <c r="Q1219" s="33">
        <v>136.0</v>
      </c>
      <c r="R1219" s="34">
        <v>88.4853487</v>
      </c>
      <c r="S1219" s="34">
        <v>41.7664053</v>
      </c>
      <c r="T1219" s="34">
        <v>46.7189435</v>
      </c>
      <c r="U1219" s="34">
        <v>11.5146513</v>
      </c>
      <c r="V1219" s="34">
        <v>95.7724588</v>
      </c>
      <c r="W1219" s="34">
        <v>71.9303699</v>
      </c>
      <c r="X1219" s="34">
        <v>23.8420889</v>
      </c>
      <c r="Y1219" s="34">
        <v>4.2275412</v>
      </c>
    </row>
    <row r="1220" ht="15.0" hidden="1" customHeight="1">
      <c r="B1220" s="30">
        <v>1215.0</v>
      </c>
      <c r="C1220" s="31" t="s">
        <v>19</v>
      </c>
      <c r="D1220" s="31" t="s">
        <v>334</v>
      </c>
      <c r="E1220" s="31" t="s">
        <v>393</v>
      </c>
      <c r="F1220" s="31"/>
      <c r="G1220" s="32" t="s">
        <v>16</v>
      </c>
      <c r="H1220" s="33">
        <v>3999.0</v>
      </c>
      <c r="I1220" s="33">
        <v>2134.0</v>
      </c>
      <c r="J1220" s="33">
        <v>1427.0</v>
      </c>
      <c r="K1220" s="33">
        <v>707.0</v>
      </c>
      <c r="L1220" s="33">
        <v>1865.0</v>
      </c>
      <c r="M1220" s="33">
        <v>4526.0</v>
      </c>
      <c r="N1220" s="33">
        <v>2917.0</v>
      </c>
      <c r="O1220" s="33">
        <v>2527.0</v>
      </c>
      <c r="P1220" s="33">
        <v>390.0</v>
      </c>
      <c r="Q1220" s="33">
        <v>1609.0</v>
      </c>
      <c r="R1220" s="34">
        <v>53.3633408</v>
      </c>
      <c r="S1220" s="34">
        <v>35.683921</v>
      </c>
      <c r="T1220" s="34">
        <v>17.6794199</v>
      </c>
      <c r="U1220" s="34">
        <v>46.6366592</v>
      </c>
      <c r="V1220" s="34">
        <v>64.4498453</v>
      </c>
      <c r="W1220" s="34">
        <v>55.8329651</v>
      </c>
      <c r="X1220" s="34">
        <v>8.6168802</v>
      </c>
      <c r="Y1220" s="34">
        <v>35.5501547</v>
      </c>
    </row>
    <row r="1221" ht="15.0" customHeight="1">
      <c r="B1221" s="35">
        <v>1216.0</v>
      </c>
      <c r="C1221" s="36" t="s">
        <v>21</v>
      </c>
      <c r="D1221" s="41" t="s">
        <v>334</v>
      </c>
      <c r="E1221" s="41" t="s">
        <v>393</v>
      </c>
      <c r="F1221" s="41" t="s">
        <v>394</v>
      </c>
      <c r="G1221" s="42" t="s">
        <v>394</v>
      </c>
      <c r="H1221" s="37">
        <v>4639.0</v>
      </c>
      <c r="I1221" s="37">
        <v>3133.0</v>
      </c>
      <c r="J1221" s="37">
        <v>1803.0</v>
      </c>
      <c r="K1221" s="37">
        <v>1330.0</v>
      </c>
      <c r="L1221" s="37">
        <v>1506.0</v>
      </c>
      <c r="M1221" s="37">
        <v>5754.0</v>
      </c>
      <c r="N1221" s="37">
        <v>4337.0</v>
      </c>
      <c r="O1221" s="37">
        <v>3530.0</v>
      </c>
      <c r="P1221" s="37">
        <v>807.0</v>
      </c>
      <c r="Q1221" s="37">
        <v>1417.0</v>
      </c>
      <c r="R1221" s="38">
        <v>67.5361069</v>
      </c>
      <c r="S1221" s="38">
        <v>38.8661349</v>
      </c>
      <c r="T1221" s="38">
        <v>28.669972</v>
      </c>
      <c r="U1221" s="38">
        <v>32.4638931</v>
      </c>
      <c r="V1221" s="38">
        <v>75.3736531</v>
      </c>
      <c r="W1221" s="38">
        <v>61.348627</v>
      </c>
      <c r="X1221" s="38">
        <v>14.0250261</v>
      </c>
      <c r="Y1221" s="38">
        <v>24.6263469</v>
      </c>
    </row>
    <row r="1222" ht="15.0" hidden="1" customHeight="1">
      <c r="B1222" s="30">
        <v>1217.0</v>
      </c>
      <c r="C1222" s="31" t="s">
        <v>21</v>
      </c>
      <c r="D1222" s="31" t="s">
        <v>334</v>
      </c>
      <c r="E1222" s="31" t="s">
        <v>393</v>
      </c>
      <c r="F1222" s="31" t="s">
        <v>394</v>
      </c>
      <c r="G1222" s="32" t="s">
        <v>15</v>
      </c>
      <c r="H1222" s="33">
        <v>1507.0</v>
      </c>
      <c r="I1222" s="33">
        <v>1388.0</v>
      </c>
      <c r="J1222" s="33">
        <v>657.0</v>
      </c>
      <c r="K1222" s="33">
        <v>731.0</v>
      </c>
      <c r="L1222" s="33">
        <v>119.0</v>
      </c>
      <c r="M1222" s="33">
        <v>2031.0</v>
      </c>
      <c r="N1222" s="33">
        <v>1961.0</v>
      </c>
      <c r="O1222" s="33">
        <v>1480.0</v>
      </c>
      <c r="P1222" s="33">
        <v>481.0</v>
      </c>
      <c r="Q1222" s="33">
        <v>70.0</v>
      </c>
      <c r="R1222" s="34">
        <v>92.1035169</v>
      </c>
      <c r="S1222" s="34">
        <v>43.5965494</v>
      </c>
      <c r="T1222" s="34">
        <v>48.5069675</v>
      </c>
      <c r="U1222" s="34">
        <v>7.8964831</v>
      </c>
      <c r="V1222" s="34">
        <v>96.553422</v>
      </c>
      <c r="W1222" s="34">
        <v>72.8705071</v>
      </c>
      <c r="X1222" s="34">
        <v>23.6829148</v>
      </c>
      <c r="Y1222" s="34">
        <v>3.446578</v>
      </c>
    </row>
    <row r="1223" ht="15.0" hidden="1" customHeight="1">
      <c r="B1223" s="30">
        <v>1218.0</v>
      </c>
      <c r="C1223" s="31" t="s">
        <v>21</v>
      </c>
      <c r="D1223" s="31" t="s">
        <v>334</v>
      </c>
      <c r="E1223" s="31" t="s">
        <v>393</v>
      </c>
      <c r="F1223" s="31" t="s">
        <v>394</v>
      </c>
      <c r="G1223" s="32" t="s">
        <v>16</v>
      </c>
      <c r="H1223" s="33">
        <v>3132.0</v>
      </c>
      <c r="I1223" s="33">
        <v>1745.0</v>
      </c>
      <c r="J1223" s="33">
        <v>1146.0</v>
      </c>
      <c r="K1223" s="33">
        <v>599.0</v>
      </c>
      <c r="L1223" s="33">
        <v>1387.0</v>
      </c>
      <c r="M1223" s="33">
        <v>3723.0</v>
      </c>
      <c r="N1223" s="33">
        <v>2376.0</v>
      </c>
      <c r="O1223" s="33">
        <v>2050.0</v>
      </c>
      <c r="P1223" s="33">
        <v>326.0</v>
      </c>
      <c r="Q1223" s="33">
        <v>1347.0</v>
      </c>
      <c r="R1223" s="34">
        <v>55.715198</v>
      </c>
      <c r="S1223" s="34">
        <v>36.5900383</v>
      </c>
      <c r="T1223" s="34">
        <v>19.1251596</v>
      </c>
      <c r="U1223" s="34">
        <v>44.284802</v>
      </c>
      <c r="V1223" s="34">
        <v>63.8195004</v>
      </c>
      <c r="W1223" s="34">
        <v>55.0631211</v>
      </c>
      <c r="X1223" s="34">
        <v>8.7563793</v>
      </c>
      <c r="Y1223" s="34">
        <v>36.1804996</v>
      </c>
    </row>
    <row r="1224" ht="15.0" customHeight="1">
      <c r="B1224" s="35">
        <v>1219.0</v>
      </c>
      <c r="C1224" s="36" t="s">
        <v>21</v>
      </c>
      <c r="D1224" s="41" t="s">
        <v>334</v>
      </c>
      <c r="E1224" s="41" t="s">
        <v>393</v>
      </c>
      <c r="F1224" s="41" t="s">
        <v>395</v>
      </c>
      <c r="G1224" s="42" t="s">
        <v>395</v>
      </c>
      <c r="H1224" s="37">
        <v>1783.0</v>
      </c>
      <c r="I1224" s="37">
        <v>1145.0</v>
      </c>
      <c r="J1224" s="37">
        <v>636.0</v>
      </c>
      <c r="K1224" s="37">
        <v>509.0</v>
      </c>
      <c r="L1224" s="37">
        <v>638.0</v>
      </c>
      <c r="M1224" s="37">
        <v>1989.0</v>
      </c>
      <c r="N1224" s="37">
        <v>1661.0</v>
      </c>
      <c r="O1224" s="37">
        <v>1311.0</v>
      </c>
      <c r="P1224" s="37">
        <v>350.0</v>
      </c>
      <c r="Q1224" s="37">
        <v>328.0</v>
      </c>
      <c r="R1224" s="38">
        <v>64.2176108</v>
      </c>
      <c r="S1224" s="38">
        <v>35.6702187</v>
      </c>
      <c r="T1224" s="38">
        <v>28.547392</v>
      </c>
      <c r="U1224" s="38">
        <v>35.7823892</v>
      </c>
      <c r="V1224" s="38">
        <v>83.5093012</v>
      </c>
      <c r="W1224" s="38">
        <v>65.9125189</v>
      </c>
      <c r="X1224" s="38">
        <v>17.5967823</v>
      </c>
      <c r="Y1224" s="38">
        <v>16.4906988</v>
      </c>
    </row>
    <row r="1225" ht="15.0" hidden="1" customHeight="1">
      <c r="B1225" s="30">
        <v>1220.0</v>
      </c>
      <c r="C1225" s="31" t="s">
        <v>21</v>
      </c>
      <c r="D1225" s="31" t="s">
        <v>334</v>
      </c>
      <c r="E1225" s="31" t="s">
        <v>393</v>
      </c>
      <c r="F1225" s="31" t="s">
        <v>395</v>
      </c>
      <c r="G1225" s="32" t="s">
        <v>15</v>
      </c>
      <c r="H1225" s="33">
        <v>916.0</v>
      </c>
      <c r="I1225" s="33">
        <v>756.0</v>
      </c>
      <c r="J1225" s="33">
        <v>355.0</v>
      </c>
      <c r="K1225" s="33">
        <v>401.0</v>
      </c>
      <c r="L1225" s="33">
        <v>160.0</v>
      </c>
      <c r="M1225" s="33">
        <v>1186.0</v>
      </c>
      <c r="N1225" s="33">
        <v>1120.0</v>
      </c>
      <c r="O1225" s="33">
        <v>834.0</v>
      </c>
      <c r="P1225" s="33">
        <v>286.0</v>
      </c>
      <c r="Q1225" s="33">
        <v>66.0</v>
      </c>
      <c r="R1225" s="34">
        <v>82.5327511</v>
      </c>
      <c r="S1225" s="34">
        <v>38.7554585</v>
      </c>
      <c r="T1225" s="34">
        <v>43.7772926</v>
      </c>
      <c r="U1225" s="34">
        <v>17.4672489</v>
      </c>
      <c r="V1225" s="34">
        <v>94.4350759</v>
      </c>
      <c r="W1225" s="34">
        <v>70.3204047</v>
      </c>
      <c r="X1225" s="34">
        <v>24.1146712</v>
      </c>
      <c r="Y1225" s="34">
        <v>5.5649241</v>
      </c>
    </row>
    <row r="1226" ht="15.0" hidden="1" customHeight="1">
      <c r="B1226" s="30">
        <v>1221.0</v>
      </c>
      <c r="C1226" s="31" t="s">
        <v>21</v>
      </c>
      <c r="D1226" s="31" t="s">
        <v>334</v>
      </c>
      <c r="E1226" s="31" t="s">
        <v>393</v>
      </c>
      <c r="F1226" s="31" t="s">
        <v>395</v>
      </c>
      <c r="G1226" s="32" t="s">
        <v>16</v>
      </c>
      <c r="H1226" s="33">
        <v>867.0</v>
      </c>
      <c r="I1226" s="33">
        <v>389.0</v>
      </c>
      <c r="J1226" s="33">
        <v>281.0</v>
      </c>
      <c r="K1226" s="33">
        <v>108.0</v>
      </c>
      <c r="L1226" s="33">
        <v>478.0</v>
      </c>
      <c r="M1226" s="33">
        <v>803.0</v>
      </c>
      <c r="N1226" s="33">
        <v>541.0</v>
      </c>
      <c r="O1226" s="33">
        <v>477.0</v>
      </c>
      <c r="P1226" s="33">
        <v>64.0</v>
      </c>
      <c r="Q1226" s="33">
        <v>262.0</v>
      </c>
      <c r="R1226" s="34">
        <v>44.8673587</v>
      </c>
      <c r="S1226" s="34">
        <v>32.4106113</v>
      </c>
      <c r="T1226" s="34">
        <v>12.4567474</v>
      </c>
      <c r="U1226" s="34">
        <v>55.1326413</v>
      </c>
      <c r="V1226" s="34">
        <v>67.3723537</v>
      </c>
      <c r="W1226" s="34">
        <v>59.4022416</v>
      </c>
      <c r="X1226" s="34">
        <v>7.9701121</v>
      </c>
      <c r="Y1226" s="34">
        <v>32.6276463</v>
      </c>
    </row>
    <row r="1227" ht="15.0" hidden="1" customHeight="1">
      <c r="B1227" s="26">
        <v>1222.0</v>
      </c>
      <c r="C1227" s="27" t="s">
        <v>19</v>
      </c>
      <c r="D1227" s="40" t="s">
        <v>334</v>
      </c>
      <c r="E1227" s="40" t="s">
        <v>396</v>
      </c>
      <c r="F1227" s="40"/>
      <c r="G1227" s="27" t="s">
        <v>396</v>
      </c>
      <c r="H1227" s="28">
        <v>9927.0</v>
      </c>
      <c r="I1227" s="28">
        <v>8841.0</v>
      </c>
      <c r="J1227" s="28">
        <v>4879.0</v>
      </c>
      <c r="K1227" s="28">
        <v>3962.0</v>
      </c>
      <c r="L1227" s="28">
        <v>1086.0</v>
      </c>
      <c r="M1227" s="28">
        <v>12246.0</v>
      </c>
      <c r="N1227" s="28">
        <v>11337.0</v>
      </c>
      <c r="O1227" s="28">
        <v>9716.0</v>
      </c>
      <c r="P1227" s="28">
        <v>1621.0</v>
      </c>
      <c r="Q1227" s="28">
        <v>909.0</v>
      </c>
      <c r="R1227" s="29">
        <v>89.060139</v>
      </c>
      <c r="S1227" s="29">
        <v>49.1487861</v>
      </c>
      <c r="T1227" s="29">
        <v>39.9113529</v>
      </c>
      <c r="U1227" s="29">
        <v>10.939861</v>
      </c>
      <c r="V1227" s="29">
        <v>92.5771681</v>
      </c>
      <c r="W1227" s="29">
        <v>79.3401927</v>
      </c>
      <c r="X1227" s="29">
        <v>13.2369753</v>
      </c>
      <c r="Y1227" s="29">
        <v>7.4228319</v>
      </c>
    </row>
    <row r="1228" ht="15.0" hidden="1" customHeight="1">
      <c r="B1228" s="30">
        <v>1223.0</v>
      </c>
      <c r="C1228" s="31" t="s">
        <v>19</v>
      </c>
      <c r="D1228" s="31" t="s">
        <v>334</v>
      </c>
      <c r="E1228" s="31" t="s">
        <v>396</v>
      </c>
      <c r="F1228" s="31"/>
      <c r="G1228" s="32" t="s">
        <v>15</v>
      </c>
      <c r="H1228" s="33">
        <v>8064.0</v>
      </c>
      <c r="I1228" s="33">
        <v>7510.0</v>
      </c>
      <c r="J1228" s="33">
        <v>4181.0</v>
      </c>
      <c r="K1228" s="33">
        <v>3329.0</v>
      </c>
      <c r="L1228" s="33">
        <v>554.0</v>
      </c>
      <c r="M1228" s="33">
        <v>9184.0</v>
      </c>
      <c r="N1228" s="33">
        <v>8871.0</v>
      </c>
      <c r="O1228" s="33">
        <v>7457.0</v>
      </c>
      <c r="P1228" s="33">
        <v>1414.0</v>
      </c>
      <c r="Q1228" s="33">
        <v>313.0</v>
      </c>
      <c r="R1228" s="34">
        <v>93.1299603</v>
      </c>
      <c r="S1228" s="34">
        <v>51.8477183</v>
      </c>
      <c r="T1228" s="34">
        <v>41.2822421</v>
      </c>
      <c r="U1228" s="34">
        <v>6.8700397</v>
      </c>
      <c r="V1228" s="34">
        <v>96.591899</v>
      </c>
      <c r="W1228" s="34">
        <v>81.1955575</v>
      </c>
      <c r="X1228" s="34">
        <v>15.3963415</v>
      </c>
      <c r="Y1228" s="34">
        <v>3.408101</v>
      </c>
    </row>
    <row r="1229" ht="15.0" hidden="1" customHeight="1">
      <c r="B1229" s="30">
        <v>1224.0</v>
      </c>
      <c r="C1229" s="31" t="s">
        <v>19</v>
      </c>
      <c r="D1229" s="31" t="s">
        <v>334</v>
      </c>
      <c r="E1229" s="31" t="s">
        <v>396</v>
      </c>
      <c r="F1229" s="31"/>
      <c r="G1229" s="32" t="s">
        <v>16</v>
      </c>
      <c r="H1229" s="33">
        <v>1863.0</v>
      </c>
      <c r="I1229" s="33">
        <v>1331.0</v>
      </c>
      <c r="J1229" s="33">
        <v>698.0</v>
      </c>
      <c r="K1229" s="33">
        <v>633.0</v>
      </c>
      <c r="L1229" s="33">
        <v>532.0</v>
      </c>
      <c r="M1229" s="33">
        <v>3062.0</v>
      </c>
      <c r="N1229" s="33">
        <v>2466.0</v>
      </c>
      <c r="O1229" s="33">
        <v>2259.0</v>
      </c>
      <c r="P1229" s="33">
        <v>207.0</v>
      </c>
      <c r="Q1229" s="33">
        <v>596.0</v>
      </c>
      <c r="R1229" s="34">
        <v>71.4439077</v>
      </c>
      <c r="S1229" s="34">
        <v>37.466452</v>
      </c>
      <c r="T1229" s="34">
        <v>33.9774557</v>
      </c>
      <c r="U1229" s="34">
        <v>28.5560923</v>
      </c>
      <c r="V1229" s="34">
        <v>80.5355976</v>
      </c>
      <c r="W1229" s="34">
        <v>73.7753103</v>
      </c>
      <c r="X1229" s="34">
        <v>6.7602874</v>
      </c>
      <c r="Y1229" s="34">
        <v>19.4644024</v>
      </c>
    </row>
    <row r="1230" ht="15.0" customHeight="1">
      <c r="B1230" s="35">
        <v>1225.0</v>
      </c>
      <c r="C1230" s="36" t="s">
        <v>21</v>
      </c>
      <c r="D1230" s="41" t="s">
        <v>334</v>
      </c>
      <c r="E1230" s="41" t="s">
        <v>396</v>
      </c>
      <c r="F1230" s="41" t="s">
        <v>397</v>
      </c>
      <c r="G1230" s="42" t="s">
        <v>397</v>
      </c>
      <c r="H1230" s="37">
        <v>4554.0</v>
      </c>
      <c r="I1230" s="37">
        <v>4015.0</v>
      </c>
      <c r="J1230" s="37">
        <v>2297.0</v>
      </c>
      <c r="K1230" s="37">
        <v>1718.0</v>
      </c>
      <c r="L1230" s="37">
        <v>539.0</v>
      </c>
      <c r="M1230" s="37">
        <v>4859.0</v>
      </c>
      <c r="N1230" s="37">
        <v>4521.0</v>
      </c>
      <c r="O1230" s="37">
        <v>4000.0</v>
      </c>
      <c r="P1230" s="37">
        <v>521.0</v>
      </c>
      <c r="Q1230" s="37">
        <v>338.0</v>
      </c>
      <c r="R1230" s="38">
        <v>88.1642512</v>
      </c>
      <c r="S1230" s="38">
        <v>50.4391744</v>
      </c>
      <c r="T1230" s="38">
        <v>37.7250769</v>
      </c>
      <c r="U1230" s="38">
        <v>11.8357488</v>
      </c>
      <c r="V1230" s="38">
        <v>93.0438362</v>
      </c>
      <c r="W1230" s="38">
        <v>82.3214653</v>
      </c>
      <c r="X1230" s="38">
        <v>10.7223709</v>
      </c>
      <c r="Y1230" s="38">
        <v>6.9561638</v>
      </c>
    </row>
    <row r="1231" ht="15.0" hidden="1" customHeight="1">
      <c r="B1231" s="30">
        <v>1226.0</v>
      </c>
      <c r="C1231" s="31" t="s">
        <v>21</v>
      </c>
      <c r="D1231" s="31" t="s">
        <v>334</v>
      </c>
      <c r="E1231" s="31" t="s">
        <v>396</v>
      </c>
      <c r="F1231" s="31" t="s">
        <v>397</v>
      </c>
      <c r="G1231" s="32" t="s">
        <v>15</v>
      </c>
      <c r="H1231" s="33">
        <v>3590.0</v>
      </c>
      <c r="I1231" s="33">
        <v>3336.0</v>
      </c>
      <c r="J1231" s="33">
        <v>1922.0</v>
      </c>
      <c r="K1231" s="33">
        <v>1414.0</v>
      </c>
      <c r="L1231" s="33">
        <v>254.0</v>
      </c>
      <c r="M1231" s="33">
        <v>3361.0</v>
      </c>
      <c r="N1231" s="33">
        <v>3228.0</v>
      </c>
      <c r="O1231" s="33">
        <v>2848.0</v>
      </c>
      <c r="P1231" s="33">
        <v>380.0</v>
      </c>
      <c r="Q1231" s="33">
        <v>133.0</v>
      </c>
      <c r="R1231" s="34">
        <v>92.9247911</v>
      </c>
      <c r="S1231" s="34">
        <v>53.5376045</v>
      </c>
      <c r="T1231" s="34">
        <v>39.3871866</v>
      </c>
      <c r="U1231" s="34">
        <v>7.0752089</v>
      </c>
      <c r="V1231" s="34">
        <v>96.0428444</v>
      </c>
      <c r="W1231" s="34">
        <v>84.7366855</v>
      </c>
      <c r="X1231" s="34">
        <v>11.3061589</v>
      </c>
      <c r="Y1231" s="34">
        <v>3.9571556</v>
      </c>
    </row>
    <row r="1232" ht="15.0" hidden="1" customHeight="1">
      <c r="B1232" s="30">
        <v>1227.0</v>
      </c>
      <c r="C1232" s="31" t="s">
        <v>21</v>
      </c>
      <c r="D1232" s="31" t="s">
        <v>334</v>
      </c>
      <c r="E1232" s="31" t="s">
        <v>396</v>
      </c>
      <c r="F1232" s="31" t="s">
        <v>397</v>
      </c>
      <c r="G1232" s="32" t="s">
        <v>16</v>
      </c>
      <c r="H1232" s="33">
        <v>964.0</v>
      </c>
      <c r="I1232" s="33">
        <v>679.0</v>
      </c>
      <c r="J1232" s="33">
        <v>375.0</v>
      </c>
      <c r="K1232" s="33">
        <v>304.0</v>
      </c>
      <c r="L1232" s="33">
        <v>285.0</v>
      </c>
      <c r="M1232" s="33">
        <v>1498.0</v>
      </c>
      <c r="N1232" s="33">
        <v>1293.0</v>
      </c>
      <c r="O1232" s="33">
        <v>1152.0</v>
      </c>
      <c r="P1232" s="33">
        <v>141.0</v>
      </c>
      <c r="Q1232" s="33">
        <v>205.0</v>
      </c>
      <c r="R1232" s="34">
        <v>70.4356846</v>
      </c>
      <c r="S1232" s="34">
        <v>38.9004149</v>
      </c>
      <c r="T1232" s="34">
        <v>31.5352697</v>
      </c>
      <c r="U1232" s="34">
        <v>29.5643154</v>
      </c>
      <c r="V1232" s="34">
        <v>86.3150868</v>
      </c>
      <c r="W1232" s="34">
        <v>76.9025367</v>
      </c>
      <c r="X1232" s="34">
        <v>9.4125501</v>
      </c>
      <c r="Y1232" s="34">
        <v>13.6849132</v>
      </c>
    </row>
    <row r="1233" ht="15.0" customHeight="1">
      <c r="B1233" s="35">
        <v>1228.0</v>
      </c>
      <c r="C1233" s="36" t="s">
        <v>21</v>
      </c>
      <c r="D1233" s="41" t="s">
        <v>334</v>
      </c>
      <c r="E1233" s="41" t="s">
        <v>396</v>
      </c>
      <c r="F1233" s="41" t="s">
        <v>398</v>
      </c>
      <c r="G1233" s="42" t="s">
        <v>398</v>
      </c>
      <c r="H1233" s="37">
        <v>3881.0</v>
      </c>
      <c r="I1233" s="37">
        <v>3583.0</v>
      </c>
      <c r="J1233" s="37">
        <v>1936.0</v>
      </c>
      <c r="K1233" s="37">
        <v>1647.0</v>
      </c>
      <c r="L1233" s="37">
        <v>298.0</v>
      </c>
      <c r="M1233" s="37">
        <v>4954.0</v>
      </c>
      <c r="N1233" s="37">
        <v>4802.0</v>
      </c>
      <c r="O1233" s="37">
        <v>3886.0</v>
      </c>
      <c r="P1233" s="37">
        <v>916.0</v>
      </c>
      <c r="Q1233" s="37">
        <v>152.0</v>
      </c>
      <c r="R1233" s="38">
        <v>92.3215666</v>
      </c>
      <c r="S1233" s="38">
        <v>49.8840505</v>
      </c>
      <c r="T1233" s="38">
        <v>42.4375161</v>
      </c>
      <c r="U1233" s="38">
        <v>7.6784334</v>
      </c>
      <c r="V1233" s="38">
        <v>96.9317723</v>
      </c>
      <c r="W1233" s="38">
        <v>78.4416633</v>
      </c>
      <c r="X1233" s="38">
        <v>18.490109</v>
      </c>
      <c r="Y1233" s="38">
        <v>3.0682277</v>
      </c>
    </row>
    <row r="1234" ht="15.0" hidden="1" customHeight="1">
      <c r="B1234" s="30">
        <v>1229.0</v>
      </c>
      <c r="C1234" s="31" t="s">
        <v>21</v>
      </c>
      <c r="D1234" s="31" t="s">
        <v>334</v>
      </c>
      <c r="E1234" s="31" t="s">
        <v>396</v>
      </c>
      <c r="F1234" s="31" t="s">
        <v>398</v>
      </c>
      <c r="G1234" s="32" t="s">
        <v>15</v>
      </c>
      <c r="H1234" s="33">
        <v>3817.0</v>
      </c>
      <c r="I1234" s="33">
        <v>3547.0</v>
      </c>
      <c r="J1234" s="33">
        <v>1915.0</v>
      </c>
      <c r="K1234" s="33">
        <v>1632.0</v>
      </c>
      <c r="L1234" s="33">
        <v>270.0</v>
      </c>
      <c r="M1234" s="33">
        <v>4821.0</v>
      </c>
      <c r="N1234" s="33">
        <v>4681.0</v>
      </c>
      <c r="O1234" s="33">
        <v>3773.0</v>
      </c>
      <c r="P1234" s="33">
        <v>908.0</v>
      </c>
      <c r="Q1234" s="33">
        <v>140.0</v>
      </c>
      <c r="R1234" s="34">
        <v>92.926382</v>
      </c>
      <c r="S1234" s="34">
        <v>50.1702908</v>
      </c>
      <c r="T1234" s="34">
        <v>42.7560912</v>
      </c>
      <c r="U1234" s="34">
        <v>7.073618</v>
      </c>
      <c r="V1234" s="34">
        <v>97.0960382</v>
      </c>
      <c r="W1234" s="34">
        <v>78.2617714</v>
      </c>
      <c r="X1234" s="34">
        <v>18.8342667</v>
      </c>
      <c r="Y1234" s="34">
        <v>2.9039618</v>
      </c>
    </row>
    <row r="1235" ht="15.0" hidden="1" customHeight="1">
      <c r="B1235" s="30">
        <v>1230.0</v>
      </c>
      <c r="C1235" s="31" t="s">
        <v>21</v>
      </c>
      <c r="D1235" s="31" t="s">
        <v>334</v>
      </c>
      <c r="E1235" s="31" t="s">
        <v>396</v>
      </c>
      <c r="F1235" s="31" t="s">
        <v>398</v>
      </c>
      <c r="G1235" s="32" t="s">
        <v>16</v>
      </c>
      <c r="H1235" s="33">
        <v>64.0</v>
      </c>
      <c r="I1235" s="33">
        <v>36.0</v>
      </c>
      <c r="J1235" s="33">
        <v>21.0</v>
      </c>
      <c r="K1235" s="33">
        <v>15.0</v>
      </c>
      <c r="L1235" s="33">
        <v>28.0</v>
      </c>
      <c r="M1235" s="33">
        <v>133.0</v>
      </c>
      <c r="N1235" s="33">
        <v>121.0</v>
      </c>
      <c r="O1235" s="33">
        <v>113.0</v>
      </c>
      <c r="P1235" s="33">
        <v>8.0</v>
      </c>
      <c r="Q1235" s="33">
        <v>12.0</v>
      </c>
      <c r="R1235" s="34">
        <v>56.25</v>
      </c>
      <c r="S1235" s="34">
        <v>32.8125</v>
      </c>
      <c r="T1235" s="34">
        <v>23.4375</v>
      </c>
      <c r="U1235" s="34">
        <v>43.75</v>
      </c>
      <c r="V1235" s="34">
        <v>90.9774436</v>
      </c>
      <c r="W1235" s="34">
        <v>84.962406</v>
      </c>
      <c r="X1235" s="34">
        <v>6.0150376</v>
      </c>
      <c r="Y1235" s="34">
        <v>9.0225564</v>
      </c>
    </row>
    <row r="1236" ht="15.0" customHeight="1">
      <c r="B1236" s="35">
        <v>1231.0</v>
      </c>
      <c r="C1236" s="36" t="s">
        <v>21</v>
      </c>
      <c r="D1236" s="41" t="s">
        <v>334</v>
      </c>
      <c r="E1236" s="41" t="s">
        <v>396</v>
      </c>
      <c r="F1236" s="41" t="s">
        <v>399</v>
      </c>
      <c r="G1236" s="42" t="s">
        <v>399</v>
      </c>
      <c r="H1236" s="37">
        <v>1492.0</v>
      </c>
      <c r="I1236" s="37">
        <v>1243.0</v>
      </c>
      <c r="J1236" s="37">
        <v>646.0</v>
      </c>
      <c r="K1236" s="37">
        <v>597.0</v>
      </c>
      <c r="L1236" s="37">
        <v>249.0</v>
      </c>
      <c r="M1236" s="37">
        <v>2433.0</v>
      </c>
      <c r="N1236" s="37">
        <v>2014.0</v>
      </c>
      <c r="O1236" s="37">
        <v>1830.0</v>
      </c>
      <c r="P1236" s="37">
        <v>184.0</v>
      </c>
      <c r="Q1236" s="37">
        <v>419.0</v>
      </c>
      <c r="R1236" s="38">
        <v>83.310992</v>
      </c>
      <c r="S1236" s="38">
        <v>43.2975871</v>
      </c>
      <c r="T1236" s="38">
        <v>40.0134048</v>
      </c>
      <c r="U1236" s="38">
        <v>16.689008</v>
      </c>
      <c r="V1236" s="38">
        <v>82.7784628</v>
      </c>
      <c r="W1236" s="38">
        <v>75.215783</v>
      </c>
      <c r="X1236" s="38">
        <v>7.5626798</v>
      </c>
      <c r="Y1236" s="38">
        <v>17.2215372</v>
      </c>
    </row>
    <row r="1237" ht="15.0" hidden="1" customHeight="1">
      <c r="B1237" s="30">
        <v>1232.0</v>
      </c>
      <c r="C1237" s="31" t="s">
        <v>21</v>
      </c>
      <c r="D1237" s="31" t="s">
        <v>334</v>
      </c>
      <c r="E1237" s="31" t="s">
        <v>396</v>
      </c>
      <c r="F1237" s="31" t="s">
        <v>399</v>
      </c>
      <c r="G1237" s="32" t="s">
        <v>15</v>
      </c>
      <c r="H1237" s="33">
        <v>657.0</v>
      </c>
      <c r="I1237" s="33">
        <v>627.0</v>
      </c>
      <c r="J1237" s="33">
        <v>344.0</v>
      </c>
      <c r="K1237" s="33">
        <v>283.0</v>
      </c>
      <c r="L1237" s="33">
        <v>30.0</v>
      </c>
      <c r="M1237" s="33">
        <v>1002.0</v>
      </c>
      <c r="N1237" s="33">
        <v>962.0</v>
      </c>
      <c r="O1237" s="33">
        <v>836.0</v>
      </c>
      <c r="P1237" s="33">
        <v>126.0</v>
      </c>
      <c r="Q1237" s="33">
        <v>40.0</v>
      </c>
      <c r="R1237" s="34">
        <v>95.43379</v>
      </c>
      <c r="S1237" s="34">
        <v>52.3592085</v>
      </c>
      <c r="T1237" s="34">
        <v>43.0745814</v>
      </c>
      <c r="U1237" s="34">
        <v>4.56621</v>
      </c>
      <c r="V1237" s="34">
        <v>96.007984</v>
      </c>
      <c r="W1237" s="34">
        <v>83.4331337</v>
      </c>
      <c r="X1237" s="34">
        <v>12.5748503</v>
      </c>
      <c r="Y1237" s="34">
        <v>3.992016</v>
      </c>
    </row>
    <row r="1238" ht="15.0" hidden="1" customHeight="1">
      <c r="B1238" s="30">
        <v>1233.0</v>
      </c>
      <c r="C1238" s="31" t="s">
        <v>21</v>
      </c>
      <c r="D1238" s="31" t="s">
        <v>334</v>
      </c>
      <c r="E1238" s="31" t="s">
        <v>396</v>
      </c>
      <c r="F1238" s="31" t="s">
        <v>399</v>
      </c>
      <c r="G1238" s="32" t="s">
        <v>16</v>
      </c>
      <c r="H1238" s="33">
        <v>835.0</v>
      </c>
      <c r="I1238" s="33">
        <v>616.0</v>
      </c>
      <c r="J1238" s="33">
        <v>302.0</v>
      </c>
      <c r="K1238" s="33">
        <v>314.0</v>
      </c>
      <c r="L1238" s="33">
        <v>219.0</v>
      </c>
      <c r="M1238" s="33">
        <v>1431.0</v>
      </c>
      <c r="N1238" s="33">
        <v>1052.0</v>
      </c>
      <c r="O1238" s="33">
        <v>994.0</v>
      </c>
      <c r="P1238" s="33">
        <v>58.0</v>
      </c>
      <c r="Q1238" s="33">
        <v>379.0</v>
      </c>
      <c r="R1238" s="34">
        <v>73.7724551</v>
      </c>
      <c r="S1238" s="34">
        <v>36.1676647</v>
      </c>
      <c r="T1238" s="34">
        <v>37.6047904</v>
      </c>
      <c r="U1238" s="34">
        <v>26.2275449</v>
      </c>
      <c r="V1238" s="34">
        <v>73.5150245</v>
      </c>
      <c r="W1238" s="34">
        <v>69.4619147</v>
      </c>
      <c r="X1238" s="34">
        <v>4.0531097</v>
      </c>
      <c r="Y1238" s="34">
        <v>26.4849755</v>
      </c>
    </row>
    <row r="1239" ht="15.0" hidden="1" customHeight="1">
      <c r="B1239" s="26">
        <v>1234.0</v>
      </c>
      <c r="C1239" s="27" t="s">
        <v>19</v>
      </c>
      <c r="D1239" s="40" t="s">
        <v>334</v>
      </c>
      <c r="E1239" s="40" t="s">
        <v>400</v>
      </c>
      <c r="F1239" s="40"/>
      <c r="G1239" s="27" t="s">
        <v>400</v>
      </c>
      <c r="H1239" s="28">
        <v>11164.0</v>
      </c>
      <c r="I1239" s="28">
        <v>8468.0</v>
      </c>
      <c r="J1239" s="28">
        <v>4351.0</v>
      </c>
      <c r="K1239" s="28">
        <v>4117.0</v>
      </c>
      <c r="L1239" s="28">
        <v>2696.0</v>
      </c>
      <c r="M1239" s="28">
        <v>18897.0</v>
      </c>
      <c r="N1239" s="28">
        <v>14883.0</v>
      </c>
      <c r="O1239" s="28">
        <v>12745.0</v>
      </c>
      <c r="P1239" s="28">
        <v>2138.0</v>
      </c>
      <c r="Q1239" s="28">
        <v>4014.0</v>
      </c>
      <c r="R1239" s="29">
        <v>75.8509495</v>
      </c>
      <c r="S1239" s="29">
        <v>38.9734862</v>
      </c>
      <c r="T1239" s="29">
        <v>36.8774633</v>
      </c>
      <c r="U1239" s="29">
        <v>24.1490505</v>
      </c>
      <c r="V1239" s="29">
        <v>78.7585331</v>
      </c>
      <c r="W1239" s="29">
        <v>67.4445679</v>
      </c>
      <c r="X1239" s="29">
        <v>11.3139652</v>
      </c>
      <c r="Y1239" s="29">
        <v>21.2414669</v>
      </c>
    </row>
    <row r="1240" ht="15.0" hidden="1" customHeight="1">
      <c r="B1240" s="30">
        <v>1235.0</v>
      </c>
      <c r="C1240" s="31" t="s">
        <v>19</v>
      </c>
      <c r="D1240" s="31" t="s">
        <v>334</v>
      </c>
      <c r="E1240" s="31" t="s">
        <v>400</v>
      </c>
      <c r="F1240" s="31"/>
      <c r="G1240" s="32" t="s">
        <v>15</v>
      </c>
      <c r="H1240" s="33">
        <v>6119.0</v>
      </c>
      <c r="I1240" s="33">
        <v>5532.0</v>
      </c>
      <c r="J1240" s="33">
        <v>2654.0</v>
      </c>
      <c r="K1240" s="33">
        <v>2878.0</v>
      </c>
      <c r="L1240" s="33">
        <v>587.0</v>
      </c>
      <c r="M1240" s="33">
        <v>8236.0</v>
      </c>
      <c r="N1240" s="33">
        <v>7803.0</v>
      </c>
      <c r="O1240" s="33">
        <v>6485.0</v>
      </c>
      <c r="P1240" s="33">
        <v>1318.0</v>
      </c>
      <c r="Q1240" s="33">
        <v>433.0</v>
      </c>
      <c r="R1240" s="34">
        <v>90.4069292</v>
      </c>
      <c r="S1240" s="34">
        <v>43.3731002</v>
      </c>
      <c r="T1240" s="34">
        <v>47.0338291</v>
      </c>
      <c r="U1240" s="34">
        <v>9.5930708</v>
      </c>
      <c r="V1240" s="34">
        <v>94.7425935</v>
      </c>
      <c r="W1240" s="34">
        <v>78.7396795</v>
      </c>
      <c r="X1240" s="34">
        <v>16.002914</v>
      </c>
      <c r="Y1240" s="34">
        <v>5.2574065</v>
      </c>
    </row>
    <row r="1241" ht="15.0" hidden="1" customHeight="1">
      <c r="B1241" s="30">
        <v>1236.0</v>
      </c>
      <c r="C1241" s="31" t="s">
        <v>19</v>
      </c>
      <c r="D1241" s="31" t="s">
        <v>334</v>
      </c>
      <c r="E1241" s="31" t="s">
        <v>400</v>
      </c>
      <c r="F1241" s="31"/>
      <c r="G1241" s="32" t="s">
        <v>16</v>
      </c>
      <c r="H1241" s="33">
        <v>5045.0</v>
      </c>
      <c r="I1241" s="33">
        <v>2936.0</v>
      </c>
      <c r="J1241" s="33">
        <v>1697.0</v>
      </c>
      <c r="K1241" s="33">
        <v>1239.0</v>
      </c>
      <c r="L1241" s="33">
        <v>2109.0</v>
      </c>
      <c r="M1241" s="33">
        <v>10661.0</v>
      </c>
      <c r="N1241" s="33">
        <v>7080.0</v>
      </c>
      <c r="O1241" s="33">
        <v>6260.0</v>
      </c>
      <c r="P1241" s="33">
        <v>820.0</v>
      </c>
      <c r="Q1241" s="33">
        <v>3581.0</v>
      </c>
      <c r="R1241" s="34">
        <v>58.1962339</v>
      </c>
      <c r="S1241" s="34">
        <v>33.6372646</v>
      </c>
      <c r="T1241" s="34">
        <v>24.5589693</v>
      </c>
      <c r="U1241" s="34">
        <v>41.8037661</v>
      </c>
      <c r="V1241" s="34">
        <v>66.4102805</v>
      </c>
      <c r="W1241" s="34">
        <v>58.7186943</v>
      </c>
      <c r="X1241" s="34">
        <v>7.6915862</v>
      </c>
      <c r="Y1241" s="34">
        <v>33.5897195</v>
      </c>
    </row>
    <row r="1242" ht="15.0" customHeight="1">
      <c r="B1242" s="35">
        <v>1237.0</v>
      </c>
      <c r="C1242" s="36" t="s">
        <v>21</v>
      </c>
      <c r="D1242" s="41" t="s">
        <v>334</v>
      </c>
      <c r="E1242" s="41" t="s">
        <v>400</v>
      </c>
      <c r="F1242" s="41" t="s">
        <v>401</v>
      </c>
      <c r="G1242" s="42" t="s">
        <v>401</v>
      </c>
      <c r="H1242" s="37">
        <v>5521.0</v>
      </c>
      <c r="I1242" s="37">
        <v>4699.0</v>
      </c>
      <c r="J1242" s="37">
        <v>2213.0</v>
      </c>
      <c r="K1242" s="37">
        <v>2486.0</v>
      </c>
      <c r="L1242" s="37">
        <v>822.0</v>
      </c>
      <c r="M1242" s="37">
        <v>10803.0</v>
      </c>
      <c r="N1242" s="37">
        <v>8719.0</v>
      </c>
      <c r="O1242" s="37">
        <v>7385.0</v>
      </c>
      <c r="P1242" s="37">
        <v>1334.0</v>
      </c>
      <c r="Q1242" s="37">
        <v>2084.0</v>
      </c>
      <c r="R1242" s="38">
        <v>85.1113929</v>
      </c>
      <c r="S1242" s="38">
        <v>40.0833182</v>
      </c>
      <c r="T1242" s="38">
        <v>45.0280746</v>
      </c>
      <c r="U1242" s="38">
        <v>14.8886071</v>
      </c>
      <c r="V1242" s="38">
        <v>80.7090623</v>
      </c>
      <c r="W1242" s="38">
        <v>68.3606406</v>
      </c>
      <c r="X1242" s="38">
        <v>12.3484217</v>
      </c>
      <c r="Y1242" s="38">
        <v>19.2909377</v>
      </c>
    </row>
    <row r="1243" ht="15.0" hidden="1" customHeight="1">
      <c r="B1243" s="30">
        <v>1238.0</v>
      </c>
      <c r="C1243" s="31" t="s">
        <v>21</v>
      </c>
      <c r="D1243" s="31" t="s">
        <v>334</v>
      </c>
      <c r="E1243" s="31" t="s">
        <v>400</v>
      </c>
      <c r="F1243" s="31" t="s">
        <v>401</v>
      </c>
      <c r="G1243" s="32" t="s">
        <v>15</v>
      </c>
      <c r="H1243" s="33">
        <v>4016.0</v>
      </c>
      <c r="I1243" s="33">
        <v>3681.0</v>
      </c>
      <c r="J1243" s="33">
        <v>1657.0</v>
      </c>
      <c r="K1243" s="33">
        <v>2024.0</v>
      </c>
      <c r="L1243" s="33">
        <v>335.0</v>
      </c>
      <c r="M1243" s="33">
        <v>6193.0</v>
      </c>
      <c r="N1243" s="33">
        <v>5874.0</v>
      </c>
      <c r="O1243" s="33">
        <v>4811.0</v>
      </c>
      <c r="P1243" s="33">
        <v>1063.0</v>
      </c>
      <c r="Q1243" s="33">
        <v>319.0</v>
      </c>
      <c r="R1243" s="34">
        <v>91.6583665</v>
      </c>
      <c r="S1243" s="34">
        <v>41.2599602</v>
      </c>
      <c r="T1243" s="34">
        <v>50.3984064</v>
      </c>
      <c r="U1243" s="34">
        <v>8.3416335</v>
      </c>
      <c r="V1243" s="34">
        <v>94.8490231</v>
      </c>
      <c r="W1243" s="34">
        <v>77.6844825</v>
      </c>
      <c r="X1243" s="34">
        <v>17.1645406</v>
      </c>
      <c r="Y1243" s="34">
        <v>5.1509769</v>
      </c>
    </row>
    <row r="1244" ht="15.0" hidden="1" customHeight="1">
      <c r="B1244" s="30">
        <v>1239.0</v>
      </c>
      <c r="C1244" s="31" t="s">
        <v>21</v>
      </c>
      <c r="D1244" s="31" t="s">
        <v>334</v>
      </c>
      <c r="E1244" s="31" t="s">
        <v>400</v>
      </c>
      <c r="F1244" s="31" t="s">
        <v>401</v>
      </c>
      <c r="G1244" s="32" t="s">
        <v>16</v>
      </c>
      <c r="H1244" s="33">
        <v>1505.0</v>
      </c>
      <c r="I1244" s="33">
        <v>1018.0</v>
      </c>
      <c r="J1244" s="33">
        <v>556.0</v>
      </c>
      <c r="K1244" s="33">
        <v>462.0</v>
      </c>
      <c r="L1244" s="33">
        <v>487.0</v>
      </c>
      <c r="M1244" s="33">
        <v>4610.0</v>
      </c>
      <c r="N1244" s="33">
        <v>2845.0</v>
      </c>
      <c r="O1244" s="33">
        <v>2574.0</v>
      </c>
      <c r="P1244" s="33">
        <v>271.0</v>
      </c>
      <c r="Q1244" s="33">
        <v>1765.0</v>
      </c>
      <c r="R1244" s="34">
        <v>67.641196</v>
      </c>
      <c r="S1244" s="34">
        <v>36.9435216</v>
      </c>
      <c r="T1244" s="34">
        <v>30.6976744</v>
      </c>
      <c r="U1244" s="34">
        <v>32.358804</v>
      </c>
      <c r="V1244" s="34">
        <v>61.7136659</v>
      </c>
      <c r="W1244" s="34">
        <v>55.835141</v>
      </c>
      <c r="X1244" s="34">
        <v>5.8785249</v>
      </c>
      <c r="Y1244" s="34">
        <v>38.2863341</v>
      </c>
    </row>
    <row r="1245" ht="15.0" customHeight="1">
      <c r="B1245" s="35">
        <v>1240.0</v>
      </c>
      <c r="C1245" s="36" t="s">
        <v>21</v>
      </c>
      <c r="D1245" s="41" t="s">
        <v>334</v>
      </c>
      <c r="E1245" s="41" t="s">
        <v>400</v>
      </c>
      <c r="F1245" s="41" t="s">
        <v>402</v>
      </c>
      <c r="G1245" s="42" t="s">
        <v>402</v>
      </c>
      <c r="H1245" s="37">
        <v>1182.0</v>
      </c>
      <c r="I1245" s="37">
        <v>1065.0</v>
      </c>
      <c r="J1245" s="37">
        <v>630.0</v>
      </c>
      <c r="K1245" s="37">
        <v>435.0</v>
      </c>
      <c r="L1245" s="37">
        <v>117.0</v>
      </c>
      <c r="M1245" s="37">
        <v>1640.0</v>
      </c>
      <c r="N1245" s="37">
        <v>1429.0</v>
      </c>
      <c r="O1245" s="37">
        <v>1246.0</v>
      </c>
      <c r="P1245" s="37">
        <v>183.0</v>
      </c>
      <c r="Q1245" s="37">
        <v>211.0</v>
      </c>
      <c r="R1245" s="38">
        <v>90.1015228</v>
      </c>
      <c r="S1245" s="38">
        <v>53.2994924</v>
      </c>
      <c r="T1245" s="38">
        <v>36.8020305</v>
      </c>
      <c r="U1245" s="38">
        <v>9.8984772</v>
      </c>
      <c r="V1245" s="38">
        <v>87.1341463</v>
      </c>
      <c r="W1245" s="38">
        <v>75.9756098</v>
      </c>
      <c r="X1245" s="38">
        <v>11.1585366</v>
      </c>
      <c r="Y1245" s="38">
        <v>12.8658537</v>
      </c>
    </row>
    <row r="1246" ht="15.0" hidden="1" customHeight="1">
      <c r="B1246" s="30">
        <v>1241.0</v>
      </c>
      <c r="C1246" s="31" t="s">
        <v>21</v>
      </c>
      <c r="D1246" s="31" t="s">
        <v>334</v>
      </c>
      <c r="E1246" s="31" t="s">
        <v>400</v>
      </c>
      <c r="F1246" s="31" t="s">
        <v>402</v>
      </c>
      <c r="G1246" s="32" t="s">
        <v>15</v>
      </c>
      <c r="H1246" s="33">
        <v>1053.0</v>
      </c>
      <c r="I1246" s="33">
        <v>981.0</v>
      </c>
      <c r="J1246" s="33">
        <v>587.0</v>
      </c>
      <c r="K1246" s="33">
        <v>394.0</v>
      </c>
      <c r="L1246" s="33">
        <v>72.0</v>
      </c>
      <c r="M1246" s="33">
        <v>1265.0</v>
      </c>
      <c r="N1246" s="33">
        <v>1204.0</v>
      </c>
      <c r="O1246" s="33">
        <v>1088.0</v>
      </c>
      <c r="P1246" s="33">
        <v>116.0</v>
      </c>
      <c r="Q1246" s="33">
        <v>61.0</v>
      </c>
      <c r="R1246" s="34">
        <v>93.1623932</v>
      </c>
      <c r="S1246" s="34">
        <v>55.7454891</v>
      </c>
      <c r="T1246" s="34">
        <v>37.416904099999996</v>
      </c>
      <c r="U1246" s="34">
        <v>6.8376068</v>
      </c>
      <c r="V1246" s="34">
        <v>95.1778656</v>
      </c>
      <c r="W1246" s="34">
        <v>86.0079051</v>
      </c>
      <c r="X1246" s="34">
        <v>9.1699605</v>
      </c>
      <c r="Y1246" s="34">
        <v>4.8221344</v>
      </c>
    </row>
    <row r="1247" ht="15.0" hidden="1" customHeight="1">
      <c r="B1247" s="30">
        <v>1242.0</v>
      </c>
      <c r="C1247" s="31" t="s">
        <v>21</v>
      </c>
      <c r="D1247" s="31" t="s">
        <v>334</v>
      </c>
      <c r="E1247" s="31" t="s">
        <v>400</v>
      </c>
      <c r="F1247" s="31" t="s">
        <v>402</v>
      </c>
      <c r="G1247" s="32" t="s">
        <v>16</v>
      </c>
      <c r="H1247" s="33">
        <v>129.0</v>
      </c>
      <c r="I1247" s="33">
        <v>84.0</v>
      </c>
      <c r="J1247" s="33">
        <v>43.0</v>
      </c>
      <c r="K1247" s="33">
        <v>41.0</v>
      </c>
      <c r="L1247" s="33">
        <v>45.0</v>
      </c>
      <c r="M1247" s="33">
        <v>375.0</v>
      </c>
      <c r="N1247" s="33">
        <v>225.0</v>
      </c>
      <c r="O1247" s="33">
        <v>158.0</v>
      </c>
      <c r="P1247" s="33">
        <v>67.0</v>
      </c>
      <c r="Q1247" s="33">
        <v>150.0</v>
      </c>
      <c r="R1247" s="34">
        <v>65.1162791</v>
      </c>
      <c r="S1247" s="34">
        <v>33.3333333</v>
      </c>
      <c r="T1247" s="34">
        <v>31.7829457</v>
      </c>
      <c r="U1247" s="34">
        <v>34.8837209</v>
      </c>
      <c r="V1247" s="34">
        <v>60.0</v>
      </c>
      <c r="W1247" s="34">
        <v>42.1333333</v>
      </c>
      <c r="X1247" s="34">
        <v>17.8666667</v>
      </c>
      <c r="Y1247" s="34">
        <v>40.0</v>
      </c>
    </row>
    <row r="1248" ht="15.0" customHeight="1">
      <c r="B1248" s="35">
        <v>1243.0</v>
      </c>
      <c r="C1248" s="36" t="s">
        <v>21</v>
      </c>
      <c r="D1248" s="41" t="s">
        <v>334</v>
      </c>
      <c r="E1248" s="41" t="s">
        <v>400</v>
      </c>
      <c r="F1248" s="41" t="s">
        <v>332</v>
      </c>
      <c r="G1248" s="42" t="s">
        <v>332</v>
      </c>
      <c r="H1248" s="37">
        <v>4461.0</v>
      </c>
      <c r="I1248" s="37">
        <v>2704.0</v>
      </c>
      <c r="J1248" s="37">
        <v>1508.0</v>
      </c>
      <c r="K1248" s="37">
        <v>1196.0</v>
      </c>
      <c r="L1248" s="37">
        <v>1757.0</v>
      </c>
      <c r="M1248" s="37">
        <v>6454.0</v>
      </c>
      <c r="N1248" s="37">
        <v>4735.0</v>
      </c>
      <c r="O1248" s="37">
        <v>4114.0</v>
      </c>
      <c r="P1248" s="37">
        <v>621.0</v>
      </c>
      <c r="Q1248" s="37">
        <v>1719.0</v>
      </c>
      <c r="R1248" s="38">
        <v>60.6142121</v>
      </c>
      <c r="S1248" s="38">
        <v>33.8040798</v>
      </c>
      <c r="T1248" s="38">
        <v>26.8101323</v>
      </c>
      <c r="U1248" s="38">
        <v>39.3857879</v>
      </c>
      <c r="V1248" s="38">
        <v>73.3653548</v>
      </c>
      <c r="W1248" s="38">
        <v>63.7434149</v>
      </c>
      <c r="X1248" s="38">
        <v>9.6219399</v>
      </c>
      <c r="Y1248" s="38">
        <v>26.6346452</v>
      </c>
    </row>
    <row r="1249" ht="15.0" hidden="1" customHeight="1">
      <c r="B1249" s="30">
        <v>1244.0</v>
      </c>
      <c r="C1249" s="31" t="s">
        <v>21</v>
      </c>
      <c r="D1249" s="31" t="s">
        <v>334</v>
      </c>
      <c r="E1249" s="31" t="s">
        <v>400</v>
      </c>
      <c r="F1249" s="31" t="s">
        <v>332</v>
      </c>
      <c r="G1249" s="32" t="s">
        <v>15</v>
      </c>
      <c r="H1249" s="33">
        <v>1050.0</v>
      </c>
      <c r="I1249" s="33">
        <v>870.0</v>
      </c>
      <c r="J1249" s="33">
        <v>410.0</v>
      </c>
      <c r="K1249" s="33">
        <v>460.0</v>
      </c>
      <c r="L1249" s="33">
        <v>180.0</v>
      </c>
      <c r="M1249" s="33">
        <v>778.0</v>
      </c>
      <c r="N1249" s="33">
        <v>725.0</v>
      </c>
      <c r="O1249" s="33">
        <v>586.0</v>
      </c>
      <c r="P1249" s="33">
        <v>139.0</v>
      </c>
      <c r="Q1249" s="33">
        <v>53.0</v>
      </c>
      <c r="R1249" s="34">
        <v>82.8571429</v>
      </c>
      <c r="S1249" s="34">
        <v>39.047619</v>
      </c>
      <c r="T1249" s="34">
        <v>43.8095238</v>
      </c>
      <c r="U1249" s="34">
        <v>17.1428571</v>
      </c>
      <c r="V1249" s="34">
        <v>93.1876607</v>
      </c>
      <c r="W1249" s="34">
        <v>75.3213368</v>
      </c>
      <c r="X1249" s="34">
        <v>17.8663239</v>
      </c>
      <c r="Y1249" s="34">
        <v>6.8123393</v>
      </c>
    </row>
    <row r="1250" ht="15.0" hidden="1" customHeight="1">
      <c r="B1250" s="30">
        <v>1245.0</v>
      </c>
      <c r="C1250" s="31" t="s">
        <v>21</v>
      </c>
      <c r="D1250" s="31" t="s">
        <v>334</v>
      </c>
      <c r="E1250" s="31" t="s">
        <v>400</v>
      </c>
      <c r="F1250" s="31" t="s">
        <v>332</v>
      </c>
      <c r="G1250" s="32" t="s">
        <v>16</v>
      </c>
      <c r="H1250" s="33">
        <v>3411.0</v>
      </c>
      <c r="I1250" s="33">
        <v>1834.0</v>
      </c>
      <c r="J1250" s="33">
        <v>1098.0</v>
      </c>
      <c r="K1250" s="33">
        <v>736.0</v>
      </c>
      <c r="L1250" s="33">
        <v>1577.0</v>
      </c>
      <c r="M1250" s="33">
        <v>5676.0</v>
      </c>
      <c r="N1250" s="33">
        <v>4010.0</v>
      </c>
      <c r="O1250" s="33">
        <v>3528.0</v>
      </c>
      <c r="P1250" s="33">
        <v>482.0</v>
      </c>
      <c r="Q1250" s="33">
        <v>1666.0</v>
      </c>
      <c r="R1250" s="34">
        <v>53.7672237</v>
      </c>
      <c r="S1250" s="34">
        <v>32.1899736</v>
      </c>
      <c r="T1250" s="34">
        <v>21.5772501</v>
      </c>
      <c r="U1250" s="34">
        <v>46.2327763</v>
      </c>
      <c r="V1250" s="34">
        <v>70.6483439</v>
      </c>
      <c r="W1250" s="34">
        <v>62.1564482</v>
      </c>
      <c r="X1250" s="34">
        <v>8.4918957</v>
      </c>
      <c r="Y1250" s="34">
        <v>29.3516561</v>
      </c>
    </row>
    <row r="1251" ht="15.0" hidden="1" customHeight="1">
      <c r="B1251" s="18">
        <v>1246.0</v>
      </c>
      <c r="C1251" s="19" t="s">
        <v>17</v>
      </c>
      <c r="D1251" s="19" t="s">
        <v>403</v>
      </c>
      <c r="E1251" s="19"/>
      <c r="F1251" s="19"/>
      <c r="G1251" s="19" t="s">
        <v>403</v>
      </c>
      <c r="H1251" s="20">
        <v>93890.0</v>
      </c>
      <c r="I1251" s="20">
        <v>80752.0</v>
      </c>
      <c r="J1251" s="20">
        <v>38944.0</v>
      </c>
      <c r="K1251" s="20">
        <v>41808.0</v>
      </c>
      <c r="L1251" s="20">
        <v>13138.0</v>
      </c>
      <c r="M1251" s="20">
        <v>126668.0</v>
      </c>
      <c r="N1251" s="20">
        <v>113980.0</v>
      </c>
      <c r="O1251" s="20">
        <v>97950.0</v>
      </c>
      <c r="P1251" s="20">
        <v>16030.0</v>
      </c>
      <c r="Q1251" s="20">
        <v>12688.0</v>
      </c>
      <c r="R1251" s="21">
        <v>86.0070295</v>
      </c>
      <c r="S1251" s="21">
        <v>41.4783257</v>
      </c>
      <c r="T1251" s="21">
        <v>44.5287038</v>
      </c>
      <c r="U1251" s="21">
        <v>13.9929705</v>
      </c>
      <c r="V1251" s="21">
        <v>89.9832633</v>
      </c>
      <c r="W1251" s="21">
        <v>77.3281334</v>
      </c>
      <c r="X1251" s="21">
        <v>12.6551299</v>
      </c>
      <c r="Y1251" s="21">
        <v>10.0167367</v>
      </c>
    </row>
    <row r="1252" ht="15.0" hidden="1" customHeight="1">
      <c r="B1252" s="22">
        <v>1247.0</v>
      </c>
      <c r="C1252" s="23" t="s">
        <v>17</v>
      </c>
      <c r="D1252" s="39" t="s">
        <v>403</v>
      </c>
      <c r="E1252" s="39"/>
      <c r="F1252" s="39"/>
      <c r="G1252" s="23" t="s">
        <v>15</v>
      </c>
      <c r="H1252" s="24">
        <v>68598.0</v>
      </c>
      <c r="I1252" s="24">
        <v>63322.0</v>
      </c>
      <c r="J1252" s="24">
        <v>31641.0</v>
      </c>
      <c r="K1252" s="24">
        <v>31681.0</v>
      </c>
      <c r="L1252" s="24">
        <v>5276.0</v>
      </c>
      <c r="M1252" s="24">
        <v>89529.0</v>
      </c>
      <c r="N1252" s="24">
        <v>85648.0</v>
      </c>
      <c r="O1252" s="24">
        <v>72851.0</v>
      </c>
      <c r="P1252" s="24">
        <v>12797.0</v>
      </c>
      <c r="Q1252" s="24">
        <v>3881.0</v>
      </c>
      <c r="R1252" s="25">
        <v>92.3088137</v>
      </c>
      <c r="S1252" s="25">
        <v>46.1252515</v>
      </c>
      <c r="T1252" s="25">
        <v>46.1835622</v>
      </c>
      <c r="U1252" s="25">
        <v>7.6911863</v>
      </c>
      <c r="V1252" s="25">
        <v>95.6650918</v>
      </c>
      <c r="W1252" s="25">
        <v>81.3713992</v>
      </c>
      <c r="X1252" s="25">
        <v>14.2936925</v>
      </c>
      <c r="Y1252" s="25">
        <v>4.3349082</v>
      </c>
    </row>
    <row r="1253" ht="15.0" hidden="1" customHeight="1">
      <c r="B1253" s="22">
        <v>1248.0</v>
      </c>
      <c r="C1253" s="23" t="s">
        <v>17</v>
      </c>
      <c r="D1253" s="39" t="s">
        <v>403</v>
      </c>
      <c r="E1253" s="39"/>
      <c r="F1253" s="39"/>
      <c r="G1253" s="23" t="s">
        <v>16</v>
      </c>
      <c r="H1253" s="24">
        <v>25292.0</v>
      </c>
      <c r="I1253" s="24">
        <v>17430.0</v>
      </c>
      <c r="J1253" s="24">
        <v>7303.0</v>
      </c>
      <c r="K1253" s="24">
        <v>10127.0</v>
      </c>
      <c r="L1253" s="24">
        <v>7862.0</v>
      </c>
      <c r="M1253" s="24">
        <v>37139.0</v>
      </c>
      <c r="N1253" s="24">
        <v>28332.0</v>
      </c>
      <c r="O1253" s="24">
        <v>25099.0</v>
      </c>
      <c r="P1253" s="24">
        <v>3233.0</v>
      </c>
      <c r="Q1253" s="24">
        <v>8807.0</v>
      </c>
      <c r="R1253" s="25">
        <v>68.915072</v>
      </c>
      <c r="S1253" s="25">
        <v>28.874743</v>
      </c>
      <c r="T1253" s="25">
        <v>40.040329</v>
      </c>
      <c r="U1253" s="25">
        <v>31.084928</v>
      </c>
      <c r="V1253" s="25">
        <v>76.2863836</v>
      </c>
      <c r="W1253" s="25">
        <v>67.5812488</v>
      </c>
      <c r="X1253" s="25">
        <v>8.7051348</v>
      </c>
      <c r="Y1253" s="25">
        <v>23.7136164</v>
      </c>
    </row>
    <row r="1254" ht="15.0" hidden="1" customHeight="1">
      <c r="B1254" s="26">
        <v>1249.0</v>
      </c>
      <c r="C1254" s="27" t="s">
        <v>19</v>
      </c>
      <c r="D1254" s="40" t="s">
        <v>403</v>
      </c>
      <c r="E1254" s="40" t="s">
        <v>163</v>
      </c>
      <c r="F1254" s="40"/>
      <c r="G1254" s="27" t="s">
        <v>163</v>
      </c>
      <c r="H1254" s="28">
        <v>25954.0</v>
      </c>
      <c r="I1254" s="28">
        <v>23506.0</v>
      </c>
      <c r="J1254" s="28">
        <v>11540.0</v>
      </c>
      <c r="K1254" s="28">
        <v>11966.0</v>
      </c>
      <c r="L1254" s="28">
        <v>2448.0</v>
      </c>
      <c r="M1254" s="28">
        <v>34516.0</v>
      </c>
      <c r="N1254" s="28">
        <v>32819.0</v>
      </c>
      <c r="O1254" s="28">
        <v>26905.0</v>
      </c>
      <c r="P1254" s="28">
        <v>5914.0</v>
      </c>
      <c r="Q1254" s="28">
        <v>1697.0</v>
      </c>
      <c r="R1254" s="29">
        <v>90.5679279</v>
      </c>
      <c r="S1254" s="29">
        <v>44.4632812</v>
      </c>
      <c r="T1254" s="29">
        <v>46.1046467</v>
      </c>
      <c r="U1254" s="29">
        <v>9.4320721</v>
      </c>
      <c r="V1254" s="29">
        <v>95.0834396</v>
      </c>
      <c r="W1254" s="29">
        <v>77.9493568</v>
      </c>
      <c r="X1254" s="29">
        <v>17.1340827</v>
      </c>
      <c r="Y1254" s="29">
        <v>4.9165604</v>
      </c>
    </row>
    <row r="1255" ht="15.0" hidden="1" customHeight="1">
      <c r="B1255" s="30">
        <v>1250.0</v>
      </c>
      <c r="C1255" s="31" t="s">
        <v>19</v>
      </c>
      <c r="D1255" s="31" t="s">
        <v>403</v>
      </c>
      <c r="E1255" s="31" t="s">
        <v>163</v>
      </c>
      <c r="F1255" s="31"/>
      <c r="G1255" s="32" t="s">
        <v>15</v>
      </c>
      <c r="H1255" s="33">
        <v>23580.0</v>
      </c>
      <c r="I1255" s="33">
        <v>21553.0</v>
      </c>
      <c r="J1255" s="33">
        <v>10699.0</v>
      </c>
      <c r="K1255" s="33">
        <v>10854.0</v>
      </c>
      <c r="L1255" s="33">
        <v>2027.0</v>
      </c>
      <c r="M1255" s="33">
        <v>31030.0</v>
      </c>
      <c r="N1255" s="33">
        <v>29799.0</v>
      </c>
      <c r="O1255" s="33">
        <v>24185.0</v>
      </c>
      <c r="P1255" s="33">
        <v>5614.0</v>
      </c>
      <c r="Q1255" s="33">
        <v>1231.0</v>
      </c>
      <c r="R1255" s="34">
        <v>91.403732</v>
      </c>
      <c r="S1255" s="34">
        <v>45.3731976</v>
      </c>
      <c r="T1255" s="34">
        <v>46.0305344</v>
      </c>
      <c r="U1255" s="34">
        <v>8.596268</v>
      </c>
      <c r="V1255" s="34">
        <v>96.0328714</v>
      </c>
      <c r="W1255" s="34">
        <v>77.9407025</v>
      </c>
      <c r="X1255" s="34">
        <v>18.0921689</v>
      </c>
      <c r="Y1255" s="34">
        <v>3.9671286</v>
      </c>
    </row>
    <row r="1256" ht="15.0" hidden="1" customHeight="1">
      <c r="B1256" s="30">
        <v>1251.0</v>
      </c>
      <c r="C1256" s="31" t="s">
        <v>19</v>
      </c>
      <c r="D1256" s="31" t="s">
        <v>403</v>
      </c>
      <c r="E1256" s="31" t="s">
        <v>163</v>
      </c>
      <c r="F1256" s="31"/>
      <c r="G1256" s="32" t="s">
        <v>16</v>
      </c>
      <c r="H1256" s="33">
        <v>2374.0</v>
      </c>
      <c r="I1256" s="33">
        <v>1953.0</v>
      </c>
      <c r="J1256" s="33">
        <v>841.0</v>
      </c>
      <c r="K1256" s="33">
        <v>1112.0</v>
      </c>
      <c r="L1256" s="33">
        <v>421.0</v>
      </c>
      <c r="M1256" s="33">
        <v>3486.0</v>
      </c>
      <c r="N1256" s="33">
        <v>3020.0</v>
      </c>
      <c r="O1256" s="33">
        <v>2720.0</v>
      </c>
      <c r="P1256" s="33">
        <v>300.0</v>
      </c>
      <c r="Q1256" s="33">
        <v>466.0</v>
      </c>
      <c r="R1256" s="34">
        <v>82.2662174</v>
      </c>
      <c r="S1256" s="34">
        <v>35.4254423</v>
      </c>
      <c r="T1256" s="34">
        <v>46.8407751</v>
      </c>
      <c r="U1256" s="34">
        <v>17.7337826</v>
      </c>
      <c r="V1256" s="34">
        <v>86.6322433</v>
      </c>
      <c r="W1256" s="34">
        <v>78.0263913</v>
      </c>
      <c r="X1256" s="34">
        <v>8.605852</v>
      </c>
      <c r="Y1256" s="34">
        <v>13.3677567</v>
      </c>
    </row>
    <row r="1257" ht="15.0" customHeight="1">
      <c r="B1257" s="35">
        <v>1252.0</v>
      </c>
      <c r="C1257" s="36" t="s">
        <v>21</v>
      </c>
      <c r="D1257" s="41" t="s">
        <v>403</v>
      </c>
      <c r="E1257" s="41" t="s">
        <v>163</v>
      </c>
      <c r="F1257" s="41" t="s">
        <v>404</v>
      </c>
      <c r="G1257" s="42" t="s">
        <v>404</v>
      </c>
      <c r="H1257" s="37">
        <v>24724.0</v>
      </c>
      <c r="I1257" s="37">
        <v>22463.0</v>
      </c>
      <c r="J1257" s="37">
        <v>11175.0</v>
      </c>
      <c r="K1257" s="37">
        <v>11288.0</v>
      </c>
      <c r="L1257" s="37">
        <v>2261.0</v>
      </c>
      <c r="M1257" s="37">
        <v>32445.0</v>
      </c>
      <c r="N1257" s="37">
        <v>31082.0</v>
      </c>
      <c r="O1257" s="37">
        <v>25344.0</v>
      </c>
      <c r="P1257" s="37">
        <v>5738.0</v>
      </c>
      <c r="Q1257" s="37">
        <v>1363.0</v>
      </c>
      <c r="R1257" s="38">
        <v>90.8550396</v>
      </c>
      <c r="S1257" s="38">
        <v>45.1989969</v>
      </c>
      <c r="T1257" s="38">
        <v>45.6560427</v>
      </c>
      <c r="U1257" s="38">
        <v>9.1449604</v>
      </c>
      <c r="V1257" s="38">
        <v>95.7990445</v>
      </c>
      <c r="W1257" s="38">
        <v>78.1137309</v>
      </c>
      <c r="X1257" s="38">
        <v>17.6853136</v>
      </c>
      <c r="Y1257" s="38">
        <v>4.2009555</v>
      </c>
    </row>
    <row r="1258" ht="15.0" hidden="1" customHeight="1">
      <c r="B1258" s="30">
        <v>1253.0</v>
      </c>
      <c r="C1258" s="31" t="s">
        <v>21</v>
      </c>
      <c r="D1258" s="31" t="s">
        <v>403</v>
      </c>
      <c r="E1258" s="31" t="s">
        <v>163</v>
      </c>
      <c r="F1258" s="31" t="s">
        <v>404</v>
      </c>
      <c r="G1258" s="32" t="s">
        <v>15</v>
      </c>
      <c r="H1258" s="33">
        <v>23580.0</v>
      </c>
      <c r="I1258" s="33">
        <v>21553.0</v>
      </c>
      <c r="J1258" s="33">
        <v>10699.0</v>
      </c>
      <c r="K1258" s="33">
        <v>10854.0</v>
      </c>
      <c r="L1258" s="33">
        <v>2027.0</v>
      </c>
      <c r="M1258" s="33">
        <v>31030.0</v>
      </c>
      <c r="N1258" s="33">
        <v>29799.0</v>
      </c>
      <c r="O1258" s="33">
        <v>24185.0</v>
      </c>
      <c r="P1258" s="33">
        <v>5614.0</v>
      </c>
      <c r="Q1258" s="33">
        <v>1231.0</v>
      </c>
      <c r="R1258" s="34">
        <v>91.403732</v>
      </c>
      <c r="S1258" s="34">
        <v>45.3731976</v>
      </c>
      <c r="T1258" s="34">
        <v>46.0305344</v>
      </c>
      <c r="U1258" s="34">
        <v>8.596268</v>
      </c>
      <c r="V1258" s="34">
        <v>96.0328714</v>
      </c>
      <c r="W1258" s="34">
        <v>77.9407025</v>
      </c>
      <c r="X1258" s="34">
        <v>18.0921689</v>
      </c>
      <c r="Y1258" s="34">
        <v>3.9671286</v>
      </c>
    </row>
    <row r="1259" ht="15.0" hidden="1" customHeight="1">
      <c r="B1259" s="30">
        <v>1254.0</v>
      </c>
      <c r="C1259" s="31" t="s">
        <v>21</v>
      </c>
      <c r="D1259" s="31" t="s">
        <v>403</v>
      </c>
      <c r="E1259" s="31" t="s">
        <v>163</v>
      </c>
      <c r="F1259" s="31" t="s">
        <v>404</v>
      </c>
      <c r="G1259" s="32" t="s">
        <v>16</v>
      </c>
      <c r="H1259" s="33">
        <v>1144.0</v>
      </c>
      <c r="I1259" s="33">
        <v>910.0</v>
      </c>
      <c r="J1259" s="33">
        <v>476.0</v>
      </c>
      <c r="K1259" s="33">
        <v>434.0</v>
      </c>
      <c r="L1259" s="33">
        <v>234.0</v>
      </c>
      <c r="M1259" s="33">
        <v>1415.0</v>
      </c>
      <c r="N1259" s="33">
        <v>1283.0</v>
      </c>
      <c r="O1259" s="33">
        <v>1159.0</v>
      </c>
      <c r="P1259" s="33">
        <v>124.0</v>
      </c>
      <c r="Q1259" s="33">
        <v>132.0</v>
      </c>
      <c r="R1259" s="34">
        <v>79.5454545</v>
      </c>
      <c r="S1259" s="34">
        <v>41.6083916</v>
      </c>
      <c r="T1259" s="34">
        <v>37.9370629</v>
      </c>
      <c r="U1259" s="34">
        <v>20.4545455</v>
      </c>
      <c r="V1259" s="34">
        <v>90.6713781</v>
      </c>
      <c r="W1259" s="34">
        <v>81.9081272</v>
      </c>
      <c r="X1259" s="34">
        <v>8.7632509</v>
      </c>
      <c r="Y1259" s="34">
        <v>9.3286219</v>
      </c>
    </row>
    <row r="1260" ht="15.0" customHeight="1">
      <c r="B1260" s="35">
        <v>1255.0</v>
      </c>
      <c r="C1260" s="36" t="s">
        <v>21</v>
      </c>
      <c r="D1260" s="41" t="s">
        <v>403</v>
      </c>
      <c r="E1260" s="41" t="s">
        <v>163</v>
      </c>
      <c r="F1260" s="41" t="s">
        <v>386</v>
      </c>
      <c r="G1260" s="42" t="s">
        <v>386</v>
      </c>
      <c r="H1260" s="37">
        <v>1230.0</v>
      </c>
      <c r="I1260" s="37">
        <v>1043.0</v>
      </c>
      <c r="J1260" s="37">
        <v>365.0</v>
      </c>
      <c r="K1260" s="37">
        <v>678.0</v>
      </c>
      <c r="L1260" s="37">
        <v>187.0</v>
      </c>
      <c r="M1260" s="37">
        <v>2071.0</v>
      </c>
      <c r="N1260" s="37">
        <v>1737.0</v>
      </c>
      <c r="O1260" s="37">
        <v>1561.0</v>
      </c>
      <c r="P1260" s="37">
        <v>176.0</v>
      </c>
      <c r="Q1260" s="37">
        <v>334.0</v>
      </c>
      <c r="R1260" s="38">
        <v>84.796748</v>
      </c>
      <c r="S1260" s="38">
        <v>29.6747967</v>
      </c>
      <c r="T1260" s="38">
        <v>55.1219512</v>
      </c>
      <c r="U1260" s="38">
        <v>15.203252</v>
      </c>
      <c r="V1260" s="38">
        <v>83.8725254</v>
      </c>
      <c r="W1260" s="38">
        <v>75.3742154</v>
      </c>
      <c r="X1260" s="38">
        <v>8.49831</v>
      </c>
      <c r="Y1260" s="38">
        <v>16.1274746</v>
      </c>
    </row>
    <row r="1261" ht="15.0" hidden="1" customHeight="1">
      <c r="B1261" s="30">
        <v>1256.0</v>
      </c>
      <c r="C1261" s="31" t="s">
        <v>21</v>
      </c>
      <c r="D1261" s="31" t="s">
        <v>403</v>
      </c>
      <c r="E1261" s="31" t="s">
        <v>163</v>
      </c>
      <c r="F1261" s="31" t="s">
        <v>386</v>
      </c>
      <c r="G1261" s="32" t="s">
        <v>15</v>
      </c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4"/>
      <c r="S1261" s="34"/>
      <c r="T1261" s="34"/>
      <c r="U1261" s="34"/>
      <c r="V1261" s="34"/>
      <c r="W1261" s="34"/>
      <c r="X1261" s="34"/>
      <c r="Y1261" s="34"/>
    </row>
    <row r="1262" ht="15.0" hidden="1" customHeight="1">
      <c r="B1262" s="30">
        <v>1257.0</v>
      </c>
      <c r="C1262" s="31" t="s">
        <v>21</v>
      </c>
      <c r="D1262" s="31" t="s">
        <v>403</v>
      </c>
      <c r="E1262" s="31" t="s">
        <v>163</v>
      </c>
      <c r="F1262" s="31" t="s">
        <v>386</v>
      </c>
      <c r="G1262" s="32" t="s">
        <v>16</v>
      </c>
      <c r="H1262" s="33">
        <v>1230.0</v>
      </c>
      <c r="I1262" s="33">
        <v>1043.0</v>
      </c>
      <c r="J1262" s="33">
        <v>365.0</v>
      </c>
      <c r="K1262" s="33">
        <v>678.0</v>
      </c>
      <c r="L1262" s="33">
        <v>187.0</v>
      </c>
      <c r="M1262" s="33">
        <v>2071.0</v>
      </c>
      <c r="N1262" s="33">
        <v>1737.0</v>
      </c>
      <c r="O1262" s="33">
        <v>1561.0</v>
      </c>
      <c r="P1262" s="33">
        <v>176.0</v>
      </c>
      <c r="Q1262" s="33">
        <v>334.0</v>
      </c>
      <c r="R1262" s="34">
        <v>84.796748</v>
      </c>
      <c r="S1262" s="34">
        <v>29.6747967</v>
      </c>
      <c r="T1262" s="34">
        <v>55.1219512</v>
      </c>
      <c r="U1262" s="34">
        <v>15.203252</v>
      </c>
      <c r="V1262" s="34">
        <v>83.8725254</v>
      </c>
      <c r="W1262" s="34">
        <v>75.3742154</v>
      </c>
      <c r="X1262" s="34">
        <v>8.49831</v>
      </c>
      <c r="Y1262" s="34">
        <v>16.1274746</v>
      </c>
    </row>
    <row r="1263" ht="15.0" hidden="1" customHeight="1">
      <c r="B1263" s="26">
        <v>1258.0</v>
      </c>
      <c r="C1263" s="27" t="s">
        <v>19</v>
      </c>
      <c r="D1263" s="40" t="s">
        <v>403</v>
      </c>
      <c r="E1263" s="40" t="s">
        <v>405</v>
      </c>
      <c r="F1263" s="40"/>
      <c r="G1263" s="27" t="s">
        <v>405</v>
      </c>
      <c r="H1263" s="28">
        <v>28849.0</v>
      </c>
      <c r="I1263" s="28">
        <v>26672.0</v>
      </c>
      <c r="J1263" s="28">
        <v>14213.0</v>
      </c>
      <c r="K1263" s="28">
        <v>12459.0</v>
      </c>
      <c r="L1263" s="28">
        <v>2177.0</v>
      </c>
      <c r="M1263" s="28">
        <v>38333.0</v>
      </c>
      <c r="N1263" s="28">
        <v>36607.0</v>
      </c>
      <c r="O1263" s="28">
        <v>32558.0</v>
      </c>
      <c r="P1263" s="28">
        <v>4049.0</v>
      </c>
      <c r="Q1263" s="28">
        <v>1726.0</v>
      </c>
      <c r="R1263" s="29">
        <v>92.4538112</v>
      </c>
      <c r="S1263" s="29">
        <v>49.2668723</v>
      </c>
      <c r="T1263" s="29">
        <v>43.1869389</v>
      </c>
      <c r="U1263" s="29">
        <v>7.5461888</v>
      </c>
      <c r="V1263" s="29">
        <v>95.4973522</v>
      </c>
      <c r="W1263" s="29">
        <v>84.9346516</v>
      </c>
      <c r="X1263" s="29">
        <v>10.5627005</v>
      </c>
      <c r="Y1263" s="29">
        <v>4.5026478</v>
      </c>
    </row>
    <row r="1264" ht="15.0" hidden="1" customHeight="1">
      <c r="B1264" s="30">
        <v>1259.0</v>
      </c>
      <c r="C1264" s="31" t="s">
        <v>19</v>
      </c>
      <c r="D1264" s="31" t="s">
        <v>403</v>
      </c>
      <c r="E1264" s="31" t="s">
        <v>405</v>
      </c>
      <c r="F1264" s="31"/>
      <c r="G1264" s="32" t="s">
        <v>15</v>
      </c>
      <c r="H1264" s="33">
        <v>25042.0</v>
      </c>
      <c r="I1264" s="33">
        <v>23597.0</v>
      </c>
      <c r="J1264" s="33">
        <v>12721.0</v>
      </c>
      <c r="K1264" s="33">
        <v>10876.0</v>
      </c>
      <c r="L1264" s="33">
        <v>1445.0</v>
      </c>
      <c r="M1264" s="33">
        <v>32914.0</v>
      </c>
      <c r="N1264" s="33">
        <v>31784.0</v>
      </c>
      <c r="O1264" s="33">
        <v>28099.0</v>
      </c>
      <c r="P1264" s="33">
        <v>3685.0</v>
      </c>
      <c r="Q1264" s="33">
        <v>1130.0</v>
      </c>
      <c r="R1264" s="34">
        <v>94.2296941</v>
      </c>
      <c r="S1264" s="34">
        <v>50.7986583</v>
      </c>
      <c r="T1264" s="34">
        <v>43.4310359</v>
      </c>
      <c r="U1264" s="34">
        <v>5.7703059</v>
      </c>
      <c r="V1264" s="34">
        <v>96.5668105</v>
      </c>
      <c r="W1264" s="34">
        <v>85.3709668</v>
      </c>
      <c r="X1264" s="34">
        <v>11.1958437</v>
      </c>
      <c r="Y1264" s="34">
        <v>3.4331895</v>
      </c>
    </row>
    <row r="1265" ht="15.0" hidden="1" customHeight="1">
      <c r="B1265" s="30">
        <v>1260.0</v>
      </c>
      <c r="C1265" s="31" t="s">
        <v>19</v>
      </c>
      <c r="D1265" s="31" t="s">
        <v>403</v>
      </c>
      <c r="E1265" s="31" t="s">
        <v>405</v>
      </c>
      <c r="F1265" s="31"/>
      <c r="G1265" s="32" t="s">
        <v>16</v>
      </c>
      <c r="H1265" s="33">
        <v>3807.0</v>
      </c>
      <c r="I1265" s="33">
        <v>3075.0</v>
      </c>
      <c r="J1265" s="33">
        <v>1492.0</v>
      </c>
      <c r="K1265" s="33">
        <v>1583.0</v>
      </c>
      <c r="L1265" s="33">
        <v>732.0</v>
      </c>
      <c r="M1265" s="33">
        <v>5419.0</v>
      </c>
      <c r="N1265" s="33">
        <v>4823.0</v>
      </c>
      <c r="O1265" s="33">
        <v>4459.0</v>
      </c>
      <c r="P1265" s="33">
        <v>364.0</v>
      </c>
      <c r="Q1265" s="33">
        <v>596.0</v>
      </c>
      <c r="R1265" s="34">
        <v>80.7722616</v>
      </c>
      <c r="S1265" s="34">
        <v>39.190964</v>
      </c>
      <c r="T1265" s="34">
        <v>41.5812976</v>
      </c>
      <c r="U1265" s="34">
        <v>19.2277384</v>
      </c>
      <c r="V1265" s="34">
        <v>89.0016608</v>
      </c>
      <c r="W1265" s="34">
        <v>82.2845543</v>
      </c>
      <c r="X1265" s="34">
        <v>6.7171065</v>
      </c>
      <c r="Y1265" s="34">
        <v>10.9983392</v>
      </c>
    </row>
    <row r="1266" ht="15.0" customHeight="1">
      <c r="B1266" s="35">
        <v>1261.0</v>
      </c>
      <c r="C1266" s="36" t="s">
        <v>21</v>
      </c>
      <c r="D1266" s="41" t="s">
        <v>403</v>
      </c>
      <c r="E1266" s="41" t="s">
        <v>405</v>
      </c>
      <c r="F1266" s="41" t="s">
        <v>406</v>
      </c>
      <c r="G1266" s="42" t="s">
        <v>406</v>
      </c>
      <c r="H1266" s="37">
        <v>19588.0</v>
      </c>
      <c r="I1266" s="37">
        <v>18043.0</v>
      </c>
      <c r="J1266" s="37">
        <v>9657.0</v>
      </c>
      <c r="K1266" s="37">
        <v>8386.0</v>
      </c>
      <c r="L1266" s="37">
        <v>1545.0</v>
      </c>
      <c r="M1266" s="37">
        <v>27442.0</v>
      </c>
      <c r="N1266" s="37">
        <v>26233.0</v>
      </c>
      <c r="O1266" s="37">
        <v>23306.0</v>
      </c>
      <c r="P1266" s="37">
        <v>2927.0</v>
      </c>
      <c r="Q1266" s="37">
        <v>1209.0</v>
      </c>
      <c r="R1266" s="38">
        <v>92.1125179</v>
      </c>
      <c r="S1266" s="38">
        <v>49.3005922</v>
      </c>
      <c r="T1266" s="38">
        <v>42.8119257</v>
      </c>
      <c r="U1266" s="38">
        <v>7.8874821</v>
      </c>
      <c r="V1266" s="38">
        <v>95.5943444</v>
      </c>
      <c r="W1266" s="38">
        <v>84.9282122</v>
      </c>
      <c r="X1266" s="38">
        <v>10.6661322</v>
      </c>
      <c r="Y1266" s="38">
        <v>4.4056556</v>
      </c>
    </row>
    <row r="1267" ht="15.0" hidden="1" customHeight="1">
      <c r="B1267" s="30">
        <v>1262.0</v>
      </c>
      <c r="C1267" s="31" t="s">
        <v>21</v>
      </c>
      <c r="D1267" s="31" t="s">
        <v>403</v>
      </c>
      <c r="E1267" s="31" t="s">
        <v>405</v>
      </c>
      <c r="F1267" s="31" t="s">
        <v>406</v>
      </c>
      <c r="G1267" s="32" t="s">
        <v>15</v>
      </c>
      <c r="H1267" s="33">
        <v>17142.0</v>
      </c>
      <c r="I1267" s="33">
        <v>16081.0</v>
      </c>
      <c r="J1267" s="33">
        <v>8803.0</v>
      </c>
      <c r="K1267" s="33">
        <v>7278.0</v>
      </c>
      <c r="L1267" s="33">
        <v>1061.0</v>
      </c>
      <c r="M1267" s="33">
        <v>23889.0</v>
      </c>
      <c r="N1267" s="33">
        <v>23089.0</v>
      </c>
      <c r="O1267" s="33">
        <v>20413.0</v>
      </c>
      <c r="P1267" s="33">
        <v>2676.0</v>
      </c>
      <c r="Q1267" s="33">
        <v>800.0</v>
      </c>
      <c r="R1267" s="34">
        <v>93.8105239</v>
      </c>
      <c r="S1267" s="34">
        <v>51.353401</v>
      </c>
      <c r="T1267" s="34">
        <v>42.4571229</v>
      </c>
      <c r="U1267" s="34">
        <v>6.1894761</v>
      </c>
      <c r="V1267" s="34">
        <v>96.6511784</v>
      </c>
      <c r="W1267" s="34">
        <v>85.44937</v>
      </c>
      <c r="X1267" s="34">
        <v>11.2018084</v>
      </c>
      <c r="Y1267" s="34">
        <v>3.3488216</v>
      </c>
    </row>
    <row r="1268" ht="15.0" hidden="1" customHeight="1">
      <c r="B1268" s="30">
        <v>1263.0</v>
      </c>
      <c r="C1268" s="31" t="s">
        <v>21</v>
      </c>
      <c r="D1268" s="31" t="s">
        <v>403</v>
      </c>
      <c r="E1268" s="31" t="s">
        <v>405</v>
      </c>
      <c r="F1268" s="31" t="s">
        <v>406</v>
      </c>
      <c r="G1268" s="32" t="s">
        <v>16</v>
      </c>
      <c r="H1268" s="33">
        <v>2446.0</v>
      </c>
      <c r="I1268" s="33">
        <v>1962.0</v>
      </c>
      <c r="J1268" s="33">
        <v>854.0</v>
      </c>
      <c r="K1268" s="33">
        <v>1108.0</v>
      </c>
      <c r="L1268" s="33">
        <v>484.0</v>
      </c>
      <c r="M1268" s="33">
        <v>3553.0</v>
      </c>
      <c r="N1268" s="33">
        <v>3144.0</v>
      </c>
      <c r="O1268" s="33">
        <v>2893.0</v>
      </c>
      <c r="P1268" s="33">
        <v>251.0</v>
      </c>
      <c r="Q1268" s="33">
        <v>409.0</v>
      </c>
      <c r="R1268" s="34">
        <v>80.212592</v>
      </c>
      <c r="S1268" s="34">
        <v>34.9141455</v>
      </c>
      <c r="T1268" s="34">
        <v>45.2984464</v>
      </c>
      <c r="U1268" s="34">
        <v>19.787408</v>
      </c>
      <c r="V1268" s="34">
        <v>88.4886012</v>
      </c>
      <c r="W1268" s="34">
        <v>81.4241486</v>
      </c>
      <c r="X1268" s="34">
        <v>7.0644526</v>
      </c>
      <c r="Y1268" s="34">
        <v>11.5113988</v>
      </c>
    </row>
    <row r="1269" ht="15.0" customHeight="1">
      <c r="B1269" s="35">
        <v>1264.0</v>
      </c>
      <c r="C1269" s="36" t="s">
        <v>21</v>
      </c>
      <c r="D1269" s="41" t="s">
        <v>403</v>
      </c>
      <c r="E1269" s="41" t="s">
        <v>405</v>
      </c>
      <c r="F1269" s="41" t="s">
        <v>407</v>
      </c>
      <c r="G1269" s="42" t="s">
        <v>407</v>
      </c>
      <c r="H1269" s="37">
        <v>9261.0</v>
      </c>
      <c r="I1269" s="37">
        <v>8629.0</v>
      </c>
      <c r="J1269" s="37">
        <v>4556.0</v>
      </c>
      <c r="K1269" s="37">
        <v>4073.0</v>
      </c>
      <c r="L1269" s="37">
        <v>632.0</v>
      </c>
      <c r="M1269" s="37">
        <v>10891.0</v>
      </c>
      <c r="N1269" s="37">
        <v>10374.0</v>
      </c>
      <c r="O1269" s="37">
        <v>9252.0</v>
      </c>
      <c r="P1269" s="37">
        <v>1122.0</v>
      </c>
      <c r="Q1269" s="37">
        <v>517.0</v>
      </c>
      <c r="R1269" s="38">
        <v>93.175683</v>
      </c>
      <c r="S1269" s="38">
        <v>49.1955512</v>
      </c>
      <c r="T1269" s="38">
        <v>43.9801317</v>
      </c>
      <c r="U1269" s="38">
        <v>6.824317</v>
      </c>
      <c r="V1269" s="38">
        <v>95.2529612</v>
      </c>
      <c r="W1269" s="38">
        <v>84.9508769</v>
      </c>
      <c r="X1269" s="38">
        <v>10.3020843</v>
      </c>
      <c r="Y1269" s="38">
        <v>4.7470388</v>
      </c>
    </row>
    <row r="1270" ht="15.0" hidden="1" customHeight="1">
      <c r="B1270" s="30">
        <v>1265.0</v>
      </c>
      <c r="C1270" s="31" t="s">
        <v>21</v>
      </c>
      <c r="D1270" s="31" t="s">
        <v>403</v>
      </c>
      <c r="E1270" s="31" t="s">
        <v>405</v>
      </c>
      <c r="F1270" s="31" t="s">
        <v>407</v>
      </c>
      <c r="G1270" s="32" t="s">
        <v>15</v>
      </c>
      <c r="H1270" s="33">
        <v>7900.0</v>
      </c>
      <c r="I1270" s="33">
        <v>7516.0</v>
      </c>
      <c r="J1270" s="33">
        <v>3918.0</v>
      </c>
      <c r="K1270" s="33">
        <v>3598.0</v>
      </c>
      <c r="L1270" s="33">
        <v>384.0</v>
      </c>
      <c r="M1270" s="33">
        <v>9025.0</v>
      </c>
      <c r="N1270" s="33">
        <v>8695.0</v>
      </c>
      <c r="O1270" s="33">
        <v>7686.0</v>
      </c>
      <c r="P1270" s="33">
        <v>1009.0</v>
      </c>
      <c r="Q1270" s="33">
        <v>330.0</v>
      </c>
      <c r="R1270" s="34">
        <v>95.1392405</v>
      </c>
      <c r="S1270" s="34">
        <v>49.5949367</v>
      </c>
      <c r="T1270" s="34">
        <v>45.5443038</v>
      </c>
      <c r="U1270" s="34">
        <v>4.8607595</v>
      </c>
      <c r="V1270" s="34">
        <v>96.3434903</v>
      </c>
      <c r="W1270" s="34">
        <v>85.1634349</v>
      </c>
      <c r="X1270" s="34">
        <v>11.1800554</v>
      </c>
      <c r="Y1270" s="34">
        <v>3.6565097</v>
      </c>
    </row>
    <row r="1271" ht="15.0" hidden="1" customHeight="1">
      <c r="B1271" s="30">
        <v>1266.0</v>
      </c>
      <c r="C1271" s="31" t="s">
        <v>21</v>
      </c>
      <c r="D1271" s="31" t="s">
        <v>403</v>
      </c>
      <c r="E1271" s="31" t="s">
        <v>405</v>
      </c>
      <c r="F1271" s="31" t="s">
        <v>407</v>
      </c>
      <c r="G1271" s="32" t="s">
        <v>16</v>
      </c>
      <c r="H1271" s="33">
        <v>1361.0</v>
      </c>
      <c r="I1271" s="33">
        <v>1113.0</v>
      </c>
      <c r="J1271" s="33">
        <v>638.0</v>
      </c>
      <c r="K1271" s="33">
        <v>475.0</v>
      </c>
      <c r="L1271" s="33">
        <v>248.0</v>
      </c>
      <c r="M1271" s="33">
        <v>1866.0</v>
      </c>
      <c r="N1271" s="33">
        <v>1679.0</v>
      </c>
      <c r="O1271" s="33">
        <v>1566.0</v>
      </c>
      <c r="P1271" s="33">
        <v>113.0</v>
      </c>
      <c r="Q1271" s="33">
        <v>187.0</v>
      </c>
      <c r="R1271" s="34">
        <v>81.7781043</v>
      </c>
      <c r="S1271" s="34">
        <v>46.8772961</v>
      </c>
      <c r="T1271" s="34">
        <v>34.9008082</v>
      </c>
      <c r="U1271" s="34">
        <v>18.2218957</v>
      </c>
      <c r="V1271" s="34">
        <v>89.9785638</v>
      </c>
      <c r="W1271" s="34">
        <v>83.9228296</v>
      </c>
      <c r="X1271" s="34">
        <v>6.0557342</v>
      </c>
      <c r="Y1271" s="34">
        <v>10.0214362</v>
      </c>
    </row>
    <row r="1272" ht="15.0" hidden="1" customHeight="1">
      <c r="B1272" s="26">
        <v>1267.0</v>
      </c>
      <c r="C1272" s="27" t="s">
        <v>19</v>
      </c>
      <c r="D1272" s="40" t="s">
        <v>403</v>
      </c>
      <c r="E1272" s="40" t="s">
        <v>408</v>
      </c>
      <c r="F1272" s="40"/>
      <c r="G1272" s="27" t="s">
        <v>408</v>
      </c>
      <c r="H1272" s="28">
        <v>19207.0</v>
      </c>
      <c r="I1272" s="28">
        <v>13828.0</v>
      </c>
      <c r="J1272" s="28">
        <v>6868.0</v>
      </c>
      <c r="K1272" s="28">
        <v>6960.0</v>
      </c>
      <c r="L1272" s="28">
        <v>5379.0</v>
      </c>
      <c r="M1272" s="28">
        <v>26098.0</v>
      </c>
      <c r="N1272" s="28">
        <v>20794.0</v>
      </c>
      <c r="O1272" s="28">
        <v>17883.0</v>
      </c>
      <c r="P1272" s="28">
        <v>2911.0</v>
      </c>
      <c r="Q1272" s="28">
        <v>5304.0</v>
      </c>
      <c r="R1272" s="29">
        <v>71.9945853</v>
      </c>
      <c r="S1272" s="29">
        <v>35.7577966</v>
      </c>
      <c r="T1272" s="29">
        <v>36.2367887</v>
      </c>
      <c r="U1272" s="29">
        <v>28.0054147</v>
      </c>
      <c r="V1272" s="29">
        <v>79.6766036</v>
      </c>
      <c r="W1272" s="29">
        <v>68.5224921</v>
      </c>
      <c r="X1272" s="29">
        <v>11.1541114</v>
      </c>
      <c r="Y1272" s="29">
        <v>20.3233964</v>
      </c>
    </row>
    <row r="1273" ht="15.0" hidden="1" customHeight="1">
      <c r="B1273" s="30">
        <v>1268.0</v>
      </c>
      <c r="C1273" s="31" t="s">
        <v>19</v>
      </c>
      <c r="D1273" s="31" t="s">
        <v>403</v>
      </c>
      <c r="E1273" s="31" t="s">
        <v>408</v>
      </c>
      <c r="F1273" s="31"/>
      <c r="G1273" s="32" t="s">
        <v>15</v>
      </c>
      <c r="H1273" s="33">
        <v>10944.0</v>
      </c>
      <c r="I1273" s="33">
        <v>9862.0</v>
      </c>
      <c r="J1273" s="33">
        <v>4914.0</v>
      </c>
      <c r="K1273" s="33">
        <v>4948.0</v>
      </c>
      <c r="L1273" s="33">
        <v>1082.0</v>
      </c>
      <c r="M1273" s="33">
        <v>13929.0</v>
      </c>
      <c r="N1273" s="33">
        <v>12841.0</v>
      </c>
      <c r="O1273" s="33">
        <v>10767.0</v>
      </c>
      <c r="P1273" s="33">
        <v>2074.0</v>
      </c>
      <c r="Q1273" s="33">
        <v>1088.0</v>
      </c>
      <c r="R1273" s="34">
        <v>90.1133041</v>
      </c>
      <c r="S1273" s="34">
        <v>44.9013158</v>
      </c>
      <c r="T1273" s="34">
        <v>45.2119883</v>
      </c>
      <c r="U1273" s="34">
        <v>9.8866959</v>
      </c>
      <c r="V1273" s="34">
        <v>92.1889583</v>
      </c>
      <c r="W1273" s="34">
        <v>77.29916</v>
      </c>
      <c r="X1273" s="34">
        <v>14.8897983</v>
      </c>
      <c r="Y1273" s="34">
        <v>7.8110417</v>
      </c>
    </row>
    <row r="1274" ht="15.0" hidden="1" customHeight="1">
      <c r="B1274" s="30">
        <v>1269.0</v>
      </c>
      <c r="C1274" s="31" t="s">
        <v>19</v>
      </c>
      <c r="D1274" s="31" t="s">
        <v>403</v>
      </c>
      <c r="E1274" s="31" t="s">
        <v>408</v>
      </c>
      <c r="F1274" s="31"/>
      <c r="G1274" s="32" t="s">
        <v>16</v>
      </c>
      <c r="H1274" s="33">
        <v>8263.0</v>
      </c>
      <c r="I1274" s="33">
        <v>3966.0</v>
      </c>
      <c r="J1274" s="33">
        <v>1954.0</v>
      </c>
      <c r="K1274" s="33">
        <v>2012.0</v>
      </c>
      <c r="L1274" s="33">
        <v>4297.0</v>
      </c>
      <c r="M1274" s="33">
        <v>12169.0</v>
      </c>
      <c r="N1274" s="33">
        <v>7953.0</v>
      </c>
      <c r="O1274" s="33">
        <v>7116.0</v>
      </c>
      <c r="P1274" s="33">
        <v>837.0</v>
      </c>
      <c r="Q1274" s="33">
        <v>4216.0</v>
      </c>
      <c r="R1274" s="34">
        <v>47.9970955</v>
      </c>
      <c r="S1274" s="34">
        <v>23.6475856</v>
      </c>
      <c r="T1274" s="34">
        <v>24.3495099</v>
      </c>
      <c r="U1274" s="34">
        <v>52.0029045</v>
      </c>
      <c r="V1274" s="34">
        <v>65.3545895</v>
      </c>
      <c r="W1274" s="34">
        <v>58.4764566</v>
      </c>
      <c r="X1274" s="34">
        <v>6.878133</v>
      </c>
      <c r="Y1274" s="34">
        <v>34.6454105</v>
      </c>
    </row>
    <row r="1275" ht="15.0" customHeight="1">
      <c r="B1275" s="35">
        <v>1270.0</v>
      </c>
      <c r="C1275" s="36" t="s">
        <v>21</v>
      </c>
      <c r="D1275" s="41" t="s">
        <v>403</v>
      </c>
      <c r="E1275" s="41" t="s">
        <v>408</v>
      </c>
      <c r="F1275" s="41" t="s">
        <v>409</v>
      </c>
      <c r="G1275" s="42" t="s">
        <v>409</v>
      </c>
      <c r="H1275" s="37">
        <v>2962.0</v>
      </c>
      <c r="I1275" s="37">
        <v>2497.0</v>
      </c>
      <c r="J1275" s="37">
        <v>1307.0</v>
      </c>
      <c r="K1275" s="37">
        <v>1190.0</v>
      </c>
      <c r="L1275" s="37">
        <v>465.0</v>
      </c>
      <c r="M1275" s="37">
        <v>3417.0</v>
      </c>
      <c r="N1275" s="37">
        <v>3176.0</v>
      </c>
      <c r="O1275" s="37">
        <v>2710.0</v>
      </c>
      <c r="P1275" s="37">
        <v>466.0</v>
      </c>
      <c r="Q1275" s="37">
        <v>241.0</v>
      </c>
      <c r="R1275" s="38">
        <v>84.3011479</v>
      </c>
      <c r="S1275" s="38">
        <v>44.1255908</v>
      </c>
      <c r="T1275" s="38">
        <v>40.1755571</v>
      </c>
      <c r="U1275" s="38">
        <v>15.6988521</v>
      </c>
      <c r="V1275" s="38">
        <v>92.9470296</v>
      </c>
      <c r="W1275" s="38">
        <v>79.3093357</v>
      </c>
      <c r="X1275" s="38">
        <v>13.6376939</v>
      </c>
      <c r="Y1275" s="38">
        <v>7.0529704</v>
      </c>
    </row>
    <row r="1276" ht="15.0" hidden="1" customHeight="1">
      <c r="B1276" s="30">
        <v>1271.0</v>
      </c>
      <c r="C1276" s="31" t="s">
        <v>21</v>
      </c>
      <c r="D1276" s="31" t="s">
        <v>403</v>
      </c>
      <c r="E1276" s="31" t="s">
        <v>408</v>
      </c>
      <c r="F1276" s="31" t="s">
        <v>409</v>
      </c>
      <c r="G1276" s="32" t="s">
        <v>15</v>
      </c>
      <c r="H1276" s="33">
        <v>1569.0</v>
      </c>
      <c r="I1276" s="33">
        <v>1508.0</v>
      </c>
      <c r="J1276" s="33">
        <v>786.0</v>
      </c>
      <c r="K1276" s="33">
        <v>722.0</v>
      </c>
      <c r="L1276" s="33">
        <v>61.0</v>
      </c>
      <c r="M1276" s="33">
        <v>1884.0</v>
      </c>
      <c r="N1276" s="33">
        <v>1815.0</v>
      </c>
      <c r="O1276" s="33">
        <v>1558.0</v>
      </c>
      <c r="P1276" s="33">
        <v>257.0</v>
      </c>
      <c r="Q1276" s="33">
        <v>69.0</v>
      </c>
      <c r="R1276" s="34">
        <v>96.1121734</v>
      </c>
      <c r="S1276" s="34">
        <v>50.0956023</v>
      </c>
      <c r="T1276" s="34">
        <v>46.0165711</v>
      </c>
      <c r="U1276" s="34">
        <v>3.8878266</v>
      </c>
      <c r="V1276" s="34">
        <v>96.3375796</v>
      </c>
      <c r="W1276" s="34">
        <v>82.6963907</v>
      </c>
      <c r="X1276" s="34">
        <v>13.641189</v>
      </c>
      <c r="Y1276" s="34">
        <v>3.6624204</v>
      </c>
    </row>
    <row r="1277" ht="15.0" hidden="1" customHeight="1">
      <c r="B1277" s="30">
        <v>1272.0</v>
      </c>
      <c r="C1277" s="31" t="s">
        <v>21</v>
      </c>
      <c r="D1277" s="31" t="s">
        <v>403</v>
      </c>
      <c r="E1277" s="31" t="s">
        <v>408</v>
      </c>
      <c r="F1277" s="31" t="s">
        <v>409</v>
      </c>
      <c r="G1277" s="32" t="s">
        <v>16</v>
      </c>
      <c r="H1277" s="33">
        <v>1393.0</v>
      </c>
      <c r="I1277" s="33">
        <v>989.0</v>
      </c>
      <c r="J1277" s="33">
        <v>521.0</v>
      </c>
      <c r="K1277" s="33">
        <v>468.0</v>
      </c>
      <c r="L1277" s="33">
        <v>404.0</v>
      </c>
      <c r="M1277" s="33">
        <v>1533.0</v>
      </c>
      <c r="N1277" s="33">
        <v>1361.0</v>
      </c>
      <c r="O1277" s="33">
        <v>1152.0</v>
      </c>
      <c r="P1277" s="33">
        <v>209.0</v>
      </c>
      <c r="Q1277" s="33">
        <v>172.0</v>
      </c>
      <c r="R1277" s="34">
        <v>70.9978464</v>
      </c>
      <c r="S1277" s="34">
        <v>37.4012922</v>
      </c>
      <c r="T1277" s="34">
        <v>33.5965542</v>
      </c>
      <c r="U1277" s="34">
        <v>29.0021536</v>
      </c>
      <c r="V1277" s="34">
        <v>88.7801696</v>
      </c>
      <c r="W1277" s="34">
        <v>75.146771</v>
      </c>
      <c r="X1277" s="34">
        <v>13.6333986</v>
      </c>
      <c r="Y1277" s="34">
        <v>11.2198304</v>
      </c>
    </row>
    <row r="1278" ht="15.0" customHeight="1">
      <c r="B1278" s="35">
        <v>1273.0</v>
      </c>
      <c r="C1278" s="36" t="s">
        <v>21</v>
      </c>
      <c r="D1278" s="41" t="s">
        <v>403</v>
      </c>
      <c r="E1278" s="41" t="s">
        <v>408</v>
      </c>
      <c r="F1278" s="41" t="s">
        <v>410</v>
      </c>
      <c r="G1278" s="42" t="s">
        <v>410</v>
      </c>
      <c r="H1278" s="37">
        <v>9412.0</v>
      </c>
      <c r="I1278" s="37">
        <v>5856.0</v>
      </c>
      <c r="J1278" s="37">
        <v>2930.0</v>
      </c>
      <c r="K1278" s="37">
        <v>2926.0</v>
      </c>
      <c r="L1278" s="37">
        <v>3556.0</v>
      </c>
      <c r="M1278" s="37">
        <v>13051.0</v>
      </c>
      <c r="N1278" s="37">
        <v>9481.0</v>
      </c>
      <c r="O1278" s="37">
        <v>8189.0</v>
      </c>
      <c r="P1278" s="37">
        <v>1292.0</v>
      </c>
      <c r="Q1278" s="37">
        <v>3570.0</v>
      </c>
      <c r="R1278" s="38">
        <v>62.2184445</v>
      </c>
      <c r="S1278" s="38">
        <v>31.1304717</v>
      </c>
      <c r="T1278" s="38">
        <v>31.0879728</v>
      </c>
      <c r="U1278" s="38">
        <v>37.7815555</v>
      </c>
      <c r="V1278" s="38">
        <v>72.6457743</v>
      </c>
      <c r="W1278" s="38">
        <v>62.7461497</v>
      </c>
      <c r="X1278" s="38">
        <v>9.8996245</v>
      </c>
      <c r="Y1278" s="38">
        <v>27.3542257</v>
      </c>
    </row>
    <row r="1279" ht="15.0" hidden="1" customHeight="1">
      <c r="B1279" s="30">
        <v>1274.0</v>
      </c>
      <c r="C1279" s="31" t="s">
        <v>21</v>
      </c>
      <c r="D1279" s="31" t="s">
        <v>403</v>
      </c>
      <c r="E1279" s="31" t="s">
        <v>408</v>
      </c>
      <c r="F1279" s="31" t="s">
        <v>410</v>
      </c>
      <c r="G1279" s="32" t="s">
        <v>15</v>
      </c>
      <c r="H1279" s="33">
        <v>5175.0</v>
      </c>
      <c r="I1279" s="33">
        <v>4391.0</v>
      </c>
      <c r="J1279" s="33">
        <v>2296.0</v>
      </c>
      <c r="K1279" s="33">
        <v>2095.0</v>
      </c>
      <c r="L1279" s="33">
        <v>784.0</v>
      </c>
      <c r="M1279" s="33">
        <v>6406.0</v>
      </c>
      <c r="N1279" s="33">
        <v>5760.0</v>
      </c>
      <c r="O1279" s="33">
        <v>4821.0</v>
      </c>
      <c r="P1279" s="33">
        <v>939.0</v>
      </c>
      <c r="Q1279" s="33">
        <v>646.0</v>
      </c>
      <c r="R1279" s="34">
        <v>84.8502415</v>
      </c>
      <c r="S1279" s="34">
        <v>44.3671498</v>
      </c>
      <c r="T1279" s="34">
        <v>40.4830918</v>
      </c>
      <c r="U1279" s="34">
        <v>15.1497585</v>
      </c>
      <c r="V1279" s="34">
        <v>89.915704</v>
      </c>
      <c r="W1279" s="34">
        <v>75.257571</v>
      </c>
      <c r="X1279" s="34">
        <v>14.658133</v>
      </c>
      <c r="Y1279" s="34">
        <v>10.084296</v>
      </c>
    </row>
    <row r="1280" ht="15.0" hidden="1" customHeight="1">
      <c r="B1280" s="30">
        <v>1275.0</v>
      </c>
      <c r="C1280" s="31" t="s">
        <v>21</v>
      </c>
      <c r="D1280" s="31" t="s">
        <v>403</v>
      </c>
      <c r="E1280" s="31" t="s">
        <v>408</v>
      </c>
      <c r="F1280" s="31" t="s">
        <v>410</v>
      </c>
      <c r="G1280" s="32" t="s">
        <v>16</v>
      </c>
      <c r="H1280" s="33">
        <v>4237.0</v>
      </c>
      <c r="I1280" s="33">
        <v>1465.0</v>
      </c>
      <c r="J1280" s="33">
        <v>634.0</v>
      </c>
      <c r="K1280" s="33">
        <v>831.0</v>
      </c>
      <c r="L1280" s="33">
        <v>2772.0</v>
      </c>
      <c r="M1280" s="33">
        <v>6645.0</v>
      </c>
      <c r="N1280" s="33">
        <v>3721.0</v>
      </c>
      <c r="O1280" s="33">
        <v>3368.0</v>
      </c>
      <c r="P1280" s="33">
        <v>353.0</v>
      </c>
      <c r="Q1280" s="33">
        <v>2924.0</v>
      </c>
      <c r="R1280" s="34">
        <v>34.5763512</v>
      </c>
      <c r="S1280" s="34">
        <v>14.9634175</v>
      </c>
      <c r="T1280" s="34">
        <v>19.6129337</v>
      </c>
      <c r="U1280" s="34">
        <v>65.4236488</v>
      </c>
      <c r="V1280" s="34">
        <v>55.9969902</v>
      </c>
      <c r="W1280" s="34">
        <v>50.6847254</v>
      </c>
      <c r="X1280" s="34">
        <v>5.3122649</v>
      </c>
      <c r="Y1280" s="34">
        <v>44.0030098</v>
      </c>
    </row>
    <row r="1281" ht="15.0" customHeight="1">
      <c r="B1281" s="35">
        <v>1276.0</v>
      </c>
      <c r="C1281" s="36" t="s">
        <v>21</v>
      </c>
      <c r="D1281" s="41" t="s">
        <v>403</v>
      </c>
      <c r="E1281" s="41" t="s">
        <v>408</v>
      </c>
      <c r="F1281" s="41" t="s">
        <v>358</v>
      </c>
      <c r="G1281" s="42" t="s">
        <v>358</v>
      </c>
      <c r="H1281" s="37">
        <v>1976.0</v>
      </c>
      <c r="I1281" s="37">
        <v>1832.0</v>
      </c>
      <c r="J1281" s="37">
        <v>784.0</v>
      </c>
      <c r="K1281" s="37">
        <v>1048.0</v>
      </c>
      <c r="L1281" s="37">
        <v>144.0</v>
      </c>
      <c r="M1281" s="37">
        <v>2755.0</v>
      </c>
      <c r="N1281" s="37">
        <v>2636.0</v>
      </c>
      <c r="O1281" s="37">
        <v>2264.0</v>
      </c>
      <c r="P1281" s="37">
        <v>372.0</v>
      </c>
      <c r="Q1281" s="37">
        <v>119.0</v>
      </c>
      <c r="R1281" s="38">
        <v>92.7125506</v>
      </c>
      <c r="S1281" s="38">
        <v>39.6761134</v>
      </c>
      <c r="T1281" s="38">
        <v>53.0364372</v>
      </c>
      <c r="U1281" s="38">
        <v>7.2874494</v>
      </c>
      <c r="V1281" s="38">
        <v>95.6805808</v>
      </c>
      <c r="W1281" s="38">
        <v>82.1778584</v>
      </c>
      <c r="X1281" s="38">
        <v>13.5027223</v>
      </c>
      <c r="Y1281" s="38">
        <v>4.3194192</v>
      </c>
    </row>
    <row r="1282" ht="15.0" hidden="1" customHeight="1">
      <c r="B1282" s="30">
        <v>1277.0</v>
      </c>
      <c r="C1282" s="31" t="s">
        <v>21</v>
      </c>
      <c r="D1282" s="31" t="s">
        <v>403</v>
      </c>
      <c r="E1282" s="31" t="s">
        <v>408</v>
      </c>
      <c r="F1282" s="31" t="s">
        <v>358</v>
      </c>
      <c r="G1282" s="32" t="s">
        <v>15</v>
      </c>
      <c r="H1282" s="33">
        <v>1055.0</v>
      </c>
      <c r="I1282" s="33">
        <v>1009.0</v>
      </c>
      <c r="J1282" s="33">
        <v>425.0</v>
      </c>
      <c r="K1282" s="33">
        <v>584.0</v>
      </c>
      <c r="L1282" s="33">
        <v>46.0</v>
      </c>
      <c r="M1282" s="33">
        <v>1374.0</v>
      </c>
      <c r="N1282" s="33">
        <v>1330.0</v>
      </c>
      <c r="O1282" s="33">
        <v>1122.0</v>
      </c>
      <c r="P1282" s="33">
        <v>208.0</v>
      </c>
      <c r="Q1282" s="33">
        <v>44.0</v>
      </c>
      <c r="R1282" s="34">
        <v>95.6398104</v>
      </c>
      <c r="S1282" s="34">
        <v>40.2843602</v>
      </c>
      <c r="T1282" s="34">
        <v>55.3554502</v>
      </c>
      <c r="U1282" s="34">
        <v>4.3601896</v>
      </c>
      <c r="V1282" s="34">
        <v>96.797671</v>
      </c>
      <c r="W1282" s="34">
        <v>81.6593886</v>
      </c>
      <c r="X1282" s="34">
        <v>15.1382824</v>
      </c>
      <c r="Y1282" s="34">
        <v>3.202329</v>
      </c>
    </row>
    <row r="1283" ht="15.0" hidden="1" customHeight="1">
      <c r="B1283" s="30">
        <v>1278.0</v>
      </c>
      <c r="C1283" s="31" t="s">
        <v>21</v>
      </c>
      <c r="D1283" s="31" t="s">
        <v>403</v>
      </c>
      <c r="E1283" s="31" t="s">
        <v>408</v>
      </c>
      <c r="F1283" s="31" t="s">
        <v>358</v>
      </c>
      <c r="G1283" s="32" t="s">
        <v>16</v>
      </c>
      <c r="H1283" s="33">
        <v>921.0</v>
      </c>
      <c r="I1283" s="33">
        <v>823.0</v>
      </c>
      <c r="J1283" s="33">
        <v>359.0</v>
      </c>
      <c r="K1283" s="33">
        <v>464.0</v>
      </c>
      <c r="L1283" s="33">
        <v>98.0</v>
      </c>
      <c r="M1283" s="33">
        <v>1381.0</v>
      </c>
      <c r="N1283" s="33">
        <v>1306.0</v>
      </c>
      <c r="O1283" s="33">
        <v>1142.0</v>
      </c>
      <c r="P1283" s="33">
        <v>164.0</v>
      </c>
      <c r="Q1283" s="33">
        <v>75.0</v>
      </c>
      <c r="R1283" s="34">
        <v>89.359392</v>
      </c>
      <c r="S1283" s="34">
        <v>38.9793702</v>
      </c>
      <c r="T1283" s="34">
        <v>50.3800217</v>
      </c>
      <c r="U1283" s="34">
        <v>10.640608</v>
      </c>
      <c r="V1283" s="34">
        <v>94.5691528</v>
      </c>
      <c r="W1283" s="34">
        <v>82.6937002</v>
      </c>
      <c r="X1283" s="34">
        <v>11.8754526</v>
      </c>
      <c r="Y1283" s="34">
        <v>5.4308472</v>
      </c>
    </row>
    <row r="1284" ht="15.0" customHeight="1">
      <c r="B1284" s="35">
        <v>1279.0</v>
      </c>
      <c r="C1284" s="36" t="s">
        <v>21</v>
      </c>
      <c r="D1284" s="41" t="s">
        <v>403</v>
      </c>
      <c r="E1284" s="41" t="s">
        <v>408</v>
      </c>
      <c r="F1284" s="41" t="s">
        <v>411</v>
      </c>
      <c r="G1284" s="42" t="s">
        <v>411</v>
      </c>
      <c r="H1284" s="37">
        <v>4857.0</v>
      </c>
      <c r="I1284" s="37">
        <v>3643.0</v>
      </c>
      <c r="J1284" s="37">
        <v>1847.0</v>
      </c>
      <c r="K1284" s="37">
        <v>1796.0</v>
      </c>
      <c r="L1284" s="37">
        <v>1214.0</v>
      </c>
      <c r="M1284" s="37">
        <v>6875.0</v>
      </c>
      <c r="N1284" s="37">
        <v>5501.0</v>
      </c>
      <c r="O1284" s="37">
        <v>4720.0</v>
      </c>
      <c r="P1284" s="37">
        <v>781.0</v>
      </c>
      <c r="Q1284" s="37">
        <v>1374.0</v>
      </c>
      <c r="R1284" s="38">
        <v>75.0051472</v>
      </c>
      <c r="S1284" s="38">
        <v>38.027589</v>
      </c>
      <c r="T1284" s="38">
        <v>36.9775582</v>
      </c>
      <c r="U1284" s="38">
        <v>24.9948528</v>
      </c>
      <c r="V1284" s="38">
        <v>80.0145455</v>
      </c>
      <c r="W1284" s="38">
        <v>68.6545455</v>
      </c>
      <c r="X1284" s="38">
        <v>11.36</v>
      </c>
      <c r="Y1284" s="38">
        <v>19.9854545</v>
      </c>
    </row>
    <row r="1285" ht="15.0" hidden="1" customHeight="1">
      <c r="B1285" s="30">
        <v>1280.0</v>
      </c>
      <c r="C1285" s="31" t="s">
        <v>21</v>
      </c>
      <c r="D1285" s="31" t="s">
        <v>403</v>
      </c>
      <c r="E1285" s="31" t="s">
        <v>408</v>
      </c>
      <c r="F1285" s="31" t="s">
        <v>411</v>
      </c>
      <c r="G1285" s="32" t="s">
        <v>15</v>
      </c>
      <c r="H1285" s="33">
        <v>3145.0</v>
      </c>
      <c r="I1285" s="33">
        <v>2954.0</v>
      </c>
      <c r="J1285" s="33">
        <v>1407.0</v>
      </c>
      <c r="K1285" s="33">
        <v>1547.0</v>
      </c>
      <c r="L1285" s="33">
        <v>191.0</v>
      </c>
      <c r="M1285" s="33">
        <v>4265.0</v>
      </c>
      <c r="N1285" s="33">
        <v>3936.0</v>
      </c>
      <c r="O1285" s="33">
        <v>3266.0</v>
      </c>
      <c r="P1285" s="33">
        <v>670.0</v>
      </c>
      <c r="Q1285" s="33">
        <v>329.0</v>
      </c>
      <c r="R1285" s="34">
        <v>93.926868</v>
      </c>
      <c r="S1285" s="34">
        <v>44.7376789</v>
      </c>
      <c r="T1285" s="34">
        <v>49.1891892</v>
      </c>
      <c r="U1285" s="34">
        <v>6.073132</v>
      </c>
      <c r="V1285" s="34">
        <v>92.2860492</v>
      </c>
      <c r="W1285" s="34">
        <v>76.5767878</v>
      </c>
      <c r="X1285" s="34">
        <v>15.7092614</v>
      </c>
      <c r="Y1285" s="34">
        <v>7.7139508</v>
      </c>
    </row>
    <row r="1286" ht="15.0" hidden="1" customHeight="1">
      <c r="B1286" s="30">
        <v>1281.0</v>
      </c>
      <c r="C1286" s="31" t="s">
        <v>21</v>
      </c>
      <c r="D1286" s="31" t="s">
        <v>403</v>
      </c>
      <c r="E1286" s="31" t="s">
        <v>408</v>
      </c>
      <c r="F1286" s="31" t="s">
        <v>411</v>
      </c>
      <c r="G1286" s="32" t="s">
        <v>16</v>
      </c>
      <c r="H1286" s="33">
        <v>1712.0</v>
      </c>
      <c r="I1286" s="33">
        <v>689.0</v>
      </c>
      <c r="J1286" s="33">
        <v>440.0</v>
      </c>
      <c r="K1286" s="33">
        <v>249.0</v>
      </c>
      <c r="L1286" s="33">
        <v>1023.0</v>
      </c>
      <c r="M1286" s="33">
        <v>2610.0</v>
      </c>
      <c r="N1286" s="33">
        <v>1565.0</v>
      </c>
      <c r="O1286" s="33">
        <v>1454.0</v>
      </c>
      <c r="P1286" s="33">
        <v>111.0</v>
      </c>
      <c r="Q1286" s="33">
        <v>1045.0</v>
      </c>
      <c r="R1286" s="34">
        <v>40.2453271</v>
      </c>
      <c r="S1286" s="34">
        <v>25.7009346</v>
      </c>
      <c r="T1286" s="34">
        <v>14.5443925</v>
      </c>
      <c r="U1286" s="34">
        <v>59.7546729</v>
      </c>
      <c r="V1286" s="34">
        <v>59.9616858</v>
      </c>
      <c r="W1286" s="34">
        <v>55.7088123</v>
      </c>
      <c r="X1286" s="34">
        <v>4.2528736</v>
      </c>
      <c r="Y1286" s="34">
        <v>40.0383142</v>
      </c>
    </row>
    <row r="1287" ht="15.0" hidden="1" customHeight="1">
      <c r="B1287" s="26">
        <v>1282.0</v>
      </c>
      <c r="C1287" s="27" t="s">
        <v>19</v>
      </c>
      <c r="D1287" s="40" t="s">
        <v>403</v>
      </c>
      <c r="E1287" s="40" t="s">
        <v>412</v>
      </c>
      <c r="F1287" s="40"/>
      <c r="G1287" s="27" t="s">
        <v>412</v>
      </c>
      <c r="H1287" s="28">
        <v>4368.0</v>
      </c>
      <c r="I1287" s="28">
        <v>3784.0</v>
      </c>
      <c r="J1287" s="28">
        <v>1422.0</v>
      </c>
      <c r="K1287" s="28">
        <v>2362.0</v>
      </c>
      <c r="L1287" s="28">
        <v>584.0</v>
      </c>
      <c r="M1287" s="28">
        <v>5750.0</v>
      </c>
      <c r="N1287" s="28">
        <v>5226.0</v>
      </c>
      <c r="O1287" s="28">
        <v>4344.0</v>
      </c>
      <c r="P1287" s="28">
        <v>882.0</v>
      </c>
      <c r="Q1287" s="28">
        <v>524.0</v>
      </c>
      <c r="R1287" s="29">
        <v>86.6300366</v>
      </c>
      <c r="S1287" s="29">
        <v>32.5549451</v>
      </c>
      <c r="T1287" s="29">
        <v>54.0750916</v>
      </c>
      <c r="U1287" s="29">
        <v>13.3699634</v>
      </c>
      <c r="V1287" s="29">
        <v>90.8869565</v>
      </c>
      <c r="W1287" s="29">
        <v>75.5478261</v>
      </c>
      <c r="X1287" s="29">
        <v>15.3391304</v>
      </c>
      <c r="Y1287" s="29">
        <v>9.1130435</v>
      </c>
    </row>
    <row r="1288" ht="15.0" hidden="1" customHeight="1">
      <c r="B1288" s="30">
        <v>1283.0</v>
      </c>
      <c r="C1288" s="31" t="s">
        <v>19</v>
      </c>
      <c r="D1288" s="31" t="s">
        <v>403</v>
      </c>
      <c r="E1288" s="31" t="s">
        <v>412</v>
      </c>
      <c r="F1288" s="31"/>
      <c r="G1288" s="32" t="s">
        <v>15</v>
      </c>
      <c r="H1288" s="33">
        <v>2407.0</v>
      </c>
      <c r="I1288" s="33">
        <v>2178.0</v>
      </c>
      <c r="J1288" s="33">
        <v>1040.0</v>
      </c>
      <c r="K1288" s="33">
        <v>1138.0</v>
      </c>
      <c r="L1288" s="33">
        <v>229.0</v>
      </c>
      <c r="M1288" s="33">
        <v>3213.0</v>
      </c>
      <c r="N1288" s="33">
        <v>3092.0</v>
      </c>
      <c r="O1288" s="33">
        <v>2654.0</v>
      </c>
      <c r="P1288" s="33">
        <v>438.0</v>
      </c>
      <c r="Q1288" s="33">
        <v>121.0</v>
      </c>
      <c r="R1288" s="34">
        <v>90.4860823</v>
      </c>
      <c r="S1288" s="34">
        <v>43.207312</v>
      </c>
      <c r="T1288" s="34">
        <v>47.2787703</v>
      </c>
      <c r="U1288" s="34">
        <v>9.5139177</v>
      </c>
      <c r="V1288" s="34">
        <v>96.2340492</v>
      </c>
      <c r="W1288" s="34">
        <v>82.6019297</v>
      </c>
      <c r="X1288" s="34">
        <v>13.6321195</v>
      </c>
      <c r="Y1288" s="34">
        <v>3.7659508</v>
      </c>
    </row>
    <row r="1289" ht="15.0" hidden="1" customHeight="1">
      <c r="B1289" s="30">
        <v>1284.0</v>
      </c>
      <c r="C1289" s="31" t="s">
        <v>19</v>
      </c>
      <c r="D1289" s="31" t="s">
        <v>403</v>
      </c>
      <c r="E1289" s="31" t="s">
        <v>412</v>
      </c>
      <c r="F1289" s="31"/>
      <c r="G1289" s="32" t="s">
        <v>16</v>
      </c>
      <c r="H1289" s="33">
        <v>1961.0</v>
      </c>
      <c r="I1289" s="33">
        <v>1606.0</v>
      </c>
      <c r="J1289" s="33">
        <v>382.0</v>
      </c>
      <c r="K1289" s="33">
        <v>1224.0</v>
      </c>
      <c r="L1289" s="33">
        <v>355.0</v>
      </c>
      <c r="M1289" s="33">
        <v>2537.0</v>
      </c>
      <c r="N1289" s="33">
        <v>2134.0</v>
      </c>
      <c r="O1289" s="33">
        <v>1690.0</v>
      </c>
      <c r="P1289" s="33">
        <v>444.0</v>
      </c>
      <c r="Q1289" s="33">
        <v>403.0</v>
      </c>
      <c r="R1289" s="34">
        <v>81.8969913</v>
      </c>
      <c r="S1289" s="34">
        <v>19.4798572</v>
      </c>
      <c r="T1289" s="34">
        <v>62.4171341</v>
      </c>
      <c r="U1289" s="34">
        <v>18.1030087</v>
      </c>
      <c r="V1289" s="34">
        <v>84.1150966</v>
      </c>
      <c r="W1289" s="34">
        <v>66.6141112</v>
      </c>
      <c r="X1289" s="34">
        <v>17.5009854</v>
      </c>
      <c r="Y1289" s="34">
        <v>15.8849034</v>
      </c>
    </row>
    <row r="1290" ht="15.0" customHeight="1">
      <c r="B1290" s="35">
        <v>1285.0</v>
      </c>
      <c r="C1290" s="36" t="s">
        <v>21</v>
      </c>
      <c r="D1290" s="41" t="s">
        <v>403</v>
      </c>
      <c r="E1290" s="41" t="s">
        <v>412</v>
      </c>
      <c r="F1290" s="41" t="s">
        <v>413</v>
      </c>
      <c r="G1290" s="42" t="s">
        <v>413</v>
      </c>
      <c r="H1290" s="37">
        <v>3430.0</v>
      </c>
      <c r="I1290" s="37">
        <v>3016.0</v>
      </c>
      <c r="J1290" s="37">
        <v>1362.0</v>
      </c>
      <c r="K1290" s="37">
        <v>1654.0</v>
      </c>
      <c r="L1290" s="37">
        <v>414.0</v>
      </c>
      <c r="M1290" s="37">
        <v>4295.0</v>
      </c>
      <c r="N1290" s="37">
        <v>3893.0</v>
      </c>
      <c r="O1290" s="37">
        <v>3300.0</v>
      </c>
      <c r="P1290" s="37">
        <v>593.0</v>
      </c>
      <c r="Q1290" s="37">
        <v>402.0</v>
      </c>
      <c r="R1290" s="38">
        <v>87.9300292</v>
      </c>
      <c r="S1290" s="38">
        <v>39.7084548</v>
      </c>
      <c r="T1290" s="38">
        <v>48.2215743</v>
      </c>
      <c r="U1290" s="38">
        <v>12.0699708</v>
      </c>
      <c r="V1290" s="38">
        <v>90.6402794</v>
      </c>
      <c r="W1290" s="38">
        <v>76.8335274</v>
      </c>
      <c r="X1290" s="38">
        <v>13.806752</v>
      </c>
      <c r="Y1290" s="38">
        <v>9.3597206</v>
      </c>
    </row>
    <row r="1291" ht="15.0" hidden="1" customHeight="1">
      <c r="B1291" s="30">
        <v>1286.0</v>
      </c>
      <c r="C1291" s="31" t="s">
        <v>21</v>
      </c>
      <c r="D1291" s="31" t="s">
        <v>403</v>
      </c>
      <c r="E1291" s="31" t="s">
        <v>412</v>
      </c>
      <c r="F1291" s="31" t="s">
        <v>413</v>
      </c>
      <c r="G1291" s="32" t="s">
        <v>15</v>
      </c>
      <c r="H1291" s="33">
        <v>2407.0</v>
      </c>
      <c r="I1291" s="33">
        <v>2178.0</v>
      </c>
      <c r="J1291" s="33">
        <v>1040.0</v>
      </c>
      <c r="K1291" s="33">
        <v>1138.0</v>
      </c>
      <c r="L1291" s="33">
        <v>229.0</v>
      </c>
      <c r="M1291" s="33">
        <v>2971.0</v>
      </c>
      <c r="N1291" s="33">
        <v>2861.0</v>
      </c>
      <c r="O1291" s="33">
        <v>2443.0</v>
      </c>
      <c r="P1291" s="33">
        <v>418.0</v>
      </c>
      <c r="Q1291" s="33">
        <v>110.0</v>
      </c>
      <c r="R1291" s="34">
        <v>90.4860823</v>
      </c>
      <c r="S1291" s="34">
        <v>43.207312</v>
      </c>
      <c r="T1291" s="34">
        <v>47.2787703</v>
      </c>
      <c r="U1291" s="34">
        <v>9.5139177</v>
      </c>
      <c r="V1291" s="34">
        <v>96.2975429</v>
      </c>
      <c r="W1291" s="34">
        <v>82.228206</v>
      </c>
      <c r="X1291" s="34">
        <v>14.0693369</v>
      </c>
      <c r="Y1291" s="34">
        <v>3.7024571</v>
      </c>
    </row>
    <row r="1292" ht="15.0" hidden="1" customHeight="1">
      <c r="B1292" s="30">
        <v>1287.0</v>
      </c>
      <c r="C1292" s="31" t="s">
        <v>21</v>
      </c>
      <c r="D1292" s="31" t="s">
        <v>403</v>
      </c>
      <c r="E1292" s="31" t="s">
        <v>412</v>
      </c>
      <c r="F1292" s="31" t="s">
        <v>413</v>
      </c>
      <c r="G1292" s="32" t="s">
        <v>16</v>
      </c>
      <c r="H1292" s="33">
        <v>1023.0</v>
      </c>
      <c r="I1292" s="33">
        <v>838.0</v>
      </c>
      <c r="J1292" s="33">
        <v>322.0</v>
      </c>
      <c r="K1292" s="33">
        <v>516.0</v>
      </c>
      <c r="L1292" s="33">
        <v>185.0</v>
      </c>
      <c r="M1292" s="33">
        <v>1324.0</v>
      </c>
      <c r="N1292" s="33">
        <v>1032.0</v>
      </c>
      <c r="O1292" s="33">
        <v>857.0</v>
      </c>
      <c r="P1292" s="33">
        <v>175.0</v>
      </c>
      <c r="Q1292" s="33">
        <v>292.0</v>
      </c>
      <c r="R1292" s="34">
        <v>81.9159335</v>
      </c>
      <c r="S1292" s="34">
        <v>31.4760508</v>
      </c>
      <c r="T1292" s="34">
        <v>50.4398827</v>
      </c>
      <c r="U1292" s="34">
        <v>18.0840665</v>
      </c>
      <c r="V1292" s="34">
        <v>77.9456193</v>
      </c>
      <c r="W1292" s="34">
        <v>64.7280967</v>
      </c>
      <c r="X1292" s="34">
        <v>13.2175227</v>
      </c>
      <c r="Y1292" s="34">
        <v>22.0543807</v>
      </c>
    </row>
    <row r="1293" ht="15.0" customHeight="1">
      <c r="B1293" s="35">
        <v>1288.0</v>
      </c>
      <c r="C1293" s="36" t="s">
        <v>21</v>
      </c>
      <c r="D1293" s="41" t="s">
        <v>403</v>
      </c>
      <c r="E1293" s="41" t="s">
        <v>412</v>
      </c>
      <c r="F1293" s="41" t="s">
        <v>414</v>
      </c>
      <c r="G1293" s="42" t="s">
        <v>414</v>
      </c>
      <c r="H1293" s="37">
        <v>938.0</v>
      </c>
      <c r="I1293" s="37">
        <v>768.0</v>
      </c>
      <c r="J1293" s="37">
        <v>60.0</v>
      </c>
      <c r="K1293" s="37">
        <v>708.0</v>
      </c>
      <c r="L1293" s="37">
        <v>170.0</v>
      </c>
      <c r="M1293" s="37">
        <v>1455.0</v>
      </c>
      <c r="N1293" s="37">
        <v>1333.0</v>
      </c>
      <c r="O1293" s="37">
        <v>1044.0</v>
      </c>
      <c r="P1293" s="37">
        <v>289.0</v>
      </c>
      <c r="Q1293" s="37">
        <v>122.0</v>
      </c>
      <c r="R1293" s="38">
        <v>81.8763326</v>
      </c>
      <c r="S1293" s="38">
        <v>6.3965885</v>
      </c>
      <c r="T1293" s="38">
        <v>75.4797441</v>
      </c>
      <c r="U1293" s="38">
        <v>18.1236674</v>
      </c>
      <c r="V1293" s="38">
        <v>91.6151203</v>
      </c>
      <c r="W1293" s="38">
        <v>71.7525773</v>
      </c>
      <c r="X1293" s="38">
        <v>19.862543</v>
      </c>
      <c r="Y1293" s="38">
        <v>8.3848797</v>
      </c>
    </row>
    <row r="1294" ht="15.0" hidden="1" customHeight="1">
      <c r="B1294" s="30">
        <v>1289.0</v>
      </c>
      <c r="C1294" s="31" t="s">
        <v>21</v>
      </c>
      <c r="D1294" s="31" t="s">
        <v>403</v>
      </c>
      <c r="E1294" s="31" t="s">
        <v>412</v>
      </c>
      <c r="F1294" s="31" t="s">
        <v>414</v>
      </c>
      <c r="G1294" s="32" t="s">
        <v>15</v>
      </c>
      <c r="H1294" s="33"/>
      <c r="I1294" s="33"/>
      <c r="J1294" s="33"/>
      <c r="K1294" s="33"/>
      <c r="L1294" s="33"/>
      <c r="M1294" s="33">
        <v>242.0</v>
      </c>
      <c r="N1294" s="33">
        <v>231.0</v>
      </c>
      <c r="O1294" s="33">
        <v>211.0</v>
      </c>
      <c r="P1294" s="33">
        <v>20.0</v>
      </c>
      <c r="Q1294" s="33">
        <v>11.0</v>
      </c>
      <c r="R1294" s="34"/>
      <c r="S1294" s="34"/>
      <c r="T1294" s="34"/>
      <c r="U1294" s="34"/>
      <c r="V1294" s="34">
        <v>95.4545455</v>
      </c>
      <c r="W1294" s="34">
        <v>87.1900826</v>
      </c>
      <c r="X1294" s="34">
        <v>8.2644628</v>
      </c>
      <c r="Y1294" s="34">
        <v>4.5454545</v>
      </c>
    </row>
    <row r="1295" ht="15.0" hidden="1" customHeight="1">
      <c r="B1295" s="30">
        <v>1290.0</v>
      </c>
      <c r="C1295" s="31" t="s">
        <v>21</v>
      </c>
      <c r="D1295" s="31" t="s">
        <v>403</v>
      </c>
      <c r="E1295" s="31" t="s">
        <v>412</v>
      </c>
      <c r="F1295" s="31" t="s">
        <v>414</v>
      </c>
      <c r="G1295" s="32" t="s">
        <v>16</v>
      </c>
      <c r="H1295" s="33">
        <v>938.0</v>
      </c>
      <c r="I1295" s="33">
        <v>768.0</v>
      </c>
      <c r="J1295" s="33">
        <v>60.0</v>
      </c>
      <c r="K1295" s="33">
        <v>708.0</v>
      </c>
      <c r="L1295" s="33">
        <v>170.0</v>
      </c>
      <c r="M1295" s="33">
        <v>1213.0</v>
      </c>
      <c r="N1295" s="33">
        <v>1102.0</v>
      </c>
      <c r="O1295" s="33">
        <v>833.0</v>
      </c>
      <c r="P1295" s="33">
        <v>269.0</v>
      </c>
      <c r="Q1295" s="33">
        <v>111.0</v>
      </c>
      <c r="R1295" s="34">
        <v>81.8763326</v>
      </c>
      <c r="S1295" s="34">
        <v>6.3965885</v>
      </c>
      <c r="T1295" s="34">
        <v>75.4797441</v>
      </c>
      <c r="U1295" s="34">
        <v>18.1236674</v>
      </c>
      <c r="V1295" s="34">
        <v>90.8491344</v>
      </c>
      <c r="W1295" s="34">
        <v>68.6727123</v>
      </c>
      <c r="X1295" s="34">
        <v>22.1764221</v>
      </c>
      <c r="Y1295" s="34">
        <v>9.1508656</v>
      </c>
    </row>
    <row r="1296" ht="15.0" hidden="1" customHeight="1">
      <c r="B1296" s="26">
        <v>1291.0</v>
      </c>
      <c r="C1296" s="27" t="s">
        <v>19</v>
      </c>
      <c r="D1296" s="40" t="s">
        <v>403</v>
      </c>
      <c r="E1296" s="40" t="s">
        <v>415</v>
      </c>
      <c r="F1296" s="40"/>
      <c r="G1296" s="27" t="s">
        <v>415</v>
      </c>
      <c r="H1296" s="28">
        <v>4005.0</v>
      </c>
      <c r="I1296" s="28">
        <v>3143.0</v>
      </c>
      <c r="J1296" s="28">
        <v>1589.0</v>
      </c>
      <c r="K1296" s="28">
        <v>1554.0</v>
      </c>
      <c r="L1296" s="28">
        <v>862.0</v>
      </c>
      <c r="M1296" s="28">
        <v>5391.0</v>
      </c>
      <c r="N1296" s="28">
        <v>4706.0</v>
      </c>
      <c r="O1296" s="28">
        <v>4006.0</v>
      </c>
      <c r="P1296" s="28">
        <v>700.0</v>
      </c>
      <c r="Q1296" s="28">
        <v>685.0</v>
      </c>
      <c r="R1296" s="29">
        <v>78.4769039</v>
      </c>
      <c r="S1296" s="29">
        <v>39.6754057</v>
      </c>
      <c r="T1296" s="29">
        <v>38.8014981</v>
      </c>
      <c r="U1296" s="29">
        <v>21.5230961</v>
      </c>
      <c r="V1296" s="29">
        <v>87.2936375</v>
      </c>
      <c r="W1296" s="29">
        <v>74.3090336</v>
      </c>
      <c r="X1296" s="29">
        <v>12.984604</v>
      </c>
      <c r="Y1296" s="29">
        <v>12.7063625</v>
      </c>
    </row>
    <row r="1297" ht="15.0" hidden="1" customHeight="1">
      <c r="B1297" s="30">
        <v>1292.0</v>
      </c>
      <c r="C1297" s="31" t="s">
        <v>19</v>
      </c>
      <c r="D1297" s="31" t="s">
        <v>403</v>
      </c>
      <c r="E1297" s="31" t="s">
        <v>415</v>
      </c>
      <c r="F1297" s="31"/>
      <c r="G1297" s="32" t="s">
        <v>15</v>
      </c>
      <c r="H1297" s="33">
        <v>2154.0</v>
      </c>
      <c r="I1297" s="33">
        <v>1920.0</v>
      </c>
      <c r="J1297" s="33">
        <v>1041.0</v>
      </c>
      <c r="K1297" s="33">
        <v>879.0</v>
      </c>
      <c r="L1297" s="33">
        <v>234.0</v>
      </c>
      <c r="M1297" s="33">
        <v>2611.0</v>
      </c>
      <c r="N1297" s="33">
        <v>2515.0</v>
      </c>
      <c r="O1297" s="33">
        <v>2095.0</v>
      </c>
      <c r="P1297" s="33">
        <v>420.0</v>
      </c>
      <c r="Q1297" s="33">
        <v>96.0</v>
      </c>
      <c r="R1297" s="34">
        <v>89.1364903</v>
      </c>
      <c r="S1297" s="34">
        <v>48.3286908</v>
      </c>
      <c r="T1297" s="34">
        <v>40.8077994</v>
      </c>
      <c r="U1297" s="34">
        <v>10.8635097</v>
      </c>
      <c r="V1297" s="34">
        <v>96.3232478</v>
      </c>
      <c r="W1297" s="34">
        <v>80.2374569</v>
      </c>
      <c r="X1297" s="34">
        <v>16.0857909</v>
      </c>
      <c r="Y1297" s="34">
        <v>3.6767522</v>
      </c>
    </row>
    <row r="1298" ht="15.0" hidden="1" customHeight="1">
      <c r="B1298" s="30">
        <v>1293.0</v>
      </c>
      <c r="C1298" s="31" t="s">
        <v>19</v>
      </c>
      <c r="D1298" s="31" t="s">
        <v>403</v>
      </c>
      <c r="E1298" s="31" t="s">
        <v>415</v>
      </c>
      <c r="F1298" s="31"/>
      <c r="G1298" s="32" t="s">
        <v>16</v>
      </c>
      <c r="H1298" s="33">
        <v>1851.0</v>
      </c>
      <c r="I1298" s="33">
        <v>1223.0</v>
      </c>
      <c r="J1298" s="33">
        <v>548.0</v>
      </c>
      <c r="K1298" s="33">
        <v>675.0</v>
      </c>
      <c r="L1298" s="33">
        <v>628.0</v>
      </c>
      <c r="M1298" s="33">
        <v>2780.0</v>
      </c>
      <c r="N1298" s="33">
        <v>2191.0</v>
      </c>
      <c r="O1298" s="33">
        <v>1911.0</v>
      </c>
      <c r="P1298" s="33">
        <v>280.0</v>
      </c>
      <c r="Q1298" s="33">
        <v>589.0</v>
      </c>
      <c r="R1298" s="34">
        <v>66.0723933</v>
      </c>
      <c r="S1298" s="34">
        <v>29.6056186</v>
      </c>
      <c r="T1298" s="34">
        <v>36.4667747</v>
      </c>
      <c r="U1298" s="34">
        <v>33.9276067</v>
      </c>
      <c r="V1298" s="34">
        <v>78.8129496</v>
      </c>
      <c r="W1298" s="34">
        <v>68.7410072</v>
      </c>
      <c r="X1298" s="34">
        <v>10.0719424</v>
      </c>
      <c r="Y1298" s="34">
        <v>21.1870504</v>
      </c>
    </row>
    <row r="1299" ht="15.0" customHeight="1">
      <c r="B1299" s="35">
        <v>1294.0</v>
      </c>
      <c r="C1299" s="36" t="s">
        <v>21</v>
      </c>
      <c r="D1299" s="41" t="s">
        <v>403</v>
      </c>
      <c r="E1299" s="41" t="s">
        <v>415</v>
      </c>
      <c r="F1299" s="41" t="s">
        <v>344</v>
      </c>
      <c r="G1299" s="42" t="s">
        <v>344</v>
      </c>
      <c r="H1299" s="37">
        <v>4005.0</v>
      </c>
      <c r="I1299" s="37">
        <v>3143.0</v>
      </c>
      <c r="J1299" s="37">
        <v>1589.0</v>
      </c>
      <c r="K1299" s="37">
        <v>1554.0</v>
      </c>
      <c r="L1299" s="37">
        <v>862.0</v>
      </c>
      <c r="M1299" s="37">
        <v>5391.0</v>
      </c>
      <c r="N1299" s="37">
        <v>4706.0</v>
      </c>
      <c r="O1299" s="37">
        <v>4006.0</v>
      </c>
      <c r="P1299" s="37">
        <v>700.0</v>
      </c>
      <c r="Q1299" s="37">
        <v>685.0</v>
      </c>
      <c r="R1299" s="38">
        <v>78.4769039</v>
      </c>
      <c r="S1299" s="38">
        <v>39.6754057</v>
      </c>
      <c r="T1299" s="38">
        <v>38.8014981</v>
      </c>
      <c r="U1299" s="38">
        <v>21.5230961</v>
      </c>
      <c r="V1299" s="38">
        <v>87.2936375</v>
      </c>
      <c r="W1299" s="38">
        <v>74.3090336</v>
      </c>
      <c r="X1299" s="38">
        <v>12.984604</v>
      </c>
      <c r="Y1299" s="38">
        <v>12.7063625</v>
      </c>
    </row>
    <row r="1300" ht="15.0" hidden="1" customHeight="1">
      <c r="B1300" s="30">
        <v>1295.0</v>
      </c>
      <c r="C1300" s="31" t="s">
        <v>21</v>
      </c>
      <c r="D1300" s="31" t="s">
        <v>403</v>
      </c>
      <c r="E1300" s="31" t="s">
        <v>415</v>
      </c>
      <c r="F1300" s="31" t="s">
        <v>344</v>
      </c>
      <c r="G1300" s="32" t="s">
        <v>15</v>
      </c>
      <c r="H1300" s="33">
        <v>2154.0</v>
      </c>
      <c r="I1300" s="33">
        <v>1920.0</v>
      </c>
      <c r="J1300" s="33">
        <v>1041.0</v>
      </c>
      <c r="K1300" s="33">
        <v>879.0</v>
      </c>
      <c r="L1300" s="33">
        <v>234.0</v>
      </c>
      <c r="M1300" s="33">
        <v>2611.0</v>
      </c>
      <c r="N1300" s="33">
        <v>2515.0</v>
      </c>
      <c r="O1300" s="33">
        <v>2095.0</v>
      </c>
      <c r="P1300" s="33">
        <v>420.0</v>
      </c>
      <c r="Q1300" s="33">
        <v>96.0</v>
      </c>
      <c r="R1300" s="34">
        <v>89.1364903</v>
      </c>
      <c r="S1300" s="34">
        <v>48.3286908</v>
      </c>
      <c r="T1300" s="34">
        <v>40.8077994</v>
      </c>
      <c r="U1300" s="34">
        <v>10.8635097</v>
      </c>
      <c r="V1300" s="34">
        <v>96.3232478</v>
      </c>
      <c r="W1300" s="34">
        <v>80.2374569</v>
      </c>
      <c r="X1300" s="34">
        <v>16.0857909</v>
      </c>
      <c r="Y1300" s="34">
        <v>3.6767522</v>
      </c>
    </row>
    <row r="1301" ht="15.0" hidden="1" customHeight="1">
      <c r="B1301" s="30">
        <v>1296.0</v>
      </c>
      <c r="C1301" s="31" t="s">
        <v>21</v>
      </c>
      <c r="D1301" s="31" t="s">
        <v>403</v>
      </c>
      <c r="E1301" s="31" t="s">
        <v>415</v>
      </c>
      <c r="F1301" s="31" t="s">
        <v>344</v>
      </c>
      <c r="G1301" s="32" t="s">
        <v>16</v>
      </c>
      <c r="H1301" s="33">
        <v>1851.0</v>
      </c>
      <c r="I1301" s="33">
        <v>1223.0</v>
      </c>
      <c r="J1301" s="33">
        <v>548.0</v>
      </c>
      <c r="K1301" s="33">
        <v>675.0</v>
      </c>
      <c r="L1301" s="33">
        <v>628.0</v>
      </c>
      <c r="M1301" s="33">
        <v>2780.0</v>
      </c>
      <c r="N1301" s="33">
        <v>2191.0</v>
      </c>
      <c r="O1301" s="33">
        <v>1911.0</v>
      </c>
      <c r="P1301" s="33">
        <v>280.0</v>
      </c>
      <c r="Q1301" s="33">
        <v>589.0</v>
      </c>
      <c r="R1301" s="34">
        <v>66.0723933</v>
      </c>
      <c r="S1301" s="34">
        <v>29.6056186</v>
      </c>
      <c r="T1301" s="34">
        <v>36.4667747</v>
      </c>
      <c r="U1301" s="34">
        <v>33.9276067</v>
      </c>
      <c r="V1301" s="34">
        <v>78.8129496</v>
      </c>
      <c r="W1301" s="34">
        <v>68.7410072</v>
      </c>
      <c r="X1301" s="34">
        <v>10.0719424</v>
      </c>
      <c r="Y1301" s="34">
        <v>21.1870504</v>
      </c>
    </row>
    <row r="1302" ht="15.0" hidden="1" customHeight="1">
      <c r="B1302" s="26">
        <v>1297.0</v>
      </c>
      <c r="C1302" s="27" t="s">
        <v>19</v>
      </c>
      <c r="D1302" s="40" t="s">
        <v>403</v>
      </c>
      <c r="E1302" s="40" t="s">
        <v>416</v>
      </c>
      <c r="F1302" s="40"/>
      <c r="G1302" s="27" t="s">
        <v>416</v>
      </c>
      <c r="H1302" s="28">
        <v>3860.0</v>
      </c>
      <c r="I1302" s="28">
        <v>3031.0</v>
      </c>
      <c r="J1302" s="28">
        <v>1405.0</v>
      </c>
      <c r="K1302" s="28">
        <v>1626.0</v>
      </c>
      <c r="L1302" s="28">
        <v>829.0</v>
      </c>
      <c r="M1302" s="28">
        <v>6323.0</v>
      </c>
      <c r="N1302" s="28">
        <v>4678.0</v>
      </c>
      <c r="O1302" s="28">
        <v>4130.0</v>
      </c>
      <c r="P1302" s="28">
        <v>548.0</v>
      </c>
      <c r="Q1302" s="28">
        <v>1645.0</v>
      </c>
      <c r="R1302" s="29">
        <v>78.5233161</v>
      </c>
      <c r="S1302" s="29">
        <v>36.3989637</v>
      </c>
      <c r="T1302" s="29">
        <v>42.1243523</v>
      </c>
      <c r="U1302" s="29">
        <v>21.4766839</v>
      </c>
      <c r="V1302" s="29">
        <v>73.9838684</v>
      </c>
      <c r="W1302" s="29">
        <v>65.3170963</v>
      </c>
      <c r="X1302" s="29">
        <v>8.6667721</v>
      </c>
      <c r="Y1302" s="29">
        <v>26.0161316</v>
      </c>
    </row>
    <row r="1303" ht="15.0" hidden="1" customHeight="1">
      <c r="B1303" s="30">
        <v>1298.0</v>
      </c>
      <c r="C1303" s="31" t="s">
        <v>19</v>
      </c>
      <c r="D1303" s="31" t="s">
        <v>403</v>
      </c>
      <c r="E1303" s="31" t="s">
        <v>416</v>
      </c>
      <c r="F1303" s="31"/>
      <c r="G1303" s="32" t="s">
        <v>15</v>
      </c>
      <c r="H1303" s="33">
        <v>550.0</v>
      </c>
      <c r="I1303" s="33">
        <v>499.0</v>
      </c>
      <c r="J1303" s="33">
        <v>245.0</v>
      </c>
      <c r="K1303" s="33">
        <v>254.0</v>
      </c>
      <c r="L1303" s="33">
        <v>51.0</v>
      </c>
      <c r="M1303" s="33">
        <v>696.0</v>
      </c>
      <c r="N1303" s="33">
        <v>631.0</v>
      </c>
      <c r="O1303" s="33">
        <v>551.0</v>
      </c>
      <c r="P1303" s="33">
        <v>80.0</v>
      </c>
      <c r="Q1303" s="33">
        <v>65.0</v>
      </c>
      <c r="R1303" s="34">
        <v>90.7272727</v>
      </c>
      <c r="S1303" s="34">
        <v>44.5454545</v>
      </c>
      <c r="T1303" s="34">
        <v>46.1818182</v>
      </c>
      <c r="U1303" s="34">
        <v>9.2727273</v>
      </c>
      <c r="V1303" s="34">
        <v>90.6609195</v>
      </c>
      <c r="W1303" s="34">
        <v>79.1666667</v>
      </c>
      <c r="X1303" s="34">
        <v>11.4942529</v>
      </c>
      <c r="Y1303" s="34">
        <v>9.3390805</v>
      </c>
    </row>
    <row r="1304" ht="15.0" hidden="1" customHeight="1">
      <c r="B1304" s="30">
        <v>1299.0</v>
      </c>
      <c r="C1304" s="31" t="s">
        <v>19</v>
      </c>
      <c r="D1304" s="31" t="s">
        <v>403</v>
      </c>
      <c r="E1304" s="31" t="s">
        <v>416</v>
      </c>
      <c r="F1304" s="31"/>
      <c r="G1304" s="32" t="s">
        <v>16</v>
      </c>
      <c r="H1304" s="33">
        <v>3310.0</v>
      </c>
      <c r="I1304" s="33">
        <v>2532.0</v>
      </c>
      <c r="J1304" s="33">
        <v>1160.0</v>
      </c>
      <c r="K1304" s="33">
        <v>1372.0</v>
      </c>
      <c r="L1304" s="33">
        <v>778.0</v>
      </c>
      <c r="M1304" s="33">
        <v>5627.0</v>
      </c>
      <c r="N1304" s="33">
        <v>4047.0</v>
      </c>
      <c r="O1304" s="33">
        <v>3579.0</v>
      </c>
      <c r="P1304" s="33">
        <v>468.0</v>
      </c>
      <c r="Q1304" s="33">
        <v>1580.0</v>
      </c>
      <c r="R1304" s="34">
        <v>76.4954683</v>
      </c>
      <c r="S1304" s="34">
        <v>35.0453172</v>
      </c>
      <c r="T1304" s="34">
        <v>41.4501511</v>
      </c>
      <c r="U1304" s="34">
        <v>23.5045317</v>
      </c>
      <c r="V1304" s="34">
        <v>71.9210947</v>
      </c>
      <c r="W1304" s="34">
        <v>63.6040519</v>
      </c>
      <c r="X1304" s="34">
        <v>8.3170428</v>
      </c>
      <c r="Y1304" s="34">
        <v>28.0789053</v>
      </c>
    </row>
    <row r="1305" ht="15.0" customHeight="1">
      <c r="B1305" s="35">
        <v>1300.0</v>
      </c>
      <c r="C1305" s="36" t="s">
        <v>21</v>
      </c>
      <c r="D1305" s="41" t="s">
        <v>403</v>
      </c>
      <c r="E1305" s="41" t="s">
        <v>416</v>
      </c>
      <c r="F1305" s="41" t="s">
        <v>417</v>
      </c>
      <c r="G1305" s="42" t="s">
        <v>417</v>
      </c>
      <c r="H1305" s="37">
        <v>864.0</v>
      </c>
      <c r="I1305" s="37">
        <v>721.0</v>
      </c>
      <c r="J1305" s="37">
        <v>350.0</v>
      </c>
      <c r="K1305" s="37">
        <v>371.0</v>
      </c>
      <c r="L1305" s="37">
        <v>143.0</v>
      </c>
      <c r="M1305" s="37">
        <v>1053.0</v>
      </c>
      <c r="N1305" s="37">
        <v>925.0</v>
      </c>
      <c r="O1305" s="37">
        <v>793.0</v>
      </c>
      <c r="P1305" s="37">
        <v>132.0</v>
      </c>
      <c r="Q1305" s="37">
        <v>128.0</v>
      </c>
      <c r="R1305" s="38">
        <v>83.4490741</v>
      </c>
      <c r="S1305" s="38">
        <v>40.5092593</v>
      </c>
      <c r="T1305" s="38">
        <v>42.9398148</v>
      </c>
      <c r="U1305" s="38">
        <v>16.5509259</v>
      </c>
      <c r="V1305" s="38">
        <v>87.8442545</v>
      </c>
      <c r="W1305" s="38">
        <v>75.308642</v>
      </c>
      <c r="X1305" s="38">
        <v>12.5356125</v>
      </c>
      <c r="Y1305" s="38">
        <v>12.1557455</v>
      </c>
    </row>
    <row r="1306" ht="15.0" hidden="1" customHeight="1">
      <c r="B1306" s="30">
        <v>1301.0</v>
      </c>
      <c r="C1306" s="31" t="s">
        <v>21</v>
      </c>
      <c r="D1306" s="31" t="s">
        <v>403</v>
      </c>
      <c r="E1306" s="31" t="s">
        <v>416</v>
      </c>
      <c r="F1306" s="31" t="s">
        <v>417</v>
      </c>
      <c r="G1306" s="32" t="s">
        <v>15</v>
      </c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4"/>
      <c r="S1306" s="34"/>
      <c r="T1306" s="34"/>
      <c r="U1306" s="34"/>
      <c r="V1306" s="34"/>
      <c r="W1306" s="34"/>
      <c r="X1306" s="34"/>
      <c r="Y1306" s="34"/>
    </row>
    <row r="1307" ht="15.0" hidden="1" customHeight="1">
      <c r="B1307" s="30">
        <v>1302.0</v>
      </c>
      <c r="C1307" s="31" t="s">
        <v>21</v>
      </c>
      <c r="D1307" s="31" t="s">
        <v>403</v>
      </c>
      <c r="E1307" s="31" t="s">
        <v>416</v>
      </c>
      <c r="F1307" s="31" t="s">
        <v>417</v>
      </c>
      <c r="G1307" s="32" t="s">
        <v>16</v>
      </c>
      <c r="H1307" s="33">
        <v>864.0</v>
      </c>
      <c r="I1307" s="33">
        <v>721.0</v>
      </c>
      <c r="J1307" s="33">
        <v>350.0</v>
      </c>
      <c r="K1307" s="33">
        <v>371.0</v>
      </c>
      <c r="L1307" s="33">
        <v>143.0</v>
      </c>
      <c r="M1307" s="33">
        <v>1053.0</v>
      </c>
      <c r="N1307" s="33">
        <v>925.0</v>
      </c>
      <c r="O1307" s="33">
        <v>793.0</v>
      </c>
      <c r="P1307" s="33">
        <v>132.0</v>
      </c>
      <c r="Q1307" s="33">
        <v>128.0</v>
      </c>
      <c r="R1307" s="34">
        <v>83.4490741</v>
      </c>
      <c r="S1307" s="34">
        <v>40.5092593</v>
      </c>
      <c r="T1307" s="34">
        <v>42.9398148</v>
      </c>
      <c r="U1307" s="34">
        <v>16.5509259</v>
      </c>
      <c r="V1307" s="34">
        <v>87.8442545</v>
      </c>
      <c r="W1307" s="34">
        <v>75.308642</v>
      </c>
      <c r="X1307" s="34">
        <v>12.5356125</v>
      </c>
      <c r="Y1307" s="34">
        <v>12.1557455</v>
      </c>
    </row>
    <row r="1308" ht="15.0" customHeight="1">
      <c r="B1308" s="35">
        <v>1303.0</v>
      </c>
      <c r="C1308" s="36" t="s">
        <v>21</v>
      </c>
      <c r="D1308" s="41" t="s">
        <v>403</v>
      </c>
      <c r="E1308" s="41" t="s">
        <v>416</v>
      </c>
      <c r="F1308" s="41" t="s">
        <v>418</v>
      </c>
      <c r="G1308" s="42" t="s">
        <v>418</v>
      </c>
      <c r="H1308" s="37">
        <v>2996.0</v>
      </c>
      <c r="I1308" s="37">
        <v>2310.0</v>
      </c>
      <c r="J1308" s="37">
        <v>1055.0</v>
      </c>
      <c r="K1308" s="37">
        <v>1255.0</v>
      </c>
      <c r="L1308" s="37">
        <v>686.0</v>
      </c>
      <c r="M1308" s="37">
        <v>5270.0</v>
      </c>
      <c r="N1308" s="37">
        <v>3753.0</v>
      </c>
      <c r="O1308" s="37">
        <v>3337.0</v>
      </c>
      <c r="P1308" s="37">
        <v>416.0</v>
      </c>
      <c r="Q1308" s="37">
        <v>1517.0</v>
      </c>
      <c r="R1308" s="38">
        <v>77.1028037</v>
      </c>
      <c r="S1308" s="38">
        <v>35.2136182</v>
      </c>
      <c r="T1308" s="38">
        <v>41.8891856</v>
      </c>
      <c r="U1308" s="38">
        <v>22.8971963</v>
      </c>
      <c r="V1308" s="38">
        <v>71.2144213</v>
      </c>
      <c r="W1308" s="38">
        <v>63.3206831</v>
      </c>
      <c r="X1308" s="38">
        <v>7.8937381</v>
      </c>
      <c r="Y1308" s="38">
        <v>28.7855787</v>
      </c>
    </row>
    <row r="1309" ht="15.0" hidden="1" customHeight="1">
      <c r="B1309" s="30">
        <v>1304.0</v>
      </c>
      <c r="C1309" s="31" t="s">
        <v>21</v>
      </c>
      <c r="D1309" s="31" t="s">
        <v>403</v>
      </c>
      <c r="E1309" s="31" t="s">
        <v>416</v>
      </c>
      <c r="F1309" s="31" t="s">
        <v>418</v>
      </c>
      <c r="G1309" s="32" t="s">
        <v>15</v>
      </c>
      <c r="H1309" s="33">
        <v>550.0</v>
      </c>
      <c r="I1309" s="33">
        <v>499.0</v>
      </c>
      <c r="J1309" s="33">
        <v>245.0</v>
      </c>
      <c r="K1309" s="33">
        <v>254.0</v>
      </c>
      <c r="L1309" s="33">
        <v>51.0</v>
      </c>
      <c r="M1309" s="33">
        <v>696.0</v>
      </c>
      <c r="N1309" s="33">
        <v>631.0</v>
      </c>
      <c r="O1309" s="33">
        <v>551.0</v>
      </c>
      <c r="P1309" s="33">
        <v>80.0</v>
      </c>
      <c r="Q1309" s="33">
        <v>65.0</v>
      </c>
      <c r="R1309" s="34">
        <v>90.7272727</v>
      </c>
      <c r="S1309" s="34">
        <v>44.5454545</v>
      </c>
      <c r="T1309" s="34">
        <v>46.1818182</v>
      </c>
      <c r="U1309" s="34">
        <v>9.2727273</v>
      </c>
      <c r="V1309" s="34">
        <v>90.6609195</v>
      </c>
      <c r="W1309" s="34">
        <v>79.1666667</v>
      </c>
      <c r="X1309" s="34">
        <v>11.4942529</v>
      </c>
      <c r="Y1309" s="34">
        <v>9.3390805</v>
      </c>
    </row>
    <row r="1310" ht="15.0" hidden="1" customHeight="1">
      <c r="B1310" s="30">
        <v>1305.0</v>
      </c>
      <c r="C1310" s="31" t="s">
        <v>21</v>
      </c>
      <c r="D1310" s="31" t="s">
        <v>403</v>
      </c>
      <c r="E1310" s="31" t="s">
        <v>416</v>
      </c>
      <c r="F1310" s="31" t="s">
        <v>418</v>
      </c>
      <c r="G1310" s="32" t="s">
        <v>16</v>
      </c>
      <c r="H1310" s="33">
        <v>2446.0</v>
      </c>
      <c r="I1310" s="33">
        <v>1811.0</v>
      </c>
      <c r="J1310" s="33">
        <v>810.0</v>
      </c>
      <c r="K1310" s="33">
        <v>1001.0</v>
      </c>
      <c r="L1310" s="33">
        <v>635.0</v>
      </c>
      <c r="M1310" s="33">
        <v>4574.0</v>
      </c>
      <c r="N1310" s="33">
        <v>3122.0</v>
      </c>
      <c r="O1310" s="33">
        <v>2786.0</v>
      </c>
      <c r="P1310" s="33">
        <v>336.0</v>
      </c>
      <c r="Q1310" s="33">
        <v>1452.0</v>
      </c>
      <c r="R1310" s="34">
        <v>74.0392478</v>
      </c>
      <c r="S1310" s="34">
        <v>33.1152903</v>
      </c>
      <c r="T1310" s="34">
        <v>40.9239575</v>
      </c>
      <c r="U1310" s="34">
        <v>25.9607522</v>
      </c>
      <c r="V1310" s="34">
        <v>68.2553564</v>
      </c>
      <c r="W1310" s="34">
        <v>60.9094884</v>
      </c>
      <c r="X1310" s="34">
        <v>7.3458679</v>
      </c>
      <c r="Y1310" s="34">
        <v>31.7446436</v>
      </c>
    </row>
    <row r="1311" ht="15.0" hidden="1" customHeight="1">
      <c r="B1311" s="26">
        <v>1306.0</v>
      </c>
      <c r="C1311" s="27" t="s">
        <v>19</v>
      </c>
      <c r="D1311" s="40" t="s">
        <v>403</v>
      </c>
      <c r="E1311" s="40" t="s">
        <v>419</v>
      </c>
      <c r="F1311" s="40"/>
      <c r="G1311" s="27" t="s">
        <v>419</v>
      </c>
      <c r="H1311" s="28">
        <v>2609.0</v>
      </c>
      <c r="I1311" s="28">
        <v>2420.0</v>
      </c>
      <c r="J1311" s="28">
        <v>595.0</v>
      </c>
      <c r="K1311" s="28">
        <v>1825.0</v>
      </c>
      <c r="L1311" s="28">
        <v>189.0</v>
      </c>
      <c r="M1311" s="28">
        <v>3294.0</v>
      </c>
      <c r="N1311" s="28">
        <v>2948.0</v>
      </c>
      <c r="O1311" s="28">
        <v>2561.0</v>
      </c>
      <c r="P1311" s="28">
        <v>387.0</v>
      </c>
      <c r="Q1311" s="28">
        <v>346.0</v>
      </c>
      <c r="R1311" s="29">
        <v>92.7558452</v>
      </c>
      <c r="S1311" s="29">
        <v>22.8056727</v>
      </c>
      <c r="T1311" s="29">
        <v>69.9501725</v>
      </c>
      <c r="U1311" s="29">
        <v>7.2441548</v>
      </c>
      <c r="V1311" s="29">
        <v>89.4960534</v>
      </c>
      <c r="W1311" s="29">
        <v>77.7474196</v>
      </c>
      <c r="X1311" s="29">
        <v>11.7486339</v>
      </c>
      <c r="Y1311" s="29">
        <v>10.5039466</v>
      </c>
    </row>
    <row r="1312" ht="15.0" hidden="1" customHeight="1">
      <c r="B1312" s="30">
        <v>1307.0</v>
      </c>
      <c r="C1312" s="31" t="s">
        <v>19</v>
      </c>
      <c r="D1312" s="31" t="s">
        <v>403</v>
      </c>
      <c r="E1312" s="31" t="s">
        <v>419</v>
      </c>
      <c r="F1312" s="31"/>
      <c r="G1312" s="32" t="s">
        <v>15</v>
      </c>
      <c r="H1312" s="33">
        <v>1547.0</v>
      </c>
      <c r="I1312" s="33">
        <v>1485.0</v>
      </c>
      <c r="J1312" s="33">
        <v>396.0</v>
      </c>
      <c r="K1312" s="33">
        <v>1089.0</v>
      </c>
      <c r="L1312" s="33">
        <v>62.0</v>
      </c>
      <c r="M1312" s="33">
        <v>1894.0</v>
      </c>
      <c r="N1312" s="33">
        <v>1861.0</v>
      </c>
      <c r="O1312" s="33">
        <v>1700.0</v>
      </c>
      <c r="P1312" s="33">
        <v>161.0</v>
      </c>
      <c r="Q1312" s="33">
        <v>33.0</v>
      </c>
      <c r="R1312" s="34">
        <v>95.9922431</v>
      </c>
      <c r="S1312" s="34">
        <v>25.5979315</v>
      </c>
      <c r="T1312" s="34">
        <v>70.3943116</v>
      </c>
      <c r="U1312" s="34">
        <v>4.0077569</v>
      </c>
      <c r="V1312" s="34">
        <v>98.2576558</v>
      </c>
      <c r="W1312" s="34">
        <v>89.7571278</v>
      </c>
      <c r="X1312" s="34">
        <v>8.500528</v>
      </c>
      <c r="Y1312" s="34">
        <v>1.7423442</v>
      </c>
    </row>
    <row r="1313" ht="15.0" hidden="1" customHeight="1">
      <c r="B1313" s="30">
        <v>1308.0</v>
      </c>
      <c r="C1313" s="31" t="s">
        <v>19</v>
      </c>
      <c r="D1313" s="31" t="s">
        <v>403</v>
      </c>
      <c r="E1313" s="31" t="s">
        <v>419</v>
      </c>
      <c r="F1313" s="31"/>
      <c r="G1313" s="32" t="s">
        <v>16</v>
      </c>
      <c r="H1313" s="33">
        <v>1062.0</v>
      </c>
      <c r="I1313" s="33">
        <v>935.0</v>
      </c>
      <c r="J1313" s="33">
        <v>199.0</v>
      </c>
      <c r="K1313" s="33">
        <v>736.0</v>
      </c>
      <c r="L1313" s="33">
        <v>127.0</v>
      </c>
      <c r="M1313" s="33">
        <v>1400.0</v>
      </c>
      <c r="N1313" s="33">
        <v>1087.0</v>
      </c>
      <c r="O1313" s="33">
        <v>861.0</v>
      </c>
      <c r="P1313" s="33">
        <v>226.0</v>
      </c>
      <c r="Q1313" s="33">
        <v>313.0</v>
      </c>
      <c r="R1313" s="34">
        <v>88.0414313</v>
      </c>
      <c r="S1313" s="34">
        <v>18.7382298</v>
      </c>
      <c r="T1313" s="34">
        <v>69.3032015</v>
      </c>
      <c r="U1313" s="34">
        <v>11.9585687</v>
      </c>
      <c r="V1313" s="34">
        <v>77.6428571</v>
      </c>
      <c r="W1313" s="34">
        <v>61.5</v>
      </c>
      <c r="X1313" s="34">
        <v>16.1428571</v>
      </c>
      <c r="Y1313" s="34">
        <v>22.3571429</v>
      </c>
    </row>
    <row r="1314" ht="15.0" customHeight="1">
      <c r="B1314" s="35">
        <v>1309.0</v>
      </c>
      <c r="C1314" s="36" t="s">
        <v>21</v>
      </c>
      <c r="D1314" s="41" t="s">
        <v>403</v>
      </c>
      <c r="E1314" s="41" t="s">
        <v>419</v>
      </c>
      <c r="F1314" s="41" t="s">
        <v>420</v>
      </c>
      <c r="G1314" s="42" t="s">
        <v>420</v>
      </c>
      <c r="H1314" s="37">
        <v>1254.0</v>
      </c>
      <c r="I1314" s="37">
        <v>1183.0</v>
      </c>
      <c r="J1314" s="37">
        <v>318.0</v>
      </c>
      <c r="K1314" s="37">
        <v>865.0</v>
      </c>
      <c r="L1314" s="37">
        <v>71.0</v>
      </c>
      <c r="M1314" s="37">
        <v>1485.0</v>
      </c>
      <c r="N1314" s="37">
        <v>1432.0</v>
      </c>
      <c r="O1314" s="37">
        <v>1287.0</v>
      </c>
      <c r="P1314" s="37">
        <v>145.0</v>
      </c>
      <c r="Q1314" s="37">
        <v>53.0</v>
      </c>
      <c r="R1314" s="38">
        <v>94.338118</v>
      </c>
      <c r="S1314" s="38">
        <v>25.3588517</v>
      </c>
      <c r="T1314" s="38">
        <v>68.9792663</v>
      </c>
      <c r="U1314" s="38">
        <v>5.661882</v>
      </c>
      <c r="V1314" s="38">
        <v>96.4309764</v>
      </c>
      <c r="W1314" s="38">
        <v>86.6666667</v>
      </c>
      <c r="X1314" s="38">
        <v>9.7643098</v>
      </c>
      <c r="Y1314" s="38">
        <v>3.5690236</v>
      </c>
    </row>
    <row r="1315" ht="15.0" hidden="1" customHeight="1">
      <c r="B1315" s="30">
        <v>1310.0</v>
      </c>
      <c r="C1315" s="31" t="s">
        <v>21</v>
      </c>
      <c r="D1315" s="31" t="s">
        <v>403</v>
      </c>
      <c r="E1315" s="31" t="s">
        <v>419</v>
      </c>
      <c r="F1315" s="31" t="s">
        <v>420</v>
      </c>
      <c r="G1315" s="32" t="s">
        <v>15</v>
      </c>
      <c r="H1315" s="33">
        <v>785.0</v>
      </c>
      <c r="I1315" s="33">
        <v>758.0</v>
      </c>
      <c r="J1315" s="33">
        <v>238.0</v>
      </c>
      <c r="K1315" s="33">
        <v>520.0</v>
      </c>
      <c r="L1315" s="33">
        <v>27.0</v>
      </c>
      <c r="M1315" s="33">
        <v>1027.0</v>
      </c>
      <c r="N1315" s="33">
        <v>1012.0</v>
      </c>
      <c r="O1315" s="33">
        <v>938.0</v>
      </c>
      <c r="P1315" s="33">
        <v>74.0</v>
      </c>
      <c r="Q1315" s="33">
        <v>15.0</v>
      </c>
      <c r="R1315" s="34">
        <v>96.5605096</v>
      </c>
      <c r="S1315" s="34">
        <v>30.3184713</v>
      </c>
      <c r="T1315" s="34">
        <v>66.2420382</v>
      </c>
      <c r="U1315" s="34">
        <v>3.4394904</v>
      </c>
      <c r="V1315" s="34">
        <v>98.5394352</v>
      </c>
      <c r="W1315" s="34">
        <v>91.3339825</v>
      </c>
      <c r="X1315" s="34">
        <v>7.2054528</v>
      </c>
      <c r="Y1315" s="34">
        <v>1.4605648</v>
      </c>
    </row>
    <row r="1316" ht="15.0" hidden="1" customHeight="1">
      <c r="B1316" s="30">
        <v>1311.0</v>
      </c>
      <c r="C1316" s="31" t="s">
        <v>21</v>
      </c>
      <c r="D1316" s="31" t="s">
        <v>403</v>
      </c>
      <c r="E1316" s="31" t="s">
        <v>419</v>
      </c>
      <c r="F1316" s="31" t="s">
        <v>420</v>
      </c>
      <c r="G1316" s="32" t="s">
        <v>16</v>
      </c>
      <c r="H1316" s="33">
        <v>469.0</v>
      </c>
      <c r="I1316" s="33">
        <v>425.0</v>
      </c>
      <c r="J1316" s="33">
        <v>80.0</v>
      </c>
      <c r="K1316" s="33">
        <v>345.0</v>
      </c>
      <c r="L1316" s="33">
        <v>44.0</v>
      </c>
      <c r="M1316" s="33">
        <v>458.0</v>
      </c>
      <c r="N1316" s="33">
        <v>420.0</v>
      </c>
      <c r="O1316" s="33">
        <v>349.0</v>
      </c>
      <c r="P1316" s="33">
        <v>71.0</v>
      </c>
      <c r="Q1316" s="33">
        <v>38.0</v>
      </c>
      <c r="R1316" s="34">
        <v>90.6183369</v>
      </c>
      <c r="S1316" s="34">
        <v>17.0575693</v>
      </c>
      <c r="T1316" s="34">
        <v>73.5607676</v>
      </c>
      <c r="U1316" s="34">
        <v>9.3816631</v>
      </c>
      <c r="V1316" s="34">
        <v>91.7030568</v>
      </c>
      <c r="W1316" s="34">
        <v>76.2008734</v>
      </c>
      <c r="X1316" s="34">
        <v>15.5021834</v>
      </c>
      <c r="Y1316" s="34">
        <v>8.2969432</v>
      </c>
    </row>
    <row r="1317" ht="15.0" customHeight="1">
      <c r="B1317" s="35">
        <v>1312.0</v>
      </c>
      <c r="C1317" s="36" t="s">
        <v>21</v>
      </c>
      <c r="D1317" s="41" t="s">
        <v>403</v>
      </c>
      <c r="E1317" s="41" t="s">
        <v>419</v>
      </c>
      <c r="F1317" s="41" t="s">
        <v>389</v>
      </c>
      <c r="G1317" s="42" t="s">
        <v>389</v>
      </c>
      <c r="H1317" s="37">
        <v>1160.0</v>
      </c>
      <c r="I1317" s="37">
        <v>1068.0</v>
      </c>
      <c r="J1317" s="37">
        <v>210.0</v>
      </c>
      <c r="K1317" s="37">
        <v>858.0</v>
      </c>
      <c r="L1317" s="37">
        <v>92.0</v>
      </c>
      <c r="M1317" s="37">
        <v>1504.0</v>
      </c>
      <c r="N1317" s="37">
        <v>1243.0</v>
      </c>
      <c r="O1317" s="37">
        <v>1061.0</v>
      </c>
      <c r="P1317" s="37">
        <v>182.0</v>
      </c>
      <c r="Q1317" s="37">
        <v>261.0</v>
      </c>
      <c r="R1317" s="38">
        <v>92.0689655</v>
      </c>
      <c r="S1317" s="38">
        <v>18.1034483</v>
      </c>
      <c r="T1317" s="38">
        <v>73.9655172</v>
      </c>
      <c r="U1317" s="38">
        <v>7.9310345</v>
      </c>
      <c r="V1317" s="38">
        <v>82.6462766</v>
      </c>
      <c r="W1317" s="38">
        <v>70.5452128</v>
      </c>
      <c r="X1317" s="38">
        <v>12.1010638</v>
      </c>
      <c r="Y1317" s="38">
        <v>17.3537234</v>
      </c>
    </row>
    <row r="1318" ht="15.0" hidden="1" customHeight="1">
      <c r="B1318" s="30">
        <v>1313.0</v>
      </c>
      <c r="C1318" s="31" t="s">
        <v>21</v>
      </c>
      <c r="D1318" s="31" t="s">
        <v>403</v>
      </c>
      <c r="E1318" s="31" t="s">
        <v>419</v>
      </c>
      <c r="F1318" s="31" t="s">
        <v>389</v>
      </c>
      <c r="G1318" s="32" t="s">
        <v>15</v>
      </c>
      <c r="H1318" s="33">
        <v>762.0</v>
      </c>
      <c r="I1318" s="33">
        <v>727.0</v>
      </c>
      <c r="J1318" s="33">
        <v>158.0</v>
      </c>
      <c r="K1318" s="33">
        <v>569.0</v>
      </c>
      <c r="L1318" s="33">
        <v>35.0</v>
      </c>
      <c r="M1318" s="33">
        <v>867.0</v>
      </c>
      <c r="N1318" s="33">
        <v>849.0</v>
      </c>
      <c r="O1318" s="33">
        <v>762.0</v>
      </c>
      <c r="P1318" s="33">
        <v>87.0</v>
      </c>
      <c r="Q1318" s="33">
        <v>18.0</v>
      </c>
      <c r="R1318" s="34">
        <v>95.4068241</v>
      </c>
      <c r="S1318" s="34">
        <v>20.7349081</v>
      </c>
      <c r="T1318" s="34">
        <v>74.671916</v>
      </c>
      <c r="U1318" s="34">
        <v>4.5931759</v>
      </c>
      <c r="V1318" s="34">
        <v>97.9238754</v>
      </c>
      <c r="W1318" s="34">
        <v>87.8892734</v>
      </c>
      <c r="X1318" s="34">
        <v>10.0346021</v>
      </c>
      <c r="Y1318" s="34">
        <v>2.0761246</v>
      </c>
    </row>
    <row r="1319" ht="15.0" hidden="1" customHeight="1">
      <c r="B1319" s="30">
        <v>1314.0</v>
      </c>
      <c r="C1319" s="31" t="s">
        <v>21</v>
      </c>
      <c r="D1319" s="31" t="s">
        <v>403</v>
      </c>
      <c r="E1319" s="31" t="s">
        <v>419</v>
      </c>
      <c r="F1319" s="31" t="s">
        <v>389</v>
      </c>
      <c r="G1319" s="32" t="s">
        <v>16</v>
      </c>
      <c r="H1319" s="33">
        <v>398.0</v>
      </c>
      <c r="I1319" s="33">
        <v>341.0</v>
      </c>
      <c r="J1319" s="33">
        <v>52.0</v>
      </c>
      <c r="K1319" s="33">
        <v>289.0</v>
      </c>
      <c r="L1319" s="33">
        <v>57.0</v>
      </c>
      <c r="M1319" s="33">
        <v>637.0</v>
      </c>
      <c r="N1319" s="33">
        <v>394.0</v>
      </c>
      <c r="O1319" s="33">
        <v>299.0</v>
      </c>
      <c r="P1319" s="33">
        <v>95.0</v>
      </c>
      <c r="Q1319" s="33">
        <v>243.0</v>
      </c>
      <c r="R1319" s="34">
        <v>85.678392</v>
      </c>
      <c r="S1319" s="34">
        <v>13.0653266</v>
      </c>
      <c r="T1319" s="34">
        <v>72.6130653</v>
      </c>
      <c r="U1319" s="34">
        <v>14.321608</v>
      </c>
      <c r="V1319" s="34">
        <v>61.8524333</v>
      </c>
      <c r="W1319" s="34">
        <v>46.9387755</v>
      </c>
      <c r="X1319" s="34">
        <v>14.9136578</v>
      </c>
      <c r="Y1319" s="34">
        <v>38.1475667</v>
      </c>
    </row>
    <row r="1320" ht="15.0" customHeight="1">
      <c r="B1320" s="35">
        <v>1315.0</v>
      </c>
      <c r="C1320" s="36" t="s">
        <v>21</v>
      </c>
      <c r="D1320" s="41" t="s">
        <v>403</v>
      </c>
      <c r="E1320" s="41" t="s">
        <v>419</v>
      </c>
      <c r="F1320" s="41" t="s">
        <v>421</v>
      </c>
      <c r="G1320" s="42" t="s">
        <v>421</v>
      </c>
      <c r="H1320" s="37">
        <v>195.0</v>
      </c>
      <c r="I1320" s="37">
        <v>169.0</v>
      </c>
      <c r="J1320" s="37">
        <v>67.0</v>
      </c>
      <c r="K1320" s="37">
        <v>102.0</v>
      </c>
      <c r="L1320" s="37">
        <v>26.0</v>
      </c>
      <c r="M1320" s="37">
        <v>305.0</v>
      </c>
      <c r="N1320" s="37">
        <v>273.0</v>
      </c>
      <c r="O1320" s="37">
        <v>213.0</v>
      </c>
      <c r="P1320" s="37">
        <v>60.0</v>
      </c>
      <c r="Q1320" s="37">
        <v>32.0</v>
      </c>
      <c r="R1320" s="38">
        <v>86.6666667</v>
      </c>
      <c r="S1320" s="38">
        <v>34.3589744</v>
      </c>
      <c r="T1320" s="38">
        <v>52.3076923</v>
      </c>
      <c r="U1320" s="38">
        <v>13.3333333</v>
      </c>
      <c r="V1320" s="38">
        <v>89.5081967</v>
      </c>
      <c r="W1320" s="38">
        <v>69.8360656</v>
      </c>
      <c r="X1320" s="38">
        <v>19.6721311</v>
      </c>
      <c r="Y1320" s="38">
        <v>10.4918033</v>
      </c>
    </row>
    <row r="1321" ht="15.0" hidden="1" customHeight="1">
      <c r="B1321" s="30">
        <v>1316.0</v>
      </c>
      <c r="C1321" s="31" t="s">
        <v>21</v>
      </c>
      <c r="D1321" s="31" t="s">
        <v>403</v>
      </c>
      <c r="E1321" s="31" t="s">
        <v>419</v>
      </c>
      <c r="F1321" s="31" t="s">
        <v>421</v>
      </c>
      <c r="G1321" s="32" t="s">
        <v>15</v>
      </c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4"/>
      <c r="S1321" s="34"/>
      <c r="T1321" s="34"/>
      <c r="U1321" s="34"/>
      <c r="V1321" s="34"/>
      <c r="W1321" s="34"/>
      <c r="X1321" s="34"/>
      <c r="Y1321" s="34"/>
    </row>
    <row r="1322" ht="15.0" hidden="1" customHeight="1">
      <c r="B1322" s="30">
        <v>1317.0</v>
      </c>
      <c r="C1322" s="31" t="s">
        <v>21</v>
      </c>
      <c r="D1322" s="31" t="s">
        <v>403</v>
      </c>
      <c r="E1322" s="31" t="s">
        <v>419</v>
      </c>
      <c r="F1322" s="31" t="s">
        <v>421</v>
      </c>
      <c r="G1322" s="32" t="s">
        <v>16</v>
      </c>
      <c r="H1322" s="33">
        <v>195.0</v>
      </c>
      <c r="I1322" s="33">
        <v>169.0</v>
      </c>
      <c r="J1322" s="33">
        <v>67.0</v>
      </c>
      <c r="K1322" s="33">
        <v>102.0</v>
      </c>
      <c r="L1322" s="33">
        <v>26.0</v>
      </c>
      <c r="M1322" s="33">
        <v>305.0</v>
      </c>
      <c r="N1322" s="33">
        <v>273.0</v>
      </c>
      <c r="O1322" s="33">
        <v>213.0</v>
      </c>
      <c r="P1322" s="33">
        <v>60.0</v>
      </c>
      <c r="Q1322" s="33">
        <v>32.0</v>
      </c>
      <c r="R1322" s="34">
        <v>86.6666667</v>
      </c>
      <c r="S1322" s="34">
        <v>34.3589744</v>
      </c>
      <c r="T1322" s="34">
        <v>52.3076923</v>
      </c>
      <c r="U1322" s="34">
        <v>13.3333333</v>
      </c>
      <c r="V1322" s="34">
        <v>89.5081967</v>
      </c>
      <c r="W1322" s="34">
        <v>69.8360656</v>
      </c>
      <c r="X1322" s="34">
        <v>19.6721311</v>
      </c>
      <c r="Y1322" s="34">
        <v>10.4918033</v>
      </c>
    </row>
    <row r="1323" ht="15.0" hidden="1" customHeight="1">
      <c r="B1323" s="26">
        <v>1318.0</v>
      </c>
      <c r="C1323" s="27" t="s">
        <v>19</v>
      </c>
      <c r="D1323" s="40" t="s">
        <v>403</v>
      </c>
      <c r="E1323" s="40" t="s">
        <v>422</v>
      </c>
      <c r="F1323" s="40"/>
      <c r="G1323" s="27" t="s">
        <v>422</v>
      </c>
      <c r="H1323" s="28">
        <v>4407.0</v>
      </c>
      <c r="I1323" s="28">
        <v>3919.0</v>
      </c>
      <c r="J1323" s="28">
        <v>1054.0</v>
      </c>
      <c r="K1323" s="28">
        <v>2865.0</v>
      </c>
      <c r="L1323" s="28">
        <v>488.0</v>
      </c>
      <c r="M1323" s="28">
        <v>6041.0</v>
      </c>
      <c r="N1323" s="28">
        <v>5565.0</v>
      </c>
      <c r="O1323" s="28">
        <v>4972.0</v>
      </c>
      <c r="P1323" s="28">
        <v>593.0</v>
      </c>
      <c r="Q1323" s="28">
        <v>476.0</v>
      </c>
      <c r="R1323" s="29">
        <v>88.9267075</v>
      </c>
      <c r="S1323" s="29">
        <v>23.9164965</v>
      </c>
      <c r="T1323" s="29">
        <v>65.010211</v>
      </c>
      <c r="U1323" s="29">
        <v>11.0732925</v>
      </c>
      <c r="V1323" s="29">
        <v>92.1205098</v>
      </c>
      <c r="W1323" s="29">
        <v>82.3042543</v>
      </c>
      <c r="X1323" s="29">
        <v>9.8162556</v>
      </c>
      <c r="Y1323" s="29">
        <v>7.8794902</v>
      </c>
    </row>
    <row r="1324" ht="15.0" hidden="1" customHeight="1">
      <c r="B1324" s="30">
        <v>1319.0</v>
      </c>
      <c r="C1324" s="31" t="s">
        <v>19</v>
      </c>
      <c r="D1324" s="31" t="s">
        <v>403</v>
      </c>
      <c r="E1324" s="31" t="s">
        <v>422</v>
      </c>
      <c r="F1324" s="31"/>
      <c r="G1324" s="32" t="s">
        <v>15</v>
      </c>
      <c r="H1324" s="33">
        <v>2374.0</v>
      </c>
      <c r="I1324" s="33">
        <v>2228.0</v>
      </c>
      <c r="J1324" s="33">
        <v>585.0</v>
      </c>
      <c r="K1324" s="33">
        <v>1643.0</v>
      </c>
      <c r="L1324" s="33">
        <v>146.0</v>
      </c>
      <c r="M1324" s="33">
        <v>3242.0</v>
      </c>
      <c r="N1324" s="33">
        <v>3125.0</v>
      </c>
      <c r="O1324" s="33">
        <v>2800.0</v>
      </c>
      <c r="P1324" s="33">
        <v>325.0</v>
      </c>
      <c r="Q1324" s="33">
        <v>117.0</v>
      </c>
      <c r="R1324" s="34">
        <v>93.8500421</v>
      </c>
      <c r="S1324" s="34">
        <v>24.6419545</v>
      </c>
      <c r="T1324" s="34">
        <v>69.2080876</v>
      </c>
      <c r="U1324" s="34">
        <v>6.1499579</v>
      </c>
      <c r="V1324" s="34">
        <v>96.3911166</v>
      </c>
      <c r="W1324" s="34">
        <v>86.3664405</v>
      </c>
      <c r="X1324" s="34">
        <v>10.0246761</v>
      </c>
      <c r="Y1324" s="34">
        <v>3.6088834</v>
      </c>
    </row>
    <row r="1325" ht="15.0" hidden="1" customHeight="1">
      <c r="B1325" s="30">
        <v>1320.0</v>
      </c>
      <c r="C1325" s="31" t="s">
        <v>19</v>
      </c>
      <c r="D1325" s="31" t="s">
        <v>403</v>
      </c>
      <c r="E1325" s="31" t="s">
        <v>422</v>
      </c>
      <c r="F1325" s="31"/>
      <c r="G1325" s="32" t="s">
        <v>16</v>
      </c>
      <c r="H1325" s="33">
        <v>2033.0</v>
      </c>
      <c r="I1325" s="33">
        <v>1691.0</v>
      </c>
      <c r="J1325" s="33">
        <v>469.0</v>
      </c>
      <c r="K1325" s="33">
        <v>1222.0</v>
      </c>
      <c r="L1325" s="33">
        <v>342.0</v>
      </c>
      <c r="M1325" s="33">
        <v>2799.0</v>
      </c>
      <c r="N1325" s="33">
        <v>2440.0</v>
      </c>
      <c r="O1325" s="33">
        <v>2172.0</v>
      </c>
      <c r="P1325" s="33">
        <v>268.0</v>
      </c>
      <c r="Q1325" s="33">
        <v>359.0</v>
      </c>
      <c r="R1325" s="34">
        <v>83.1775701</v>
      </c>
      <c r="S1325" s="34">
        <v>23.0693556</v>
      </c>
      <c r="T1325" s="34">
        <v>60.1082145</v>
      </c>
      <c r="U1325" s="34">
        <v>16.8224299</v>
      </c>
      <c r="V1325" s="34">
        <v>87.1739907</v>
      </c>
      <c r="W1325" s="34">
        <v>77.5991426</v>
      </c>
      <c r="X1325" s="34">
        <v>9.5748482</v>
      </c>
      <c r="Y1325" s="34">
        <v>12.8260093</v>
      </c>
    </row>
    <row r="1326" ht="15.0" customHeight="1">
      <c r="B1326" s="35">
        <v>1321.0</v>
      </c>
      <c r="C1326" s="36" t="s">
        <v>21</v>
      </c>
      <c r="D1326" s="41" t="s">
        <v>403</v>
      </c>
      <c r="E1326" s="41" t="s">
        <v>422</v>
      </c>
      <c r="F1326" s="41" t="s">
        <v>423</v>
      </c>
      <c r="G1326" s="42" t="s">
        <v>423</v>
      </c>
      <c r="H1326" s="37">
        <v>2232.0</v>
      </c>
      <c r="I1326" s="37">
        <v>2090.0</v>
      </c>
      <c r="J1326" s="37">
        <v>487.0</v>
      </c>
      <c r="K1326" s="37">
        <v>1603.0</v>
      </c>
      <c r="L1326" s="37">
        <v>142.0</v>
      </c>
      <c r="M1326" s="37">
        <v>2959.0</v>
      </c>
      <c r="N1326" s="37">
        <v>2829.0</v>
      </c>
      <c r="O1326" s="37">
        <v>2532.0</v>
      </c>
      <c r="P1326" s="37">
        <v>297.0</v>
      </c>
      <c r="Q1326" s="37">
        <v>130.0</v>
      </c>
      <c r="R1326" s="38">
        <v>93.6379928</v>
      </c>
      <c r="S1326" s="38">
        <v>21.8189964</v>
      </c>
      <c r="T1326" s="38">
        <v>71.8189964</v>
      </c>
      <c r="U1326" s="38">
        <v>6.3620072</v>
      </c>
      <c r="V1326" s="38">
        <v>95.6066239</v>
      </c>
      <c r="W1326" s="38">
        <v>85.5694491</v>
      </c>
      <c r="X1326" s="38">
        <v>10.0371747</v>
      </c>
      <c r="Y1326" s="38">
        <v>4.3933761</v>
      </c>
    </row>
    <row r="1327" ht="15.0" hidden="1" customHeight="1">
      <c r="B1327" s="30">
        <v>1322.0</v>
      </c>
      <c r="C1327" s="31" t="s">
        <v>21</v>
      </c>
      <c r="D1327" s="31" t="s">
        <v>403</v>
      </c>
      <c r="E1327" s="31" t="s">
        <v>422</v>
      </c>
      <c r="F1327" s="31" t="s">
        <v>423</v>
      </c>
      <c r="G1327" s="32" t="s">
        <v>15</v>
      </c>
      <c r="H1327" s="33">
        <v>1513.0</v>
      </c>
      <c r="I1327" s="33">
        <v>1451.0</v>
      </c>
      <c r="J1327" s="33">
        <v>378.0</v>
      </c>
      <c r="K1327" s="33">
        <v>1073.0</v>
      </c>
      <c r="L1327" s="33">
        <v>62.0</v>
      </c>
      <c r="M1327" s="33">
        <v>2118.0</v>
      </c>
      <c r="N1327" s="33">
        <v>2048.0</v>
      </c>
      <c r="O1327" s="33">
        <v>1822.0</v>
      </c>
      <c r="P1327" s="33">
        <v>226.0</v>
      </c>
      <c r="Q1327" s="33">
        <v>70.0</v>
      </c>
      <c r="R1327" s="34">
        <v>95.9021811</v>
      </c>
      <c r="S1327" s="34">
        <v>24.9834765</v>
      </c>
      <c r="T1327" s="34">
        <v>70.9187046</v>
      </c>
      <c r="U1327" s="34">
        <v>4.0978189</v>
      </c>
      <c r="V1327" s="34">
        <v>96.6949953</v>
      </c>
      <c r="W1327" s="34">
        <v>86.0245515</v>
      </c>
      <c r="X1327" s="34">
        <v>10.6704438</v>
      </c>
      <c r="Y1327" s="34">
        <v>3.3050047</v>
      </c>
    </row>
    <row r="1328" ht="15.0" hidden="1" customHeight="1">
      <c r="B1328" s="30">
        <v>1323.0</v>
      </c>
      <c r="C1328" s="31" t="s">
        <v>21</v>
      </c>
      <c r="D1328" s="31" t="s">
        <v>403</v>
      </c>
      <c r="E1328" s="31" t="s">
        <v>422</v>
      </c>
      <c r="F1328" s="31" t="s">
        <v>423</v>
      </c>
      <c r="G1328" s="32" t="s">
        <v>16</v>
      </c>
      <c r="H1328" s="33">
        <v>719.0</v>
      </c>
      <c r="I1328" s="33">
        <v>639.0</v>
      </c>
      <c r="J1328" s="33">
        <v>109.0</v>
      </c>
      <c r="K1328" s="33">
        <v>530.0</v>
      </c>
      <c r="L1328" s="33">
        <v>80.0</v>
      </c>
      <c r="M1328" s="33">
        <v>841.0</v>
      </c>
      <c r="N1328" s="33">
        <v>781.0</v>
      </c>
      <c r="O1328" s="33">
        <v>710.0</v>
      </c>
      <c r="P1328" s="33">
        <v>71.0</v>
      </c>
      <c r="Q1328" s="33">
        <v>60.0</v>
      </c>
      <c r="R1328" s="34">
        <v>88.8734353</v>
      </c>
      <c r="S1328" s="34">
        <v>15.1599444</v>
      </c>
      <c r="T1328" s="34">
        <v>73.713491</v>
      </c>
      <c r="U1328" s="34">
        <v>11.1265647</v>
      </c>
      <c r="V1328" s="34">
        <v>92.8656361</v>
      </c>
      <c r="W1328" s="34">
        <v>84.4233056</v>
      </c>
      <c r="X1328" s="34">
        <v>8.4423306</v>
      </c>
      <c r="Y1328" s="34">
        <v>7.1343639</v>
      </c>
    </row>
    <row r="1329" ht="15.0" customHeight="1">
      <c r="B1329" s="35">
        <v>1324.0</v>
      </c>
      <c r="C1329" s="36" t="s">
        <v>21</v>
      </c>
      <c r="D1329" s="41" t="s">
        <v>403</v>
      </c>
      <c r="E1329" s="41" t="s">
        <v>422</v>
      </c>
      <c r="F1329" s="41" t="s">
        <v>424</v>
      </c>
      <c r="G1329" s="42" t="s">
        <v>424</v>
      </c>
      <c r="H1329" s="37">
        <v>1356.0</v>
      </c>
      <c r="I1329" s="37">
        <v>1130.0</v>
      </c>
      <c r="J1329" s="37">
        <v>360.0</v>
      </c>
      <c r="K1329" s="37">
        <v>770.0</v>
      </c>
      <c r="L1329" s="37">
        <v>226.0</v>
      </c>
      <c r="M1329" s="37">
        <v>2064.0</v>
      </c>
      <c r="N1329" s="37">
        <v>1764.0</v>
      </c>
      <c r="O1329" s="37">
        <v>1562.0</v>
      </c>
      <c r="P1329" s="37">
        <v>202.0</v>
      </c>
      <c r="Q1329" s="37">
        <v>300.0</v>
      </c>
      <c r="R1329" s="38">
        <v>83.3333333</v>
      </c>
      <c r="S1329" s="38">
        <v>26.5486726</v>
      </c>
      <c r="T1329" s="38">
        <v>56.7846608</v>
      </c>
      <c r="U1329" s="38">
        <v>16.6666667</v>
      </c>
      <c r="V1329" s="38">
        <v>85.4651163</v>
      </c>
      <c r="W1329" s="38">
        <v>75.6782946</v>
      </c>
      <c r="X1329" s="38">
        <v>9.7868217</v>
      </c>
      <c r="Y1329" s="38">
        <v>14.5348837</v>
      </c>
    </row>
    <row r="1330" ht="15.0" hidden="1" customHeight="1">
      <c r="B1330" s="30">
        <v>1325.0</v>
      </c>
      <c r="C1330" s="31" t="s">
        <v>21</v>
      </c>
      <c r="D1330" s="31" t="s">
        <v>403</v>
      </c>
      <c r="E1330" s="31" t="s">
        <v>422</v>
      </c>
      <c r="F1330" s="31" t="s">
        <v>424</v>
      </c>
      <c r="G1330" s="32" t="s">
        <v>15</v>
      </c>
      <c r="H1330" s="33">
        <v>449.0</v>
      </c>
      <c r="I1330" s="33">
        <v>413.0</v>
      </c>
      <c r="J1330" s="33">
        <v>84.0</v>
      </c>
      <c r="K1330" s="33">
        <v>329.0</v>
      </c>
      <c r="L1330" s="33">
        <v>36.0</v>
      </c>
      <c r="M1330" s="33">
        <v>586.0</v>
      </c>
      <c r="N1330" s="33">
        <v>562.0</v>
      </c>
      <c r="O1330" s="33">
        <v>506.0</v>
      </c>
      <c r="P1330" s="33">
        <v>56.0</v>
      </c>
      <c r="Q1330" s="33">
        <v>24.0</v>
      </c>
      <c r="R1330" s="34">
        <v>91.9821826</v>
      </c>
      <c r="S1330" s="34">
        <v>18.7082405</v>
      </c>
      <c r="T1330" s="34">
        <v>73.2739421</v>
      </c>
      <c r="U1330" s="34">
        <v>8.0178174</v>
      </c>
      <c r="V1330" s="34">
        <v>95.9044369</v>
      </c>
      <c r="W1330" s="34">
        <v>86.3481229</v>
      </c>
      <c r="X1330" s="34">
        <v>9.556314</v>
      </c>
      <c r="Y1330" s="34">
        <v>4.0955631</v>
      </c>
    </row>
    <row r="1331" ht="15.0" hidden="1" customHeight="1">
      <c r="B1331" s="30">
        <v>1326.0</v>
      </c>
      <c r="C1331" s="31" t="s">
        <v>21</v>
      </c>
      <c r="D1331" s="31" t="s">
        <v>403</v>
      </c>
      <c r="E1331" s="31" t="s">
        <v>422</v>
      </c>
      <c r="F1331" s="31" t="s">
        <v>424</v>
      </c>
      <c r="G1331" s="32" t="s">
        <v>16</v>
      </c>
      <c r="H1331" s="33">
        <v>907.0</v>
      </c>
      <c r="I1331" s="33">
        <v>717.0</v>
      </c>
      <c r="J1331" s="33">
        <v>276.0</v>
      </c>
      <c r="K1331" s="33">
        <v>441.0</v>
      </c>
      <c r="L1331" s="33">
        <v>190.0</v>
      </c>
      <c r="M1331" s="33">
        <v>1478.0</v>
      </c>
      <c r="N1331" s="33">
        <v>1202.0</v>
      </c>
      <c r="O1331" s="33">
        <v>1056.0</v>
      </c>
      <c r="P1331" s="33">
        <v>146.0</v>
      </c>
      <c r="Q1331" s="33">
        <v>276.0</v>
      </c>
      <c r="R1331" s="34">
        <v>79.0518192</v>
      </c>
      <c r="S1331" s="34">
        <v>30.429989</v>
      </c>
      <c r="T1331" s="34">
        <v>48.6218302</v>
      </c>
      <c r="U1331" s="34">
        <v>20.9481808</v>
      </c>
      <c r="V1331" s="34">
        <v>81.3261164</v>
      </c>
      <c r="W1331" s="34">
        <v>71.4479026</v>
      </c>
      <c r="X1331" s="34">
        <v>9.8782138</v>
      </c>
      <c r="Y1331" s="34">
        <v>18.6738836</v>
      </c>
    </row>
    <row r="1332" ht="15.0" customHeight="1">
      <c r="B1332" s="35">
        <v>1327.0</v>
      </c>
      <c r="C1332" s="36" t="s">
        <v>21</v>
      </c>
      <c r="D1332" s="41" t="s">
        <v>403</v>
      </c>
      <c r="E1332" s="41" t="s">
        <v>422</v>
      </c>
      <c r="F1332" s="41" t="s">
        <v>425</v>
      </c>
      <c r="G1332" s="42" t="s">
        <v>425</v>
      </c>
      <c r="H1332" s="37">
        <v>819.0</v>
      </c>
      <c r="I1332" s="37">
        <v>699.0</v>
      </c>
      <c r="J1332" s="37">
        <v>207.0</v>
      </c>
      <c r="K1332" s="37">
        <v>492.0</v>
      </c>
      <c r="L1332" s="37">
        <v>120.0</v>
      </c>
      <c r="M1332" s="37">
        <v>1018.0</v>
      </c>
      <c r="N1332" s="37">
        <v>972.0</v>
      </c>
      <c r="O1332" s="37">
        <v>878.0</v>
      </c>
      <c r="P1332" s="37">
        <v>94.0</v>
      </c>
      <c r="Q1332" s="37">
        <v>46.0</v>
      </c>
      <c r="R1332" s="38">
        <v>85.3479853</v>
      </c>
      <c r="S1332" s="38">
        <v>25.2747253</v>
      </c>
      <c r="T1332" s="38">
        <v>60.0732601</v>
      </c>
      <c r="U1332" s="38">
        <v>14.6520147</v>
      </c>
      <c r="V1332" s="38">
        <v>95.481336</v>
      </c>
      <c r="W1332" s="38">
        <v>86.2475442</v>
      </c>
      <c r="X1332" s="38">
        <v>9.2337917</v>
      </c>
      <c r="Y1332" s="38">
        <v>4.518664</v>
      </c>
    </row>
    <row r="1333" ht="15.0" hidden="1" customHeight="1">
      <c r="B1333" s="30">
        <v>1328.0</v>
      </c>
      <c r="C1333" s="31" t="s">
        <v>21</v>
      </c>
      <c r="D1333" s="31" t="s">
        <v>403</v>
      </c>
      <c r="E1333" s="31" t="s">
        <v>422</v>
      </c>
      <c r="F1333" s="31" t="s">
        <v>425</v>
      </c>
      <c r="G1333" s="32" t="s">
        <v>15</v>
      </c>
      <c r="H1333" s="33">
        <v>412.0</v>
      </c>
      <c r="I1333" s="33">
        <v>364.0</v>
      </c>
      <c r="J1333" s="33">
        <v>123.0</v>
      </c>
      <c r="K1333" s="33">
        <v>241.0</v>
      </c>
      <c r="L1333" s="33">
        <v>48.0</v>
      </c>
      <c r="M1333" s="33">
        <v>538.0</v>
      </c>
      <c r="N1333" s="33">
        <v>515.0</v>
      </c>
      <c r="O1333" s="33">
        <v>472.0</v>
      </c>
      <c r="P1333" s="33">
        <v>43.0</v>
      </c>
      <c r="Q1333" s="33">
        <v>23.0</v>
      </c>
      <c r="R1333" s="34">
        <v>88.3495146</v>
      </c>
      <c r="S1333" s="34">
        <v>29.8543689</v>
      </c>
      <c r="T1333" s="34">
        <v>58.4951456</v>
      </c>
      <c r="U1333" s="34">
        <v>11.6504854</v>
      </c>
      <c r="V1333" s="34">
        <v>95.7249071</v>
      </c>
      <c r="W1333" s="34">
        <v>87.732342</v>
      </c>
      <c r="X1333" s="34">
        <v>7.9925651</v>
      </c>
      <c r="Y1333" s="34">
        <v>4.2750929</v>
      </c>
    </row>
    <row r="1334" ht="15.0" hidden="1" customHeight="1">
      <c r="B1334" s="30">
        <v>1329.0</v>
      </c>
      <c r="C1334" s="31" t="s">
        <v>21</v>
      </c>
      <c r="D1334" s="31" t="s">
        <v>403</v>
      </c>
      <c r="E1334" s="31" t="s">
        <v>422</v>
      </c>
      <c r="F1334" s="31" t="s">
        <v>425</v>
      </c>
      <c r="G1334" s="32" t="s">
        <v>16</v>
      </c>
      <c r="H1334" s="33">
        <v>407.0</v>
      </c>
      <c r="I1334" s="33">
        <v>335.0</v>
      </c>
      <c r="J1334" s="33">
        <v>84.0</v>
      </c>
      <c r="K1334" s="33">
        <v>251.0</v>
      </c>
      <c r="L1334" s="33">
        <v>72.0</v>
      </c>
      <c r="M1334" s="33">
        <v>480.0</v>
      </c>
      <c r="N1334" s="33">
        <v>457.0</v>
      </c>
      <c r="O1334" s="33">
        <v>406.0</v>
      </c>
      <c r="P1334" s="33">
        <v>51.0</v>
      </c>
      <c r="Q1334" s="33">
        <v>23.0</v>
      </c>
      <c r="R1334" s="34">
        <v>82.3095823</v>
      </c>
      <c r="S1334" s="34">
        <v>20.6388206</v>
      </c>
      <c r="T1334" s="34">
        <v>61.6707617</v>
      </c>
      <c r="U1334" s="34">
        <v>17.6904177</v>
      </c>
      <c r="V1334" s="34">
        <v>95.2083333</v>
      </c>
      <c r="W1334" s="34">
        <v>84.5833333</v>
      </c>
      <c r="X1334" s="34">
        <v>10.625</v>
      </c>
      <c r="Y1334" s="34">
        <v>4.7916667</v>
      </c>
    </row>
    <row r="1335" ht="15.0" hidden="1" customHeight="1">
      <c r="B1335" s="26">
        <v>1330.0</v>
      </c>
      <c r="C1335" s="27" t="s">
        <v>19</v>
      </c>
      <c r="D1335" s="40" t="s">
        <v>403</v>
      </c>
      <c r="E1335" s="40" t="s">
        <v>426</v>
      </c>
      <c r="F1335" s="40"/>
      <c r="G1335" s="27" t="s">
        <v>426</v>
      </c>
      <c r="H1335" s="28">
        <v>631.0</v>
      </c>
      <c r="I1335" s="28">
        <v>449.0</v>
      </c>
      <c r="J1335" s="28">
        <v>258.0</v>
      </c>
      <c r="K1335" s="28">
        <v>191.0</v>
      </c>
      <c r="L1335" s="28">
        <v>182.0</v>
      </c>
      <c r="M1335" s="28">
        <v>922.0</v>
      </c>
      <c r="N1335" s="28">
        <v>637.0</v>
      </c>
      <c r="O1335" s="28">
        <v>591.0</v>
      </c>
      <c r="P1335" s="28">
        <v>46.0</v>
      </c>
      <c r="Q1335" s="28">
        <v>285.0</v>
      </c>
      <c r="R1335" s="29">
        <v>71.1568938</v>
      </c>
      <c r="S1335" s="29">
        <v>40.8874802</v>
      </c>
      <c r="T1335" s="29">
        <v>30.2694136</v>
      </c>
      <c r="U1335" s="29">
        <v>28.8431062</v>
      </c>
      <c r="V1335" s="29">
        <v>69.0889371</v>
      </c>
      <c r="W1335" s="29">
        <v>64.0997831</v>
      </c>
      <c r="X1335" s="29">
        <v>4.989154</v>
      </c>
      <c r="Y1335" s="29">
        <v>30.9110629</v>
      </c>
    </row>
    <row r="1336" ht="15.0" hidden="1" customHeight="1">
      <c r="B1336" s="30">
        <v>1331.0</v>
      </c>
      <c r="C1336" s="31" t="s">
        <v>19</v>
      </c>
      <c r="D1336" s="31" t="s">
        <v>403</v>
      </c>
      <c r="E1336" s="31" t="s">
        <v>426</v>
      </c>
      <c r="F1336" s="31"/>
      <c r="G1336" s="32" t="s">
        <v>15</v>
      </c>
      <c r="H1336" s="33"/>
      <c r="I1336" s="33"/>
      <c r="J1336" s="33"/>
      <c r="K1336" s="33"/>
      <c r="L1336" s="33"/>
      <c r="M1336" s="33"/>
      <c r="N1336" s="33"/>
      <c r="O1336" s="33"/>
      <c r="P1336" s="33"/>
      <c r="Q1336" s="33"/>
      <c r="R1336" s="34"/>
      <c r="S1336" s="34"/>
      <c r="T1336" s="34"/>
      <c r="U1336" s="34"/>
      <c r="V1336" s="34"/>
      <c r="W1336" s="34"/>
      <c r="X1336" s="34"/>
      <c r="Y1336" s="34"/>
    </row>
    <row r="1337" ht="15.0" hidden="1" customHeight="1">
      <c r="B1337" s="30">
        <v>1332.0</v>
      </c>
      <c r="C1337" s="31" t="s">
        <v>19</v>
      </c>
      <c r="D1337" s="31" t="s">
        <v>403</v>
      </c>
      <c r="E1337" s="31" t="s">
        <v>426</v>
      </c>
      <c r="F1337" s="31"/>
      <c r="G1337" s="32" t="s">
        <v>16</v>
      </c>
      <c r="H1337" s="33">
        <v>631.0</v>
      </c>
      <c r="I1337" s="33">
        <v>449.0</v>
      </c>
      <c r="J1337" s="33">
        <v>258.0</v>
      </c>
      <c r="K1337" s="33">
        <v>191.0</v>
      </c>
      <c r="L1337" s="33">
        <v>182.0</v>
      </c>
      <c r="M1337" s="33">
        <v>922.0</v>
      </c>
      <c r="N1337" s="33">
        <v>637.0</v>
      </c>
      <c r="O1337" s="33">
        <v>591.0</v>
      </c>
      <c r="P1337" s="33">
        <v>46.0</v>
      </c>
      <c r="Q1337" s="33">
        <v>285.0</v>
      </c>
      <c r="R1337" s="34">
        <v>71.1568938</v>
      </c>
      <c r="S1337" s="34">
        <v>40.8874802</v>
      </c>
      <c r="T1337" s="34">
        <v>30.2694136</v>
      </c>
      <c r="U1337" s="34">
        <v>28.8431062</v>
      </c>
      <c r="V1337" s="34">
        <v>69.0889371</v>
      </c>
      <c r="W1337" s="34">
        <v>64.0997831</v>
      </c>
      <c r="X1337" s="34">
        <v>4.989154</v>
      </c>
      <c r="Y1337" s="34">
        <v>30.9110629</v>
      </c>
    </row>
    <row r="1338" ht="15.0" customHeight="1">
      <c r="B1338" s="35">
        <v>1333.0</v>
      </c>
      <c r="C1338" s="36" t="s">
        <v>21</v>
      </c>
      <c r="D1338" s="41" t="s">
        <v>403</v>
      </c>
      <c r="E1338" s="41" t="s">
        <v>426</v>
      </c>
      <c r="F1338" s="41" t="s">
        <v>427</v>
      </c>
      <c r="G1338" s="42" t="s">
        <v>427</v>
      </c>
      <c r="H1338" s="37">
        <v>631.0</v>
      </c>
      <c r="I1338" s="37">
        <v>449.0</v>
      </c>
      <c r="J1338" s="37">
        <v>258.0</v>
      </c>
      <c r="K1338" s="37">
        <v>191.0</v>
      </c>
      <c r="L1338" s="37">
        <v>182.0</v>
      </c>
      <c r="M1338" s="37">
        <v>922.0</v>
      </c>
      <c r="N1338" s="37">
        <v>637.0</v>
      </c>
      <c r="O1338" s="37">
        <v>591.0</v>
      </c>
      <c r="P1338" s="37">
        <v>46.0</v>
      </c>
      <c r="Q1338" s="37">
        <v>285.0</v>
      </c>
      <c r="R1338" s="38">
        <v>71.1568938</v>
      </c>
      <c r="S1338" s="38">
        <v>40.8874802</v>
      </c>
      <c r="T1338" s="38">
        <v>30.2694136</v>
      </c>
      <c r="U1338" s="38">
        <v>28.8431062</v>
      </c>
      <c r="V1338" s="38">
        <v>69.0889371</v>
      </c>
      <c r="W1338" s="38">
        <v>64.0997831</v>
      </c>
      <c r="X1338" s="38">
        <v>4.989154</v>
      </c>
      <c r="Y1338" s="38">
        <v>30.9110629</v>
      </c>
    </row>
    <row r="1339" ht="15.0" hidden="1" customHeight="1">
      <c r="B1339" s="30">
        <v>1334.0</v>
      </c>
      <c r="C1339" s="31" t="s">
        <v>21</v>
      </c>
      <c r="D1339" s="31" t="s">
        <v>403</v>
      </c>
      <c r="E1339" s="31" t="s">
        <v>426</v>
      </c>
      <c r="F1339" s="31" t="s">
        <v>427</v>
      </c>
      <c r="G1339" s="32" t="s">
        <v>15</v>
      </c>
      <c r="H1339" s="33"/>
      <c r="I1339" s="33"/>
      <c r="J1339" s="33"/>
      <c r="K1339" s="33"/>
      <c r="L1339" s="33"/>
      <c r="M1339" s="33"/>
      <c r="N1339" s="33"/>
      <c r="O1339" s="33"/>
      <c r="P1339" s="33"/>
      <c r="Q1339" s="33"/>
      <c r="R1339" s="34"/>
      <c r="S1339" s="34"/>
      <c r="T1339" s="34"/>
      <c r="U1339" s="34"/>
      <c r="V1339" s="34"/>
      <c r="W1339" s="34"/>
      <c r="X1339" s="34"/>
      <c r="Y1339" s="34"/>
    </row>
    <row r="1340" ht="15.0" hidden="1" customHeight="1">
      <c r="B1340" s="30">
        <v>1335.0</v>
      </c>
      <c r="C1340" s="31" t="s">
        <v>21</v>
      </c>
      <c r="D1340" s="31" t="s">
        <v>403</v>
      </c>
      <c r="E1340" s="31" t="s">
        <v>426</v>
      </c>
      <c r="F1340" s="31" t="s">
        <v>427</v>
      </c>
      <c r="G1340" s="32" t="s">
        <v>16</v>
      </c>
      <c r="H1340" s="33">
        <v>631.0</v>
      </c>
      <c r="I1340" s="33">
        <v>449.0</v>
      </c>
      <c r="J1340" s="33">
        <v>258.0</v>
      </c>
      <c r="K1340" s="33">
        <v>191.0</v>
      </c>
      <c r="L1340" s="33">
        <v>182.0</v>
      </c>
      <c r="M1340" s="33">
        <v>922.0</v>
      </c>
      <c r="N1340" s="33">
        <v>637.0</v>
      </c>
      <c r="O1340" s="33">
        <v>591.0</v>
      </c>
      <c r="P1340" s="33">
        <v>46.0</v>
      </c>
      <c r="Q1340" s="33">
        <v>285.0</v>
      </c>
      <c r="R1340" s="34">
        <v>71.1568938</v>
      </c>
      <c r="S1340" s="34">
        <v>40.8874802</v>
      </c>
      <c r="T1340" s="34">
        <v>30.2694136</v>
      </c>
      <c r="U1340" s="34">
        <v>28.8431062</v>
      </c>
      <c r="V1340" s="34">
        <v>69.0889371</v>
      </c>
      <c r="W1340" s="34">
        <v>64.0997831</v>
      </c>
      <c r="X1340" s="34">
        <v>4.989154</v>
      </c>
      <c r="Y1340" s="34">
        <v>30.9110629</v>
      </c>
    </row>
    <row r="1341" ht="15.0" hidden="1" customHeight="1">
      <c r="B1341" s="18">
        <v>1336.0</v>
      </c>
      <c r="C1341" s="19" t="s">
        <v>17</v>
      </c>
      <c r="D1341" s="19" t="s">
        <v>428</v>
      </c>
      <c r="E1341" s="19"/>
      <c r="F1341" s="19"/>
      <c r="G1341" s="19" t="s">
        <v>428</v>
      </c>
      <c r="H1341" s="20">
        <v>25365.0</v>
      </c>
      <c r="I1341" s="20">
        <v>21320.0</v>
      </c>
      <c r="J1341" s="20">
        <v>12566.0</v>
      </c>
      <c r="K1341" s="20">
        <v>8754.0</v>
      </c>
      <c r="L1341" s="20">
        <v>4045.0</v>
      </c>
      <c r="M1341" s="20">
        <v>34943.0</v>
      </c>
      <c r="N1341" s="20">
        <v>32784.0</v>
      </c>
      <c r="O1341" s="20">
        <v>28047.0</v>
      </c>
      <c r="P1341" s="20">
        <v>4737.0</v>
      </c>
      <c r="Q1341" s="20">
        <v>2159.0</v>
      </c>
      <c r="R1341" s="21">
        <v>84.0528287</v>
      </c>
      <c r="S1341" s="21">
        <v>49.5407057</v>
      </c>
      <c r="T1341" s="21">
        <v>34.512123</v>
      </c>
      <c r="U1341" s="21">
        <v>15.9471713</v>
      </c>
      <c r="V1341" s="21">
        <v>93.8213662</v>
      </c>
      <c r="W1341" s="21">
        <v>80.265003</v>
      </c>
      <c r="X1341" s="21">
        <v>13.5563632</v>
      </c>
      <c r="Y1341" s="21">
        <v>6.1786338</v>
      </c>
    </row>
    <row r="1342" ht="15.0" hidden="1" customHeight="1">
      <c r="B1342" s="22">
        <v>1337.0</v>
      </c>
      <c r="C1342" s="23" t="s">
        <v>17</v>
      </c>
      <c r="D1342" s="39" t="s">
        <v>428</v>
      </c>
      <c r="E1342" s="39"/>
      <c r="F1342" s="39"/>
      <c r="G1342" s="23" t="s">
        <v>15</v>
      </c>
      <c r="H1342" s="24">
        <v>13544.0</v>
      </c>
      <c r="I1342" s="24">
        <v>12407.0</v>
      </c>
      <c r="J1342" s="24">
        <v>7212.0</v>
      </c>
      <c r="K1342" s="24">
        <v>5195.0</v>
      </c>
      <c r="L1342" s="24">
        <v>1137.0</v>
      </c>
      <c r="M1342" s="24">
        <v>19138.0</v>
      </c>
      <c r="N1342" s="24">
        <v>18450.0</v>
      </c>
      <c r="O1342" s="24">
        <v>15653.0</v>
      </c>
      <c r="P1342" s="24">
        <v>2797.0</v>
      </c>
      <c r="Q1342" s="24">
        <v>688.0</v>
      </c>
      <c r="R1342" s="25">
        <v>91.6051388</v>
      </c>
      <c r="S1342" s="25">
        <v>53.248671</v>
      </c>
      <c r="T1342" s="25">
        <v>38.3564678</v>
      </c>
      <c r="U1342" s="25">
        <v>8.3948612</v>
      </c>
      <c r="V1342" s="25">
        <v>96.405058</v>
      </c>
      <c r="W1342" s="25">
        <v>81.7901557</v>
      </c>
      <c r="X1342" s="25">
        <v>14.6149023</v>
      </c>
      <c r="Y1342" s="25">
        <v>3.594942</v>
      </c>
    </row>
    <row r="1343" ht="15.0" hidden="1" customHeight="1">
      <c r="B1343" s="22">
        <v>1338.0</v>
      </c>
      <c r="C1343" s="23" t="s">
        <v>17</v>
      </c>
      <c r="D1343" s="39" t="s">
        <v>428</v>
      </c>
      <c r="E1343" s="39"/>
      <c r="F1343" s="39"/>
      <c r="G1343" s="23" t="s">
        <v>16</v>
      </c>
      <c r="H1343" s="24">
        <v>11821.0</v>
      </c>
      <c r="I1343" s="24">
        <v>8913.0</v>
      </c>
      <c r="J1343" s="24">
        <v>5354.0</v>
      </c>
      <c r="K1343" s="24">
        <v>3559.0</v>
      </c>
      <c r="L1343" s="24">
        <v>2908.0</v>
      </c>
      <c r="M1343" s="24">
        <v>15805.0</v>
      </c>
      <c r="N1343" s="24">
        <v>14334.0</v>
      </c>
      <c r="O1343" s="24">
        <v>12394.0</v>
      </c>
      <c r="P1343" s="24">
        <v>1940.0</v>
      </c>
      <c r="Q1343" s="24">
        <v>1471.0</v>
      </c>
      <c r="R1343" s="25">
        <v>75.3997124</v>
      </c>
      <c r="S1343" s="25">
        <v>45.2922765</v>
      </c>
      <c r="T1343" s="25">
        <v>30.1074359</v>
      </c>
      <c r="U1343" s="25">
        <v>24.6002876</v>
      </c>
      <c r="V1343" s="25">
        <v>90.6928187</v>
      </c>
      <c r="W1343" s="25">
        <v>78.4182221</v>
      </c>
      <c r="X1343" s="25">
        <v>12.2745966</v>
      </c>
      <c r="Y1343" s="25">
        <v>9.3071813</v>
      </c>
    </row>
    <row r="1344" ht="15.0" hidden="1" customHeight="1">
      <c r="B1344" s="26">
        <v>1339.0</v>
      </c>
      <c r="C1344" s="27" t="s">
        <v>19</v>
      </c>
      <c r="D1344" s="40" t="s">
        <v>428</v>
      </c>
      <c r="E1344" s="40" t="s">
        <v>429</v>
      </c>
      <c r="F1344" s="40"/>
      <c r="G1344" s="27" t="s">
        <v>429</v>
      </c>
      <c r="H1344" s="28">
        <v>15448.0</v>
      </c>
      <c r="I1344" s="28">
        <v>13784.0</v>
      </c>
      <c r="J1344" s="28">
        <v>8354.0</v>
      </c>
      <c r="K1344" s="28">
        <v>5430.0</v>
      </c>
      <c r="L1344" s="28">
        <v>1664.0</v>
      </c>
      <c r="M1344" s="28">
        <v>19831.0</v>
      </c>
      <c r="N1344" s="28">
        <v>18919.0</v>
      </c>
      <c r="O1344" s="28">
        <v>16346.0</v>
      </c>
      <c r="P1344" s="28">
        <v>2573.0</v>
      </c>
      <c r="Q1344" s="28">
        <v>912.0</v>
      </c>
      <c r="R1344" s="29">
        <v>89.2283791</v>
      </c>
      <c r="S1344" s="29">
        <v>54.0781978</v>
      </c>
      <c r="T1344" s="29">
        <v>35.1501813</v>
      </c>
      <c r="U1344" s="29">
        <v>10.7716209</v>
      </c>
      <c r="V1344" s="29">
        <v>95.4011396</v>
      </c>
      <c r="W1344" s="29">
        <v>82.426504</v>
      </c>
      <c r="X1344" s="29">
        <v>12.9746357</v>
      </c>
      <c r="Y1344" s="29">
        <v>4.5988604</v>
      </c>
    </row>
    <row r="1345" ht="15.0" hidden="1" customHeight="1">
      <c r="B1345" s="30">
        <v>1340.0</v>
      </c>
      <c r="C1345" s="31" t="s">
        <v>19</v>
      </c>
      <c r="D1345" s="31" t="s">
        <v>428</v>
      </c>
      <c r="E1345" s="31" t="s">
        <v>429</v>
      </c>
      <c r="F1345" s="31"/>
      <c r="G1345" s="32" t="s">
        <v>15</v>
      </c>
      <c r="H1345" s="33">
        <v>12588.0</v>
      </c>
      <c r="I1345" s="33">
        <v>11524.0</v>
      </c>
      <c r="J1345" s="33">
        <v>6870.0</v>
      </c>
      <c r="K1345" s="33">
        <v>4654.0</v>
      </c>
      <c r="L1345" s="33">
        <v>1064.0</v>
      </c>
      <c r="M1345" s="33">
        <v>16656.0</v>
      </c>
      <c r="N1345" s="33">
        <v>16124.0</v>
      </c>
      <c r="O1345" s="33">
        <v>13811.0</v>
      </c>
      <c r="P1345" s="33">
        <v>2313.0</v>
      </c>
      <c r="Q1345" s="33">
        <v>532.0</v>
      </c>
      <c r="R1345" s="34">
        <v>91.5475056</v>
      </c>
      <c r="S1345" s="34">
        <v>54.5757865</v>
      </c>
      <c r="T1345" s="34">
        <v>36.9717191</v>
      </c>
      <c r="U1345" s="34">
        <v>8.4524944</v>
      </c>
      <c r="V1345" s="34">
        <v>96.8059558</v>
      </c>
      <c r="W1345" s="34">
        <v>82.9190682</v>
      </c>
      <c r="X1345" s="34">
        <v>13.8868876</v>
      </c>
      <c r="Y1345" s="34">
        <v>3.1940442</v>
      </c>
    </row>
    <row r="1346" ht="15.0" hidden="1" customHeight="1">
      <c r="B1346" s="30">
        <v>1341.0</v>
      </c>
      <c r="C1346" s="31" t="s">
        <v>19</v>
      </c>
      <c r="D1346" s="31" t="s">
        <v>428</v>
      </c>
      <c r="E1346" s="31" t="s">
        <v>429</v>
      </c>
      <c r="F1346" s="31"/>
      <c r="G1346" s="32" t="s">
        <v>16</v>
      </c>
      <c r="H1346" s="33">
        <v>2860.0</v>
      </c>
      <c r="I1346" s="33">
        <v>2260.0</v>
      </c>
      <c r="J1346" s="33">
        <v>1484.0</v>
      </c>
      <c r="K1346" s="33">
        <v>776.0</v>
      </c>
      <c r="L1346" s="33">
        <v>600.0</v>
      </c>
      <c r="M1346" s="33">
        <v>3175.0</v>
      </c>
      <c r="N1346" s="33">
        <v>2795.0</v>
      </c>
      <c r="O1346" s="33">
        <v>2535.0</v>
      </c>
      <c r="P1346" s="33">
        <v>260.0</v>
      </c>
      <c r="Q1346" s="33">
        <v>380.0</v>
      </c>
      <c r="R1346" s="34">
        <v>79.020979</v>
      </c>
      <c r="S1346" s="34">
        <v>51.8881119</v>
      </c>
      <c r="T1346" s="34">
        <v>27.1328671</v>
      </c>
      <c r="U1346" s="34">
        <v>20.979021</v>
      </c>
      <c r="V1346" s="34">
        <v>88.0314961</v>
      </c>
      <c r="W1346" s="34">
        <v>79.8425197</v>
      </c>
      <c r="X1346" s="34">
        <v>8.1889764</v>
      </c>
      <c r="Y1346" s="34">
        <v>11.9685039</v>
      </c>
    </row>
    <row r="1347" ht="15.0" customHeight="1">
      <c r="B1347" s="35">
        <v>1342.0</v>
      </c>
      <c r="C1347" s="36" t="s">
        <v>21</v>
      </c>
      <c r="D1347" s="41" t="s">
        <v>428</v>
      </c>
      <c r="E1347" s="41" t="s">
        <v>429</v>
      </c>
      <c r="F1347" s="41" t="s">
        <v>430</v>
      </c>
      <c r="G1347" s="42" t="s">
        <v>430</v>
      </c>
      <c r="H1347" s="37">
        <v>12304.0</v>
      </c>
      <c r="I1347" s="37">
        <v>11205.0</v>
      </c>
      <c r="J1347" s="37">
        <v>6717.0</v>
      </c>
      <c r="K1347" s="37">
        <v>4488.0</v>
      </c>
      <c r="L1347" s="37">
        <v>1099.0</v>
      </c>
      <c r="M1347" s="37">
        <v>15564.0</v>
      </c>
      <c r="N1347" s="37">
        <v>15079.0</v>
      </c>
      <c r="O1347" s="37">
        <v>12842.0</v>
      </c>
      <c r="P1347" s="37">
        <v>2237.0</v>
      </c>
      <c r="Q1347" s="37">
        <v>485.0</v>
      </c>
      <c r="R1347" s="38">
        <v>91.0679454</v>
      </c>
      <c r="S1347" s="38">
        <v>54.5920026</v>
      </c>
      <c r="T1347" s="38">
        <v>36.4759428</v>
      </c>
      <c r="U1347" s="38">
        <v>8.9320546</v>
      </c>
      <c r="V1347" s="38">
        <v>96.8838345</v>
      </c>
      <c r="W1347" s="38">
        <v>82.5109226</v>
      </c>
      <c r="X1347" s="38">
        <v>14.3729118</v>
      </c>
      <c r="Y1347" s="38">
        <v>3.1161655</v>
      </c>
    </row>
    <row r="1348" ht="15.0" hidden="1" customHeight="1">
      <c r="B1348" s="30">
        <v>1343.0</v>
      </c>
      <c r="C1348" s="31" t="s">
        <v>21</v>
      </c>
      <c r="D1348" s="31" t="s">
        <v>428</v>
      </c>
      <c r="E1348" s="31" t="s">
        <v>429</v>
      </c>
      <c r="F1348" s="31" t="s">
        <v>430</v>
      </c>
      <c r="G1348" s="32" t="s">
        <v>15</v>
      </c>
      <c r="H1348" s="33">
        <v>11775.0</v>
      </c>
      <c r="I1348" s="33">
        <v>10740.0</v>
      </c>
      <c r="J1348" s="33">
        <v>6359.0</v>
      </c>
      <c r="K1348" s="33">
        <v>4381.0</v>
      </c>
      <c r="L1348" s="33">
        <v>1035.0</v>
      </c>
      <c r="M1348" s="33">
        <v>14979.0</v>
      </c>
      <c r="N1348" s="33">
        <v>14523.0</v>
      </c>
      <c r="O1348" s="33">
        <v>12314.0</v>
      </c>
      <c r="P1348" s="33">
        <v>2209.0</v>
      </c>
      <c r="Q1348" s="33">
        <v>456.0</v>
      </c>
      <c r="R1348" s="34">
        <v>91.2101911</v>
      </c>
      <c r="S1348" s="34">
        <v>54.0042463</v>
      </c>
      <c r="T1348" s="34">
        <v>37.2059448</v>
      </c>
      <c r="U1348" s="34">
        <v>8.7898089</v>
      </c>
      <c r="V1348" s="34">
        <v>96.955738</v>
      </c>
      <c r="W1348" s="34">
        <v>82.2084251</v>
      </c>
      <c r="X1348" s="34">
        <v>14.7473129</v>
      </c>
      <c r="Y1348" s="34">
        <v>3.044262</v>
      </c>
    </row>
    <row r="1349" ht="15.0" hidden="1" customHeight="1">
      <c r="B1349" s="30">
        <v>1344.0</v>
      </c>
      <c r="C1349" s="31" t="s">
        <v>21</v>
      </c>
      <c r="D1349" s="31" t="s">
        <v>428</v>
      </c>
      <c r="E1349" s="31" t="s">
        <v>429</v>
      </c>
      <c r="F1349" s="31" t="s">
        <v>430</v>
      </c>
      <c r="G1349" s="32" t="s">
        <v>16</v>
      </c>
      <c r="H1349" s="33">
        <v>529.0</v>
      </c>
      <c r="I1349" s="33">
        <v>465.0</v>
      </c>
      <c r="J1349" s="33">
        <v>358.0</v>
      </c>
      <c r="K1349" s="33">
        <v>107.0</v>
      </c>
      <c r="L1349" s="33">
        <v>64.0</v>
      </c>
      <c r="M1349" s="33">
        <v>585.0</v>
      </c>
      <c r="N1349" s="33">
        <v>556.0</v>
      </c>
      <c r="O1349" s="33">
        <v>528.0</v>
      </c>
      <c r="P1349" s="33">
        <v>28.0</v>
      </c>
      <c r="Q1349" s="33">
        <v>29.0</v>
      </c>
      <c r="R1349" s="34">
        <v>87.9017013</v>
      </c>
      <c r="S1349" s="34">
        <v>67.6748582</v>
      </c>
      <c r="T1349" s="34">
        <v>20.2268431</v>
      </c>
      <c r="U1349" s="34">
        <v>12.0982987</v>
      </c>
      <c r="V1349" s="34">
        <v>95.042735</v>
      </c>
      <c r="W1349" s="34">
        <v>90.2564103</v>
      </c>
      <c r="X1349" s="34">
        <v>4.7863248</v>
      </c>
      <c r="Y1349" s="34">
        <v>4.957265</v>
      </c>
    </row>
    <row r="1350" ht="15.0" customHeight="1">
      <c r="B1350" s="35">
        <v>1345.0</v>
      </c>
      <c r="C1350" s="36" t="s">
        <v>21</v>
      </c>
      <c r="D1350" s="41" t="s">
        <v>428</v>
      </c>
      <c r="E1350" s="41" t="s">
        <v>429</v>
      </c>
      <c r="F1350" s="41" t="s">
        <v>431</v>
      </c>
      <c r="G1350" s="42" t="s">
        <v>431</v>
      </c>
      <c r="H1350" s="37">
        <v>1655.0</v>
      </c>
      <c r="I1350" s="37">
        <v>1522.0</v>
      </c>
      <c r="J1350" s="37">
        <v>997.0</v>
      </c>
      <c r="K1350" s="37">
        <v>525.0</v>
      </c>
      <c r="L1350" s="37">
        <v>133.0</v>
      </c>
      <c r="M1350" s="37">
        <v>2230.0</v>
      </c>
      <c r="N1350" s="37">
        <v>2096.0</v>
      </c>
      <c r="O1350" s="37">
        <v>1960.0</v>
      </c>
      <c r="P1350" s="37">
        <v>136.0</v>
      </c>
      <c r="Q1350" s="37">
        <v>134.0</v>
      </c>
      <c r="R1350" s="38">
        <v>91.9637462</v>
      </c>
      <c r="S1350" s="38">
        <v>60.2416918</v>
      </c>
      <c r="T1350" s="38">
        <v>31.7220544</v>
      </c>
      <c r="U1350" s="38">
        <v>8.0362538</v>
      </c>
      <c r="V1350" s="38">
        <v>93.9910314</v>
      </c>
      <c r="W1350" s="38">
        <v>87.8923767</v>
      </c>
      <c r="X1350" s="38">
        <v>6.0986547</v>
      </c>
      <c r="Y1350" s="38">
        <v>6.0089686</v>
      </c>
    </row>
    <row r="1351" ht="15.0" hidden="1" customHeight="1">
      <c r="B1351" s="30">
        <v>1346.0</v>
      </c>
      <c r="C1351" s="31" t="s">
        <v>21</v>
      </c>
      <c r="D1351" s="31" t="s">
        <v>428</v>
      </c>
      <c r="E1351" s="31" t="s">
        <v>429</v>
      </c>
      <c r="F1351" s="31" t="s">
        <v>431</v>
      </c>
      <c r="G1351" s="32" t="s">
        <v>15</v>
      </c>
      <c r="H1351" s="33">
        <v>813.0</v>
      </c>
      <c r="I1351" s="33">
        <v>784.0</v>
      </c>
      <c r="J1351" s="33">
        <v>511.0</v>
      </c>
      <c r="K1351" s="33">
        <v>273.0</v>
      </c>
      <c r="L1351" s="33">
        <v>29.0</v>
      </c>
      <c r="M1351" s="33">
        <v>1677.0</v>
      </c>
      <c r="N1351" s="33">
        <v>1601.0</v>
      </c>
      <c r="O1351" s="33">
        <v>1497.0</v>
      </c>
      <c r="P1351" s="33">
        <v>104.0</v>
      </c>
      <c r="Q1351" s="33">
        <v>76.0</v>
      </c>
      <c r="R1351" s="34">
        <v>96.4329643</v>
      </c>
      <c r="S1351" s="34">
        <v>62.8536285</v>
      </c>
      <c r="T1351" s="34">
        <v>33.5793358</v>
      </c>
      <c r="U1351" s="34">
        <v>3.5670357</v>
      </c>
      <c r="V1351" s="34">
        <v>95.4680978</v>
      </c>
      <c r="W1351" s="34">
        <v>89.2665474</v>
      </c>
      <c r="X1351" s="34">
        <v>6.2015504</v>
      </c>
      <c r="Y1351" s="34">
        <v>4.5319022</v>
      </c>
    </row>
    <row r="1352" ht="15.0" hidden="1" customHeight="1">
      <c r="B1352" s="30">
        <v>1347.0</v>
      </c>
      <c r="C1352" s="31" t="s">
        <v>21</v>
      </c>
      <c r="D1352" s="31" t="s">
        <v>428</v>
      </c>
      <c r="E1352" s="31" t="s">
        <v>429</v>
      </c>
      <c r="F1352" s="31" t="s">
        <v>431</v>
      </c>
      <c r="G1352" s="32" t="s">
        <v>16</v>
      </c>
      <c r="H1352" s="33">
        <v>842.0</v>
      </c>
      <c r="I1352" s="33">
        <v>738.0</v>
      </c>
      <c r="J1352" s="33">
        <v>486.0</v>
      </c>
      <c r="K1352" s="33">
        <v>252.0</v>
      </c>
      <c r="L1352" s="33">
        <v>104.0</v>
      </c>
      <c r="M1352" s="33">
        <v>553.0</v>
      </c>
      <c r="N1352" s="33">
        <v>495.0</v>
      </c>
      <c r="O1352" s="33">
        <v>463.0</v>
      </c>
      <c r="P1352" s="33">
        <v>32.0</v>
      </c>
      <c r="Q1352" s="33">
        <v>58.0</v>
      </c>
      <c r="R1352" s="34">
        <v>87.6484561</v>
      </c>
      <c r="S1352" s="34">
        <v>57.719715</v>
      </c>
      <c r="T1352" s="34">
        <v>29.9287411</v>
      </c>
      <c r="U1352" s="34">
        <v>12.3515439</v>
      </c>
      <c r="V1352" s="34">
        <v>89.5117541</v>
      </c>
      <c r="W1352" s="34">
        <v>83.7251356</v>
      </c>
      <c r="X1352" s="34">
        <v>5.7866184</v>
      </c>
      <c r="Y1352" s="34">
        <v>10.4882459</v>
      </c>
    </row>
    <row r="1353" ht="15.0" customHeight="1">
      <c r="B1353" s="35">
        <v>1348.0</v>
      </c>
      <c r="C1353" s="36" t="s">
        <v>21</v>
      </c>
      <c r="D1353" s="41" t="s">
        <v>428</v>
      </c>
      <c r="E1353" s="41" t="s">
        <v>429</v>
      </c>
      <c r="F1353" s="41" t="s">
        <v>432</v>
      </c>
      <c r="G1353" s="42" t="s">
        <v>432</v>
      </c>
      <c r="H1353" s="37">
        <v>545.0</v>
      </c>
      <c r="I1353" s="37">
        <v>381.0</v>
      </c>
      <c r="J1353" s="37">
        <v>213.0</v>
      </c>
      <c r="K1353" s="37">
        <v>168.0</v>
      </c>
      <c r="L1353" s="37">
        <v>164.0</v>
      </c>
      <c r="M1353" s="37">
        <v>802.0</v>
      </c>
      <c r="N1353" s="37">
        <v>680.0</v>
      </c>
      <c r="O1353" s="37">
        <v>617.0</v>
      </c>
      <c r="P1353" s="37">
        <v>63.0</v>
      </c>
      <c r="Q1353" s="37">
        <v>122.0</v>
      </c>
      <c r="R1353" s="38">
        <v>69.9082569</v>
      </c>
      <c r="S1353" s="38">
        <v>39.0825688</v>
      </c>
      <c r="T1353" s="38">
        <v>30.8256881</v>
      </c>
      <c r="U1353" s="38">
        <v>30.0917431</v>
      </c>
      <c r="V1353" s="38">
        <v>84.7880299</v>
      </c>
      <c r="W1353" s="38">
        <v>76.9326683</v>
      </c>
      <c r="X1353" s="38">
        <v>7.8553616</v>
      </c>
      <c r="Y1353" s="38">
        <v>15.2119701</v>
      </c>
    </row>
    <row r="1354" ht="15.0" hidden="1" customHeight="1">
      <c r="B1354" s="30">
        <v>1349.0</v>
      </c>
      <c r="C1354" s="31" t="s">
        <v>21</v>
      </c>
      <c r="D1354" s="31" t="s">
        <v>428</v>
      </c>
      <c r="E1354" s="31" t="s">
        <v>429</v>
      </c>
      <c r="F1354" s="31" t="s">
        <v>432</v>
      </c>
      <c r="G1354" s="32" t="s">
        <v>15</v>
      </c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4"/>
      <c r="S1354" s="34"/>
      <c r="T1354" s="34"/>
      <c r="U1354" s="34"/>
      <c r="V1354" s="34"/>
      <c r="W1354" s="34"/>
      <c r="X1354" s="34"/>
      <c r="Y1354" s="34"/>
    </row>
    <row r="1355" ht="15.0" hidden="1" customHeight="1">
      <c r="B1355" s="30">
        <v>1350.0</v>
      </c>
      <c r="C1355" s="31" t="s">
        <v>21</v>
      </c>
      <c r="D1355" s="31" t="s">
        <v>428</v>
      </c>
      <c r="E1355" s="31" t="s">
        <v>429</v>
      </c>
      <c r="F1355" s="31" t="s">
        <v>432</v>
      </c>
      <c r="G1355" s="32" t="s">
        <v>16</v>
      </c>
      <c r="H1355" s="33">
        <v>545.0</v>
      </c>
      <c r="I1355" s="33">
        <v>381.0</v>
      </c>
      <c r="J1355" s="33">
        <v>213.0</v>
      </c>
      <c r="K1355" s="33">
        <v>168.0</v>
      </c>
      <c r="L1355" s="33">
        <v>164.0</v>
      </c>
      <c r="M1355" s="33">
        <v>802.0</v>
      </c>
      <c r="N1355" s="33">
        <v>680.0</v>
      </c>
      <c r="O1355" s="33">
        <v>617.0</v>
      </c>
      <c r="P1355" s="33">
        <v>63.0</v>
      </c>
      <c r="Q1355" s="33">
        <v>122.0</v>
      </c>
      <c r="R1355" s="34">
        <v>69.9082569</v>
      </c>
      <c r="S1355" s="34">
        <v>39.0825688</v>
      </c>
      <c r="T1355" s="34">
        <v>30.8256881</v>
      </c>
      <c r="U1355" s="34">
        <v>30.0917431</v>
      </c>
      <c r="V1355" s="34">
        <v>84.7880299</v>
      </c>
      <c r="W1355" s="34">
        <v>76.9326683</v>
      </c>
      <c r="X1355" s="34">
        <v>7.8553616</v>
      </c>
      <c r="Y1355" s="34">
        <v>15.2119701</v>
      </c>
    </row>
    <row r="1356" ht="15.0" customHeight="1">
      <c r="B1356" s="35">
        <v>1351.0</v>
      </c>
      <c r="C1356" s="36" t="s">
        <v>21</v>
      </c>
      <c r="D1356" s="41" t="s">
        <v>428</v>
      </c>
      <c r="E1356" s="41" t="s">
        <v>429</v>
      </c>
      <c r="F1356" s="41" t="s">
        <v>433</v>
      </c>
      <c r="G1356" s="42" t="s">
        <v>433</v>
      </c>
      <c r="H1356" s="37">
        <v>944.0</v>
      </c>
      <c r="I1356" s="37">
        <v>676.0</v>
      </c>
      <c r="J1356" s="37">
        <v>427.0</v>
      </c>
      <c r="K1356" s="37">
        <v>249.0</v>
      </c>
      <c r="L1356" s="37">
        <v>268.0</v>
      </c>
      <c r="M1356" s="37">
        <v>1235.0</v>
      </c>
      <c r="N1356" s="37">
        <v>1064.0</v>
      </c>
      <c r="O1356" s="37">
        <v>927.0</v>
      </c>
      <c r="P1356" s="37">
        <v>137.0</v>
      </c>
      <c r="Q1356" s="37">
        <v>171.0</v>
      </c>
      <c r="R1356" s="38">
        <v>71.6101695</v>
      </c>
      <c r="S1356" s="38">
        <v>45.2330508</v>
      </c>
      <c r="T1356" s="38">
        <v>26.3771186</v>
      </c>
      <c r="U1356" s="38">
        <v>28.3898305</v>
      </c>
      <c r="V1356" s="38">
        <v>86.1538462</v>
      </c>
      <c r="W1356" s="38">
        <v>75.0607287</v>
      </c>
      <c r="X1356" s="38">
        <v>11.0931174</v>
      </c>
      <c r="Y1356" s="38">
        <v>13.8461538</v>
      </c>
    </row>
    <row r="1357" ht="15.0" hidden="1" customHeight="1">
      <c r="B1357" s="30">
        <v>1352.0</v>
      </c>
      <c r="C1357" s="31" t="s">
        <v>21</v>
      </c>
      <c r="D1357" s="31" t="s">
        <v>428</v>
      </c>
      <c r="E1357" s="31" t="s">
        <v>429</v>
      </c>
      <c r="F1357" s="31" t="s">
        <v>433</v>
      </c>
      <c r="G1357" s="32" t="s">
        <v>15</v>
      </c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4"/>
      <c r="S1357" s="34"/>
      <c r="T1357" s="34"/>
      <c r="U1357" s="34"/>
      <c r="V1357" s="34"/>
      <c r="W1357" s="34"/>
      <c r="X1357" s="34"/>
      <c r="Y1357" s="34"/>
    </row>
    <row r="1358" ht="15.0" hidden="1" customHeight="1">
      <c r="B1358" s="30">
        <v>1353.0</v>
      </c>
      <c r="C1358" s="31" t="s">
        <v>21</v>
      </c>
      <c r="D1358" s="31" t="s">
        <v>428</v>
      </c>
      <c r="E1358" s="31" t="s">
        <v>429</v>
      </c>
      <c r="F1358" s="31" t="s">
        <v>433</v>
      </c>
      <c r="G1358" s="32" t="s">
        <v>16</v>
      </c>
      <c r="H1358" s="33">
        <v>944.0</v>
      </c>
      <c r="I1358" s="33">
        <v>676.0</v>
      </c>
      <c r="J1358" s="33">
        <v>427.0</v>
      </c>
      <c r="K1358" s="33">
        <v>249.0</v>
      </c>
      <c r="L1358" s="33">
        <v>268.0</v>
      </c>
      <c r="M1358" s="33">
        <v>1235.0</v>
      </c>
      <c r="N1358" s="33">
        <v>1064.0</v>
      </c>
      <c r="O1358" s="33">
        <v>927.0</v>
      </c>
      <c r="P1358" s="33">
        <v>137.0</v>
      </c>
      <c r="Q1358" s="33">
        <v>171.0</v>
      </c>
      <c r="R1358" s="34">
        <v>71.6101695</v>
      </c>
      <c r="S1358" s="34">
        <v>45.2330508</v>
      </c>
      <c r="T1358" s="34">
        <v>26.3771186</v>
      </c>
      <c r="U1358" s="34">
        <v>28.3898305</v>
      </c>
      <c r="V1358" s="34">
        <v>86.1538462</v>
      </c>
      <c r="W1358" s="34">
        <v>75.0607287</v>
      </c>
      <c r="X1358" s="34">
        <v>11.0931174</v>
      </c>
      <c r="Y1358" s="34">
        <v>13.8461538</v>
      </c>
    </row>
    <row r="1359" ht="15.0" hidden="1" customHeight="1">
      <c r="B1359" s="26">
        <v>1354.0</v>
      </c>
      <c r="C1359" s="27" t="s">
        <v>19</v>
      </c>
      <c r="D1359" s="40" t="s">
        <v>428</v>
      </c>
      <c r="E1359" s="40" t="s">
        <v>434</v>
      </c>
      <c r="F1359" s="40"/>
      <c r="G1359" s="27" t="s">
        <v>434</v>
      </c>
      <c r="H1359" s="28">
        <v>3420.0</v>
      </c>
      <c r="I1359" s="28">
        <v>2735.0</v>
      </c>
      <c r="J1359" s="28">
        <v>1337.0</v>
      </c>
      <c r="K1359" s="28">
        <v>1398.0</v>
      </c>
      <c r="L1359" s="28">
        <v>685.0</v>
      </c>
      <c r="M1359" s="28">
        <v>5115.0</v>
      </c>
      <c r="N1359" s="28">
        <v>4733.0</v>
      </c>
      <c r="O1359" s="28">
        <v>3887.0</v>
      </c>
      <c r="P1359" s="28">
        <v>846.0</v>
      </c>
      <c r="Q1359" s="28">
        <v>382.0</v>
      </c>
      <c r="R1359" s="29">
        <v>79.9707602</v>
      </c>
      <c r="S1359" s="29">
        <v>39.0935673</v>
      </c>
      <c r="T1359" s="29">
        <v>40.877193</v>
      </c>
      <c r="U1359" s="29">
        <v>20.0292398</v>
      </c>
      <c r="V1359" s="29">
        <v>92.5317693</v>
      </c>
      <c r="W1359" s="29">
        <v>75.9921799</v>
      </c>
      <c r="X1359" s="29">
        <v>16.5395894</v>
      </c>
      <c r="Y1359" s="29">
        <v>7.4682307</v>
      </c>
    </row>
    <row r="1360" ht="15.0" hidden="1" customHeight="1">
      <c r="B1360" s="30">
        <v>1355.0</v>
      </c>
      <c r="C1360" s="31" t="s">
        <v>19</v>
      </c>
      <c r="D1360" s="31" t="s">
        <v>428</v>
      </c>
      <c r="E1360" s="31" t="s">
        <v>434</v>
      </c>
      <c r="F1360" s="31"/>
      <c r="G1360" s="32" t="s">
        <v>15</v>
      </c>
      <c r="H1360" s="33">
        <v>579.0</v>
      </c>
      <c r="I1360" s="33">
        <v>540.0</v>
      </c>
      <c r="J1360" s="33">
        <v>181.0</v>
      </c>
      <c r="K1360" s="33">
        <v>359.0</v>
      </c>
      <c r="L1360" s="33">
        <v>39.0</v>
      </c>
      <c r="M1360" s="33">
        <v>984.0</v>
      </c>
      <c r="N1360" s="33">
        <v>950.0</v>
      </c>
      <c r="O1360" s="33">
        <v>694.0</v>
      </c>
      <c r="P1360" s="33">
        <v>256.0</v>
      </c>
      <c r="Q1360" s="33">
        <v>34.0</v>
      </c>
      <c r="R1360" s="34">
        <v>93.2642487</v>
      </c>
      <c r="S1360" s="34">
        <v>31.2607945</v>
      </c>
      <c r="T1360" s="34">
        <v>62.0034542</v>
      </c>
      <c r="U1360" s="34">
        <v>6.7357513</v>
      </c>
      <c r="V1360" s="34">
        <v>96.5447154</v>
      </c>
      <c r="W1360" s="34">
        <v>70.5284553</v>
      </c>
      <c r="X1360" s="34">
        <v>26.0162602</v>
      </c>
      <c r="Y1360" s="34">
        <v>3.4552846</v>
      </c>
    </row>
    <row r="1361" ht="15.0" hidden="1" customHeight="1">
      <c r="B1361" s="30">
        <v>1356.0</v>
      </c>
      <c r="C1361" s="31" t="s">
        <v>19</v>
      </c>
      <c r="D1361" s="31" t="s">
        <v>428</v>
      </c>
      <c r="E1361" s="31" t="s">
        <v>434</v>
      </c>
      <c r="F1361" s="31"/>
      <c r="G1361" s="32" t="s">
        <v>16</v>
      </c>
      <c r="H1361" s="33">
        <v>2841.0</v>
      </c>
      <c r="I1361" s="33">
        <v>2195.0</v>
      </c>
      <c r="J1361" s="33">
        <v>1156.0</v>
      </c>
      <c r="K1361" s="33">
        <v>1039.0</v>
      </c>
      <c r="L1361" s="33">
        <v>646.0</v>
      </c>
      <c r="M1361" s="33">
        <v>4131.0</v>
      </c>
      <c r="N1361" s="33">
        <v>3783.0</v>
      </c>
      <c r="O1361" s="33">
        <v>3193.0</v>
      </c>
      <c r="P1361" s="33">
        <v>590.0</v>
      </c>
      <c r="Q1361" s="33">
        <v>348.0</v>
      </c>
      <c r="R1361" s="34">
        <v>77.2615276</v>
      </c>
      <c r="S1361" s="34">
        <v>40.6898979</v>
      </c>
      <c r="T1361" s="34">
        <v>36.5716297</v>
      </c>
      <c r="U1361" s="34">
        <v>22.7384724</v>
      </c>
      <c r="V1361" s="34">
        <v>91.5758896</v>
      </c>
      <c r="W1361" s="34">
        <v>77.2936335</v>
      </c>
      <c r="X1361" s="34">
        <v>14.2822561</v>
      </c>
      <c r="Y1361" s="34">
        <v>8.4241104</v>
      </c>
    </row>
    <row r="1362" ht="15.0" customHeight="1">
      <c r="B1362" s="35">
        <v>1357.0</v>
      </c>
      <c r="C1362" s="36" t="s">
        <v>21</v>
      </c>
      <c r="D1362" s="41" t="s">
        <v>428</v>
      </c>
      <c r="E1362" s="41" t="s">
        <v>434</v>
      </c>
      <c r="F1362" s="41" t="s">
        <v>435</v>
      </c>
      <c r="G1362" s="42" t="s">
        <v>435</v>
      </c>
      <c r="H1362" s="37">
        <v>1382.0</v>
      </c>
      <c r="I1362" s="37">
        <v>1218.0</v>
      </c>
      <c r="J1362" s="37">
        <v>509.0</v>
      </c>
      <c r="K1362" s="37">
        <v>709.0</v>
      </c>
      <c r="L1362" s="37">
        <v>164.0</v>
      </c>
      <c r="M1362" s="37">
        <v>1989.0</v>
      </c>
      <c r="N1362" s="37">
        <v>1908.0</v>
      </c>
      <c r="O1362" s="37">
        <v>1449.0</v>
      </c>
      <c r="P1362" s="37">
        <v>459.0</v>
      </c>
      <c r="Q1362" s="37">
        <v>81.0</v>
      </c>
      <c r="R1362" s="38">
        <v>88.1331404</v>
      </c>
      <c r="S1362" s="38">
        <v>36.8306802</v>
      </c>
      <c r="T1362" s="38">
        <v>51.3024602</v>
      </c>
      <c r="U1362" s="38">
        <v>11.8668596</v>
      </c>
      <c r="V1362" s="38">
        <v>95.9276018</v>
      </c>
      <c r="W1362" s="38">
        <v>72.8506787</v>
      </c>
      <c r="X1362" s="38">
        <v>23.0769231</v>
      </c>
      <c r="Y1362" s="38">
        <v>4.0723982</v>
      </c>
    </row>
    <row r="1363" ht="15.0" hidden="1" customHeight="1">
      <c r="B1363" s="30">
        <v>1358.0</v>
      </c>
      <c r="C1363" s="31" t="s">
        <v>21</v>
      </c>
      <c r="D1363" s="31" t="s">
        <v>428</v>
      </c>
      <c r="E1363" s="31" t="s">
        <v>434</v>
      </c>
      <c r="F1363" s="31" t="s">
        <v>435</v>
      </c>
      <c r="G1363" s="32" t="s">
        <v>15</v>
      </c>
      <c r="H1363" s="33">
        <v>579.0</v>
      </c>
      <c r="I1363" s="33">
        <v>540.0</v>
      </c>
      <c r="J1363" s="33">
        <v>181.0</v>
      </c>
      <c r="K1363" s="33">
        <v>359.0</v>
      </c>
      <c r="L1363" s="33">
        <v>39.0</v>
      </c>
      <c r="M1363" s="33">
        <v>984.0</v>
      </c>
      <c r="N1363" s="33">
        <v>950.0</v>
      </c>
      <c r="O1363" s="33">
        <v>694.0</v>
      </c>
      <c r="P1363" s="33">
        <v>256.0</v>
      </c>
      <c r="Q1363" s="33">
        <v>34.0</v>
      </c>
      <c r="R1363" s="34">
        <v>93.2642487</v>
      </c>
      <c r="S1363" s="34">
        <v>31.2607945</v>
      </c>
      <c r="T1363" s="34">
        <v>62.0034542</v>
      </c>
      <c r="U1363" s="34">
        <v>6.7357513</v>
      </c>
      <c r="V1363" s="34">
        <v>96.5447154</v>
      </c>
      <c r="W1363" s="34">
        <v>70.5284553</v>
      </c>
      <c r="X1363" s="34">
        <v>26.0162602</v>
      </c>
      <c r="Y1363" s="34">
        <v>3.4552846</v>
      </c>
    </row>
    <row r="1364" ht="15.0" hidden="1" customHeight="1">
      <c r="B1364" s="30">
        <v>1359.0</v>
      </c>
      <c r="C1364" s="31" t="s">
        <v>21</v>
      </c>
      <c r="D1364" s="31" t="s">
        <v>428</v>
      </c>
      <c r="E1364" s="31" t="s">
        <v>434</v>
      </c>
      <c r="F1364" s="31" t="s">
        <v>435</v>
      </c>
      <c r="G1364" s="32" t="s">
        <v>16</v>
      </c>
      <c r="H1364" s="33">
        <v>803.0</v>
      </c>
      <c r="I1364" s="33">
        <v>678.0</v>
      </c>
      <c r="J1364" s="33">
        <v>328.0</v>
      </c>
      <c r="K1364" s="33">
        <v>350.0</v>
      </c>
      <c r="L1364" s="33">
        <v>125.0</v>
      </c>
      <c r="M1364" s="33">
        <v>1005.0</v>
      </c>
      <c r="N1364" s="33">
        <v>958.0</v>
      </c>
      <c r="O1364" s="33">
        <v>755.0</v>
      </c>
      <c r="P1364" s="33">
        <v>203.0</v>
      </c>
      <c r="Q1364" s="33">
        <v>47.0</v>
      </c>
      <c r="R1364" s="34">
        <v>84.4333748</v>
      </c>
      <c r="S1364" s="34">
        <v>40.8468244</v>
      </c>
      <c r="T1364" s="34">
        <v>43.5865504</v>
      </c>
      <c r="U1364" s="34">
        <v>15.5666252</v>
      </c>
      <c r="V1364" s="34">
        <v>95.3233831</v>
      </c>
      <c r="W1364" s="34">
        <v>75.1243781</v>
      </c>
      <c r="X1364" s="34">
        <v>20.199005</v>
      </c>
      <c r="Y1364" s="34">
        <v>4.6766169</v>
      </c>
    </row>
    <row r="1365" ht="15.0" customHeight="1">
      <c r="B1365" s="35">
        <v>1360.0</v>
      </c>
      <c r="C1365" s="36" t="s">
        <v>21</v>
      </c>
      <c r="D1365" s="41" t="s">
        <v>428</v>
      </c>
      <c r="E1365" s="41" t="s">
        <v>434</v>
      </c>
      <c r="F1365" s="41" t="s">
        <v>282</v>
      </c>
      <c r="G1365" s="42" t="s">
        <v>282</v>
      </c>
      <c r="H1365" s="37">
        <v>611.0</v>
      </c>
      <c r="I1365" s="37">
        <v>384.0</v>
      </c>
      <c r="J1365" s="37">
        <v>195.0</v>
      </c>
      <c r="K1365" s="37">
        <v>189.0</v>
      </c>
      <c r="L1365" s="37">
        <v>227.0</v>
      </c>
      <c r="M1365" s="37">
        <v>612.0</v>
      </c>
      <c r="N1365" s="37">
        <v>567.0</v>
      </c>
      <c r="O1365" s="37">
        <v>501.0</v>
      </c>
      <c r="P1365" s="37">
        <v>66.0</v>
      </c>
      <c r="Q1365" s="37">
        <v>45.0</v>
      </c>
      <c r="R1365" s="38">
        <v>62.8477905</v>
      </c>
      <c r="S1365" s="38">
        <v>31.9148936</v>
      </c>
      <c r="T1365" s="38">
        <v>30.9328969</v>
      </c>
      <c r="U1365" s="38">
        <v>37.1522095</v>
      </c>
      <c r="V1365" s="38">
        <v>92.6470588</v>
      </c>
      <c r="W1365" s="38">
        <v>81.8627451</v>
      </c>
      <c r="X1365" s="38">
        <v>10.7843137</v>
      </c>
      <c r="Y1365" s="38">
        <v>7.3529412</v>
      </c>
    </row>
    <row r="1366" ht="15.0" hidden="1" customHeight="1">
      <c r="B1366" s="30">
        <v>1361.0</v>
      </c>
      <c r="C1366" s="31" t="s">
        <v>21</v>
      </c>
      <c r="D1366" s="31" t="s">
        <v>428</v>
      </c>
      <c r="E1366" s="31" t="s">
        <v>434</v>
      </c>
      <c r="F1366" s="31" t="s">
        <v>282</v>
      </c>
      <c r="G1366" s="32" t="s">
        <v>15</v>
      </c>
      <c r="H1366" s="33"/>
      <c r="I1366" s="33"/>
      <c r="J1366" s="33"/>
      <c r="K1366" s="33"/>
      <c r="L1366" s="33"/>
      <c r="M1366" s="33"/>
      <c r="N1366" s="33"/>
      <c r="O1366" s="33"/>
      <c r="P1366" s="33"/>
      <c r="Q1366" s="33"/>
      <c r="R1366" s="34"/>
      <c r="S1366" s="34"/>
      <c r="T1366" s="34"/>
      <c r="U1366" s="34"/>
      <c r="V1366" s="34"/>
      <c r="W1366" s="34"/>
      <c r="X1366" s="34"/>
      <c r="Y1366" s="34"/>
    </row>
    <row r="1367" ht="15.0" hidden="1" customHeight="1">
      <c r="B1367" s="30">
        <v>1362.0</v>
      </c>
      <c r="C1367" s="31" t="s">
        <v>21</v>
      </c>
      <c r="D1367" s="31" t="s">
        <v>428</v>
      </c>
      <c r="E1367" s="31" t="s">
        <v>434</v>
      </c>
      <c r="F1367" s="31" t="s">
        <v>282</v>
      </c>
      <c r="G1367" s="32" t="s">
        <v>16</v>
      </c>
      <c r="H1367" s="33">
        <v>611.0</v>
      </c>
      <c r="I1367" s="33">
        <v>384.0</v>
      </c>
      <c r="J1367" s="33">
        <v>195.0</v>
      </c>
      <c r="K1367" s="33">
        <v>189.0</v>
      </c>
      <c r="L1367" s="33">
        <v>227.0</v>
      </c>
      <c r="M1367" s="33">
        <v>612.0</v>
      </c>
      <c r="N1367" s="33">
        <v>567.0</v>
      </c>
      <c r="O1367" s="33">
        <v>501.0</v>
      </c>
      <c r="P1367" s="33">
        <v>66.0</v>
      </c>
      <c r="Q1367" s="33">
        <v>45.0</v>
      </c>
      <c r="R1367" s="34">
        <v>62.8477905</v>
      </c>
      <c r="S1367" s="34">
        <v>31.9148936</v>
      </c>
      <c r="T1367" s="34">
        <v>30.9328969</v>
      </c>
      <c r="U1367" s="34">
        <v>37.1522095</v>
      </c>
      <c r="V1367" s="34">
        <v>92.6470588</v>
      </c>
      <c r="W1367" s="34">
        <v>81.8627451</v>
      </c>
      <c r="X1367" s="34">
        <v>10.7843137</v>
      </c>
      <c r="Y1367" s="34">
        <v>7.3529412</v>
      </c>
    </row>
    <row r="1368" ht="15.0" customHeight="1">
      <c r="B1368" s="35">
        <v>1363.0</v>
      </c>
      <c r="C1368" s="36" t="s">
        <v>21</v>
      </c>
      <c r="D1368" s="41" t="s">
        <v>428</v>
      </c>
      <c r="E1368" s="41" t="s">
        <v>434</v>
      </c>
      <c r="F1368" s="41" t="s">
        <v>436</v>
      </c>
      <c r="G1368" s="42" t="s">
        <v>436</v>
      </c>
      <c r="H1368" s="37">
        <v>1427.0</v>
      </c>
      <c r="I1368" s="37">
        <v>1133.0</v>
      </c>
      <c r="J1368" s="37">
        <v>633.0</v>
      </c>
      <c r="K1368" s="37">
        <v>500.0</v>
      </c>
      <c r="L1368" s="37">
        <v>294.0</v>
      </c>
      <c r="M1368" s="37">
        <v>2514.0</v>
      </c>
      <c r="N1368" s="37">
        <v>2258.0</v>
      </c>
      <c r="O1368" s="37">
        <v>1937.0</v>
      </c>
      <c r="P1368" s="37">
        <v>321.0</v>
      </c>
      <c r="Q1368" s="37">
        <v>256.0</v>
      </c>
      <c r="R1368" s="38">
        <v>79.3973371</v>
      </c>
      <c r="S1368" s="38">
        <v>44.3587947</v>
      </c>
      <c r="T1368" s="38">
        <v>35.0385424</v>
      </c>
      <c r="U1368" s="38">
        <v>20.6026629</v>
      </c>
      <c r="V1368" s="38">
        <v>89.8170247</v>
      </c>
      <c r="W1368" s="38">
        <v>77.0485282</v>
      </c>
      <c r="X1368" s="38">
        <v>12.7684964</v>
      </c>
      <c r="Y1368" s="38">
        <v>10.1829753</v>
      </c>
    </row>
    <row r="1369" ht="15.0" hidden="1" customHeight="1">
      <c r="B1369" s="30">
        <v>1364.0</v>
      </c>
      <c r="C1369" s="31" t="s">
        <v>21</v>
      </c>
      <c r="D1369" s="31" t="s">
        <v>428</v>
      </c>
      <c r="E1369" s="31" t="s">
        <v>434</v>
      </c>
      <c r="F1369" s="31" t="s">
        <v>436</v>
      </c>
      <c r="G1369" s="32" t="s">
        <v>15</v>
      </c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4"/>
      <c r="S1369" s="34"/>
      <c r="T1369" s="34"/>
      <c r="U1369" s="34"/>
      <c r="V1369" s="34"/>
      <c r="W1369" s="34"/>
      <c r="X1369" s="34"/>
      <c r="Y1369" s="34"/>
    </row>
    <row r="1370" ht="15.0" hidden="1" customHeight="1">
      <c r="B1370" s="30">
        <v>1365.0</v>
      </c>
      <c r="C1370" s="31" t="s">
        <v>21</v>
      </c>
      <c r="D1370" s="31" t="s">
        <v>428</v>
      </c>
      <c r="E1370" s="31" t="s">
        <v>434</v>
      </c>
      <c r="F1370" s="31" t="s">
        <v>436</v>
      </c>
      <c r="G1370" s="32" t="s">
        <v>16</v>
      </c>
      <c r="H1370" s="33">
        <v>1427.0</v>
      </c>
      <c r="I1370" s="33">
        <v>1133.0</v>
      </c>
      <c r="J1370" s="33">
        <v>633.0</v>
      </c>
      <c r="K1370" s="33">
        <v>500.0</v>
      </c>
      <c r="L1370" s="33">
        <v>294.0</v>
      </c>
      <c r="M1370" s="33">
        <v>2514.0</v>
      </c>
      <c r="N1370" s="33">
        <v>2258.0</v>
      </c>
      <c r="O1370" s="33">
        <v>1937.0</v>
      </c>
      <c r="P1370" s="33">
        <v>321.0</v>
      </c>
      <c r="Q1370" s="33">
        <v>256.0</v>
      </c>
      <c r="R1370" s="34">
        <v>79.3973371</v>
      </c>
      <c r="S1370" s="34">
        <v>44.3587947</v>
      </c>
      <c r="T1370" s="34">
        <v>35.0385424</v>
      </c>
      <c r="U1370" s="34">
        <v>20.6026629</v>
      </c>
      <c r="V1370" s="34">
        <v>89.8170247</v>
      </c>
      <c r="W1370" s="34">
        <v>77.0485282</v>
      </c>
      <c r="X1370" s="34">
        <v>12.7684964</v>
      </c>
      <c r="Y1370" s="34">
        <v>10.1829753</v>
      </c>
    </row>
    <row r="1371" ht="15.0" hidden="1" customHeight="1">
      <c r="B1371" s="26">
        <v>1366.0</v>
      </c>
      <c r="C1371" s="27" t="s">
        <v>19</v>
      </c>
      <c r="D1371" s="40" t="s">
        <v>428</v>
      </c>
      <c r="E1371" s="40" t="s">
        <v>437</v>
      </c>
      <c r="F1371" s="40"/>
      <c r="G1371" s="27" t="s">
        <v>437</v>
      </c>
      <c r="H1371" s="28">
        <v>4021.0</v>
      </c>
      <c r="I1371" s="28">
        <v>2930.0</v>
      </c>
      <c r="J1371" s="28">
        <v>1929.0</v>
      </c>
      <c r="K1371" s="28">
        <v>1001.0</v>
      </c>
      <c r="L1371" s="28">
        <v>1091.0</v>
      </c>
      <c r="M1371" s="28">
        <v>6690.0</v>
      </c>
      <c r="N1371" s="28">
        <v>6079.0</v>
      </c>
      <c r="O1371" s="28">
        <v>5215.0</v>
      </c>
      <c r="P1371" s="28">
        <v>864.0</v>
      </c>
      <c r="Q1371" s="28">
        <v>611.0</v>
      </c>
      <c r="R1371" s="29">
        <v>72.8674459</v>
      </c>
      <c r="S1371" s="29">
        <v>47.973141</v>
      </c>
      <c r="T1371" s="29">
        <v>24.8943049</v>
      </c>
      <c r="U1371" s="29">
        <v>27.1325541</v>
      </c>
      <c r="V1371" s="29">
        <v>90.8669656</v>
      </c>
      <c r="W1371" s="29">
        <v>77.9521674</v>
      </c>
      <c r="X1371" s="29">
        <v>12.9147982</v>
      </c>
      <c r="Y1371" s="29">
        <v>9.1330344</v>
      </c>
    </row>
    <row r="1372" ht="15.0" hidden="1" customHeight="1">
      <c r="B1372" s="30">
        <v>1367.0</v>
      </c>
      <c r="C1372" s="31" t="s">
        <v>19</v>
      </c>
      <c r="D1372" s="31" t="s">
        <v>428</v>
      </c>
      <c r="E1372" s="31" t="s">
        <v>437</v>
      </c>
      <c r="F1372" s="31"/>
      <c r="G1372" s="32" t="s">
        <v>15</v>
      </c>
      <c r="H1372" s="33">
        <v>377.0</v>
      </c>
      <c r="I1372" s="33">
        <v>343.0</v>
      </c>
      <c r="J1372" s="33">
        <v>161.0</v>
      </c>
      <c r="K1372" s="33">
        <v>182.0</v>
      </c>
      <c r="L1372" s="33">
        <v>34.0</v>
      </c>
      <c r="M1372" s="33">
        <v>1498.0</v>
      </c>
      <c r="N1372" s="33">
        <v>1376.0</v>
      </c>
      <c r="O1372" s="33">
        <v>1148.0</v>
      </c>
      <c r="P1372" s="33">
        <v>228.0</v>
      </c>
      <c r="Q1372" s="33">
        <v>122.0</v>
      </c>
      <c r="R1372" s="34">
        <v>90.9814324</v>
      </c>
      <c r="S1372" s="34">
        <v>42.7055703</v>
      </c>
      <c r="T1372" s="34">
        <v>48.2758621</v>
      </c>
      <c r="U1372" s="34">
        <v>9.0185676</v>
      </c>
      <c r="V1372" s="34">
        <v>91.8558077</v>
      </c>
      <c r="W1372" s="34">
        <v>76.635514</v>
      </c>
      <c r="X1372" s="34">
        <v>15.2202937</v>
      </c>
      <c r="Y1372" s="34">
        <v>8.1441923</v>
      </c>
    </row>
    <row r="1373" ht="15.0" hidden="1" customHeight="1">
      <c r="B1373" s="30">
        <v>1368.0</v>
      </c>
      <c r="C1373" s="31" t="s">
        <v>19</v>
      </c>
      <c r="D1373" s="31" t="s">
        <v>428</v>
      </c>
      <c r="E1373" s="31" t="s">
        <v>437</v>
      </c>
      <c r="F1373" s="31"/>
      <c r="G1373" s="32" t="s">
        <v>16</v>
      </c>
      <c r="H1373" s="33">
        <v>3644.0</v>
      </c>
      <c r="I1373" s="33">
        <v>2587.0</v>
      </c>
      <c r="J1373" s="33">
        <v>1768.0</v>
      </c>
      <c r="K1373" s="33">
        <v>819.0</v>
      </c>
      <c r="L1373" s="33">
        <v>1057.0</v>
      </c>
      <c r="M1373" s="33">
        <v>5192.0</v>
      </c>
      <c r="N1373" s="33">
        <v>4703.0</v>
      </c>
      <c r="O1373" s="33">
        <v>4067.0</v>
      </c>
      <c r="P1373" s="33">
        <v>636.0</v>
      </c>
      <c r="Q1373" s="33">
        <v>489.0</v>
      </c>
      <c r="R1373" s="34">
        <v>70.9934138</v>
      </c>
      <c r="S1373" s="34">
        <v>48.518112</v>
      </c>
      <c r="T1373" s="34">
        <v>22.4753019</v>
      </c>
      <c r="U1373" s="34">
        <v>29.0065862</v>
      </c>
      <c r="V1373" s="34">
        <v>90.5816641</v>
      </c>
      <c r="W1373" s="34">
        <v>78.3320493</v>
      </c>
      <c r="X1373" s="34">
        <v>12.2496148</v>
      </c>
      <c r="Y1373" s="34">
        <v>9.4183359</v>
      </c>
    </row>
    <row r="1374" ht="15.0" customHeight="1">
      <c r="B1374" s="35">
        <v>1369.0</v>
      </c>
      <c r="C1374" s="36" t="s">
        <v>21</v>
      </c>
      <c r="D1374" s="41" t="s">
        <v>428</v>
      </c>
      <c r="E1374" s="41" t="s">
        <v>437</v>
      </c>
      <c r="F1374" s="41" t="s">
        <v>438</v>
      </c>
      <c r="G1374" s="42" t="s">
        <v>438</v>
      </c>
      <c r="H1374" s="37">
        <v>1026.0</v>
      </c>
      <c r="I1374" s="37">
        <v>869.0</v>
      </c>
      <c r="J1374" s="37">
        <v>582.0</v>
      </c>
      <c r="K1374" s="37">
        <v>287.0</v>
      </c>
      <c r="L1374" s="37">
        <v>157.0</v>
      </c>
      <c r="M1374" s="37">
        <v>1965.0</v>
      </c>
      <c r="N1374" s="37">
        <v>1677.0</v>
      </c>
      <c r="O1374" s="37">
        <v>1416.0</v>
      </c>
      <c r="P1374" s="37">
        <v>261.0</v>
      </c>
      <c r="Q1374" s="37">
        <v>288.0</v>
      </c>
      <c r="R1374" s="38">
        <v>84.6978558</v>
      </c>
      <c r="S1374" s="38">
        <v>56.7251462</v>
      </c>
      <c r="T1374" s="38">
        <v>27.9727096</v>
      </c>
      <c r="U1374" s="38">
        <v>15.3021442</v>
      </c>
      <c r="V1374" s="38">
        <v>85.3435115</v>
      </c>
      <c r="W1374" s="38">
        <v>72.0610687</v>
      </c>
      <c r="X1374" s="38">
        <v>13.2824427</v>
      </c>
      <c r="Y1374" s="38">
        <v>14.6564885</v>
      </c>
    </row>
    <row r="1375" ht="15.0" hidden="1" customHeight="1">
      <c r="B1375" s="30">
        <v>1370.0</v>
      </c>
      <c r="C1375" s="31" t="s">
        <v>21</v>
      </c>
      <c r="D1375" s="31" t="s">
        <v>428</v>
      </c>
      <c r="E1375" s="31" t="s">
        <v>437</v>
      </c>
      <c r="F1375" s="31" t="s">
        <v>438</v>
      </c>
      <c r="G1375" s="32" t="s">
        <v>15</v>
      </c>
      <c r="H1375" s="33"/>
      <c r="I1375" s="33"/>
      <c r="J1375" s="33"/>
      <c r="K1375" s="33"/>
      <c r="L1375" s="33"/>
      <c r="M1375" s="33">
        <v>343.0</v>
      </c>
      <c r="N1375" s="33">
        <v>307.0</v>
      </c>
      <c r="O1375" s="33">
        <v>252.0</v>
      </c>
      <c r="P1375" s="33">
        <v>55.0</v>
      </c>
      <c r="Q1375" s="33">
        <v>36.0</v>
      </c>
      <c r="R1375" s="34"/>
      <c r="S1375" s="34"/>
      <c r="T1375" s="34"/>
      <c r="U1375" s="34"/>
      <c r="V1375" s="34">
        <v>89.5043732</v>
      </c>
      <c r="W1375" s="34">
        <v>73.4693878</v>
      </c>
      <c r="X1375" s="34">
        <v>16.0349854</v>
      </c>
      <c r="Y1375" s="34">
        <v>10.4956268</v>
      </c>
    </row>
    <row r="1376" ht="15.0" hidden="1" customHeight="1">
      <c r="B1376" s="30">
        <v>1371.0</v>
      </c>
      <c r="C1376" s="31" t="s">
        <v>21</v>
      </c>
      <c r="D1376" s="31" t="s">
        <v>428</v>
      </c>
      <c r="E1376" s="31" t="s">
        <v>437</v>
      </c>
      <c r="F1376" s="31" t="s">
        <v>438</v>
      </c>
      <c r="G1376" s="32" t="s">
        <v>16</v>
      </c>
      <c r="H1376" s="33">
        <v>1026.0</v>
      </c>
      <c r="I1376" s="33">
        <v>869.0</v>
      </c>
      <c r="J1376" s="33">
        <v>582.0</v>
      </c>
      <c r="K1376" s="33">
        <v>287.0</v>
      </c>
      <c r="L1376" s="33">
        <v>157.0</v>
      </c>
      <c r="M1376" s="33">
        <v>1622.0</v>
      </c>
      <c r="N1376" s="33">
        <v>1370.0</v>
      </c>
      <c r="O1376" s="33">
        <v>1164.0</v>
      </c>
      <c r="P1376" s="33">
        <v>206.0</v>
      </c>
      <c r="Q1376" s="33">
        <v>252.0</v>
      </c>
      <c r="R1376" s="34">
        <v>84.6978558</v>
      </c>
      <c r="S1376" s="34">
        <v>56.7251462</v>
      </c>
      <c r="T1376" s="34">
        <v>27.9727096</v>
      </c>
      <c r="U1376" s="34">
        <v>15.3021442</v>
      </c>
      <c r="V1376" s="34">
        <v>84.4636252</v>
      </c>
      <c r="W1376" s="34">
        <v>71.7632552</v>
      </c>
      <c r="X1376" s="34">
        <v>12.7003699</v>
      </c>
      <c r="Y1376" s="34">
        <v>15.5363748</v>
      </c>
    </row>
    <row r="1377" ht="15.0" customHeight="1">
      <c r="B1377" s="35">
        <v>1372.0</v>
      </c>
      <c r="C1377" s="36" t="s">
        <v>21</v>
      </c>
      <c r="D1377" s="41" t="s">
        <v>428</v>
      </c>
      <c r="E1377" s="41" t="s">
        <v>437</v>
      </c>
      <c r="F1377" s="41" t="s">
        <v>331</v>
      </c>
      <c r="G1377" s="42" t="s">
        <v>331</v>
      </c>
      <c r="H1377" s="37">
        <v>1342.0</v>
      </c>
      <c r="I1377" s="37">
        <v>1056.0</v>
      </c>
      <c r="J1377" s="37">
        <v>777.0</v>
      </c>
      <c r="K1377" s="37">
        <v>279.0</v>
      </c>
      <c r="L1377" s="37">
        <v>286.0</v>
      </c>
      <c r="M1377" s="37">
        <v>1850.0</v>
      </c>
      <c r="N1377" s="37">
        <v>1742.0</v>
      </c>
      <c r="O1377" s="37">
        <v>1521.0</v>
      </c>
      <c r="P1377" s="37">
        <v>221.0</v>
      </c>
      <c r="Q1377" s="37">
        <v>108.0</v>
      </c>
      <c r="R1377" s="38">
        <v>78.6885246</v>
      </c>
      <c r="S1377" s="38">
        <v>57.8986587</v>
      </c>
      <c r="T1377" s="38">
        <v>20.7898659</v>
      </c>
      <c r="U1377" s="38">
        <v>21.3114754</v>
      </c>
      <c r="V1377" s="38">
        <v>94.1621622</v>
      </c>
      <c r="W1377" s="38">
        <v>82.2162162</v>
      </c>
      <c r="X1377" s="38">
        <v>11.9459459</v>
      </c>
      <c r="Y1377" s="38">
        <v>5.8378378</v>
      </c>
    </row>
    <row r="1378" ht="15.0" hidden="1" customHeight="1">
      <c r="B1378" s="30">
        <v>1373.0</v>
      </c>
      <c r="C1378" s="31" t="s">
        <v>21</v>
      </c>
      <c r="D1378" s="31" t="s">
        <v>428</v>
      </c>
      <c r="E1378" s="31" t="s">
        <v>437</v>
      </c>
      <c r="F1378" s="31" t="s">
        <v>331</v>
      </c>
      <c r="G1378" s="32" t="s">
        <v>15</v>
      </c>
      <c r="H1378" s="33"/>
      <c r="I1378" s="33"/>
      <c r="J1378" s="33"/>
      <c r="K1378" s="33"/>
      <c r="L1378" s="33"/>
      <c r="M1378" s="33"/>
      <c r="N1378" s="33"/>
      <c r="O1378" s="33"/>
      <c r="P1378" s="33"/>
      <c r="Q1378" s="33"/>
      <c r="R1378" s="34"/>
      <c r="S1378" s="34"/>
      <c r="T1378" s="34"/>
      <c r="U1378" s="34"/>
      <c r="V1378" s="34"/>
      <c r="W1378" s="34"/>
      <c r="X1378" s="34"/>
      <c r="Y1378" s="34"/>
    </row>
    <row r="1379" ht="15.0" hidden="1" customHeight="1">
      <c r="B1379" s="30">
        <v>1374.0</v>
      </c>
      <c r="C1379" s="31" t="s">
        <v>21</v>
      </c>
      <c r="D1379" s="31" t="s">
        <v>428</v>
      </c>
      <c r="E1379" s="31" t="s">
        <v>437</v>
      </c>
      <c r="F1379" s="31" t="s">
        <v>331</v>
      </c>
      <c r="G1379" s="32" t="s">
        <v>16</v>
      </c>
      <c r="H1379" s="33">
        <v>1342.0</v>
      </c>
      <c r="I1379" s="33">
        <v>1056.0</v>
      </c>
      <c r="J1379" s="33">
        <v>777.0</v>
      </c>
      <c r="K1379" s="33">
        <v>279.0</v>
      </c>
      <c r="L1379" s="33">
        <v>286.0</v>
      </c>
      <c r="M1379" s="33">
        <v>1850.0</v>
      </c>
      <c r="N1379" s="33">
        <v>1742.0</v>
      </c>
      <c r="O1379" s="33">
        <v>1521.0</v>
      </c>
      <c r="P1379" s="33">
        <v>221.0</v>
      </c>
      <c r="Q1379" s="33">
        <v>108.0</v>
      </c>
      <c r="R1379" s="34">
        <v>78.6885246</v>
      </c>
      <c r="S1379" s="34">
        <v>57.8986587</v>
      </c>
      <c r="T1379" s="34">
        <v>20.7898659</v>
      </c>
      <c r="U1379" s="34">
        <v>21.3114754</v>
      </c>
      <c r="V1379" s="34">
        <v>94.1621622</v>
      </c>
      <c r="W1379" s="34">
        <v>82.2162162</v>
      </c>
      <c r="X1379" s="34">
        <v>11.9459459</v>
      </c>
      <c r="Y1379" s="34">
        <v>5.8378378</v>
      </c>
    </row>
    <row r="1380" ht="15.0" customHeight="1">
      <c r="B1380" s="35">
        <v>1375.0</v>
      </c>
      <c r="C1380" s="36" t="s">
        <v>21</v>
      </c>
      <c r="D1380" s="41" t="s">
        <v>428</v>
      </c>
      <c r="E1380" s="41" t="s">
        <v>437</v>
      </c>
      <c r="F1380" s="41" t="s">
        <v>439</v>
      </c>
      <c r="G1380" s="42" t="s">
        <v>439</v>
      </c>
      <c r="H1380" s="37">
        <v>1653.0</v>
      </c>
      <c r="I1380" s="37">
        <v>1005.0</v>
      </c>
      <c r="J1380" s="37">
        <v>570.0</v>
      </c>
      <c r="K1380" s="37">
        <v>435.0</v>
      </c>
      <c r="L1380" s="37">
        <v>648.0</v>
      </c>
      <c r="M1380" s="37">
        <v>2875.0</v>
      </c>
      <c r="N1380" s="37">
        <v>2660.0</v>
      </c>
      <c r="O1380" s="37">
        <v>2278.0</v>
      </c>
      <c r="P1380" s="37">
        <v>382.0</v>
      </c>
      <c r="Q1380" s="37">
        <v>215.0</v>
      </c>
      <c r="R1380" s="38">
        <v>60.7985481</v>
      </c>
      <c r="S1380" s="38">
        <v>34.4827586</v>
      </c>
      <c r="T1380" s="38">
        <v>26.3157895</v>
      </c>
      <c r="U1380" s="38">
        <v>39.2014519</v>
      </c>
      <c r="V1380" s="38">
        <v>92.5217391</v>
      </c>
      <c r="W1380" s="38">
        <v>79.2347826</v>
      </c>
      <c r="X1380" s="38">
        <v>13.2869565</v>
      </c>
      <c r="Y1380" s="38">
        <v>7.4782609</v>
      </c>
    </row>
    <row r="1381" ht="15.0" hidden="1" customHeight="1">
      <c r="B1381" s="30">
        <v>1376.0</v>
      </c>
      <c r="C1381" s="31" t="s">
        <v>21</v>
      </c>
      <c r="D1381" s="31" t="s">
        <v>428</v>
      </c>
      <c r="E1381" s="31" t="s">
        <v>437</v>
      </c>
      <c r="F1381" s="31" t="s">
        <v>439</v>
      </c>
      <c r="G1381" s="32" t="s">
        <v>15</v>
      </c>
      <c r="H1381" s="33">
        <v>377.0</v>
      </c>
      <c r="I1381" s="33">
        <v>343.0</v>
      </c>
      <c r="J1381" s="33">
        <v>161.0</v>
      </c>
      <c r="K1381" s="33">
        <v>182.0</v>
      </c>
      <c r="L1381" s="33">
        <v>34.0</v>
      </c>
      <c r="M1381" s="33">
        <v>1155.0</v>
      </c>
      <c r="N1381" s="33">
        <v>1069.0</v>
      </c>
      <c r="O1381" s="33">
        <v>896.0</v>
      </c>
      <c r="P1381" s="33">
        <v>173.0</v>
      </c>
      <c r="Q1381" s="33">
        <v>86.0</v>
      </c>
      <c r="R1381" s="34">
        <v>90.9814324</v>
      </c>
      <c r="S1381" s="34">
        <v>42.7055703</v>
      </c>
      <c r="T1381" s="34">
        <v>48.2758621</v>
      </c>
      <c r="U1381" s="34">
        <v>9.0185676</v>
      </c>
      <c r="V1381" s="34">
        <v>92.5541126</v>
      </c>
      <c r="W1381" s="34">
        <v>77.5757576</v>
      </c>
      <c r="X1381" s="34">
        <v>14.978355</v>
      </c>
      <c r="Y1381" s="34">
        <v>7.4458874</v>
      </c>
    </row>
    <row r="1382" ht="15.0" hidden="1" customHeight="1">
      <c r="B1382" s="30">
        <v>1377.0</v>
      </c>
      <c r="C1382" s="31" t="s">
        <v>21</v>
      </c>
      <c r="D1382" s="31" t="s">
        <v>428</v>
      </c>
      <c r="E1382" s="31" t="s">
        <v>437</v>
      </c>
      <c r="F1382" s="31" t="s">
        <v>439</v>
      </c>
      <c r="G1382" s="32" t="s">
        <v>16</v>
      </c>
      <c r="H1382" s="33">
        <v>1276.0</v>
      </c>
      <c r="I1382" s="33">
        <v>662.0</v>
      </c>
      <c r="J1382" s="33">
        <v>409.0</v>
      </c>
      <c r="K1382" s="33">
        <v>253.0</v>
      </c>
      <c r="L1382" s="33">
        <v>614.0</v>
      </c>
      <c r="M1382" s="33">
        <v>1720.0</v>
      </c>
      <c r="N1382" s="33">
        <v>1591.0</v>
      </c>
      <c r="O1382" s="33">
        <v>1382.0</v>
      </c>
      <c r="P1382" s="33">
        <v>209.0</v>
      </c>
      <c r="Q1382" s="33">
        <v>129.0</v>
      </c>
      <c r="R1382" s="34">
        <v>51.8808777</v>
      </c>
      <c r="S1382" s="34">
        <v>32.0532915</v>
      </c>
      <c r="T1382" s="34">
        <v>19.8275862</v>
      </c>
      <c r="U1382" s="34">
        <v>48.1191223</v>
      </c>
      <c r="V1382" s="34">
        <v>92.5</v>
      </c>
      <c r="W1382" s="34">
        <v>80.3488372</v>
      </c>
      <c r="X1382" s="34">
        <v>12.1511628</v>
      </c>
      <c r="Y1382" s="34">
        <v>7.5</v>
      </c>
    </row>
    <row r="1383" ht="15.0" hidden="1" customHeight="1">
      <c r="B1383" s="26">
        <v>1378.0</v>
      </c>
      <c r="C1383" s="27" t="s">
        <v>19</v>
      </c>
      <c r="D1383" s="40" t="s">
        <v>428</v>
      </c>
      <c r="E1383" s="40" t="s">
        <v>440</v>
      </c>
      <c r="F1383" s="40"/>
      <c r="G1383" s="27" t="s">
        <v>440</v>
      </c>
      <c r="H1383" s="28">
        <v>955.0</v>
      </c>
      <c r="I1383" s="28">
        <v>735.0</v>
      </c>
      <c r="J1383" s="28">
        <v>344.0</v>
      </c>
      <c r="K1383" s="28">
        <v>391.0</v>
      </c>
      <c r="L1383" s="28">
        <v>220.0</v>
      </c>
      <c r="M1383" s="28">
        <v>1509.0</v>
      </c>
      <c r="N1383" s="28">
        <v>1360.0</v>
      </c>
      <c r="O1383" s="28">
        <v>1146.0</v>
      </c>
      <c r="P1383" s="28">
        <v>214.0</v>
      </c>
      <c r="Q1383" s="28">
        <v>149.0</v>
      </c>
      <c r="R1383" s="29">
        <v>76.9633508</v>
      </c>
      <c r="S1383" s="29">
        <v>36.0209424</v>
      </c>
      <c r="T1383" s="29">
        <v>40.9424084</v>
      </c>
      <c r="U1383" s="29">
        <v>23.0366492</v>
      </c>
      <c r="V1383" s="29">
        <v>90.1259112</v>
      </c>
      <c r="W1383" s="29">
        <v>75.944334</v>
      </c>
      <c r="X1383" s="29">
        <v>14.1815772</v>
      </c>
      <c r="Y1383" s="29">
        <v>9.8740888</v>
      </c>
    </row>
    <row r="1384" ht="15.0" hidden="1" customHeight="1">
      <c r="B1384" s="30">
        <v>1379.0</v>
      </c>
      <c r="C1384" s="31" t="s">
        <v>19</v>
      </c>
      <c r="D1384" s="31" t="s">
        <v>428</v>
      </c>
      <c r="E1384" s="31" t="s">
        <v>440</v>
      </c>
      <c r="F1384" s="31"/>
      <c r="G1384" s="32" t="s">
        <v>15</v>
      </c>
      <c r="H1384" s="33"/>
      <c r="I1384" s="33"/>
      <c r="J1384" s="33"/>
      <c r="K1384" s="33"/>
      <c r="L1384" s="33"/>
      <c r="M1384" s="33"/>
      <c r="N1384" s="33"/>
      <c r="O1384" s="33"/>
      <c r="P1384" s="33"/>
      <c r="Q1384" s="33"/>
      <c r="R1384" s="34"/>
      <c r="S1384" s="34"/>
      <c r="T1384" s="34"/>
      <c r="U1384" s="34"/>
      <c r="V1384" s="34"/>
      <c r="W1384" s="34"/>
      <c r="X1384" s="34"/>
      <c r="Y1384" s="34"/>
    </row>
    <row r="1385" ht="15.0" hidden="1" customHeight="1">
      <c r="B1385" s="30">
        <v>1380.0</v>
      </c>
      <c r="C1385" s="31" t="s">
        <v>19</v>
      </c>
      <c r="D1385" s="31" t="s">
        <v>428</v>
      </c>
      <c r="E1385" s="31" t="s">
        <v>440</v>
      </c>
      <c r="F1385" s="31"/>
      <c r="G1385" s="32" t="s">
        <v>16</v>
      </c>
      <c r="H1385" s="33">
        <v>955.0</v>
      </c>
      <c r="I1385" s="33">
        <v>735.0</v>
      </c>
      <c r="J1385" s="33">
        <v>344.0</v>
      </c>
      <c r="K1385" s="33">
        <v>391.0</v>
      </c>
      <c r="L1385" s="33">
        <v>220.0</v>
      </c>
      <c r="M1385" s="33">
        <v>1509.0</v>
      </c>
      <c r="N1385" s="33">
        <v>1360.0</v>
      </c>
      <c r="O1385" s="33">
        <v>1146.0</v>
      </c>
      <c r="P1385" s="33">
        <v>214.0</v>
      </c>
      <c r="Q1385" s="33">
        <v>149.0</v>
      </c>
      <c r="R1385" s="34">
        <v>76.9633508</v>
      </c>
      <c r="S1385" s="34">
        <v>36.0209424</v>
      </c>
      <c r="T1385" s="34">
        <v>40.9424084</v>
      </c>
      <c r="U1385" s="34">
        <v>23.0366492</v>
      </c>
      <c r="V1385" s="34">
        <v>90.1259112</v>
      </c>
      <c r="W1385" s="34">
        <v>75.944334</v>
      </c>
      <c r="X1385" s="34">
        <v>14.1815772</v>
      </c>
      <c r="Y1385" s="34">
        <v>9.8740888</v>
      </c>
    </row>
    <row r="1386" ht="15.0" customHeight="1">
      <c r="B1386" s="35">
        <v>1381.0</v>
      </c>
      <c r="C1386" s="36" t="s">
        <v>21</v>
      </c>
      <c r="D1386" s="41" t="s">
        <v>428</v>
      </c>
      <c r="E1386" s="41" t="s">
        <v>440</v>
      </c>
      <c r="F1386" s="41" t="s">
        <v>358</v>
      </c>
      <c r="G1386" s="42" t="s">
        <v>358</v>
      </c>
      <c r="H1386" s="37">
        <v>611.0</v>
      </c>
      <c r="I1386" s="37">
        <v>464.0</v>
      </c>
      <c r="J1386" s="37">
        <v>220.0</v>
      </c>
      <c r="K1386" s="37">
        <v>244.0</v>
      </c>
      <c r="L1386" s="37">
        <v>147.0</v>
      </c>
      <c r="M1386" s="37">
        <v>860.0</v>
      </c>
      <c r="N1386" s="37">
        <v>786.0</v>
      </c>
      <c r="O1386" s="37">
        <v>667.0</v>
      </c>
      <c r="P1386" s="37">
        <v>119.0</v>
      </c>
      <c r="Q1386" s="37">
        <v>74.0</v>
      </c>
      <c r="R1386" s="38">
        <v>75.9410802</v>
      </c>
      <c r="S1386" s="38">
        <v>36.0065466</v>
      </c>
      <c r="T1386" s="38">
        <v>39.9345336</v>
      </c>
      <c r="U1386" s="38">
        <v>24.0589198</v>
      </c>
      <c r="V1386" s="38">
        <v>91.3953488</v>
      </c>
      <c r="W1386" s="38">
        <v>77.5581395</v>
      </c>
      <c r="X1386" s="38">
        <v>13.8372093</v>
      </c>
      <c r="Y1386" s="38">
        <v>8.6046512</v>
      </c>
    </row>
    <row r="1387" ht="15.0" hidden="1" customHeight="1">
      <c r="B1387" s="30">
        <v>1382.0</v>
      </c>
      <c r="C1387" s="31" t="s">
        <v>21</v>
      </c>
      <c r="D1387" s="31" t="s">
        <v>428</v>
      </c>
      <c r="E1387" s="31" t="s">
        <v>440</v>
      </c>
      <c r="F1387" s="31" t="s">
        <v>358</v>
      </c>
      <c r="G1387" s="32" t="s">
        <v>15</v>
      </c>
      <c r="H1387" s="33"/>
      <c r="I1387" s="33"/>
      <c r="J1387" s="33"/>
      <c r="K1387" s="33"/>
      <c r="L1387" s="33"/>
      <c r="M1387" s="33"/>
      <c r="N1387" s="33"/>
      <c r="O1387" s="33"/>
      <c r="P1387" s="33"/>
      <c r="Q1387" s="33"/>
      <c r="R1387" s="34"/>
      <c r="S1387" s="34"/>
      <c r="T1387" s="34"/>
      <c r="U1387" s="34"/>
      <c r="V1387" s="34"/>
      <c r="W1387" s="34"/>
      <c r="X1387" s="34"/>
      <c r="Y1387" s="34"/>
    </row>
    <row r="1388" ht="15.0" hidden="1" customHeight="1">
      <c r="B1388" s="30">
        <v>1383.0</v>
      </c>
      <c r="C1388" s="31" t="s">
        <v>21</v>
      </c>
      <c r="D1388" s="31" t="s">
        <v>428</v>
      </c>
      <c r="E1388" s="31" t="s">
        <v>440</v>
      </c>
      <c r="F1388" s="31" t="s">
        <v>358</v>
      </c>
      <c r="G1388" s="32" t="s">
        <v>16</v>
      </c>
      <c r="H1388" s="33">
        <v>611.0</v>
      </c>
      <c r="I1388" s="33">
        <v>464.0</v>
      </c>
      <c r="J1388" s="33">
        <v>220.0</v>
      </c>
      <c r="K1388" s="33">
        <v>244.0</v>
      </c>
      <c r="L1388" s="33">
        <v>147.0</v>
      </c>
      <c r="M1388" s="33">
        <v>860.0</v>
      </c>
      <c r="N1388" s="33">
        <v>786.0</v>
      </c>
      <c r="O1388" s="33">
        <v>667.0</v>
      </c>
      <c r="P1388" s="33">
        <v>119.0</v>
      </c>
      <c r="Q1388" s="33">
        <v>74.0</v>
      </c>
      <c r="R1388" s="34">
        <v>75.9410802</v>
      </c>
      <c r="S1388" s="34">
        <v>36.0065466</v>
      </c>
      <c r="T1388" s="34">
        <v>39.9345336</v>
      </c>
      <c r="U1388" s="34">
        <v>24.0589198</v>
      </c>
      <c r="V1388" s="34">
        <v>91.3953488</v>
      </c>
      <c r="W1388" s="34">
        <v>77.5581395</v>
      </c>
      <c r="X1388" s="34">
        <v>13.8372093</v>
      </c>
      <c r="Y1388" s="34">
        <v>8.6046512</v>
      </c>
    </row>
    <row r="1389" ht="15.0" customHeight="1">
      <c r="B1389" s="35">
        <v>1384.0</v>
      </c>
      <c r="C1389" s="36" t="s">
        <v>21</v>
      </c>
      <c r="D1389" s="41" t="s">
        <v>428</v>
      </c>
      <c r="E1389" s="41" t="s">
        <v>440</v>
      </c>
      <c r="F1389" s="41" t="s">
        <v>101</v>
      </c>
      <c r="G1389" s="42" t="s">
        <v>101</v>
      </c>
      <c r="H1389" s="37">
        <v>344.0</v>
      </c>
      <c r="I1389" s="37">
        <v>271.0</v>
      </c>
      <c r="J1389" s="37">
        <v>124.0</v>
      </c>
      <c r="K1389" s="37">
        <v>147.0</v>
      </c>
      <c r="L1389" s="37">
        <v>73.0</v>
      </c>
      <c r="M1389" s="37">
        <v>649.0</v>
      </c>
      <c r="N1389" s="37">
        <v>574.0</v>
      </c>
      <c r="O1389" s="37">
        <v>479.0</v>
      </c>
      <c r="P1389" s="37">
        <v>95.0</v>
      </c>
      <c r="Q1389" s="37">
        <v>75.0</v>
      </c>
      <c r="R1389" s="38">
        <v>78.7790698</v>
      </c>
      <c r="S1389" s="38">
        <v>36.0465116</v>
      </c>
      <c r="T1389" s="38">
        <v>42.7325581</v>
      </c>
      <c r="U1389" s="38">
        <v>21.2209302</v>
      </c>
      <c r="V1389" s="38">
        <v>88.4437596</v>
      </c>
      <c r="W1389" s="38">
        <v>73.8058552</v>
      </c>
      <c r="X1389" s="38">
        <v>14.6379045</v>
      </c>
      <c r="Y1389" s="38">
        <v>11.5562404</v>
      </c>
    </row>
    <row r="1390" ht="15.0" hidden="1" customHeight="1">
      <c r="B1390" s="30">
        <v>1385.0</v>
      </c>
      <c r="C1390" s="31" t="s">
        <v>21</v>
      </c>
      <c r="D1390" s="31" t="s">
        <v>428</v>
      </c>
      <c r="E1390" s="31" t="s">
        <v>440</v>
      </c>
      <c r="F1390" s="31" t="s">
        <v>101</v>
      </c>
      <c r="G1390" s="32" t="s">
        <v>15</v>
      </c>
      <c r="H1390" s="33"/>
      <c r="I1390" s="33"/>
      <c r="J1390" s="33"/>
      <c r="K1390" s="33"/>
      <c r="L1390" s="33"/>
      <c r="M1390" s="33"/>
      <c r="N1390" s="33"/>
      <c r="O1390" s="33"/>
      <c r="P1390" s="33"/>
      <c r="Q1390" s="33"/>
      <c r="R1390" s="34"/>
      <c r="S1390" s="34"/>
      <c r="T1390" s="34"/>
      <c r="U1390" s="34"/>
      <c r="V1390" s="34"/>
      <c r="W1390" s="34"/>
      <c r="X1390" s="34"/>
      <c r="Y1390" s="34"/>
    </row>
    <row r="1391" ht="15.0" hidden="1" customHeight="1">
      <c r="B1391" s="30">
        <v>1386.0</v>
      </c>
      <c r="C1391" s="31" t="s">
        <v>21</v>
      </c>
      <c r="D1391" s="31" t="s">
        <v>428</v>
      </c>
      <c r="E1391" s="31" t="s">
        <v>440</v>
      </c>
      <c r="F1391" s="31" t="s">
        <v>101</v>
      </c>
      <c r="G1391" s="32" t="s">
        <v>16</v>
      </c>
      <c r="H1391" s="33">
        <v>344.0</v>
      </c>
      <c r="I1391" s="33">
        <v>271.0</v>
      </c>
      <c r="J1391" s="33">
        <v>124.0</v>
      </c>
      <c r="K1391" s="33">
        <v>147.0</v>
      </c>
      <c r="L1391" s="33">
        <v>73.0</v>
      </c>
      <c r="M1391" s="33">
        <v>649.0</v>
      </c>
      <c r="N1391" s="33">
        <v>574.0</v>
      </c>
      <c r="O1391" s="33">
        <v>479.0</v>
      </c>
      <c r="P1391" s="33">
        <v>95.0</v>
      </c>
      <c r="Q1391" s="33">
        <v>75.0</v>
      </c>
      <c r="R1391" s="34">
        <v>78.7790698</v>
      </c>
      <c r="S1391" s="34">
        <v>36.0465116</v>
      </c>
      <c r="T1391" s="34">
        <v>42.7325581</v>
      </c>
      <c r="U1391" s="34">
        <v>21.2209302</v>
      </c>
      <c r="V1391" s="34">
        <v>88.4437596</v>
      </c>
      <c r="W1391" s="34">
        <v>73.8058552</v>
      </c>
      <c r="X1391" s="34">
        <v>14.6379045</v>
      </c>
      <c r="Y1391" s="34">
        <v>11.5562404</v>
      </c>
    </row>
    <row r="1392" ht="15.0" hidden="1" customHeight="1">
      <c r="B1392" s="26">
        <v>1387.0</v>
      </c>
      <c r="C1392" s="27" t="s">
        <v>19</v>
      </c>
      <c r="D1392" s="40" t="s">
        <v>428</v>
      </c>
      <c r="E1392" s="40" t="s">
        <v>441</v>
      </c>
      <c r="F1392" s="40"/>
      <c r="G1392" s="27" t="s">
        <v>441</v>
      </c>
      <c r="H1392" s="28">
        <v>1521.0</v>
      </c>
      <c r="I1392" s="28">
        <v>1136.0</v>
      </c>
      <c r="J1392" s="28">
        <v>602.0</v>
      </c>
      <c r="K1392" s="28">
        <v>534.0</v>
      </c>
      <c r="L1392" s="28">
        <v>385.0</v>
      </c>
      <c r="M1392" s="28">
        <v>1798.0</v>
      </c>
      <c r="N1392" s="28">
        <v>1693.0</v>
      </c>
      <c r="O1392" s="28">
        <v>1453.0</v>
      </c>
      <c r="P1392" s="28">
        <v>240.0</v>
      </c>
      <c r="Q1392" s="28">
        <v>105.0</v>
      </c>
      <c r="R1392" s="29">
        <v>74.6877055</v>
      </c>
      <c r="S1392" s="29">
        <v>39.5792242</v>
      </c>
      <c r="T1392" s="29">
        <v>35.1084813</v>
      </c>
      <c r="U1392" s="29">
        <v>25.3122945</v>
      </c>
      <c r="V1392" s="29">
        <v>94.160178</v>
      </c>
      <c r="W1392" s="29">
        <v>80.8120133</v>
      </c>
      <c r="X1392" s="29">
        <v>13.3481646</v>
      </c>
      <c r="Y1392" s="29">
        <v>5.839822</v>
      </c>
    </row>
    <row r="1393" ht="15.0" hidden="1" customHeight="1">
      <c r="B1393" s="30">
        <v>1388.0</v>
      </c>
      <c r="C1393" s="31" t="s">
        <v>19</v>
      </c>
      <c r="D1393" s="31" t="s">
        <v>428</v>
      </c>
      <c r="E1393" s="31" t="s">
        <v>441</v>
      </c>
      <c r="F1393" s="31"/>
      <c r="G1393" s="32" t="s">
        <v>15</v>
      </c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4"/>
      <c r="S1393" s="34"/>
      <c r="T1393" s="34"/>
      <c r="U1393" s="34"/>
      <c r="V1393" s="34"/>
      <c r="W1393" s="34"/>
      <c r="X1393" s="34"/>
      <c r="Y1393" s="34"/>
    </row>
    <row r="1394" ht="15.0" hidden="1" customHeight="1">
      <c r="B1394" s="30">
        <v>1389.0</v>
      </c>
      <c r="C1394" s="31" t="s">
        <v>19</v>
      </c>
      <c r="D1394" s="31" t="s">
        <v>428</v>
      </c>
      <c r="E1394" s="31" t="s">
        <v>441</v>
      </c>
      <c r="F1394" s="31"/>
      <c r="G1394" s="32" t="s">
        <v>16</v>
      </c>
      <c r="H1394" s="33">
        <v>1521.0</v>
      </c>
      <c r="I1394" s="33">
        <v>1136.0</v>
      </c>
      <c r="J1394" s="33">
        <v>602.0</v>
      </c>
      <c r="K1394" s="33">
        <v>534.0</v>
      </c>
      <c r="L1394" s="33">
        <v>385.0</v>
      </c>
      <c r="M1394" s="33">
        <v>1798.0</v>
      </c>
      <c r="N1394" s="33">
        <v>1693.0</v>
      </c>
      <c r="O1394" s="33">
        <v>1453.0</v>
      </c>
      <c r="P1394" s="33">
        <v>240.0</v>
      </c>
      <c r="Q1394" s="33">
        <v>105.0</v>
      </c>
      <c r="R1394" s="34">
        <v>74.6877055</v>
      </c>
      <c r="S1394" s="34">
        <v>39.5792242</v>
      </c>
      <c r="T1394" s="34">
        <v>35.1084813</v>
      </c>
      <c r="U1394" s="34">
        <v>25.3122945</v>
      </c>
      <c r="V1394" s="34">
        <v>94.160178</v>
      </c>
      <c r="W1394" s="34">
        <v>80.8120133</v>
      </c>
      <c r="X1394" s="34">
        <v>13.3481646</v>
      </c>
      <c r="Y1394" s="34">
        <v>5.839822</v>
      </c>
    </row>
    <row r="1395" ht="15.0" customHeight="1">
      <c r="B1395" s="35">
        <v>1390.0</v>
      </c>
      <c r="C1395" s="36" t="s">
        <v>21</v>
      </c>
      <c r="D1395" s="41" t="s">
        <v>428</v>
      </c>
      <c r="E1395" s="41" t="s">
        <v>441</v>
      </c>
      <c r="F1395" s="41" t="s">
        <v>442</v>
      </c>
      <c r="G1395" s="42" t="s">
        <v>442</v>
      </c>
      <c r="H1395" s="37">
        <v>466.0</v>
      </c>
      <c r="I1395" s="37">
        <v>321.0</v>
      </c>
      <c r="J1395" s="37">
        <v>182.0</v>
      </c>
      <c r="K1395" s="37">
        <v>139.0</v>
      </c>
      <c r="L1395" s="37">
        <v>145.0</v>
      </c>
      <c r="M1395" s="37">
        <v>489.0</v>
      </c>
      <c r="N1395" s="37">
        <v>451.0</v>
      </c>
      <c r="O1395" s="37">
        <v>408.0</v>
      </c>
      <c r="P1395" s="37">
        <v>43.0</v>
      </c>
      <c r="Q1395" s="37">
        <v>38.0</v>
      </c>
      <c r="R1395" s="38">
        <v>68.8841202</v>
      </c>
      <c r="S1395" s="38">
        <v>39.055794</v>
      </c>
      <c r="T1395" s="38">
        <v>29.8283262</v>
      </c>
      <c r="U1395" s="38">
        <v>31.1158798</v>
      </c>
      <c r="V1395" s="38">
        <v>92.2290389</v>
      </c>
      <c r="W1395" s="38">
        <v>83.4355828</v>
      </c>
      <c r="X1395" s="38">
        <v>8.793456</v>
      </c>
      <c r="Y1395" s="38">
        <v>7.7709611</v>
      </c>
    </row>
    <row r="1396" ht="15.0" hidden="1" customHeight="1">
      <c r="B1396" s="30">
        <v>1391.0</v>
      </c>
      <c r="C1396" s="31" t="s">
        <v>21</v>
      </c>
      <c r="D1396" s="31" t="s">
        <v>428</v>
      </c>
      <c r="E1396" s="31" t="s">
        <v>441</v>
      </c>
      <c r="F1396" s="31" t="s">
        <v>442</v>
      </c>
      <c r="G1396" s="32" t="s">
        <v>15</v>
      </c>
      <c r="H1396" s="33"/>
      <c r="I1396" s="33"/>
      <c r="J1396" s="33"/>
      <c r="K1396" s="33"/>
      <c r="L1396" s="33"/>
      <c r="M1396" s="33"/>
      <c r="N1396" s="33"/>
      <c r="O1396" s="33"/>
      <c r="P1396" s="33"/>
      <c r="Q1396" s="33"/>
      <c r="R1396" s="34"/>
      <c r="S1396" s="34"/>
      <c r="T1396" s="34"/>
      <c r="U1396" s="34"/>
      <c r="V1396" s="34"/>
      <c r="W1396" s="34"/>
      <c r="X1396" s="34"/>
      <c r="Y1396" s="34"/>
    </row>
    <row r="1397" ht="15.0" hidden="1" customHeight="1">
      <c r="B1397" s="30">
        <v>1392.0</v>
      </c>
      <c r="C1397" s="31" t="s">
        <v>21</v>
      </c>
      <c r="D1397" s="31" t="s">
        <v>428</v>
      </c>
      <c r="E1397" s="31" t="s">
        <v>441</v>
      </c>
      <c r="F1397" s="31" t="s">
        <v>442</v>
      </c>
      <c r="G1397" s="32" t="s">
        <v>16</v>
      </c>
      <c r="H1397" s="33">
        <v>466.0</v>
      </c>
      <c r="I1397" s="33">
        <v>321.0</v>
      </c>
      <c r="J1397" s="33">
        <v>182.0</v>
      </c>
      <c r="K1397" s="33">
        <v>139.0</v>
      </c>
      <c r="L1397" s="33">
        <v>145.0</v>
      </c>
      <c r="M1397" s="33">
        <v>489.0</v>
      </c>
      <c r="N1397" s="33">
        <v>451.0</v>
      </c>
      <c r="O1397" s="33">
        <v>408.0</v>
      </c>
      <c r="P1397" s="33">
        <v>43.0</v>
      </c>
      <c r="Q1397" s="33">
        <v>38.0</v>
      </c>
      <c r="R1397" s="34">
        <v>68.8841202</v>
      </c>
      <c r="S1397" s="34">
        <v>39.055794</v>
      </c>
      <c r="T1397" s="34">
        <v>29.8283262</v>
      </c>
      <c r="U1397" s="34">
        <v>31.1158798</v>
      </c>
      <c r="V1397" s="34">
        <v>92.2290389</v>
      </c>
      <c r="W1397" s="34">
        <v>83.4355828</v>
      </c>
      <c r="X1397" s="34">
        <v>8.793456</v>
      </c>
      <c r="Y1397" s="34">
        <v>7.7709611</v>
      </c>
    </row>
    <row r="1398" ht="15.0" customHeight="1">
      <c r="B1398" s="35">
        <v>1393.0</v>
      </c>
      <c r="C1398" s="36" t="s">
        <v>21</v>
      </c>
      <c r="D1398" s="41" t="s">
        <v>428</v>
      </c>
      <c r="E1398" s="41" t="s">
        <v>441</v>
      </c>
      <c r="F1398" s="41" t="s">
        <v>443</v>
      </c>
      <c r="G1398" s="42" t="s">
        <v>443</v>
      </c>
      <c r="H1398" s="37">
        <v>589.0</v>
      </c>
      <c r="I1398" s="37">
        <v>449.0</v>
      </c>
      <c r="J1398" s="37">
        <v>219.0</v>
      </c>
      <c r="K1398" s="37">
        <v>230.0</v>
      </c>
      <c r="L1398" s="37">
        <v>140.0</v>
      </c>
      <c r="M1398" s="37">
        <v>708.0</v>
      </c>
      <c r="N1398" s="37">
        <v>677.0</v>
      </c>
      <c r="O1398" s="37">
        <v>554.0</v>
      </c>
      <c r="P1398" s="37">
        <v>123.0</v>
      </c>
      <c r="Q1398" s="37">
        <v>31.0</v>
      </c>
      <c r="R1398" s="38">
        <v>76.2308998</v>
      </c>
      <c r="S1398" s="38">
        <v>37.1816638</v>
      </c>
      <c r="T1398" s="38">
        <v>39.049236</v>
      </c>
      <c r="U1398" s="38">
        <v>23.7691002</v>
      </c>
      <c r="V1398" s="38">
        <v>95.6214689</v>
      </c>
      <c r="W1398" s="38">
        <v>78.2485876</v>
      </c>
      <c r="X1398" s="38">
        <v>17.3728814</v>
      </c>
      <c r="Y1398" s="38">
        <v>4.3785311</v>
      </c>
    </row>
    <row r="1399" ht="15.0" hidden="1" customHeight="1">
      <c r="B1399" s="30">
        <v>1394.0</v>
      </c>
      <c r="C1399" s="31" t="s">
        <v>21</v>
      </c>
      <c r="D1399" s="31" t="s">
        <v>428</v>
      </c>
      <c r="E1399" s="31" t="s">
        <v>441</v>
      </c>
      <c r="F1399" s="31" t="s">
        <v>443</v>
      </c>
      <c r="G1399" s="32" t="s">
        <v>15</v>
      </c>
      <c r="H1399" s="33"/>
      <c r="I1399" s="33"/>
      <c r="J1399" s="33"/>
      <c r="K1399" s="33"/>
      <c r="L1399" s="33"/>
      <c r="M1399" s="33"/>
      <c r="N1399" s="33"/>
      <c r="O1399" s="33"/>
      <c r="P1399" s="33"/>
      <c r="Q1399" s="33"/>
      <c r="R1399" s="34"/>
      <c r="S1399" s="34"/>
      <c r="T1399" s="34"/>
      <c r="U1399" s="34"/>
      <c r="V1399" s="34"/>
      <c r="W1399" s="34"/>
      <c r="X1399" s="34"/>
      <c r="Y1399" s="34"/>
    </row>
    <row r="1400" ht="15.0" hidden="1" customHeight="1">
      <c r="B1400" s="30">
        <v>1395.0</v>
      </c>
      <c r="C1400" s="31" t="s">
        <v>21</v>
      </c>
      <c r="D1400" s="31" t="s">
        <v>428</v>
      </c>
      <c r="E1400" s="31" t="s">
        <v>441</v>
      </c>
      <c r="F1400" s="31" t="s">
        <v>443</v>
      </c>
      <c r="G1400" s="32" t="s">
        <v>16</v>
      </c>
      <c r="H1400" s="33">
        <v>589.0</v>
      </c>
      <c r="I1400" s="33">
        <v>449.0</v>
      </c>
      <c r="J1400" s="33">
        <v>219.0</v>
      </c>
      <c r="K1400" s="33">
        <v>230.0</v>
      </c>
      <c r="L1400" s="33">
        <v>140.0</v>
      </c>
      <c r="M1400" s="33">
        <v>708.0</v>
      </c>
      <c r="N1400" s="33">
        <v>677.0</v>
      </c>
      <c r="O1400" s="33">
        <v>554.0</v>
      </c>
      <c r="P1400" s="33">
        <v>123.0</v>
      </c>
      <c r="Q1400" s="33">
        <v>31.0</v>
      </c>
      <c r="R1400" s="34">
        <v>76.2308998</v>
      </c>
      <c r="S1400" s="34">
        <v>37.1816638</v>
      </c>
      <c r="T1400" s="34">
        <v>39.049236</v>
      </c>
      <c r="U1400" s="34">
        <v>23.7691002</v>
      </c>
      <c r="V1400" s="34">
        <v>95.6214689</v>
      </c>
      <c r="W1400" s="34">
        <v>78.2485876</v>
      </c>
      <c r="X1400" s="34">
        <v>17.3728814</v>
      </c>
      <c r="Y1400" s="34">
        <v>4.3785311</v>
      </c>
    </row>
    <row r="1401" ht="15.0" customHeight="1">
      <c r="B1401" s="35">
        <v>1396.0</v>
      </c>
      <c r="C1401" s="36" t="s">
        <v>21</v>
      </c>
      <c r="D1401" s="41" t="s">
        <v>428</v>
      </c>
      <c r="E1401" s="41" t="s">
        <v>441</v>
      </c>
      <c r="F1401" s="41" t="s">
        <v>444</v>
      </c>
      <c r="G1401" s="42" t="s">
        <v>444</v>
      </c>
      <c r="H1401" s="37">
        <v>466.0</v>
      </c>
      <c r="I1401" s="37">
        <v>366.0</v>
      </c>
      <c r="J1401" s="37">
        <v>201.0</v>
      </c>
      <c r="K1401" s="37">
        <v>165.0</v>
      </c>
      <c r="L1401" s="37">
        <v>100.0</v>
      </c>
      <c r="M1401" s="37">
        <v>601.0</v>
      </c>
      <c r="N1401" s="37">
        <v>565.0</v>
      </c>
      <c r="O1401" s="37">
        <v>491.0</v>
      </c>
      <c r="P1401" s="37">
        <v>74.0</v>
      </c>
      <c r="Q1401" s="37">
        <v>36.0</v>
      </c>
      <c r="R1401" s="38">
        <v>78.5407725</v>
      </c>
      <c r="S1401" s="38">
        <v>43.1330472</v>
      </c>
      <c r="T1401" s="38">
        <v>35.4077253</v>
      </c>
      <c r="U1401" s="38">
        <v>21.4592275</v>
      </c>
      <c r="V1401" s="38">
        <v>94.0099834</v>
      </c>
      <c r="W1401" s="38">
        <v>81.6971714</v>
      </c>
      <c r="X1401" s="38">
        <v>12.312812</v>
      </c>
      <c r="Y1401" s="38">
        <v>5.9900166</v>
      </c>
    </row>
    <row r="1402" ht="15.0" hidden="1" customHeight="1">
      <c r="B1402" s="30">
        <v>1397.0</v>
      </c>
      <c r="C1402" s="31" t="s">
        <v>21</v>
      </c>
      <c r="D1402" s="31" t="s">
        <v>428</v>
      </c>
      <c r="E1402" s="31" t="s">
        <v>441</v>
      </c>
      <c r="F1402" s="31" t="s">
        <v>444</v>
      </c>
      <c r="G1402" s="32" t="s">
        <v>15</v>
      </c>
      <c r="H1402" s="33"/>
      <c r="I1402" s="33"/>
      <c r="J1402" s="33"/>
      <c r="K1402" s="33"/>
      <c r="L1402" s="33"/>
      <c r="M1402" s="33"/>
      <c r="N1402" s="33"/>
      <c r="O1402" s="33"/>
      <c r="P1402" s="33"/>
      <c r="Q1402" s="33"/>
      <c r="R1402" s="34"/>
      <c r="S1402" s="34"/>
      <c r="T1402" s="34"/>
      <c r="U1402" s="34"/>
      <c r="V1402" s="34"/>
      <c r="W1402" s="34"/>
      <c r="X1402" s="34"/>
      <c r="Y1402" s="34"/>
    </row>
    <row r="1403" ht="15.0" hidden="1" customHeight="1">
      <c r="B1403" s="43">
        <v>1398.0</v>
      </c>
      <c r="C1403" s="44" t="s">
        <v>21</v>
      </c>
      <c r="D1403" s="44" t="s">
        <v>428</v>
      </c>
      <c r="E1403" s="44" t="s">
        <v>441</v>
      </c>
      <c r="F1403" s="44" t="s">
        <v>444</v>
      </c>
      <c r="G1403" s="45" t="s">
        <v>16</v>
      </c>
      <c r="H1403" s="46">
        <v>466.0</v>
      </c>
      <c r="I1403" s="46">
        <v>366.0</v>
      </c>
      <c r="J1403" s="46">
        <v>201.0</v>
      </c>
      <c r="K1403" s="46">
        <v>165.0</v>
      </c>
      <c r="L1403" s="46">
        <v>100.0</v>
      </c>
      <c r="M1403" s="46">
        <v>601.0</v>
      </c>
      <c r="N1403" s="46">
        <v>565.0</v>
      </c>
      <c r="O1403" s="46">
        <v>491.0</v>
      </c>
      <c r="P1403" s="46">
        <v>74.0</v>
      </c>
      <c r="Q1403" s="46">
        <v>36.0</v>
      </c>
      <c r="R1403" s="47">
        <v>78.5407725</v>
      </c>
      <c r="S1403" s="47">
        <v>43.1330472</v>
      </c>
      <c r="T1403" s="47">
        <v>35.4077253</v>
      </c>
      <c r="U1403" s="47">
        <v>21.4592275</v>
      </c>
      <c r="V1403" s="47">
        <v>94.0099834</v>
      </c>
      <c r="W1403" s="47">
        <v>81.6971714</v>
      </c>
      <c r="X1403" s="47">
        <v>12.312812</v>
      </c>
      <c r="Y1403" s="47">
        <v>5.9900166</v>
      </c>
    </row>
    <row r="1404" ht="12.0" hidden="1" customHeight="1">
      <c r="A1404" s="48"/>
      <c r="B1404" s="49" t="s">
        <v>445</v>
      </c>
    </row>
    <row r="1405" ht="12.0" hidden="1" customHeight="1">
      <c r="A1405" s="48"/>
      <c r="B1405" s="50" t="s">
        <v>446</v>
      </c>
    </row>
    <row r="1406" ht="12.0" hidden="1" customHeight="1">
      <c r="A1406" s="48"/>
      <c r="B1406" s="50" t="s">
        <v>447</v>
      </c>
    </row>
    <row r="1407" ht="12.0" customHeight="1">
      <c r="A1407" s="48"/>
      <c r="R1407" s="51"/>
      <c r="S1407" s="51"/>
      <c r="T1407" s="51"/>
      <c r="U1407" s="51"/>
      <c r="V1407" s="51"/>
      <c r="W1407" s="51"/>
      <c r="X1407" s="51"/>
      <c r="Y1407" s="51"/>
    </row>
    <row r="1408" ht="15.0" customHeight="1">
      <c r="A1408" s="48"/>
      <c r="R1408" s="51"/>
      <c r="S1408" s="51"/>
      <c r="T1408" s="51"/>
      <c r="U1408" s="51"/>
      <c r="V1408" s="51"/>
      <c r="W1408" s="51"/>
      <c r="X1408" s="51"/>
      <c r="Y1408" s="51"/>
    </row>
    <row r="1409" ht="15.0" customHeight="1">
      <c r="A1409" s="48"/>
      <c r="R1409" s="51"/>
      <c r="S1409" s="51"/>
      <c r="T1409" s="51"/>
      <c r="U1409" s="51"/>
      <c r="V1409" s="51"/>
      <c r="W1409" s="51"/>
      <c r="X1409" s="51"/>
      <c r="Y1409" s="51"/>
    </row>
    <row r="1410" ht="12.75" customHeight="1">
      <c r="A1410" s="48"/>
    </row>
    <row r="1411" ht="12.75" customHeight="1">
      <c r="A1411" s="48"/>
    </row>
    <row r="1412" ht="12.75" customHeight="1">
      <c r="A1412" s="48"/>
    </row>
    <row r="1413" ht="12.75" customHeight="1">
      <c r="A1413" s="48"/>
    </row>
    <row r="1414" ht="12.75" customHeight="1">
      <c r="A1414" s="48"/>
    </row>
    <row r="1415" ht="12.75" customHeight="1">
      <c r="A1415" s="48"/>
    </row>
    <row r="1416" ht="12.75" customHeight="1">
      <c r="A1416" s="48"/>
    </row>
    <row r="1417" ht="12.75" customHeight="1">
      <c r="A1417" s="48"/>
    </row>
    <row r="1418" ht="12.75" customHeight="1">
      <c r="A1418" s="48"/>
    </row>
    <row r="1419" ht="12.75" customHeight="1">
      <c r="A1419" s="48"/>
    </row>
    <row r="1420" ht="12.75" customHeight="1">
      <c r="A1420" s="48"/>
    </row>
    <row r="1421" ht="12.75" customHeight="1">
      <c r="A1421" s="48"/>
    </row>
    <row r="1422" ht="12.75" customHeight="1">
      <c r="A1422" s="48"/>
    </row>
    <row r="1423" ht="12.75" customHeight="1">
      <c r="A1423" s="48"/>
    </row>
    <row r="1424" ht="12.75" customHeight="1">
      <c r="A1424" s="48"/>
    </row>
    <row r="1425" ht="12.75" customHeight="1">
      <c r="A1425" s="48"/>
    </row>
    <row r="1426" ht="12.75" customHeight="1">
      <c r="A1426" s="48"/>
    </row>
  </sheetData>
  <autoFilter ref="$A$5:$Y$1406">
    <filterColumn colId="6">
      <filters blank="1">
        <filter val="Oruro"/>
        <filter val="Vallegrande"/>
        <filter val="Luribay"/>
        <filter val="Gutiérrez (Autonomía Indígena Kereimba Iyaambae)"/>
        <filter val="San Pedro de Totora"/>
        <filter val="Vitichi"/>
        <filter val="San Julián"/>
        <filter val="Puerto Mayor de Guaqui"/>
        <filter val="Tarata"/>
        <filter val="Icla"/>
        <filter val="Nor Lípez"/>
        <filter val="Pucará"/>
        <filter val="Loreto"/>
        <filter val="Tapacarí"/>
        <filter val="Villa Tunari"/>
        <filter val="Caracollo"/>
        <filter val="Colquiri"/>
        <filter val="General Bernardino Bilbao"/>
        <filter val="Arani"/>
        <filter val="Punata"/>
        <filter val="Cordiller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Ichilo"/>
        <filter val="Anzaldo"/>
        <filter val="Copacabana"/>
        <filter val="Toco"/>
        <filter val="Ladislao Cabrera"/>
        <filter val="La Paz"/>
        <filter val="Magdalena"/>
        <filter val="Arce"/>
        <filter val="Porongo"/>
        <filter val="Sur Yungas"/>
        <filter val="San Ignacio"/>
        <filter val="Cajuata"/>
        <filter val="Huatajata"/>
        <filter val="Batallas"/>
        <filter val="Carrasco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Sur Lípez"/>
        <filter val="El Puente"/>
        <filter val="Calamarca"/>
        <filter val="Entre Ríos"/>
        <filter val="Trigal"/>
        <filter val="San Pedro de Macha"/>
        <filter val="Nor Yungas"/>
        <filter val="Germán Jordán"/>
        <filter val="Nor Chichas"/>
        <filter val="Iténez"/>
        <filter val="Sicaya"/>
        <filter val="Malla"/>
        <filter val="Bautista Saavedr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Chuquisaca"/>
        <filter val="Santos Mercado"/>
        <filter val="Azurduy"/>
        <filter val="Arbieto"/>
        <filter val="Sucre"/>
        <filter val="Campero"/>
        <filter val="El Torno"/>
        <filter val="Madre de Dios"/>
        <filter val="El Choro"/>
        <filter val="Pocoata"/>
        <filter val="Chua Cocani"/>
        <filter val="Tinguipaya"/>
        <filter val="Puerto Villarroel"/>
        <filter val="Guanay"/>
        <filter val="Antonio Quijarro"/>
        <filter val="José María Linares"/>
        <filter val="Manuel María Caballero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Nicolás Suárez"/>
        <filter val="Concepción"/>
        <filter val="Huarina"/>
        <filter val="Pacajes"/>
        <filter val="Ascención de Guarayos"/>
        <filter val="Sud Cinti"/>
        <filter val="Villa Charcas"/>
        <filter val="TIOC-Jatun Ayllu Yura"/>
        <filter val="Cotagaita"/>
        <filter val="Atocha"/>
        <filter val="Chapare"/>
        <filter val="Monteagudo"/>
        <filter val="Puerto Siles"/>
        <filter val="Saucarí"/>
        <filter val="Okinawa Uno"/>
        <filter val="Florida"/>
        <filter val="Aucapata"/>
        <filter val="Alonso de Ibáñez"/>
        <filter val="Manco Kapac"/>
        <filter val="Mejillones"/>
        <filter val="Belén de Andamarca"/>
        <filter val="Ixiamas"/>
        <filter val="Sara"/>
        <filter val="Charaña"/>
        <filter val="Beni"/>
        <filter val="San Ramón"/>
        <filter val="Porco"/>
        <filter val="Yamparáez"/>
        <filter val="Méndez"/>
        <filter val="Mapiri"/>
        <filter val="Papel Pampa"/>
        <filter val="Viacha"/>
        <filter val="Tarija"/>
        <filter val="Tipuani"/>
        <filter val="Tiahuanacu"/>
        <filter val="San Lucas"/>
        <filter val="Pando"/>
        <filter val="Marbán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Belisario Boeto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Andrés Ibáñez"/>
        <filter val="Laja"/>
        <filter val="Tomás Frías"/>
        <filter val="Santiago de Huari"/>
        <filter val="Yacuiba"/>
        <filter val="Montero"/>
        <filter val="Fernández Alonso"/>
        <filter val="Santa Cruz"/>
        <filter val="Yaco"/>
        <filter val="Vacas"/>
        <filter val="Pailón"/>
        <filter val="Chuma"/>
        <filter val="Waldo Ballivián"/>
        <filter val="Yacuma"/>
        <filter val="San Pablo"/>
        <filter val="Paria"/>
        <filter val="San Javier"/>
        <filter val="Tomás Barrón"/>
        <filter val="Toro Toro"/>
        <filter val="Sabaya"/>
        <filter val="Curahuara de Carangas"/>
        <filter val="Tiquipaya"/>
        <filter val="Puerto Pérez"/>
        <filter val="Porvenir"/>
        <filter val="Daniel Campos"/>
        <filter val="San Juan"/>
        <filter val="La Asunta"/>
        <filter val="Poroma"/>
        <filter val="Santiago de Huata"/>
        <filter val="Eucaliptus"/>
        <filter val="Chimoré"/>
        <filter val="Ichoca"/>
        <filter val="Sur Chichas"/>
        <filter val="Mocomoco"/>
        <filter val="Padcaya"/>
        <filter val="Bella Flor"/>
        <filter val="Huacareta"/>
        <filter val="Charazani"/>
        <filter val="Tomave"/>
        <filter val="Obispo Santisteban"/>
        <filter val="Abaroa"/>
        <filter val="Pucarani"/>
        <filter val="Cotoca"/>
        <filter val="Coroico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Abel Iturralde"/>
        <filter val="Abuná"/>
        <filter val="San Antonio de Lomerio"/>
        <filter val="Arampampa"/>
        <filter val="Zudáñez"/>
        <filter val="Gualberto Villarroel"/>
        <filter val="Quime"/>
        <filter val="Tarabuco"/>
        <filter val="Litoral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Federico Román"/>
        <filter val="Loayza"/>
        <filter val="Rafael Bustillo"/>
        <filter val="Tacobamba"/>
        <filter val="Humanata"/>
        <filter val="Riberalta"/>
        <filter val="San Joaquín"/>
        <filter val="Palca"/>
        <filter val="El Villar"/>
        <filter val="Salinas de Garci Mendoza (Autonomía Indígena Originario Campesina de Salinas)"/>
        <filter val="Nor Cinti"/>
        <filter val="Urmiri"/>
        <filter val="Cercado"/>
        <filter val="Santiago de Callapa"/>
        <filter val="Jesús de Machaka"/>
        <filter val="Muñecas"/>
        <filter val="Mizque"/>
        <filter val="San Pedro de Quemes"/>
        <filter val="Exaltación"/>
        <filter val="Sorata"/>
        <filter val="Totora"/>
        <filter val="Omasuyos"/>
        <filter val="Chiquitos"/>
        <filter val="Vaca Diez"/>
        <filter val="Ángel Sandoval"/>
        <filter val="Omereque"/>
        <filter val="Puna"/>
        <filter val="Tacacoma"/>
        <filter val="Ñuflo de Chávez"/>
        <filter val="Modesto Omiste"/>
        <filter val="Mojocoya"/>
        <filter val="San Antonio de Esmoruco"/>
        <filter val="San Matías"/>
        <filter val="Larecaja"/>
        <filter val="Alto Beni"/>
        <filter val="Baures"/>
        <filter val="Velasco"/>
        <filter val="Turco"/>
        <filter val="Lagunillas"/>
        <filter val="Sopachuy"/>
        <filter val="Gran Chaco"/>
        <filter val="Cobija"/>
        <filter val="San Borja"/>
        <filter val="Puerto Menor de Rurrenabaque"/>
        <filter val="Pampagrande"/>
        <filter val="Yotala"/>
        <filter val="Tarvita"/>
        <filter val="General José Manuel Pando"/>
        <filter val="Camargo"/>
        <filter val="Choquecota"/>
        <filter val="Guarayos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Enrique Baldivieso"/>
        <filter val="Las Carreras"/>
        <filter val="Santiago de Machaca"/>
        <filter val="Palos Blancos"/>
        <filter val="Postrervalle"/>
        <filter val="Pampa Aullagas"/>
        <filter val="Moxos"/>
        <filter val="Curva"/>
        <filter val="Quillacollo"/>
        <filter val="Camacho"/>
        <filter val="Nor Carangas"/>
        <filter val="San Lorenzo"/>
        <filter val="Puerto Quijarro"/>
        <filter val="Mecapaca"/>
        <filter val="Cocapata"/>
        <filter val="Andamarca"/>
        <filter val="Puerto Mayor de Carabuco"/>
        <filter val="Manuripi"/>
        <filter val="Bolpebra"/>
        <filter val="Corque"/>
        <filter val="Umala"/>
        <filter val="Territorio Indígena Multiétnico"/>
        <filter val="Caripuyo"/>
        <filter val="Santa Rosa"/>
        <filter val="Teoponte"/>
        <filter val="Uyuni"/>
        <filter val="Pazña"/>
        <filter val="Oropeza"/>
        <filter val="Luis Calvo"/>
        <filter val="Sajama"/>
        <filter val="Yocalla"/>
        <filter val="Esmeralda"/>
        <filter val="Vinto"/>
        <filter val="Pantaleón Dalence"/>
        <filter val="Inquisivi"/>
        <filter val="Yunguyo del Litoral"/>
        <filter val="Mamoré"/>
        <filter val="Cornelio Saavedra"/>
        <filter val="Puerto Suárez"/>
        <filter val="Irupana"/>
        <filter val="Carangas"/>
        <filter val="San Rafael"/>
        <filter val="Caranavi"/>
        <filter val="Villa Rivero"/>
        <filter val="Pocona"/>
        <filter val="Avilez"/>
        <filter val="Los Andes"/>
        <filter val="Pojo"/>
        <filter val="Sena"/>
        <filter val="El Alto"/>
        <filter val="Esteban Arze"/>
        <filter val="Tahua"/>
        <filter val="Sacaca"/>
        <filter val="Villa Serrano"/>
        <filter val="Tito Yupanqui"/>
        <filter val="Nazacara de Pacajes"/>
        <filter val="Villazón"/>
        <filter val="Caquiaviri"/>
        <filter val="Aroma"/>
        <filter val="Santiváñez"/>
        <filter val="Sacabamba"/>
        <filter val="Cochabamba"/>
        <filter val="Aiquile"/>
        <filter val="Franz Tamayo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Hernando Siles"/>
        <filter val="Cliza"/>
        <filter val="Villa Abecia"/>
        <filter val="Quiabaya"/>
        <filter val="Vila Vila"/>
        <filter val="General Saavedra"/>
        <filter val="Bolivia"/>
        <filter val="Murillo"/>
        <filter val="Cruz de Machacamarca"/>
        <filter val="General José Ballivián"/>
        <filter val="O'Connor"/>
        <filter val="Sur Carangas"/>
        <filter val="Warnes"/>
        <filter val="Pelechuco"/>
        <filter val="Charcas"/>
        <filter val="Sebastián Pagador"/>
        <filter val="Comanche"/>
        <filter val="Padilla"/>
        <filter val="Potosí"/>
        <filter val="Bermejo"/>
        <filter val="Cuevo"/>
        <filter val="Germán Busch"/>
        <filter val="Chacarilla"/>
        <filter val="Huachacalla"/>
        <filter val="Ocurí"/>
        <filter val="Valle Grande"/>
        <filter val="Cuatro Cañadas"/>
      </filters>
    </filterColumn>
    <filterColumn colId="2">
      <filters>
        <filter val="Municipio/TIOC"/>
      </filters>
    </filterColumn>
  </autoFilter>
  <mergeCells count="6">
    <mergeCell ref="H3:Q3"/>
    <mergeCell ref="R3:Y3"/>
    <mergeCell ref="H4:L4"/>
    <mergeCell ref="M4:Q4"/>
    <mergeCell ref="R4:U4"/>
    <mergeCell ref="V4:Y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8" max="8" width="9.86"/>
    <col customWidth="1" min="9" max="9" width="10.43"/>
  </cols>
  <sheetData>
    <row r="1">
      <c r="A1" s="52"/>
      <c r="B1" s="53" t="s">
        <v>448</v>
      </c>
      <c r="C1" s="54"/>
      <c r="D1" s="54"/>
      <c r="E1" s="55"/>
      <c r="F1" s="56" t="s">
        <v>449</v>
      </c>
      <c r="G1" s="57" t="s">
        <v>450</v>
      </c>
      <c r="H1" s="58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60" t="s">
        <v>451</v>
      </c>
      <c r="B2" s="60" t="s">
        <v>452</v>
      </c>
      <c r="C2" s="60" t="s">
        <v>453</v>
      </c>
      <c r="D2" s="60" t="s">
        <v>454</v>
      </c>
      <c r="E2" s="60" t="s">
        <v>455</v>
      </c>
      <c r="F2" s="56" t="s">
        <v>456</v>
      </c>
      <c r="G2" s="57" t="s">
        <v>9</v>
      </c>
      <c r="H2" s="61" t="s">
        <v>457</v>
      </c>
      <c r="I2" s="62" t="s">
        <v>458</v>
      </c>
      <c r="J2" s="59"/>
      <c r="K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>
      <c r="A3" s="63" t="s">
        <v>22</v>
      </c>
      <c r="B3" s="63">
        <v>12393.0</v>
      </c>
      <c r="C3" s="63">
        <v>56877.0</v>
      </c>
      <c r="D3" s="63">
        <v>17.9</v>
      </c>
      <c r="E3" s="63">
        <f t="shared" ref="E3:E157" si="1">100-D3</f>
        <v>82.1</v>
      </c>
      <c r="F3" s="63">
        <v>82.0</v>
      </c>
      <c r="G3" s="64">
        <v>81.8739367</v>
      </c>
      <c r="H3" s="65">
        <f t="shared" ref="H3:H345" si="2">(ABS(E3-G3))/((E3+G3)/2)*100</f>
        <v>0.2757307711</v>
      </c>
      <c r="I3" s="65">
        <f t="shared" ref="I3:I345" si="3">E3-G3</f>
        <v>0.2260633</v>
      </c>
    </row>
    <row r="4">
      <c r="A4" s="63" t="s">
        <v>23</v>
      </c>
      <c r="B4" s="63">
        <v>1058.0</v>
      </c>
      <c r="C4" s="63">
        <v>1544.0</v>
      </c>
      <c r="D4" s="63">
        <v>40.7</v>
      </c>
      <c r="E4" s="63">
        <f t="shared" si="1"/>
        <v>59.3</v>
      </c>
      <c r="F4" s="63">
        <v>59.4</v>
      </c>
      <c r="G4" s="64">
        <v>59.4104308</v>
      </c>
      <c r="H4" s="65">
        <f t="shared" si="2"/>
        <v>0.1860507105</v>
      </c>
      <c r="I4" s="65">
        <f t="shared" si="3"/>
        <v>-0.1104308</v>
      </c>
    </row>
    <row r="5">
      <c r="A5" s="63" t="s">
        <v>24</v>
      </c>
      <c r="B5" s="63">
        <v>4520.0</v>
      </c>
      <c r="C5" s="63">
        <v>290.0</v>
      </c>
      <c r="D5" s="63">
        <v>94.0</v>
      </c>
      <c r="E5" s="63">
        <f t="shared" si="1"/>
        <v>6</v>
      </c>
      <c r="F5" s="63">
        <v>6.1</v>
      </c>
      <c r="G5" s="64">
        <v>5.7725322</v>
      </c>
      <c r="H5" s="65">
        <f t="shared" si="2"/>
        <v>3.86438187</v>
      </c>
      <c r="I5" s="65">
        <f t="shared" si="3"/>
        <v>0.2274678</v>
      </c>
    </row>
    <row r="6">
      <c r="A6" s="63" t="s">
        <v>25</v>
      </c>
      <c r="B6" s="63">
        <v>1933.0</v>
      </c>
      <c r="C6" s="63">
        <v>556.0</v>
      </c>
      <c r="D6" s="63">
        <v>77.7</v>
      </c>
      <c r="E6" s="63">
        <f t="shared" si="1"/>
        <v>22.3</v>
      </c>
      <c r="F6" s="63">
        <v>22.3</v>
      </c>
      <c r="G6" s="64">
        <v>22.3404255</v>
      </c>
      <c r="H6" s="65">
        <f t="shared" si="2"/>
        <v>0.1811161052</v>
      </c>
      <c r="I6" s="65">
        <f t="shared" si="3"/>
        <v>-0.0404255</v>
      </c>
    </row>
    <row r="7">
      <c r="A7" s="63" t="s">
        <v>26</v>
      </c>
      <c r="B7" s="63">
        <v>2720.0</v>
      </c>
      <c r="C7" s="63">
        <v>654.0</v>
      </c>
      <c r="D7" s="63">
        <v>80.6</v>
      </c>
      <c r="E7" s="63">
        <f t="shared" si="1"/>
        <v>19.4</v>
      </c>
      <c r="F7" s="63">
        <v>19.3</v>
      </c>
      <c r="G7" s="64">
        <v>19.3387946</v>
      </c>
      <c r="H7" s="65">
        <f t="shared" si="2"/>
        <v>0.3159902141</v>
      </c>
      <c r="I7" s="65">
        <f t="shared" si="3"/>
        <v>0.0612054</v>
      </c>
    </row>
    <row r="8">
      <c r="A8" s="63" t="s">
        <v>459</v>
      </c>
      <c r="B8" s="63">
        <v>1719.0</v>
      </c>
      <c r="C8" s="63">
        <v>834.0</v>
      </c>
      <c r="D8" s="63">
        <v>67.3</v>
      </c>
      <c r="E8" s="63">
        <f t="shared" si="1"/>
        <v>32.7</v>
      </c>
      <c r="F8" s="63">
        <v>32.8</v>
      </c>
      <c r="G8" s="64">
        <v>32.7919567</v>
      </c>
      <c r="H8" s="65">
        <f t="shared" si="2"/>
        <v>0.2808183009</v>
      </c>
      <c r="I8" s="65">
        <f t="shared" si="3"/>
        <v>-0.0919567</v>
      </c>
    </row>
    <row r="9">
      <c r="A9" s="63" t="s">
        <v>28</v>
      </c>
      <c r="B9" s="63">
        <v>2104.0</v>
      </c>
      <c r="C9" s="63">
        <v>561.0</v>
      </c>
      <c r="D9" s="63">
        <v>78.9</v>
      </c>
      <c r="E9" s="63">
        <f t="shared" si="1"/>
        <v>21.1</v>
      </c>
      <c r="F9" s="63">
        <v>20.8</v>
      </c>
      <c r="G9" s="64">
        <v>20.8317998</v>
      </c>
      <c r="H9" s="65">
        <f t="shared" si="2"/>
        <v>1.279221027</v>
      </c>
      <c r="I9" s="65">
        <f t="shared" si="3"/>
        <v>0.2682002</v>
      </c>
    </row>
    <row r="10">
      <c r="A10" s="63" t="s">
        <v>29</v>
      </c>
      <c r="B10" s="63">
        <v>1231.0</v>
      </c>
      <c r="C10" s="63">
        <v>697.0</v>
      </c>
      <c r="D10" s="63">
        <v>63.8</v>
      </c>
      <c r="E10" s="63">
        <f t="shared" si="1"/>
        <v>36.2</v>
      </c>
      <c r="F10" s="63">
        <v>36.1</v>
      </c>
      <c r="G10" s="64">
        <v>36.074672</v>
      </c>
      <c r="H10" s="65">
        <f t="shared" si="2"/>
        <v>0.3468102906</v>
      </c>
      <c r="I10" s="65">
        <f t="shared" si="3"/>
        <v>0.125328</v>
      </c>
    </row>
    <row r="11">
      <c r="A11" s="63" t="s">
        <v>30</v>
      </c>
      <c r="B11" s="63">
        <v>815.0</v>
      </c>
      <c r="C11" s="63">
        <v>997.0</v>
      </c>
      <c r="D11" s="63">
        <v>45.0</v>
      </c>
      <c r="E11" s="63">
        <f t="shared" si="1"/>
        <v>55</v>
      </c>
      <c r="F11" s="63">
        <v>54.9</v>
      </c>
      <c r="G11" s="64">
        <v>54.8880393</v>
      </c>
      <c r="H11" s="65">
        <f t="shared" si="2"/>
        <v>0.2037723136</v>
      </c>
      <c r="I11" s="65">
        <f t="shared" si="3"/>
        <v>0.1119607</v>
      </c>
    </row>
    <row r="12">
      <c r="A12" s="63" t="s">
        <v>32</v>
      </c>
      <c r="B12" s="63">
        <v>1700.0</v>
      </c>
      <c r="C12" s="63">
        <v>1070.0</v>
      </c>
      <c r="D12" s="63">
        <v>61.4</v>
      </c>
      <c r="E12" s="63">
        <f t="shared" si="1"/>
        <v>38.6</v>
      </c>
      <c r="F12" s="63">
        <v>38.8</v>
      </c>
      <c r="G12" s="64">
        <v>38.7544484</v>
      </c>
      <c r="H12" s="65">
        <f t="shared" si="2"/>
        <v>0.3993264853</v>
      </c>
      <c r="I12" s="65">
        <f t="shared" si="3"/>
        <v>-0.1544484</v>
      </c>
    </row>
    <row r="13">
      <c r="A13" s="63" t="s">
        <v>31</v>
      </c>
      <c r="B13" s="63">
        <v>1194.0</v>
      </c>
      <c r="C13" s="63">
        <v>876.0</v>
      </c>
      <c r="D13" s="63">
        <v>57.7</v>
      </c>
      <c r="E13" s="63">
        <f t="shared" si="1"/>
        <v>42.3</v>
      </c>
      <c r="F13" s="63">
        <v>42.4</v>
      </c>
      <c r="G13" s="64">
        <v>42.3568386</v>
      </c>
      <c r="H13" s="65">
        <f t="shared" si="2"/>
        <v>0.1342799966</v>
      </c>
      <c r="I13" s="65">
        <f t="shared" si="3"/>
        <v>-0.0568386</v>
      </c>
    </row>
    <row r="14">
      <c r="A14" s="63" t="s">
        <v>33</v>
      </c>
      <c r="B14" s="63">
        <v>1326.0</v>
      </c>
      <c r="C14" s="63">
        <v>645.0</v>
      </c>
      <c r="D14" s="63">
        <v>67.3</v>
      </c>
      <c r="E14" s="63">
        <f t="shared" si="1"/>
        <v>32.7</v>
      </c>
      <c r="F14" s="63">
        <v>32.7</v>
      </c>
      <c r="G14" s="64">
        <v>32.7363184</v>
      </c>
      <c r="H14" s="65">
        <f t="shared" si="2"/>
        <v>0.1110038</v>
      </c>
      <c r="I14" s="65">
        <f t="shared" si="3"/>
        <v>-0.0363184</v>
      </c>
    </row>
    <row r="15">
      <c r="A15" s="63" t="s">
        <v>460</v>
      </c>
      <c r="B15" s="63">
        <v>789.0</v>
      </c>
      <c r="C15" s="63">
        <v>266.0</v>
      </c>
      <c r="D15" s="63">
        <v>74.8</v>
      </c>
      <c r="E15" s="63">
        <f t="shared" si="1"/>
        <v>25.2</v>
      </c>
      <c r="F15" s="63">
        <v>25.1</v>
      </c>
      <c r="G15" s="64">
        <v>25.0932836</v>
      </c>
      <c r="H15" s="65">
        <f t="shared" si="2"/>
        <v>0.4243763475</v>
      </c>
      <c r="I15" s="65">
        <f t="shared" si="3"/>
        <v>0.1067164</v>
      </c>
    </row>
    <row r="16">
      <c r="A16" s="63" t="s">
        <v>35</v>
      </c>
      <c r="B16" s="63">
        <v>736.0</v>
      </c>
      <c r="C16" s="63">
        <v>460.0</v>
      </c>
      <c r="D16" s="63">
        <v>61.5</v>
      </c>
      <c r="E16" s="63">
        <f t="shared" si="1"/>
        <v>38.5</v>
      </c>
      <c r="F16" s="63">
        <v>38.4</v>
      </c>
      <c r="G16" s="64">
        <v>38.3663366</v>
      </c>
      <c r="H16" s="65">
        <f t="shared" si="2"/>
        <v>0.347781372</v>
      </c>
      <c r="I16" s="65">
        <f t="shared" si="3"/>
        <v>0.1336634</v>
      </c>
    </row>
    <row r="17">
      <c r="A17" s="63" t="s">
        <v>37</v>
      </c>
      <c r="B17" s="63">
        <v>2689.0</v>
      </c>
      <c r="C17" s="63">
        <v>3316.0</v>
      </c>
      <c r="D17" s="63">
        <v>44.8</v>
      </c>
      <c r="E17" s="63">
        <f t="shared" si="1"/>
        <v>55.2</v>
      </c>
      <c r="F17" s="63">
        <v>55.2</v>
      </c>
      <c r="G17" s="64">
        <v>55.2064484</v>
      </c>
      <c r="H17" s="65">
        <f t="shared" si="2"/>
        <v>0.01168120177</v>
      </c>
      <c r="I17" s="65">
        <f t="shared" si="3"/>
        <v>-0.0064484</v>
      </c>
    </row>
    <row r="18">
      <c r="A18" s="63" t="s">
        <v>38</v>
      </c>
      <c r="B18" s="63">
        <v>1377.0</v>
      </c>
      <c r="C18" s="63">
        <v>666.0</v>
      </c>
      <c r="D18" s="63">
        <v>67.4</v>
      </c>
      <c r="E18" s="63">
        <f t="shared" si="1"/>
        <v>32.6</v>
      </c>
      <c r="F18" s="63">
        <v>32.7</v>
      </c>
      <c r="G18" s="64">
        <v>32.6599327</v>
      </c>
      <c r="H18" s="65">
        <f t="shared" si="2"/>
        <v>0.1836738027</v>
      </c>
      <c r="I18" s="65">
        <f t="shared" si="3"/>
        <v>-0.0599327</v>
      </c>
    </row>
    <row r="19">
      <c r="A19" s="63" t="s">
        <v>40</v>
      </c>
      <c r="B19" s="63">
        <v>3209.0</v>
      </c>
      <c r="C19" s="63">
        <v>1120.0</v>
      </c>
      <c r="D19" s="63">
        <v>74.1</v>
      </c>
      <c r="E19" s="63">
        <f t="shared" si="1"/>
        <v>25.9</v>
      </c>
      <c r="F19" s="63">
        <v>26.0</v>
      </c>
      <c r="G19" s="64">
        <v>25.9917921</v>
      </c>
      <c r="H19" s="65">
        <f t="shared" si="2"/>
        <v>0.3537827324</v>
      </c>
      <c r="I19" s="65">
        <f t="shared" si="3"/>
        <v>-0.0917921</v>
      </c>
    </row>
    <row r="20">
      <c r="A20" s="63" t="s">
        <v>39</v>
      </c>
      <c r="B20" s="63">
        <v>2015.0</v>
      </c>
      <c r="C20" s="63">
        <v>895.0</v>
      </c>
      <c r="D20" s="63">
        <v>69.2</v>
      </c>
      <c r="E20" s="63">
        <f t="shared" si="1"/>
        <v>30.8</v>
      </c>
      <c r="F20" s="63">
        <v>30.7</v>
      </c>
      <c r="G20" s="64">
        <v>30.7457627</v>
      </c>
      <c r="H20" s="65">
        <f t="shared" si="2"/>
        <v>0.176250314</v>
      </c>
      <c r="I20" s="65">
        <f t="shared" si="3"/>
        <v>0.0542373</v>
      </c>
    </row>
    <row r="21">
      <c r="A21" s="63" t="s">
        <v>42</v>
      </c>
      <c r="B21" s="63">
        <v>2274.0</v>
      </c>
      <c r="C21" s="63">
        <v>2007.0</v>
      </c>
      <c r="D21" s="63">
        <v>53.1</v>
      </c>
      <c r="E21" s="63">
        <f t="shared" si="1"/>
        <v>46.9</v>
      </c>
      <c r="F21" s="63">
        <v>46.7</v>
      </c>
      <c r="G21" s="64">
        <v>46.7283237</v>
      </c>
      <c r="H21" s="65">
        <f t="shared" si="2"/>
        <v>0.3667187304</v>
      </c>
      <c r="I21" s="65">
        <f t="shared" si="3"/>
        <v>0.1716763</v>
      </c>
    </row>
    <row r="22">
      <c r="A22" s="63" t="s">
        <v>43</v>
      </c>
      <c r="B22" s="63">
        <v>6034.0</v>
      </c>
      <c r="C22" s="63">
        <v>1795.0</v>
      </c>
      <c r="D22" s="63">
        <v>77.1</v>
      </c>
      <c r="E22" s="63">
        <f t="shared" si="1"/>
        <v>22.9</v>
      </c>
      <c r="F22" s="63">
        <v>22.9</v>
      </c>
      <c r="G22" s="64">
        <v>22.8771229</v>
      </c>
      <c r="H22" s="65">
        <f t="shared" si="2"/>
        <v>0.09994992499</v>
      </c>
      <c r="I22" s="65">
        <f t="shared" si="3"/>
        <v>0.0228771</v>
      </c>
    </row>
    <row r="23">
      <c r="A23" s="63" t="s">
        <v>44</v>
      </c>
      <c r="B23" s="63">
        <v>2284.0</v>
      </c>
      <c r="C23" s="63">
        <v>464.0</v>
      </c>
      <c r="D23" s="63">
        <v>83.1</v>
      </c>
      <c r="E23" s="63">
        <f t="shared" si="1"/>
        <v>16.9</v>
      </c>
      <c r="F23" s="63">
        <v>16.9</v>
      </c>
      <c r="G23" s="64">
        <v>16.9125585</v>
      </c>
      <c r="H23" s="65">
        <f t="shared" si="2"/>
        <v>0.07428305078</v>
      </c>
      <c r="I23" s="65">
        <f t="shared" si="3"/>
        <v>-0.0125585</v>
      </c>
    </row>
    <row r="24">
      <c r="A24" s="63" t="s">
        <v>45</v>
      </c>
      <c r="B24" s="63">
        <v>2706.0</v>
      </c>
      <c r="C24" s="63">
        <v>728.0</v>
      </c>
      <c r="D24" s="63">
        <v>78.8</v>
      </c>
      <c r="E24" s="63">
        <f t="shared" si="1"/>
        <v>21.2</v>
      </c>
      <c r="F24" s="63">
        <v>21.3</v>
      </c>
      <c r="G24" s="64">
        <v>21.2661871</v>
      </c>
      <c r="H24" s="65">
        <f t="shared" si="2"/>
        <v>0.311716707</v>
      </c>
      <c r="I24" s="65">
        <f t="shared" si="3"/>
        <v>-0.0661871</v>
      </c>
    </row>
    <row r="25">
      <c r="A25" s="63" t="s">
        <v>47</v>
      </c>
      <c r="B25" s="63">
        <v>1668.0</v>
      </c>
      <c r="C25" s="63">
        <v>1460.0</v>
      </c>
      <c r="D25" s="63">
        <v>53.3</v>
      </c>
      <c r="E25" s="63">
        <f t="shared" si="1"/>
        <v>46.7</v>
      </c>
      <c r="F25" s="63">
        <v>46.8</v>
      </c>
      <c r="G25" s="64">
        <v>46.7772215</v>
      </c>
      <c r="H25" s="65">
        <f t="shared" si="2"/>
        <v>0.1652199301</v>
      </c>
      <c r="I25" s="65">
        <f t="shared" si="3"/>
        <v>-0.0772215</v>
      </c>
    </row>
    <row r="26">
      <c r="A26" s="63" t="s">
        <v>49</v>
      </c>
      <c r="B26" s="63">
        <v>647.0</v>
      </c>
      <c r="C26" s="63">
        <v>316.0</v>
      </c>
      <c r="D26" s="63">
        <v>67.2</v>
      </c>
      <c r="E26" s="63">
        <f t="shared" si="1"/>
        <v>32.8</v>
      </c>
      <c r="F26" s="63">
        <v>32.8</v>
      </c>
      <c r="G26" s="64">
        <v>32.8497409</v>
      </c>
      <c r="H26" s="65">
        <f t="shared" si="2"/>
        <v>0.1515341853</v>
      </c>
      <c r="I26" s="65">
        <f t="shared" si="3"/>
        <v>-0.0497409</v>
      </c>
    </row>
    <row r="27">
      <c r="A27" s="63" t="s">
        <v>50</v>
      </c>
      <c r="B27" s="63">
        <v>2662.0</v>
      </c>
      <c r="C27" s="63">
        <v>1634.0</v>
      </c>
      <c r="D27" s="63">
        <v>62.0</v>
      </c>
      <c r="E27" s="63">
        <f t="shared" si="1"/>
        <v>38</v>
      </c>
      <c r="F27" s="63">
        <v>38.1</v>
      </c>
      <c r="G27" s="64">
        <v>38.0722337</v>
      </c>
      <c r="H27" s="65">
        <f t="shared" si="2"/>
        <v>0.1899081872</v>
      </c>
      <c r="I27" s="65">
        <f t="shared" si="3"/>
        <v>-0.0722337</v>
      </c>
    </row>
    <row r="28">
      <c r="A28" s="63" t="s">
        <v>51</v>
      </c>
      <c r="B28" s="63">
        <v>509.0</v>
      </c>
      <c r="C28" s="63">
        <v>547.0</v>
      </c>
      <c r="D28" s="63">
        <v>48.2</v>
      </c>
      <c r="E28" s="63">
        <f t="shared" si="1"/>
        <v>51.8</v>
      </c>
      <c r="F28" s="63">
        <v>51.8</v>
      </c>
      <c r="G28" s="64">
        <v>51.7890772</v>
      </c>
      <c r="H28" s="65">
        <f t="shared" si="2"/>
        <v>0.02108870992</v>
      </c>
      <c r="I28" s="65">
        <f t="shared" si="3"/>
        <v>0.0109228</v>
      </c>
    </row>
    <row r="29">
      <c r="A29" s="63" t="s">
        <v>461</v>
      </c>
      <c r="B29" s="63">
        <v>1164.0</v>
      </c>
      <c r="C29" s="63">
        <v>1333.0</v>
      </c>
      <c r="D29" s="63">
        <v>46.6</v>
      </c>
      <c r="E29" s="63">
        <f t="shared" si="1"/>
        <v>53.4</v>
      </c>
      <c r="F29" s="63">
        <v>53.3</v>
      </c>
      <c r="G29" s="64">
        <v>53.2780411</v>
      </c>
      <c r="H29" s="65">
        <f t="shared" si="2"/>
        <v>0.2286485555</v>
      </c>
      <c r="I29" s="65">
        <f t="shared" si="3"/>
        <v>0.1219589</v>
      </c>
    </row>
    <row r="30">
      <c r="A30" s="63" t="s">
        <v>462</v>
      </c>
      <c r="B30" s="63">
        <v>345.0</v>
      </c>
      <c r="C30" s="63">
        <v>256.0</v>
      </c>
      <c r="D30" s="63">
        <v>57.4</v>
      </c>
      <c r="E30" s="63">
        <f t="shared" si="1"/>
        <v>42.6</v>
      </c>
      <c r="F30" s="63">
        <v>42.6</v>
      </c>
      <c r="G30" s="64">
        <v>42.6202322</v>
      </c>
      <c r="H30" s="65">
        <f t="shared" si="2"/>
        <v>0.04748215178</v>
      </c>
      <c r="I30" s="65">
        <f t="shared" si="3"/>
        <v>-0.0202322</v>
      </c>
    </row>
    <row r="31">
      <c r="A31" s="63" t="s">
        <v>55</v>
      </c>
      <c r="B31" s="63">
        <v>557.0</v>
      </c>
      <c r="C31" s="63">
        <v>1175.0</v>
      </c>
      <c r="D31" s="63">
        <v>32.2</v>
      </c>
      <c r="E31" s="63">
        <f t="shared" si="1"/>
        <v>67.8</v>
      </c>
      <c r="F31" s="63">
        <v>67.7</v>
      </c>
      <c r="G31" s="64">
        <v>67.7327242</v>
      </c>
      <c r="H31" s="65">
        <f t="shared" si="2"/>
        <v>0.09927609793</v>
      </c>
      <c r="I31" s="65">
        <f t="shared" si="3"/>
        <v>0.0672758</v>
      </c>
    </row>
    <row r="32">
      <c r="A32" s="63" t="s">
        <v>56</v>
      </c>
      <c r="B32" s="63">
        <v>14979.0</v>
      </c>
      <c r="C32" s="63">
        <v>210596.0</v>
      </c>
      <c r="D32" s="63">
        <v>6.6</v>
      </c>
      <c r="E32" s="63">
        <f t="shared" si="1"/>
        <v>93.4</v>
      </c>
      <c r="F32" s="63">
        <v>93.3</v>
      </c>
      <c r="G32" s="64">
        <v>93.3320969</v>
      </c>
      <c r="H32" s="65">
        <f t="shared" si="2"/>
        <v>0.07272782893</v>
      </c>
      <c r="I32" s="65">
        <f t="shared" si="3"/>
        <v>0.0679031</v>
      </c>
    </row>
    <row r="33">
      <c r="A33" s="63" t="s">
        <v>59</v>
      </c>
      <c r="B33" s="63">
        <v>3799.0</v>
      </c>
      <c r="C33" s="63">
        <v>1031.0</v>
      </c>
      <c r="D33" s="63">
        <v>78.7</v>
      </c>
      <c r="E33" s="63">
        <f t="shared" si="1"/>
        <v>21.3</v>
      </c>
      <c r="F33" s="63">
        <v>21.3</v>
      </c>
      <c r="G33" s="64">
        <v>21.3270142</v>
      </c>
      <c r="H33" s="65">
        <f t="shared" si="2"/>
        <v>0.1267468553</v>
      </c>
      <c r="I33" s="65">
        <f t="shared" si="3"/>
        <v>-0.0270142</v>
      </c>
    </row>
    <row r="34">
      <c r="A34" s="63" t="s">
        <v>60</v>
      </c>
      <c r="B34" s="63">
        <v>2756.0</v>
      </c>
      <c r="C34" s="63">
        <v>2063.0</v>
      </c>
      <c r="D34" s="63">
        <v>57.2</v>
      </c>
      <c r="E34" s="63">
        <f t="shared" si="1"/>
        <v>42.8</v>
      </c>
      <c r="F34" s="63">
        <v>42.8</v>
      </c>
      <c r="G34" s="64">
        <v>43.357083</v>
      </c>
      <c r="H34" s="65">
        <f t="shared" si="2"/>
        <v>1.293179807</v>
      </c>
      <c r="I34" s="65">
        <f t="shared" si="3"/>
        <v>-0.557083</v>
      </c>
    </row>
    <row r="35">
      <c r="A35" s="63" t="s">
        <v>61</v>
      </c>
      <c r="B35" s="63">
        <v>4664.0</v>
      </c>
      <c r="C35" s="63">
        <v>2358.0</v>
      </c>
      <c r="D35" s="63">
        <v>66.4</v>
      </c>
      <c r="E35" s="63">
        <f t="shared" si="1"/>
        <v>33.6</v>
      </c>
      <c r="F35" s="63">
        <v>33.5</v>
      </c>
      <c r="G35" s="64">
        <v>33.2121382</v>
      </c>
      <c r="H35" s="65">
        <f t="shared" si="2"/>
        <v>1.1610519</v>
      </c>
      <c r="I35" s="65">
        <f t="shared" si="3"/>
        <v>0.3878618</v>
      </c>
    </row>
    <row r="36">
      <c r="A36" s="63" t="s">
        <v>62</v>
      </c>
      <c r="B36" s="63">
        <v>54313.0</v>
      </c>
      <c r="C36" s="63">
        <v>200458.0</v>
      </c>
      <c r="D36" s="63">
        <v>21.3</v>
      </c>
      <c r="E36" s="63">
        <f t="shared" si="1"/>
        <v>78.7</v>
      </c>
      <c r="F36" s="63">
        <v>78.6</v>
      </c>
      <c r="G36" s="64">
        <v>78.6184262</v>
      </c>
      <c r="H36" s="65">
        <f t="shared" si="2"/>
        <v>0.1037053344</v>
      </c>
      <c r="I36" s="65">
        <f t="shared" si="3"/>
        <v>0.0815738</v>
      </c>
    </row>
    <row r="37">
      <c r="A37" s="63" t="s">
        <v>64</v>
      </c>
      <c r="B37" s="63">
        <v>8122.0</v>
      </c>
      <c r="C37" s="63">
        <v>8008.0</v>
      </c>
      <c r="D37" s="63">
        <v>50.4</v>
      </c>
      <c r="E37" s="63">
        <f t="shared" si="1"/>
        <v>49.6</v>
      </c>
      <c r="F37" s="63">
        <v>49.6</v>
      </c>
      <c r="G37" s="64">
        <v>49.6364309</v>
      </c>
      <c r="H37" s="65">
        <f t="shared" si="2"/>
        <v>0.073422431</v>
      </c>
      <c r="I37" s="65">
        <f t="shared" si="3"/>
        <v>-0.0364309</v>
      </c>
    </row>
    <row r="38">
      <c r="A38" s="63" t="s">
        <v>463</v>
      </c>
      <c r="B38" s="63">
        <v>3312.0</v>
      </c>
      <c r="C38" s="63">
        <v>1688.0</v>
      </c>
      <c r="D38" s="63">
        <v>66.2</v>
      </c>
      <c r="E38" s="63">
        <f t="shared" si="1"/>
        <v>33.8</v>
      </c>
      <c r="F38" s="63">
        <v>33.7</v>
      </c>
      <c r="G38" s="64">
        <v>33.7378158</v>
      </c>
      <c r="H38" s="65">
        <f t="shared" si="2"/>
        <v>0.1841463164</v>
      </c>
      <c r="I38" s="65">
        <f t="shared" si="3"/>
        <v>0.0621842</v>
      </c>
    </row>
    <row r="39">
      <c r="A39" s="63" t="s">
        <v>69</v>
      </c>
      <c r="B39" s="63">
        <v>1313.0</v>
      </c>
      <c r="C39" s="63">
        <v>702.0</v>
      </c>
      <c r="D39" s="63">
        <v>65.2</v>
      </c>
      <c r="E39" s="63">
        <f t="shared" si="1"/>
        <v>34.8</v>
      </c>
      <c r="F39" s="63">
        <v>34.8</v>
      </c>
      <c r="G39" s="64">
        <v>34.8425197</v>
      </c>
      <c r="H39" s="65">
        <f t="shared" si="2"/>
        <v>0.1221084481</v>
      </c>
      <c r="I39" s="65">
        <f t="shared" si="3"/>
        <v>-0.0425197</v>
      </c>
    </row>
    <row r="40">
      <c r="A40" s="63" t="s">
        <v>66</v>
      </c>
      <c r="B40" s="63">
        <v>1649.0</v>
      </c>
      <c r="C40" s="63">
        <v>1633.0</v>
      </c>
      <c r="D40" s="63">
        <v>50.2</v>
      </c>
      <c r="E40" s="63">
        <f t="shared" si="1"/>
        <v>49.8</v>
      </c>
      <c r="F40" s="63">
        <v>49.8</v>
      </c>
      <c r="G40" s="64">
        <v>49.8028511</v>
      </c>
      <c r="H40" s="65">
        <f t="shared" si="2"/>
        <v>0.005724936522</v>
      </c>
      <c r="I40" s="65">
        <f t="shared" si="3"/>
        <v>-0.0028511</v>
      </c>
    </row>
    <row r="41">
      <c r="A41" s="63" t="s">
        <v>67</v>
      </c>
      <c r="B41" s="63">
        <v>2151.0</v>
      </c>
      <c r="C41" s="63">
        <v>1616.0</v>
      </c>
      <c r="D41" s="63">
        <v>57.1</v>
      </c>
      <c r="E41" s="63">
        <f t="shared" si="1"/>
        <v>42.9</v>
      </c>
      <c r="F41" s="63">
        <v>43.0</v>
      </c>
      <c r="G41" s="64">
        <v>43.0076376</v>
      </c>
      <c r="H41" s="65">
        <f t="shared" si="2"/>
        <v>0.2505891281</v>
      </c>
      <c r="I41" s="65">
        <f t="shared" si="3"/>
        <v>-0.1076376</v>
      </c>
    </row>
    <row r="42">
      <c r="A42" s="63" t="s">
        <v>68</v>
      </c>
      <c r="B42" s="63">
        <v>685.0</v>
      </c>
      <c r="C42" s="63">
        <v>961.0</v>
      </c>
      <c r="D42" s="63">
        <v>41.6</v>
      </c>
      <c r="E42" s="63">
        <f t="shared" si="1"/>
        <v>58.4</v>
      </c>
      <c r="F42" s="63">
        <v>58.1</v>
      </c>
      <c r="G42" s="64">
        <v>58.1227437</v>
      </c>
      <c r="H42" s="65">
        <f t="shared" si="2"/>
        <v>0.4758835764</v>
      </c>
      <c r="I42" s="65">
        <f t="shared" si="3"/>
        <v>0.2772563</v>
      </c>
    </row>
    <row r="43">
      <c r="A43" s="63" t="s">
        <v>464</v>
      </c>
      <c r="B43" s="63">
        <v>3036.0</v>
      </c>
      <c r="C43" s="63">
        <v>650.0</v>
      </c>
      <c r="D43" s="63">
        <v>82.4</v>
      </c>
      <c r="E43" s="63">
        <f t="shared" si="1"/>
        <v>17.6</v>
      </c>
      <c r="F43" s="63">
        <v>17.6</v>
      </c>
      <c r="G43" s="64">
        <v>17.6470588</v>
      </c>
      <c r="H43" s="65">
        <f t="shared" si="2"/>
        <v>0.2670225636</v>
      </c>
      <c r="I43" s="65">
        <f t="shared" si="3"/>
        <v>-0.0470588</v>
      </c>
    </row>
    <row r="44">
      <c r="A44" s="63" t="s">
        <v>72</v>
      </c>
      <c r="B44" s="63">
        <v>2703.0</v>
      </c>
      <c r="C44" s="63">
        <v>1533.0</v>
      </c>
      <c r="D44" s="63">
        <v>63.8</v>
      </c>
      <c r="E44" s="63">
        <f t="shared" si="1"/>
        <v>36.2</v>
      </c>
      <c r="F44" s="63">
        <v>36.2</v>
      </c>
      <c r="G44" s="64">
        <v>36.1911455</v>
      </c>
      <c r="H44" s="65">
        <f t="shared" si="2"/>
        <v>0.02446293656</v>
      </c>
      <c r="I44" s="65">
        <f t="shared" si="3"/>
        <v>0.0088545</v>
      </c>
    </row>
    <row r="45">
      <c r="A45" s="63" t="s">
        <v>73</v>
      </c>
      <c r="B45" s="63">
        <v>2225.0</v>
      </c>
      <c r="C45" s="63">
        <v>1287.0</v>
      </c>
      <c r="D45" s="63">
        <v>63.4</v>
      </c>
      <c r="E45" s="63">
        <f t="shared" si="1"/>
        <v>36.6</v>
      </c>
      <c r="F45" s="63">
        <v>36.6</v>
      </c>
      <c r="G45" s="64">
        <v>36.5977922</v>
      </c>
      <c r="H45" s="65">
        <f t="shared" si="2"/>
        <v>0.006032422382</v>
      </c>
      <c r="I45" s="65">
        <f t="shared" si="3"/>
        <v>0.0022078</v>
      </c>
    </row>
    <row r="46">
      <c r="A46" s="63" t="s">
        <v>74</v>
      </c>
      <c r="B46" s="63">
        <v>971.0</v>
      </c>
      <c r="C46" s="63">
        <v>328.0</v>
      </c>
      <c r="D46" s="63">
        <v>74.7</v>
      </c>
      <c r="E46" s="63">
        <f t="shared" si="1"/>
        <v>25.3</v>
      </c>
      <c r="F46" s="63">
        <v>25.2</v>
      </c>
      <c r="G46" s="64">
        <v>25.1716247</v>
      </c>
      <c r="H46" s="65">
        <f t="shared" si="2"/>
        <v>0.5087028633</v>
      </c>
      <c r="I46" s="65">
        <f t="shared" si="3"/>
        <v>0.1283753</v>
      </c>
    </row>
    <row r="47">
      <c r="A47" s="63" t="s">
        <v>75</v>
      </c>
      <c r="B47" s="63">
        <v>879.0</v>
      </c>
      <c r="C47" s="63">
        <v>270.0</v>
      </c>
      <c r="D47" s="63">
        <v>76.5</v>
      </c>
      <c r="E47" s="63">
        <f t="shared" si="1"/>
        <v>23.5</v>
      </c>
      <c r="F47" s="63">
        <v>23.5</v>
      </c>
      <c r="G47" s="64">
        <v>23.4685073</v>
      </c>
      <c r="H47" s="65">
        <f t="shared" si="2"/>
        <v>0.134101345</v>
      </c>
      <c r="I47" s="65">
        <f t="shared" si="3"/>
        <v>0.0314927</v>
      </c>
    </row>
    <row r="48">
      <c r="A48" s="63" t="s">
        <v>465</v>
      </c>
      <c r="B48" s="63">
        <v>891.0</v>
      </c>
      <c r="C48" s="63">
        <v>176.0</v>
      </c>
      <c r="D48" s="63">
        <v>83.5</v>
      </c>
      <c r="E48" s="63">
        <f t="shared" si="1"/>
        <v>16.5</v>
      </c>
      <c r="F48" s="63">
        <v>16.4</v>
      </c>
      <c r="G48" s="64">
        <v>16.4485981</v>
      </c>
      <c r="H48" s="65">
        <f t="shared" si="2"/>
        <v>0.312012668</v>
      </c>
      <c r="I48" s="65">
        <f t="shared" si="3"/>
        <v>0.0514019</v>
      </c>
    </row>
    <row r="49">
      <c r="A49" s="63" t="s">
        <v>77</v>
      </c>
      <c r="B49" s="63">
        <v>159.0</v>
      </c>
      <c r="C49" s="63">
        <v>130.0</v>
      </c>
      <c r="D49" s="63">
        <v>55.0</v>
      </c>
      <c r="E49" s="63">
        <f t="shared" si="1"/>
        <v>45</v>
      </c>
      <c r="F49" s="63">
        <v>45.0</v>
      </c>
      <c r="G49" s="64">
        <v>44.982699</v>
      </c>
      <c r="H49" s="65">
        <f t="shared" si="2"/>
        <v>0.03845405882</v>
      </c>
      <c r="I49" s="65">
        <f t="shared" si="3"/>
        <v>0.017301</v>
      </c>
    </row>
    <row r="50">
      <c r="A50" s="63" t="s">
        <v>466</v>
      </c>
      <c r="B50" s="63">
        <v>2449.0</v>
      </c>
      <c r="C50" s="63">
        <v>320.0</v>
      </c>
      <c r="D50" s="63">
        <v>88.4</v>
      </c>
      <c r="E50" s="63">
        <f t="shared" si="1"/>
        <v>11.6</v>
      </c>
      <c r="F50" s="63">
        <v>11.6</v>
      </c>
      <c r="G50" s="64">
        <v>11.5770609</v>
      </c>
      <c r="H50" s="65">
        <f t="shared" si="2"/>
        <v>0.1979465826</v>
      </c>
      <c r="I50" s="65">
        <f t="shared" si="3"/>
        <v>0.0229391</v>
      </c>
    </row>
    <row r="51">
      <c r="A51" s="63" t="s">
        <v>80</v>
      </c>
      <c r="B51" s="63">
        <v>4193.0</v>
      </c>
      <c r="C51" s="63">
        <v>789.0</v>
      </c>
      <c r="D51" s="63">
        <v>84.2</v>
      </c>
      <c r="E51" s="63">
        <f t="shared" si="1"/>
        <v>15.8</v>
      </c>
      <c r="F51" s="63">
        <v>15.8</v>
      </c>
      <c r="G51" s="64">
        <v>15.7852724</v>
      </c>
      <c r="H51" s="65">
        <f t="shared" si="2"/>
        <v>0.09325612148</v>
      </c>
      <c r="I51" s="65">
        <f t="shared" si="3"/>
        <v>0.0147276</v>
      </c>
    </row>
    <row r="52">
      <c r="A52" s="63" t="s">
        <v>81</v>
      </c>
      <c r="B52" s="63">
        <v>4751.0</v>
      </c>
      <c r="C52" s="63">
        <v>1794.0</v>
      </c>
      <c r="D52" s="63">
        <v>72.6</v>
      </c>
      <c r="E52" s="63">
        <f t="shared" si="1"/>
        <v>27.4</v>
      </c>
      <c r="F52" s="63">
        <v>27.4</v>
      </c>
      <c r="G52" s="64">
        <v>27.4144717</v>
      </c>
      <c r="H52" s="65">
        <f t="shared" si="2"/>
        <v>0.05280247917</v>
      </c>
      <c r="I52" s="65">
        <f t="shared" si="3"/>
        <v>-0.0144717</v>
      </c>
    </row>
    <row r="53">
      <c r="A53" s="63" t="s">
        <v>467</v>
      </c>
      <c r="B53" s="63">
        <v>4125.0</v>
      </c>
      <c r="C53" s="63">
        <v>1195.0</v>
      </c>
      <c r="D53" s="63">
        <v>77.5</v>
      </c>
      <c r="E53" s="63">
        <f t="shared" si="1"/>
        <v>22.5</v>
      </c>
      <c r="F53" s="63">
        <v>22.5</v>
      </c>
      <c r="G53" s="64">
        <v>22.4611932</v>
      </c>
      <c r="H53" s="65">
        <f t="shared" si="2"/>
        <v>0.1726235326</v>
      </c>
      <c r="I53" s="65">
        <f t="shared" si="3"/>
        <v>0.0388068</v>
      </c>
    </row>
    <row r="54">
      <c r="A54" s="63" t="s">
        <v>83</v>
      </c>
      <c r="B54" s="63">
        <v>1639.0</v>
      </c>
      <c r="C54" s="63">
        <v>436.0</v>
      </c>
      <c r="D54" s="63">
        <v>79.0</v>
      </c>
      <c r="E54" s="63">
        <f t="shared" si="1"/>
        <v>21</v>
      </c>
      <c r="F54" s="63">
        <v>21.1</v>
      </c>
      <c r="G54" s="64">
        <v>21.1100569</v>
      </c>
      <c r="H54" s="65">
        <f t="shared" si="2"/>
        <v>0.5227107637</v>
      </c>
      <c r="I54" s="65">
        <f t="shared" si="3"/>
        <v>-0.1100569</v>
      </c>
    </row>
    <row r="55">
      <c r="A55" s="63" t="s">
        <v>84</v>
      </c>
      <c r="B55" s="63">
        <v>2647.0</v>
      </c>
      <c r="C55" s="63">
        <v>365.0</v>
      </c>
      <c r="D55" s="63">
        <v>87.9</v>
      </c>
      <c r="E55" s="63">
        <f t="shared" si="1"/>
        <v>12.1</v>
      </c>
      <c r="F55" s="63">
        <v>12.2</v>
      </c>
      <c r="G55" s="64">
        <v>12.2233234</v>
      </c>
      <c r="H55" s="65">
        <f t="shared" si="2"/>
        <v>1.014034127</v>
      </c>
      <c r="I55" s="65">
        <f t="shared" si="3"/>
        <v>-0.1233234</v>
      </c>
    </row>
    <row r="56">
      <c r="A56" s="63" t="s">
        <v>86</v>
      </c>
      <c r="B56" s="63">
        <v>2802.0</v>
      </c>
      <c r="C56" s="63">
        <v>1099.0</v>
      </c>
      <c r="D56" s="63">
        <v>71.8</v>
      </c>
      <c r="E56" s="63">
        <f t="shared" si="1"/>
        <v>28.2</v>
      </c>
      <c r="F56" s="63">
        <v>28.1</v>
      </c>
      <c r="G56" s="64">
        <v>28.1107161</v>
      </c>
      <c r="H56" s="65">
        <f t="shared" si="2"/>
        <v>0.3171115773</v>
      </c>
      <c r="I56" s="65">
        <f t="shared" si="3"/>
        <v>0.0892839</v>
      </c>
    </row>
    <row r="57">
      <c r="A57" s="63" t="s">
        <v>87</v>
      </c>
      <c r="B57" s="63">
        <v>1773.0</v>
      </c>
      <c r="C57" s="63">
        <v>945.0</v>
      </c>
      <c r="D57" s="63">
        <v>65.2</v>
      </c>
      <c r="E57" s="63">
        <f t="shared" si="1"/>
        <v>34.8</v>
      </c>
      <c r="F57" s="63">
        <v>34.7</v>
      </c>
      <c r="G57" s="64">
        <v>34.728795</v>
      </c>
      <c r="H57" s="65">
        <f t="shared" si="2"/>
        <v>0.2048216138</v>
      </c>
      <c r="I57" s="65">
        <f t="shared" si="3"/>
        <v>0.071205</v>
      </c>
    </row>
    <row r="58">
      <c r="A58" s="63" t="s">
        <v>88</v>
      </c>
      <c r="B58" s="63">
        <v>1437.0</v>
      </c>
      <c r="C58" s="63">
        <v>460.0</v>
      </c>
      <c r="D58" s="63">
        <v>75.8</v>
      </c>
      <c r="E58" s="63">
        <f t="shared" si="1"/>
        <v>24.2</v>
      </c>
      <c r="F58" s="63">
        <v>24.1</v>
      </c>
      <c r="G58" s="64">
        <v>24.1486068</v>
      </c>
      <c r="H58" s="65">
        <f t="shared" si="2"/>
        <v>0.2125943368</v>
      </c>
      <c r="I58" s="65">
        <f t="shared" si="3"/>
        <v>0.0513932</v>
      </c>
    </row>
    <row r="59">
      <c r="A59" s="63" t="s">
        <v>90</v>
      </c>
      <c r="B59" s="63">
        <v>5507.0</v>
      </c>
      <c r="C59" s="63">
        <v>3180.0</v>
      </c>
      <c r="D59" s="63">
        <v>63.4</v>
      </c>
      <c r="E59" s="63">
        <f t="shared" si="1"/>
        <v>36.6</v>
      </c>
      <c r="F59" s="63">
        <v>36.6</v>
      </c>
      <c r="G59" s="64">
        <v>36.5698006</v>
      </c>
      <c r="H59" s="65">
        <f t="shared" si="2"/>
        <v>0.08254607708</v>
      </c>
      <c r="I59" s="65">
        <f t="shared" si="3"/>
        <v>0.0301994</v>
      </c>
    </row>
    <row r="60">
      <c r="A60" s="63" t="s">
        <v>91</v>
      </c>
      <c r="B60" s="63">
        <v>2646.0</v>
      </c>
      <c r="C60" s="63">
        <v>1998.0</v>
      </c>
      <c r="D60" s="63">
        <v>57.0</v>
      </c>
      <c r="E60" s="63">
        <f t="shared" si="1"/>
        <v>43</v>
      </c>
      <c r="F60" s="63">
        <v>43.0</v>
      </c>
      <c r="G60" s="64">
        <v>43.0036317</v>
      </c>
      <c r="H60" s="65">
        <f t="shared" si="2"/>
        <v>0.00844545731</v>
      </c>
      <c r="I60" s="65">
        <f t="shared" si="3"/>
        <v>-0.0036317</v>
      </c>
    </row>
    <row r="61">
      <c r="A61" s="63" t="s">
        <v>92</v>
      </c>
      <c r="B61" s="63">
        <v>1686.0</v>
      </c>
      <c r="C61" s="63">
        <v>1242.0</v>
      </c>
      <c r="D61" s="63">
        <v>57.6</v>
      </c>
      <c r="E61" s="63">
        <f t="shared" si="1"/>
        <v>42.4</v>
      </c>
      <c r="F61" s="63">
        <v>42.2</v>
      </c>
      <c r="G61" s="64">
        <v>42.2147651</v>
      </c>
      <c r="H61" s="65">
        <f t="shared" si="2"/>
        <v>0.4378311511</v>
      </c>
      <c r="I61" s="65">
        <f t="shared" si="3"/>
        <v>0.1852349</v>
      </c>
    </row>
    <row r="62">
      <c r="A62" s="63" t="s">
        <v>93</v>
      </c>
      <c r="B62" s="63">
        <v>647.0</v>
      </c>
      <c r="C62" s="63">
        <v>365.0</v>
      </c>
      <c r="D62" s="63">
        <v>63.9</v>
      </c>
      <c r="E62" s="63">
        <f t="shared" si="1"/>
        <v>36.1</v>
      </c>
      <c r="F62" s="63">
        <v>35.9</v>
      </c>
      <c r="G62" s="64">
        <v>35.9298929</v>
      </c>
      <c r="H62" s="65">
        <f t="shared" si="2"/>
        <v>0.4723236233</v>
      </c>
      <c r="I62" s="65">
        <f t="shared" si="3"/>
        <v>0.1701071</v>
      </c>
    </row>
    <row r="63">
      <c r="A63" s="63" t="s">
        <v>94</v>
      </c>
      <c r="B63" s="63">
        <v>705.0</v>
      </c>
      <c r="C63" s="63">
        <v>284.0</v>
      </c>
      <c r="D63" s="63">
        <v>71.3</v>
      </c>
      <c r="E63" s="63">
        <f t="shared" si="1"/>
        <v>28.7</v>
      </c>
      <c r="F63" s="63">
        <v>28.7</v>
      </c>
      <c r="G63" s="64">
        <v>28.6720322</v>
      </c>
      <c r="H63" s="65">
        <f t="shared" si="2"/>
        <v>0.09749628496</v>
      </c>
      <c r="I63" s="65">
        <f t="shared" si="3"/>
        <v>0.0279678</v>
      </c>
    </row>
    <row r="64">
      <c r="A64" s="63" t="s">
        <v>95</v>
      </c>
      <c r="B64" s="63">
        <v>1739.0</v>
      </c>
      <c r="C64" s="63">
        <v>1684.0</v>
      </c>
      <c r="D64" s="63">
        <v>50.8</v>
      </c>
      <c r="E64" s="63">
        <f t="shared" si="1"/>
        <v>49.2</v>
      </c>
      <c r="F64" s="63">
        <v>49.1</v>
      </c>
      <c r="G64" s="64">
        <v>49.1177321</v>
      </c>
      <c r="H64" s="65">
        <f t="shared" si="2"/>
        <v>0.1673510937</v>
      </c>
      <c r="I64" s="65">
        <f t="shared" si="3"/>
        <v>0.0822679</v>
      </c>
    </row>
    <row r="65">
      <c r="A65" s="63" t="s">
        <v>96</v>
      </c>
      <c r="B65" s="63">
        <v>2121.0</v>
      </c>
      <c r="C65" s="63">
        <v>1900.0</v>
      </c>
      <c r="D65" s="63">
        <v>52.7</v>
      </c>
      <c r="E65" s="63">
        <f t="shared" si="1"/>
        <v>47.3</v>
      </c>
      <c r="F65" s="63">
        <v>47.2</v>
      </c>
      <c r="G65" s="64">
        <v>47.1604938</v>
      </c>
      <c r="H65" s="65">
        <f t="shared" si="2"/>
        <v>0.2953746998</v>
      </c>
      <c r="I65" s="65">
        <f t="shared" si="3"/>
        <v>0.1395062</v>
      </c>
    </row>
    <row r="66">
      <c r="A66" s="63" t="s">
        <v>97</v>
      </c>
      <c r="B66" s="63">
        <v>2108.0</v>
      </c>
      <c r="C66" s="63">
        <v>1326.0</v>
      </c>
      <c r="D66" s="63">
        <v>61.4</v>
      </c>
      <c r="E66" s="63">
        <f t="shared" si="1"/>
        <v>38.6</v>
      </c>
      <c r="F66" s="63">
        <v>38.7</v>
      </c>
      <c r="G66" s="64">
        <v>38.68655</v>
      </c>
      <c r="H66" s="65">
        <f t="shared" si="2"/>
        <v>0.2239717001</v>
      </c>
      <c r="I66" s="65">
        <f t="shared" si="3"/>
        <v>-0.08655</v>
      </c>
    </row>
    <row r="67">
      <c r="A67" s="63" t="s">
        <v>99</v>
      </c>
      <c r="B67" s="63">
        <v>2871.0</v>
      </c>
      <c r="C67" s="63">
        <v>1704.0</v>
      </c>
      <c r="D67" s="63">
        <v>62.8</v>
      </c>
      <c r="E67" s="63">
        <f t="shared" si="1"/>
        <v>37.2</v>
      </c>
      <c r="F67" s="63">
        <v>37.1</v>
      </c>
      <c r="G67" s="64">
        <v>37.1027027</v>
      </c>
      <c r="H67" s="65">
        <f t="shared" si="2"/>
        <v>0.2618943766</v>
      </c>
      <c r="I67" s="65">
        <f t="shared" si="3"/>
        <v>0.0972973</v>
      </c>
    </row>
    <row r="68">
      <c r="A68" s="63" t="s">
        <v>100</v>
      </c>
      <c r="B68" s="63">
        <v>1397.0</v>
      </c>
      <c r="C68" s="63">
        <v>784.0</v>
      </c>
      <c r="D68" s="63">
        <v>64.1</v>
      </c>
      <c r="E68" s="63">
        <f t="shared" si="1"/>
        <v>35.9</v>
      </c>
      <c r="F68" s="63">
        <v>35.7</v>
      </c>
      <c r="G68" s="64">
        <v>35.6502242</v>
      </c>
      <c r="H68" s="65">
        <f t="shared" si="2"/>
        <v>0.6981831372</v>
      </c>
      <c r="I68" s="65">
        <f t="shared" si="3"/>
        <v>0.2497758</v>
      </c>
    </row>
    <row r="69">
      <c r="A69" s="63" t="s">
        <v>102</v>
      </c>
      <c r="B69" s="63">
        <v>11875.0</v>
      </c>
      <c r="C69" s="63">
        <v>14185.0</v>
      </c>
      <c r="D69" s="63">
        <v>45.6</v>
      </c>
      <c r="E69" s="63">
        <f t="shared" si="1"/>
        <v>54.4</v>
      </c>
      <c r="F69" s="63">
        <v>54.3</v>
      </c>
      <c r="G69" s="64">
        <v>54.324139</v>
      </c>
      <c r="H69" s="65">
        <f t="shared" si="2"/>
        <v>0.1395476675</v>
      </c>
      <c r="I69" s="65">
        <f t="shared" si="3"/>
        <v>0.075861</v>
      </c>
    </row>
    <row r="70">
      <c r="A70" s="63" t="s">
        <v>468</v>
      </c>
      <c r="B70" s="63">
        <v>1799.0</v>
      </c>
      <c r="C70" s="63">
        <v>918.0</v>
      </c>
      <c r="D70" s="63">
        <v>66.2</v>
      </c>
      <c r="E70" s="63">
        <f t="shared" si="1"/>
        <v>33.8</v>
      </c>
      <c r="F70" s="63">
        <v>33.8</v>
      </c>
      <c r="G70" s="64">
        <v>33.7605273</v>
      </c>
      <c r="H70" s="65">
        <f t="shared" si="2"/>
        <v>0.1168513674</v>
      </c>
      <c r="I70" s="65">
        <f t="shared" si="3"/>
        <v>0.0394727</v>
      </c>
    </row>
    <row r="71">
      <c r="A71" s="63" t="s">
        <v>104</v>
      </c>
      <c r="B71" s="63">
        <v>2093.0</v>
      </c>
      <c r="C71" s="63">
        <v>1479.0</v>
      </c>
      <c r="D71" s="63">
        <v>58.6</v>
      </c>
      <c r="E71" s="63">
        <f t="shared" si="1"/>
        <v>41.4</v>
      </c>
      <c r="F71" s="63">
        <v>41.3</v>
      </c>
      <c r="G71" s="64">
        <v>41.3188648</v>
      </c>
      <c r="H71" s="65">
        <f t="shared" si="2"/>
        <v>0.1961709707</v>
      </c>
      <c r="I71" s="65">
        <f t="shared" si="3"/>
        <v>0.0811352</v>
      </c>
    </row>
    <row r="72">
      <c r="A72" s="63" t="s">
        <v>105</v>
      </c>
      <c r="B72" s="63">
        <v>1410.0</v>
      </c>
      <c r="C72" s="63">
        <v>830.0</v>
      </c>
      <c r="D72" s="63">
        <v>62.9</v>
      </c>
      <c r="E72" s="63">
        <f t="shared" si="1"/>
        <v>37.1</v>
      </c>
      <c r="F72" s="63">
        <v>37.0</v>
      </c>
      <c r="G72" s="64">
        <v>36.9777778</v>
      </c>
      <c r="H72" s="65">
        <f t="shared" si="2"/>
        <v>0.3299834407</v>
      </c>
      <c r="I72" s="65">
        <f t="shared" si="3"/>
        <v>0.1222222</v>
      </c>
    </row>
    <row r="73">
      <c r="A73" s="63" t="s">
        <v>469</v>
      </c>
      <c r="B73" s="63">
        <v>1095.0</v>
      </c>
      <c r="C73" s="63">
        <v>1280.0</v>
      </c>
      <c r="D73" s="63">
        <v>46.1</v>
      </c>
      <c r="E73" s="63">
        <f t="shared" si="1"/>
        <v>53.9</v>
      </c>
      <c r="F73" s="63">
        <v>53.9</v>
      </c>
      <c r="G73" s="64">
        <v>53.8686742</v>
      </c>
      <c r="H73" s="65">
        <f t="shared" si="2"/>
        <v>0.05813526098</v>
      </c>
      <c r="I73" s="65">
        <f t="shared" si="3"/>
        <v>0.0313258</v>
      </c>
    </row>
    <row r="74">
      <c r="A74" s="63" t="s">
        <v>470</v>
      </c>
      <c r="B74" s="63">
        <v>1840.0</v>
      </c>
      <c r="C74" s="63">
        <v>3067.0</v>
      </c>
      <c r="D74" s="63">
        <v>37.5</v>
      </c>
      <c r="E74" s="63">
        <f t="shared" si="1"/>
        <v>62.5</v>
      </c>
      <c r="F74" s="63">
        <v>62.2</v>
      </c>
      <c r="G74" s="64">
        <v>62.1703241</v>
      </c>
      <c r="H74" s="65">
        <f t="shared" si="2"/>
        <v>0.5288763022</v>
      </c>
      <c r="I74" s="65">
        <f t="shared" si="3"/>
        <v>0.3296759</v>
      </c>
    </row>
    <row r="75">
      <c r="A75" s="63" t="s">
        <v>108</v>
      </c>
      <c r="B75" s="63">
        <v>1273.0</v>
      </c>
      <c r="C75" s="63">
        <v>539.0</v>
      </c>
      <c r="D75" s="63">
        <v>70.3</v>
      </c>
      <c r="E75" s="63">
        <f t="shared" si="1"/>
        <v>29.7</v>
      </c>
      <c r="F75" s="63">
        <v>29.6</v>
      </c>
      <c r="G75" s="64">
        <v>29.6316658</v>
      </c>
      <c r="H75" s="65">
        <f t="shared" si="2"/>
        <v>0.2303464738</v>
      </c>
      <c r="I75" s="65">
        <f t="shared" si="3"/>
        <v>0.0683342</v>
      </c>
    </row>
    <row r="76">
      <c r="A76" s="63" t="s">
        <v>110</v>
      </c>
      <c r="B76" s="63">
        <v>2491.0</v>
      </c>
      <c r="C76" s="63">
        <v>1405.0</v>
      </c>
      <c r="D76" s="63">
        <v>63.9</v>
      </c>
      <c r="E76" s="63">
        <f t="shared" si="1"/>
        <v>36.1</v>
      </c>
      <c r="F76" s="63">
        <v>36.1</v>
      </c>
      <c r="G76" s="64">
        <v>36.0848454</v>
      </c>
      <c r="H76" s="65">
        <f t="shared" si="2"/>
        <v>0.04198831463</v>
      </c>
      <c r="I76" s="65">
        <f t="shared" si="3"/>
        <v>0.0151546</v>
      </c>
    </row>
    <row r="77">
      <c r="A77" s="63" t="s">
        <v>111</v>
      </c>
      <c r="B77" s="63">
        <v>3963.0</v>
      </c>
      <c r="C77" s="63">
        <v>624.0</v>
      </c>
      <c r="D77" s="63">
        <v>86.4</v>
      </c>
      <c r="E77" s="63">
        <f t="shared" si="1"/>
        <v>13.6</v>
      </c>
      <c r="F77" s="63">
        <v>13.6</v>
      </c>
      <c r="G77" s="64">
        <v>13.5596886</v>
      </c>
      <c r="H77" s="65">
        <f t="shared" si="2"/>
        <v>0.2968472915</v>
      </c>
      <c r="I77" s="65">
        <f t="shared" si="3"/>
        <v>0.0403114</v>
      </c>
    </row>
    <row r="78">
      <c r="A78" s="63" t="s">
        <v>112</v>
      </c>
      <c r="B78" s="63">
        <v>1989.0</v>
      </c>
      <c r="C78" s="63">
        <v>302.0</v>
      </c>
      <c r="D78" s="63">
        <v>86.8</v>
      </c>
      <c r="E78" s="63">
        <f t="shared" si="1"/>
        <v>13.2</v>
      </c>
      <c r="F78" s="63">
        <v>13.1</v>
      </c>
      <c r="G78" s="64">
        <v>13.0962706</v>
      </c>
      <c r="H78" s="65">
        <f t="shared" si="2"/>
        <v>0.7889286019</v>
      </c>
      <c r="I78" s="65">
        <f t="shared" si="3"/>
        <v>0.1037294</v>
      </c>
    </row>
    <row r="79">
      <c r="A79" s="63" t="s">
        <v>113</v>
      </c>
      <c r="B79" s="63">
        <v>885.0</v>
      </c>
      <c r="C79" s="63">
        <v>343.0</v>
      </c>
      <c r="D79" s="63">
        <v>72.1</v>
      </c>
      <c r="E79" s="63">
        <f t="shared" si="1"/>
        <v>27.9</v>
      </c>
      <c r="F79" s="63">
        <v>27.9</v>
      </c>
      <c r="G79" s="64">
        <v>27.8768233</v>
      </c>
      <c r="H79" s="65">
        <f t="shared" si="2"/>
        <v>0.08310512729</v>
      </c>
      <c r="I79" s="65">
        <f t="shared" si="3"/>
        <v>0.0231767</v>
      </c>
    </row>
    <row r="80">
      <c r="A80" s="63" t="s">
        <v>114</v>
      </c>
      <c r="B80" s="63">
        <v>2506.0</v>
      </c>
      <c r="C80" s="63">
        <v>553.0</v>
      </c>
      <c r="D80" s="63">
        <v>81.9</v>
      </c>
      <c r="E80" s="63">
        <f t="shared" si="1"/>
        <v>18.1</v>
      </c>
      <c r="F80" s="63">
        <v>18.0</v>
      </c>
      <c r="G80" s="64">
        <v>18.0456026</v>
      </c>
      <c r="H80" s="65">
        <f t="shared" si="2"/>
        <v>0.300990417</v>
      </c>
      <c r="I80" s="65">
        <f t="shared" si="3"/>
        <v>0.0543974</v>
      </c>
    </row>
    <row r="81">
      <c r="A81" s="63" t="s">
        <v>115</v>
      </c>
      <c r="B81" s="63">
        <v>3969.0</v>
      </c>
      <c r="C81" s="63">
        <v>890.0</v>
      </c>
      <c r="D81" s="63">
        <v>81.7</v>
      </c>
      <c r="E81" s="63">
        <f t="shared" si="1"/>
        <v>18.3</v>
      </c>
      <c r="F81" s="63">
        <v>18.2</v>
      </c>
      <c r="G81" s="64">
        <v>18.2468329</v>
      </c>
      <c r="H81" s="65">
        <f t="shared" si="2"/>
        <v>0.2909532552</v>
      </c>
      <c r="I81" s="65">
        <f t="shared" si="3"/>
        <v>0.0531671</v>
      </c>
    </row>
    <row r="82">
      <c r="A82" s="63" t="s">
        <v>116</v>
      </c>
      <c r="B82" s="63">
        <v>2323.0</v>
      </c>
      <c r="C82" s="63">
        <v>1024.0</v>
      </c>
      <c r="D82" s="63">
        <v>69.4</v>
      </c>
      <c r="E82" s="63">
        <f t="shared" si="1"/>
        <v>30.6</v>
      </c>
      <c r="F82" s="63">
        <v>30.9</v>
      </c>
      <c r="G82" s="64">
        <v>30.8827871</v>
      </c>
      <c r="H82" s="65">
        <f t="shared" si="2"/>
        <v>0.9198903086</v>
      </c>
      <c r="I82" s="65">
        <f t="shared" si="3"/>
        <v>-0.2827871</v>
      </c>
    </row>
    <row r="83">
      <c r="A83" s="63" t="s">
        <v>117</v>
      </c>
      <c r="B83" s="63">
        <v>1846.0</v>
      </c>
      <c r="C83" s="63">
        <v>1164.0</v>
      </c>
      <c r="D83" s="63">
        <v>61.3</v>
      </c>
      <c r="E83" s="63">
        <f t="shared" si="1"/>
        <v>38.7</v>
      </c>
      <c r="F83" s="63">
        <v>38.7</v>
      </c>
      <c r="G83" s="64">
        <v>38.6883074</v>
      </c>
      <c r="H83" s="65">
        <f t="shared" si="2"/>
        <v>0.03021800164</v>
      </c>
      <c r="I83" s="65">
        <f t="shared" si="3"/>
        <v>0.0116926</v>
      </c>
    </row>
    <row r="84">
      <c r="A84" s="63" t="s">
        <v>118</v>
      </c>
      <c r="B84" s="63">
        <v>4812.0</v>
      </c>
      <c r="C84" s="63">
        <v>976.0</v>
      </c>
      <c r="D84" s="63">
        <v>83.1</v>
      </c>
      <c r="E84" s="63">
        <f t="shared" si="1"/>
        <v>16.9</v>
      </c>
      <c r="F84" s="63">
        <v>16.9</v>
      </c>
      <c r="G84" s="64">
        <v>16.9468268</v>
      </c>
      <c r="H84" s="65">
        <f t="shared" si="2"/>
        <v>0.2766983167</v>
      </c>
      <c r="I84" s="65">
        <f t="shared" si="3"/>
        <v>-0.0468268</v>
      </c>
    </row>
    <row r="85">
      <c r="A85" s="63" t="s">
        <v>119</v>
      </c>
      <c r="B85" s="63">
        <v>1451.0</v>
      </c>
      <c r="C85" s="63">
        <v>241.0</v>
      </c>
      <c r="D85" s="63">
        <v>85.8</v>
      </c>
      <c r="E85" s="63">
        <f t="shared" si="1"/>
        <v>14.2</v>
      </c>
      <c r="F85" s="63">
        <v>14.2</v>
      </c>
      <c r="G85" s="64">
        <v>14.2182891</v>
      </c>
      <c r="H85" s="65">
        <f t="shared" si="2"/>
        <v>0.1287135896</v>
      </c>
      <c r="I85" s="65">
        <f t="shared" si="3"/>
        <v>-0.0182891</v>
      </c>
    </row>
    <row r="86">
      <c r="A86" s="63" t="s">
        <v>120</v>
      </c>
      <c r="B86" s="63">
        <v>648.0</v>
      </c>
      <c r="C86" s="63">
        <v>372.0</v>
      </c>
      <c r="D86" s="63">
        <v>63.5</v>
      </c>
      <c r="E86" s="63">
        <f t="shared" si="1"/>
        <v>36.5</v>
      </c>
      <c r="F86" s="63">
        <v>36.5</v>
      </c>
      <c r="G86" s="64">
        <v>36.532811</v>
      </c>
      <c r="H86" s="65">
        <f t="shared" si="2"/>
        <v>0.08985276494</v>
      </c>
      <c r="I86" s="65">
        <f t="shared" si="3"/>
        <v>-0.032811</v>
      </c>
    </row>
    <row r="87">
      <c r="A87" s="63" t="s">
        <v>122</v>
      </c>
      <c r="B87" s="63">
        <v>3443.0</v>
      </c>
      <c r="C87" s="63">
        <v>2606.0</v>
      </c>
      <c r="D87" s="63">
        <v>56.9</v>
      </c>
      <c r="E87" s="63">
        <f t="shared" si="1"/>
        <v>43.1</v>
      </c>
      <c r="F87" s="63">
        <v>43.1</v>
      </c>
      <c r="G87" s="64">
        <v>43.1320941</v>
      </c>
      <c r="H87" s="65">
        <f t="shared" si="2"/>
        <v>0.07443655482</v>
      </c>
      <c r="I87" s="65">
        <f t="shared" si="3"/>
        <v>-0.0320941</v>
      </c>
    </row>
    <row r="88">
      <c r="A88" s="63" t="s">
        <v>123</v>
      </c>
      <c r="B88" s="63">
        <v>3684.0</v>
      </c>
      <c r="C88" s="63">
        <v>2755.0</v>
      </c>
      <c r="D88" s="63">
        <v>57.2</v>
      </c>
      <c r="E88" s="63">
        <f t="shared" si="1"/>
        <v>42.8</v>
      </c>
      <c r="F88" s="63">
        <v>42.8</v>
      </c>
      <c r="G88" s="64">
        <v>42.8219726</v>
      </c>
      <c r="H88" s="65">
        <f t="shared" si="2"/>
        <v>0.05132467597</v>
      </c>
      <c r="I88" s="65">
        <f t="shared" si="3"/>
        <v>-0.0219726</v>
      </c>
    </row>
    <row r="89">
      <c r="A89" s="63" t="s">
        <v>124</v>
      </c>
      <c r="B89" s="63">
        <v>815.0</v>
      </c>
      <c r="C89" s="63">
        <v>1480.0</v>
      </c>
      <c r="D89" s="63">
        <v>35.5</v>
      </c>
      <c r="E89" s="63">
        <f t="shared" si="1"/>
        <v>64.5</v>
      </c>
      <c r="F89" s="63">
        <v>64.5</v>
      </c>
      <c r="G89" s="64">
        <v>64.5147314</v>
      </c>
      <c r="H89" s="65">
        <f t="shared" si="2"/>
        <v>0.02283677196</v>
      </c>
      <c r="I89" s="65">
        <f t="shared" si="3"/>
        <v>-0.0147314</v>
      </c>
    </row>
    <row r="90">
      <c r="A90" s="63" t="s">
        <v>125</v>
      </c>
      <c r="B90" s="63">
        <v>4178.0</v>
      </c>
      <c r="C90" s="63">
        <v>4907.0</v>
      </c>
      <c r="D90" s="63">
        <v>46.0</v>
      </c>
      <c r="E90" s="63">
        <f t="shared" si="1"/>
        <v>54</v>
      </c>
      <c r="F90" s="63">
        <v>54.3</v>
      </c>
      <c r="G90" s="64">
        <v>54.2721177</v>
      </c>
      <c r="H90" s="65">
        <f t="shared" si="2"/>
        <v>0.5026551725</v>
      </c>
      <c r="I90" s="65">
        <f t="shared" si="3"/>
        <v>-0.2721177</v>
      </c>
    </row>
    <row r="91">
      <c r="A91" s="63" t="s">
        <v>126</v>
      </c>
      <c r="B91" s="63">
        <v>9505.0</v>
      </c>
      <c r="C91" s="63">
        <v>3981.0</v>
      </c>
      <c r="D91" s="63">
        <v>70.5</v>
      </c>
      <c r="E91" s="63">
        <f t="shared" si="1"/>
        <v>29.5</v>
      </c>
      <c r="F91" s="63">
        <v>29.5</v>
      </c>
      <c r="G91" s="64">
        <v>29.52779</v>
      </c>
      <c r="H91" s="65">
        <f t="shared" si="2"/>
        <v>0.09415903933</v>
      </c>
      <c r="I91" s="65">
        <f t="shared" si="3"/>
        <v>-0.02779</v>
      </c>
    </row>
    <row r="92">
      <c r="A92" s="63" t="s">
        <v>128</v>
      </c>
      <c r="B92" s="63">
        <v>6165.0</v>
      </c>
      <c r="C92" s="63">
        <v>4292.0</v>
      </c>
      <c r="D92" s="63">
        <v>59.0</v>
      </c>
      <c r="E92" s="63">
        <f t="shared" si="1"/>
        <v>41</v>
      </c>
      <c r="F92" s="63">
        <v>41.0</v>
      </c>
      <c r="G92" s="64">
        <v>40.4549951</v>
      </c>
      <c r="H92" s="65">
        <f t="shared" si="2"/>
        <v>1.338174287</v>
      </c>
      <c r="I92" s="65">
        <f t="shared" si="3"/>
        <v>0.5450049</v>
      </c>
    </row>
    <row r="93">
      <c r="A93" s="63" t="s">
        <v>129</v>
      </c>
      <c r="B93" s="63">
        <v>5066.0</v>
      </c>
      <c r="C93" s="63">
        <v>2642.0</v>
      </c>
      <c r="D93" s="63">
        <v>65.7</v>
      </c>
      <c r="E93" s="63">
        <f t="shared" si="1"/>
        <v>34.3</v>
      </c>
      <c r="F93" s="63">
        <v>34.1</v>
      </c>
      <c r="G93" s="64">
        <v>34.1321995</v>
      </c>
      <c r="H93" s="65">
        <f t="shared" si="2"/>
        <v>0.4904138731</v>
      </c>
      <c r="I93" s="65">
        <f t="shared" si="3"/>
        <v>0.1678005</v>
      </c>
    </row>
    <row r="94">
      <c r="A94" s="63" t="s">
        <v>130</v>
      </c>
      <c r="B94" s="63">
        <v>3096.0</v>
      </c>
      <c r="C94" s="63">
        <v>2922.0</v>
      </c>
      <c r="D94" s="63">
        <v>51.4</v>
      </c>
      <c r="E94" s="63">
        <f t="shared" si="1"/>
        <v>48.6</v>
      </c>
      <c r="F94" s="63">
        <v>48.4</v>
      </c>
      <c r="G94" s="64">
        <v>48.399868</v>
      </c>
      <c r="H94" s="65">
        <f t="shared" si="2"/>
        <v>0.4126438605</v>
      </c>
      <c r="I94" s="65">
        <f t="shared" si="3"/>
        <v>0.200132</v>
      </c>
    </row>
    <row r="95">
      <c r="A95" s="63" t="s">
        <v>131</v>
      </c>
      <c r="B95" s="63">
        <v>2071.0</v>
      </c>
      <c r="C95" s="63">
        <v>814.0</v>
      </c>
      <c r="D95" s="63">
        <v>71.8</v>
      </c>
      <c r="E95" s="63">
        <f t="shared" si="1"/>
        <v>28.2</v>
      </c>
      <c r="F95" s="63">
        <v>28.2</v>
      </c>
      <c r="G95" s="64">
        <v>27.5553663</v>
      </c>
      <c r="H95" s="65">
        <f t="shared" si="2"/>
        <v>2.312364684</v>
      </c>
      <c r="I95" s="65">
        <f t="shared" si="3"/>
        <v>0.6446337</v>
      </c>
    </row>
    <row r="96">
      <c r="A96" s="63" t="s">
        <v>471</v>
      </c>
      <c r="B96" s="63">
        <v>7375.0</v>
      </c>
      <c r="C96" s="63">
        <v>1968.0</v>
      </c>
      <c r="D96" s="63">
        <v>78.9</v>
      </c>
      <c r="E96" s="63">
        <f t="shared" si="1"/>
        <v>21.1</v>
      </c>
      <c r="F96" s="63">
        <v>21.0</v>
      </c>
      <c r="G96" s="64">
        <v>20.9872611</v>
      </c>
      <c r="H96" s="65">
        <f t="shared" si="2"/>
        <v>0.5357388295</v>
      </c>
      <c r="I96" s="65">
        <f t="shared" si="3"/>
        <v>0.1127389</v>
      </c>
    </row>
    <row r="97">
      <c r="A97" s="63" t="s">
        <v>134</v>
      </c>
      <c r="B97" s="63">
        <v>2073.0</v>
      </c>
      <c r="C97" s="63">
        <v>1153.0</v>
      </c>
      <c r="D97" s="63">
        <v>64.3</v>
      </c>
      <c r="E97" s="63">
        <f t="shared" si="1"/>
        <v>35.7</v>
      </c>
      <c r="F97" s="63">
        <v>35.7</v>
      </c>
      <c r="G97" s="64">
        <v>35.734072</v>
      </c>
      <c r="H97" s="65">
        <f t="shared" si="2"/>
        <v>0.09539425388</v>
      </c>
      <c r="I97" s="65">
        <f t="shared" si="3"/>
        <v>-0.034072</v>
      </c>
    </row>
    <row r="98">
      <c r="A98" s="63" t="s">
        <v>135</v>
      </c>
      <c r="B98" s="63">
        <v>2242.0</v>
      </c>
      <c r="C98" s="63">
        <v>566.0</v>
      </c>
      <c r="D98" s="63">
        <v>79.8</v>
      </c>
      <c r="E98" s="63">
        <f t="shared" si="1"/>
        <v>20.2</v>
      </c>
      <c r="F98" s="63">
        <v>20.2</v>
      </c>
      <c r="G98" s="64">
        <v>20.2267092</v>
      </c>
      <c r="H98" s="65">
        <f t="shared" si="2"/>
        <v>0.1321364045</v>
      </c>
      <c r="I98" s="65">
        <f t="shared" si="3"/>
        <v>-0.0267092</v>
      </c>
    </row>
    <row r="99">
      <c r="A99" s="63" t="s">
        <v>136</v>
      </c>
      <c r="B99" s="63">
        <v>2759.0</v>
      </c>
      <c r="C99" s="63">
        <v>1026.0</v>
      </c>
      <c r="D99" s="63">
        <v>72.9</v>
      </c>
      <c r="E99" s="63">
        <f t="shared" si="1"/>
        <v>27.1</v>
      </c>
      <c r="F99" s="63">
        <v>27.0</v>
      </c>
      <c r="G99" s="64">
        <v>27.0185524</v>
      </c>
      <c r="H99" s="65">
        <f t="shared" si="2"/>
        <v>0.3009969646</v>
      </c>
      <c r="I99" s="65">
        <f t="shared" si="3"/>
        <v>0.0814476</v>
      </c>
    </row>
    <row r="100">
      <c r="A100" s="63" t="s">
        <v>137</v>
      </c>
      <c r="B100" s="63">
        <v>3381.0</v>
      </c>
      <c r="C100" s="63">
        <v>4069.0</v>
      </c>
      <c r="D100" s="63">
        <v>45.4</v>
      </c>
      <c r="E100" s="63">
        <f t="shared" si="1"/>
        <v>54.6</v>
      </c>
      <c r="F100" s="63">
        <v>54.6</v>
      </c>
      <c r="G100" s="64">
        <v>54.5551554</v>
      </c>
      <c r="H100" s="65">
        <f t="shared" si="2"/>
        <v>0.08216671001</v>
      </c>
      <c r="I100" s="65">
        <f t="shared" si="3"/>
        <v>0.0448446</v>
      </c>
    </row>
    <row r="101">
      <c r="A101" s="63" t="s">
        <v>138</v>
      </c>
      <c r="B101" s="63">
        <v>2267.0</v>
      </c>
      <c r="C101" s="63">
        <v>897.0</v>
      </c>
      <c r="D101" s="63">
        <v>71.6</v>
      </c>
      <c r="E101" s="63">
        <f t="shared" si="1"/>
        <v>28.4</v>
      </c>
      <c r="F101" s="63">
        <v>28.3</v>
      </c>
      <c r="G101" s="64">
        <v>28.3125</v>
      </c>
      <c r="H101" s="65">
        <f t="shared" si="2"/>
        <v>0.3085739475</v>
      </c>
      <c r="I101" s="65">
        <f t="shared" si="3"/>
        <v>0.0875</v>
      </c>
    </row>
    <row r="102">
      <c r="A102" s="63" t="s">
        <v>139</v>
      </c>
      <c r="B102" s="63">
        <v>638.0</v>
      </c>
      <c r="C102" s="63">
        <v>625.0</v>
      </c>
      <c r="D102" s="63">
        <v>50.5</v>
      </c>
      <c r="E102" s="63">
        <f t="shared" si="1"/>
        <v>49.5</v>
      </c>
      <c r="F102" s="63">
        <v>49.5</v>
      </c>
      <c r="G102" s="64">
        <v>49.5283019</v>
      </c>
      <c r="H102" s="65">
        <f t="shared" si="2"/>
        <v>0.05715921501</v>
      </c>
      <c r="I102" s="65">
        <f t="shared" si="3"/>
        <v>-0.0283019</v>
      </c>
    </row>
    <row r="103">
      <c r="A103" s="63" t="s">
        <v>141</v>
      </c>
      <c r="B103" s="63">
        <v>3625.0</v>
      </c>
      <c r="C103" s="63">
        <v>3333.0</v>
      </c>
      <c r="D103" s="63">
        <v>52.1</v>
      </c>
      <c r="E103" s="63">
        <f t="shared" si="1"/>
        <v>47.9</v>
      </c>
      <c r="F103" s="63">
        <v>47.9</v>
      </c>
      <c r="G103" s="64">
        <v>47.941681</v>
      </c>
      <c r="H103" s="65">
        <f t="shared" si="2"/>
        <v>0.08697885839</v>
      </c>
      <c r="I103" s="65">
        <f t="shared" si="3"/>
        <v>-0.041681</v>
      </c>
    </row>
    <row r="104">
      <c r="A104" s="63" t="s">
        <v>142</v>
      </c>
      <c r="B104" s="63">
        <v>2759.0</v>
      </c>
      <c r="C104" s="63">
        <v>2594.0</v>
      </c>
      <c r="D104" s="63">
        <v>51.5</v>
      </c>
      <c r="E104" s="63">
        <f t="shared" si="1"/>
        <v>48.5</v>
      </c>
      <c r="F104" s="63">
        <v>48.4</v>
      </c>
      <c r="G104" s="64">
        <v>48.4386617</v>
      </c>
      <c r="H104" s="65">
        <f t="shared" si="2"/>
        <v>0.1265507465</v>
      </c>
      <c r="I104" s="65">
        <f t="shared" si="3"/>
        <v>0.0613383</v>
      </c>
    </row>
    <row r="105">
      <c r="A105" s="63" t="s">
        <v>144</v>
      </c>
      <c r="B105" s="63">
        <v>569.0</v>
      </c>
      <c r="C105" s="63">
        <v>1678.0</v>
      </c>
      <c r="D105" s="63">
        <v>25.3</v>
      </c>
      <c r="E105" s="63">
        <f t="shared" si="1"/>
        <v>74.7</v>
      </c>
      <c r="F105" s="63">
        <v>74.6</v>
      </c>
      <c r="G105" s="64">
        <v>74.6255507</v>
      </c>
      <c r="H105" s="65">
        <f t="shared" si="2"/>
        <v>0.09971408061</v>
      </c>
      <c r="I105" s="65">
        <f t="shared" si="3"/>
        <v>0.0744493</v>
      </c>
    </row>
    <row r="106">
      <c r="A106" s="63" t="s">
        <v>145</v>
      </c>
      <c r="B106" s="63">
        <v>450.0</v>
      </c>
      <c r="C106" s="63">
        <v>1551.0</v>
      </c>
      <c r="D106" s="63">
        <v>22.5</v>
      </c>
      <c r="E106" s="63">
        <f t="shared" si="1"/>
        <v>77.5</v>
      </c>
      <c r="F106" s="63">
        <v>77.6</v>
      </c>
      <c r="G106" s="64">
        <v>77.5561097</v>
      </c>
      <c r="H106" s="65">
        <f t="shared" si="2"/>
        <v>0.07237341387</v>
      </c>
      <c r="I106" s="65">
        <f t="shared" si="3"/>
        <v>-0.0561097</v>
      </c>
    </row>
    <row r="107">
      <c r="A107" s="63" t="s">
        <v>147</v>
      </c>
      <c r="B107" s="63">
        <v>3031.0</v>
      </c>
      <c r="C107" s="63">
        <v>490.0</v>
      </c>
      <c r="D107" s="63">
        <v>86.1</v>
      </c>
      <c r="E107" s="63">
        <f t="shared" si="1"/>
        <v>13.9</v>
      </c>
      <c r="F107" s="63">
        <v>13.9</v>
      </c>
      <c r="G107" s="64">
        <v>13.943662</v>
      </c>
      <c r="H107" s="65">
        <f t="shared" si="2"/>
        <v>0.31362254</v>
      </c>
      <c r="I107" s="65">
        <f t="shared" si="3"/>
        <v>-0.043662</v>
      </c>
    </row>
    <row r="108">
      <c r="A108" s="63" t="s">
        <v>148</v>
      </c>
      <c r="B108" s="63">
        <v>743.0</v>
      </c>
      <c r="C108" s="63">
        <v>226.0</v>
      </c>
      <c r="D108" s="63">
        <v>76.7</v>
      </c>
      <c r="E108" s="63">
        <f t="shared" si="1"/>
        <v>23.3</v>
      </c>
      <c r="F108" s="63">
        <v>23.3</v>
      </c>
      <c r="G108" s="64">
        <v>23.3197556</v>
      </c>
      <c r="H108" s="65">
        <f t="shared" si="2"/>
        <v>0.08475205305</v>
      </c>
      <c r="I108" s="65">
        <f t="shared" si="3"/>
        <v>-0.0197556</v>
      </c>
    </row>
    <row r="109">
      <c r="A109" s="63" t="s">
        <v>150</v>
      </c>
      <c r="B109" s="63">
        <v>2118.0</v>
      </c>
      <c r="C109" s="63">
        <v>2990.0</v>
      </c>
      <c r="D109" s="63">
        <v>41.5</v>
      </c>
      <c r="E109" s="63">
        <f t="shared" si="1"/>
        <v>58.5</v>
      </c>
      <c r="F109" s="63">
        <v>58.5</v>
      </c>
      <c r="G109" s="64">
        <v>58.5147745</v>
      </c>
      <c r="H109" s="65">
        <f t="shared" si="2"/>
        <v>0.02525236674</v>
      </c>
      <c r="I109" s="65">
        <f t="shared" si="3"/>
        <v>-0.0147745</v>
      </c>
    </row>
    <row r="110">
      <c r="A110" s="63" t="s">
        <v>151</v>
      </c>
      <c r="B110" s="63">
        <v>1969.0</v>
      </c>
      <c r="C110" s="63">
        <v>491.0</v>
      </c>
      <c r="D110" s="63">
        <v>80.0</v>
      </c>
      <c r="E110" s="63">
        <f t="shared" si="1"/>
        <v>20</v>
      </c>
      <c r="F110" s="63">
        <v>19.9</v>
      </c>
      <c r="G110" s="64">
        <v>19.9027158</v>
      </c>
      <c r="H110" s="65">
        <f t="shared" si="2"/>
        <v>0.4876069112</v>
      </c>
      <c r="I110" s="65">
        <f t="shared" si="3"/>
        <v>0.0972842</v>
      </c>
    </row>
    <row r="111">
      <c r="A111" s="63" t="s">
        <v>152</v>
      </c>
      <c r="B111" s="63">
        <v>1092.0</v>
      </c>
      <c r="C111" s="63">
        <v>197.0</v>
      </c>
      <c r="D111" s="63">
        <v>84.7</v>
      </c>
      <c r="E111" s="63">
        <f t="shared" si="1"/>
        <v>15.3</v>
      </c>
      <c r="F111" s="63">
        <v>15.3</v>
      </c>
      <c r="G111" s="64">
        <v>15.2895753</v>
      </c>
      <c r="H111" s="65">
        <f t="shared" si="2"/>
        <v>0.06815851412</v>
      </c>
      <c r="I111" s="65">
        <f t="shared" si="3"/>
        <v>0.0104247</v>
      </c>
    </row>
    <row r="112">
      <c r="A112" s="63" t="s">
        <v>472</v>
      </c>
      <c r="B112" s="63">
        <v>2369.0</v>
      </c>
      <c r="C112" s="63">
        <v>440.0</v>
      </c>
      <c r="D112" s="63">
        <v>84.3</v>
      </c>
      <c r="E112" s="63">
        <f t="shared" si="1"/>
        <v>15.7</v>
      </c>
      <c r="F112" s="63">
        <v>15.7</v>
      </c>
      <c r="G112" s="64">
        <v>15.7001414</v>
      </c>
      <c r="H112" s="65">
        <f t="shared" si="2"/>
        <v>0.0009006328869</v>
      </c>
      <c r="I112" s="65">
        <f t="shared" si="3"/>
        <v>-0.0001414</v>
      </c>
    </row>
    <row r="113">
      <c r="A113" s="63" t="s">
        <v>155</v>
      </c>
      <c r="B113" s="63">
        <v>1330.0</v>
      </c>
      <c r="C113" s="63">
        <v>1086.0</v>
      </c>
      <c r="D113" s="63">
        <v>55.0</v>
      </c>
      <c r="E113" s="63">
        <f t="shared" si="1"/>
        <v>45</v>
      </c>
      <c r="F113" s="63">
        <v>44.9</v>
      </c>
      <c r="G113" s="64">
        <v>44.8744339</v>
      </c>
      <c r="H113" s="65">
        <f t="shared" si="2"/>
        <v>0.2794256265</v>
      </c>
      <c r="I113" s="65">
        <f t="shared" si="3"/>
        <v>0.1255661</v>
      </c>
    </row>
    <row r="114">
      <c r="A114" s="63" t="s">
        <v>156</v>
      </c>
      <c r="B114" s="63">
        <v>730.0</v>
      </c>
      <c r="C114" s="63">
        <v>35.0</v>
      </c>
      <c r="D114" s="63">
        <v>95.4</v>
      </c>
      <c r="E114" s="63">
        <f t="shared" si="1"/>
        <v>4.6</v>
      </c>
      <c r="F114" s="63">
        <v>4.6</v>
      </c>
      <c r="G114" s="64">
        <v>4.5513654</v>
      </c>
      <c r="H114" s="65">
        <f t="shared" si="2"/>
        <v>1.062892757</v>
      </c>
      <c r="I114" s="65">
        <f t="shared" si="3"/>
        <v>0.0486346</v>
      </c>
    </row>
    <row r="115">
      <c r="A115" s="63" t="s">
        <v>158</v>
      </c>
      <c r="B115" s="63">
        <v>742.0</v>
      </c>
      <c r="C115" s="63">
        <v>1073.0</v>
      </c>
      <c r="D115" s="63">
        <v>40.9</v>
      </c>
      <c r="E115" s="63">
        <f t="shared" si="1"/>
        <v>59.1</v>
      </c>
      <c r="F115" s="63">
        <v>59.0</v>
      </c>
      <c r="G115" s="64">
        <v>59.0163934</v>
      </c>
      <c r="H115" s="65">
        <f t="shared" si="2"/>
        <v>0.1415664627</v>
      </c>
      <c r="I115" s="65">
        <f t="shared" si="3"/>
        <v>0.0836066</v>
      </c>
    </row>
    <row r="116">
      <c r="A116" s="63" t="s">
        <v>159</v>
      </c>
      <c r="B116" s="63">
        <v>321.0</v>
      </c>
      <c r="C116" s="63">
        <v>414.0</v>
      </c>
      <c r="D116" s="63">
        <v>43.7</v>
      </c>
      <c r="E116" s="63">
        <f t="shared" si="1"/>
        <v>56.3</v>
      </c>
      <c r="F116" s="63">
        <v>56.4</v>
      </c>
      <c r="G116" s="64">
        <v>56.3858696</v>
      </c>
      <c r="H116" s="65">
        <f t="shared" si="2"/>
        <v>0.1524052666</v>
      </c>
      <c r="I116" s="65">
        <f t="shared" si="3"/>
        <v>-0.0858696</v>
      </c>
    </row>
    <row r="117">
      <c r="A117" s="63" t="s">
        <v>160</v>
      </c>
      <c r="B117" s="63">
        <v>6634.0</v>
      </c>
      <c r="C117" s="63">
        <v>10139.0</v>
      </c>
      <c r="D117" s="63">
        <v>39.6</v>
      </c>
      <c r="E117" s="63">
        <f t="shared" si="1"/>
        <v>60.4</v>
      </c>
      <c r="F117" s="63">
        <v>60.4</v>
      </c>
      <c r="G117" s="64">
        <v>60.3842312</v>
      </c>
      <c r="H117" s="65">
        <f t="shared" si="2"/>
        <v>0.02611069316</v>
      </c>
      <c r="I117" s="65">
        <f t="shared" si="3"/>
        <v>0.0157688</v>
      </c>
    </row>
    <row r="118">
      <c r="A118" s="63" t="s">
        <v>161</v>
      </c>
      <c r="B118" s="63">
        <v>2490.0</v>
      </c>
      <c r="C118" s="63">
        <v>1669.0</v>
      </c>
      <c r="D118" s="63">
        <v>59.9</v>
      </c>
      <c r="E118" s="63">
        <f t="shared" si="1"/>
        <v>40.1</v>
      </c>
      <c r="F118" s="63">
        <v>39.9</v>
      </c>
      <c r="G118" s="64">
        <v>39.9049881</v>
      </c>
      <c r="H118" s="65">
        <f t="shared" si="2"/>
        <v>0.4874993538</v>
      </c>
      <c r="I118" s="65">
        <f t="shared" si="3"/>
        <v>0.1950119</v>
      </c>
    </row>
    <row r="119">
      <c r="A119" s="63" t="s">
        <v>162</v>
      </c>
      <c r="B119" s="63">
        <v>22840.0</v>
      </c>
      <c r="C119" s="63">
        <v>153456.0</v>
      </c>
      <c r="D119" s="63">
        <v>13.0</v>
      </c>
      <c r="E119" s="63">
        <f t="shared" si="1"/>
        <v>87</v>
      </c>
      <c r="F119" s="63">
        <v>87.0</v>
      </c>
      <c r="G119" s="64">
        <v>86.9644146</v>
      </c>
      <c r="H119" s="65">
        <f t="shared" si="2"/>
        <v>0.04091112551</v>
      </c>
      <c r="I119" s="65">
        <f t="shared" si="3"/>
        <v>0.0355854</v>
      </c>
    </row>
    <row r="120">
      <c r="A120" s="63" t="s">
        <v>165</v>
      </c>
      <c r="B120" s="63">
        <v>3516.0</v>
      </c>
      <c r="C120" s="63">
        <v>2897.0</v>
      </c>
      <c r="D120" s="63">
        <v>54.8</v>
      </c>
      <c r="E120" s="63">
        <f t="shared" si="1"/>
        <v>45.2</v>
      </c>
      <c r="F120" s="63">
        <v>45.1</v>
      </c>
      <c r="G120" s="64">
        <v>45.0838591</v>
      </c>
      <c r="H120" s="65">
        <f t="shared" si="2"/>
        <v>0.2572794321</v>
      </c>
      <c r="I120" s="65">
        <f t="shared" si="3"/>
        <v>0.1161409</v>
      </c>
    </row>
    <row r="121">
      <c r="A121" s="63" t="s">
        <v>166</v>
      </c>
      <c r="B121" s="63">
        <v>908.0</v>
      </c>
      <c r="C121" s="63">
        <v>619.0</v>
      </c>
      <c r="D121" s="63">
        <v>59.5</v>
      </c>
      <c r="E121" s="63">
        <f t="shared" si="1"/>
        <v>40.5</v>
      </c>
      <c r="F121" s="63">
        <v>40.5</v>
      </c>
      <c r="G121" s="64">
        <v>40.5335068</v>
      </c>
      <c r="H121" s="65">
        <f t="shared" si="2"/>
        <v>0.08269863004</v>
      </c>
      <c r="I121" s="65">
        <f t="shared" si="3"/>
        <v>-0.0335068</v>
      </c>
    </row>
    <row r="122">
      <c r="A122" s="63" t="s">
        <v>167</v>
      </c>
      <c r="B122" s="63">
        <v>675.0</v>
      </c>
      <c r="C122" s="63">
        <v>750.0</v>
      </c>
      <c r="D122" s="63">
        <v>47.4</v>
      </c>
      <c r="E122" s="63">
        <f t="shared" si="1"/>
        <v>52.6</v>
      </c>
      <c r="F122" s="63">
        <v>52.5</v>
      </c>
      <c r="G122" s="64">
        <v>52.5104603</v>
      </c>
      <c r="H122" s="65">
        <f t="shared" si="2"/>
        <v>0.1703725771</v>
      </c>
      <c r="I122" s="65">
        <f t="shared" si="3"/>
        <v>0.0895397</v>
      </c>
    </row>
    <row r="123">
      <c r="A123" s="63" t="s">
        <v>473</v>
      </c>
      <c r="B123" s="63">
        <v>6159.0</v>
      </c>
      <c r="C123" s="63">
        <v>1112.0</v>
      </c>
      <c r="D123" s="63">
        <v>84.7</v>
      </c>
      <c r="E123" s="63">
        <f t="shared" si="1"/>
        <v>15.3</v>
      </c>
      <c r="F123" s="63">
        <v>15.4</v>
      </c>
      <c r="G123" s="64">
        <v>15.3668164</v>
      </c>
      <c r="H123" s="65">
        <f t="shared" si="2"/>
        <v>0.4357570028</v>
      </c>
      <c r="I123" s="65">
        <f t="shared" si="3"/>
        <v>-0.0668164</v>
      </c>
    </row>
    <row r="124">
      <c r="A124" s="63" t="s">
        <v>169</v>
      </c>
      <c r="B124" s="63">
        <v>2723.0</v>
      </c>
      <c r="C124" s="63">
        <v>1176.0</v>
      </c>
      <c r="D124" s="63">
        <v>69.8</v>
      </c>
      <c r="E124" s="63">
        <f t="shared" si="1"/>
        <v>30.2</v>
      </c>
      <c r="F124" s="63">
        <v>30.0</v>
      </c>
      <c r="G124" s="64">
        <v>30.0050813</v>
      </c>
      <c r="H124" s="65">
        <f t="shared" si="2"/>
        <v>0.647515777</v>
      </c>
      <c r="I124" s="65">
        <f t="shared" si="3"/>
        <v>0.1949187</v>
      </c>
    </row>
    <row r="125">
      <c r="A125" s="63" t="s">
        <v>170</v>
      </c>
      <c r="B125" s="63">
        <v>3523.0</v>
      </c>
      <c r="C125" s="63">
        <v>1338.0</v>
      </c>
      <c r="D125" s="63">
        <v>72.5</v>
      </c>
      <c r="E125" s="63">
        <f t="shared" si="1"/>
        <v>27.5</v>
      </c>
      <c r="F125" s="63">
        <v>27.4</v>
      </c>
      <c r="G125" s="64">
        <v>27.398374</v>
      </c>
      <c r="H125" s="65">
        <f t="shared" si="2"/>
        <v>0.3702331876</v>
      </c>
      <c r="I125" s="65">
        <f t="shared" si="3"/>
        <v>0.101626</v>
      </c>
    </row>
    <row r="126">
      <c r="A126" s="63" t="s">
        <v>172</v>
      </c>
      <c r="B126" s="63">
        <v>1387.0</v>
      </c>
      <c r="C126" s="63">
        <v>1176.0</v>
      </c>
      <c r="D126" s="63">
        <v>54.1</v>
      </c>
      <c r="E126" s="63">
        <f t="shared" si="1"/>
        <v>45.9</v>
      </c>
      <c r="F126" s="63">
        <v>46.0</v>
      </c>
      <c r="G126" s="64">
        <v>45.969919</v>
      </c>
      <c r="H126" s="65">
        <f t="shared" si="2"/>
        <v>0.1522130437</v>
      </c>
      <c r="I126" s="65">
        <f t="shared" si="3"/>
        <v>-0.069919</v>
      </c>
    </row>
    <row r="127">
      <c r="A127" s="63" t="s">
        <v>173</v>
      </c>
      <c r="B127" s="63">
        <v>2049.0</v>
      </c>
      <c r="C127" s="63">
        <v>528.0</v>
      </c>
      <c r="D127" s="63">
        <v>79.5</v>
      </c>
      <c r="E127" s="63">
        <f t="shared" si="1"/>
        <v>20.5</v>
      </c>
      <c r="F127" s="63">
        <v>20.6</v>
      </c>
      <c r="G127" s="64">
        <v>20.5614568</v>
      </c>
      <c r="H127" s="65">
        <f t="shared" si="2"/>
        <v>0.2993405728</v>
      </c>
      <c r="I127" s="65">
        <f t="shared" si="3"/>
        <v>-0.0614568</v>
      </c>
    </row>
    <row r="128">
      <c r="A128" s="63" t="s">
        <v>174</v>
      </c>
      <c r="B128" s="63">
        <v>2764.0</v>
      </c>
      <c r="C128" s="63">
        <v>2720.0</v>
      </c>
      <c r="D128" s="63">
        <v>50.4</v>
      </c>
      <c r="E128" s="63">
        <f t="shared" si="1"/>
        <v>49.6</v>
      </c>
      <c r="F128" s="63">
        <v>49.5</v>
      </c>
      <c r="G128" s="64">
        <v>49.4938539</v>
      </c>
      <c r="H128" s="65">
        <f t="shared" si="2"/>
        <v>0.2142334682</v>
      </c>
      <c r="I128" s="65">
        <f t="shared" si="3"/>
        <v>0.1061461</v>
      </c>
    </row>
    <row r="129">
      <c r="A129" s="63" t="s">
        <v>175</v>
      </c>
      <c r="B129" s="63">
        <v>1044.0</v>
      </c>
      <c r="C129" s="63">
        <v>410.0</v>
      </c>
      <c r="D129" s="63">
        <v>71.8</v>
      </c>
      <c r="E129" s="63">
        <f t="shared" si="1"/>
        <v>28.2</v>
      </c>
      <c r="F129" s="63">
        <v>28.2</v>
      </c>
      <c r="G129" s="64">
        <v>28.2416836</v>
      </c>
      <c r="H129" s="65">
        <f t="shared" si="2"/>
        <v>0.1477050199</v>
      </c>
      <c r="I129" s="65">
        <f t="shared" si="3"/>
        <v>-0.0416836</v>
      </c>
    </row>
    <row r="130">
      <c r="A130" s="63" t="s">
        <v>176</v>
      </c>
      <c r="B130" s="63">
        <v>1364.0</v>
      </c>
      <c r="C130" s="63">
        <v>1726.0</v>
      </c>
      <c r="D130" s="63">
        <v>44.1</v>
      </c>
      <c r="E130" s="63">
        <f t="shared" si="1"/>
        <v>55.9</v>
      </c>
      <c r="F130" s="63">
        <v>55.6</v>
      </c>
      <c r="G130" s="64">
        <v>55.5979644</v>
      </c>
      <c r="H130" s="65">
        <f t="shared" si="2"/>
        <v>0.5417777833</v>
      </c>
      <c r="I130" s="65">
        <f t="shared" si="3"/>
        <v>0.3020356</v>
      </c>
    </row>
    <row r="131">
      <c r="A131" s="63" t="s">
        <v>177</v>
      </c>
      <c r="B131" s="63">
        <v>2312.0</v>
      </c>
      <c r="C131" s="63">
        <v>817.0</v>
      </c>
      <c r="D131" s="63">
        <v>73.9</v>
      </c>
      <c r="E131" s="63">
        <f t="shared" si="1"/>
        <v>26.1</v>
      </c>
      <c r="F131" s="63">
        <v>26.1</v>
      </c>
      <c r="G131" s="64">
        <v>26.0774516</v>
      </c>
      <c r="H131" s="65">
        <f t="shared" si="2"/>
        <v>0.08642967147</v>
      </c>
      <c r="I131" s="65">
        <f t="shared" si="3"/>
        <v>0.0225484</v>
      </c>
    </row>
    <row r="132">
      <c r="A132" s="63" t="s">
        <v>178</v>
      </c>
      <c r="B132" s="63">
        <v>2715.0</v>
      </c>
      <c r="C132" s="63">
        <v>518.0</v>
      </c>
      <c r="D132" s="63">
        <v>84.0</v>
      </c>
      <c r="E132" s="63">
        <f t="shared" si="1"/>
        <v>16</v>
      </c>
      <c r="F132" s="63">
        <v>16.1</v>
      </c>
      <c r="G132" s="64">
        <v>16.0762943</v>
      </c>
      <c r="H132" s="65">
        <f t="shared" si="2"/>
        <v>0.4757052001</v>
      </c>
      <c r="I132" s="65">
        <f t="shared" si="3"/>
        <v>-0.0762943</v>
      </c>
    </row>
    <row r="133">
      <c r="A133" s="63" t="s">
        <v>179</v>
      </c>
      <c r="B133" s="63">
        <v>1969.0</v>
      </c>
      <c r="C133" s="63">
        <v>1275.0</v>
      </c>
      <c r="D133" s="63">
        <v>60.7</v>
      </c>
      <c r="E133" s="63">
        <f t="shared" si="1"/>
        <v>39.3</v>
      </c>
      <c r="F133" s="63">
        <v>39.0</v>
      </c>
      <c r="G133" s="64">
        <v>39.0470482</v>
      </c>
      <c r="H133" s="65">
        <f t="shared" si="2"/>
        <v>0.6457213279</v>
      </c>
      <c r="I133" s="65">
        <f t="shared" si="3"/>
        <v>0.2529518</v>
      </c>
    </row>
    <row r="134">
      <c r="A134" s="63" t="s">
        <v>180</v>
      </c>
      <c r="B134" s="63">
        <v>2594.0</v>
      </c>
      <c r="C134" s="63">
        <v>3271.0</v>
      </c>
      <c r="D134" s="63">
        <v>44.2</v>
      </c>
      <c r="E134" s="63">
        <f t="shared" si="1"/>
        <v>55.8</v>
      </c>
      <c r="F134" s="63">
        <v>55.6</v>
      </c>
      <c r="G134" s="64">
        <v>55.634278</v>
      </c>
      <c r="H134" s="65">
        <f t="shared" si="2"/>
        <v>0.2974345111</v>
      </c>
      <c r="I134" s="65">
        <f t="shared" si="3"/>
        <v>0.165722</v>
      </c>
    </row>
    <row r="135">
      <c r="A135" s="63" t="s">
        <v>474</v>
      </c>
      <c r="B135" s="63">
        <v>1200.0</v>
      </c>
      <c r="C135" s="63">
        <v>1172.0</v>
      </c>
      <c r="D135" s="63">
        <v>50.6</v>
      </c>
      <c r="E135" s="63">
        <f t="shared" si="1"/>
        <v>49.4</v>
      </c>
      <c r="F135" s="63">
        <v>49.3</v>
      </c>
      <c r="G135" s="64">
        <v>49.2717437</v>
      </c>
      <c r="H135" s="65">
        <f t="shared" si="2"/>
        <v>0.2599656096</v>
      </c>
      <c r="I135" s="65">
        <f t="shared" si="3"/>
        <v>0.1282563</v>
      </c>
    </row>
    <row r="136">
      <c r="A136" s="63" t="s">
        <v>182</v>
      </c>
      <c r="B136" s="63">
        <v>770.0</v>
      </c>
      <c r="C136" s="63">
        <v>302.0</v>
      </c>
      <c r="D136" s="63">
        <v>71.8</v>
      </c>
      <c r="E136" s="63">
        <f t="shared" si="1"/>
        <v>28.2</v>
      </c>
      <c r="F136" s="63">
        <v>28.3</v>
      </c>
      <c r="G136" s="64">
        <v>28.2548476</v>
      </c>
      <c r="H136" s="65">
        <f t="shared" si="2"/>
        <v>0.1943060776</v>
      </c>
      <c r="I136" s="65">
        <f t="shared" si="3"/>
        <v>-0.0548476</v>
      </c>
    </row>
    <row r="137">
      <c r="A137" s="63" t="s">
        <v>184</v>
      </c>
      <c r="B137" s="63">
        <v>1315.0</v>
      </c>
      <c r="C137" s="63">
        <v>4588.0</v>
      </c>
      <c r="D137" s="63">
        <v>22.3</v>
      </c>
      <c r="E137" s="63">
        <f t="shared" si="1"/>
        <v>77.7</v>
      </c>
      <c r="F137" s="63">
        <v>77.8</v>
      </c>
      <c r="G137" s="64">
        <v>77.7684564</v>
      </c>
      <c r="H137" s="65">
        <f t="shared" si="2"/>
        <v>0.08806468088</v>
      </c>
      <c r="I137" s="65">
        <f t="shared" si="3"/>
        <v>-0.0684564</v>
      </c>
    </row>
    <row r="138">
      <c r="A138" s="63" t="s">
        <v>475</v>
      </c>
      <c r="B138" s="63">
        <v>1117.0</v>
      </c>
      <c r="C138" s="63">
        <v>930.0</v>
      </c>
      <c r="D138" s="63">
        <v>54.6</v>
      </c>
      <c r="E138" s="63">
        <f t="shared" si="1"/>
        <v>45.4</v>
      </c>
      <c r="F138" s="63">
        <v>45.4</v>
      </c>
      <c r="G138" s="64">
        <v>45.4148472</v>
      </c>
      <c r="H138" s="65">
        <f t="shared" si="2"/>
        <v>0.03269773712</v>
      </c>
      <c r="I138" s="65">
        <f t="shared" si="3"/>
        <v>-0.0148472</v>
      </c>
    </row>
    <row r="139">
      <c r="A139" s="63" t="s">
        <v>186</v>
      </c>
      <c r="B139" s="63">
        <v>383.0</v>
      </c>
      <c r="C139" s="63">
        <v>1074.0</v>
      </c>
      <c r="D139" s="63">
        <v>26.3</v>
      </c>
      <c r="E139" s="63">
        <f t="shared" si="1"/>
        <v>73.7</v>
      </c>
      <c r="F139" s="63">
        <v>73.6</v>
      </c>
      <c r="G139" s="64">
        <v>73.6054422</v>
      </c>
      <c r="H139" s="65">
        <f t="shared" si="2"/>
        <v>0.1283833083</v>
      </c>
      <c r="I139" s="65">
        <f t="shared" si="3"/>
        <v>0.0945578</v>
      </c>
    </row>
    <row r="140">
      <c r="A140" s="63" t="s">
        <v>187</v>
      </c>
      <c r="B140" s="63">
        <v>3849.0</v>
      </c>
      <c r="C140" s="63">
        <v>31855.0</v>
      </c>
      <c r="D140" s="63">
        <v>10.8</v>
      </c>
      <c r="E140" s="63">
        <f t="shared" si="1"/>
        <v>89.2</v>
      </c>
      <c r="F140" s="63">
        <v>89.2</v>
      </c>
      <c r="G140" s="64">
        <v>89.1876096</v>
      </c>
      <c r="H140" s="65">
        <f t="shared" si="2"/>
        <v>0.01389154777</v>
      </c>
      <c r="I140" s="65">
        <f t="shared" si="3"/>
        <v>0.0123904</v>
      </c>
    </row>
    <row r="141">
      <c r="A141" s="63" t="s">
        <v>476</v>
      </c>
      <c r="B141" s="63">
        <v>3845.0</v>
      </c>
      <c r="C141" s="63">
        <v>7645.0</v>
      </c>
      <c r="D141" s="63">
        <v>33.5</v>
      </c>
      <c r="E141" s="63">
        <f t="shared" si="1"/>
        <v>66.5</v>
      </c>
      <c r="F141" s="63">
        <v>66.5</v>
      </c>
      <c r="G141" s="64">
        <v>66.5000431</v>
      </c>
      <c r="H141" s="65">
        <f t="shared" si="2"/>
        <v>0.00006481200907</v>
      </c>
      <c r="I141" s="65">
        <f t="shared" si="3"/>
        <v>-0.0000431</v>
      </c>
    </row>
    <row r="142">
      <c r="A142" s="63" t="s">
        <v>189</v>
      </c>
      <c r="B142" s="63">
        <v>2068.0</v>
      </c>
      <c r="C142" s="63">
        <v>11696.0</v>
      </c>
      <c r="D142" s="63">
        <v>15.0</v>
      </c>
      <c r="E142" s="63">
        <f t="shared" si="1"/>
        <v>85</v>
      </c>
      <c r="F142" s="63">
        <v>84.9</v>
      </c>
      <c r="G142" s="64">
        <v>84.9173703</v>
      </c>
      <c r="H142" s="65">
        <f t="shared" si="2"/>
        <v>0.09725868504</v>
      </c>
      <c r="I142" s="65">
        <f t="shared" si="3"/>
        <v>0.0826297</v>
      </c>
    </row>
    <row r="143">
      <c r="A143" s="63" t="s">
        <v>190</v>
      </c>
      <c r="B143" s="63">
        <v>3850.0</v>
      </c>
      <c r="C143" s="63">
        <v>10339.0</v>
      </c>
      <c r="D143" s="63">
        <v>27.1</v>
      </c>
      <c r="E143" s="63">
        <f t="shared" si="1"/>
        <v>72.9</v>
      </c>
      <c r="F143" s="63">
        <v>72.8</v>
      </c>
      <c r="G143" s="64">
        <v>72.7780883</v>
      </c>
      <c r="H143" s="65">
        <f t="shared" si="2"/>
        <v>0.1673713616</v>
      </c>
      <c r="I143" s="65">
        <f t="shared" si="3"/>
        <v>0.1219117</v>
      </c>
    </row>
    <row r="144">
      <c r="A144" s="63" t="s">
        <v>191</v>
      </c>
      <c r="B144" s="63">
        <v>689.0</v>
      </c>
      <c r="C144" s="63">
        <v>12760.0</v>
      </c>
      <c r="D144" s="63">
        <v>5.1</v>
      </c>
      <c r="E144" s="63">
        <f t="shared" si="1"/>
        <v>94.9</v>
      </c>
      <c r="F144" s="63">
        <v>94.9</v>
      </c>
      <c r="G144" s="64">
        <v>94.8571851</v>
      </c>
      <c r="H144" s="65">
        <f t="shared" si="2"/>
        <v>0.04512598559</v>
      </c>
      <c r="I144" s="65">
        <f t="shared" si="3"/>
        <v>0.0428149</v>
      </c>
    </row>
    <row r="145">
      <c r="A145" s="63" t="s">
        <v>193</v>
      </c>
      <c r="B145" s="63">
        <v>10152.0</v>
      </c>
      <c r="C145" s="63">
        <v>36958.0</v>
      </c>
      <c r="D145" s="63">
        <v>21.5</v>
      </c>
      <c r="E145" s="63">
        <f t="shared" si="1"/>
        <v>78.5</v>
      </c>
      <c r="F145" s="63">
        <v>78.4</v>
      </c>
      <c r="G145" s="64">
        <v>78.3890104</v>
      </c>
      <c r="H145" s="65">
        <f t="shared" si="2"/>
        <v>0.1414880491</v>
      </c>
      <c r="I145" s="65">
        <f t="shared" si="3"/>
        <v>0.1109896</v>
      </c>
    </row>
    <row r="146">
      <c r="A146" s="63" t="s">
        <v>194</v>
      </c>
      <c r="B146" s="63">
        <v>2340.0</v>
      </c>
      <c r="C146" s="63">
        <v>3566.0</v>
      </c>
      <c r="D146" s="63">
        <v>39.6</v>
      </c>
      <c r="E146" s="63">
        <f t="shared" si="1"/>
        <v>60.4</v>
      </c>
      <c r="F146" s="63">
        <v>60.3</v>
      </c>
      <c r="G146" s="64">
        <v>60.3121886</v>
      </c>
      <c r="H146" s="65">
        <f t="shared" si="2"/>
        <v>0.1454888707</v>
      </c>
      <c r="I146" s="65">
        <f t="shared" si="3"/>
        <v>0.0878114</v>
      </c>
    </row>
    <row r="147">
      <c r="A147" s="63" t="s">
        <v>195</v>
      </c>
      <c r="B147" s="63">
        <v>10207.0</v>
      </c>
      <c r="C147" s="63">
        <v>15840.0</v>
      </c>
      <c r="D147" s="63">
        <v>39.2</v>
      </c>
      <c r="E147" s="63">
        <f t="shared" si="1"/>
        <v>60.8</v>
      </c>
      <c r="F147" s="63">
        <v>60.9</v>
      </c>
      <c r="G147" s="64">
        <v>60.9017774</v>
      </c>
      <c r="H147" s="65">
        <f t="shared" si="2"/>
        <v>0.1672570478</v>
      </c>
      <c r="I147" s="65">
        <f t="shared" si="3"/>
        <v>-0.1017774</v>
      </c>
    </row>
    <row r="148">
      <c r="A148" s="63" t="s">
        <v>196</v>
      </c>
      <c r="B148" s="63">
        <v>7053.0</v>
      </c>
      <c r="C148" s="63">
        <v>954.0</v>
      </c>
      <c r="D148" s="63">
        <v>88.1</v>
      </c>
      <c r="E148" s="63">
        <f t="shared" si="1"/>
        <v>11.9</v>
      </c>
      <c r="F148" s="63">
        <v>11.9</v>
      </c>
      <c r="G148" s="64">
        <v>11.8575126</v>
      </c>
      <c r="H148" s="65">
        <f t="shared" si="2"/>
        <v>0.3576754917</v>
      </c>
      <c r="I148" s="65">
        <f t="shared" si="3"/>
        <v>0.0424874</v>
      </c>
    </row>
    <row r="149">
      <c r="A149" s="63" t="s">
        <v>198</v>
      </c>
      <c r="B149" s="63">
        <v>3341.0</v>
      </c>
      <c r="C149" s="63">
        <v>1281.0</v>
      </c>
      <c r="D149" s="63">
        <v>72.3</v>
      </c>
      <c r="E149" s="63">
        <f t="shared" si="1"/>
        <v>27.7</v>
      </c>
      <c r="F149" s="63">
        <v>28.0</v>
      </c>
      <c r="G149" s="64">
        <v>27.9551702</v>
      </c>
      <c r="H149" s="65">
        <f t="shared" si="2"/>
        <v>0.9169685371</v>
      </c>
      <c r="I149" s="65">
        <f t="shared" si="3"/>
        <v>-0.2551702</v>
      </c>
    </row>
    <row r="150">
      <c r="A150" s="63" t="s">
        <v>199</v>
      </c>
      <c r="B150" s="63">
        <v>2171.0</v>
      </c>
      <c r="C150" s="63">
        <v>790.0</v>
      </c>
      <c r="D150" s="63">
        <v>73.3</v>
      </c>
      <c r="E150" s="63">
        <f t="shared" si="1"/>
        <v>26.7</v>
      </c>
      <c r="F150" s="63">
        <v>26.7</v>
      </c>
      <c r="G150" s="64">
        <v>26.7399267</v>
      </c>
      <c r="H150" s="65">
        <f t="shared" si="2"/>
        <v>0.1494264774</v>
      </c>
      <c r="I150" s="65">
        <f t="shared" si="3"/>
        <v>-0.0399267</v>
      </c>
    </row>
    <row r="151">
      <c r="A151" s="63" t="s">
        <v>200</v>
      </c>
      <c r="B151" s="63">
        <v>2308.0</v>
      </c>
      <c r="C151" s="63">
        <v>1185.0</v>
      </c>
      <c r="D151" s="63">
        <v>66.1</v>
      </c>
      <c r="E151" s="63">
        <f t="shared" si="1"/>
        <v>33.9</v>
      </c>
      <c r="F151" s="63">
        <v>33.9</v>
      </c>
      <c r="G151" s="64">
        <v>33.8600451</v>
      </c>
      <c r="H151" s="65">
        <f t="shared" si="2"/>
        <v>0.1179305591</v>
      </c>
      <c r="I151" s="65">
        <f t="shared" si="3"/>
        <v>0.0399549</v>
      </c>
    </row>
    <row r="152">
      <c r="A152" s="63" t="s">
        <v>201</v>
      </c>
      <c r="B152" s="63">
        <v>2469.0</v>
      </c>
      <c r="C152" s="63">
        <v>4658.0</v>
      </c>
      <c r="D152" s="63">
        <v>34.6</v>
      </c>
      <c r="E152" s="63">
        <f t="shared" si="1"/>
        <v>65.4</v>
      </c>
      <c r="F152" s="63">
        <v>65.4</v>
      </c>
      <c r="G152" s="64">
        <v>65.3999725</v>
      </c>
      <c r="H152" s="65">
        <f t="shared" si="2"/>
        <v>0.00004204893851</v>
      </c>
      <c r="I152" s="65">
        <f t="shared" si="3"/>
        <v>0.0000275</v>
      </c>
    </row>
    <row r="153">
      <c r="A153" s="63" t="s">
        <v>202</v>
      </c>
      <c r="B153" s="63">
        <v>6871.0</v>
      </c>
      <c r="C153" s="63">
        <v>9731.0</v>
      </c>
      <c r="D153" s="63">
        <v>41.4</v>
      </c>
      <c r="E153" s="63">
        <f t="shared" si="1"/>
        <v>58.6</v>
      </c>
      <c r="F153" s="63">
        <v>58.9</v>
      </c>
      <c r="G153" s="64">
        <v>58.8814819</v>
      </c>
      <c r="H153" s="65">
        <f t="shared" si="2"/>
        <v>0.479193649</v>
      </c>
      <c r="I153" s="65">
        <f t="shared" si="3"/>
        <v>-0.2814819</v>
      </c>
    </row>
    <row r="154">
      <c r="A154" s="63" t="s">
        <v>477</v>
      </c>
      <c r="B154" s="63">
        <v>5744.0</v>
      </c>
      <c r="C154" s="63">
        <v>6357.0</v>
      </c>
      <c r="D154" s="63">
        <v>47.5</v>
      </c>
      <c r="E154" s="63">
        <f t="shared" si="1"/>
        <v>52.5</v>
      </c>
      <c r="F154" s="63">
        <v>52.9</v>
      </c>
      <c r="G154" s="64">
        <v>52.9458918</v>
      </c>
      <c r="H154" s="65">
        <f t="shared" si="2"/>
        <v>0.8457262628</v>
      </c>
      <c r="I154" s="65">
        <f t="shared" si="3"/>
        <v>-0.4458918</v>
      </c>
    </row>
    <row r="155">
      <c r="A155" s="66" t="s">
        <v>204</v>
      </c>
      <c r="B155" s="66">
        <v>6336.0</v>
      </c>
      <c r="C155" s="66">
        <v>1428.0</v>
      </c>
      <c r="D155" s="66">
        <v>81.6</v>
      </c>
      <c r="E155" s="66">
        <f t="shared" si="1"/>
        <v>18.4</v>
      </c>
      <c r="F155" s="66">
        <v>18.4</v>
      </c>
      <c r="G155" s="67">
        <v>22.8378378</v>
      </c>
      <c r="H155" s="68">
        <f t="shared" si="2"/>
        <v>21.52313524</v>
      </c>
      <c r="I155" s="68">
        <f t="shared" si="3"/>
        <v>-4.4378378</v>
      </c>
    </row>
    <row r="156">
      <c r="A156" s="63" t="s">
        <v>205</v>
      </c>
      <c r="B156" s="63">
        <v>1191.0</v>
      </c>
      <c r="C156" s="63">
        <v>320.0</v>
      </c>
      <c r="D156" s="63">
        <v>78.8</v>
      </c>
      <c r="E156" s="63">
        <f t="shared" si="1"/>
        <v>21.2</v>
      </c>
      <c r="F156" s="63">
        <v>20.9</v>
      </c>
      <c r="G156" s="64">
        <v>20.9090909</v>
      </c>
      <c r="H156" s="65">
        <f t="shared" si="2"/>
        <v>1.381692617</v>
      </c>
      <c r="I156" s="65">
        <f t="shared" si="3"/>
        <v>0.2909091</v>
      </c>
    </row>
    <row r="157">
      <c r="A157" s="63" t="s">
        <v>206</v>
      </c>
      <c r="B157" s="63">
        <v>977.0</v>
      </c>
      <c r="C157" s="63">
        <v>130.0</v>
      </c>
      <c r="D157" s="63">
        <v>88.3</v>
      </c>
      <c r="E157" s="63">
        <f t="shared" si="1"/>
        <v>11.7</v>
      </c>
      <c r="F157" s="63">
        <v>11.6</v>
      </c>
      <c r="G157" s="64">
        <v>11.5864528</v>
      </c>
      <c r="H157" s="65">
        <f t="shared" si="2"/>
        <v>0.9752210951</v>
      </c>
      <c r="I157" s="65">
        <f t="shared" si="3"/>
        <v>0.1135472</v>
      </c>
    </row>
    <row r="158">
      <c r="A158" s="63" t="s">
        <v>207</v>
      </c>
      <c r="B158" s="63"/>
      <c r="C158" s="63"/>
      <c r="D158" s="63"/>
      <c r="E158" s="63"/>
      <c r="F158" s="63"/>
      <c r="G158" s="64">
        <v>5.1732798</v>
      </c>
      <c r="H158" s="65">
        <f t="shared" si="2"/>
        <v>200</v>
      </c>
      <c r="I158" s="65">
        <f t="shared" si="3"/>
        <v>-5.1732798</v>
      </c>
    </row>
    <row r="159">
      <c r="A159" s="63" t="s">
        <v>208</v>
      </c>
      <c r="B159" s="63">
        <v>1964.0</v>
      </c>
      <c r="C159" s="63">
        <v>6725.0</v>
      </c>
      <c r="D159" s="63">
        <v>22.6</v>
      </c>
      <c r="E159" s="63">
        <f t="shared" ref="E159:E216" si="4">100-D159</f>
        <v>77.4</v>
      </c>
      <c r="F159" s="63">
        <v>77.4</v>
      </c>
      <c r="G159" s="64">
        <v>77.4248634</v>
      </c>
      <c r="H159" s="65">
        <f t="shared" si="2"/>
        <v>0.03211809712</v>
      </c>
      <c r="I159" s="65">
        <f t="shared" si="3"/>
        <v>-0.0248634</v>
      </c>
    </row>
    <row r="160">
      <c r="A160" s="63" t="s">
        <v>209</v>
      </c>
      <c r="B160" s="63">
        <v>1871.0</v>
      </c>
      <c r="C160" s="63">
        <v>1132.0</v>
      </c>
      <c r="D160" s="63">
        <v>62.3</v>
      </c>
      <c r="E160" s="63">
        <f t="shared" si="4"/>
        <v>37.7</v>
      </c>
      <c r="F160" s="63">
        <v>37.6</v>
      </c>
      <c r="G160" s="64">
        <v>37.6068376</v>
      </c>
      <c r="H160" s="65">
        <f t="shared" si="2"/>
        <v>0.2474208265</v>
      </c>
      <c r="I160" s="65">
        <f t="shared" si="3"/>
        <v>0.0931624</v>
      </c>
    </row>
    <row r="161">
      <c r="A161" s="63" t="s">
        <v>210</v>
      </c>
      <c r="B161" s="63">
        <v>1124.0</v>
      </c>
      <c r="C161" s="63">
        <v>2754.0</v>
      </c>
      <c r="D161" s="63">
        <v>29.0</v>
      </c>
      <c r="E161" s="63">
        <f t="shared" si="4"/>
        <v>71</v>
      </c>
      <c r="F161" s="63">
        <v>71.1</v>
      </c>
      <c r="G161" s="64">
        <v>71.1264016</v>
      </c>
      <c r="H161" s="65">
        <f t="shared" si="2"/>
        <v>0.1778720893</v>
      </c>
      <c r="I161" s="65">
        <f t="shared" si="3"/>
        <v>-0.1264016</v>
      </c>
    </row>
    <row r="162">
      <c r="A162" s="63" t="s">
        <v>211</v>
      </c>
      <c r="B162" s="63">
        <v>271.0</v>
      </c>
      <c r="C162" s="63">
        <v>84.0</v>
      </c>
      <c r="D162" s="63">
        <v>76.3</v>
      </c>
      <c r="E162" s="63">
        <f t="shared" si="4"/>
        <v>23.7</v>
      </c>
      <c r="F162" s="63">
        <v>23.7</v>
      </c>
      <c r="G162" s="64">
        <v>23.6768802</v>
      </c>
      <c r="H162" s="65">
        <f t="shared" si="2"/>
        <v>0.09759950382</v>
      </c>
      <c r="I162" s="65">
        <f t="shared" si="3"/>
        <v>0.0231198</v>
      </c>
    </row>
    <row r="163">
      <c r="A163" s="63" t="s">
        <v>478</v>
      </c>
      <c r="B163" s="63">
        <v>460.0</v>
      </c>
      <c r="C163" s="63">
        <v>240.0</v>
      </c>
      <c r="D163" s="63">
        <v>65.7</v>
      </c>
      <c r="E163" s="63">
        <f t="shared" si="4"/>
        <v>34.3</v>
      </c>
      <c r="F163" s="63">
        <v>34.2</v>
      </c>
      <c r="G163" s="64">
        <v>34.2368046</v>
      </c>
      <c r="H163" s="65">
        <f t="shared" si="2"/>
        <v>0.1844130329</v>
      </c>
      <c r="I163" s="65">
        <f t="shared" si="3"/>
        <v>0.0631954</v>
      </c>
    </row>
    <row r="164">
      <c r="A164" s="63" t="s">
        <v>213</v>
      </c>
      <c r="B164" s="63">
        <v>2203.0</v>
      </c>
      <c r="C164" s="63">
        <v>140.0</v>
      </c>
      <c r="D164" s="63">
        <v>94.0</v>
      </c>
      <c r="E164" s="63">
        <f t="shared" si="4"/>
        <v>6</v>
      </c>
      <c r="F164" s="63">
        <v>5.9</v>
      </c>
      <c r="G164" s="64">
        <v>5.9171598</v>
      </c>
      <c r="H164" s="65">
        <f t="shared" si="2"/>
        <v>1.390267503</v>
      </c>
      <c r="I164" s="65">
        <f t="shared" si="3"/>
        <v>0.0828402</v>
      </c>
    </row>
    <row r="165">
      <c r="A165" s="63" t="s">
        <v>214</v>
      </c>
      <c r="B165" s="63">
        <v>3425.0</v>
      </c>
      <c r="C165" s="63">
        <v>2926.0</v>
      </c>
      <c r="D165" s="63">
        <v>53.9</v>
      </c>
      <c r="E165" s="63">
        <f t="shared" si="4"/>
        <v>46.1</v>
      </c>
      <c r="F165" s="63">
        <v>45.9</v>
      </c>
      <c r="G165" s="64">
        <v>45.8897783</v>
      </c>
      <c r="H165" s="65">
        <f t="shared" si="2"/>
        <v>0.4570544769</v>
      </c>
      <c r="I165" s="65">
        <f t="shared" si="3"/>
        <v>0.2102217</v>
      </c>
    </row>
    <row r="166">
      <c r="A166" s="63" t="s">
        <v>215</v>
      </c>
      <c r="B166" s="63">
        <v>2019.0</v>
      </c>
      <c r="C166" s="63">
        <v>5450.0</v>
      </c>
      <c r="D166" s="63">
        <v>27.0</v>
      </c>
      <c r="E166" s="63">
        <f t="shared" si="4"/>
        <v>73</v>
      </c>
      <c r="F166" s="63">
        <v>73.1</v>
      </c>
      <c r="G166" s="64">
        <v>73.1047169</v>
      </c>
      <c r="H166" s="65">
        <f t="shared" si="2"/>
        <v>0.1433449956</v>
      </c>
      <c r="I166" s="65">
        <f t="shared" si="3"/>
        <v>-0.1047169</v>
      </c>
    </row>
    <row r="167">
      <c r="A167" s="63" t="s">
        <v>216</v>
      </c>
      <c r="B167" s="63">
        <v>20411.0</v>
      </c>
      <c r="C167" s="63">
        <v>55386.0</v>
      </c>
      <c r="D167" s="63">
        <v>26.9</v>
      </c>
      <c r="E167" s="63">
        <f t="shared" si="4"/>
        <v>73.1</v>
      </c>
      <c r="F167" s="63">
        <v>72.8</v>
      </c>
      <c r="G167" s="64">
        <v>72.837704</v>
      </c>
      <c r="H167" s="65">
        <f t="shared" si="2"/>
        <v>0.3594629665</v>
      </c>
      <c r="I167" s="65">
        <f t="shared" si="3"/>
        <v>0.262296</v>
      </c>
    </row>
    <row r="168">
      <c r="A168" s="63" t="s">
        <v>217</v>
      </c>
      <c r="B168" s="63">
        <v>4899.0</v>
      </c>
      <c r="C168" s="63">
        <v>1718.0</v>
      </c>
      <c r="D168" s="63">
        <v>74.0</v>
      </c>
      <c r="E168" s="63">
        <f t="shared" si="4"/>
        <v>26</v>
      </c>
      <c r="F168" s="63">
        <v>26.0</v>
      </c>
      <c r="G168" s="64">
        <v>26.0239163</v>
      </c>
      <c r="H168" s="65">
        <f t="shared" si="2"/>
        <v>0.09194348177</v>
      </c>
      <c r="I168" s="65">
        <f t="shared" si="3"/>
        <v>-0.0239163</v>
      </c>
    </row>
    <row r="169">
      <c r="A169" s="63" t="s">
        <v>218</v>
      </c>
      <c r="B169" s="63">
        <v>3147.0</v>
      </c>
      <c r="C169" s="63">
        <v>76.0</v>
      </c>
      <c r="D169" s="63">
        <v>97.6</v>
      </c>
      <c r="E169" s="63">
        <f t="shared" si="4"/>
        <v>2.4</v>
      </c>
      <c r="F169" s="63">
        <v>2.3</v>
      </c>
      <c r="G169" s="64">
        <v>2.3305734</v>
      </c>
      <c r="H169" s="65">
        <f t="shared" si="2"/>
        <v>2.935229797</v>
      </c>
      <c r="I169" s="65">
        <f t="shared" si="3"/>
        <v>0.0694266</v>
      </c>
    </row>
    <row r="170">
      <c r="A170" s="63" t="s">
        <v>479</v>
      </c>
      <c r="B170" s="63">
        <v>3105.0</v>
      </c>
      <c r="C170" s="63">
        <v>326.0</v>
      </c>
      <c r="D170" s="63">
        <v>90.5</v>
      </c>
      <c r="E170" s="63">
        <f t="shared" si="4"/>
        <v>9.5</v>
      </c>
      <c r="F170" s="63">
        <v>9.5</v>
      </c>
      <c r="G170" s="64">
        <v>9.5375723</v>
      </c>
      <c r="H170" s="65">
        <f t="shared" si="2"/>
        <v>0.3947173453</v>
      </c>
      <c r="I170" s="65">
        <f t="shared" si="3"/>
        <v>-0.0375723</v>
      </c>
    </row>
    <row r="171">
      <c r="A171" s="63" t="s">
        <v>221</v>
      </c>
      <c r="B171" s="63">
        <v>6844.0</v>
      </c>
      <c r="C171" s="63">
        <v>2655.0</v>
      </c>
      <c r="D171" s="63">
        <v>72.0</v>
      </c>
      <c r="E171" s="63">
        <f t="shared" si="4"/>
        <v>28</v>
      </c>
      <c r="F171" s="63">
        <v>27.9</v>
      </c>
      <c r="G171" s="64">
        <v>27.620784</v>
      </c>
      <c r="H171" s="65">
        <f t="shared" si="2"/>
        <v>1.363576608</v>
      </c>
      <c r="I171" s="65">
        <f t="shared" si="3"/>
        <v>0.379216</v>
      </c>
    </row>
    <row r="172">
      <c r="A172" s="63" t="s">
        <v>480</v>
      </c>
      <c r="B172" s="63">
        <v>1174.0</v>
      </c>
      <c r="C172" s="63">
        <v>346.0</v>
      </c>
      <c r="D172" s="63">
        <v>77.2</v>
      </c>
      <c r="E172" s="63">
        <f t="shared" si="4"/>
        <v>22.8</v>
      </c>
      <c r="F172" s="63">
        <v>22.6</v>
      </c>
      <c r="G172" s="64">
        <v>22.6366559</v>
      </c>
      <c r="H172" s="65">
        <f t="shared" si="2"/>
        <v>0.7189970158</v>
      </c>
      <c r="I172" s="65">
        <f t="shared" si="3"/>
        <v>0.1633441</v>
      </c>
    </row>
    <row r="173">
      <c r="A173" s="63" t="s">
        <v>224</v>
      </c>
      <c r="B173" s="63">
        <v>2956.0</v>
      </c>
      <c r="C173" s="63">
        <v>140.0</v>
      </c>
      <c r="D173" s="63">
        <v>95.5</v>
      </c>
      <c r="E173" s="63">
        <f t="shared" si="4"/>
        <v>4.5</v>
      </c>
      <c r="F173" s="63">
        <v>4.6</v>
      </c>
      <c r="G173" s="64">
        <v>4.6027743</v>
      </c>
      <c r="H173" s="65">
        <f t="shared" si="2"/>
        <v>2.258087405</v>
      </c>
      <c r="I173" s="65">
        <f t="shared" si="3"/>
        <v>-0.1027743</v>
      </c>
    </row>
    <row r="174">
      <c r="A174" s="63" t="s">
        <v>481</v>
      </c>
      <c r="B174" s="63">
        <v>405.0</v>
      </c>
      <c r="C174" s="63">
        <v>87.0</v>
      </c>
      <c r="D174" s="63">
        <v>82.3</v>
      </c>
      <c r="E174" s="63">
        <f t="shared" si="4"/>
        <v>17.7</v>
      </c>
      <c r="F174" s="63">
        <v>18.0</v>
      </c>
      <c r="G174" s="64">
        <v>18.0232558</v>
      </c>
      <c r="H174" s="65">
        <f t="shared" si="2"/>
        <v>1.809777932</v>
      </c>
      <c r="I174" s="65">
        <f t="shared" si="3"/>
        <v>-0.3232558</v>
      </c>
    </row>
    <row r="175">
      <c r="A175" s="63" t="s">
        <v>227</v>
      </c>
      <c r="B175" s="63">
        <v>850.0</v>
      </c>
      <c r="C175" s="63">
        <v>484.0</v>
      </c>
      <c r="D175" s="63">
        <v>63.7</v>
      </c>
      <c r="E175" s="63">
        <f t="shared" si="4"/>
        <v>36.3</v>
      </c>
      <c r="F175" s="63">
        <v>36.4</v>
      </c>
      <c r="G175" s="64">
        <v>36.3837638</v>
      </c>
      <c r="H175" s="65">
        <f t="shared" si="2"/>
        <v>0.2304883391</v>
      </c>
      <c r="I175" s="65">
        <f t="shared" si="3"/>
        <v>-0.0837638</v>
      </c>
    </row>
    <row r="176">
      <c r="A176" s="63" t="s">
        <v>228</v>
      </c>
      <c r="B176" s="63">
        <v>1062.0</v>
      </c>
      <c r="C176" s="63">
        <v>455.0</v>
      </c>
      <c r="D176" s="63">
        <v>70.0</v>
      </c>
      <c r="E176" s="63">
        <f t="shared" si="4"/>
        <v>30</v>
      </c>
      <c r="F176" s="63">
        <v>30.5</v>
      </c>
      <c r="G176" s="64">
        <v>30.5269923</v>
      </c>
      <c r="H176" s="65">
        <f t="shared" si="2"/>
        <v>1.741346398</v>
      </c>
      <c r="I176" s="65">
        <f t="shared" si="3"/>
        <v>-0.5269923</v>
      </c>
    </row>
    <row r="177">
      <c r="A177" s="63" t="s">
        <v>230</v>
      </c>
      <c r="B177" s="63">
        <v>88.0</v>
      </c>
      <c r="C177" s="63">
        <v>240.0</v>
      </c>
      <c r="D177" s="63">
        <v>26.8</v>
      </c>
      <c r="E177" s="63">
        <f t="shared" si="4"/>
        <v>73.2</v>
      </c>
      <c r="F177" s="63">
        <v>71.1</v>
      </c>
      <c r="G177" s="64">
        <v>71.0601719</v>
      </c>
      <c r="H177" s="65">
        <f t="shared" si="2"/>
        <v>2.966623527</v>
      </c>
      <c r="I177" s="65">
        <f t="shared" si="3"/>
        <v>2.1398281</v>
      </c>
    </row>
    <row r="178">
      <c r="A178" s="63" t="s">
        <v>231</v>
      </c>
      <c r="B178" s="63">
        <v>1020.0</v>
      </c>
      <c r="C178" s="63">
        <v>57.0</v>
      </c>
      <c r="D178" s="63">
        <v>94.7</v>
      </c>
      <c r="E178" s="63">
        <f t="shared" si="4"/>
        <v>5.3</v>
      </c>
      <c r="F178" s="63">
        <v>5.3</v>
      </c>
      <c r="G178" s="64">
        <v>5.2680222</v>
      </c>
      <c r="H178" s="65">
        <f t="shared" si="2"/>
        <v>0.6051804093</v>
      </c>
      <c r="I178" s="65">
        <f t="shared" si="3"/>
        <v>0.0319778</v>
      </c>
    </row>
    <row r="179">
      <c r="A179" s="63" t="s">
        <v>232</v>
      </c>
      <c r="B179" s="63">
        <v>548.0</v>
      </c>
      <c r="C179" s="63">
        <v>35.0</v>
      </c>
      <c r="D179" s="63">
        <v>94.0</v>
      </c>
      <c r="E179" s="63">
        <f t="shared" si="4"/>
        <v>6</v>
      </c>
      <c r="F179" s="63">
        <v>6.0</v>
      </c>
      <c r="G179" s="64">
        <v>5.9931507</v>
      </c>
      <c r="H179" s="65">
        <f t="shared" si="2"/>
        <v>0.114220194</v>
      </c>
      <c r="I179" s="65">
        <f t="shared" si="3"/>
        <v>0.0068493</v>
      </c>
    </row>
    <row r="180">
      <c r="A180" s="63" t="s">
        <v>482</v>
      </c>
      <c r="B180" s="63">
        <v>166.0</v>
      </c>
      <c r="C180" s="63">
        <v>2.0</v>
      </c>
      <c r="D180" s="63">
        <v>98.8</v>
      </c>
      <c r="E180" s="63">
        <f t="shared" si="4"/>
        <v>1.2</v>
      </c>
      <c r="F180" s="63">
        <v>1.2</v>
      </c>
      <c r="G180" s="64">
        <v>1.183432</v>
      </c>
      <c r="H180" s="65">
        <f t="shared" si="2"/>
        <v>1.390264123</v>
      </c>
      <c r="I180" s="65">
        <f t="shared" si="3"/>
        <v>0.016568</v>
      </c>
    </row>
    <row r="181">
      <c r="A181" s="63" t="s">
        <v>234</v>
      </c>
      <c r="B181" s="63">
        <v>629.0</v>
      </c>
      <c r="C181" s="63">
        <v>88.0</v>
      </c>
      <c r="D181" s="63">
        <v>87.7</v>
      </c>
      <c r="E181" s="63">
        <f t="shared" si="4"/>
        <v>12.3</v>
      </c>
      <c r="F181" s="63">
        <v>12.2</v>
      </c>
      <c r="G181" s="64">
        <v>12.2392211</v>
      </c>
      <c r="H181" s="65">
        <f t="shared" si="2"/>
        <v>0.495361281</v>
      </c>
      <c r="I181" s="65">
        <f t="shared" si="3"/>
        <v>0.0607789</v>
      </c>
    </row>
    <row r="182">
      <c r="A182" s="63" t="s">
        <v>235</v>
      </c>
      <c r="B182" s="63">
        <v>2034.0</v>
      </c>
      <c r="C182" s="63">
        <v>764.0</v>
      </c>
      <c r="D182" s="63">
        <v>72.7</v>
      </c>
      <c r="E182" s="63">
        <f t="shared" si="4"/>
        <v>27.3</v>
      </c>
      <c r="F182" s="63">
        <v>27.4</v>
      </c>
      <c r="G182" s="64">
        <v>27.4040155</v>
      </c>
      <c r="H182" s="65">
        <f t="shared" si="2"/>
        <v>0.3802846977</v>
      </c>
      <c r="I182" s="65">
        <f t="shared" si="3"/>
        <v>-0.1040155</v>
      </c>
    </row>
    <row r="183">
      <c r="A183" s="63" t="s">
        <v>236</v>
      </c>
      <c r="B183" s="63">
        <v>1805.0</v>
      </c>
      <c r="C183" s="63">
        <v>344.0</v>
      </c>
      <c r="D183" s="63">
        <v>84.0</v>
      </c>
      <c r="E183" s="63">
        <f t="shared" si="4"/>
        <v>16</v>
      </c>
      <c r="F183" s="63">
        <v>15.9</v>
      </c>
      <c r="G183" s="64">
        <v>15.8810069</v>
      </c>
      <c r="H183" s="65">
        <f t="shared" si="2"/>
        <v>0.7464826966</v>
      </c>
      <c r="I183" s="65">
        <f t="shared" si="3"/>
        <v>0.1189931</v>
      </c>
    </row>
    <row r="184">
      <c r="A184" s="63" t="s">
        <v>237</v>
      </c>
      <c r="B184" s="63">
        <v>772.0</v>
      </c>
      <c r="C184" s="63">
        <v>357.0</v>
      </c>
      <c r="D184" s="63">
        <v>68.4</v>
      </c>
      <c r="E184" s="63">
        <f t="shared" si="4"/>
        <v>31.6</v>
      </c>
      <c r="F184" s="63">
        <v>31.3</v>
      </c>
      <c r="G184" s="64">
        <v>31.3471503</v>
      </c>
      <c r="H184" s="65">
        <f t="shared" si="2"/>
        <v>0.8033713958</v>
      </c>
      <c r="I184" s="65">
        <f t="shared" si="3"/>
        <v>0.2528497</v>
      </c>
    </row>
    <row r="185">
      <c r="A185" s="63" t="s">
        <v>239</v>
      </c>
      <c r="B185" s="63">
        <v>3798.0</v>
      </c>
      <c r="C185" s="63">
        <v>3339.0</v>
      </c>
      <c r="D185" s="63">
        <v>53.2</v>
      </c>
      <c r="E185" s="63">
        <f t="shared" si="4"/>
        <v>46.8</v>
      </c>
      <c r="F185" s="63">
        <v>46.7</v>
      </c>
      <c r="G185" s="64">
        <v>46.7241619</v>
      </c>
      <c r="H185" s="65">
        <f t="shared" si="2"/>
        <v>0.1621786252</v>
      </c>
      <c r="I185" s="65">
        <f t="shared" si="3"/>
        <v>0.0758381</v>
      </c>
    </row>
    <row r="186">
      <c r="A186" s="63" t="s">
        <v>240</v>
      </c>
      <c r="B186" s="63">
        <v>923.0</v>
      </c>
      <c r="C186" s="63">
        <v>615.0</v>
      </c>
      <c r="D186" s="63">
        <v>60.0</v>
      </c>
      <c r="E186" s="63">
        <f t="shared" si="4"/>
        <v>40</v>
      </c>
      <c r="F186" s="63">
        <v>39.9</v>
      </c>
      <c r="G186" s="64">
        <v>39.8587933</v>
      </c>
      <c r="H186" s="65">
        <f t="shared" si="2"/>
        <v>0.3536409559</v>
      </c>
      <c r="I186" s="65">
        <f t="shared" si="3"/>
        <v>0.1412067</v>
      </c>
    </row>
    <row r="187">
      <c r="A187" s="63" t="s">
        <v>483</v>
      </c>
      <c r="B187" s="63">
        <v>3275.0</v>
      </c>
      <c r="C187" s="63">
        <v>591.0</v>
      </c>
      <c r="D187" s="63">
        <v>84.7</v>
      </c>
      <c r="E187" s="63">
        <f t="shared" si="4"/>
        <v>15.3</v>
      </c>
      <c r="F187" s="63">
        <v>15.3</v>
      </c>
      <c r="G187" s="64">
        <v>15.2533741</v>
      </c>
      <c r="H187" s="65">
        <f t="shared" si="2"/>
        <v>0.3052094989</v>
      </c>
      <c r="I187" s="65">
        <f t="shared" si="3"/>
        <v>0.0466259</v>
      </c>
    </row>
    <row r="188">
      <c r="A188" s="63" t="s">
        <v>243</v>
      </c>
      <c r="B188" s="63">
        <v>837.0</v>
      </c>
      <c r="C188" s="63">
        <v>182.0</v>
      </c>
      <c r="D188" s="63">
        <v>82.1</v>
      </c>
      <c r="E188" s="63">
        <f t="shared" si="4"/>
        <v>17.9</v>
      </c>
      <c r="F188" s="63">
        <v>17.8</v>
      </c>
      <c r="G188" s="64">
        <v>17.7884615</v>
      </c>
      <c r="H188" s="65">
        <f t="shared" si="2"/>
        <v>0.6250675726</v>
      </c>
      <c r="I188" s="65">
        <f t="shared" si="3"/>
        <v>0.1115385</v>
      </c>
    </row>
    <row r="189">
      <c r="A189" s="63" t="s">
        <v>244</v>
      </c>
      <c r="B189" s="63">
        <v>1959.0</v>
      </c>
      <c r="C189" s="63">
        <v>241.0</v>
      </c>
      <c r="D189" s="63">
        <v>89.0</v>
      </c>
      <c r="E189" s="63">
        <f t="shared" si="4"/>
        <v>11</v>
      </c>
      <c r="F189" s="63">
        <v>11.3</v>
      </c>
      <c r="G189" s="64">
        <v>11.3484646</v>
      </c>
      <c r="H189" s="65">
        <f t="shared" si="2"/>
        <v>3.118465686</v>
      </c>
      <c r="I189" s="65">
        <f t="shared" si="3"/>
        <v>-0.3484646</v>
      </c>
    </row>
    <row r="190">
      <c r="A190" s="63" t="s">
        <v>245</v>
      </c>
      <c r="B190" s="63">
        <v>235.0</v>
      </c>
      <c r="C190" s="63">
        <v>13.0</v>
      </c>
      <c r="D190" s="63">
        <v>94.8</v>
      </c>
      <c r="E190" s="63">
        <f t="shared" si="4"/>
        <v>5.2</v>
      </c>
      <c r="F190" s="63">
        <v>5.1</v>
      </c>
      <c r="G190" s="64">
        <v>5.1383399</v>
      </c>
      <c r="H190" s="65">
        <f t="shared" si="2"/>
        <v>1.19284335</v>
      </c>
      <c r="I190" s="65">
        <f t="shared" si="3"/>
        <v>0.0616601</v>
      </c>
    </row>
    <row r="191">
      <c r="A191" s="63" t="s">
        <v>484</v>
      </c>
      <c r="B191" s="63">
        <v>356.0</v>
      </c>
      <c r="C191" s="63">
        <v>192.0</v>
      </c>
      <c r="D191" s="63">
        <v>65.0</v>
      </c>
      <c r="E191" s="63">
        <f t="shared" si="4"/>
        <v>35</v>
      </c>
      <c r="F191" s="63">
        <v>35.6</v>
      </c>
      <c r="G191" s="64">
        <v>35.5932203</v>
      </c>
      <c r="H191" s="65">
        <f t="shared" si="2"/>
        <v>1.680672159</v>
      </c>
      <c r="I191" s="65">
        <f t="shared" si="3"/>
        <v>-0.5932203</v>
      </c>
    </row>
    <row r="192">
      <c r="A192" s="63" t="s">
        <v>248</v>
      </c>
      <c r="B192" s="63">
        <v>3987.0</v>
      </c>
      <c r="C192" s="63">
        <v>253.0</v>
      </c>
      <c r="D192" s="63">
        <v>94.0</v>
      </c>
      <c r="E192" s="63">
        <f t="shared" si="4"/>
        <v>6</v>
      </c>
      <c r="F192" s="63">
        <v>6.1</v>
      </c>
      <c r="G192" s="64">
        <v>6.0955899</v>
      </c>
      <c r="H192" s="65">
        <f t="shared" si="2"/>
        <v>1.580574421</v>
      </c>
      <c r="I192" s="65">
        <f t="shared" si="3"/>
        <v>-0.0955899</v>
      </c>
    </row>
    <row r="193">
      <c r="A193" s="63" t="s">
        <v>250</v>
      </c>
      <c r="B193" s="63">
        <v>1500.0</v>
      </c>
      <c r="C193" s="63">
        <v>351.0</v>
      </c>
      <c r="D193" s="63">
        <v>81.0</v>
      </c>
      <c r="E193" s="63">
        <f t="shared" si="4"/>
        <v>19</v>
      </c>
      <c r="F193" s="63">
        <v>19.1</v>
      </c>
      <c r="G193" s="64">
        <v>19.0727081</v>
      </c>
      <c r="H193" s="65">
        <f t="shared" si="2"/>
        <v>0.3819434111</v>
      </c>
      <c r="I193" s="65">
        <f t="shared" si="3"/>
        <v>-0.0727081</v>
      </c>
    </row>
    <row r="194">
      <c r="A194" s="63" t="s">
        <v>485</v>
      </c>
      <c r="B194" s="63">
        <v>1796.0</v>
      </c>
      <c r="C194" s="63">
        <v>110.0</v>
      </c>
      <c r="D194" s="63">
        <v>94.2</v>
      </c>
      <c r="E194" s="63">
        <f t="shared" si="4"/>
        <v>5.8</v>
      </c>
      <c r="F194" s="63">
        <v>6.0</v>
      </c>
      <c r="G194" s="64">
        <v>5.9738956</v>
      </c>
      <c r="H194" s="65">
        <f t="shared" si="2"/>
        <v>2.953917818</v>
      </c>
      <c r="I194" s="65">
        <f t="shared" si="3"/>
        <v>-0.1738956</v>
      </c>
    </row>
    <row r="195">
      <c r="A195" s="63" t="s">
        <v>253</v>
      </c>
      <c r="B195" s="63">
        <v>686.0</v>
      </c>
      <c r="C195" s="63">
        <v>18.0</v>
      </c>
      <c r="D195" s="63">
        <v>97.4</v>
      </c>
      <c r="E195" s="63">
        <f t="shared" si="4"/>
        <v>2.6</v>
      </c>
      <c r="F195" s="63">
        <v>2.6</v>
      </c>
      <c r="G195" s="64">
        <v>2.6098901</v>
      </c>
      <c r="H195" s="65">
        <f t="shared" si="2"/>
        <v>0.379666358</v>
      </c>
      <c r="I195" s="65">
        <f t="shared" si="3"/>
        <v>-0.0098901</v>
      </c>
    </row>
    <row r="196">
      <c r="A196" s="63" t="s">
        <v>254</v>
      </c>
      <c r="B196" s="63">
        <v>1576.0</v>
      </c>
      <c r="C196" s="63">
        <v>232.0</v>
      </c>
      <c r="D196" s="63">
        <v>87.2</v>
      </c>
      <c r="E196" s="63">
        <f t="shared" si="4"/>
        <v>12.8</v>
      </c>
      <c r="F196" s="63">
        <v>12.7</v>
      </c>
      <c r="G196" s="64">
        <v>12.6723224</v>
      </c>
      <c r="H196" s="65">
        <f t="shared" si="2"/>
        <v>1.00248103</v>
      </c>
      <c r="I196" s="65">
        <f t="shared" si="3"/>
        <v>0.1276776</v>
      </c>
    </row>
    <row r="197">
      <c r="A197" s="63" t="s">
        <v>486</v>
      </c>
      <c r="B197" s="63">
        <v>3504.0</v>
      </c>
      <c r="C197" s="63">
        <v>939.0</v>
      </c>
      <c r="D197" s="63">
        <v>78.9</v>
      </c>
      <c r="E197" s="63">
        <f t="shared" si="4"/>
        <v>21.1</v>
      </c>
      <c r="F197" s="63">
        <v>21.2</v>
      </c>
      <c r="G197" s="64">
        <v>21.5713622</v>
      </c>
      <c r="H197" s="65">
        <f t="shared" si="2"/>
        <v>2.209267179</v>
      </c>
      <c r="I197" s="65">
        <f t="shared" si="3"/>
        <v>-0.4713622</v>
      </c>
    </row>
    <row r="198">
      <c r="A198" s="63" t="s">
        <v>258</v>
      </c>
      <c r="B198" s="63">
        <v>153.0</v>
      </c>
      <c r="C198" s="63">
        <v>28.0</v>
      </c>
      <c r="D198" s="63">
        <v>84.5</v>
      </c>
      <c r="E198" s="63">
        <f t="shared" si="4"/>
        <v>15.5</v>
      </c>
      <c r="F198" s="63">
        <v>15.5</v>
      </c>
      <c r="G198" s="64">
        <v>15.4696133</v>
      </c>
      <c r="H198" s="65">
        <f t="shared" si="2"/>
        <v>0.1962355791</v>
      </c>
      <c r="I198" s="65">
        <f t="shared" si="3"/>
        <v>0.0303867</v>
      </c>
    </row>
    <row r="199">
      <c r="A199" s="63" t="s">
        <v>259</v>
      </c>
      <c r="B199" s="63">
        <v>162.0</v>
      </c>
      <c r="C199" s="63">
        <v>27.0</v>
      </c>
      <c r="D199" s="63">
        <v>85.7</v>
      </c>
      <c r="E199" s="63">
        <f t="shared" si="4"/>
        <v>14.3</v>
      </c>
      <c r="F199" s="63">
        <v>14.0</v>
      </c>
      <c r="G199" s="64">
        <v>13.9896373</v>
      </c>
      <c r="H199" s="65">
        <f t="shared" si="2"/>
        <v>2.194179421</v>
      </c>
      <c r="I199" s="65">
        <f t="shared" si="3"/>
        <v>0.3103627</v>
      </c>
    </row>
    <row r="200">
      <c r="A200" s="63" t="s">
        <v>223</v>
      </c>
      <c r="B200" s="63">
        <v>233.0</v>
      </c>
      <c r="C200" s="63">
        <v>11.0</v>
      </c>
      <c r="D200" s="63">
        <v>95.5</v>
      </c>
      <c r="E200" s="63">
        <f t="shared" si="4"/>
        <v>4.5</v>
      </c>
      <c r="F200" s="63">
        <v>4.5</v>
      </c>
      <c r="G200" s="64">
        <v>4.4897959</v>
      </c>
      <c r="H200" s="65">
        <f t="shared" si="2"/>
        <v>0.227015165</v>
      </c>
      <c r="I200" s="65">
        <f t="shared" si="3"/>
        <v>0.0102041</v>
      </c>
    </row>
    <row r="201">
      <c r="A201" s="63" t="s">
        <v>487</v>
      </c>
      <c r="B201" s="63">
        <v>2035.0</v>
      </c>
      <c r="C201" s="63">
        <v>156.0</v>
      </c>
      <c r="D201" s="63">
        <v>92.9</v>
      </c>
      <c r="E201" s="63">
        <f t="shared" si="4"/>
        <v>7.1</v>
      </c>
      <c r="F201" s="63">
        <v>7.0</v>
      </c>
      <c r="G201" s="64">
        <v>6.9653949</v>
      </c>
      <c r="H201" s="65">
        <f t="shared" si="2"/>
        <v>1.913989631</v>
      </c>
      <c r="I201" s="65">
        <f t="shared" si="3"/>
        <v>0.1346051</v>
      </c>
    </row>
    <row r="202">
      <c r="A202" s="63" t="s">
        <v>262</v>
      </c>
      <c r="B202" s="63">
        <v>9458.0</v>
      </c>
      <c r="C202" s="63">
        <v>41731.0</v>
      </c>
      <c r="D202" s="63">
        <v>18.5</v>
      </c>
      <c r="E202" s="63">
        <f t="shared" si="4"/>
        <v>81.5</v>
      </c>
      <c r="F202" s="63">
        <v>81.4</v>
      </c>
      <c r="G202" s="64">
        <v>81.4285161</v>
      </c>
      <c r="H202" s="65">
        <f t="shared" si="2"/>
        <v>0.08774878911</v>
      </c>
      <c r="I202" s="65">
        <f t="shared" si="3"/>
        <v>0.0714839</v>
      </c>
    </row>
    <row r="203">
      <c r="A203" s="63" t="s">
        <v>264</v>
      </c>
      <c r="B203" s="63">
        <v>6641.0</v>
      </c>
      <c r="C203" s="63">
        <v>808.0</v>
      </c>
      <c r="D203" s="63">
        <v>89.2</v>
      </c>
      <c r="E203" s="63">
        <f t="shared" si="4"/>
        <v>10.8</v>
      </c>
      <c r="F203" s="63">
        <v>10.8</v>
      </c>
      <c r="G203" s="64">
        <v>10.8283632</v>
      </c>
      <c r="H203" s="65">
        <f t="shared" si="2"/>
        <v>0.2622778223</v>
      </c>
      <c r="I203" s="65">
        <f t="shared" si="3"/>
        <v>-0.0283632</v>
      </c>
    </row>
    <row r="204">
      <c r="A204" s="63" t="s">
        <v>265</v>
      </c>
      <c r="B204" s="63">
        <v>2022.0</v>
      </c>
      <c r="C204" s="63">
        <v>880.0</v>
      </c>
      <c r="D204" s="63">
        <v>69.7</v>
      </c>
      <c r="E204" s="63">
        <f t="shared" si="4"/>
        <v>30.3</v>
      </c>
      <c r="F204" s="63">
        <v>30.3</v>
      </c>
      <c r="G204" s="64">
        <v>30.3155007</v>
      </c>
      <c r="H204" s="65">
        <f t="shared" si="2"/>
        <v>0.05114434368</v>
      </c>
      <c r="I204" s="65">
        <f t="shared" si="3"/>
        <v>-0.0155007</v>
      </c>
    </row>
    <row r="205">
      <c r="A205" s="63" t="s">
        <v>266</v>
      </c>
      <c r="B205" s="63">
        <v>968.0</v>
      </c>
      <c r="C205" s="63">
        <v>113.0</v>
      </c>
      <c r="D205" s="63">
        <v>89.5</v>
      </c>
      <c r="E205" s="63">
        <f t="shared" si="4"/>
        <v>10.5</v>
      </c>
      <c r="F205" s="63">
        <v>10.3</v>
      </c>
      <c r="G205" s="64">
        <v>10.3448276</v>
      </c>
      <c r="H205" s="65">
        <f t="shared" si="2"/>
        <v>1.488833614</v>
      </c>
      <c r="I205" s="65">
        <f t="shared" si="3"/>
        <v>0.1551724</v>
      </c>
    </row>
    <row r="206">
      <c r="A206" s="63" t="s">
        <v>268</v>
      </c>
      <c r="B206" s="63">
        <v>4091.0</v>
      </c>
      <c r="C206" s="63">
        <v>2465.0</v>
      </c>
      <c r="D206" s="63">
        <v>62.4</v>
      </c>
      <c r="E206" s="63">
        <f t="shared" si="4"/>
        <v>37.6</v>
      </c>
      <c r="F206" s="63">
        <v>37.5</v>
      </c>
      <c r="G206" s="64">
        <v>37.4924471</v>
      </c>
      <c r="H206" s="65">
        <f t="shared" si="2"/>
        <v>0.2864546413</v>
      </c>
      <c r="I206" s="65">
        <f t="shared" si="3"/>
        <v>0.1075529</v>
      </c>
    </row>
    <row r="207">
      <c r="A207" s="63" t="s">
        <v>269</v>
      </c>
      <c r="B207" s="63">
        <v>3675.0</v>
      </c>
      <c r="C207" s="63">
        <v>954.0</v>
      </c>
      <c r="D207" s="63">
        <v>79.4</v>
      </c>
      <c r="E207" s="63">
        <f t="shared" si="4"/>
        <v>20.6</v>
      </c>
      <c r="F207" s="63">
        <v>20.7</v>
      </c>
      <c r="G207" s="64">
        <v>20.6770945</v>
      </c>
      <c r="H207" s="65">
        <f t="shared" si="2"/>
        <v>0.3735461565</v>
      </c>
      <c r="I207" s="65">
        <f t="shared" si="3"/>
        <v>-0.0770945</v>
      </c>
    </row>
    <row r="208">
      <c r="A208" s="63" t="s">
        <v>270</v>
      </c>
      <c r="B208" s="63">
        <v>5320.0</v>
      </c>
      <c r="C208" s="63">
        <v>6922.0</v>
      </c>
      <c r="D208" s="63">
        <v>43.5</v>
      </c>
      <c r="E208" s="63">
        <f t="shared" si="4"/>
        <v>56.5</v>
      </c>
      <c r="F208" s="63">
        <v>56.2</v>
      </c>
      <c r="G208" s="64">
        <v>56.185027</v>
      </c>
      <c r="H208" s="65">
        <f t="shared" si="2"/>
        <v>0.5590325678</v>
      </c>
      <c r="I208" s="65">
        <f t="shared" si="3"/>
        <v>0.314973</v>
      </c>
    </row>
    <row r="209">
      <c r="A209" s="63" t="s">
        <v>488</v>
      </c>
      <c r="B209" s="63">
        <v>2112.0</v>
      </c>
      <c r="C209" s="63">
        <v>142.0</v>
      </c>
      <c r="D209" s="63">
        <v>93.7</v>
      </c>
      <c r="E209" s="63">
        <f t="shared" si="4"/>
        <v>6.3</v>
      </c>
      <c r="F209" s="63">
        <v>6.3</v>
      </c>
      <c r="G209" s="64">
        <v>6.3464081</v>
      </c>
      <c r="H209" s="65">
        <f t="shared" si="2"/>
        <v>0.7339332976</v>
      </c>
      <c r="I209" s="65">
        <f t="shared" si="3"/>
        <v>-0.0464081</v>
      </c>
    </row>
    <row r="210">
      <c r="A210" s="63" t="s">
        <v>273</v>
      </c>
      <c r="B210" s="63">
        <v>6941.0</v>
      </c>
      <c r="C210" s="63">
        <v>2651.0</v>
      </c>
      <c r="D210" s="63">
        <v>72.4</v>
      </c>
      <c r="E210" s="63">
        <f t="shared" si="4"/>
        <v>27.6</v>
      </c>
      <c r="F210" s="63">
        <v>27.6</v>
      </c>
      <c r="G210" s="64">
        <v>27.6206152</v>
      </c>
      <c r="H210" s="65">
        <f t="shared" si="2"/>
        <v>0.074664869</v>
      </c>
      <c r="I210" s="65">
        <f t="shared" si="3"/>
        <v>-0.0206152</v>
      </c>
    </row>
    <row r="211">
      <c r="A211" s="63" t="s">
        <v>274</v>
      </c>
      <c r="B211" s="63">
        <v>2360.0</v>
      </c>
      <c r="C211" s="63">
        <v>833.0</v>
      </c>
      <c r="D211" s="63">
        <v>73.9</v>
      </c>
      <c r="E211" s="63">
        <f t="shared" si="4"/>
        <v>26.1</v>
      </c>
      <c r="F211" s="63">
        <v>26.0</v>
      </c>
      <c r="G211" s="64">
        <v>26.0397269</v>
      </c>
      <c r="H211" s="65">
        <f t="shared" si="2"/>
        <v>0.2311983725</v>
      </c>
      <c r="I211" s="65">
        <f t="shared" si="3"/>
        <v>0.0602731</v>
      </c>
    </row>
    <row r="212">
      <c r="A212" s="63" t="s">
        <v>275</v>
      </c>
      <c r="B212" s="63">
        <v>3751.0</v>
      </c>
      <c r="C212" s="63">
        <v>95.0</v>
      </c>
      <c r="D212" s="63">
        <v>97.5</v>
      </c>
      <c r="E212" s="63">
        <f t="shared" si="4"/>
        <v>2.5</v>
      </c>
      <c r="F212" s="63">
        <v>2.5</v>
      </c>
      <c r="G212" s="64">
        <v>2.4634334</v>
      </c>
      <c r="H212" s="65">
        <f t="shared" si="2"/>
        <v>1.473439736</v>
      </c>
      <c r="I212" s="65">
        <f t="shared" si="3"/>
        <v>0.0365666</v>
      </c>
    </row>
    <row r="213">
      <c r="A213" s="66" t="s">
        <v>276</v>
      </c>
      <c r="B213" s="66">
        <v>8412.0</v>
      </c>
      <c r="C213" s="66">
        <v>2124.0</v>
      </c>
      <c r="D213" s="66">
        <v>79.8</v>
      </c>
      <c r="E213" s="66">
        <f t="shared" si="4"/>
        <v>20.2</v>
      </c>
      <c r="F213" s="66">
        <v>20.2</v>
      </c>
      <c r="G213" s="67">
        <v>22.9584694</v>
      </c>
      <c r="H213" s="68">
        <f t="shared" si="2"/>
        <v>12.78298067</v>
      </c>
      <c r="I213" s="68">
        <f t="shared" si="3"/>
        <v>-2.7584694</v>
      </c>
    </row>
    <row r="214">
      <c r="A214" s="63" t="s">
        <v>277</v>
      </c>
      <c r="B214" s="63">
        <v>4657.0</v>
      </c>
      <c r="C214" s="63">
        <v>1786.0</v>
      </c>
      <c r="D214" s="63">
        <v>72.3</v>
      </c>
      <c r="E214" s="63">
        <f t="shared" si="4"/>
        <v>27.7</v>
      </c>
      <c r="F214" s="63">
        <v>27.7</v>
      </c>
      <c r="G214" s="64">
        <v>27.210172</v>
      </c>
      <c r="H214" s="65">
        <f t="shared" si="2"/>
        <v>1.784106595</v>
      </c>
      <c r="I214" s="65">
        <f t="shared" si="3"/>
        <v>0.489828</v>
      </c>
    </row>
    <row r="215">
      <c r="A215" s="63" t="s">
        <v>278</v>
      </c>
      <c r="B215" s="63">
        <v>7449.0</v>
      </c>
      <c r="C215" s="63">
        <v>888.0</v>
      </c>
      <c r="D215" s="63">
        <v>89.3</v>
      </c>
      <c r="E215" s="63">
        <f t="shared" si="4"/>
        <v>10.7</v>
      </c>
      <c r="F215" s="63">
        <v>10.6</v>
      </c>
      <c r="G215" s="64">
        <v>10.6448554</v>
      </c>
      <c r="H215" s="65">
        <f t="shared" si="2"/>
        <v>0.5167015561</v>
      </c>
      <c r="I215" s="65">
        <f t="shared" si="3"/>
        <v>0.0551446</v>
      </c>
    </row>
    <row r="216">
      <c r="A216" s="63" t="s">
        <v>279</v>
      </c>
      <c r="B216" s="63">
        <v>4212.0</v>
      </c>
      <c r="C216" s="63">
        <v>809.0</v>
      </c>
      <c r="D216" s="63">
        <v>83.9</v>
      </c>
      <c r="E216" s="63">
        <f t="shared" si="4"/>
        <v>16.1</v>
      </c>
      <c r="F216" s="63">
        <v>16.1</v>
      </c>
      <c r="G216" s="64">
        <v>16.1005301</v>
      </c>
      <c r="H216" s="65">
        <f t="shared" si="2"/>
        <v>0.00329249238</v>
      </c>
      <c r="I216" s="65">
        <f t="shared" si="3"/>
        <v>-0.0005301</v>
      </c>
    </row>
    <row r="217">
      <c r="A217" s="63" t="s">
        <v>280</v>
      </c>
      <c r="B217" s="63"/>
      <c r="C217" s="63"/>
      <c r="D217" s="63"/>
      <c r="E217" s="63"/>
      <c r="F217" s="63"/>
      <c r="G217" s="64">
        <v>18.353237</v>
      </c>
      <c r="H217" s="65">
        <f t="shared" si="2"/>
        <v>200</v>
      </c>
      <c r="I217" s="65">
        <f t="shared" si="3"/>
        <v>-18.353237</v>
      </c>
    </row>
    <row r="218">
      <c r="A218" s="63" t="s">
        <v>489</v>
      </c>
      <c r="B218" s="63">
        <v>7550.0</v>
      </c>
      <c r="C218" s="63">
        <v>623.0</v>
      </c>
      <c r="D218" s="63">
        <v>92.4</v>
      </c>
      <c r="E218" s="63">
        <f t="shared" ref="E218:E236" si="5">100-D218</f>
        <v>7.6</v>
      </c>
      <c r="F218" s="63">
        <v>7.7</v>
      </c>
      <c r="G218" s="64">
        <v>7.6718618</v>
      </c>
      <c r="H218" s="65">
        <f t="shared" si="2"/>
        <v>0.9411007111</v>
      </c>
      <c r="I218" s="65">
        <f t="shared" si="3"/>
        <v>-0.0718618</v>
      </c>
    </row>
    <row r="219">
      <c r="A219" s="63" t="s">
        <v>283</v>
      </c>
      <c r="B219" s="63">
        <v>2720.0</v>
      </c>
      <c r="C219" s="63">
        <v>713.0</v>
      </c>
      <c r="D219" s="63">
        <v>79.2</v>
      </c>
      <c r="E219" s="63">
        <f t="shared" si="5"/>
        <v>20.8</v>
      </c>
      <c r="F219" s="63">
        <v>20.5</v>
      </c>
      <c r="G219" s="64">
        <v>20.53546</v>
      </c>
      <c r="H219" s="65">
        <f t="shared" si="2"/>
        <v>1.279966402</v>
      </c>
      <c r="I219" s="65">
        <f t="shared" si="3"/>
        <v>0.26454</v>
      </c>
    </row>
    <row r="220">
      <c r="A220" s="63" t="s">
        <v>285</v>
      </c>
      <c r="B220" s="63">
        <v>6821.0</v>
      </c>
      <c r="C220" s="63">
        <v>2571.0</v>
      </c>
      <c r="D220" s="63">
        <v>72.6</v>
      </c>
      <c r="E220" s="63">
        <f t="shared" si="5"/>
        <v>27.4</v>
      </c>
      <c r="F220" s="63">
        <v>27.3</v>
      </c>
      <c r="G220" s="64">
        <v>27.3466371</v>
      </c>
      <c r="H220" s="65">
        <f t="shared" si="2"/>
        <v>0.1949449421</v>
      </c>
      <c r="I220" s="65">
        <f t="shared" si="3"/>
        <v>0.0533629</v>
      </c>
    </row>
    <row r="221">
      <c r="A221" s="63" t="s">
        <v>286</v>
      </c>
      <c r="B221" s="63">
        <v>2154.0</v>
      </c>
      <c r="C221" s="63">
        <v>932.0</v>
      </c>
      <c r="D221" s="63">
        <v>69.8</v>
      </c>
      <c r="E221" s="63">
        <f t="shared" si="5"/>
        <v>30.2</v>
      </c>
      <c r="F221" s="63">
        <v>30.2</v>
      </c>
      <c r="G221" s="64">
        <v>30.2496799</v>
      </c>
      <c r="H221" s="65">
        <f t="shared" si="2"/>
        <v>0.1643677852</v>
      </c>
      <c r="I221" s="65">
        <f t="shared" si="3"/>
        <v>-0.0496799</v>
      </c>
    </row>
    <row r="222">
      <c r="A222" s="63" t="s">
        <v>490</v>
      </c>
      <c r="B222" s="63">
        <v>4690.0</v>
      </c>
      <c r="C222" s="63">
        <v>870.0</v>
      </c>
      <c r="D222" s="63">
        <v>84.4</v>
      </c>
      <c r="E222" s="63">
        <f t="shared" si="5"/>
        <v>15.6</v>
      </c>
      <c r="F222" s="63">
        <v>15.6</v>
      </c>
      <c r="G222" s="64">
        <v>15.6105376</v>
      </c>
      <c r="H222" s="65">
        <f t="shared" si="2"/>
        <v>0.06752591151</v>
      </c>
      <c r="I222" s="65">
        <f t="shared" si="3"/>
        <v>-0.0105376</v>
      </c>
    </row>
    <row r="223">
      <c r="A223" s="63" t="s">
        <v>289</v>
      </c>
      <c r="B223" s="63">
        <v>2339.0</v>
      </c>
      <c r="C223" s="63">
        <v>387.0</v>
      </c>
      <c r="D223" s="63">
        <v>85.8</v>
      </c>
      <c r="E223" s="63">
        <f t="shared" si="5"/>
        <v>14.2</v>
      </c>
      <c r="F223" s="63">
        <v>14.2</v>
      </c>
      <c r="G223" s="64">
        <v>14.1554177</v>
      </c>
      <c r="H223" s="65">
        <f t="shared" si="2"/>
        <v>0.314453488</v>
      </c>
      <c r="I223" s="65">
        <f t="shared" si="3"/>
        <v>0.0445823</v>
      </c>
    </row>
    <row r="224">
      <c r="A224" s="63" t="s">
        <v>291</v>
      </c>
      <c r="B224" s="63">
        <v>4746.0</v>
      </c>
      <c r="C224" s="63">
        <v>8418.0</v>
      </c>
      <c r="D224" s="63">
        <v>36.1</v>
      </c>
      <c r="E224" s="63">
        <f t="shared" si="5"/>
        <v>63.9</v>
      </c>
      <c r="F224" s="63">
        <v>63.9</v>
      </c>
      <c r="G224" s="64">
        <v>63.8786696</v>
      </c>
      <c r="H224" s="65">
        <f t="shared" si="2"/>
        <v>0.03338648002</v>
      </c>
      <c r="I224" s="65">
        <f t="shared" si="3"/>
        <v>0.0213304</v>
      </c>
    </row>
    <row r="225">
      <c r="A225" s="63" t="s">
        <v>292</v>
      </c>
      <c r="B225" s="63">
        <v>2726.0</v>
      </c>
      <c r="C225" s="63">
        <v>795.0</v>
      </c>
      <c r="D225" s="63">
        <v>77.4</v>
      </c>
      <c r="E225" s="63">
        <f t="shared" si="5"/>
        <v>22.6</v>
      </c>
      <c r="F225" s="63">
        <v>22.5</v>
      </c>
      <c r="G225" s="64">
        <v>22.4552573</v>
      </c>
      <c r="H225" s="65">
        <f t="shared" si="2"/>
        <v>0.6425119228</v>
      </c>
      <c r="I225" s="65">
        <f t="shared" si="3"/>
        <v>0.1447427</v>
      </c>
    </row>
    <row r="226">
      <c r="A226" s="63" t="s">
        <v>491</v>
      </c>
      <c r="B226" s="63">
        <v>2305.0</v>
      </c>
      <c r="C226" s="63">
        <v>963.0</v>
      </c>
      <c r="D226" s="63">
        <v>70.5</v>
      </c>
      <c r="E226" s="63">
        <f t="shared" si="5"/>
        <v>29.5</v>
      </c>
      <c r="F226" s="63">
        <v>29.6</v>
      </c>
      <c r="G226" s="64">
        <v>29.5736317</v>
      </c>
      <c r="H226" s="65">
        <f t="shared" si="2"/>
        <v>0.2492878731</v>
      </c>
      <c r="I226" s="65">
        <f t="shared" si="3"/>
        <v>-0.0736317</v>
      </c>
    </row>
    <row r="227">
      <c r="A227" s="63" t="s">
        <v>295</v>
      </c>
      <c r="B227" s="63">
        <v>272.0</v>
      </c>
      <c r="C227" s="63">
        <v>100.0</v>
      </c>
      <c r="D227" s="63">
        <v>73.1</v>
      </c>
      <c r="E227" s="63">
        <f t="shared" si="5"/>
        <v>26.9</v>
      </c>
      <c r="F227" s="63">
        <v>26.9</v>
      </c>
      <c r="G227" s="64">
        <v>26.8817204</v>
      </c>
      <c r="H227" s="65">
        <f t="shared" si="2"/>
        <v>0.06797699986</v>
      </c>
      <c r="I227" s="65">
        <f t="shared" si="3"/>
        <v>0.0182796</v>
      </c>
    </row>
    <row r="228">
      <c r="A228" s="63" t="s">
        <v>492</v>
      </c>
      <c r="B228" s="63">
        <v>693.0</v>
      </c>
      <c r="C228" s="63">
        <v>152.0</v>
      </c>
      <c r="D228" s="63">
        <v>82.0</v>
      </c>
      <c r="E228" s="63">
        <f t="shared" si="5"/>
        <v>18</v>
      </c>
      <c r="F228" s="63">
        <v>18.1</v>
      </c>
      <c r="G228" s="64">
        <v>18.1400689</v>
      </c>
      <c r="H228" s="65">
        <f t="shared" si="2"/>
        <v>0.7751446207</v>
      </c>
      <c r="I228" s="65">
        <f t="shared" si="3"/>
        <v>-0.1400689</v>
      </c>
    </row>
    <row r="229">
      <c r="A229" s="63" t="s">
        <v>298</v>
      </c>
      <c r="B229" s="63">
        <v>251.0</v>
      </c>
      <c r="C229" s="63">
        <v>105.0</v>
      </c>
      <c r="D229" s="63">
        <v>70.5</v>
      </c>
      <c r="E229" s="63">
        <f t="shared" si="5"/>
        <v>29.5</v>
      </c>
      <c r="F229" s="63">
        <v>29.3</v>
      </c>
      <c r="G229" s="64">
        <v>29.3296089</v>
      </c>
      <c r="H229" s="65">
        <f t="shared" si="2"/>
        <v>0.5792698717</v>
      </c>
      <c r="I229" s="65">
        <f t="shared" si="3"/>
        <v>0.1703911</v>
      </c>
    </row>
    <row r="230">
      <c r="A230" s="63" t="s">
        <v>299</v>
      </c>
      <c r="B230" s="63">
        <v>494.0</v>
      </c>
      <c r="C230" s="63">
        <v>207.0</v>
      </c>
      <c r="D230" s="63">
        <v>70.5</v>
      </c>
      <c r="E230" s="63">
        <f t="shared" si="5"/>
        <v>29.5</v>
      </c>
      <c r="F230" s="63">
        <v>29.4</v>
      </c>
      <c r="G230" s="64">
        <v>29.3706294</v>
      </c>
      <c r="H230" s="65">
        <f t="shared" si="2"/>
        <v>0.4395081259</v>
      </c>
      <c r="I230" s="65">
        <f t="shared" si="3"/>
        <v>0.1293706</v>
      </c>
    </row>
    <row r="231">
      <c r="A231" s="63" t="s">
        <v>301</v>
      </c>
      <c r="B231" s="63">
        <v>4918.0</v>
      </c>
      <c r="C231" s="63">
        <v>2033.0</v>
      </c>
      <c r="D231" s="63">
        <v>70.8</v>
      </c>
      <c r="E231" s="63">
        <f t="shared" si="5"/>
        <v>29.2</v>
      </c>
      <c r="F231" s="63">
        <v>29.3</v>
      </c>
      <c r="G231" s="64">
        <v>29.2974799</v>
      </c>
      <c r="H231" s="65">
        <f t="shared" si="2"/>
        <v>0.3332789726</v>
      </c>
      <c r="I231" s="65">
        <f t="shared" si="3"/>
        <v>-0.0974799</v>
      </c>
    </row>
    <row r="232">
      <c r="A232" s="63" t="s">
        <v>493</v>
      </c>
      <c r="B232" s="63">
        <v>2525.0</v>
      </c>
      <c r="C232" s="63">
        <v>988.0</v>
      </c>
      <c r="D232" s="63">
        <v>71.9</v>
      </c>
      <c r="E232" s="63">
        <f t="shared" si="5"/>
        <v>28.1</v>
      </c>
      <c r="F232" s="63">
        <v>28.0</v>
      </c>
      <c r="G232" s="64">
        <v>28.0270957</v>
      </c>
      <c r="H232" s="65">
        <f t="shared" si="2"/>
        <v>0.2597829055</v>
      </c>
      <c r="I232" s="65">
        <f t="shared" si="3"/>
        <v>0.0729043</v>
      </c>
    </row>
    <row r="233">
      <c r="A233" s="63" t="s">
        <v>303</v>
      </c>
      <c r="B233" s="63">
        <v>3531.0</v>
      </c>
      <c r="C233" s="63">
        <v>253.0</v>
      </c>
      <c r="D233" s="63">
        <v>93.3</v>
      </c>
      <c r="E233" s="63">
        <f t="shared" si="5"/>
        <v>6.7</v>
      </c>
      <c r="F233" s="63">
        <v>6.7</v>
      </c>
      <c r="G233" s="64">
        <v>6.6649242</v>
      </c>
      <c r="H233" s="65">
        <f t="shared" si="2"/>
        <v>0.5248933623</v>
      </c>
      <c r="I233" s="65">
        <f t="shared" si="3"/>
        <v>0.0350758</v>
      </c>
    </row>
    <row r="234">
      <c r="A234" s="63" t="s">
        <v>305</v>
      </c>
      <c r="B234" s="63">
        <v>5661.0</v>
      </c>
      <c r="C234" s="63">
        <v>3830.0</v>
      </c>
      <c r="D234" s="63">
        <v>59.6</v>
      </c>
      <c r="E234" s="63">
        <f t="shared" si="5"/>
        <v>40.4</v>
      </c>
      <c r="F234" s="63">
        <v>40.3</v>
      </c>
      <c r="G234" s="64">
        <v>40.2625821</v>
      </c>
      <c r="H234" s="65">
        <f t="shared" si="2"/>
        <v>0.3407227897</v>
      </c>
      <c r="I234" s="65">
        <f t="shared" si="3"/>
        <v>0.1374179</v>
      </c>
    </row>
    <row r="235">
      <c r="A235" s="66" t="s">
        <v>306</v>
      </c>
      <c r="B235" s="66">
        <v>4724.0</v>
      </c>
      <c r="C235" s="66">
        <v>415.0</v>
      </c>
      <c r="D235" s="66">
        <v>91.9</v>
      </c>
      <c r="E235" s="66">
        <f t="shared" si="5"/>
        <v>8.1</v>
      </c>
      <c r="F235" s="66">
        <v>8.1</v>
      </c>
      <c r="G235" s="67">
        <v>6.8573286</v>
      </c>
      <c r="H235" s="68">
        <f t="shared" si="2"/>
        <v>16.61622116</v>
      </c>
      <c r="I235" s="68">
        <f t="shared" si="3"/>
        <v>1.2426714</v>
      </c>
    </row>
    <row r="236">
      <c r="A236" s="63" t="s">
        <v>307</v>
      </c>
      <c r="B236" s="63">
        <v>1256.0</v>
      </c>
      <c r="C236" s="63">
        <v>1881.0</v>
      </c>
      <c r="D236" s="63">
        <v>40.0</v>
      </c>
      <c r="E236" s="63">
        <f t="shared" si="5"/>
        <v>60</v>
      </c>
      <c r="F236" s="63">
        <v>59.8</v>
      </c>
      <c r="G236" s="64">
        <v>59.8225602</v>
      </c>
      <c r="H236" s="65">
        <f t="shared" si="2"/>
        <v>0.2961709376</v>
      </c>
      <c r="I236" s="65">
        <f t="shared" si="3"/>
        <v>0.1774398</v>
      </c>
    </row>
    <row r="237">
      <c r="A237" s="63" t="s">
        <v>308</v>
      </c>
      <c r="B237" s="63"/>
      <c r="C237" s="63"/>
      <c r="D237" s="63"/>
      <c r="E237" s="63"/>
      <c r="F237" s="63"/>
      <c r="G237" s="64">
        <v>9.9111734</v>
      </c>
      <c r="H237" s="65">
        <f t="shared" si="2"/>
        <v>200</v>
      </c>
      <c r="I237" s="65">
        <f t="shared" si="3"/>
        <v>-9.9111734</v>
      </c>
    </row>
    <row r="238">
      <c r="A238" s="63" t="s">
        <v>310</v>
      </c>
      <c r="B238" s="63">
        <v>1037.0</v>
      </c>
      <c r="C238" s="63">
        <v>247.0</v>
      </c>
      <c r="D238" s="63">
        <v>80.8</v>
      </c>
      <c r="E238" s="63">
        <f t="shared" ref="E238:E329" si="6">100-D238</f>
        <v>19.2</v>
      </c>
      <c r="F238" s="63">
        <v>19.1</v>
      </c>
      <c r="G238" s="64">
        <v>19.1063174</v>
      </c>
      <c r="H238" s="65">
        <f t="shared" si="2"/>
        <v>0.489123499</v>
      </c>
      <c r="I238" s="65">
        <f t="shared" si="3"/>
        <v>0.0936826</v>
      </c>
    </row>
    <row r="239">
      <c r="A239" s="63" t="s">
        <v>311</v>
      </c>
      <c r="B239" s="63">
        <v>1471.0</v>
      </c>
      <c r="C239" s="63">
        <v>218.0</v>
      </c>
      <c r="D239" s="63">
        <v>87.1</v>
      </c>
      <c r="E239" s="63">
        <f t="shared" si="6"/>
        <v>12.9</v>
      </c>
      <c r="F239" s="63">
        <v>12.9</v>
      </c>
      <c r="G239" s="64">
        <v>12.9144852</v>
      </c>
      <c r="H239" s="65">
        <f t="shared" si="2"/>
        <v>0.1122253641</v>
      </c>
      <c r="I239" s="65">
        <f t="shared" si="3"/>
        <v>-0.0144852</v>
      </c>
    </row>
    <row r="240">
      <c r="A240" s="63" t="s">
        <v>313</v>
      </c>
      <c r="B240" s="63">
        <v>1136.0</v>
      </c>
      <c r="C240" s="63">
        <v>347.0</v>
      </c>
      <c r="D240" s="63">
        <v>76.6</v>
      </c>
      <c r="E240" s="63">
        <f t="shared" si="6"/>
        <v>23.4</v>
      </c>
      <c r="F240" s="63">
        <v>24.0</v>
      </c>
      <c r="G240" s="64">
        <v>24.0026596</v>
      </c>
      <c r="H240" s="65">
        <f t="shared" si="2"/>
        <v>2.542724839</v>
      </c>
      <c r="I240" s="65">
        <f t="shared" si="3"/>
        <v>-0.6026596</v>
      </c>
    </row>
    <row r="241">
      <c r="A241" s="63" t="s">
        <v>314</v>
      </c>
      <c r="B241" s="63">
        <v>614.0</v>
      </c>
      <c r="C241" s="63">
        <v>54.0</v>
      </c>
      <c r="D241" s="63">
        <v>91.9</v>
      </c>
      <c r="E241" s="63">
        <f t="shared" si="6"/>
        <v>8.1</v>
      </c>
      <c r="F241" s="63">
        <v>8.0</v>
      </c>
      <c r="G241" s="64">
        <v>7.9528719</v>
      </c>
      <c r="H241" s="65">
        <f t="shared" si="2"/>
        <v>1.833043968</v>
      </c>
      <c r="I241" s="65">
        <f t="shared" si="3"/>
        <v>0.1471281</v>
      </c>
    </row>
    <row r="242">
      <c r="A242" s="63" t="s">
        <v>316</v>
      </c>
      <c r="B242" s="63">
        <v>3105.0</v>
      </c>
      <c r="C242" s="63">
        <v>8897.0</v>
      </c>
      <c r="D242" s="63">
        <v>25.9</v>
      </c>
      <c r="E242" s="63">
        <f t="shared" si="6"/>
        <v>74.1</v>
      </c>
      <c r="F242" s="63">
        <v>74.1</v>
      </c>
      <c r="G242" s="64">
        <v>74.0682458</v>
      </c>
      <c r="H242" s="65">
        <f t="shared" si="2"/>
        <v>0.04286235533</v>
      </c>
      <c r="I242" s="65">
        <f t="shared" si="3"/>
        <v>0.0317542</v>
      </c>
    </row>
    <row r="243">
      <c r="A243" s="63" t="s">
        <v>318</v>
      </c>
      <c r="B243" s="63">
        <v>359.0</v>
      </c>
      <c r="C243" s="63">
        <v>125.0</v>
      </c>
      <c r="D243" s="63">
        <v>74.2</v>
      </c>
      <c r="E243" s="63">
        <f t="shared" si="6"/>
        <v>25.8</v>
      </c>
      <c r="F243" s="63">
        <v>25.8</v>
      </c>
      <c r="G243" s="64">
        <v>25.7668712</v>
      </c>
      <c r="H243" s="65">
        <f t="shared" si="2"/>
        <v>0.1284886953</v>
      </c>
      <c r="I243" s="65">
        <f t="shared" si="3"/>
        <v>0.0331288</v>
      </c>
    </row>
    <row r="244">
      <c r="A244" s="63" t="s">
        <v>319</v>
      </c>
      <c r="B244" s="63">
        <v>6954.0</v>
      </c>
      <c r="C244" s="63">
        <v>47732.0</v>
      </c>
      <c r="D244" s="63">
        <v>12.7</v>
      </c>
      <c r="E244" s="63">
        <f t="shared" si="6"/>
        <v>87.3</v>
      </c>
      <c r="F244" s="63">
        <v>87.3</v>
      </c>
      <c r="G244" s="64">
        <v>87.251939</v>
      </c>
      <c r="H244" s="65">
        <f t="shared" si="2"/>
        <v>0.05506785003</v>
      </c>
      <c r="I244" s="65">
        <f t="shared" si="3"/>
        <v>0.048061</v>
      </c>
    </row>
    <row r="245">
      <c r="A245" s="63" t="s">
        <v>321</v>
      </c>
      <c r="B245" s="63">
        <v>2423.0</v>
      </c>
      <c r="C245" s="63">
        <v>2579.0</v>
      </c>
      <c r="D245" s="63">
        <v>48.4</v>
      </c>
      <c r="E245" s="63">
        <f t="shared" si="6"/>
        <v>51.6</v>
      </c>
      <c r="F245" s="63">
        <v>51.7</v>
      </c>
      <c r="G245" s="64">
        <v>51.7288802</v>
      </c>
      <c r="H245" s="65">
        <f t="shared" si="2"/>
        <v>0.2494562987</v>
      </c>
      <c r="I245" s="65">
        <f t="shared" si="3"/>
        <v>-0.1288802</v>
      </c>
    </row>
    <row r="246">
      <c r="A246" s="63" t="s">
        <v>322</v>
      </c>
      <c r="B246" s="63">
        <v>923.0</v>
      </c>
      <c r="C246" s="63">
        <v>8050.0</v>
      </c>
      <c r="D246" s="63">
        <v>10.3</v>
      </c>
      <c r="E246" s="63">
        <f t="shared" si="6"/>
        <v>89.7</v>
      </c>
      <c r="F246" s="63">
        <v>89.6</v>
      </c>
      <c r="G246" s="64">
        <v>89.6138482</v>
      </c>
      <c r="H246" s="65">
        <f t="shared" si="2"/>
        <v>0.09609051489</v>
      </c>
      <c r="I246" s="65">
        <f t="shared" si="3"/>
        <v>0.0861518</v>
      </c>
    </row>
    <row r="247">
      <c r="A247" s="63" t="s">
        <v>324</v>
      </c>
      <c r="B247" s="63">
        <v>3042.0</v>
      </c>
      <c r="C247" s="63">
        <v>18949.0</v>
      </c>
      <c r="D247" s="63">
        <v>13.8</v>
      </c>
      <c r="E247" s="63">
        <f t="shared" si="6"/>
        <v>86.2</v>
      </c>
      <c r="F247" s="63">
        <v>86.1</v>
      </c>
      <c r="G247" s="64">
        <v>86.1459933</v>
      </c>
      <c r="H247" s="65">
        <f t="shared" si="2"/>
        <v>0.06267241723</v>
      </c>
      <c r="I247" s="65">
        <f t="shared" si="3"/>
        <v>0.0540067</v>
      </c>
    </row>
    <row r="248">
      <c r="A248" s="63" t="s">
        <v>325</v>
      </c>
      <c r="B248" s="63">
        <v>634.0</v>
      </c>
      <c r="C248" s="63">
        <v>3344.0</v>
      </c>
      <c r="D248" s="63">
        <v>15.9</v>
      </c>
      <c r="E248" s="63">
        <f t="shared" si="6"/>
        <v>84.1</v>
      </c>
      <c r="F248" s="63">
        <v>84.0</v>
      </c>
      <c r="G248" s="64">
        <v>84.0300375</v>
      </c>
      <c r="H248" s="65">
        <f t="shared" si="2"/>
        <v>0.08322427216</v>
      </c>
      <c r="I248" s="65">
        <f t="shared" si="3"/>
        <v>0.0699625</v>
      </c>
    </row>
    <row r="249">
      <c r="A249" s="63" t="s">
        <v>494</v>
      </c>
      <c r="B249" s="63">
        <v>1700.0</v>
      </c>
      <c r="C249" s="63">
        <v>8488.0</v>
      </c>
      <c r="D249" s="63">
        <v>16.7</v>
      </c>
      <c r="E249" s="63">
        <f t="shared" si="6"/>
        <v>83.3</v>
      </c>
      <c r="F249" s="63">
        <v>83.3</v>
      </c>
      <c r="G249" s="64">
        <v>83.2831179</v>
      </c>
      <c r="H249" s="65">
        <f t="shared" si="2"/>
        <v>0.02026868054</v>
      </c>
      <c r="I249" s="65">
        <f t="shared" si="3"/>
        <v>0.0168821</v>
      </c>
    </row>
    <row r="250">
      <c r="A250" s="63" t="s">
        <v>328</v>
      </c>
      <c r="B250" s="63">
        <v>1570.0</v>
      </c>
      <c r="C250" s="63">
        <v>2569.0</v>
      </c>
      <c r="D250" s="63">
        <v>37.9</v>
      </c>
      <c r="E250" s="63">
        <f t="shared" si="6"/>
        <v>62.1</v>
      </c>
      <c r="F250" s="63">
        <v>62.0</v>
      </c>
      <c r="G250" s="64">
        <v>62.037482</v>
      </c>
      <c r="H250" s="65">
        <f t="shared" si="2"/>
        <v>0.1007238088</v>
      </c>
      <c r="I250" s="65">
        <f t="shared" si="3"/>
        <v>0.062518</v>
      </c>
    </row>
    <row r="251">
      <c r="A251" s="63" t="s">
        <v>329</v>
      </c>
      <c r="B251" s="63">
        <v>383.0</v>
      </c>
      <c r="C251" s="63">
        <v>1089.0</v>
      </c>
      <c r="D251" s="63">
        <v>26.0</v>
      </c>
      <c r="E251" s="63">
        <f t="shared" si="6"/>
        <v>74</v>
      </c>
      <c r="F251" s="63">
        <v>73.9</v>
      </c>
      <c r="G251" s="64">
        <v>73.8544474</v>
      </c>
      <c r="H251" s="65">
        <f t="shared" si="2"/>
        <v>0.1968863332</v>
      </c>
      <c r="I251" s="65">
        <f t="shared" si="3"/>
        <v>0.1455526</v>
      </c>
    </row>
    <row r="252">
      <c r="A252" s="63" t="s">
        <v>495</v>
      </c>
      <c r="B252" s="63">
        <v>2280.0</v>
      </c>
      <c r="C252" s="63">
        <v>4130.0</v>
      </c>
      <c r="D252" s="63">
        <v>35.6</v>
      </c>
      <c r="E252" s="63">
        <f t="shared" si="6"/>
        <v>64.4</v>
      </c>
      <c r="F252" s="63">
        <v>64.2</v>
      </c>
      <c r="G252" s="64">
        <v>64.2350401</v>
      </c>
      <c r="H252" s="65">
        <f t="shared" si="2"/>
        <v>0.2564773951</v>
      </c>
      <c r="I252" s="65">
        <f t="shared" si="3"/>
        <v>0.1649599</v>
      </c>
    </row>
    <row r="253">
      <c r="A253" s="63" t="s">
        <v>332</v>
      </c>
      <c r="B253" s="63">
        <v>713.0</v>
      </c>
      <c r="C253" s="63">
        <v>2512.0</v>
      </c>
      <c r="D253" s="63">
        <v>22.1</v>
      </c>
      <c r="E253" s="63">
        <f t="shared" si="6"/>
        <v>77.9</v>
      </c>
      <c r="F253" s="63">
        <v>77.9</v>
      </c>
      <c r="G253" s="64">
        <v>77.8973255</v>
      </c>
      <c r="H253" s="65">
        <f t="shared" si="2"/>
        <v>0.003433306691</v>
      </c>
      <c r="I253" s="65">
        <f t="shared" si="3"/>
        <v>0.0026745</v>
      </c>
    </row>
    <row r="254">
      <c r="A254" s="63" t="s">
        <v>203</v>
      </c>
      <c r="B254" s="63">
        <v>2123.0</v>
      </c>
      <c r="C254" s="63">
        <v>3228.0</v>
      </c>
      <c r="D254" s="63">
        <v>39.7</v>
      </c>
      <c r="E254" s="63">
        <f t="shared" si="6"/>
        <v>60.3</v>
      </c>
      <c r="F254" s="63">
        <v>60.3</v>
      </c>
      <c r="G254" s="64">
        <v>60.33241</v>
      </c>
      <c r="H254" s="65">
        <f t="shared" si="2"/>
        <v>0.05373348671</v>
      </c>
      <c r="I254" s="65">
        <f t="shared" si="3"/>
        <v>-0.03241</v>
      </c>
    </row>
    <row r="255">
      <c r="A255" s="63" t="s">
        <v>336</v>
      </c>
      <c r="B255" s="63">
        <v>12470.0</v>
      </c>
      <c r="C255" s="63">
        <v>348031.0</v>
      </c>
      <c r="D255" s="63">
        <v>3.5</v>
      </c>
      <c r="E255" s="63">
        <f t="shared" si="6"/>
        <v>96.5</v>
      </c>
      <c r="F255" s="63">
        <v>96.5</v>
      </c>
      <c r="G255" s="64">
        <v>96.5872362</v>
      </c>
      <c r="H255" s="65">
        <f t="shared" si="2"/>
        <v>0.09035936473</v>
      </c>
      <c r="I255" s="65">
        <f t="shared" si="3"/>
        <v>-0.0872362</v>
      </c>
    </row>
    <row r="256">
      <c r="A256" s="63" t="s">
        <v>337</v>
      </c>
      <c r="B256" s="63">
        <v>2170.0</v>
      </c>
      <c r="C256" s="63">
        <v>8022.0</v>
      </c>
      <c r="D256" s="63">
        <v>21.3</v>
      </c>
      <c r="E256" s="63">
        <f t="shared" si="6"/>
        <v>78.7</v>
      </c>
      <c r="F256" s="63">
        <v>78.7</v>
      </c>
      <c r="G256" s="64">
        <v>80.2713576</v>
      </c>
      <c r="H256" s="65">
        <f t="shared" si="2"/>
        <v>1.976906562</v>
      </c>
      <c r="I256" s="65">
        <f t="shared" si="3"/>
        <v>-1.5713576</v>
      </c>
    </row>
    <row r="257">
      <c r="A257" s="63" t="s">
        <v>338</v>
      </c>
      <c r="B257" s="63">
        <v>944.0</v>
      </c>
      <c r="C257" s="63">
        <v>2644.0</v>
      </c>
      <c r="D257" s="63">
        <v>26.3</v>
      </c>
      <c r="E257" s="63">
        <f t="shared" si="6"/>
        <v>73.7</v>
      </c>
      <c r="F257" s="63">
        <v>73.7</v>
      </c>
      <c r="G257" s="64">
        <v>73.6609608</v>
      </c>
      <c r="H257" s="65">
        <f t="shared" si="2"/>
        <v>0.05298445367</v>
      </c>
      <c r="I257" s="65">
        <f t="shared" si="3"/>
        <v>0.0390392</v>
      </c>
    </row>
    <row r="258">
      <c r="A258" s="63" t="s">
        <v>339</v>
      </c>
      <c r="B258" s="63">
        <v>1755.0</v>
      </c>
      <c r="C258" s="63">
        <v>19411.0</v>
      </c>
      <c r="D258" s="63">
        <v>8.3</v>
      </c>
      <c r="E258" s="63">
        <f t="shared" si="6"/>
        <v>91.7</v>
      </c>
      <c r="F258" s="63">
        <v>91.7</v>
      </c>
      <c r="G258" s="64">
        <v>91.7143661</v>
      </c>
      <c r="H258" s="65">
        <f t="shared" si="2"/>
        <v>0.01566518513</v>
      </c>
      <c r="I258" s="65">
        <f t="shared" si="3"/>
        <v>-0.0143661</v>
      </c>
    </row>
    <row r="259">
      <c r="A259" s="63" t="s">
        <v>340</v>
      </c>
      <c r="B259" s="63">
        <v>2540.0</v>
      </c>
      <c r="C259" s="63">
        <v>9614.0</v>
      </c>
      <c r="D259" s="63">
        <v>20.9</v>
      </c>
      <c r="E259" s="63">
        <f t="shared" si="6"/>
        <v>79.1</v>
      </c>
      <c r="F259" s="63">
        <v>79.0</v>
      </c>
      <c r="G259" s="64">
        <v>79.043727</v>
      </c>
      <c r="H259" s="65">
        <f t="shared" si="2"/>
        <v>0.07116690756</v>
      </c>
      <c r="I259" s="65">
        <f t="shared" si="3"/>
        <v>0.056273</v>
      </c>
    </row>
    <row r="260">
      <c r="A260" s="63" t="s">
        <v>341</v>
      </c>
      <c r="B260" s="63">
        <v>4012.0</v>
      </c>
      <c r="C260" s="63">
        <v>19043.0</v>
      </c>
      <c r="D260" s="63">
        <v>17.4</v>
      </c>
      <c r="E260" s="63">
        <f t="shared" si="6"/>
        <v>82.6</v>
      </c>
      <c r="F260" s="63">
        <v>82.6</v>
      </c>
      <c r="G260" s="64">
        <v>82.5997071</v>
      </c>
      <c r="H260" s="65">
        <f t="shared" si="2"/>
        <v>0.000354601113</v>
      </c>
      <c r="I260" s="65">
        <f t="shared" si="3"/>
        <v>0.0002929</v>
      </c>
    </row>
    <row r="261">
      <c r="A261" s="63" t="s">
        <v>342</v>
      </c>
      <c r="B261" s="63">
        <v>272.0</v>
      </c>
      <c r="C261" s="63">
        <v>2270.0</v>
      </c>
      <c r="D261" s="63">
        <v>10.7</v>
      </c>
      <c r="E261" s="63">
        <f t="shared" si="6"/>
        <v>89.3</v>
      </c>
      <c r="F261" s="63">
        <v>89.2</v>
      </c>
      <c r="G261" s="64">
        <v>89.21875</v>
      </c>
      <c r="H261" s="65">
        <f t="shared" si="2"/>
        <v>0.09102685292</v>
      </c>
      <c r="I261" s="65">
        <f t="shared" si="3"/>
        <v>0.08125</v>
      </c>
    </row>
    <row r="262">
      <c r="A262" s="63" t="s">
        <v>496</v>
      </c>
      <c r="B262" s="63">
        <v>806.0</v>
      </c>
      <c r="C262" s="63">
        <v>9914.0</v>
      </c>
      <c r="D262" s="63">
        <v>7.5</v>
      </c>
      <c r="E262" s="63">
        <f t="shared" si="6"/>
        <v>92.5</v>
      </c>
      <c r="F262" s="63">
        <v>92.5</v>
      </c>
      <c r="G262" s="64">
        <v>92.4526559</v>
      </c>
      <c r="H262" s="65">
        <f t="shared" si="2"/>
        <v>0.05119591256</v>
      </c>
      <c r="I262" s="65">
        <f t="shared" si="3"/>
        <v>0.0473441</v>
      </c>
    </row>
    <row r="263">
      <c r="A263" s="63" t="s">
        <v>497</v>
      </c>
      <c r="B263" s="63">
        <v>373.0</v>
      </c>
      <c r="C263" s="63">
        <v>2183.0</v>
      </c>
      <c r="D263" s="63">
        <v>14.6</v>
      </c>
      <c r="E263" s="63">
        <f t="shared" si="6"/>
        <v>85.4</v>
      </c>
      <c r="F263" s="63">
        <v>85.4</v>
      </c>
      <c r="G263" s="64">
        <v>85.4376452</v>
      </c>
      <c r="H263" s="65">
        <f t="shared" si="2"/>
        <v>0.0440713169</v>
      </c>
      <c r="I263" s="65">
        <f t="shared" si="3"/>
        <v>-0.0376452</v>
      </c>
    </row>
    <row r="264">
      <c r="A264" s="63" t="s">
        <v>346</v>
      </c>
      <c r="B264" s="63">
        <v>151.0</v>
      </c>
      <c r="C264" s="63">
        <v>973.0</v>
      </c>
      <c r="D264" s="63">
        <v>13.4</v>
      </c>
      <c r="E264" s="63">
        <f t="shared" si="6"/>
        <v>86.6</v>
      </c>
      <c r="F264" s="63">
        <v>86.7</v>
      </c>
      <c r="G264" s="64">
        <v>86.6549605</v>
      </c>
      <c r="H264" s="65">
        <f t="shared" si="2"/>
        <v>0.0634446481</v>
      </c>
      <c r="I264" s="65">
        <f t="shared" si="3"/>
        <v>-0.0549605</v>
      </c>
    </row>
    <row r="265">
      <c r="A265" s="63" t="s">
        <v>348</v>
      </c>
      <c r="B265" s="63">
        <v>656.0</v>
      </c>
      <c r="C265" s="63">
        <v>2479.0</v>
      </c>
      <c r="D265" s="63">
        <v>20.9</v>
      </c>
      <c r="E265" s="63">
        <f t="shared" si="6"/>
        <v>79.1</v>
      </c>
      <c r="F265" s="63">
        <v>79.0</v>
      </c>
      <c r="G265" s="64">
        <v>79.0286976</v>
      </c>
      <c r="H265" s="65">
        <f t="shared" si="2"/>
        <v>0.09018274492</v>
      </c>
      <c r="I265" s="65">
        <f t="shared" si="3"/>
        <v>0.0713024</v>
      </c>
    </row>
    <row r="266">
      <c r="A266" s="63" t="s">
        <v>349</v>
      </c>
      <c r="B266" s="63">
        <v>1023.0</v>
      </c>
      <c r="C266" s="63">
        <v>3507.0</v>
      </c>
      <c r="D266" s="63">
        <v>22.6</v>
      </c>
      <c r="E266" s="63">
        <f t="shared" si="6"/>
        <v>77.4</v>
      </c>
      <c r="F266" s="63">
        <v>77.3</v>
      </c>
      <c r="G266" s="64">
        <v>77.2796851</v>
      </c>
      <c r="H266" s="65">
        <f t="shared" si="2"/>
        <v>0.1555665179</v>
      </c>
      <c r="I266" s="65">
        <f t="shared" si="3"/>
        <v>0.1203149</v>
      </c>
    </row>
    <row r="267">
      <c r="A267" s="63" t="s">
        <v>350</v>
      </c>
      <c r="B267" s="63">
        <v>5561.0</v>
      </c>
      <c r="C267" s="63">
        <v>9058.0</v>
      </c>
      <c r="D267" s="63">
        <v>38.0</v>
      </c>
      <c r="E267" s="63">
        <f t="shared" si="6"/>
        <v>62</v>
      </c>
      <c r="F267" s="63">
        <v>62.1</v>
      </c>
      <c r="G267" s="64">
        <v>62.071066</v>
      </c>
      <c r="H267" s="65">
        <f t="shared" si="2"/>
        <v>0.1145569266</v>
      </c>
      <c r="I267" s="65">
        <f t="shared" si="3"/>
        <v>-0.071066</v>
      </c>
    </row>
    <row r="268">
      <c r="A268" s="63" t="s">
        <v>498</v>
      </c>
      <c r="B268" s="63">
        <v>475.0</v>
      </c>
      <c r="C268" s="63">
        <v>1565.0</v>
      </c>
      <c r="D268" s="63">
        <v>23.3</v>
      </c>
      <c r="E268" s="63">
        <f t="shared" si="6"/>
        <v>76.7</v>
      </c>
      <c r="F268" s="63">
        <v>76.7</v>
      </c>
      <c r="G268" s="64">
        <v>76.7396594</v>
      </c>
      <c r="H268" s="65">
        <f t="shared" si="2"/>
        <v>0.05169380609</v>
      </c>
      <c r="I268" s="65">
        <f t="shared" si="3"/>
        <v>-0.0396594</v>
      </c>
    </row>
    <row r="269">
      <c r="A269" s="63" t="s">
        <v>499</v>
      </c>
      <c r="B269" s="63">
        <v>408.0</v>
      </c>
      <c r="C269" s="63">
        <v>4111.0</v>
      </c>
      <c r="D269" s="63">
        <v>9.0</v>
      </c>
      <c r="E269" s="63">
        <f t="shared" si="6"/>
        <v>91</v>
      </c>
      <c r="F269" s="63">
        <v>91.0</v>
      </c>
      <c r="G269" s="64">
        <v>90.9548839</v>
      </c>
      <c r="H269" s="65">
        <f t="shared" si="2"/>
        <v>0.04959042487</v>
      </c>
      <c r="I269" s="65">
        <f t="shared" si="3"/>
        <v>0.0451161</v>
      </c>
    </row>
    <row r="270">
      <c r="A270" s="63" t="s">
        <v>354</v>
      </c>
      <c r="B270" s="63">
        <v>664.0</v>
      </c>
      <c r="C270" s="63">
        <v>6460.0</v>
      </c>
      <c r="D270" s="63">
        <v>9.3</v>
      </c>
      <c r="E270" s="63">
        <f t="shared" si="6"/>
        <v>90.7</v>
      </c>
      <c r="F270" s="63">
        <v>90.7</v>
      </c>
      <c r="G270" s="64">
        <v>90.6571986</v>
      </c>
      <c r="H270" s="65">
        <f t="shared" si="2"/>
        <v>0.04720121432</v>
      </c>
      <c r="I270" s="65">
        <f t="shared" si="3"/>
        <v>0.0428014</v>
      </c>
    </row>
    <row r="271">
      <c r="A271" s="63" t="s">
        <v>355</v>
      </c>
      <c r="B271" s="63">
        <v>440.0</v>
      </c>
      <c r="C271" s="63">
        <v>3280.0</v>
      </c>
      <c r="D271" s="63">
        <v>11.8</v>
      </c>
      <c r="E271" s="63">
        <f t="shared" si="6"/>
        <v>88.2</v>
      </c>
      <c r="F271" s="63">
        <v>88.2</v>
      </c>
      <c r="G271" s="64">
        <v>88.1505204</v>
      </c>
      <c r="H271" s="65">
        <f t="shared" si="2"/>
        <v>0.05611505981</v>
      </c>
      <c r="I271" s="65">
        <f t="shared" si="3"/>
        <v>0.0494796</v>
      </c>
    </row>
    <row r="272">
      <c r="A272" s="63" t="s">
        <v>357</v>
      </c>
      <c r="B272" s="63">
        <v>484.0</v>
      </c>
      <c r="C272" s="63">
        <v>3590.0</v>
      </c>
      <c r="D272" s="63">
        <v>11.9</v>
      </c>
      <c r="E272" s="63">
        <f t="shared" si="6"/>
        <v>88.1</v>
      </c>
      <c r="F272" s="63">
        <v>88.2</v>
      </c>
      <c r="G272" s="64">
        <v>88.1767419</v>
      </c>
      <c r="H272" s="65">
        <f t="shared" si="2"/>
        <v>0.08706979625</v>
      </c>
      <c r="I272" s="65">
        <f t="shared" si="3"/>
        <v>-0.0767419</v>
      </c>
    </row>
    <row r="273">
      <c r="A273" s="63" t="s">
        <v>500</v>
      </c>
      <c r="B273" s="63">
        <v>1694.0</v>
      </c>
      <c r="C273" s="63">
        <v>3227.0</v>
      </c>
      <c r="D273" s="63">
        <v>34.4</v>
      </c>
      <c r="E273" s="63">
        <f t="shared" si="6"/>
        <v>65.6</v>
      </c>
      <c r="F273" s="63">
        <v>65.8</v>
      </c>
      <c r="G273" s="64">
        <v>65.8095621</v>
      </c>
      <c r="H273" s="65">
        <f t="shared" si="2"/>
        <v>0.3189449788</v>
      </c>
      <c r="I273" s="65">
        <f t="shared" si="3"/>
        <v>-0.2095621</v>
      </c>
    </row>
    <row r="274">
      <c r="A274" s="63" t="s">
        <v>501</v>
      </c>
      <c r="B274" s="63">
        <v>197.0</v>
      </c>
      <c r="C274" s="63">
        <v>1148.0</v>
      </c>
      <c r="D274" s="63">
        <v>14.6</v>
      </c>
      <c r="E274" s="63">
        <f t="shared" si="6"/>
        <v>85.4</v>
      </c>
      <c r="F274" s="63">
        <v>85.2</v>
      </c>
      <c r="G274" s="64">
        <v>85.155096</v>
      </c>
      <c r="H274" s="65">
        <f t="shared" si="2"/>
        <v>0.2871846175</v>
      </c>
      <c r="I274" s="65">
        <f t="shared" si="3"/>
        <v>0.244904</v>
      </c>
    </row>
    <row r="275">
      <c r="A275" s="63" t="s">
        <v>361</v>
      </c>
      <c r="B275" s="63">
        <v>448.0</v>
      </c>
      <c r="C275" s="63">
        <v>619.0</v>
      </c>
      <c r="D275" s="63">
        <v>42.0</v>
      </c>
      <c r="E275" s="63">
        <f t="shared" si="6"/>
        <v>58</v>
      </c>
      <c r="F275" s="63">
        <v>58.0</v>
      </c>
      <c r="G275" s="64">
        <v>57.9831933</v>
      </c>
      <c r="H275" s="65">
        <f t="shared" si="2"/>
        <v>0.02898126793</v>
      </c>
      <c r="I275" s="65">
        <f t="shared" si="3"/>
        <v>0.0168067</v>
      </c>
    </row>
    <row r="276">
      <c r="A276" s="63" t="s">
        <v>502</v>
      </c>
      <c r="B276" s="63">
        <v>1908.0</v>
      </c>
      <c r="C276" s="63">
        <v>4292.0</v>
      </c>
      <c r="D276" s="63">
        <v>30.8</v>
      </c>
      <c r="E276" s="63">
        <f t="shared" si="6"/>
        <v>69.2</v>
      </c>
      <c r="F276" s="63">
        <v>69.1</v>
      </c>
      <c r="G276" s="64">
        <v>69.0729846</v>
      </c>
      <c r="H276" s="65">
        <f t="shared" si="2"/>
        <v>0.1837168705</v>
      </c>
      <c r="I276" s="65">
        <f t="shared" si="3"/>
        <v>0.1270154</v>
      </c>
    </row>
    <row r="277">
      <c r="A277" s="63" t="s">
        <v>363</v>
      </c>
      <c r="B277" s="63">
        <v>1299.0</v>
      </c>
      <c r="C277" s="63">
        <v>4268.0</v>
      </c>
      <c r="D277" s="63">
        <v>23.3</v>
      </c>
      <c r="E277" s="63">
        <f t="shared" si="6"/>
        <v>76.7</v>
      </c>
      <c r="F277" s="63">
        <v>76.7</v>
      </c>
      <c r="G277" s="64">
        <v>76.652452</v>
      </c>
      <c r="H277" s="65">
        <f t="shared" si="2"/>
        <v>0.06201139842</v>
      </c>
      <c r="I277" s="65">
        <f t="shared" si="3"/>
        <v>0.047548</v>
      </c>
    </row>
    <row r="278">
      <c r="A278" s="63" t="s">
        <v>364</v>
      </c>
      <c r="B278" s="63">
        <v>354.0</v>
      </c>
      <c r="C278" s="63">
        <v>760.0</v>
      </c>
      <c r="D278" s="63">
        <v>31.8</v>
      </c>
      <c r="E278" s="63">
        <f t="shared" si="6"/>
        <v>68.2</v>
      </c>
      <c r="F278" s="63">
        <v>68.3</v>
      </c>
      <c r="G278" s="64">
        <v>68.3079678</v>
      </c>
      <c r="H278" s="65">
        <f t="shared" si="2"/>
        <v>0.1581853451</v>
      </c>
      <c r="I278" s="65">
        <f t="shared" si="3"/>
        <v>-0.1079678</v>
      </c>
    </row>
    <row r="279">
      <c r="A279" s="63" t="s">
        <v>503</v>
      </c>
      <c r="B279" s="63">
        <v>1111.0</v>
      </c>
      <c r="C279" s="63">
        <v>1259.0</v>
      </c>
      <c r="D279" s="63">
        <v>46.9</v>
      </c>
      <c r="E279" s="63">
        <f t="shared" si="6"/>
        <v>53.1</v>
      </c>
      <c r="F279" s="63">
        <v>53.2</v>
      </c>
      <c r="G279" s="64">
        <v>53.1799163</v>
      </c>
      <c r="H279" s="65">
        <f t="shared" si="2"/>
        <v>0.1503883382</v>
      </c>
      <c r="I279" s="65">
        <f t="shared" si="3"/>
        <v>-0.0799163</v>
      </c>
    </row>
    <row r="280">
      <c r="A280" s="63" t="s">
        <v>366</v>
      </c>
      <c r="B280" s="63">
        <v>800.0</v>
      </c>
      <c r="C280" s="63">
        <v>7530.0</v>
      </c>
      <c r="D280" s="63">
        <v>9.6</v>
      </c>
      <c r="E280" s="63">
        <f t="shared" si="6"/>
        <v>90.4</v>
      </c>
      <c r="F280" s="63">
        <v>90.4</v>
      </c>
      <c r="G280" s="64">
        <v>90.3988536</v>
      </c>
      <c r="H280" s="65">
        <f t="shared" si="2"/>
        <v>0.001268149634</v>
      </c>
      <c r="I280" s="65">
        <f t="shared" si="3"/>
        <v>0.0011464</v>
      </c>
    </row>
    <row r="281">
      <c r="A281" s="63" t="s">
        <v>367</v>
      </c>
      <c r="B281" s="63">
        <v>229.0</v>
      </c>
      <c r="C281" s="63">
        <v>783.0</v>
      </c>
      <c r="D281" s="63">
        <v>22.6</v>
      </c>
      <c r="E281" s="63">
        <f t="shared" si="6"/>
        <v>77.4</v>
      </c>
      <c r="F281" s="63">
        <v>77.3</v>
      </c>
      <c r="G281" s="64">
        <v>77.2951629</v>
      </c>
      <c r="H281" s="65">
        <f t="shared" si="2"/>
        <v>0.1355402432</v>
      </c>
      <c r="I281" s="65">
        <f t="shared" si="3"/>
        <v>0.1048371</v>
      </c>
    </row>
    <row r="282">
      <c r="A282" s="63" t="s">
        <v>369</v>
      </c>
      <c r="B282" s="63">
        <v>1757.0</v>
      </c>
      <c r="C282" s="63">
        <v>3432.0</v>
      </c>
      <c r="D282" s="63">
        <v>33.9</v>
      </c>
      <c r="E282" s="63">
        <f t="shared" si="6"/>
        <v>66.1</v>
      </c>
      <c r="F282" s="63">
        <v>66.4</v>
      </c>
      <c r="G282" s="64">
        <v>66.3507109</v>
      </c>
      <c r="H282" s="65">
        <f t="shared" si="2"/>
        <v>0.3785723735</v>
      </c>
      <c r="I282" s="65">
        <f t="shared" si="3"/>
        <v>-0.2507109</v>
      </c>
    </row>
    <row r="283">
      <c r="A283" s="63" t="s">
        <v>370</v>
      </c>
      <c r="B283" s="63">
        <v>188.0</v>
      </c>
      <c r="C283" s="63">
        <v>380.0</v>
      </c>
      <c r="D283" s="63">
        <v>33.1</v>
      </c>
      <c r="E283" s="63">
        <f t="shared" si="6"/>
        <v>66.9</v>
      </c>
      <c r="F283" s="63">
        <v>66.8</v>
      </c>
      <c r="G283" s="64">
        <v>66.8402778</v>
      </c>
      <c r="H283" s="65">
        <f t="shared" si="2"/>
        <v>0.08931071624</v>
      </c>
      <c r="I283" s="65">
        <f t="shared" si="3"/>
        <v>0.0597222</v>
      </c>
    </row>
    <row r="284">
      <c r="A284" s="63" t="s">
        <v>504</v>
      </c>
      <c r="B284" s="63">
        <v>387.0</v>
      </c>
      <c r="C284" s="63">
        <v>477.0</v>
      </c>
      <c r="D284" s="63">
        <v>44.8</v>
      </c>
      <c r="E284" s="63">
        <f t="shared" si="6"/>
        <v>55.2</v>
      </c>
      <c r="F284" s="63">
        <v>55.3</v>
      </c>
      <c r="G284" s="64">
        <v>55.2873563</v>
      </c>
      <c r="H284" s="65">
        <f t="shared" si="2"/>
        <v>0.1581290438</v>
      </c>
      <c r="I284" s="65">
        <f t="shared" si="3"/>
        <v>-0.0873563</v>
      </c>
    </row>
    <row r="285">
      <c r="A285" s="63" t="s">
        <v>505</v>
      </c>
      <c r="B285" s="63">
        <v>349.0</v>
      </c>
      <c r="C285" s="63">
        <v>242.0</v>
      </c>
      <c r="D285" s="63">
        <v>59.1</v>
      </c>
      <c r="E285" s="63">
        <f t="shared" si="6"/>
        <v>40.9</v>
      </c>
      <c r="F285" s="63">
        <v>40.8</v>
      </c>
      <c r="G285" s="64">
        <v>40.8333333</v>
      </c>
      <c r="H285" s="65">
        <f t="shared" si="2"/>
        <v>0.1631322187</v>
      </c>
      <c r="I285" s="65">
        <f t="shared" si="3"/>
        <v>0.0666667</v>
      </c>
    </row>
    <row r="286">
      <c r="A286" s="63" t="s">
        <v>506</v>
      </c>
      <c r="B286" s="63">
        <v>442.0</v>
      </c>
      <c r="C286" s="63">
        <v>191.0</v>
      </c>
      <c r="D286" s="63">
        <v>69.8</v>
      </c>
      <c r="E286" s="63">
        <f t="shared" si="6"/>
        <v>30.2</v>
      </c>
      <c r="F286" s="63">
        <v>30.1</v>
      </c>
      <c r="G286" s="64">
        <v>30.0787402</v>
      </c>
      <c r="H286" s="65">
        <f t="shared" si="2"/>
        <v>0.4023302398</v>
      </c>
      <c r="I286" s="65">
        <f t="shared" si="3"/>
        <v>0.1212598</v>
      </c>
    </row>
    <row r="287">
      <c r="A287" s="63" t="s">
        <v>375</v>
      </c>
      <c r="B287" s="63">
        <v>958.0</v>
      </c>
      <c r="C287" s="63">
        <v>2067.0</v>
      </c>
      <c r="D287" s="63">
        <v>31.7</v>
      </c>
      <c r="E287" s="63">
        <f t="shared" si="6"/>
        <v>68.3</v>
      </c>
      <c r="F287" s="63">
        <v>68.5</v>
      </c>
      <c r="G287" s="64">
        <v>68.5382381</v>
      </c>
      <c r="H287" s="65">
        <f t="shared" si="2"/>
        <v>0.3482039864</v>
      </c>
      <c r="I287" s="65">
        <f t="shared" si="3"/>
        <v>-0.2382381</v>
      </c>
    </row>
    <row r="288">
      <c r="A288" s="63" t="s">
        <v>507</v>
      </c>
      <c r="B288" s="63">
        <v>712.0</v>
      </c>
      <c r="C288" s="63">
        <v>1976.0</v>
      </c>
      <c r="D288" s="63">
        <v>26.5</v>
      </c>
      <c r="E288" s="63">
        <f t="shared" si="6"/>
        <v>73.5</v>
      </c>
      <c r="F288" s="63">
        <v>73.3</v>
      </c>
      <c r="G288" s="64">
        <v>73.3235077</v>
      </c>
      <c r="H288" s="65">
        <f t="shared" si="2"/>
        <v>0.2404142263</v>
      </c>
      <c r="I288" s="65">
        <f t="shared" si="3"/>
        <v>0.1764923</v>
      </c>
    </row>
    <row r="289">
      <c r="A289" s="63" t="s">
        <v>377</v>
      </c>
      <c r="B289" s="63">
        <v>569.0</v>
      </c>
      <c r="C289" s="63">
        <v>2359.0</v>
      </c>
      <c r="D289" s="63">
        <v>19.4</v>
      </c>
      <c r="E289" s="63">
        <f t="shared" si="6"/>
        <v>80.6</v>
      </c>
      <c r="F289" s="63">
        <v>80.6</v>
      </c>
      <c r="G289" s="64">
        <v>80.634278</v>
      </c>
      <c r="H289" s="65">
        <f t="shared" si="2"/>
        <v>0.04251949452</v>
      </c>
      <c r="I289" s="65">
        <f t="shared" si="3"/>
        <v>-0.034278</v>
      </c>
    </row>
    <row r="290">
      <c r="A290" s="63" t="s">
        <v>378</v>
      </c>
      <c r="B290" s="63">
        <v>274.0</v>
      </c>
      <c r="C290" s="63">
        <v>446.0</v>
      </c>
      <c r="D290" s="63">
        <v>38.1</v>
      </c>
      <c r="E290" s="63">
        <f t="shared" si="6"/>
        <v>61.9</v>
      </c>
      <c r="F290" s="63">
        <v>62.3</v>
      </c>
      <c r="G290" s="64">
        <v>62.3287671</v>
      </c>
      <c r="H290" s="65">
        <f t="shared" si="2"/>
        <v>0.6902863322</v>
      </c>
      <c r="I290" s="65">
        <f t="shared" si="3"/>
        <v>-0.4287671</v>
      </c>
    </row>
    <row r="291">
      <c r="A291" s="63" t="s">
        <v>380</v>
      </c>
      <c r="B291" s="63">
        <v>2677.0</v>
      </c>
      <c r="C291" s="63">
        <v>23475.0</v>
      </c>
      <c r="D291" s="63">
        <v>10.2</v>
      </c>
      <c r="E291" s="63">
        <f t="shared" si="6"/>
        <v>89.8</v>
      </c>
      <c r="F291" s="63">
        <v>89.8</v>
      </c>
      <c r="G291" s="64">
        <v>89.7505979</v>
      </c>
      <c r="H291" s="65">
        <f t="shared" si="2"/>
        <v>0.05502861096</v>
      </c>
      <c r="I291" s="65">
        <f t="shared" si="3"/>
        <v>0.0494021</v>
      </c>
    </row>
    <row r="292">
      <c r="A292" s="63" t="s">
        <v>508</v>
      </c>
      <c r="B292" s="63">
        <v>622.0</v>
      </c>
      <c r="C292" s="63">
        <v>2586.0</v>
      </c>
      <c r="D292" s="63">
        <v>19.4</v>
      </c>
      <c r="E292" s="63">
        <f t="shared" si="6"/>
        <v>80.6</v>
      </c>
      <c r="F292" s="63">
        <v>80.6</v>
      </c>
      <c r="G292" s="64">
        <v>80.5624227</v>
      </c>
      <c r="H292" s="65">
        <f t="shared" si="2"/>
        <v>0.04663283087</v>
      </c>
      <c r="I292" s="65">
        <f t="shared" si="3"/>
        <v>0.0375773</v>
      </c>
    </row>
    <row r="293">
      <c r="A293" s="63" t="s">
        <v>382</v>
      </c>
      <c r="B293" s="63">
        <v>897.0</v>
      </c>
      <c r="C293" s="63">
        <v>4389.0</v>
      </c>
      <c r="D293" s="63">
        <v>17.0</v>
      </c>
      <c r="E293" s="63">
        <f t="shared" si="6"/>
        <v>83</v>
      </c>
      <c r="F293" s="63">
        <v>83.0</v>
      </c>
      <c r="G293" s="64">
        <v>82.9923034</v>
      </c>
      <c r="H293" s="65">
        <f t="shared" si="2"/>
        <v>0.009273442012</v>
      </c>
      <c r="I293" s="65">
        <f t="shared" si="3"/>
        <v>0.0076966</v>
      </c>
    </row>
    <row r="294">
      <c r="A294" s="63" t="s">
        <v>383</v>
      </c>
      <c r="B294" s="63">
        <v>561.0</v>
      </c>
      <c r="C294" s="63">
        <v>2568.0</v>
      </c>
      <c r="D294" s="63">
        <v>17.9</v>
      </c>
      <c r="E294" s="63">
        <f t="shared" si="6"/>
        <v>82.1</v>
      </c>
      <c r="F294" s="63">
        <v>82.0</v>
      </c>
      <c r="G294" s="64">
        <v>81.9791337</v>
      </c>
      <c r="H294" s="65">
        <f t="shared" si="2"/>
        <v>0.1473268383</v>
      </c>
      <c r="I294" s="65">
        <f t="shared" si="3"/>
        <v>0.1208663</v>
      </c>
    </row>
    <row r="295">
      <c r="A295" s="63" t="s">
        <v>282</v>
      </c>
      <c r="B295" s="63">
        <v>292.0</v>
      </c>
      <c r="C295" s="63">
        <v>3160.0</v>
      </c>
      <c r="D295" s="63">
        <v>8.5</v>
      </c>
      <c r="E295" s="63">
        <f t="shared" si="6"/>
        <v>91.5</v>
      </c>
      <c r="F295" s="63">
        <v>91.5</v>
      </c>
      <c r="G295" s="64">
        <v>91.5444349</v>
      </c>
      <c r="H295" s="65">
        <f t="shared" si="2"/>
        <v>0.04855094341</v>
      </c>
      <c r="I295" s="65">
        <f t="shared" si="3"/>
        <v>-0.0444349</v>
      </c>
    </row>
    <row r="296">
      <c r="A296" s="63" t="s">
        <v>385</v>
      </c>
      <c r="B296" s="63">
        <v>698.0</v>
      </c>
      <c r="C296" s="63">
        <v>3528.0</v>
      </c>
      <c r="D296" s="63">
        <v>16.5</v>
      </c>
      <c r="E296" s="63">
        <f t="shared" si="6"/>
        <v>83.5</v>
      </c>
      <c r="F296" s="63">
        <v>83.5</v>
      </c>
      <c r="G296" s="64">
        <v>83.4780568</v>
      </c>
      <c r="H296" s="65">
        <f t="shared" si="2"/>
        <v>0.02628273489</v>
      </c>
      <c r="I296" s="65">
        <f t="shared" si="3"/>
        <v>0.0219432</v>
      </c>
    </row>
    <row r="297">
      <c r="A297" s="63" t="s">
        <v>386</v>
      </c>
      <c r="B297" s="63">
        <v>460.0</v>
      </c>
      <c r="C297" s="63">
        <v>2710.0</v>
      </c>
      <c r="D297" s="63">
        <v>14.5</v>
      </c>
      <c r="E297" s="63">
        <f t="shared" si="6"/>
        <v>85.5</v>
      </c>
      <c r="F297" s="63">
        <v>85.5</v>
      </c>
      <c r="G297" s="64">
        <v>85.5259027</v>
      </c>
      <c r="H297" s="65">
        <f t="shared" si="2"/>
        <v>0.03029096715</v>
      </c>
      <c r="I297" s="65">
        <f t="shared" si="3"/>
        <v>-0.0259027</v>
      </c>
    </row>
    <row r="298">
      <c r="A298" s="63" t="s">
        <v>389</v>
      </c>
      <c r="B298" s="63">
        <v>335.0</v>
      </c>
      <c r="C298" s="63">
        <v>1334.0</v>
      </c>
      <c r="D298" s="63">
        <v>20.1</v>
      </c>
      <c r="E298" s="63">
        <f t="shared" si="6"/>
        <v>79.9</v>
      </c>
      <c r="F298" s="63">
        <v>80.1</v>
      </c>
      <c r="G298" s="64">
        <v>80.1186944</v>
      </c>
      <c r="H298" s="65">
        <f t="shared" si="2"/>
        <v>0.2733360634</v>
      </c>
      <c r="I298" s="65">
        <f t="shared" si="3"/>
        <v>-0.2186944</v>
      </c>
    </row>
    <row r="299">
      <c r="A299" s="63" t="s">
        <v>387</v>
      </c>
      <c r="B299" s="63">
        <v>2850.0</v>
      </c>
      <c r="C299" s="63">
        <v>9790.0</v>
      </c>
      <c r="D299" s="63">
        <v>22.5</v>
      </c>
      <c r="E299" s="63">
        <f t="shared" si="6"/>
        <v>77.5</v>
      </c>
      <c r="F299" s="63">
        <v>77.5</v>
      </c>
      <c r="G299" s="64">
        <v>77.473173</v>
      </c>
      <c r="H299" s="65">
        <f t="shared" si="2"/>
        <v>0.03462147607</v>
      </c>
      <c r="I299" s="65">
        <f t="shared" si="3"/>
        <v>0.026827</v>
      </c>
    </row>
    <row r="300">
      <c r="A300" s="63" t="s">
        <v>509</v>
      </c>
      <c r="B300" s="63">
        <v>184.0</v>
      </c>
      <c r="C300" s="63">
        <v>956.0</v>
      </c>
      <c r="D300" s="63">
        <v>16.1</v>
      </c>
      <c r="E300" s="63">
        <f t="shared" si="6"/>
        <v>83.9</v>
      </c>
      <c r="F300" s="63">
        <v>83.9</v>
      </c>
      <c r="G300" s="64">
        <v>83.8568935</v>
      </c>
      <c r="H300" s="65">
        <f t="shared" si="2"/>
        <v>0.0513916288</v>
      </c>
      <c r="I300" s="65">
        <f t="shared" si="3"/>
        <v>0.0431065</v>
      </c>
    </row>
    <row r="301">
      <c r="A301" s="63" t="s">
        <v>390</v>
      </c>
      <c r="B301" s="63">
        <v>802.0</v>
      </c>
      <c r="C301" s="63">
        <v>4228.0</v>
      </c>
      <c r="D301" s="63">
        <v>15.9</v>
      </c>
      <c r="E301" s="63">
        <f t="shared" si="6"/>
        <v>84.1</v>
      </c>
      <c r="F301" s="63">
        <v>84.0</v>
      </c>
      <c r="G301" s="64">
        <v>84.0450771</v>
      </c>
      <c r="H301" s="65">
        <f t="shared" si="2"/>
        <v>0.0653279905</v>
      </c>
      <c r="I301" s="65">
        <f t="shared" si="3"/>
        <v>0.0549229</v>
      </c>
    </row>
    <row r="302">
      <c r="A302" s="63" t="s">
        <v>392</v>
      </c>
      <c r="B302" s="63">
        <v>416.0</v>
      </c>
      <c r="C302" s="63">
        <v>2774.0</v>
      </c>
      <c r="D302" s="63">
        <v>13.0</v>
      </c>
      <c r="E302" s="63">
        <f t="shared" si="6"/>
        <v>87</v>
      </c>
      <c r="F302" s="63">
        <v>87.0</v>
      </c>
      <c r="G302" s="64">
        <v>87.029549</v>
      </c>
      <c r="H302" s="65">
        <f t="shared" si="2"/>
        <v>0.0339586009</v>
      </c>
      <c r="I302" s="65">
        <f t="shared" si="3"/>
        <v>-0.029549</v>
      </c>
    </row>
    <row r="303">
      <c r="A303" s="63" t="s">
        <v>394</v>
      </c>
      <c r="B303" s="63">
        <v>1495.0</v>
      </c>
      <c r="C303" s="63">
        <v>3091.0</v>
      </c>
      <c r="D303" s="63">
        <v>32.6</v>
      </c>
      <c r="E303" s="63">
        <f t="shared" si="6"/>
        <v>67.4</v>
      </c>
      <c r="F303" s="63">
        <v>67.5</v>
      </c>
      <c r="G303" s="64">
        <v>67.5361069</v>
      </c>
      <c r="H303" s="65">
        <f t="shared" si="2"/>
        <v>0.2017353296</v>
      </c>
      <c r="I303" s="65">
        <f t="shared" si="3"/>
        <v>-0.1361069</v>
      </c>
    </row>
    <row r="304">
      <c r="A304" s="63" t="s">
        <v>395</v>
      </c>
      <c r="B304" s="63">
        <v>629.0</v>
      </c>
      <c r="C304" s="63">
        <v>1135.0</v>
      </c>
      <c r="D304" s="63">
        <v>35.7</v>
      </c>
      <c r="E304" s="63">
        <f t="shared" si="6"/>
        <v>64.3</v>
      </c>
      <c r="F304" s="63">
        <v>64.2</v>
      </c>
      <c r="G304" s="64">
        <v>64.2176108</v>
      </c>
      <c r="H304" s="65">
        <f t="shared" si="2"/>
        <v>0.1282146462</v>
      </c>
      <c r="I304" s="65">
        <f t="shared" si="3"/>
        <v>0.0823892</v>
      </c>
    </row>
    <row r="305">
      <c r="A305" s="63" t="s">
        <v>510</v>
      </c>
      <c r="B305" s="63">
        <v>535.0</v>
      </c>
      <c r="C305" s="63">
        <v>3984.0</v>
      </c>
      <c r="D305" s="63">
        <v>11.8</v>
      </c>
      <c r="E305" s="63">
        <f t="shared" si="6"/>
        <v>88.2</v>
      </c>
      <c r="F305" s="63">
        <v>88.2</v>
      </c>
      <c r="G305" s="64">
        <v>88.1642512</v>
      </c>
      <c r="H305" s="65">
        <f t="shared" si="2"/>
        <v>0.04053973496</v>
      </c>
      <c r="I305" s="65">
        <f t="shared" si="3"/>
        <v>0.0357488</v>
      </c>
    </row>
    <row r="306">
      <c r="A306" s="63" t="s">
        <v>398</v>
      </c>
      <c r="B306" s="63">
        <v>294.0</v>
      </c>
      <c r="C306" s="63">
        <v>3560.0</v>
      </c>
      <c r="D306" s="63">
        <v>7.6</v>
      </c>
      <c r="E306" s="63">
        <f t="shared" si="6"/>
        <v>92.4</v>
      </c>
      <c r="F306" s="63">
        <v>92.3</v>
      </c>
      <c r="G306" s="64">
        <v>92.3215666</v>
      </c>
      <c r="H306" s="65">
        <f t="shared" si="2"/>
        <v>0.08492067434</v>
      </c>
      <c r="I306" s="65">
        <f t="shared" si="3"/>
        <v>0.0784334</v>
      </c>
    </row>
    <row r="307">
      <c r="A307" s="63" t="s">
        <v>511</v>
      </c>
      <c r="B307" s="63">
        <v>246.0</v>
      </c>
      <c r="C307" s="63">
        <v>1237.0</v>
      </c>
      <c r="D307" s="63">
        <v>16.6</v>
      </c>
      <c r="E307" s="63">
        <f t="shared" si="6"/>
        <v>83.4</v>
      </c>
      <c r="F307" s="63">
        <v>83.3</v>
      </c>
      <c r="G307" s="64">
        <v>83.310992</v>
      </c>
      <c r="H307" s="65">
        <f t="shared" si="2"/>
        <v>0.1067812013</v>
      </c>
      <c r="I307" s="65">
        <f t="shared" si="3"/>
        <v>0.089008</v>
      </c>
    </row>
    <row r="308">
      <c r="A308" s="63" t="s">
        <v>512</v>
      </c>
      <c r="B308" s="63">
        <v>812.0</v>
      </c>
      <c r="C308" s="63">
        <v>4645.0</v>
      </c>
      <c r="D308" s="63">
        <v>14.9</v>
      </c>
      <c r="E308" s="63">
        <f t="shared" si="6"/>
        <v>85.1</v>
      </c>
      <c r="F308" s="63">
        <v>85.1</v>
      </c>
      <c r="G308" s="64">
        <v>85.1113929</v>
      </c>
      <c r="H308" s="65">
        <f t="shared" si="2"/>
        <v>0.01338676549</v>
      </c>
      <c r="I308" s="65">
        <f t="shared" si="3"/>
        <v>-0.0113929</v>
      </c>
    </row>
    <row r="309">
      <c r="A309" s="63" t="s">
        <v>402</v>
      </c>
      <c r="B309" s="63">
        <v>115.0</v>
      </c>
      <c r="C309" s="63">
        <v>1040.0</v>
      </c>
      <c r="D309" s="63">
        <v>10.0</v>
      </c>
      <c r="E309" s="63">
        <f t="shared" si="6"/>
        <v>90</v>
      </c>
      <c r="F309" s="63">
        <v>90.1</v>
      </c>
      <c r="G309" s="64">
        <v>90.1015228</v>
      </c>
      <c r="H309" s="65">
        <f t="shared" si="2"/>
        <v>0.1127395243</v>
      </c>
      <c r="I309" s="65">
        <f t="shared" si="3"/>
        <v>-0.1015228</v>
      </c>
    </row>
    <row r="310">
      <c r="A310" s="63" t="s">
        <v>332</v>
      </c>
      <c r="B310" s="63">
        <v>1745.0</v>
      </c>
      <c r="C310" s="63">
        <v>2676.0</v>
      </c>
      <c r="D310" s="63">
        <v>39.5</v>
      </c>
      <c r="E310" s="63">
        <f t="shared" si="6"/>
        <v>60.5</v>
      </c>
      <c r="F310" s="63">
        <v>60.6</v>
      </c>
      <c r="G310" s="64">
        <v>60.6142121</v>
      </c>
      <c r="H310" s="65">
        <f t="shared" si="2"/>
        <v>0.1886023085</v>
      </c>
      <c r="I310" s="65">
        <f t="shared" si="3"/>
        <v>-0.1142121</v>
      </c>
    </row>
    <row r="311">
      <c r="A311" s="63" t="s">
        <v>404</v>
      </c>
      <c r="B311" s="63">
        <v>2234.0</v>
      </c>
      <c r="C311" s="63">
        <v>22294.0</v>
      </c>
      <c r="D311" s="63">
        <v>9.1</v>
      </c>
      <c r="E311" s="63">
        <f t="shared" si="6"/>
        <v>90.9</v>
      </c>
      <c r="F311" s="63">
        <v>90.9</v>
      </c>
      <c r="G311" s="64">
        <v>90.8550396</v>
      </c>
      <c r="H311" s="65">
        <f t="shared" si="2"/>
        <v>0.04947362131</v>
      </c>
      <c r="I311" s="65">
        <f t="shared" si="3"/>
        <v>0.0449604</v>
      </c>
    </row>
    <row r="312">
      <c r="A312" s="63" t="s">
        <v>386</v>
      </c>
      <c r="B312" s="63">
        <v>185.0</v>
      </c>
      <c r="C312" s="63">
        <v>1038.0</v>
      </c>
      <c r="D312" s="63">
        <v>15.1</v>
      </c>
      <c r="E312" s="63">
        <f t="shared" si="6"/>
        <v>84.9</v>
      </c>
      <c r="F312" s="63">
        <v>84.8</v>
      </c>
      <c r="G312" s="64">
        <v>84.796748</v>
      </c>
      <c r="H312" s="65">
        <f t="shared" si="2"/>
        <v>0.1216900161</v>
      </c>
      <c r="I312" s="65">
        <f t="shared" si="3"/>
        <v>0.103252</v>
      </c>
    </row>
    <row r="313">
      <c r="A313" s="63" t="s">
        <v>406</v>
      </c>
      <c r="B313" s="63">
        <v>1528.0</v>
      </c>
      <c r="C313" s="63">
        <v>17841.0</v>
      </c>
      <c r="D313" s="63">
        <v>7.9</v>
      </c>
      <c r="E313" s="63">
        <f t="shared" si="6"/>
        <v>92.1</v>
      </c>
      <c r="F313" s="63">
        <v>92.1</v>
      </c>
      <c r="G313" s="64">
        <v>92.1125179</v>
      </c>
      <c r="H313" s="65">
        <f t="shared" si="2"/>
        <v>0.01359071592</v>
      </c>
      <c r="I313" s="65">
        <f t="shared" si="3"/>
        <v>-0.0125179</v>
      </c>
    </row>
    <row r="314">
      <c r="A314" s="63" t="s">
        <v>407</v>
      </c>
      <c r="B314" s="63">
        <v>627.0</v>
      </c>
      <c r="C314" s="63">
        <v>8542.0</v>
      </c>
      <c r="D314" s="63">
        <v>6.8</v>
      </c>
      <c r="E314" s="63">
        <f t="shared" si="6"/>
        <v>93.2</v>
      </c>
      <c r="F314" s="63">
        <v>93.2</v>
      </c>
      <c r="G314" s="64">
        <v>93.175683</v>
      </c>
      <c r="H314" s="65">
        <f t="shared" si="2"/>
        <v>0.02609460591</v>
      </c>
      <c r="I314" s="65">
        <f t="shared" si="3"/>
        <v>0.024317</v>
      </c>
    </row>
    <row r="315">
      <c r="A315" s="63" t="s">
        <v>409</v>
      </c>
      <c r="B315" s="63">
        <v>452.0</v>
      </c>
      <c r="C315" s="63">
        <v>2469.0</v>
      </c>
      <c r="D315" s="63">
        <v>15.5</v>
      </c>
      <c r="E315" s="63">
        <f t="shared" si="6"/>
        <v>84.5</v>
      </c>
      <c r="F315" s="63">
        <v>84.3</v>
      </c>
      <c r="G315" s="64">
        <v>84.3011479</v>
      </c>
      <c r="H315" s="65">
        <f t="shared" si="2"/>
        <v>0.2356051514</v>
      </c>
      <c r="I315" s="65">
        <f t="shared" si="3"/>
        <v>0.1988521</v>
      </c>
    </row>
    <row r="316">
      <c r="A316" s="63" t="s">
        <v>410</v>
      </c>
      <c r="B316" s="63">
        <v>3523.0</v>
      </c>
      <c r="C316" s="63">
        <v>5799.0</v>
      </c>
      <c r="D316" s="63">
        <v>37.8</v>
      </c>
      <c r="E316" s="63">
        <f t="shared" si="6"/>
        <v>62.2</v>
      </c>
      <c r="F316" s="63">
        <v>62.2</v>
      </c>
      <c r="G316" s="64">
        <v>62.2184445</v>
      </c>
      <c r="H316" s="65">
        <f t="shared" si="2"/>
        <v>0.02964914097</v>
      </c>
      <c r="I316" s="65">
        <f t="shared" si="3"/>
        <v>-0.0184445</v>
      </c>
    </row>
    <row r="317">
      <c r="A317" s="63" t="s">
        <v>358</v>
      </c>
      <c r="B317" s="63">
        <v>143.0</v>
      </c>
      <c r="C317" s="63">
        <v>1820.0</v>
      </c>
      <c r="D317" s="63">
        <v>7.3</v>
      </c>
      <c r="E317" s="63">
        <f t="shared" si="6"/>
        <v>92.7</v>
      </c>
      <c r="F317" s="63">
        <v>92.7</v>
      </c>
      <c r="G317" s="64">
        <v>92.7125506</v>
      </c>
      <c r="H317" s="65">
        <f t="shared" si="2"/>
        <v>0.01353802637</v>
      </c>
      <c r="I317" s="65">
        <f t="shared" si="3"/>
        <v>-0.0125506</v>
      </c>
    </row>
    <row r="318">
      <c r="A318" s="63" t="s">
        <v>513</v>
      </c>
      <c r="B318" s="63">
        <v>1200.0</v>
      </c>
      <c r="C318" s="63">
        <v>3606.0</v>
      </c>
      <c r="D318" s="63">
        <v>25.0</v>
      </c>
      <c r="E318" s="63">
        <f t="shared" si="6"/>
        <v>75</v>
      </c>
      <c r="F318" s="63">
        <v>75.0</v>
      </c>
      <c r="G318" s="64">
        <v>75.0051472</v>
      </c>
      <c r="H318" s="65">
        <f t="shared" si="2"/>
        <v>0.006862697842</v>
      </c>
      <c r="I318" s="65">
        <f t="shared" si="3"/>
        <v>-0.0051472</v>
      </c>
    </row>
    <row r="319">
      <c r="A319" s="63" t="s">
        <v>514</v>
      </c>
      <c r="B319" s="63">
        <v>460.0</v>
      </c>
      <c r="C319" s="63">
        <v>3233.0</v>
      </c>
      <c r="D319" s="63">
        <v>12.5</v>
      </c>
      <c r="E319" s="63">
        <f t="shared" si="6"/>
        <v>87.5</v>
      </c>
      <c r="F319" s="63">
        <v>87.6</v>
      </c>
      <c r="G319" s="64">
        <v>87.9300292</v>
      </c>
      <c r="H319" s="65">
        <f t="shared" si="2"/>
        <v>0.490257229</v>
      </c>
      <c r="I319" s="65">
        <f t="shared" si="3"/>
        <v>-0.4300292</v>
      </c>
    </row>
    <row r="320">
      <c r="A320" s="63" t="s">
        <v>414</v>
      </c>
      <c r="B320" s="63">
        <v>170.0</v>
      </c>
      <c r="C320" s="63">
        <v>762.0</v>
      </c>
      <c r="D320" s="63">
        <v>18.2</v>
      </c>
      <c r="E320" s="63">
        <f t="shared" si="6"/>
        <v>81.8</v>
      </c>
      <c r="F320" s="63">
        <v>81.9</v>
      </c>
      <c r="G320" s="64">
        <v>81.8763326</v>
      </c>
      <c r="H320" s="65">
        <f t="shared" si="2"/>
        <v>0.09327261772</v>
      </c>
      <c r="I320" s="65">
        <f t="shared" si="3"/>
        <v>-0.0763326</v>
      </c>
    </row>
    <row r="321">
      <c r="A321" s="63" t="s">
        <v>344</v>
      </c>
      <c r="B321" s="63">
        <v>990.0</v>
      </c>
      <c r="C321" s="63">
        <v>3325.0</v>
      </c>
      <c r="D321" s="63">
        <v>22.9</v>
      </c>
      <c r="E321" s="63">
        <f t="shared" si="6"/>
        <v>77.1</v>
      </c>
      <c r="F321" s="63">
        <v>77.1</v>
      </c>
      <c r="G321" s="64">
        <v>78.4769039</v>
      </c>
      <c r="H321" s="65">
        <f t="shared" si="2"/>
        <v>1.770062092</v>
      </c>
      <c r="I321" s="65">
        <f t="shared" si="3"/>
        <v>-1.3769039</v>
      </c>
    </row>
    <row r="322">
      <c r="A322" s="63" t="s">
        <v>417</v>
      </c>
      <c r="B322" s="63">
        <v>143.0</v>
      </c>
      <c r="C322" s="63">
        <v>714.0</v>
      </c>
      <c r="D322" s="63">
        <v>16.7</v>
      </c>
      <c r="E322" s="63">
        <f t="shared" si="6"/>
        <v>83.3</v>
      </c>
      <c r="F322" s="63">
        <v>83.4</v>
      </c>
      <c r="G322" s="64">
        <v>83.4490741</v>
      </c>
      <c r="H322" s="65">
        <f t="shared" si="2"/>
        <v>0.1788005131</v>
      </c>
      <c r="I322" s="65">
        <f t="shared" si="3"/>
        <v>-0.1490741</v>
      </c>
    </row>
    <row r="323">
      <c r="A323" s="63" t="s">
        <v>418</v>
      </c>
      <c r="B323" s="63">
        <v>680.0</v>
      </c>
      <c r="C323" s="63">
        <v>2288.0</v>
      </c>
      <c r="D323" s="63">
        <v>22.9</v>
      </c>
      <c r="E323" s="63">
        <f t="shared" si="6"/>
        <v>77.1</v>
      </c>
      <c r="F323" s="63">
        <v>77.1</v>
      </c>
      <c r="G323" s="64">
        <v>77.1028037</v>
      </c>
      <c r="H323" s="65">
        <f t="shared" si="2"/>
        <v>0.003636380056</v>
      </c>
      <c r="I323" s="65">
        <f t="shared" si="3"/>
        <v>-0.0028037</v>
      </c>
    </row>
    <row r="324">
      <c r="A324" s="63" t="s">
        <v>420</v>
      </c>
      <c r="B324" s="63">
        <v>71.0</v>
      </c>
      <c r="C324" s="63">
        <v>1177.0</v>
      </c>
      <c r="D324" s="63">
        <v>5.7</v>
      </c>
      <c r="E324" s="63">
        <f t="shared" si="6"/>
        <v>94.3</v>
      </c>
      <c r="F324" s="63">
        <v>94.3</v>
      </c>
      <c r="G324" s="64">
        <v>94.338118</v>
      </c>
      <c r="H324" s="65">
        <f t="shared" si="2"/>
        <v>0.0404138892</v>
      </c>
      <c r="I324" s="65">
        <f t="shared" si="3"/>
        <v>-0.038118</v>
      </c>
    </row>
    <row r="325">
      <c r="A325" s="63" t="s">
        <v>389</v>
      </c>
      <c r="B325" s="63">
        <v>92.0</v>
      </c>
      <c r="C325" s="63">
        <v>1053.0</v>
      </c>
      <c r="D325" s="63">
        <v>8.0</v>
      </c>
      <c r="E325" s="63">
        <f t="shared" si="6"/>
        <v>92</v>
      </c>
      <c r="F325" s="63">
        <v>92.1</v>
      </c>
      <c r="G325" s="64">
        <v>92.0689655</v>
      </c>
      <c r="H325" s="65">
        <f t="shared" si="2"/>
        <v>0.07493441365</v>
      </c>
      <c r="I325" s="65">
        <f t="shared" si="3"/>
        <v>-0.0689655</v>
      </c>
    </row>
    <row r="326">
      <c r="A326" s="63" t="s">
        <v>421</v>
      </c>
      <c r="B326" s="63">
        <v>26.0</v>
      </c>
      <c r="C326" s="63">
        <v>168.0</v>
      </c>
      <c r="D326" s="63">
        <v>13.4</v>
      </c>
      <c r="E326" s="63">
        <f t="shared" si="6"/>
        <v>86.6</v>
      </c>
      <c r="F326" s="63">
        <v>86.7</v>
      </c>
      <c r="G326" s="64">
        <v>86.6666667</v>
      </c>
      <c r="H326" s="65">
        <f t="shared" si="2"/>
        <v>0.07695271257</v>
      </c>
      <c r="I326" s="65">
        <f t="shared" si="3"/>
        <v>-0.0666667</v>
      </c>
    </row>
    <row r="327">
      <c r="A327" s="63" t="s">
        <v>423</v>
      </c>
      <c r="B327" s="63">
        <v>141.0</v>
      </c>
      <c r="C327" s="63">
        <v>2073.0</v>
      </c>
      <c r="D327" s="63">
        <v>6.4</v>
      </c>
      <c r="E327" s="63">
        <f t="shared" si="6"/>
        <v>93.6</v>
      </c>
      <c r="F327" s="63">
        <v>93.6</v>
      </c>
      <c r="G327" s="64">
        <v>93.6379928</v>
      </c>
      <c r="H327" s="65">
        <f t="shared" si="2"/>
        <v>0.04058236198</v>
      </c>
      <c r="I327" s="65">
        <f t="shared" si="3"/>
        <v>-0.0379928</v>
      </c>
    </row>
    <row r="328">
      <c r="A328" s="63" t="s">
        <v>424</v>
      </c>
      <c r="B328" s="63">
        <v>226.0</v>
      </c>
      <c r="C328" s="63">
        <v>1125.0</v>
      </c>
      <c r="D328" s="63">
        <v>16.7</v>
      </c>
      <c r="E328" s="63">
        <f t="shared" si="6"/>
        <v>83.3</v>
      </c>
      <c r="F328" s="63">
        <v>83.3</v>
      </c>
      <c r="G328" s="64">
        <v>83.3333333</v>
      </c>
      <c r="H328" s="65">
        <f t="shared" si="2"/>
        <v>0.0400079616</v>
      </c>
      <c r="I328" s="65">
        <f t="shared" si="3"/>
        <v>-0.0333333</v>
      </c>
    </row>
    <row r="329">
      <c r="A329" s="63" t="s">
        <v>425</v>
      </c>
      <c r="B329" s="63">
        <v>120.0</v>
      </c>
      <c r="C329" s="63">
        <v>689.0</v>
      </c>
      <c r="D329" s="63">
        <v>14.8</v>
      </c>
      <c r="E329" s="63">
        <f t="shared" si="6"/>
        <v>85.2</v>
      </c>
      <c r="F329" s="63">
        <v>85.3</v>
      </c>
      <c r="G329" s="64">
        <v>85.3479853</v>
      </c>
      <c r="H329" s="65">
        <f t="shared" si="2"/>
        <v>0.1735409536</v>
      </c>
      <c r="I329" s="65">
        <f t="shared" si="3"/>
        <v>-0.1479853</v>
      </c>
    </row>
    <row r="330">
      <c r="A330" s="63" t="s">
        <v>427</v>
      </c>
      <c r="B330" s="63"/>
      <c r="C330" s="63"/>
      <c r="D330" s="63"/>
      <c r="E330" s="63"/>
      <c r="F330" s="63"/>
      <c r="G330" s="64">
        <v>71.1568938</v>
      </c>
      <c r="H330" s="65">
        <f t="shared" si="2"/>
        <v>200</v>
      </c>
      <c r="I330" s="65">
        <f t="shared" si="3"/>
        <v>-71.1568938</v>
      </c>
    </row>
    <row r="331">
      <c r="A331" s="63" t="s">
        <v>430</v>
      </c>
      <c r="B331" s="63">
        <v>1071.0</v>
      </c>
      <c r="C331" s="63">
        <v>11058.0</v>
      </c>
      <c r="D331" s="63">
        <v>8.8</v>
      </c>
      <c r="E331" s="63">
        <f t="shared" ref="E331:E345" si="7">100-D331</f>
        <v>91.2</v>
      </c>
      <c r="F331" s="63">
        <v>91.1</v>
      </c>
      <c r="G331" s="64">
        <v>91.0679454</v>
      </c>
      <c r="H331" s="65">
        <f t="shared" si="2"/>
        <v>0.1449016169</v>
      </c>
      <c r="I331" s="65">
        <f t="shared" si="3"/>
        <v>0.1320546</v>
      </c>
    </row>
    <row r="332">
      <c r="A332" s="63" t="s">
        <v>431</v>
      </c>
      <c r="B332" s="63">
        <v>132.0</v>
      </c>
      <c r="C332" s="63">
        <v>1510.0</v>
      </c>
      <c r="D332" s="63">
        <v>8.0</v>
      </c>
      <c r="E332" s="63">
        <f t="shared" si="7"/>
        <v>92</v>
      </c>
      <c r="F332" s="63">
        <v>92.0</v>
      </c>
      <c r="G332" s="64">
        <v>91.9637462</v>
      </c>
      <c r="H332" s="65">
        <f t="shared" si="2"/>
        <v>0.03941407016</v>
      </c>
      <c r="I332" s="65">
        <f t="shared" si="3"/>
        <v>0.0362538</v>
      </c>
    </row>
    <row r="333">
      <c r="A333" s="63" t="s">
        <v>432</v>
      </c>
      <c r="B333" s="63">
        <v>159.0</v>
      </c>
      <c r="C333" s="63">
        <v>373.0</v>
      </c>
      <c r="D333" s="63">
        <v>29.9</v>
      </c>
      <c r="E333" s="63">
        <f t="shared" si="7"/>
        <v>70.1</v>
      </c>
      <c r="F333" s="63">
        <v>69.9</v>
      </c>
      <c r="G333" s="64">
        <v>69.9082569</v>
      </c>
      <c r="H333" s="65">
        <f t="shared" si="2"/>
        <v>0.2739025601</v>
      </c>
      <c r="I333" s="65">
        <f t="shared" si="3"/>
        <v>0.1917431</v>
      </c>
    </row>
    <row r="334">
      <c r="A334" s="63" t="s">
        <v>433</v>
      </c>
      <c r="B334" s="63">
        <v>266.0</v>
      </c>
      <c r="C334" s="63">
        <v>674.0</v>
      </c>
      <c r="D334" s="63">
        <v>28.3</v>
      </c>
      <c r="E334" s="63">
        <f t="shared" si="7"/>
        <v>71.7</v>
      </c>
      <c r="F334" s="63">
        <v>71.6</v>
      </c>
      <c r="G334" s="64">
        <v>71.6101695</v>
      </c>
      <c r="H334" s="65">
        <f t="shared" si="2"/>
        <v>0.1253651437</v>
      </c>
      <c r="I334" s="65">
        <f t="shared" si="3"/>
        <v>0.0898305</v>
      </c>
    </row>
    <row r="335">
      <c r="A335" s="63" t="s">
        <v>435</v>
      </c>
      <c r="B335" s="63">
        <v>159.0</v>
      </c>
      <c r="C335" s="63">
        <v>1201.0</v>
      </c>
      <c r="D335" s="63">
        <v>11.7</v>
      </c>
      <c r="E335" s="63">
        <f t="shared" si="7"/>
        <v>88.3</v>
      </c>
      <c r="F335" s="63">
        <v>88.1</v>
      </c>
      <c r="G335" s="64">
        <v>88.1331404</v>
      </c>
      <c r="H335" s="65">
        <f t="shared" si="2"/>
        <v>0.1891476846</v>
      </c>
      <c r="I335" s="65">
        <f t="shared" si="3"/>
        <v>0.1668596</v>
      </c>
    </row>
    <row r="336">
      <c r="A336" s="63" t="s">
        <v>282</v>
      </c>
      <c r="B336" s="63">
        <v>225.0</v>
      </c>
      <c r="C336" s="63">
        <v>382.0</v>
      </c>
      <c r="D336" s="63">
        <v>37.1</v>
      </c>
      <c r="E336" s="63">
        <f t="shared" si="7"/>
        <v>62.9</v>
      </c>
      <c r="F336" s="63">
        <v>62.8</v>
      </c>
      <c r="G336" s="64">
        <v>62.8477905</v>
      </c>
      <c r="H336" s="65">
        <f t="shared" si="2"/>
        <v>0.08303843716</v>
      </c>
      <c r="I336" s="65">
        <f t="shared" si="3"/>
        <v>0.0522095</v>
      </c>
    </row>
    <row r="337">
      <c r="A337" s="63" t="s">
        <v>436</v>
      </c>
      <c r="B337" s="63">
        <v>293.0</v>
      </c>
      <c r="C337" s="63">
        <v>1127.0</v>
      </c>
      <c r="D337" s="63">
        <v>20.6</v>
      </c>
      <c r="E337" s="63">
        <f t="shared" si="7"/>
        <v>79.4</v>
      </c>
      <c r="F337" s="63">
        <v>79.4</v>
      </c>
      <c r="G337" s="64">
        <v>79.3973371</v>
      </c>
      <c r="H337" s="65">
        <f t="shared" si="2"/>
        <v>0.003353834578</v>
      </c>
      <c r="I337" s="65">
        <f t="shared" si="3"/>
        <v>0.0026629</v>
      </c>
    </row>
    <row r="338">
      <c r="A338" s="63" t="s">
        <v>515</v>
      </c>
      <c r="B338" s="63">
        <v>157.0</v>
      </c>
      <c r="C338" s="63">
        <v>866.0</v>
      </c>
      <c r="D338" s="63">
        <v>15.3</v>
      </c>
      <c r="E338" s="63">
        <f t="shared" si="7"/>
        <v>84.7</v>
      </c>
      <c r="F338" s="63">
        <v>84.7</v>
      </c>
      <c r="G338" s="64">
        <v>84.6978558</v>
      </c>
      <c r="H338" s="65">
        <f t="shared" si="2"/>
        <v>0.002531555066</v>
      </c>
      <c r="I338" s="65">
        <f t="shared" si="3"/>
        <v>0.0021442</v>
      </c>
    </row>
    <row r="339">
      <c r="A339" s="63" t="s">
        <v>331</v>
      </c>
      <c r="B339" s="63">
        <v>286.0</v>
      </c>
      <c r="C339" s="63">
        <v>1054.0</v>
      </c>
      <c r="D339" s="63">
        <v>21.3</v>
      </c>
      <c r="E339" s="63">
        <f t="shared" si="7"/>
        <v>78.7</v>
      </c>
      <c r="F339" s="63">
        <v>78.7</v>
      </c>
      <c r="G339" s="64">
        <v>78.6885246</v>
      </c>
      <c r="H339" s="65">
        <f t="shared" si="2"/>
        <v>0.01458225754</v>
      </c>
      <c r="I339" s="65">
        <f t="shared" si="3"/>
        <v>0.0114754</v>
      </c>
    </row>
    <row r="340">
      <c r="A340" s="63" t="s">
        <v>516</v>
      </c>
      <c r="B340" s="63">
        <v>645.0</v>
      </c>
      <c r="C340" s="63">
        <v>1001.0</v>
      </c>
      <c r="D340" s="63">
        <v>39.2</v>
      </c>
      <c r="E340" s="63">
        <f t="shared" si="7"/>
        <v>60.8</v>
      </c>
      <c r="F340" s="63">
        <v>60.8</v>
      </c>
      <c r="G340" s="64">
        <v>60.7985481</v>
      </c>
      <c r="H340" s="65">
        <f t="shared" si="2"/>
        <v>0.002388021934</v>
      </c>
      <c r="I340" s="65">
        <f t="shared" si="3"/>
        <v>0.0014519</v>
      </c>
    </row>
    <row r="341">
      <c r="A341" s="63" t="s">
        <v>358</v>
      </c>
      <c r="B341" s="63">
        <v>147.0</v>
      </c>
      <c r="C341" s="63">
        <v>462.0</v>
      </c>
      <c r="D341" s="63">
        <v>24.1</v>
      </c>
      <c r="E341" s="63">
        <f t="shared" si="7"/>
        <v>75.9</v>
      </c>
      <c r="F341" s="63">
        <v>75.9</v>
      </c>
      <c r="G341" s="64">
        <v>75.9410802</v>
      </c>
      <c r="H341" s="65">
        <f t="shared" si="2"/>
        <v>0.05410946754</v>
      </c>
      <c r="I341" s="65">
        <f t="shared" si="3"/>
        <v>-0.0410802</v>
      </c>
    </row>
    <row r="342">
      <c r="A342" s="63" t="s">
        <v>101</v>
      </c>
      <c r="B342" s="63">
        <v>73.0</v>
      </c>
      <c r="C342" s="63">
        <v>270.0</v>
      </c>
      <c r="D342" s="63">
        <v>21.3</v>
      </c>
      <c r="E342" s="63">
        <f t="shared" si="7"/>
        <v>78.7</v>
      </c>
      <c r="F342" s="63">
        <v>78.8</v>
      </c>
      <c r="G342" s="64">
        <v>78.7790698</v>
      </c>
      <c r="H342" s="65">
        <f t="shared" si="2"/>
        <v>0.10041944</v>
      </c>
      <c r="I342" s="65">
        <f t="shared" si="3"/>
        <v>-0.0790698</v>
      </c>
    </row>
    <row r="343">
      <c r="A343" s="63" t="s">
        <v>442</v>
      </c>
      <c r="B343" s="63">
        <v>145.0</v>
      </c>
      <c r="C343" s="63">
        <v>319.0</v>
      </c>
      <c r="D343" s="63">
        <v>31.3</v>
      </c>
      <c r="E343" s="63">
        <f t="shared" si="7"/>
        <v>68.7</v>
      </c>
      <c r="F343" s="63">
        <v>68.9</v>
      </c>
      <c r="G343" s="64">
        <v>68.8841202</v>
      </c>
      <c r="H343" s="65">
        <f t="shared" si="2"/>
        <v>0.2676474578</v>
      </c>
      <c r="I343" s="65">
        <f t="shared" si="3"/>
        <v>-0.1841202</v>
      </c>
    </row>
    <row r="344">
      <c r="A344" s="63" t="s">
        <v>517</v>
      </c>
      <c r="B344" s="63">
        <v>140.0</v>
      </c>
      <c r="C344" s="63">
        <v>448.0</v>
      </c>
      <c r="D344" s="63">
        <v>23.8</v>
      </c>
      <c r="E344" s="63">
        <f t="shared" si="7"/>
        <v>76.2</v>
      </c>
      <c r="F344" s="63">
        <v>76.2</v>
      </c>
      <c r="G344" s="64">
        <v>76.2308998</v>
      </c>
      <c r="H344" s="65">
        <f t="shared" si="2"/>
        <v>0.04054269842</v>
      </c>
      <c r="I344" s="65">
        <f t="shared" si="3"/>
        <v>-0.0308998</v>
      </c>
    </row>
    <row r="345">
      <c r="A345" s="63" t="s">
        <v>444</v>
      </c>
      <c r="B345" s="63">
        <v>100.0</v>
      </c>
      <c r="C345" s="63">
        <v>362.0</v>
      </c>
      <c r="D345" s="63">
        <v>21.6</v>
      </c>
      <c r="E345" s="63">
        <f t="shared" si="7"/>
        <v>78.4</v>
      </c>
      <c r="F345" s="63">
        <v>78.5</v>
      </c>
      <c r="G345" s="64">
        <v>78.5407725</v>
      </c>
      <c r="H345" s="65">
        <f t="shared" si="2"/>
        <v>0.1793957016</v>
      </c>
      <c r="I345" s="65">
        <f t="shared" si="3"/>
        <v>-0.1407725</v>
      </c>
    </row>
    <row r="346">
      <c r="H346" s="65"/>
    </row>
    <row r="347">
      <c r="C347" s="63" t="s">
        <v>518</v>
      </c>
      <c r="D347" s="63">
        <v>52.2</v>
      </c>
      <c r="E347" s="69"/>
      <c r="H347" s="65"/>
    </row>
    <row r="348">
      <c r="C348" s="63" t="s">
        <v>519</v>
      </c>
      <c r="D348" s="63">
        <v>27.3</v>
      </c>
      <c r="H348" s="65"/>
    </row>
    <row r="349">
      <c r="C349" s="63" t="s">
        <v>520</v>
      </c>
      <c r="D349" s="63">
        <v>3.5</v>
      </c>
      <c r="E349" s="63"/>
      <c r="H349" s="65"/>
    </row>
    <row r="350">
      <c r="C350" s="63" t="s">
        <v>521</v>
      </c>
      <c r="D350" s="63">
        <v>98.8</v>
      </c>
      <c r="E350" s="63"/>
      <c r="H350" s="65"/>
    </row>
    <row r="351">
      <c r="C351" s="63" t="s">
        <v>522</v>
      </c>
      <c r="D351" s="63">
        <v>339.0</v>
      </c>
      <c r="E351" s="63"/>
      <c r="H351" s="65"/>
    </row>
    <row r="352">
      <c r="H352" s="65"/>
    </row>
    <row r="353">
      <c r="H353" s="65"/>
    </row>
    <row r="354">
      <c r="H354" s="65"/>
    </row>
    <row r="355">
      <c r="H355" s="65"/>
    </row>
    <row r="356">
      <c r="H356" s="65"/>
    </row>
    <row r="357">
      <c r="H357" s="65"/>
    </row>
    <row r="358">
      <c r="H358" s="65"/>
    </row>
    <row r="359">
      <c r="H359" s="65"/>
    </row>
    <row r="360">
      <c r="H360" s="65"/>
    </row>
    <row r="361">
      <c r="H361" s="65"/>
    </row>
    <row r="362">
      <c r="H362" s="65"/>
    </row>
    <row r="363">
      <c r="H363" s="65"/>
    </row>
    <row r="364">
      <c r="H364" s="65"/>
    </row>
    <row r="365">
      <c r="H365" s="65"/>
    </row>
    <row r="366">
      <c r="H366" s="65"/>
    </row>
    <row r="367">
      <c r="H367" s="65"/>
    </row>
    <row r="368">
      <c r="H368" s="65"/>
    </row>
    <row r="369">
      <c r="H369" s="65"/>
    </row>
    <row r="370">
      <c r="H370" s="65"/>
    </row>
    <row r="371">
      <c r="H371" s="65"/>
    </row>
    <row r="372">
      <c r="H372" s="65"/>
    </row>
    <row r="373">
      <c r="H373" s="65"/>
    </row>
    <row r="374">
      <c r="H374" s="65"/>
    </row>
    <row r="375">
      <c r="H375" s="65"/>
    </row>
    <row r="376">
      <c r="H376" s="65"/>
    </row>
    <row r="377">
      <c r="H377" s="65"/>
    </row>
    <row r="378">
      <c r="H378" s="65"/>
    </row>
    <row r="379">
      <c r="H379" s="65"/>
    </row>
    <row r="380">
      <c r="H380" s="65"/>
    </row>
    <row r="381">
      <c r="H381" s="65"/>
    </row>
    <row r="382">
      <c r="H382" s="65"/>
    </row>
    <row r="383">
      <c r="H383" s="65"/>
    </row>
    <row r="384">
      <c r="H384" s="65"/>
    </row>
    <row r="385">
      <c r="H385" s="65"/>
    </row>
    <row r="386">
      <c r="H386" s="65"/>
    </row>
    <row r="387">
      <c r="H387" s="65"/>
    </row>
    <row r="388">
      <c r="H388" s="65"/>
    </row>
    <row r="389">
      <c r="H389" s="65"/>
    </row>
    <row r="390">
      <c r="H390" s="65"/>
    </row>
    <row r="391">
      <c r="H391" s="65"/>
    </row>
    <row r="392">
      <c r="H392" s="65"/>
    </row>
    <row r="393">
      <c r="H393" s="65"/>
    </row>
    <row r="394">
      <c r="H394" s="65"/>
    </row>
    <row r="395">
      <c r="H395" s="65"/>
    </row>
    <row r="396">
      <c r="H396" s="65"/>
    </row>
    <row r="397">
      <c r="H397" s="65"/>
    </row>
    <row r="398">
      <c r="H398" s="65"/>
    </row>
    <row r="399">
      <c r="H399" s="65"/>
    </row>
    <row r="400">
      <c r="H400" s="65"/>
    </row>
    <row r="401">
      <c r="H401" s="65"/>
    </row>
    <row r="402">
      <c r="H402" s="65"/>
    </row>
    <row r="403">
      <c r="H403" s="65"/>
    </row>
    <row r="404">
      <c r="H404" s="65"/>
    </row>
    <row r="405">
      <c r="H405" s="65"/>
    </row>
    <row r="406">
      <c r="H406" s="65"/>
    </row>
    <row r="407">
      <c r="H407" s="65"/>
    </row>
    <row r="408">
      <c r="H408" s="65"/>
    </row>
    <row r="409">
      <c r="H409" s="65"/>
    </row>
    <row r="410">
      <c r="H410" s="65"/>
    </row>
    <row r="411">
      <c r="H411" s="65"/>
    </row>
    <row r="412">
      <c r="H412" s="65"/>
    </row>
    <row r="413">
      <c r="H413" s="65"/>
    </row>
    <row r="414">
      <c r="H414" s="65"/>
    </row>
    <row r="415">
      <c r="H415" s="65"/>
    </row>
    <row r="416">
      <c r="H416" s="65"/>
    </row>
    <row r="417">
      <c r="H417" s="65"/>
    </row>
    <row r="418">
      <c r="H418" s="65"/>
    </row>
    <row r="419">
      <c r="H419" s="65"/>
    </row>
    <row r="420">
      <c r="H420" s="65"/>
    </row>
    <row r="421">
      <c r="H421" s="65"/>
    </row>
    <row r="422">
      <c r="H422" s="65"/>
    </row>
    <row r="423">
      <c r="H423" s="65"/>
    </row>
    <row r="424">
      <c r="H424" s="65"/>
    </row>
    <row r="425">
      <c r="H425" s="65"/>
    </row>
    <row r="426">
      <c r="H426" s="65"/>
    </row>
    <row r="427">
      <c r="H427" s="65"/>
    </row>
    <row r="428">
      <c r="H428" s="65"/>
    </row>
    <row r="429">
      <c r="H429" s="65"/>
    </row>
    <row r="430">
      <c r="H430" s="65"/>
    </row>
    <row r="431">
      <c r="H431" s="65"/>
    </row>
    <row r="432">
      <c r="H432" s="65"/>
    </row>
    <row r="433">
      <c r="H433" s="65"/>
    </row>
    <row r="434">
      <c r="H434" s="65"/>
    </row>
    <row r="435">
      <c r="H435" s="65"/>
    </row>
    <row r="436">
      <c r="H436" s="65"/>
    </row>
    <row r="437">
      <c r="H437" s="65"/>
    </row>
    <row r="438">
      <c r="H438" s="65"/>
    </row>
    <row r="439">
      <c r="H439" s="65"/>
    </row>
    <row r="440">
      <c r="H440" s="65"/>
    </row>
    <row r="441">
      <c r="H441" s="65"/>
    </row>
    <row r="442">
      <c r="H442" s="65"/>
    </row>
    <row r="443">
      <c r="H443" s="65"/>
    </row>
    <row r="444">
      <c r="H444" s="65"/>
    </row>
    <row r="445">
      <c r="H445" s="65"/>
    </row>
    <row r="446">
      <c r="H446" s="65"/>
    </row>
    <row r="447">
      <c r="H447" s="65"/>
    </row>
    <row r="448">
      <c r="H448" s="65"/>
    </row>
    <row r="449">
      <c r="H449" s="65"/>
    </row>
    <row r="450">
      <c r="H450" s="65"/>
    </row>
    <row r="451">
      <c r="H451" s="65"/>
    </row>
    <row r="452">
      <c r="H452" s="65"/>
    </row>
    <row r="453">
      <c r="H453" s="65"/>
    </row>
    <row r="454">
      <c r="H454" s="65"/>
    </row>
    <row r="455">
      <c r="H455" s="65"/>
    </row>
    <row r="456">
      <c r="H456" s="65"/>
    </row>
    <row r="457">
      <c r="H457" s="65"/>
    </row>
    <row r="458">
      <c r="H458" s="65"/>
    </row>
    <row r="459">
      <c r="H459" s="65"/>
    </row>
    <row r="460">
      <c r="H460" s="65"/>
    </row>
    <row r="461">
      <c r="H461" s="65"/>
    </row>
    <row r="462">
      <c r="H462" s="65"/>
    </row>
    <row r="463">
      <c r="H463" s="65"/>
    </row>
    <row r="464">
      <c r="H464" s="65"/>
    </row>
    <row r="465">
      <c r="H465" s="65"/>
    </row>
    <row r="466">
      <c r="H466" s="65"/>
    </row>
    <row r="467">
      <c r="H467" s="65"/>
    </row>
    <row r="468">
      <c r="H468" s="65"/>
    </row>
    <row r="469">
      <c r="H469" s="65"/>
    </row>
    <row r="470">
      <c r="H470" s="65"/>
    </row>
    <row r="471">
      <c r="H471" s="65"/>
    </row>
    <row r="472">
      <c r="H472" s="65"/>
    </row>
    <row r="473">
      <c r="H473" s="65"/>
    </row>
    <row r="474">
      <c r="H474" s="65"/>
    </row>
    <row r="475">
      <c r="H475" s="65"/>
    </row>
    <row r="476">
      <c r="H476" s="65"/>
    </row>
    <row r="477">
      <c r="H477" s="65"/>
    </row>
    <row r="478">
      <c r="H478" s="65"/>
    </row>
    <row r="479">
      <c r="H479" s="65"/>
    </row>
    <row r="480">
      <c r="H480" s="65"/>
    </row>
    <row r="481">
      <c r="H481" s="65"/>
    </row>
    <row r="482">
      <c r="H482" s="65"/>
    </row>
    <row r="483">
      <c r="H483" s="65"/>
    </row>
    <row r="484">
      <c r="H484" s="65"/>
    </row>
    <row r="485">
      <c r="H485" s="65"/>
    </row>
    <row r="486">
      <c r="H486" s="65"/>
    </row>
    <row r="487">
      <c r="H487" s="65"/>
    </row>
    <row r="488">
      <c r="H488" s="65"/>
    </row>
    <row r="489">
      <c r="H489" s="65"/>
    </row>
    <row r="490">
      <c r="H490" s="65"/>
    </row>
    <row r="491">
      <c r="H491" s="65"/>
    </row>
    <row r="492">
      <c r="H492" s="65"/>
    </row>
    <row r="493">
      <c r="H493" s="65"/>
    </row>
    <row r="494">
      <c r="H494" s="65"/>
    </row>
    <row r="495">
      <c r="H495" s="65"/>
    </row>
    <row r="496">
      <c r="H496" s="65"/>
    </row>
    <row r="497">
      <c r="H497" s="65"/>
    </row>
    <row r="498">
      <c r="H498" s="65"/>
    </row>
    <row r="499">
      <c r="H499" s="65"/>
    </row>
    <row r="500">
      <c r="H500" s="65"/>
    </row>
    <row r="501">
      <c r="H501" s="65"/>
    </row>
    <row r="502">
      <c r="H502" s="65"/>
    </row>
    <row r="503">
      <c r="H503" s="65"/>
    </row>
    <row r="504">
      <c r="H504" s="65"/>
    </row>
    <row r="505">
      <c r="H505" s="65"/>
    </row>
    <row r="506">
      <c r="H506" s="65"/>
    </row>
    <row r="507">
      <c r="H507" s="65"/>
    </row>
    <row r="508">
      <c r="H508" s="65"/>
    </row>
    <row r="509">
      <c r="H509" s="65"/>
    </row>
    <row r="510">
      <c r="H510" s="65"/>
    </row>
    <row r="511">
      <c r="H511" s="65"/>
    </row>
    <row r="512">
      <c r="H512" s="65"/>
    </row>
    <row r="513">
      <c r="H513" s="65"/>
    </row>
    <row r="514">
      <c r="H514" s="65"/>
    </row>
    <row r="515">
      <c r="H515" s="65"/>
    </row>
    <row r="516">
      <c r="H516" s="65"/>
    </row>
    <row r="517">
      <c r="H517" s="65"/>
    </row>
    <row r="518">
      <c r="H518" s="65"/>
    </row>
    <row r="519">
      <c r="H519" s="65"/>
    </row>
    <row r="520">
      <c r="H520" s="65"/>
    </row>
    <row r="521">
      <c r="H521" s="65"/>
    </row>
    <row r="522">
      <c r="H522" s="65"/>
    </row>
    <row r="523">
      <c r="H523" s="65"/>
    </row>
    <row r="524">
      <c r="H524" s="65"/>
    </row>
    <row r="525">
      <c r="H525" s="65"/>
    </row>
    <row r="526">
      <c r="H526" s="65"/>
    </row>
    <row r="527">
      <c r="H527" s="65"/>
    </row>
    <row r="528">
      <c r="H528" s="65"/>
    </row>
    <row r="529">
      <c r="H529" s="65"/>
    </row>
    <row r="530">
      <c r="H530" s="65"/>
    </row>
    <row r="531">
      <c r="H531" s="65"/>
    </row>
    <row r="532">
      <c r="H532" s="65"/>
    </row>
    <row r="533">
      <c r="H533" s="65"/>
    </row>
    <row r="534">
      <c r="H534" s="65"/>
    </row>
    <row r="535">
      <c r="H535" s="65"/>
    </row>
    <row r="536">
      <c r="H536" s="65"/>
    </row>
    <row r="537">
      <c r="H537" s="65"/>
    </row>
    <row r="538">
      <c r="H538" s="65"/>
    </row>
    <row r="539">
      <c r="H539" s="65"/>
    </row>
    <row r="540">
      <c r="H540" s="65"/>
    </row>
    <row r="541">
      <c r="H541" s="65"/>
    </row>
    <row r="542">
      <c r="H542" s="65"/>
    </row>
    <row r="543">
      <c r="H543" s="65"/>
    </row>
    <row r="544">
      <c r="H544" s="65"/>
    </row>
    <row r="545">
      <c r="H545" s="65"/>
    </row>
    <row r="546">
      <c r="H546" s="65"/>
    </row>
    <row r="547">
      <c r="H547" s="65"/>
    </row>
    <row r="548">
      <c r="H548" s="65"/>
    </row>
    <row r="549">
      <c r="H549" s="65"/>
    </row>
    <row r="550">
      <c r="H550" s="65"/>
    </row>
    <row r="551">
      <c r="H551" s="65"/>
    </row>
    <row r="552">
      <c r="H552" s="65"/>
    </row>
    <row r="553">
      <c r="H553" s="65"/>
    </row>
    <row r="554">
      <c r="H554" s="65"/>
    </row>
    <row r="555">
      <c r="H555" s="65"/>
    </row>
    <row r="556">
      <c r="H556" s="65"/>
    </row>
    <row r="557">
      <c r="H557" s="65"/>
    </row>
    <row r="558">
      <c r="H558" s="65"/>
    </row>
    <row r="559">
      <c r="H559" s="65"/>
    </row>
    <row r="560">
      <c r="H560" s="65"/>
    </row>
    <row r="561">
      <c r="H561" s="65"/>
    </row>
    <row r="562">
      <c r="H562" s="65"/>
    </row>
    <row r="563">
      <c r="H563" s="65"/>
    </row>
    <row r="564">
      <c r="H564" s="65"/>
    </row>
    <row r="565">
      <c r="H565" s="65"/>
    </row>
    <row r="566">
      <c r="H566" s="65"/>
    </row>
    <row r="567">
      <c r="H567" s="65"/>
    </row>
    <row r="568">
      <c r="H568" s="65"/>
    </row>
    <row r="569">
      <c r="H569" s="65"/>
    </row>
    <row r="570">
      <c r="H570" s="65"/>
    </row>
    <row r="571">
      <c r="H571" s="65"/>
    </row>
    <row r="572">
      <c r="H572" s="65"/>
    </row>
    <row r="573">
      <c r="H573" s="65"/>
    </row>
    <row r="574">
      <c r="H574" s="65"/>
    </row>
    <row r="575">
      <c r="H575" s="65"/>
    </row>
    <row r="576">
      <c r="H576" s="65"/>
    </row>
    <row r="577">
      <c r="H577" s="65"/>
    </row>
    <row r="578">
      <c r="H578" s="65"/>
    </row>
    <row r="579">
      <c r="H579" s="65"/>
    </row>
    <row r="580">
      <c r="H580" s="65"/>
    </row>
    <row r="581">
      <c r="H581" s="65"/>
    </row>
    <row r="582">
      <c r="H582" s="65"/>
    </row>
    <row r="583">
      <c r="H583" s="65"/>
    </row>
    <row r="584">
      <c r="H584" s="65"/>
    </row>
    <row r="585">
      <c r="H585" s="65"/>
    </row>
    <row r="586">
      <c r="H586" s="65"/>
    </row>
    <row r="587">
      <c r="H587" s="65"/>
    </row>
    <row r="588">
      <c r="H588" s="65"/>
    </row>
    <row r="589">
      <c r="H589" s="65"/>
    </row>
    <row r="590">
      <c r="H590" s="65"/>
    </row>
    <row r="591">
      <c r="H591" s="65"/>
    </row>
    <row r="592">
      <c r="H592" s="65"/>
    </row>
    <row r="593">
      <c r="H593" s="65"/>
    </row>
    <row r="594">
      <c r="H594" s="65"/>
    </row>
    <row r="595">
      <c r="H595" s="65"/>
    </row>
    <row r="596">
      <c r="H596" s="65"/>
    </row>
    <row r="597">
      <c r="H597" s="65"/>
    </row>
    <row r="598">
      <c r="H598" s="65"/>
    </row>
    <row r="599">
      <c r="H599" s="65"/>
    </row>
    <row r="600">
      <c r="H600" s="65"/>
    </row>
    <row r="601">
      <c r="H601" s="65"/>
    </row>
    <row r="602">
      <c r="H602" s="65"/>
    </row>
    <row r="603">
      <c r="H603" s="65"/>
    </row>
    <row r="604">
      <c r="H604" s="65"/>
    </row>
    <row r="605">
      <c r="H605" s="65"/>
    </row>
    <row r="606">
      <c r="H606" s="65"/>
    </row>
    <row r="607">
      <c r="H607" s="65"/>
    </row>
    <row r="608">
      <c r="H608" s="65"/>
    </row>
    <row r="609">
      <c r="H609" s="65"/>
    </row>
    <row r="610">
      <c r="H610" s="65"/>
    </row>
    <row r="611">
      <c r="H611" s="65"/>
    </row>
    <row r="612">
      <c r="H612" s="65"/>
    </row>
    <row r="613">
      <c r="H613" s="65"/>
    </row>
    <row r="614">
      <c r="H614" s="65"/>
    </row>
    <row r="615">
      <c r="H615" s="65"/>
    </row>
    <row r="616">
      <c r="H616" s="65"/>
    </row>
    <row r="617">
      <c r="H617" s="65"/>
    </row>
    <row r="618">
      <c r="H618" s="65"/>
    </row>
    <row r="619">
      <c r="H619" s="65"/>
    </row>
    <row r="620">
      <c r="H620" s="65"/>
    </row>
    <row r="621">
      <c r="H621" s="65"/>
    </row>
    <row r="622">
      <c r="H622" s="65"/>
    </row>
    <row r="623">
      <c r="H623" s="65"/>
    </row>
    <row r="624">
      <c r="H624" s="65"/>
    </row>
    <row r="625">
      <c r="H625" s="65"/>
    </row>
    <row r="626">
      <c r="H626" s="65"/>
    </row>
    <row r="627">
      <c r="H627" s="65"/>
    </row>
    <row r="628">
      <c r="H628" s="65"/>
    </row>
    <row r="629">
      <c r="H629" s="65"/>
    </row>
    <row r="630">
      <c r="H630" s="65"/>
    </row>
    <row r="631">
      <c r="H631" s="65"/>
    </row>
    <row r="632">
      <c r="H632" s="65"/>
    </row>
    <row r="633">
      <c r="H633" s="65"/>
    </row>
    <row r="634">
      <c r="H634" s="65"/>
    </row>
    <row r="635">
      <c r="H635" s="65"/>
    </row>
    <row r="636">
      <c r="H636" s="65"/>
    </row>
    <row r="637">
      <c r="H637" s="65"/>
    </row>
    <row r="638">
      <c r="H638" s="65"/>
    </row>
    <row r="639">
      <c r="H639" s="65"/>
    </row>
    <row r="640">
      <c r="H640" s="65"/>
    </row>
    <row r="641">
      <c r="H641" s="65"/>
    </row>
    <row r="642">
      <c r="H642" s="65"/>
    </row>
    <row r="643">
      <c r="H643" s="65"/>
    </row>
    <row r="644">
      <c r="H644" s="65"/>
    </row>
    <row r="645">
      <c r="H645" s="65"/>
    </row>
    <row r="646">
      <c r="H646" s="65"/>
    </row>
    <row r="647">
      <c r="H647" s="65"/>
    </row>
    <row r="648">
      <c r="H648" s="65"/>
    </row>
    <row r="649">
      <c r="H649" s="65"/>
    </row>
    <row r="650">
      <c r="H650" s="65"/>
    </row>
    <row r="651">
      <c r="H651" s="65"/>
    </row>
    <row r="652">
      <c r="H652" s="65"/>
    </row>
    <row r="653">
      <c r="H653" s="65"/>
    </row>
    <row r="654">
      <c r="H654" s="65"/>
    </row>
    <row r="655">
      <c r="H655" s="65"/>
    </row>
    <row r="656">
      <c r="H656" s="65"/>
    </row>
    <row r="657">
      <c r="H657" s="65"/>
    </row>
    <row r="658">
      <c r="H658" s="65"/>
    </row>
    <row r="659">
      <c r="H659" s="65"/>
    </row>
    <row r="660">
      <c r="H660" s="65"/>
    </row>
    <row r="661">
      <c r="H661" s="65"/>
    </row>
    <row r="662">
      <c r="H662" s="65"/>
    </row>
    <row r="663">
      <c r="H663" s="65"/>
    </row>
    <row r="664">
      <c r="H664" s="65"/>
    </row>
    <row r="665">
      <c r="H665" s="65"/>
    </row>
    <row r="666">
      <c r="H666" s="65"/>
    </row>
    <row r="667">
      <c r="H667" s="65"/>
    </row>
    <row r="668">
      <c r="H668" s="65"/>
    </row>
    <row r="669">
      <c r="H669" s="65"/>
    </row>
    <row r="670">
      <c r="H670" s="65"/>
    </row>
    <row r="671">
      <c r="H671" s="65"/>
    </row>
    <row r="672">
      <c r="H672" s="65"/>
    </row>
    <row r="673">
      <c r="H673" s="65"/>
    </row>
    <row r="674">
      <c r="H674" s="65"/>
    </row>
    <row r="675">
      <c r="H675" s="65"/>
    </row>
    <row r="676">
      <c r="H676" s="65"/>
    </row>
    <row r="677">
      <c r="H677" s="65"/>
    </row>
    <row r="678">
      <c r="H678" s="65"/>
    </row>
    <row r="679">
      <c r="H679" s="65"/>
    </row>
    <row r="680">
      <c r="H680" s="65"/>
    </row>
    <row r="681">
      <c r="H681" s="65"/>
    </row>
    <row r="682">
      <c r="H682" s="65"/>
    </row>
    <row r="683">
      <c r="H683" s="65"/>
    </row>
    <row r="684">
      <c r="H684" s="65"/>
    </row>
    <row r="685">
      <c r="H685" s="65"/>
    </row>
    <row r="686">
      <c r="H686" s="65"/>
    </row>
    <row r="687">
      <c r="H687" s="65"/>
    </row>
    <row r="688">
      <c r="H688" s="65"/>
    </row>
    <row r="689">
      <c r="H689" s="65"/>
    </row>
    <row r="690">
      <c r="H690" s="65"/>
    </row>
    <row r="691">
      <c r="H691" s="65"/>
    </row>
    <row r="692">
      <c r="H692" s="65"/>
    </row>
    <row r="693">
      <c r="H693" s="65"/>
    </row>
    <row r="694">
      <c r="H694" s="65"/>
    </row>
    <row r="695">
      <c r="H695" s="65"/>
    </row>
    <row r="696">
      <c r="H696" s="65"/>
    </row>
    <row r="697">
      <c r="H697" s="65"/>
    </row>
    <row r="698">
      <c r="H698" s="65"/>
    </row>
    <row r="699">
      <c r="H699" s="65"/>
    </row>
    <row r="700">
      <c r="H700" s="65"/>
    </row>
    <row r="701">
      <c r="H701" s="65"/>
    </row>
    <row r="702">
      <c r="H702" s="65"/>
    </row>
    <row r="703">
      <c r="H703" s="65"/>
    </row>
    <row r="704">
      <c r="H704" s="65"/>
    </row>
    <row r="705">
      <c r="H705" s="65"/>
    </row>
    <row r="706">
      <c r="H706" s="65"/>
    </row>
    <row r="707">
      <c r="H707" s="65"/>
    </row>
    <row r="708">
      <c r="H708" s="65"/>
    </row>
    <row r="709">
      <c r="H709" s="65"/>
    </row>
    <row r="710">
      <c r="H710" s="65"/>
    </row>
    <row r="711">
      <c r="H711" s="65"/>
    </row>
    <row r="712">
      <c r="H712" s="65"/>
    </row>
    <row r="713">
      <c r="H713" s="65"/>
    </row>
    <row r="714">
      <c r="H714" s="65"/>
    </row>
    <row r="715">
      <c r="H715" s="65"/>
    </row>
    <row r="716">
      <c r="H716" s="65"/>
    </row>
    <row r="717">
      <c r="H717" s="65"/>
    </row>
    <row r="718">
      <c r="H718" s="65"/>
    </row>
    <row r="719">
      <c r="H719" s="65"/>
    </row>
    <row r="720">
      <c r="H720" s="65"/>
    </row>
    <row r="721">
      <c r="H721" s="65"/>
    </row>
    <row r="722">
      <c r="H722" s="65"/>
    </row>
    <row r="723">
      <c r="H723" s="65"/>
    </row>
    <row r="724">
      <c r="H724" s="65"/>
    </row>
    <row r="725">
      <c r="H725" s="65"/>
    </row>
    <row r="726">
      <c r="H726" s="65"/>
    </row>
    <row r="727">
      <c r="H727" s="65"/>
    </row>
    <row r="728">
      <c r="H728" s="65"/>
    </row>
    <row r="729">
      <c r="H729" s="65"/>
    </row>
    <row r="730">
      <c r="H730" s="65"/>
    </row>
    <row r="731">
      <c r="H731" s="65"/>
    </row>
    <row r="732">
      <c r="H732" s="65"/>
    </row>
    <row r="733">
      <c r="H733" s="65"/>
    </row>
    <row r="734">
      <c r="H734" s="65"/>
    </row>
    <row r="735">
      <c r="H735" s="65"/>
    </row>
    <row r="736">
      <c r="H736" s="65"/>
    </row>
    <row r="737">
      <c r="H737" s="65"/>
    </row>
    <row r="738">
      <c r="H738" s="65"/>
    </row>
    <row r="739">
      <c r="H739" s="65"/>
    </row>
    <row r="740">
      <c r="H740" s="65"/>
    </row>
    <row r="741">
      <c r="H741" s="65"/>
    </row>
    <row r="742">
      <c r="H742" s="65"/>
    </row>
    <row r="743">
      <c r="H743" s="65"/>
    </row>
    <row r="744">
      <c r="H744" s="65"/>
    </row>
    <row r="745">
      <c r="H745" s="65"/>
    </row>
    <row r="746">
      <c r="H746" s="65"/>
    </row>
    <row r="747">
      <c r="H747" s="65"/>
    </row>
    <row r="748">
      <c r="H748" s="65"/>
    </row>
    <row r="749">
      <c r="H749" s="65"/>
    </row>
    <row r="750">
      <c r="H750" s="65"/>
    </row>
    <row r="751">
      <c r="H751" s="65"/>
    </row>
    <row r="752">
      <c r="H752" s="65"/>
    </row>
    <row r="753">
      <c r="H753" s="65"/>
    </row>
    <row r="754">
      <c r="H754" s="65"/>
    </row>
    <row r="755">
      <c r="H755" s="65"/>
    </row>
    <row r="756">
      <c r="H756" s="65"/>
    </row>
    <row r="757">
      <c r="H757" s="65"/>
    </row>
    <row r="758">
      <c r="H758" s="65"/>
    </row>
    <row r="759">
      <c r="H759" s="65"/>
    </row>
    <row r="760">
      <c r="H760" s="65"/>
    </row>
    <row r="761">
      <c r="H761" s="65"/>
    </row>
    <row r="762">
      <c r="H762" s="65"/>
    </row>
    <row r="763">
      <c r="H763" s="65"/>
    </row>
    <row r="764">
      <c r="H764" s="65"/>
    </row>
    <row r="765">
      <c r="H765" s="65"/>
    </row>
    <row r="766">
      <c r="H766" s="65"/>
    </row>
    <row r="767">
      <c r="H767" s="65"/>
    </row>
    <row r="768">
      <c r="H768" s="65"/>
    </row>
    <row r="769">
      <c r="H769" s="65"/>
    </row>
    <row r="770">
      <c r="H770" s="65"/>
    </row>
    <row r="771">
      <c r="H771" s="65"/>
    </row>
    <row r="772">
      <c r="H772" s="65"/>
    </row>
    <row r="773">
      <c r="H773" s="65"/>
    </row>
    <row r="774">
      <c r="H774" s="65"/>
    </row>
    <row r="775">
      <c r="H775" s="65"/>
    </row>
    <row r="776">
      <c r="H776" s="65"/>
    </row>
    <row r="777">
      <c r="H777" s="65"/>
    </row>
    <row r="778">
      <c r="H778" s="65"/>
    </row>
    <row r="779">
      <c r="H779" s="65"/>
    </row>
    <row r="780">
      <c r="H780" s="65"/>
    </row>
    <row r="781">
      <c r="H781" s="65"/>
    </row>
    <row r="782">
      <c r="H782" s="65"/>
    </row>
    <row r="783">
      <c r="H783" s="65"/>
    </row>
    <row r="784">
      <c r="H784" s="65"/>
    </row>
    <row r="785">
      <c r="H785" s="65"/>
    </row>
    <row r="786">
      <c r="H786" s="65"/>
    </row>
    <row r="787">
      <c r="H787" s="65"/>
    </row>
    <row r="788">
      <c r="H788" s="65"/>
    </row>
    <row r="789">
      <c r="H789" s="65"/>
    </row>
    <row r="790">
      <c r="H790" s="65"/>
    </row>
    <row r="791">
      <c r="H791" s="65"/>
    </row>
    <row r="792">
      <c r="H792" s="65"/>
    </row>
    <row r="793">
      <c r="H793" s="65"/>
    </row>
    <row r="794">
      <c r="H794" s="65"/>
    </row>
    <row r="795">
      <c r="H795" s="65"/>
    </row>
    <row r="796">
      <c r="H796" s="65"/>
    </row>
    <row r="797">
      <c r="H797" s="65"/>
    </row>
    <row r="798">
      <c r="H798" s="65"/>
    </row>
    <row r="799">
      <c r="H799" s="65"/>
    </row>
    <row r="800">
      <c r="H800" s="65"/>
    </row>
    <row r="801">
      <c r="H801" s="65"/>
    </row>
    <row r="802">
      <c r="H802" s="65"/>
    </row>
    <row r="803">
      <c r="H803" s="65"/>
    </row>
    <row r="804">
      <c r="H804" s="65"/>
    </row>
    <row r="805">
      <c r="H805" s="65"/>
    </row>
    <row r="806">
      <c r="H806" s="65"/>
    </row>
    <row r="807">
      <c r="H807" s="65"/>
    </row>
    <row r="808">
      <c r="H808" s="65"/>
    </row>
    <row r="809">
      <c r="H809" s="65"/>
    </row>
    <row r="810">
      <c r="H810" s="65"/>
    </row>
    <row r="811">
      <c r="H811" s="65"/>
    </row>
    <row r="812">
      <c r="H812" s="65"/>
    </row>
    <row r="813">
      <c r="H813" s="65"/>
    </row>
    <row r="814">
      <c r="H814" s="65"/>
    </row>
    <row r="815">
      <c r="H815" s="65"/>
    </row>
    <row r="816">
      <c r="H816" s="65"/>
    </row>
    <row r="817">
      <c r="H817" s="65"/>
    </row>
    <row r="818">
      <c r="H818" s="65"/>
    </row>
    <row r="819">
      <c r="H819" s="65"/>
    </row>
    <row r="820">
      <c r="H820" s="65"/>
    </row>
    <row r="821">
      <c r="H821" s="65"/>
    </row>
    <row r="822">
      <c r="H822" s="65"/>
    </row>
    <row r="823">
      <c r="H823" s="65"/>
    </row>
    <row r="824">
      <c r="H824" s="65"/>
    </row>
    <row r="825">
      <c r="H825" s="65"/>
    </row>
    <row r="826">
      <c r="H826" s="65"/>
    </row>
    <row r="827">
      <c r="H827" s="65"/>
    </row>
    <row r="828">
      <c r="H828" s="65"/>
    </row>
    <row r="829">
      <c r="H829" s="65"/>
    </row>
    <row r="830">
      <c r="H830" s="65"/>
    </row>
    <row r="831">
      <c r="H831" s="65"/>
    </row>
    <row r="832">
      <c r="H832" s="65"/>
    </row>
    <row r="833">
      <c r="H833" s="65"/>
    </row>
    <row r="834">
      <c r="H834" s="65"/>
    </row>
    <row r="835">
      <c r="H835" s="65"/>
    </row>
    <row r="836">
      <c r="H836" s="65"/>
    </row>
    <row r="837">
      <c r="H837" s="65"/>
    </row>
    <row r="838">
      <c r="H838" s="65"/>
    </row>
    <row r="839">
      <c r="H839" s="65"/>
    </row>
    <row r="840">
      <c r="H840" s="65"/>
    </row>
    <row r="841">
      <c r="H841" s="65"/>
    </row>
    <row r="842">
      <c r="H842" s="65"/>
    </row>
    <row r="843">
      <c r="H843" s="65"/>
    </row>
    <row r="844">
      <c r="H844" s="65"/>
    </row>
    <row r="845">
      <c r="H845" s="65"/>
    </row>
    <row r="846">
      <c r="H846" s="65"/>
    </row>
    <row r="847">
      <c r="H847" s="65"/>
    </row>
    <row r="848">
      <c r="H848" s="65"/>
    </row>
    <row r="849">
      <c r="H849" s="65"/>
    </row>
    <row r="850">
      <c r="H850" s="65"/>
    </row>
    <row r="851">
      <c r="H851" s="65"/>
    </row>
    <row r="852">
      <c r="H852" s="65"/>
    </row>
    <row r="853">
      <c r="H853" s="65"/>
    </row>
    <row r="854">
      <c r="H854" s="65"/>
    </row>
    <row r="855">
      <c r="H855" s="65"/>
    </row>
    <row r="856">
      <c r="H856" s="65"/>
    </row>
    <row r="857">
      <c r="H857" s="65"/>
    </row>
    <row r="858">
      <c r="H858" s="65"/>
    </row>
    <row r="859">
      <c r="H859" s="65"/>
    </row>
    <row r="860">
      <c r="H860" s="65"/>
    </row>
    <row r="861">
      <c r="H861" s="65"/>
    </row>
    <row r="862">
      <c r="H862" s="65"/>
    </row>
    <row r="863">
      <c r="H863" s="65"/>
    </row>
    <row r="864">
      <c r="H864" s="65"/>
    </row>
    <row r="865">
      <c r="H865" s="65"/>
    </row>
    <row r="866">
      <c r="H866" s="65"/>
    </row>
    <row r="867">
      <c r="H867" s="65"/>
    </row>
    <row r="868">
      <c r="H868" s="65"/>
    </row>
    <row r="869">
      <c r="H869" s="65"/>
    </row>
    <row r="870">
      <c r="H870" s="65"/>
    </row>
    <row r="871">
      <c r="H871" s="65"/>
    </row>
    <row r="872">
      <c r="H872" s="65"/>
    </row>
    <row r="873">
      <c r="H873" s="65"/>
    </row>
    <row r="874">
      <c r="H874" s="65"/>
    </row>
    <row r="875">
      <c r="H875" s="65"/>
    </row>
    <row r="876">
      <c r="H876" s="65"/>
    </row>
    <row r="877">
      <c r="H877" s="65"/>
    </row>
    <row r="878">
      <c r="H878" s="65"/>
    </row>
    <row r="879">
      <c r="H879" s="65"/>
    </row>
    <row r="880">
      <c r="H880" s="65"/>
    </row>
    <row r="881">
      <c r="H881" s="65"/>
    </row>
    <row r="882">
      <c r="H882" s="65"/>
    </row>
    <row r="883">
      <c r="H883" s="65"/>
    </row>
    <row r="884">
      <c r="H884" s="65"/>
    </row>
    <row r="885">
      <c r="H885" s="65"/>
    </row>
    <row r="886">
      <c r="H886" s="65"/>
    </row>
    <row r="887">
      <c r="H887" s="65"/>
    </row>
    <row r="888">
      <c r="H888" s="65"/>
    </row>
    <row r="889">
      <c r="H889" s="65"/>
    </row>
    <row r="890">
      <c r="H890" s="65"/>
    </row>
    <row r="891">
      <c r="H891" s="65"/>
    </row>
    <row r="892">
      <c r="H892" s="65"/>
    </row>
    <row r="893">
      <c r="H893" s="65"/>
    </row>
    <row r="894">
      <c r="H894" s="65"/>
    </row>
    <row r="895">
      <c r="H895" s="65"/>
    </row>
    <row r="896">
      <c r="H896" s="65"/>
    </row>
    <row r="897">
      <c r="H897" s="65"/>
    </row>
    <row r="898">
      <c r="H898" s="65"/>
    </row>
    <row r="899">
      <c r="H899" s="65"/>
    </row>
    <row r="900">
      <c r="H900" s="65"/>
    </row>
    <row r="901">
      <c r="H901" s="65"/>
    </row>
    <row r="902">
      <c r="H902" s="65"/>
    </row>
    <row r="903">
      <c r="H903" s="65"/>
    </row>
    <row r="904">
      <c r="H904" s="65"/>
    </row>
    <row r="905">
      <c r="H905" s="65"/>
    </row>
    <row r="906">
      <c r="H906" s="65"/>
    </row>
    <row r="907">
      <c r="H907" s="65"/>
    </row>
    <row r="908">
      <c r="H908" s="65"/>
    </row>
    <row r="909">
      <c r="H909" s="65"/>
    </row>
    <row r="910">
      <c r="H910" s="65"/>
    </row>
    <row r="911">
      <c r="H911" s="65"/>
    </row>
    <row r="912">
      <c r="H912" s="65"/>
    </row>
    <row r="913">
      <c r="H913" s="65"/>
    </row>
    <row r="914">
      <c r="H914" s="65"/>
    </row>
    <row r="915">
      <c r="H915" s="65"/>
    </row>
    <row r="916">
      <c r="H916" s="65"/>
    </row>
    <row r="917">
      <c r="H917" s="65"/>
    </row>
    <row r="918">
      <c r="H918" s="65"/>
    </row>
    <row r="919">
      <c r="H919" s="65"/>
    </row>
    <row r="920">
      <c r="H920" s="65"/>
    </row>
    <row r="921">
      <c r="H921" s="65"/>
    </row>
    <row r="922">
      <c r="H922" s="65"/>
    </row>
    <row r="923">
      <c r="H923" s="65"/>
    </row>
    <row r="924">
      <c r="H924" s="65"/>
    </row>
    <row r="925">
      <c r="H925" s="65"/>
    </row>
    <row r="926">
      <c r="H926" s="65"/>
    </row>
    <row r="927">
      <c r="H927" s="65"/>
    </row>
    <row r="928">
      <c r="H928" s="65"/>
    </row>
    <row r="929">
      <c r="H929" s="65"/>
    </row>
    <row r="930">
      <c r="H930" s="65"/>
    </row>
    <row r="931">
      <c r="H931" s="65"/>
    </row>
    <row r="932">
      <c r="H932" s="65"/>
    </row>
    <row r="933">
      <c r="H933" s="65"/>
    </row>
    <row r="934">
      <c r="H934" s="65"/>
    </row>
    <row r="935">
      <c r="H935" s="65"/>
    </row>
    <row r="936">
      <c r="H936" s="65"/>
    </row>
    <row r="937">
      <c r="H937" s="65"/>
    </row>
    <row r="938">
      <c r="H938" s="65"/>
    </row>
    <row r="939">
      <c r="H939" s="65"/>
    </row>
    <row r="940">
      <c r="H940" s="65"/>
    </row>
    <row r="941">
      <c r="H941" s="65"/>
    </row>
    <row r="942">
      <c r="H942" s="65"/>
    </row>
    <row r="943">
      <c r="H943" s="65"/>
    </row>
    <row r="944">
      <c r="H944" s="65"/>
    </row>
    <row r="945">
      <c r="H945" s="65"/>
    </row>
    <row r="946">
      <c r="H946" s="65"/>
    </row>
    <row r="947">
      <c r="H947" s="65"/>
    </row>
    <row r="948">
      <c r="H948" s="65"/>
    </row>
    <row r="949">
      <c r="H949" s="65"/>
    </row>
    <row r="950">
      <c r="H950" s="65"/>
    </row>
    <row r="951">
      <c r="H951" s="65"/>
    </row>
    <row r="952">
      <c r="H952" s="65"/>
    </row>
    <row r="953">
      <c r="H953" s="65"/>
    </row>
    <row r="954">
      <c r="H954" s="65"/>
    </row>
    <row r="955">
      <c r="H955" s="65"/>
    </row>
    <row r="956">
      <c r="H956" s="65"/>
    </row>
    <row r="957">
      <c r="H957" s="65"/>
    </row>
    <row r="958">
      <c r="H958" s="65"/>
    </row>
    <row r="959">
      <c r="H959" s="65"/>
    </row>
    <row r="960">
      <c r="H960" s="65"/>
    </row>
    <row r="961">
      <c r="H961" s="65"/>
    </row>
    <row r="962">
      <c r="H962" s="65"/>
    </row>
    <row r="963">
      <c r="H963" s="65"/>
    </row>
    <row r="964">
      <c r="H964" s="65"/>
    </row>
    <row r="965">
      <c r="H965" s="65"/>
    </row>
    <row r="966">
      <c r="H966" s="65"/>
    </row>
    <row r="967">
      <c r="H967" s="65"/>
    </row>
    <row r="968">
      <c r="H968" s="65"/>
    </row>
    <row r="969">
      <c r="H969" s="65"/>
    </row>
    <row r="970">
      <c r="H970" s="65"/>
    </row>
    <row r="971">
      <c r="H971" s="65"/>
    </row>
    <row r="972">
      <c r="H972" s="65"/>
    </row>
    <row r="973">
      <c r="H973" s="65"/>
    </row>
    <row r="974">
      <c r="H974" s="65"/>
    </row>
    <row r="975">
      <c r="H975" s="65"/>
    </row>
    <row r="976">
      <c r="H976" s="65"/>
    </row>
    <row r="977">
      <c r="H977" s="65"/>
    </row>
    <row r="978">
      <c r="H978" s="65"/>
    </row>
    <row r="979">
      <c r="H979" s="65"/>
    </row>
    <row r="980">
      <c r="H980" s="65"/>
    </row>
    <row r="981">
      <c r="H981" s="65"/>
    </row>
    <row r="982">
      <c r="H982" s="65"/>
    </row>
    <row r="983">
      <c r="H983" s="65"/>
    </row>
    <row r="984">
      <c r="H984" s="65"/>
    </row>
    <row r="985">
      <c r="H985" s="65"/>
    </row>
    <row r="986">
      <c r="H986" s="65"/>
    </row>
    <row r="987">
      <c r="H987" s="65"/>
    </row>
    <row r="988">
      <c r="H988" s="65"/>
    </row>
    <row r="989">
      <c r="H989" s="65"/>
    </row>
    <row r="990">
      <c r="H990" s="65"/>
    </row>
    <row r="991">
      <c r="H991" s="65"/>
    </row>
    <row r="992">
      <c r="H992" s="65"/>
    </row>
    <row r="993">
      <c r="H993" s="65"/>
    </row>
    <row r="994">
      <c r="H994" s="65"/>
    </row>
    <row r="995">
      <c r="H995" s="65"/>
    </row>
    <row r="996">
      <c r="H996" s="65"/>
    </row>
    <row r="997">
      <c r="H997" s="65"/>
    </row>
    <row r="998">
      <c r="H998" s="65"/>
    </row>
    <row r="999">
      <c r="H999" s="65"/>
    </row>
    <row r="1000">
      <c r="H1000" s="65"/>
    </row>
    <row r="1001">
      <c r="H1001" s="65"/>
    </row>
    <row r="1002">
      <c r="H1002" s="65"/>
    </row>
    <row r="1003">
      <c r="H1003" s="65"/>
    </row>
  </sheetData>
  <mergeCells count="1">
    <mergeCell ref="B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5" max="5" width="18.0"/>
    <col customWidth="1" min="8" max="8" width="17.14"/>
  </cols>
  <sheetData>
    <row r="1">
      <c r="A1" s="70">
        <v>2012.0</v>
      </c>
      <c r="B1" s="9"/>
      <c r="C1" s="9"/>
      <c r="D1" s="9"/>
      <c r="E1" s="10"/>
      <c r="F1" s="70">
        <v>2024.0</v>
      </c>
      <c r="G1" s="9"/>
      <c r="H1" s="10"/>
      <c r="I1" s="69"/>
    </row>
    <row r="2" ht="23.25" customHeight="1">
      <c r="A2" s="71" t="s">
        <v>523</v>
      </c>
      <c r="B2" s="71" t="s">
        <v>451</v>
      </c>
      <c r="C2" s="70" t="s">
        <v>524</v>
      </c>
      <c r="D2" s="10"/>
      <c r="E2" s="72" t="s">
        <v>454</v>
      </c>
      <c r="F2" s="70" t="s">
        <v>524</v>
      </c>
      <c r="G2" s="10"/>
      <c r="H2" s="72" t="s">
        <v>454</v>
      </c>
      <c r="I2" s="69"/>
    </row>
    <row r="3" ht="23.25" customHeight="1">
      <c r="A3" s="73"/>
      <c r="B3" s="73"/>
      <c r="C3" s="74" t="s">
        <v>452</v>
      </c>
      <c r="D3" s="74" t="s">
        <v>453</v>
      </c>
      <c r="E3" s="73"/>
      <c r="F3" s="74" t="s">
        <v>452</v>
      </c>
      <c r="G3" s="74" t="s">
        <v>453</v>
      </c>
      <c r="H3" s="73"/>
      <c r="I3" s="69"/>
    </row>
    <row r="4" ht="42.75" customHeight="1">
      <c r="A4" s="75"/>
      <c r="B4" s="75"/>
      <c r="C4" s="76" t="s">
        <v>525</v>
      </c>
      <c r="D4" s="76" t="s">
        <v>525</v>
      </c>
      <c r="E4" s="75"/>
      <c r="F4" s="76" t="s">
        <v>525</v>
      </c>
      <c r="G4" s="76" t="s">
        <v>525</v>
      </c>
      <c r="H4" s="75"/>
      <c r="I4" s="69"/>
      <c r="J4" s="77" t="s">
        <v>17</v>
      </c>
      <c r="K4" s="77" t="s">
        <v>526</v>
      </c>
      <c r="L4" s="77" t="s">
        <v>527</v>
      </c>
      <c r="M4" s="77" t="s">
        <v>528</v>
      </c>
      <c r="N4" s="77" t="s">
        <v>529</v>
      </c>
      <c r="O4" s="77" t="s">
        <v>530</v>
      </c>
      <c r="P4" s="77" t="s">
        <v>531</v>
      </c>
    </row>
    <row r="5">
      <c r="A5" s="78">
        <v>10101.0</v>
      </c>
      <c r="B5" s="78" t="s">
        <v>22</v>
      </c>
      <c r="C5" s="79">
        <v>12679.0</v>
      </c>
      <c r="D5" s="79">
        <v>57270.0</v>
      </c>
      <c r="E5" s="80">
        <v>18.1260633</v>
      </c>
      <c r="F5" s="79">
        <v>9282.0</v>
      </c>
      <c r="G5" s="79">
        <v>83249.0</v>
      </c>
      <c r="H5" s="80">
        <v>10.0312328</v>
      </c>
      <c r="I5" s="69"/>
      <c r="J5" s="78" t="s">
        <v>18</v>
      </c>
      <c r="K5" s="81">
        <v>65279.0</v>
      </c>
      <c r="L5" s="81">
        <v>84802.0</v>
      </c>
      <c r="M5" s="82">
        <v>43.4958456</v>
      </c>
      <c r="N5" s="79">
        <v>52911.0</v>
      </c>
      <c r="O5" s="79">
        <v>132058.0</v>
      </c>
      <c r="P5" s="80">
        <v>28.6053339</v>
      </c>
      <c r="Q5" s="69"/>
    </row>
    <row r="6">
      <c r="A6" s="78">
        <v>10102.0</v>
      </c>
      <c r="B6" s="78" t="s">
        <v>23</v>
      </c>
      <c r="C6" s="79">
        <v>1074.0</v>
      </c>
      <c r="D6" s="79">
        <v>1572.0</v>
      </c>
      <c r="E6" s="80">
        <v>40.5895692</v>
      </c>
      <c r="F6" s="79">
        <v>816.0</v>
      </c>
      <c r="G6" s="79">
        <v>2240.0</v>
      </c>
      <c r="H6" s="80">
        <v>26.7015707</v>
      </c>
      <c r="I6" s="69"/>
      <c r="J6" s="78" t="s">
        <v>56</v>
      </c>
      <c r="K6" s="81">
        <v>296573.0</v>
      </c>
      <c r="L6" s="81">
        <v>556000.0</v>
      </c>
      <c r="M6" s="82">
        <v>34.785643</v>
      </c>
      <c r="N6" s="79">
        <v>247554.0</v>
      </c>
      <c r="O6" s="79">
        <v>822284.0</v>
      </c>
      <c r="P6" s="80">
        <v>23.1393912</v>
      </c>
      <c r="Q6" s="69"/>
    </row>
    <row r="7">
      <c r="A7" s="78">
        <v>10103.0</v>
      </c>
      <c r="B7" s="78" t="s">
        <v>24</v>
      </c>
      <c r="C7" s="79">
        <v>4391.0</v>
      </c>
      <c r="D7" s="79">
        <v>269.0</v>
      </c>
      <c r="E7" s="80">
        <v>94.2274678</v>
      </c>
      <c r="F7" s="79">
        <v>3867.0</v>
      </c>
      <c r="G7" s="79">
        <v>787.0</v>
      </c>
      <c r="H7" s="80">
        <v>83.0898152</v>
      </c>
      <c r="I7" s="69"/>
      <c r="J7" s="78" t="s">
        <v>162</v>
      </c>
      <c r="K7" s="81">
        <v>154433.0</v>
      </c>
      <c r="L7" s="81">
        <v>362175.0</v>
      </c>
      <c r="M7" s="82">
        <v>29.8936524</v>
      </c>
      <c r="N7" s="79">
        <v>139494.0</v>
      </c>
      <c r="O7" s="79">
        <v>535570.0</v>
      </c>
      <c r="P7" s="80">
        <v>20.6638185</v>
      </c>
      <c r="Q7" s="69"/>
    </row>
    <row r="8">
      <c r="A8" s="78">
        <v>10201.0</v>
      </c>
      <c r="B8" s="78" t="s">
        <v>25</v>
      </c>
      <c r="C8" s="79">
        <v>1971.0</v>
      </c>
      <c r="D8" s="79">
        <v>567.0</v>
      </c>
      <c r="E8" s="80">
        <v>77.6595745</v>
      </c>
      <c r="F8" s="79">
        <v>1539.0</v>
      </c>
      <c r="G8" s="79">
        <v>911.0</v>
      </c>
      <c r="H8" s="80">
        <v>62.8163265</v>
      </c>
      <c r="I8" s="69"/>
      <c r="J8" s="78" t="s">
        <v>216</v>
      </c>
      <c r="K8" s="81">
        <v>80430.0</v>
      </c>
      <c r="L8" s="81">
        <v>71631.0</v>
      </c>
      <c r="M8" s="82">
        <v>52.8932468</v>
      </c>
      <c r="N8" s="79">
        <v>69316.0</v>
      </c>
      <c r="O8" s="79">
        <v>121657.0</v>
      </c>
      <c r="P8" s="80">
        <v>36.2962304</v>
      </c>
      <c r="Q8" s="69"/>
    </row>
    <row r="9">
      <c r="A9" s="78">
        <v>10202.0</v>
      </c>
      <c r="B9" s="78" t="s">
        <v>26</v>
      </c>
      <c r="C9" s="79">
        <v>2757.0</v>
      </c>
      <c r="D9" s="79">
        <v>661.0</v>
      </c>
      <c r="E9" s="80">
        <v>80.6612054</v>
      </c>
      <c r="F9" s="79">
        <v>2842.0</v>
      </c>
      <c r="G9" s="79">
        <v>1756.0</v>
      </c>
      <c r="H9" s="80">
        <v>61.8094824</v>
      </c>
      <c r="I9" s="69"/>
      <c r="J9" s="78" t="s">
        <v>532</v>
      </c>
      <c r="K9" s="81">
        <v>142117.0</v>
      </c>
      <c r="L9" s="81">
        <v>100185.0</v>
      </c>
      <c r="M9" s="82">
        <v>58.6528382</v>
      </c>
      <c r="N9" s="79">
        <v>142057.0</v>
      </c>
      <c r="O9" s="79">
        <v>161688.0</v>
      </c>
      <c r="P9" s="80">
        <v>46.7685065</v>
      </c>
      <c r="Q9" s="69"/>
    </row>
    <row r="10">
      <c r="A10" s="78">
        <v>10301.0</v>
      </c>
      <c r="B10" s="78" t="s">
        <v>27</v>
      </c>
      <c r="C10" s="79">
        <v>1738.0</v>
      </c>
      <c r="D10" s="79">
        <v>848.0</v>
      </c>
      <c r="E10" s="80">
        <v>67.2080433</v>
      </c>
      <c r="F10" s="79">
        <v>1649.0</v>
      </c>
      <c r="G10" s="79">
        <v>1538.0</v>
      </c>
      <c r="H10" s="80">
        <v>51.7414496</v>
      </c>
      <c r="I10" s="69"/>
      <c r="J10" s="78" t="s">
        <v>319</v>
      </c>
      <c r="K10" s="81">
        <v>22974.0</v>
      </c>
      <c r="L10" s="81">
        <v>103274.0</v>
      </c>
      <c r="M10" s="82">
        <v>18.197516</v>
      </c>
      <c r="N10" s="79">
        <v>14298.0</v>
      </c>
      <c r="O10" s="79">
        <v>145956.0</v>
      </c>
      <c r="P10" s="80">
        <v>8.9220862</v>
      </c>
      <c r="Q10" s="69"/>
    </row>
    <row r="11">
      <c r="A11" s="78">
        <v>10302.0</v>
      </c>
      <c r="B11" s="78" t="s">
        <v>28</v>
      </c>
      <c r="C11" s="79">
        <v>2151.0</v>
      </c>
      <c r="D11" s="79">
        <v>566.0</v>
      </c>
      <c r="E11" s="80">
        <v>79.1682002</v>
      </c>
      <c r="F11" s="79">
        <v>1836.0</v>
      </c>
      <c r="G11" s="79">
        <v>1435.0</v>
      </c>
      <c r="H11" s="80">
        <v>56.129624</v>
      </c>
      <c r="I11" s="69"/>
      <c r="J11" s="78" t="s">
        <v>334</v>
      </c>
      <c r="K11" s="81">
        <v>66179.0</v>
      </c>
      <c r="L11" s="81">
        <v>578675.0</v>
      </c>
      <c r="M11" s="82">
        <v>10.2626331</v>
      </c>
      <c r="N11" s="79">
        <v>53780.0</v>
      </c>
      <c r="O11" s="79">
        <v>823477.0</v>
      </c>
      <c r="P11" s="80">
        <v>6.1304726</v>
      </c>
      <c r="Q11" s="69"/>
    </row>
    <row r="12">
      <c r="A12" s="78">
        <v>10303.0</v>
      </c>
      <c r="B12" s="78" t="s">
        <v>29</v>
      </c>
      <c r="C12" s="79">
        <v>1267.0</v>
      </c>
      <c r="D12" s="79">
        <v>715.0</v>
      </c>
      <c r="E12" s="80">
        <v>63.925328</v>
      </c>
      <c r="F12" s="79">
        <v>1056.0</v>
      </c>
      <c r="G12" s="79">
        <v>1487.0</v>
      </c>
      <c r="H12" s="80">
        <v>41.525757</v>
      </c>
      <c r="I12" s="69"/>
      <c r="J12" s="78" t="s">
        <v>403</v>
      </c>
      <c r="K12" s="81">
        <v>13138.0</v>
      </c>
      <c r="L12" s="81">
        <v>80752.0</v>
      </c>
      <c r="M12" s="82">
        <v>13.9929705</v>
      </c>
      <c r="N12" s="79">
        <v>12688.0</v>
      </c>
      <c r="O12" s="79">
        <v>113980.0</v>
      </c>
      <c r="P12" s="80">
        <v>10.0167367</v>
      </c>
    </row>
    <row r="13">
      <c r="A13" s="78">
        <v>10304.0</v>
      </c>
      <c r="B13" s="78" t="s">
        <v>30</v>
      </c>
      <c r="C13" s="79">
        <v>826.0</v>
      </c>
      <c r="D13" s="79">
        <v>1005.0</v>
      </c>
      <c r="E13" s="80">
        <v>45.1119607</v>
      </c>
      <c r="F13" s="79">
        <v>1264.0</v>
      </c>
      <c r="G13" s="79">
        <v>1371.0</v>
      </c>
      <c r="H13" s="80">
        <v>47.9696395</v>
      </c>
      <c r="I13" s="69"/>
      <c r="J13" s="78" t="s">
        <v>428</v>
      </c>
      <c r="K13" s="81">
        <v>4045.0</v>
      </c>
      <c r="L13" s="81">
        <v>21320.0</v>
      </c>
      <c r="M13" s="82">
        <v>15.9471713</v>
      </c>
      <c r="N13" s="79">
        <v>2159.0</v>
      </c>
      <c r="O13" s="79">
        <v>32784.0</v>
      </c>
      <c r="P13" s="80">
        <v>6.1786338</v>
      </c>
    </row>
    <row r="14">
      <c r="A14" s="78">
        <v>10401.0</v>
      </c>
      <c r="B14" s="78" t="s">
        <v>32</v>
      </c>
      <c r="C14" s="79">
        <v>1721.0</v>
      </c>
      <c r="D14" s="79">
        <v>1089.0</v>
      </c>
      <c r="E14" s="80">
        <v>61.2455516</v>
      </c>
      <c r="F14" s="79">
        <v>1267.0</v>
      </c>
      <c r="G14" s="79">
        <v>1919.0</v>
      </c>
      <c r="H14" s="80">
        <v>39.7677338</v>
      </c>
      <c r="I14" s="69"/>
      <c r="J14" s="83" t="s">
        <v>14</v>
      </c>
      <c r="K14" s="84">
        <v>845168.0</v>
      </c>
      <c r="L14" s="84">
        <v>1958814.0</v>
      </c>
      <c r="M14" s="85">
        <v>30.1417056</v>
      </c>
      <c r="N14" s="86">
        <v>734257.0</v>
      </c>
      <c r="O14" s="86">
        <v>2889454.0</v>
      </c>
      <c r="P14" s="87">
        <v>20.2625706</v>
      </c>
    </row>
    <row r="15">
      <c r="A15" s="78">
        <v>10402.0</v>
      </c>
      <c r="B15" s="78" t="s">
        <v>31</v>
      </c>
      <c r="C15" s="79">
        <v>1218.0</v>
      </c>
      <c r="D15" s="79">
        <v>895.0</v>
      </c>
      <c r="E15" s="80">
        <v>57.6431614</v>
      </c>
      <c r="F15" s="79">
        <v>781.0</v>
      </c>
      <c r="G15" s="79">
        <v>1462.0</v>
      </c>
      <c r="H15" s="80">
        <v>34.8194383</v>
      </c>
      <c r="I15" s="69"/>
      <c r="J15" s="78" t="s">
        <v>323</v>
      </c>
      <c r="K15" s="79">
        <f t="shared" ref="K15:L15" si="1">SUM(C249:C251)</f>
        <v>5425</v>
      </c>
      <c r="L15" s="79">
        <f t="shared" si="1"/>
        <v>30997</v>
      </c>
      <c r="M15" s="80">
        <f>(K15/(K15+L15))*100</f>
        <v>14.89484378</v>
      </c>
      <c r="N15" s="79">
        <f t="shared" ref="N15:O15" si="2">SUM(F249:F251)</f>
        <v>3387</v>
      </c>
      <c r="O15" s="79">
        <f t="shared" si="2"/>
        <v>42645</v>
      </c>
      <c r="P15" s="80">
        <f>(N15/(N15+O15))*100</f>
        <v>7.357924922</v>
      </c>
    </row>
    <row r="16">
      <c r="A16" s="78">
        <v>10403.0</v>
      </c>
      <c r="B16" s="78" t="s">
        <v>33</v>
      </c>
      <c r="C16" s="79">
        <v>1352.0</v>
      </c>
      <c r="D16" s="79">
        <v>658.0</v>
      </c>
      <c r="E16" s="80">
        <v>67.2636816</v>
      </c>
      <c r="F16" s="79">
        <v>1119.0</v>
      </c>
      <c r="G16" s="79">
        <v>968.0</v>
      </c>
      <c r="H16" s="80">
        <v>53.617633</v>
      </c>
      <c r="I16" s="69"/>
    </row>
    <row r="17">
      <c r="A17" s="78">
        <v>10404.0</v>
      </c>
      <c r="B17" s="78" t="s">
        <v>34</v>
      </c>
      <c r="C17" s="79">
        <v>803.0</v>
      </c>
      <c r="D17" s="79">
        <v>269.0</v>
      </c>
      <c r="E17" s="80">
        <v>74.9067164</v>
      </c>
      <c r="F17" s="79">
        <v>459.0</v>
      </c>
      <c r="G17" s="79">
        <v>730.0</v>
      </c>
      <c r="H17" s="80">
        <v>38.6038688</v>
      </c>
      <c r="I17" s="69"/>
    </row>
    <row r="18">
      <c r="A18" s="78">
        <v>10405.0</v>
      </c>
      <c r="B18" s="78" t="s">
        <v>35</v>
      </c>
      <c r="C18" s="79">
        <v>747.0</v>
      </c>
      <c r="D18" s="79">
        <v>465.0</v>
      </c>
      <c r="E18" s="80">
        <v>61.6336634</v>
      </c>
      <c r="F18" s="79">
        <v>642.0</v>
      </c>
      <c r="G18" s="79">
        <v>797.0</v>
      </c>
      <c r="H18" s="80">
        <v>44.6143155</v>
      </c>
      <c r="I18" s="69"/>
    </row>
    <row r="19">
      <c r="A19" s="78">
        <v>10501.0</v>
      </c>
      <c r="B19" s="78" t="s">
        <v>37</v>
      </c>
      <c r="C19" s="79">
        <v>2723.0</v>
      </c>
      <c r="D19" s="79">
        <v>3356.0</v>
      </c>
      <c r="E19" s="80">
        <v>44.7935516</v>
      </c>
      <c r="F19" s="79">
        <v>1687.0</v>
      </c>
      <c r="G19" s="79">
        <v>6055.0</v>
      </c>
      <c r="H19" s="80">
        <v>21.7902351</v>
      </c>
      <c r="I19" s="69"/>
    </row>
    <row r="20">
      <c r="A20" s="78">
        <v>10502.0</v>
      </c>
      <c r="B20" s="78" t="s">
        <v>38</v>
      </c>
      <c r="C20" s="79">
        <v>1400.0</v>
      </c>
      <c r="D20" s="79">
        <v>679.0</v>
      </c>
      <c r="E20" s="80">
        <v>67.3400673</v>
      </c>
      <c r="F20" s="79">
        <v>1074.0</v>
      </c>
      <c r="G20" s="79">
        <v>1227.0</v>
      </c>
      <c r="H20" s="80">
        <v>46.6753585</v>
      </c>
      <c r="I20" s="69"/>
    </row>
    <row r="21">
      <c r="A21" s="78">
        <v>10601.0</v>
      </c>
      <c r="B21" s="78" t="s">
        <v>40</v>
      </c>
      <c r="C21" s="79">
        <v>3246.0</v>
      </c>
      <c r="D21" s="79">
        <v>1140.0</v>
      </c>
      <c r="E21" s="80">
        <v>74.0082079</v>
      </c>
      <c r="F21" s="79">
        <v>2127.0</v>
      </c>
      <c r="G21" s="79">
        <v>2152.0</v>
      </c>
      <c r="H21" s="80">
        <v>49.7078757</v>
      </c>
      <c r="I21" s="69"/>
    </row>
    <row r="22">
      <c r="A22" s="78">
        <v>10602.0</v>
      </c>
      <c r="B22" s="78" t="s">
        <v>39</v>
      </c>
      <c r="C22" s="79">
        <v>2043.0</v>
      </c>
      <c r="D22" s="79">
        <v>907.0</v>
      </c>
      <c r="E22" s="80">
        <v>69.2542373</v>
      </c>
      <c r="F22" s="79">
        <v>1484.0</v>
      </c>
      <c r="G22" s="79">
        <v>1585.0</v>
      </c>
      <c r="H22" s="80">
        <v>48.3545129</v>
      </c>
      <c r="I22" s="69"/>
    </row>
    <row r="23">
      <c r="A23" s="78">
        <v>10701.0</v>
      </c>
      <c r="B23" s="78" t="s">
        <v>42</v>
      </c>
      <c r="C23" s="79">
        <v>2304.0</v>
      </c>
      <c r="D23" s="79">
        <v>2021.0</v>
      </c>
      <c r="E23" s="80">
        <v>53.2716763</v>
      </c>
      <c r="F23" s="79">
        <v>1870.0</v>
      </c>
      <c r="G23" s="79">
        <v>3177.0</v>
      </c>
      <c r="H23" s="80">
        <v>37.0517139</v>
      </c>
      <c r="I23" s="69"/>
    </row>
    <row r="24">
      <c r="A24" s="78">
        <v>10702.0</v>
      </c>
      <c r="B24" s="78" t="s">
        <v>43</v>
      </c>
      <c r="C24" s="79">
        <v>6176.0</v>
      </c>
      <c r="D24" s="79">
        <v>1832.0</v>
      </c>
      <c r="E24" s="80">
        <v>77.1228771</v>
      </c>
      <c r="F24" s="79">
        <v>5264.0</v>
      </c>
      <c r="G24" s="79">
        <v>3387.0</v>
      </c>
      <c r="H24" s="80">
        <v>60.8484568</v>
      </c>
      <c r="I24" s="69"/>
    </row>
    <row r="25">
      <c r="A25" s="78">
        <v>10703.0</v>
      </c>
      <c r="B25" s="78" t="s">
        <v>44</v>
      </c>
      <c r="C25" s="79">
        <v>2309.0</v>
      </c>
      <c r="D25" s="79">
        <v>470.0</v>
      </c>
      <c r="E25" s="80">
        <v>83.0874415</v>
      </c>
      <c r="F25" s="79">
        <v>2717.0</v>
      </c>
      <c r="G25" s="79">
        <v>1354.0</v>
      </c>
      <c r="H25" s="80">
        <v>66.7403586</v>
      </c>
      <c r="I25" s="69"/>
    </row>
    <row r="26">
      <c r="A26" s="78">
        <v>10704.0</v>
      </c>
      <c r="B26" s="78" t="s">
        <v>45</v>
      </c>
      <c r="C26" s="79">
        <v>2736.0</v>
      </c>
      <c r="D26" s="79">
        <v>739.0</v>
      </c>
      <c r="E26" s="80">
        <v>78.7338129</v>
      </c>
      <c r="F26" s="79">
        <v>2406.0</v>
      </c>
      <c r="G26" s="79">
        <v>1594.0</v>
      </c>
      <c r="H26" s="80">
        <v>60.15</v>
      </c>
      <c r="I26" s="69"/>
    </row>
    <row r="27">
      <c r="A27" s="78">
        <v>10801.0</v>
      </c>
      <c r="B27" s="78" t="s">
        <v>47</v>
      </c>
      <c r="C27" s="79">
        <v>1701.0</v>
      </c>
      <c r="D27" s="79">
        <v>1495.0</v>
      </c>
      <c r="E27" s="80">
        <v>53.2227785</v>
      </c>
      <c r="F27" s="79">
        <v>1137.0</v>
      </c>
      <c r="G27" s="79">
        <v>2050.0</v>
      </c>
      <c r="H27" s="80">
        <v>35.6761845</v>
      </c>
      <c r="I27" s="69"/>
    </row>
    <row r="28">
      <c r="A28" s="78">
        <v>10901.0</v>
      </c>
      <c r="B28" s="78" t="s">
        <v>49</v>
      </c>
      <c r="C28" s="79">
        <v>648.0</v>
      </c>
      <c r="D28" s="79">
        <v>317.0</v>
      </c>
      <c r="E28" s="80">
        <v>67.1502591</v>
      </c>
      <c r="F28" s="79">
        <v>510.0</v>
      </c>
      <c r="G28" s="79">
        <v>861.0</v>
      </c>
      <c r="H28" s="80">
        <v>37.1991247</v>
      </c>
      <c r="I28" s="69"/>
    </row>
    <row r="29">
      <c r="A29" s="78">
        <v>10902.0</v>
      </c>
      <c r="B29" s="78" t="s">
        <v>50</v>
      </c>
      <c r="C29" s="79">
        <v>2692.0</v>
      </c>
      <c r="D29" s="79">
        <v>1655.0</v>
      </c>
      <c r="E29" s="80">
        <v>61.9277663</v>
      </c>
      <c r="F29" s="79">
        <v>2354.0</v>
      </c>
      <c r="G29" s="79">
        <v>2306.0</v>
      </c>
      <c r="H29" s="80">
        <v>50.5150215</v>
      </c>
      <c r="I29" s="69"/>
    </row>
    <row r="30">
      <c r="A30" s="78">
        <v>10903.0</v>
      </c>
      <c r="B30" s="78" t="s">
        <v>51</v>
      </c>
      <c r="C30" s="79">
        <v>512.0</v>
      </c>
      <c r="D30" s="79">
        <v>550.0</v>
      </c>
      <c r="E30" s="80">
        <v>48.2109228</v>
      </c>
      <c r="F30" s="79">
        <v>317.0</v>
      </c>
      <c r="G30" s="79">
        <v>963.0</v>
      </c>
      <c r="H30" s="80">
        <v>24.765625</v>
      </c>
      <c r="I30" s="69"/>
    </row>
    <row r="31">
      <c r="A31" s="78">
        <v>11001.0</v>
      </c>
      <c r="B31" s="78" t="s">
        <v>53</v>
      </c>
      <c r="C31" s="79">
        <v>1183.0</v>
      </c>
      <c r="D31" s="79">
        <v>1349.0</v>
      </c>
      <c r="E31" s="80">
        <v>46.7219589</v>
      </c>
      <c r="F31" s="79">
        <v>974.0</v>
      </c>
      <c r="G31" s="79">
        <v>2162.0</v>
      </c>
      <c r="H31" s="80">
        <v>31.0586735</v>
      </c>
      <c r="I31" s="69"/>
    </row>
    <row r="32">
      <c r="A32" s="78">
        <v>11002.0</v>
      </c>
      <c r="B32" s="78" t="s">
        <v>54</v>
      </c>
      <c r="C32" s="79">
        <v>346.0</v>
      </c>
      <c r="D32" s="79">
        <v>257.0</v>
      </c>
      <c r="E32" s="80">
        <v>57.3797678</v>
      </c>
      <c r="F32" s="79">
        <v>189.0</v>
      </c>
      <c r="G32" s="79">
        <v>629.0</v>
      </c>
      <c r="H32" s="80">
        <v>23.1051345</v>
      </c>
      <c r="I32" s="69"/>
    </row>
    <row r="33">
      <c r="A33" s="78">
        <v>11003.0</v>
      </c>
      <c r="B33" s="78" t="s">
        <v>55</v>
      </c>
      <c r="C33" s="79">
        <v>565.0</v>
      </c>
      <c r="D33" s="79">
        <v>1186.0</v>
      </c>
      <c r="E33" s="80">
        <v>32.2672758</v>
      </c>
      <c r="F33" s="79">
        <v>382.0</v>
      </c>
      <c r="G33" s="79">
        <v>1906.0</v>
      </c>
      <c r="H33" s="80">
        <v>16.6958042</v>
      </c>
      <c r="I33" s="69"/>
    </row>
    <row r="34">
      <c r="A34" s="78">
        <v>20101.0</v>
      </c>
      <c r="B34" s="78" t="s">
        <v>58</v>
      </c>
      <c r="C34" s="79">
        <v>15100.0</v>
      </c>
      <c r="D34" s="79">
        <v>211358.0</v>
      </c>
      <c r="E34" s="80">
        <v>6.6679031</v>
      </c>
      <c r="F34" s="79">
        <v>8231.0</v>
      </c>
      <c r="G34" s="79">
        <v>242700.0</v>
      </c>
      <c r="H34" s="80">
        <v>3.2801846</v>
      </c>
      <c r="I34" s="69"/>
    </row>
    <row r="35">
      <c r="A35" s="78">
        <v>20102.0</v>
      </c>
      <c r="B35" s="88" t="s">
        <v>59</v>
      </c>
      <c r="C35" s="79">
        <v>3818.0</v>
      </c>
      <c r="D35" s="79">
        <v>1035.0</v>
      </c>
      <c r="E35" s="80">
        <v>78.6729858</v>
      </c>
      <c r="F35" s="79">
        <v>4181.0</v>
      </c>
      <c r="G35" s="79">
        <v>3404.0</v>
      </c>
      <c r="H35" s="80">
        <v>55.1219512</v>
      </c>
      <c r="I35" s="69"/>
    </row>
    <row r="36">
      <c r="A36" s="78">
        <v>20103.0</v>
      </c>
      <c r="B36" s="88" t="s">
        <v>60</v>
      </c>
      <c r="C36" s="79">
        <v>2703.0</v>
      </c>
      <c r="D36" s="79">
        <v>2069.0</v>
      </c>
      <c r="E36" s="80">
        <v>56.642917</v>
      </c>
      <c r="F36" s="79">
        <v>2556.0</v>
      </c>
      <c r="G36" s="79">
        <v>4293.0</v>
      </c>
      <c r="H36" s="80">
        <v>37.3193167</v>
      </c>
      <c r="I36" s="69"/>
    </row>
    <row r="37">
      <c r="A37" s="78">
        <v>20104.0</v>
      </c>
      <c r="B37" s="88" t="s">
        <v>61</v>
      </c>
      <c r="C37" s="79">
        <v>4776.0</v>
      </c>
      <c r="D37" s="79">
        <v>2375.0</v>
      </c>
      <c r="E37" s="80">
        <v>66.7878618</v>
      </c>
      <c r="F37" s="79">
        <v>5457.0</v>
      </c>
      <c r="G37" s="79">
        <v>10840.0</v>
      </c>
      <c r="H37" s="80">
        <v>33.4846904</v>
      </c>
      <c r="I37" s="69"/>
    </row>
    <row r="38">
      <c r="A38" s="78">
        <v>20105.0</v>
      </c>
      <c r="B38" s="88" t="s">
        <v>62</v>
      </c>
      <c r="C38" s="79">
        <v>54919.0</v>
      </c>
      <c r="D38" s="79">
        <v>201933.0</v>
      </c>
      <c r="E38" s="80">
        <v>21.3815738</v>
      </c>
      <c r="F38" s="79">
        <v>18747.0</v>
      </c>
      <c r="G38" s="79">
        <v>279151.0</v>
      </c>
      <c r="H38" s="80">
        <v>6.2930936</v>
      </c>
      <c r="I38" s="69"/>
    </row>
    <row r="39">
      <c r="A39" s="78">
        <v>20201.0</v>
      </c>
      <c r="B39" s="88" t="s">
        <v>64</v>
      </c>
      <c r="C39" s="79">
        <v>8173.0</v>
      </c>
      <c r="D39" s="79">
        <v>8055.0</v>
      </c>
      <c r="E39" s="80">
        <v>50.3635691</v>
      </c>
      <c r="F39" s="79">
        <v>5557.0</v>
      </c>
      <c r="G39" s="79">
        <v>12759.0</v>
      </c>
      <c r="H39" s="80">
        <v>30.3395938</v>
      </c>
      <c r="I39" s="69"/>
    </row>
    <row r="40">
      <c r="A40" s="78">
        <v>20202.0</v>
      </c>
      <c r="B40" s="88" t="s">
        <v>65</v>
      </c>
      <c r="C40" s="79">
        <v>3331.0</v>
      </c>
      <c r="D40" s="79">
        <v>1696.0</v>
      </c>
      <c r="E40" s="80">
        <v>66.2621842</v>
      </c>
      <c r="F40" s="79">
        <v>3474.0</v>
      </c>
      <c r="G40" s="79">
        <v>3263.0</v>
      </c>
      <c r="H40" s="80">
        <v>51.5659789</v>
      </c>
      <c r="I40" s="69"/>
    </row>
    <row r="41">
      <c r="A41" s="78">
        <v>20203.0</v>
      </c>
      <c r="B41" s="88" t="s">
        <v>69</v>
      </c>
      <c r="C41" s="79">
        <v>1324.0</v>
      </c>
      <c r="D41" s="79">
        <v>708.0</v>
      </c>
      <c r="E41" s="80">
        <v>65.1574803</v>
      </c>
      <c r="F41" s="79">
        <v>1174.0</v>
      </c>
      <c r="G41" s="79">
        <v>1457.0</v>
      </c>
      <c r="H41" s="80">
        <v>44.6218168</v>
      </c>
      <c r="I41" s="69"/>
    </row>
    <row r="42">
      <c r="A42" s="78">
        <v>20204.0</v>
      </c>
      <c r="B42" s="88" t="s">
        <v>66</v>
      </c>
      <c r="C42" s="79">
        <v>1655.0</v>
      </c>
      <c r="D42" s="79">
        <v>1642.0</v>
      </c>
      <c r="E42" s="80">
        <v>50.1971489</v>
      </c>
      <c r="F42" s="79">
        <v>1374.0</v>
      </c>
      <c r="G42" s="79">
        <v>2582.0</v>
      </c>
      <c r="H42" s="80">
        <v>34.7320526</v>
      </c>
      <c r="I42" s="69"/>
    </row>
    <row r="43">
      <c r="A43" s="78">
        <v>20205.0</v>
      </c>
      <c r="B43" s="88" t="s">
        <v>67</v>
      </c>
      <c r="C43" s="79">
        <v>2164.0</v>
      </c>
      <c r="D43" s="79">
        <v>1633.0</v>
      </c>
      <c r="E43" s="80">
        <v>56.9923624</v>
      </c>
      <c r="F43" s="79">
        <v>1547.0</v>
      </c>
      <c r="G43" s="79">
        <v>2932.0</v>
      </c>
      <c r="H43" s="80">
        <v>34.5389596</v>
      </c>
      <c r="I43" s="69"/>
    </row>
    <row r="44">
      <c r="A44" s="78">
        <v>20206.0</v>
      </c>
      <c r="B44" s="88" t="s">
        <v>68</v>
      </c>
      <c r="C44" s="79">
        <v>696.0</v>
      </c>
      <c r="D44" s="79">
        <v>966.0</v>
      </c>
      <c r="E44" s="80">
        <v>41.8772563</v>
      </c>
      <c r="F44" s="79">
        <v>608.0</v>
      </c>
      <c r="G44" s="79">
        <v>1901.0</v>
      </c>
      <c r="H44" s="80">
        <v>24.2327621</v>
      </c>
      <c r="I44" s="69"/>
    </row>
    <row r="45">
      <c r="A45" s="78">
        <v>20301.0</v>
      </c>
      <c r="B45" s="88" t="s">
        <v>71</v>
      </c>
      <c r="C45" s="79">
        <v>3080.0</v>
      </c>
      <c r="D45" s="79">
        <v>660.0</v>
      </c>
      <c r="E45" s="80">
        <v>82.3529412</v>
      </c>
      <c r="F45" s="79">
        <v>3228.0</v>
      </c>
      <c r="G45" s="79">
        <v>2016.0</v>
      </c>
      <c r="H45" s="80">
        <v>61.5560641</v>
      </c>
      <c r="I45" s="69"/>
    </row>
    <row r="46">
      <c r="A46" s="78">
        <v>20302.0</v>
      </c>
      <c r="B46" s="88" t="s">
        <v>72</v>
      </c>
      <c r="C46" s="79">
        <v>2724.0</v>
      </c>
      <c r="D46" s="79">
        <v>1545.0</v>
      </c>
      <c r="E46" s="80">
        <v>63.8088545</v>
      </c>
      <c r="F46" s="79">
        <v>2570.0</v>
      </c>
      <c r="G46" s="79">
        <v>2663.0</v>
      </c>
      <c r="H46" s="80">
        <v>49.1114084</v>
      </c>
      <c r="I46" s="69"/>
    </row>
    <row r="47">
      <c r="A47" s="78">
        <v>20303.0</v>
      </c>
      <c r="B47" s="88" t="s">
        <v>73</v>
      </c>
      <c r="C47" s="79">
        <v>2240.0</v>
      </c>
      <c r="D47" s="79">
        <v>1293.0</v>
      </c>
      <c r="E47" s="80">
        <v>63.4022078</v>
      </c>
      <c r="F47" s="79">
        <v>2516.0</v>
      </c>
      <c r="G47" s="79">
        <v>2592.0</v>
      </c>
      <c r="H47" s="80">
        <v>49.2560689</v>
      </c>
      <c r="I47" s="69"/>
    </row>
    <row r="48">
      <c r="A48" s="78">
        <v>20304.0</v>
      </c>
      <c r="B48" s="88" t="s">
        <v>74</v>
      </c>
      <c r="C48" s="79">
        <v>981.0</v>
      </c>
      <c r="D48" s="79">
        <v>330.0</v>
      </c>
      <c r="E48" s="80">
        <v>74.8283753</v>
      </c>
      <c r="F48" s="79">
        <v>959.0</v>
      </c>
      <c r="G48" s="79">
        <v>971.0</v>
      </c>
      <c r="H48" s="80">
        <v>49.6891192</v>
      </c>
      <c r="I48" s="69"/>
    </row>
    <row r="49">
      <c r="A49" s="78">
        <v>20305.0</v>
      </c>
      <c r="B49" s="88" t="s">
        <v>75</v>
      </c>
      <c r="C49" s="79">
        <v>887.0</v>
      </c>
      <c r="D49" s="79">
        <v>272.0</v>
      </c>
      <c r="E49" s="80">
        <v>76.5314927</v>
      </c>
      <c r="F49" s="79">
        <v>877.0</v>
      </c>
      <c r="G49" s="79">
        <v>865.0</v>
      </c>
      <c r="H49" s="80">
        <v>50.3444317</v>
      </c>
      <c r="I49" s="69"/>
    </row>
    <row r="50">
      <c r="A50" s="78">
        <v>20306.0</v>
      </c>
      <c r="B50" s="88" t="s">
        <v>76</v>
      </c>
      <c r="C50" s="79">
        <v>894.0</v>
      </c>
      <c r="D50" s="79">
        <v>176.0</v>
      </c>
      <c r="E50" s="80">
        <v>83.5514019</v>
      </c>
      <c r="F50" s="79">
        <v>883.0</v>
      </c>
      <c r="G50" s="79">
        <v>580.0</v>
      </c>
      <c r="H50" s="80">
        <v>60.355434</v>
      </c>
      <c r="I50" s="69"/>
    </row>
    <row r="51">
      <c r="A51" s="78">
        <v>20307.0</v>
      </c>
      <c r="B51" s="88" t="s">
        <v>77</v>
      </c>
      <c r="C51" s="79">
        <v>159.0</v>
      </c>
      <c r="D51" s="79">
        <v>130.0</v>
      </c>
      <c r="E51" s="80">
        <v>55.017301</v>
      </c>
      <c r="F51" s="79">
        <v>666.0</v>
      </c>
      <c r="G51" s="79">
        <v>547.0</v>
      </c>
      <c r="H51" s="80">
        <v>54.9051937</v>
      </c>
      <c r="I51" s="69"/>
    </row>
    <row r="52">
      <c r="A52" s="78">
        <v>20308.0</v>
      </c>
      <c r="B52" s="88" t="s">
        <v>78</v>
      </c>
      <c r="C52" s="79">
        <v>2467.0</v>
      </c>
      <c r="D52" s="79">
        <v>323.0</v>
      </c>
      <c r="E52" s="80">
        <v>88.4229391</v>
      </c>
      <c r="F52" s="79">
        <v>2923.0</v>
      </c>
      <c r="G52" s="79">
        <v>646.0</v>
      </c>
      <c r="H52" s="80">
        <v>81.8996918</v>
      </c>
      <c r="I52" s="69"/>
    </row>
    <row r="53">
      <c r="A53" s="78">
        <v>20401.0</v>
      </c>
      <c r="B53" s="88" t="s">
        <v>80</v>
      </c>
      <c r="C53" s="79">
        <v>4220.0</v>
      </c>
      <c r="D53" s="79">
        <v>791.0</v>
      </c>
      <c r="E53" s="80">
        <v>84.2147276</v>
      </c>
      <c r="F53" s="79">
        <v>4712.0</v>
      </c>
      <c r="G53" s="79">
        <v>1892.0</v>
      </c>
      <c r="H53" s="80">
        <v>71.3506965</v>
      </c>
      <c r="I53" s="69"/>
    </row>
    <row r="54">
      <c r="A54" s="78">
        <v>20402.0</v>
      </c>
      <c r="B54" s="88" t="s">
        <v>81</v>
      </c>
      <c r="C54" s="79">
        <v>4795.0</v>
      </c>
      <c r="D54" s="79">
        <v>1811.0</v>
      </c>
      <c r="E54" s="80">
        <v>72.5855283</v>
      </c>
      <c r="F54" s="79">
        <v>4634.0</v>
      </c>
      <c r="G54" s="79">
        <v>3379.0</v>
      </c>
      <c r="H54" s="80">
        <v>57.8310246</v>
      </c>
      <c r="I54" s="69"/>
    </row>
    <row r="55">
      <c r="A55" s="78">
        <v>20403.0</v>
      </c>
      <c r="B55" s="88" t="s">
        <v>82</v>
      </c>
      <c r="C55" s="79">
        <v>4146.0</v>
      </c>
      <c r="D55" s="79">
        <v>1201.0</v>
      </c>
      <c r="E55" s="80">
        <v>77.5388068</v>
      </c>
      <c r="F55" s="79">
        <v>4332.0</v>
      </c>
      <c r="G55" s="79">
        <v>2733.0</v>
      </c>
      <c r="H55" s="80">
        <v>61.3163482</v>
      </c>
      <c r="I55" s="69"/>
    </row>
    <row r="56">
      <c r="A56" s="78">
        <v>20404.0</v>
      </c>
      <c r="B56" s="88" t="s">
        <v>83</v>
      </c>
      <c r="C56" s="79">
        <v>1663.0</v>
      </c>
      <c r="D56" s="79">
        <v>445.0</v>
      </c>
      <c r="E56" s="80">
        <v>78.8899431</v>
      </c>
      <c r="F56" s="79">
        <v>1790.0</v>
      </c>
      <c r="G56" s="79">
        <v>737.0</v>
      </c>
      <c r="H56" s="80">
        <v>70.8349822</v>
      </c>
      <c r="I56" s="69"/>
    </row>
    <row r="57">
      <c r="A57" s="78">
        <v>20405.0</v>
      </c>
      <c r="B57" s="88" t="s">
        <v>84</v>
      </c>
      <c r="C57" s="79">
        <v>2657.0</v>
      </c>
      <c r="D57" s="79">
        <v>370.0</v>
      </c>
      <c r="E57" s="80">
        <v>87.7766766</v>
      </c>
      <c r="F57" s="79">
        <v>2776.0</v>
      </c>
      <c r="G57" s="79">
        <v>1340.0</v>
      </c>
      <c r="H57" s="80">
        <v>67.4441205</v>
      </c>
      <c r="I57" s="69"/>
    </row>
    <row r="58">
      <c r="A58" s="78">
        <v>20501.0</v>
      </c>
      <c r="B58" s="88" t="s">
        <v>86</v>
      </c>
      <c r="C58" s="79">
        <v>2831.0</v>
      </c>
      <c r="D58" s="79">
        <v>1107.0</v>
      </c>
      <c r="E58" s="80">
        <v>71.8892839</v>
      </c>
      <c r="F58" s="79">
        <v>3259.0</v>
      </c>
      <c r="G58" s="79">
        <v>3129.0</v>
      </c>
      <c r="H58" s="80">
        <v>51.0175329</v>
      </c>
      <c r="I58" s="69"/>
    </row>
    <row r="59">
      <c r="A59" s="78">
        <v>20502.0</v>
      </c>
      <c r="B59" s="88" t="s">
        <v>87</v>
      </c>
      <c r="C59" s="79">
        <v>1793.0</v>
      </c>
      <c r="D59" s="79">
        <v>954.0</v>
      </c>
      <c r="E59" s="80">
        <v>65.271205</v>
      </c>
      <c r="F59" s="79">
        <v>1876.0</v>
      </c>
      <c r="G59" s="79">
        <v>1618.0</v>
      </c>
      <c r="H59" s="80">
        <v>53.6920435</v>
      </c>
      <c r="I59" s="69"/>
    </row>
    <row r="60">
      <c r="A60" s="78">
        <v>20503.0</v>
      </c>
      <c r="B60" s="88" t="s">
        <v>88</v>
      </c>
      <c r="C60" s="79">
        <v>1470.0</v>
      </c>
      <c r="D60" s="79">
        <v>468.0</v>
      </c>
      <c r="E60" s="80">
        <v>75.8513932</v>
      </c>
      <c r="F60" s="79">
        <v>1448.0</v>
      </c>
      <c r="G60" s="79">
        <v>1052.0</v>
      </c>
      <c r="H60" s="80">
        <v>57.92</v>
      </c>
      <c r="I60" s="69"/>
    </row>
    <row r="61">
      <c r="A61" s="78">
        <v>20601.0</v>
      </c>
      <c r="B61" s="88" t="s">
        <v>90</v>
      </c>
      <c r="C61" s="79">
        <v>5566.0</v>
      </c>
      <c r="D61" s="79">
        <v>3209.0</v>
      </c>
      <c r="E61" s="80">
        <v>63.4301994</v>
      </c>
      <c r="F61" s="79">
        <v>4532.0</v>
      </c>
      <c r="G61" s="79">
        <v>6927.0</v>
      </c>
      <c r="H61" s="80">
        <v>39.5496989</v>
      </c>
      <c r="I61" s="69"/>
    </row>
    <row r="62">
      <c r="A62" s="78">
        <v>20602.0</v>
      </c>
      <c r="B62" s="88" t="s">
        <v>91</v>
      </c>
      <c r="C62" s="79">
        <v>2668.0</v>
      </c>
      <c r="D62" s="79">
        <v>2013.0</v>
      </c>
      <c r="E62" s="80">
        <v>56.9963683</v>
      </c>
      <c r="F62" s="79">
        <v>1829.0</v>
      </c>
      <c r="G62" s="79">
        <v>4440.0</v>
      </c>
      <c r="H62" s="80">
        <v>29.1753071</v>
      </c>
      <c r="I62" s="69"/>
    </row>
    <row r="63">
      <c r="A63" s="78">
        <v>20603.0</v>
      </c>
      <c r="B63" s="88" t="s">
        <v>92</v>
      </c>
      <c r="C63" s="79">
        <v>1722.0</v>
      </c>
      <c r="D63" s="79">
        <v>1258.0</v>
      </c>
      <c r="E63" s="80">
        <v>57.7852349</v>
      </c>
      <c r="F63" s="79">
        <v>1419.0</v>
      </c>
      <c r="G63" s="79">
        <v>2733.0</v>
      </c>
      <c r="H63" s="80">
        <v>34.1763006</v>
      </c>
      <c r="I63" s="69"/>
    </row>
    <row r="64">
      <c r="A64" s="78">
        <v>20604.0</v>
      </c>
      <c r="B64" s="88" t="s">
        <v>93</v>
      </c>
      <c r="C64" s="79">
        <v>658.0</v>
      </c>
      <c r="D64" s="79">
        <v>369.0</v>
      </c>
      <c r="E64" s="80">
        <v>64.0701071</v>
      </c>
      <c r="F64" s="79">
        <v>817.0</v>
      </c>
      <c r="G64" s="79">
        <v>574.0</v>
      </c>
      <c r="H64" s="80">
        <v>58.7347232</v>
      </c>
      <c r="I64" s="69"/>
    </row>
    <row r="65">
      <c r="A65" s="78">
        <v>20605.0</v>
      </c>
      <c r="B65" s="88" t="s">
        <v>94</v>
      </c>
      <c r="C65" s="79">
        <v>709.0</v>
      </c>
      <c r="D65" s="79">
        <v>285.0</v>
      </c>
      <c r="E65" s="80">
        <v>71.3279678</v>
      </c>
      <c r="F65" s="79">
        <v>836.0</v>
      </c>
      <c r="G65" s="79">
        <v>589.0</v>
      </c>
      <c r="H65" s="80">
        <v>58.6666667</v>
      </c>
      <c r="I65" s="69"/>
    </row>
    <row r="66">
      <c r="A66" s="78">
        <v>20606.0</v>
      </c>
      <c r="B66" s="88" t="s">
        <v>95</v>
      </c>
      <c r="C66" s="79">
        <v>1759.0</v>
      </c>
      <c r="D66" s="79">
        <v>1698.0</v>
      </c>
      <c r="E66" s="80">
        <v>50.8822679</v>
      </c>
      <c r="F66" s="79">
        <v>786.0</v>
      </c>
      <c r="G66" s="79">
        <v>2457.0</v>
      </c>
      <c r="H66" s="80">
        <v>24.2368178</v>
      </c>
      <c r="I66" s="69"/>
    </row>
    <row r="67">
      <c r="A67" s="78">
        <v>20607.0</v>
      </c>
      <c r="B67" s="88" t="s">
        <v>96</v>
      </c>
      <c r="C67" s="79">
        <v>2140.0</v>
      </c>
      <c r="D67" s="79">
        <v>1910.0</v>
      </c>
      <c r="E67" s="80">
        <v>52.8395062</v>
      </c>
      <c r="F67" s="79">
        <v>1232.0</v>
      </c>
      <c r="G67" s="79">
        <v>5666.0</v>
      </c>
      <c r="H67" s="80">
        <v>17.8602493</v>
      </c>
      <c r="I67" s="69"/>
    </row>
    <row r="68">
      <c r="A68" s="78">
        <v>20608.0</v>
      </c>
      <c r="B68" s="88" t="s">
        <v>97</v>
      </c>
      <c r="C68" s="79">
        <v>2138.0</v>
      </c>
      <c r="D68" s="79">
        <v>1349.0</v>
      </c>
      <c r="E68" s="80">
        <v>61.31345</v>
      </c>
      <c r="F68" s="79">
        <v>1779.0</v>
      </c>
      <c r="G68" s="79">
        <v>2823.0</v>
      </c>
      <c r="H68" s="80">
        <v>38.6571056</v>
      </c>
      <c r="I68" s="69"/>
    </row>
    <row r="69">
      <c r="A69" s="78">
        <v>20701.0</v>
      </c>
      <c r="B69" s="88" t="s">
        <v>99</v>
      </c>
      <c r="C69" s="79">
        <v>2909.0</v>
      </c>
      <c r="D69" s="79">
        <v>1716.0</v>
      </c>
      <c r="E69" s="80">
        <v>62.8972973</v>
      </c>
      <c r="F69" s="79">
        <v>3200.0</v>
      </c>
      <c r="G69" s="79">
        <v>2964.0</v>
      </c>
      <c r="H69" s="80">
        <v>51.9143413</v>
      </c>
      <c r="I69" s="69"/>
    </row>
    <row r="70">
      <c r="A70" s="78">
        <v>20702.0</v>
      </c>
      <c r="B70" s="88" t="s">
        <v>100</v>
      </c>
      <c r="C70" s="79">
        <v>1435.0</v>
      </c>
      <c r="D70" s="79">
        <v>795.0</v>
      </c>
      <c r="E70" s="80">
        <v>64.3497758</v>
      </c>
      <c r="F70" s="79">
        <v>972.0</v>
      </c>
      <c r="G70" s="79">
        <v>2096.0</v>
      </c>
      <c r="H70" s="80">
        <v>31.6818774</v>
      </c>
      <c r="I70" s="69"/>
    </row>
    <row r="71">
      <c r="A71" s="78">
        <v>20801.0</v>
      </c>
      <c r="B71" s="88" t="s">
        <v>102</v>
      </c>
      <c r="C71" s="79">
        <v>11989.0</v>
      </c>
      <c r="D71" s="79">
        <v>14259.0</v>
      </c>
      <c r="E71" s="80">
        <v>45.675861</v>
      </c>
      <c r="F71" s="79">
        <v>8775.0</v>
      </c>
      <c r="G71" s="79">
        <v>33166.0</v>
      </c>
      <c r="H71" s="80">
        <v>20.9222479</v>
      </c>
      <c r="I71" s="69"/>
    </row>
    <row r="72">
      <c r="A72" s="78">
        <v>20802.0</v>
      </c>
      <c r="B72" s="88" t="s">
        <v>103</v>
      </c>
      <c r="C72" s="79">
        <v>1809.0</v>
      </c>
      <c r="D72" s="79">
        <v>922.0</v>
      </c>
      <c r="E72" s="80">
        <v>66.2394727</v>
      </c>
      <c r="F72" s="79">
        <v>1048.0</v>
      </c>
      <c r="G72" s="79">
        <v>2172.0</v>
      </c>
      <c r="H72" s="80">
        <v>32.5465839</v>
      </c>
      <c r="I72" s="69"/>
    </row>
    <row r="73">
      <c r="A73" s="78">
        <v>20803.0</v>
      </c>
      <c r="B73" s="88" t="s">
        <v>104</v>
      </c>
      <c r="C73" s="79">
        <v>2109.0</v>
      </c>
      <c r="D73" s="79">
        <v>1485.0</v>
      </c>
      <c r="E73" s="80">
        <v>58.6811352</v>
      </c>
      <c r="F73" s="79">
        <v>2099.0</v>
      </c>
      <c r="G73" s="79">
        <v>2554.0</v>
      </c>
      <c r="H73" s="80">
        <v>45.1106813</v>
      </c>
      <c r="I73" s="69"/>
    </row>
    <row r="74">
      <c r="A74" s="78">
        <v>20804.0</v>
      </c>
      <c r="B74" s="88" t="s">
        <v>105</v>
      </c>
      <c r="C74" s="79">
        <v>1418.0</v>
      </c>
      <c r="D74" s="79">
        <v>832.0</v>
      </c>
      <c r="E74" s="80">
        <v>63.0222222</v>
      </c>
      <c r="F74" s="79">
        <v>713.0</v>
      </c>
      <c r="G74" s="79">
        <v>1962.0</v>
      </c>
      <c r="H74" s="80">
        <v>26.6542056</v>
      </c>
      <c r="I74" s="69"/>
    </row>
    <row r="75">
      <c r="A75" s="78">
        <v>20805.0</v>
      </c>
      <c r="B75" s="88" t="s">
        <v>106</v>
      </c>
      <c r="C75" s="79">
        <v>1103.0</v>
      </c>
      <c r="D75" s="79">
        <v>1288.0</v>
      </c>
      <c r="E75" s="80">
        <v>46.1313258</v>
      </c>
      <c r="F75" s="79">
        <v>1222.0</v>
      </c>
      <c r="G75" s="79">
        <v>1892.0</v>
      </c>
      <c r="H75" s="80">
        <v>39.2421323</v>
      </c>
      <c r="I75" s="69"/>
    </row>
    <row r="76">
      <c r="A76" s="78">
        <v>20806.0</v>
      </c>
      <c r="B76" s="88" t="s">
        <v>107</v>
      </c>
      <c r="C76" s="79">
        <v>1879.0</v>
      </c>
      <c r="D76" s="79">
        <v>3088.0</v>
      </c>
      <c r="E76" s="80">
        <v>37.8296759</v>
      </c>
      <c r="F76" s="79">
        <v>1942.0</v>
      </c>
      <c r="G76" s="79">
        <v>3945.0</v>
      </c>
      <c r="H76" s="80">
        <v>32.9879395</v>
      </c>
      <c r="I76" s="69"/>
    </row>
    <row r="77">
      <c r="A77" s="78">
        <v>20807.0</v>
      </c>
      <c r="B77" s="88" t="s">
        <v>108</v>
      </c>
      <c r="C77" s="79">
        <v>1280.0</v>
      </c>
      <c r="D77" s="79">
        <v>539.0</v>
      </c>
      <c r="E77" s="80">
        <v>70.3683342</v>
      </c>
      <c r="F77" s="79">
        <v>1284.0</v>
      </c>
      <c r="G77" s="79">
        <v>1278.0</v>
      </c>
      <c r="H77" s="80">
        <v>50.117096</v>
      </c>
      <c r="I77" s="69"/>
    </row>
    <row r="78">
      <c r="A78" s="78">
        <v>20901.0</v>
      </c>
      <c r="B78" s="88" t="s">
        <v>110</v>
      </c>
      <c r="C78" s="79">
        <v>2501.0</v>
      </c>
      <c r="D78" s="79">
        <v>1412.0</v>
      </c>
      <c r="E78" s="80">
        <v>63.9151546</v>
      </c>
      <c r="F78" s="79">
        <v>1951.0</v>
      </c>
      <c r="G78" s="79">
        <v>2483.0</v>
      </c>
      <c r="H78" s="80">
        <v>44.0009021</v>
      </c>
      <c r="I78" s="69"/>
    </row>
    <row r="79">
      <c r="A79" s="78">
        <v>20902.0</v>
      </c>
      <c r="B79" s="88" t="s">
        <v>111</v>
      </c>
      <c r="C79" s="79">
        <v>3997.0</v>
      </c>
      <c r="D79" s="79">
        <v>627.0</v>
      </c>
      <c r="E79" s="80">
        <v>86.4403114</v>
      </c>
      <c r="F79" s="79">
        <v>4133.0</v>
      </c>
      <c r="G79" s="79">
        <v>2505.0</v>
      </c>
      <c r="H79" s="80">
        <v>62.2627297</v>
      </c>
      <c r="I79" s="69"/>
    </row>
    <row r="80">
      <c r="A80" s="78">
        <v>20903.0</v>
      </c>
      <c r="B80" s="88" t="s">
        <v>112</v>
      </c>
      <c r="C80" s="79">
        <v>2004.0</v>
      </c>
      <c r="D80" s="79">
        <v>302.0</v>
      </c>
      <c r="E80" s="80">
        <v>86.9037294</v>
      </c>
      <c r="F80" s="79">
        <v>2982.0</v>
      </c>
      <c r="G80" s="79">
        <v>1160.0</v>
      </c>
      <c r="H80" s="80">
        <v>71.9942057</v>
      </c>
      <c r="I80" s="69"/>
    </row>
    <row r="81">
      <c r="A81" s="78">
        <v>20904.0</v>
      </c>
      <c r="B81" s="88" t="s">
        <v>113</v>
      </c>
      <c r="C81" s="79">
        <v>890.0</v>
      </c>
      <c r="D81" s="79">
        <v>344.0</v>
      </c>
      <c r="E81" s="80">
        <v>72.1231767</v>
      </c>
      <c r="F81" s="79">
        <v>1189.0</v>
      </c>
      <c r="G81" s="79">
        <v>588.0</v>
      </c>
      <c r="H81" s="80">
        <v>66.9105234</v>
      </c>
      <c r="I81" s="69"/>
    </row>
    <row r="82">
      <c r="A82" s="78">
        <v>20905.0</v>
      </c>
      <c r="B82" s="88" t="s">
        <v>114</v>
      </c>
      <c r="C82" s="79">
        <v>2516.0</v>
      </c>
      <c r="D82" s="79">
        <v>554.0</v>
      </c>
      <c r="E82" s="80">
        <v>81.9543974</v>
      </c>
      <c r="F82" s="79">
        <v>3415.0</v>
      </c>
      <c r="G82" s="79">
        <v>1477.0</v>
      </c>
      <c r="H82" s="80">
        <v>69.8078496</v>
      </c>
      <c r="I82" s="69"/>
    </row>
    <row r="83">
      <c r="A83" s="78">
        <v>21001.0</v>
      </c>
      <c r="B83" s="88" t="s">
        <v>115</v>
      </c>
      <c r="C83" s="79">
        <v>4001.0</v>
      </c>
      <c r="D83" s="79">
        <v>893.0</v>
      </c>
      <c r="E83" s="80">
        <v>81.7531671</v>
      </c>
      <c r="F83" s="79">
        <v>4634.0</v>
      </c>
      <c r="G83" s="79">
        <v>2510.0</v>
      </c>
      <c r="H83" s="80">
        <v>64.8656215</v>
      </c>
      <c r="I83" s="69"/>
    </row>
    <row r="84">
      <c r="A84" s="78">
        <v>21002.0</v>
      </c>
      <c r="B84" s="88" t="s">
        <v>116</v>
      </c>
      <c r="C84" s="79">
        <v>2341.0</v>
      </c>
      <c r="D84" s="79">
        <v>1046.0</v>
      </c>
      <c r="E84" s="80">
        <v>69.1172129</v>
      </c>
      <c r="F84" s="79">
        <v>2246.0</v>
      </c>
      <c r="G84" s="79">
        <v>2188.0</v>
      </c>
      <c r="H84" s="80">
        <v>50.654037</v>
      </c>
      <c r="I84" s="69"/>
    </row>
    <row r="85">
      <c r="A85" s="78">
        <v>21003.0</v>
      </c>
      <c r="B85" s="88" t="s">
        <v>117</v>
      </c>
      <c r="C85" s="79">
        <v>1851.0</v>
      </c>
      <c r="D85" s="79">
        <v>1168.0</v>
      </c>
      <c r="E85" s="80">
        <v>61.3116926</v>
      </c>
      <c r="F85" s="79">
        <v>2186.0</v>
      </c>
      <c r="G85" s="79">
        <v>3623.0</v>
      </c>
      <c r="H85" s="80">
        <v>37.6312618</v>
      </c>
      <c r="I85" s="69"/>
    </row>
    <row r="86">
      <c r="A86" s="78">
        <v>21004.0</v>
      </c>
      <c r="B86" s="88" t="s">
        <v>118</v>
      </c>
      <c r="C86" s="79">
        <v>4842.0</v>
      </c>
      <c r="D86" s="79">
        <v>988.0</v>
      </c>
      <c r="E86" s="80">
        <v>83.0531732</v>
      </c>
      <c r="F86" s="79">
        <v>5467.0</v>
      </c>
      <c r="G86" s="79">
        <v>2403.0</v>
      </c>
      <c r="H86" s="80">
        <v>69.4663278</v>
      </c>
      <c r="I86" s="69"/>
    </row>
    <row r="87">
      <c r="A87" s="78">
        <v>21005.0</v>
      </c>
      <c r="B87" s="88" t="s">
        <v>119</v>
      </c>
      <c r="C87" s="79">
        <v>1454.0</v>
      </c>
      <c r="D87" s="79">
        <v>241.0</v>
      </c>
      <c r="E87" s="80">
        <v>85.7817109</v>
      </c>
      <c r="F87" s="79">
        <v>2766.0</v>
      </c>
      <c r="G87" s="79">
        <v>689.0</v>
      </c>
      <c r="H87" s="80">
        <v>80.0578871</v>
      </c>
      <c r="I87" s="69"/>
    </row>
    <row r="88">
      <c r="A88" s="78">
        <v>21006.0</v>
      </c>
      <c r="B88" s="88" t="s">
        <v>120</v>
      </c>
      <c r="C88" s="79">
        <v>648.0</v>
      </c>
      <c r="D88" s="79">
        <v>373.0</v>
      </c>
      <c r="E88" s="80">
        <v>63.467189</v>
      </c>
      <c r="F88" s="79">
        <v>702.0</v>
      </c>
      <c r="G88" s="79">
        <v>1169.0</v>
      </c>
      <c r="H88" s="80">
        <v>37.5200428</v>
      </c>
      <c r="I88" s="69"/>
    </row>
    <row r="89">
      <c r="A89" s="78">
        <v>21101.0</v>
      </c>
      <c r="B89" s="88" t="s">
        <v>122</v>
      </c>
      <c r="C89" s="79">
        <v>3457.0</v>
      </c>
      <c r="D89" s="79">
        <v>2622.0</v>
      </c>
      <c r="E89" s="80">
        <v>56.8679059</v>
      </c>
      <c r="F89" s="79">
        <v>2265.0</v>
      </c>
      <c r="G89" s="79">
        <v>4949.0</v>
      </c>
      <c r="H89" s="80">
        <v>31.3972831</v>
      </c>
      <c r="I89" s="69"/>
    </row>
    <row r="90">
      <c r="A90" s="78">
        <v>21102.0</v>
      </c>
      <c r="B90" s="88" t="s">
        <v>123</v>
      </c>
      <c r="C90" s="79">
        <v>3716.0</v>
      </c>
      <c r="D90" s="79">
        <v>2783.0</v>
      </c>
      <c r="E90" s="80">
        <v>57.1780274</v>
      </c>
      <c r="F90" s="79">
        <v>3875.0</v>
      </c>
      <c r="G90" s="79">
        <v>5583.0</v>
      </c>
      <c r="H90" s="80">
        <v>40.9706069</v>
      </c>
      <c r="I90" s="69"/>
    </row>
    <row r="91">
      <c r="A91" s="78">
        <v>21103.0</v>
      </c>
      <c r="B91" s="88" t="s">
        <v>124</v>
      </c>
      <c r="C91" s="79">
        <v>819.0</v>
      </c>
      <c r="D91" s="79">
        <v>1489.0</v>
      </c>
      <c r="E91" s="80">
        <v>35.4852686</v>
      </c>
      <c r="F91" s="79">
        <v>649.0</v>
      </c>
      <c r="G91" s="79">
        <v>2349.0</v>
      </c>
      <c r="H91" s="80">
        <v>21.6477652</v>
      </c>
      <c r="I91" s="69"/>
    </row>
    <row r="92">
      <c r="A92" s="78">
        <v>21104.0</v>
      </c>
      <c r="B92" s="88" t="s">
        <v>125</v>
      </c>
      <c r="C92" s="79">
        <v>4228.0</v>
      </c>
      <c r="D92" s="79">
        <v>5018.0</v>
      </c>
      <c r="E92" s="80">
        <v>45.7278823</v>
      </c>
      <c r="F92" s="79">
        <v>4246.0</v>
      </c>
      <c r="G92" s="79">
        <v>7384.0</v>
      </c>
      <c r="H92" s="80">
        <v>36.5090284</v>
      </c>
      <c r="I92" s="69"/>
    </row>
    <row r="93">
      <c r="A93" s="78">
        <v>21105.0</v>
      </c>
      <c r="B93" s="88" t="s">
        <v>126</v>
      </c>
      <c r="C93" s="79">
        <v>9611.0</v>
      </c>
      <c r="D93" s="79">
        <v>4027.0</v>
      </c>
      <c r="E93" s="80">
        <v>70.47221</v>
      </c>
      <c r="F93" s="79">
        <v>9155.0</v>
      </c>
      <c r="G93" s="79">
        <v>9225.0</v>
      </c>
      <c r="H93" s="80">
        <v>49.8095756</v>
      </c>
      <c r="I93" s="69"/>
    </row>
    <row r="94">
      <c r="A94" s="78">
        <v>21201.0</v>
      </c>
      <c r="B94" s="88" t="s">
        <v>128</v>
      </c>
      <c r="C94" s="79">
        <v>6622.0</v>
      </c>
      <c r="D94" s="79">
        <v>4499.0</v>
      </c>
      <c r="E94" s="80">
        <v>59.5450049</v>
      </c>
      <c r="F94" s="79">
        <v>9291.0</v>
      </c>
      <c r="G94" s="79">
        <v>12168.0</v>
      </c>
      <c r="H94" s="80">
        <v>43.2965189</v>
      </c>
      <c r="I94" s="69"/>
    </row>
    <row r="95">
      <c r="A95" s="78">
        <v>21202.0</v>
      </c>
      <c r="B95" s="88" t="s">
        <v>129</v>
      </c>
      <c r="C95" s="79">
        <v>5112.0</v>
      </c>
      <c r="D95" s="79">
        <v>2649.0</v>
      </c>
      <c r="E95" s="80">
        <v>65.8678005</v>
      </c>
      <c r="F95" s="79">
        <v>5181.0</v>
      </c>
      <c r="G95" s="79">
        <v>8432.0</v>
      </c>
      <c r="H95" s="80">
        <v>38.0592081</v>
      </c>
      <c r="I95" s="69"/>
    </row>
    <row r="96">
      <c r="A96" s="78">
        <v>21203.0</v>
      </c>
      <c r="B96" s="88" t="s">
        <v>130</v>
      </c>
      <c r="C96" s="79">
        <v>3128.0</v>
      </c>
      <c r="D96" s="79">
        <v>2934.0</v>
      </c>
      <c r="E96" s="80">
        <v>51.600132</v>
      </c>
      <c r="F96" s="79">
        <v>2958.0</v>
      </c>
      <c r="G96" s="79">
        <v>5545.0</v>
      </c>
      <c r="H96" s="80">
        <v>34.787722</v>
      </c>
      <c r="I96" s="69"/>
    </row>
    <row r="97">
      <c r="A97" s="78">
        <v>21204.0</v>
      </c>
      <c r="B97" s="88" t="s">
        <v>131</v>
      </c>
      <c r="C97" s="79">
        <v>1701.0</v>
      </c>
      <c r="D97" s="79">
        <v>647.0</v>
      </c>
      <c r="E97" s="80">
        <v>72.4446337</v>
      </c>
      <c r="F97" s="79">
        <v>1733.0</v>
      </c>
      <c r="G97" s="79">
        <v>1455.0</v>
      </c>
      <c r="H97" s="80">
        <v>54.3601004</v>
      </c>
      <c r="I97" s="69"/>
    </row>
    <row r="98">
      <c r="A98" s="78">
        <v>21301.0</v>
      </c>
      <c r="B98" s="88" t="s">
        <v>133</v>
      </c>
      <c r="C98" s="79">
        <v>7443.0</v>
      </c>
      <c r="D98" s="79">
        <v>1977.0</v>
      </c>
      <c r="E98" s="80">
        <v>79.0127389</v>
      </c>
      <c r="F98" s="79">
        <v>6904.0</v>
      </c>
      <c r="G98" s="79">
        <v>5723.0</v>
      </c>
      <c r="H98" s="80">
        <v>54.6764869</v>
      </c>
      <c r="I98" s="69"/>
    </row>
    <row r="99">
      <c r="A99" s="78">
        <v>21302.0</v>
      </c>
      <c r="B99" s="88" t="s">
        <v>134</v>
      </c>
      <c r="C99" s="79">
        <v>2088.0</v>
      </c>
      <c r="D99" s="79">
        <v>1161.0</v>
      </c>
      <c r="E99" s="80">
        <v>64.265928</v>
      </c>
      <c r="F99" s="79">
        <v>1810.0</v>
      </c>
      <c r="G99" s="79">
        <v>2111.0</v>
      </c>
      <c r="H99" s="80">
        <v>46.1616934</v>
      </c>
      <c r="I99" s="69"/>
    </row>
    <row r="100">
      <c r="A100" s="78">
        <v>21303.0</v>
      </c>
      <c r="B100" s="88" t="s">
        <v>135</v>
      </c>
      <c r="C100" s="79">
        <v>2252.0</v>
      </c>
      <c r="D100" s="79">
        <v>571.0</v>
      </c>
      <c r="E100" s="80">
        <v>79.7732908</v>
      </c>
      <c r="F100" s="79">
        <v>3165.0</v>
      </c>
      <c r="G100" s="79">
        <v>1629.0</v>
      </c>
      <c r="H100" s="80">
        <v>66.020025</v>
      </c>
      <c r="I100" s="69"/>
    </row>
    <row r="101">
      <c r="A101" s="78">
        <v>21304.0</v>
      </c>
      <c r="B101" s="88" t="s">
        <v>136</v>
      </c>
      <c r="C101" s="79">
        <v>2793.0</v>
      </c>
      <c r="D101" s="79">
        <v>1034.0</v>
      </c>
      <c r="E101" s="80">
        <v>72.9814476</v>
      </c>
      <c r="F101" s="79">
        <v>2698.0</v>
      </c>
      <c r="G101" s="79">
        <v>2769.0</v>
      </c>
      <c r="H101" s="80">
        <v>49.3506494</v>
      </c>
      <c r="I101" s="69"/>
    </row>
    <row r="102">
      <c r="A102" s="78">
        <v>21305.0</v>
      </c>
      <c r="B102" s="88" t="s">
        <v>137</v>
      </c>
      <c r="C102" s="79">
        <v>3407.0</v>
      </c>
      <c r="D102" s="79">
        <v>4090.0</v>
      </c>
      <c r="E102" s="80">
        <v>45.4448446</v>
      </c>
      <c r="F102" s="79">
        <v>2983.0</v>
      </c>
      <c r="G102" s="79">
        <v>6364.0</v>
      </c>
      <c r="H102" s="80">
        <v>31.9139831</v>
      </c>
      <c r="I102" s="69"/>
    </row>
    <row r="103">
      <c r="A103" s="78">
        <v>21306.0</v>
      </c>
      <c r="B103" s="88" t="s">
        <v>138</v>
      </c>
      <c r="C103" s="79">
        <v>2294.0</v>
      </c>
      <c r="D103" s="79">
        <v>906.0</v>
      </c>
      <c r="E103" s="80">
        <v>71.6875</v>
      </c>
      <c r="F103" s="79">
        <v>2215.0</v>
      </c>
      <c r="G103" s="79">
        <v>2265.0</v>
      </c>
      <c r="H103" s="80">
        <v>49.4419643</v>
      </c>
      <c r="I103" s="69"/>
    </row>
    <row r="104">
      <c r="A104" s="78">
        <v>21307.0</v>
      </c>
      <c r="B104" s="88" t="s">
        <v>139</v>
      </c>
      <c r="C104" s="79">
        <v>642.0</v>
      </c>
      <c r="D104" s="79">
        <v>630.0</v>
      </c>
      <c r="E104" s="80">
        <v>50.4716981</v>
      </c>
      <c r="F104" s="79">
        <v>567.0</v>
      </c>
      <c r="G104" s="79">
        <v>1086.0</v>
      </c>
      <c r="H104" s="80">
        <v>34.3012704</v>
      </c>
      <c r="I104" s="69"/>
    </row>
    <row r="105">
      <c r="A105" s="78">
        <v>21401.0</v>
      </c>
      <c r="B105" s="88" t="s">
        <v>141</v>
      </c>
      <c r="C105" s="79">
        <v>3642.0</v>
      </c>
      <c r="D105" s="79">
        <v>3354.0</v>
      </c>
      <c r="E105" s="80">
        <v>52.058319</v>
      </c>
      <c r="F105" s="79">
        <v>3819.0</v>
      </c>
      <c r="G105" s="79">
        <v>6557.0</v>
      </c>
      <c r="H105" s="80">
        <v>36.806091</v>
      </c>
      <c r="I105" s="69"/>
    </row>
    <row r="106">
      <c r="A106" s="78">
        <v>21402.0</v>
      </c>
      <c r="B106" s="88" t="s">
        <v>142</v>
      </c>
      <c r="C106" s="79">
        <v>2774.0</v>
      </c>
      <c r="D106" s="79">
        <v>2606.0</v>
      </c>
      <c r="E106" s="80">
        <v>51.5613383</v>
      </c>
      <c r="F106" s="79">
        <v>2293.0</v>
      </c>
      <c r="G106" s="79">
        <v>6620.0</v>
      </c>
      <c r="H106" s="80">
        <v>25.726467</v>
      </c>
      <c r="I106" s="69"/>
    </row>
    <row r="107">
      <c r="A107" s="78">
        <v>21501.0</v>
      </c>
      <c r="B107" s="88" t="s">
        <v>144</v>
      </c>
      <c r="C107" s="79">
        <v>576.0</v>
      </c>
      <c r="D107" s="79">
        <v>1694.0</v>
      </c>
      <c r="E107" s="80">
        <v>25.3744493</v>
      </c>
      <c r="F107" s="79">
        <v>588.0</v>
      </c>
      <c r="G107" s="79">
        <v>2718.0</v>
      </c>
      <c r="H107" s="80">
        <v>17.7858439</v>
      </c>
      <c r="I107" s="69"/>
    </row>
    <row r="108">
      <c r="A108" s="78">
        <v>21502.0</v>
      </c>
      <c r="B108" s="88" t="s">
        <v>145</v>
      </c>
      <c r="C108" s="79">
        <v>450.0</v>
      </c>
      <c r="D108" s="79">
        <v>1555.0</v>
      </c>
      <c r="E108" s="80">
        <v>22.4438903</v>
      </c>
      <c r="F108" s="79">
        <v>361.0</v>
      </c>
      <c r="G108" s="79">
        <v>2488.0</v>
      </c>
      <c r="H108" s="80">
        <v>12.6711127</v>
      </c>
      <c r="I108" s="69"/>
    </row>
    <row r="109">
      <c r="A109" s="78">
        <v>21601.0</v>
      </c>
      <c r="B109" s="88" t="s">
        <v>147</v>
      </c>
      <c r="C109" s="79">
        <v>3055.0</v>
      </c>
      <c r="D109" s="79">
        <v>495.0</v>
      </c>
      <c r="E109" s="80">
        <v>86.056338</v>
      </c>
      <c r="F109" s="79">
        <v>2721.0</v>
      </c>
      <c r="G109" s="79">
        <v>2301.0</v>
      </c>
      <c r="H109" s="80">
        <v>54.181601</v>
      </c>
      <c r="I109" s="69"/>
    </row>
    <row r="110">
      <c r="A110" s="78">
        <v>21602.0</v>
      </c>
      <c r="B110" s="88" t="s">
        <v>148</v>
      </c>
      <c r="C110" s="79">
        <v>753.0</v>
      </c>
      <c r="D110" s="79">
        <v>229.0</v>
      </c>
      <c r="E110" s="80">
        <v>76.6802444</v>
      </c>
      <c r="F110" s="79">
        <v>764.0</v>
      </c>
      <c r="G110" s="79">
        <v>892.0</v>
      </c>
      <c r="H110" s="80">
        <v>46.1352657</v>
      </c>
      <c r="I110" s="69"/>
    </row>
    <row r="111">
      <c r="A111" s="78">
        <v>21701.0</v>
      </c>
      <c r="B111" s="88" t="s">
        <v>150</v>
      </c>
      <c r="C111" s="79">
        <v>2134.0</v>
      </c>
      <c r="D111" s="79">
        <v>3010.0</v>
      </c>
      <c r="E111" s="80">
        <v>41.4852255</v>
      </c>
      <c r="F111" s="79">
        <v>2251.0</v>
      </c>
      <c r="G111" s="79">
        <v>4566.0</v>
      </c>
      <c r="H111" s="80">
        <v>33.0203902</v>
      </c>
      <c r="I111" s="69"/>
    </row>
    <row r="112">
      <c r="A112" s="78">
        <v>21702.0</v>
      </c>
      <c r="B112" s="88" t="s">
        <v>151</v>
      </c>
      <c r="C112" s="79">
        <v>1976.0</v>
      </c>
      <c r="D112" s="79">
        <v>491.0</v>
      </c>
      <c r="E112" s="80">
        <v>80.0972842</v>
      </c>
      <c r="F112" s="79">
        <v>1882.0</v>
      </c>
      <c r="G112" s="79">
        <v>1749.0</v>
      </c>
      <c r="H112" s="80">
        <v>51.8314514</v>
      </c>
      <c r="I112" s="69"/>
    </row>
    <row r="113">
      <c r="A113" s="78">
        <v>21703.0</v>
      </c>
      <c r="B113" s="88" t="s">
        <v>152</v>
      </c>
      <c r="C113" s="79">
        <v>1097.0</v>
      </c>
      <c r="D113" s="79">
        <v>198.0</v>
      </c>
      <c r="E113" s="80">
        <v>84.7104247</v>
      </c>
      <c r="F113" s="79">
        <v>981.0</v>
      </c>
      <c r="G113" s="79">
        <v>493.0</v>
      </c>
      <c r="H113" s="80">
        <v>66.5535957</v>
      </c>
      <c r="I113" s="69"/>
    </row>
    <row r="114">
      <c r="A114" s="78">
        <v>21801.0</v>
      </c>
      <c r="B114" s="88" t="s">
        <v>154</v>
      </c>
      <c r="C114" s="79">
        <v>2384.0</v>
      </c>
      <c r="D114" s="79">
        <v>444.0</v>
      </c>
      <c r="E114" s="80">
        <v>84.2998586</v>
      </c>
      <c r="F114" s="79">
        <v>2230.0</v>
      </c>
      <c r="G114" s="79">
        <v>1254.0</v>
      </c>
      <c r="H114" s="80">
        <v>64.0068886</v>
      </c>
      <c r="I114" s="69"/>
    </row>
    <row r="115">
      <c r="A115" s="78">
        <v>21802.0</v>
      </c>
      <c r="B115" s="88" t="s">
        <v>155</v>
      </c>
      <c r="C115" s="79">
        <v>1339.0</v>
      </c>
      <c r="D115" s="79">
        <v>1090.0</v>
      </c>
      <c r="E115" s="80">
        <v>55.1255661</v>
      </c>
      <c r="F115" s="79">
        <v>1271.0</v>
      </c>
      <c r="G115" s="79">
        <v>1617.0</v>
      </c>
      <c r="H115" s="80">
        <v>44.0096953</v>
      </c>
      <c r="I115" s="69"/>
    </row>
    <row r="116">
      <c r="A116" s="78">
        <v>21803.0</v>
      </c>
      <c r="B116" s="88" t="s">
        <v>156</v>
      </c>
      <c r="C116" s="79">
        <v>734.0</v>
      </c>
      <c r="D116" s="79">
        <v>35.0</v>
      </c>
      <c r="E116" s="80">
        <v>95.4486346</v>
      </c>
      <c r="F116" s="79">
        <v>714.0</v>
      </c>
      <c r="G116" s="79">
        <v>167.0</v>
      </c>
      <c r="H116" s="80">
        <v>81.0442679</v>
      </c>
      <c r="I116" s="69"/>
    </row>
    <row r="117">
      <c r="A117" s="78">
        <v>21901.0</v>
      </c>
      <c r="B117" s="88" t="s">
        <v>158</v>
      </c>
      <c r="C117" s="79">
        <v>750.0</v>
      </c>
      <c r="D117" s="79">
        <v>1080.0</v>
      </c>
      <c r="E117" s="80">
        <v>40.9836066</v>
      </c>
      <c r="F117" s="79">
        <v>1075.0</v>
      </c>
      <c r="G117" s="79">
        <v>1881.0</v>
      </c>
      <c r="H117" s="80">
        <v>36.3667118</v>
      </c>
      <c r="I117" s="69"/>
    </row>
    <row r="118">
      <c r="A118" s="78">
        <v>21902.0</v>
      </c>
      <c r="B118" s="88" t="s">
        <v>159</v>
      </c>
      <c r="C118" s="79">
        <v>321.0</v>
      </c>
      <c r="D118" s="79">
        <v>415.0</v>
      </c>
      <c r="E118" s="80">
        <v>43.6141304</v>
      </c>
      <c r="F118" s="79">
        <v>491.0</v>
      </c>
      <c r="G118" s="79">
        <v>1204.0</v>
      </c>
      <c r="H118" s="80">
        <v>28.9675516</v>
      </c>
      <c r="I118" s="69"/>
    </row>
    <row r="119">
      <c r="A119" s="78">
        <v>22001.0</v>
      </c>
      <c r="B119" s="88" t="s">
        <v>160</v>
      </c>
      <c r="C119" s="79">
        <v>6743.0</v>
      </c>
      <c r="D119" s="79">
        <v>10278.0</v>
      </c>
      <c r="E119" s="80">
        <v>39.6157688</v>
      </c>
      <c r="F119" s="79">
        <v>5882.0</v>
      </c>
      <c r="G119" s="79">
        <v>15199.0</v>
      </c>
      <c r="H119" s="80">
        <v>27.9019022</v>
      </c>
      <c r="I119" s="69"/>
    </row>
    <row r="120">
      <c r="A120" s="78">
        <v>22002.0</v>
      </c>
      <c r="B120" s="88" t="s">
        <v>161</v>
      </c>
      <c r="C120" s="79">
        <v>2530.0</v>
      </c>
      <c r="D120" s="79">
        <v>1680.0</v>
      </c>
      <c r="E120" s="80">
        <v>60.0950119</v>
      </c>
      <c r="F120" s="79">
        <v>2025.0</v>
      </c>
      <c r="G120" s="79">
        <v>2466.0</v>
      </c>
      <c r="H120" s="80">
        <v>45.0901804</v>
      </c>
      <c r="I120" s="69"/>
    </row>
    <row r="121">
      <c r="A121" s="78">
        <v>30101.0</v>
      </c>
      <c r="B121" s="88" t="s">
        <v>162</v>
      </c>
      <c r="C121" s="79">
        <v>23122.0</v>
      </c>
      <c r="D121" s="79">
        <v>154254.0</v>
      </c>
      <c r="E121" s="80">
        <v>13.0355854</v>
      </c>
      <c r="F121" s="79">
        <v>12379.0</v>
      </c>
      <c r="G121" s="79">
        <v>199894.0</v>
      </c>
      <c r="H121" s="80">
        <v>5.8316413</v>
      </c>
      <c r="I121" s="69"/>
    </row>
    <row r="122">
      <c r="A122" s="78">
        <v>30201.0</v>
      </c>
      <c r="B122" s="88" t="s">
        <v>165</v>
      </c>
      <c r="C122" s="79">
        <v>3569.0</v>
      </c>
      <c r="D122" s="79">
        <v>2930.0</v>
      </c>
      <c r="E122" s="80">
        <v>54.9161409</v>
      </c>
      <c r="F122" s="79">
        <v>3008.0</v>
      </c>
      <c r="G122" s="79">
        <v>4115.0</v>
      </c>
      <c r="H122" s="80">
        <v>42.2293977</v>
      </c>
      <c r="I122" s="69"/>
    </row>
    <row r="123">
      <c r="A123" s="78">
        <v>30202.0</v>
      </c>
      <c r="B123" s="88" t="s">
        <v>166</v>
      </c>
      <c r="C123" s="79">
        <v>914.0</v>
      </c>
      <c r="D123" s="79">
        <v>623.0</v>
      </c>
      <c r="E123" s="80">
        <v>59.4664932</v>
      </c>
      <c r="F123" s="79">
        <v>817.0</v>
      </c>
      <c r="G123" s="79">
        <v>936.0</v>
      </c>
      <c r="H123" s="80">
        <v>46.6058186</v>
      </c>
      <c r="I123" s="69"/>
    </row>
    <row r="124">
      <c r="A124" s="78">
        <v>30203.0</v>
      </c>
      <c r="B124" s="88" t="s">
        <v>167</v>
      </c>
      <c r="C124" s="79">
        <v>681.0</v>
      </c>
      <c r="D124" s="79">
        <v>753.0</v>
      </c>
      <c r="E124" s="80">
        <v>47.4895397</v>
      </c>
      <c r="F124" s="79">
        <v>553.0</v>
      </c>
      <c r="G124" s="79">
        <v>1367.0</v>
      </c>
      <c r="H124" s="80">
        <v>28.8020833</v>
      </c>
      <c r="I124" s="69"/>
    </row>
    <row r="125">
      <c r="A125" s="78">
        <v>30301.0</v>
      </c>
      <c r="B125" s="88" t="s">
        <v>168</v>
      </c>
      <c r="C125" s="79">
        <v>6218.0</v>
      </c>
      <c r="D125" s="79">
        <v>1129.0</v>
      </c>
      <c r="E125" s="80">
        <v>84.6331836</v>
      </c>
      <c r="F125" s="79">
        <v>5552.0</v>
      </c>
      <c r="G125" s="79">
        <v>2890.0</v>
      </c>
      <c r="H125" s="80">
        <v>65.7664061</v>
      </c>
      <c r="I125" s="69"/>
    </row>
    <row r="126">
      <c r="A126" s="78">
        <v>30302.0</v>
      </c>
      <c r="B126" s="88" t="s">
        <v>169</v>
      </c>
      <c r="C126" s="79">
        <v>2755.0</v>
      </c>
      <c r="D126" s="79">
        <v>1181.0</v>
      </c>
      <c r="E126" s="80">
        <v>69.9949187</v>
      </c>
      <c r="F126" s="79">
        <v>2877.0</v>
      </c>
      <c r="G126" s="79">
        <v>2204.0</v>
      </c>
      <c r="H126" s="80">
        <v>56.6227121</v>
      </c>
      <c r="I126" s="69"/>
    </row>
    <row r="127">
      <c r="A127" s="78">
        <v>30303.0</v>
      </c>
      <c r="B127" s="88" t="s">
        <v>170</v>
      </c>
      <c r="C127" s="79">
        <v>3572.0</v>
      </c>
      <c r="D127" s="79">
        <v>1348.0</v>
      </c>
      <c r="E127" s="80">
        <v>72.601626</v>
      </c>
      <c r="F127" s="79">
        <v>4471.0</v>
      </c>
      <c r="G127" s="79">
        <v>3040.0</v>
      </c>
      <c r="H127" s="80">
        <v>59.5260285</v>
      </c>
      <c r="I127" s="69"/>
    </row>
    <row r="128">
      <c r="A128" s="78">
        <v>30401.0</v>
      </c>
      <c r="B128" s="88" t="s">
        <v>172</v>
      </c>
      <c r="C128" s="79">
        <v>1401.0</v>
      </c>
      <c r="D128" s="79">
        <v>1192.0</v>
      </c>
      <c r="E128" s="80">
        <v>54.030081</v>
      </c>
      <c r="F128" s="79">
        <v>1546.0</v>
      </c>
      <c r="G128" s="79">
        <v>2484.0</v>
      </c>
      <c r="H128" s="80">
        <v>38.3622829</v>
      </c>
      <c r="I128" s="69"/>
    </row>
    <row r="129">
      <c r="A129" s="78">
        <v>30402.0</v>
      </c>
      <c r="B129" s="88" t="s">
        <v>173</v>
      </c>
      <c r="C129" s="79">
        <v>2094.0</v>
      </c>
      <c r="D129" s="79">
        <v>542.0</v>
      </c>
      <c r="E129" s="80">
        <v>79.4385432</v>
      </c>
      <c r="F129" s="79">
        <v>2357.0</v>
      </c>
      <c r="G129" s="79">
        <v>1005.0</v>
      </c>
      <c r="H129" s="80">
        <v>70.1070791</v>
      </c>
      <c r="I129" s="69"/>
    </row>
    <row r="130">
      <c r="A130" s="78">
        <v>30403.0</v>
      </c>
      <c r="B130" s="88" t="s">
        <v>174</v>
      </c>
      <c r="C130" s="79">
        <v>2794.0</v>
      </c>
      <c r="D130" s="79">
        <v>2738.0</v>
      </c>
      <c r="E130" s="80">
        <v>50.5061461</v>
      </c>
      <c r="F130" s="79">
        <v>4624.0</v>
      </c>
      <c r="G130" s="79">
        <v>6224.0</v>
      </c>
      <c r="H130" s="80">
        <v>42.6253687</v>
      </c>
      <c r="I130" s="69"/>
    </row>
    <row r="131">
      <c r="A131" s="78">
        <v>30404.0</v>
      </c>
      <c r="B131" s="88" t="s">
        <v>175</v>
      </c>
      <c r="C131" s="79">
        <v>1057.0</v>
      </c>
      <c r="D131" s="79">
        <v>416.0</v>
      </c>
      <c r="E131" s="80">
        <v>71.7583164</v>
      </c>
      <c r="F131" s="79">
        <v>1224.0</v>
      </c>
      <c r="G131" s="79">
        <v>632.0</v>
      </c>
      <c r="H131" s="80">
        <v>65.9482759</v>
      </c>
      <c r="I131" s="69"/>
    </row>
    <row r="132">
      <c r="A132" s="78">
        <v>30501.0</v>
      </c>
      <c r="B132" s="88" t="s">
        <v>176</v>
      </c>
      <c r="C132" s="79">
        <v>1396.0</v>
      </c>
      <c r="D132" s="79">
        <v>1748.0</v>
      </c>
      <c r="E132" s="80">
        <v>44.4020356</v>
      </c>
      <c r="F132" s="79">
        <v>1080.0</v>
      </c>
      <c r="G132" s="79">
        <v>3161.0</v>
      </c>
      <c r="H132" s="80">
        <v>25.4656921</v>
      </c>
      <c r="I132" s="69"/>
    </row>
    <row r="133">
      <c r="A133" s="78">
        <v>30502.0</v>
      </c>
      <c r="B133" s="88" t="s">
        <v>177</v>
      </c>
      <c r="C133" s="79">
        <v>2367.0</v>
      </c>
      <c r="D133" s="79">
        <v>835.0</v>
      </c>
      <c r="E133" s="80">
        <v>73.9225484</v>
      </c>
      <c r="F133" s="79">
        <v>2081.0</v>
      </c>
      <c r="G133" s="79">
        <v>1525.0</v>
      </c>
      <c r="H133" s="80">
        <v>57.7093733</v>
      </c>
      <c r="I133" s="69"/>
    </row>
    <row r="134">
      <c r="A134" s="78">
        <v>30601.0</v>
      </c>
      <c r="B134" s="88" t="s">
        <v>178</v>
      </c>
      <c r="C134" s="79">
        <v>2772.0</v>
      </c>
      <c r="D134" s="79">
        <v>531.0</v>
      </c>
      <c r="E134" s="80">
        <v>83.9237057</v>
      </c>
      <c r="F134" s="79">
        <v>2842.0</v>
      </c>
      <c r="G134" s="79">
        <v>1058.0</v>
      </c>
      <c r="H134" s="80">
        <v>72.8717949</v>
      </c>
      <c r="I134" s="69"/>
    </row>
    <row r="135">
      <c r="A135" s="78">
        <v>30602.0</v>
      </c>
      <c r="B135" s="88" t="s">
        <v>179</v>
      </c>
      <c r="C135" s="79">
        <v>2034.0</v>
      </c>
      <c r="D135" s="79">
        <v>1303.0</v>
      </c>
      <c r="E135" s="80">
        <v>60.9529518</v>
      </c>
      <c r="F135" s="79">
        <v>2241.0</v>
      </c>
      <c r="G135" s="79">
        <v>1985.0</v>
      </c>
      <c r="H135" s="80">
        <v>53.0288689</v>
      </c>
      <c r="I135" s="69"/>
    </row>
    <row r="136">
      <c r="A136" s="78">
        <v>30701.0</v>
      </c>
      <c r="B136" s="88" t="s">
        <v>180</v>
      </c>
      <c r="C136" s="79">
        <v>2630.0</v>
      </c>
      <c r="D136" s="79">
        <v>3298.0</v>
      </c>
      <c r="E136" s="80">
        <v>44.365722</v>
      </c>
      <c r="F136" s="79">
        <v>2254.0</v>
      </c>
      <c r="G136" s="79">
        <v>4737.0</v>
      </c>
      <c r="H136" s="80">
        <v>32.2414533</v>
      </c>
      <c r="I136" s="69"/>
    </row>
    <row r="137">
      <c r="A137" s="78">
        <v>30702.0</v>
      </c>
      <c r="B137" s="88" t="s">
        <v>181</v>
      </c>
      <c r="C137" s="79">
        <v>1219.0</v>
      </c>
      <c r="D137" s="79">
        <v>1184.0</v>
      </c>
      <c r="E137" s="80">
        <v>50.7282563</v>
      </c>
      <c r="F137" s="79">
        <v>883.0</v>
      </c>
      <c r="G137" s="79">
        <v>2125.0</v>
      </c>
      <c r="H137" s="80">
        <v>29.3550532</v>
      </c>
      <c r="I137" s="69"/>
    </row>
    <row r="138">
      <c r="A138" s="78">
        <v>30703.0</v>
      </c>
      <c r="B138" s="88" t="s">
        <v>182</v>
      </c>
      <c r="C138" s="79">
        <v>777.0</v>
      </c>
      <c r="D138" s="79">
        <v>306.0</v>
      </c>
      <c r="E138" s="80">
        <v>71.7451524</v>
      </c>
      <c r="F138" s="79">
        <v>644.0</v>
      </c>
      <c r="G138" s="79">
        <v>675.0</v>
      </c>
      <c r="H138" s="80">
        <v>48.8248673</v>
      </c>
      <c r="I138" s="69"/>
    </row>
    <row r="139">
      <c r="A139" s="78">
        <v>30801.0</v>
      </c>
      <c r="B139" s="88" t="s">
        <v>184</v>
      </c>
      <c r="C139" s="79">
        <v>1325.0</v>
      </c>
      <c r="D139" s="79">
        <v>4635.0</v>
      </c>
      <c r="E139" s="80">
        <v>22.2315436</v>
      </c>
      <c r="F139" s="79">
        <v>560.0</v>
      </c>
      <c r="G139" s="79">
        <v>5778.0</v>
      </c>
      <c r="H139" s="80">
        <v>8.8355948</v>
      </c>
      <c r="I139" s="69"/>
    </row>
    <row r="140">
      <c r="A140" s="78">
        <v>30802.0</v>
      </c>
      <c r="B140" s="88" t="s">
        <v>185</v>
      </c>
      <c r="C140" s="79">
        <v>1125.0</v>
      </c>
      <c r="D140" s="79">
        <v>936.0</v>
      </c>
      <c r="E140" s="80">
        <v>54.5851528</v>
      </c>
      <c r="F140" s="79">
        <v>892.0</v>
      </c>
      <c r="G140" s="79">
        <v>1680.0</v>
      </c>
      <c r="H140" s="80">
        <v>34.681182</v>
      </c>
      <c r="I140" s="69"/>
    </row>
    <row r="141">
      <c r="A141" s="78">
        <v>30803.0</v>
      </c>
      <c r="B141" s="88" t="s">
        <v>186</v>
      </c>
      <c r="C141" s="79">
        <v>388.0</v>
      </c>
      <c r="D141" s="79">
        <v>1082.0</v>
      </c>
      <c r="E141" s="80">
        <v>26.3945578</v>
      </c>
      <c r="F141" s="79">
        <v>681.0</v>
      </c>
      <c r="G141" s="79">
        <v>1835.0</v>
      </c>
      <c r="H141" s="80">
        <v>27.0667727</v>
      </c>
      <c r="I141" s="69"/>
    </row>
    <row r="142">
      <c r="A142" s="78">
        <v>30901.0</v>
      </c>
      <c r="B142" s="88" t="s">
        <v>187</v>
      </c>
      <c r="C142" s="79">
        <v>3885.0</v>
      </c>
      <c r="D142" s="79">
        <v>32046.0</v>
      </c>
      <c r="E142" s="80">
        <v>10.8123904</v>
      </c>
      <c r="F142" s="79">
        <v>2467.0</v>
      </c>
      <c r="G142" s="79">
        <v>46704.0</v>
      </c>
      <c r="H142" s="80">
        <v>5.0171849</v>
      </c>
      <c r="I142" s="69"/>
    </row>
    <row r="143">
      <c r="A143" s="78">
        <v>30902.0</v>
      </c>
      <c r="B143" s="88" t="s">
        <v>188</v>
      </c>
      <c r="C143" s="79">
        <v>3887.0</v>
      </c>
      <c r="D143" s="79">
        <v>7716.0</v>
      </c>
      <c r="E143" s="80">
        <v>33.4999569</v>
      </c>
      <c r="F143" s="79">
        <v>3043.0</v>
      </c>
      <c r="G143" s="79">
        <v>14781.0</v>
      </c>
      <c r="H143" s="80">
        <v>17.0724865</v>
      </c>
      <c r="I143" s="69"/>
    </row>
    <row r="144">
      <c r="A144" s="78">
        <v>30903.0</v>
      </c>
      <c r="B144" s="88" t="s">
        <v>189</v>
      </c>
      <c r="C144" s="79">
        <v>2090.0</v>
      </c>
      <c r="D144" s="79">
        <v>11767.0</v>
      </c>
      <c r="E144" s="80">
        <v>15.0826297</v>
      </c>
      <c r="F144" s="79">
        <v>931.0</v>
      </c>
      <c r="G144" s="79">
        <v>17001.0</v>
      </c>
      <c r="H144" s="80">
        <v>5.1918358</v>
      </c>
      <c r="I144" s="69"/>
    </row>
    <row r="145">
      <c r="A145" s="78">
        <v>30904.0</v>
      </c>
      <c r="B145" s="88" t="s">
        <v>190</v>
      </c>
      <c r="C145" s="79">
        <v>3896.0</v>
      </c>
      <c r="D145" s="79">
        <v>10416.0</v>
      </c>
      <c r="E145" s="80">
        <v>27.2219117</v>
      </c>
      <c r="F145" s="79">
        <v>1641.0</v>
      </c>
      <c r="G145" s="79">
        <v>15417.0</v>
      </c>
      <c r="H145" s="80">
        <v>9.6201196</v>
      </c>
      <c r="I145" s="69"/>
    </row>
    <row r="146">
      <c r="A146" s="78">
        <v>30905.0</v>
      </c>
      <c r="B146" s="88" t="s">
        <v>191</v>
      </c>
      <c r="C146" s="79">
        <v>695.0</v>
      </c>
      <c r="D146" s="79">
        <v>12819.0</v>
      </c>
      <c r="E146" s="80">
        <v>5.1428149</v>
      </c>
      <c r="F146" s="79">
        <v>465.0</v>
      </c>
      <c r="G146" s="79">
        <v>18725.0</v>
      </c>
      <c r="H146" s="80">
        <v>2.4231371</v>
      </c>
      <c r="I146" s="69"/>
    </row>
    <row r="147">
      <c r="A147" s="78">
        <v>31001.0</v>
      </c>
      <c r="B147" s="88" t="s">
        <v>193</v>
      </c>
      <c r="C147" s="79">
        <v>10273.0</v>
      </c>
      <c r="D147" s="79">
        <v>37263.0</v>
      </c>
      <c r="E147" s="80">
        <v>21.6109896</v>
      </c>
      <c r="F147" s="79">
        <v>8633.0</v>
      </c>
      <c r="G147" s="79">
        <v>60680.0</v>
      </c>
      <c r="H147" s="80">
        <v>12.455095</v>
      </c>
      <c r="I147" s="69"/>
    </row>
    <row r="148">
      <c r="A148" s="78">
        <v>31002.0</v>
      </c>
      <c r="B148" s="88" t="s">
        <v>194</v>
      </c>
      <c r="C148" s="79">
        <v>2390.0</v>
      </c>
      <c r="D148" s="79">
        <v>3632.0</v>
      </c>
      <c r="E148" s="80">
        <v>39.6878114</v>
      </c>
      <c r="F148" s="79">
        <v>2641.0</v>
      </c>
      <c r="G148" s="79">
        <v>5852.0</v>
      </c>
      <c r="H148" s="80">
        <v>31.0961969</v>
      </c>
      <c r="I148" s="69"/>
    </row>
    <row r="149">
      <c r="A149" s="78">
        <v>31003.0</v>
      </c>
      <c r="B149" s="88" t="s">
        <v>195</v>
      </c>
      <c r="C149" s="79">
        <v>10449.0</v>
      </c>
      <c r="D149" s="79">
        <v>16276.0</v>
      </c>
      <c r="E149" s="80">
        <v>39.0982226</v>
      </c>
      <c r="F149" s="79">
        <v>14345.0</v>
      </c>
      <c r="G149" s="79">
        <v>27606.0</v>
      </c>
      <c r="H149" s="80">
        <v>34.1946557</v>
      </c>
      <c r="I149" s="69"/>
    </row>
    <row r="150">
      <c r="A150" s="78">
        <v>31101.0</v>
      </c>
      <c r="B150" s="88" t="s">
        <v>196</v>
      </c>
      <c r="C150" s="79">
        <v>7151.0</v>
      </c>
      <c r="D150" s="79">
        <v>962.0</v>
      </c>
      <c r="E150" s="80">
        <v>88.1424874</v>
      </c>
      <c r="F150" s="79">
        <v>7706.0</v>
      </c>
      <c r="G150" s="79">
        <v>1932.0</v>
      </c>
      <c r="H150" s="80">
        <v>79.9543474</v>
      </c>
      <c r="I150" s="69"/>
    </row>
    <row r="151">
      <c r="A151" s="78">
        <v>31201.0</v>
      </c>
      <c r="B151" s="88" t="s">
        <v>198</v>
      </c>
      <c r="C151" s="79">
        <v>3407.0</v>
      </c>
      <c r="D151" s="79">
        <v>1322.0</v>
      </c>
      <c r="E151" s="80">
        <v>72.0448298</v>
      </c>
      <c r="F151" s="79">
        <v>3355.0</v>
      </c>
      <c r="G151" s="79">
        <v>1996.0</v>
      </c>
      <c r="H151" s="80">
        <v>62.698561</v>
      </c>
      <c r="I151" s="69"/>
    </row>
    <row r="152">
      <c r="A152" s="78">
        <v>31202.0</v>
      </c>
      <c r="B152" s="88" t="s">
        <v>199</v>
      </c>
      <c r="C152" s="79">
        <v>2200.0</v>
      </c>
      <c r="D152" s="79">
        <v>803.0</v>
      </c>
      <c r="E152" s="80">
        <v>73.2600733</v>
      </c>
      <c r="F152" s="79">
        <v>2162.0</v>
      </c>
      <c r="G152" s="79">
        <v>1543.0</v>
      </c>
      <c r="H152" s="80">
        <v>58.3535762</v>
      </c>
      <c r="I152" s="69"/>
    </row>
    <row r="153">
      <c r="A153" s="78">
        <v>31203.0</v>
      </c>
      <c r="B153" s="88" t="s">
        <v>200</v>
      </c>
      <c r="C153" s="79">
        <v>2344.0</v>
      </c>
      <c r="D153" s="79">
        <v>1200.0</v>
      </c>
      <c r="E153" s="80">
        <v>66.1399549</v>
      </c>
      <c r="F153" s="79">
        <v>2463.0</v>
      </c>
      <c r="G153" s="79">
        <v>2390.0</v>
      </c>
      <c r="H153" s="80">
        <v>50.7521121</v>
      </c>
      <c r="I153" s="69"/>
    </row>
    <row r="154">
      <c r="A154" s="78">
        <v>31204.0</v>
      </c>
      <c r="B154" s="88" t="s">
        <v>201</v>
      </c>
      <c r="C154" s="79">
        <v>2513.0</v>
      </c>
      <c r="D154" s="79">
        <v>4750.0</v>
      </c>
      <c r="E154" s="80">
        <v>34.6000275</v>
      </c>
      <c r="F154" s="79">
        <v>2931.0</v>
      </c>
      <c r="G154" s="79">
        <v>7626.0</v>
      </c>
      <c r="H154" s="80">
        <v>27.7635692</v>
      </c>
      <c r="I154" s="69"/>
    </row>
    <row r="155">
      <c r="A155" s="78">
        <v>31205.0</v>
      </c>
      <c r="B155" s="88" t="s">
        <v>202</v>
      </c>
      <c r="C155" s="79">
        <v>6970.0</v>
      </c>
      <c r="D155" s="79">
        <v>9981.0</v>
      </c>
      <c r="E155" s="80">
        <v>41.1185181</v>
      </c>
      <c r="F155" s="79">
        <v>8229.0</v>
      </c>
      <c r="G155" s="79">
        <v>17268.0</v>
      </c>
      <c r="H155" s="80">
        <v>32.2743852</v>
      </c>
      <c r="I155" s="69"/>
    </row>
    <row r="156">
      <c r="A156" s="78">
        <v>31206.0</v>
      </c>
      <c r="B156" s="88" t="s">
        <v>203</v>
      </c>
      <c r="C156" s="79">
        <v>5870.0</v>
      </c>
      <c r="D156" s="79">
        <v>6605.0</v>
      </c>
      <c r="E156" s="80">
        <v>47.0541082</v>
      </c>
      <c r="F156" s="79">
        <v>6233.0</v>
      </c>
      <c r="G156" s="79">
        <v>11945.0</v>
      </c>
      <c r="H156" s="80">
        <v>34.2887006</v>
      </c>
      <c r="I156" s="69"/>
    </row>
    <row r="157">
      <c r="A157" s="78">
        <v>31301.0</v>
      </c>
      <c r="B157" s="88" t="s">
        <v>204</v>
      </c>
      <c r="C157" s="79">
        <v>4568.0</v>
      </c>
      <c r="D157" s="79">
        <v>1352.0</v>
      </c>
      <c r="E157" s="80">
        <v>77.1621622</v>
      </c>
      <c r="F157" s="79">
        <v>3594.0</v>
      </c>
      <c r="G157" s="79">
        <v>3285.0</v>
      </c>
      <c r="H157" s="80">
        <v>52.245966</v>
      </c>
      <c r="I157" s="69"/>
    </row>
    <row r="158">
      <c r="A158" s="78">
        <v>31302.0</v>
      </c>
      <c r="B158" s="88" t="s">
        <v>205</v>
      </c>
      <c r="C158" s="79">
        <v>1218.0</v>
      </c>
      <c r="D158" s="79">
        <v>322.0</v>
      </c>
      <c r="E158" s="80">
        <v>79.0909091</v>
      </c>
      <c r="F158" s="79">
        <v>1384.0</v>
      </c>
      <c r="G158" s="79">
        <v>483.0</v>
      </c>
      <c r="H158" s="80">
        <v>74.1296197</v>
      </c>
      <c r="I158" s="69"/>
    </row>
    <row r="159">
      <c r="A159" s="78">
        <v>31303.0</v>
      </c>
      <c r="B159" s="88" t="s">
        <v>206</v>
      </c>
      <c r="C159" s="79">
        <v>992.0</v>
      </c>
      <c r="D159" s="79">
        <v>130.0</v>
      </c>
      <c r="E159" s="80">
        <v>88.4135472</v>
      </c>
      <c r="F159" s="79">
        <v>1026.0</v>
      </c>
      <c r="G159" s="79">
        <v>252.0</v>
      </c>
      <c r="H159" s="80">
        <v>80.2816901</v>
      </c>
      <c r="I159" s="69"/>
    </row>
    <row r="160">
      <c r="A160" s="78">
        <v>31304.0</v>
      </c>
      <c r="B160" s="88" t="s">
        <v>207</v>
      </c>
      <c r="C160" s="79">
        <v>1888.0</v>
      </c>
      <c r="D160" s="79">
        <v>103.0</v>
      </c>
      <c r="E160" s="80">
        <v>94.8267202</v>
      </c>
      <c r="F160" s="79">
        <v>2298.0</v>
      </c>
      <c r="G160" s="79">
        <v>346.0</v>
      </c>
      <c r="H160" s="80">
        <v>86.913767</v>
      </c>
      <c r="I160" s="69"/>
    </row>
    <row r="161">
      <c r="A161" s="78">
        <v>31401.0</v>
      </c>
      <c r="B161" s="88" t="s">
        <v>208</v>
      </c>
      <c r="C161" s="79">
        <v>1983.0</v>
      </c>
      <c r="D161" s="79">
        <v>6801.0</v>
      </c>
      <c r="E161" s="80">
        <v>22.5751366</v>
      </c>
      <c r="F161" s="79">
        <v>980.0</v>
      </c>
      <c r="G161" s="79">
        <v>10338.0</v>
      </c>
      <c r="H161" s="80">
        <v>8.6587736</v>
      </c>
      <c r="I161" s="69"/>
    </row>
    <row r="162">
      <c r="A162" s="78">
        <v>31402.0</v>
      </c>
      <c r="B162" s="88" t="s">
        <v>209</v>
      </c>
      <c r="C162" s="79">
        <v>1898.0</v>
      </c>
      <c r="D162" s="79">
        <v>1144.0</v>
      </c>
      <c r="E162" s="80">
        <v>62.3931624</v>
      </c>
      <c r="F162" s="79">
        <v>989.0</v>
      </c>
      <c r="G162" s="79">
        <v>2273.0</v>
      </c>
      <c r="H162" s="80">
        <v>30.3188228</v>
      </c>
      <c r="I162" s="69"/>
    </row>
    <row r="163">
      <c r="A163" s="78">
        <v>31403.0</v>
      </c>
      <c r="B163" s="88" t="s">
        <v>210</v>
      </c>
      <c r="C163" s="79">
        <v>1133.0</v>
      </c>
      <c r="D163" s="79">
        <v>2791.0</v>
      </c>
      <c r="E163" s="80">
        <v>28.8735984</v>
      </c>
      <c r="F163" s="79">
        <v>581.0</v>
      </c>
      <c r="G163" s="79">
        <v>3746.0</v>
      </c>
      <c r="H163" s="80">
        <v>13.4273168</v>
      </c>
      <c r="I163" s="69"/>
    </row>
    <row r="164">
      <c r="A164" s="78">
        <v>31404.0</v>
      </c>
      <c r="B164" s="88" t="s">
        <v>211</v>
      </c>
      <c r="C164" s="79">
        <v>274.0</v>
      </c>
      <c r="D164" s="79">
        <v>85.0</v>
      </c>
      <c r="E164" s="80">
        <v>76.3231198</v>
      </c>
      <c r="F164" s="79">
        <v>182.0</v>
      </c>
      <c r="G164" s="79">
        <v>303.0</v>
      </c>
      <c r="H164" s="80">
        <v>37.5257732</v>
      </c>
      <c r="I164" s="69"/>
    </row>
    <row r="165">
      <c r="A165" s="78">
        <v>31405.0</v>
      </c>
      <c r="B165" s="88" t="s">
        <v>212</v>
      </c>
      <c r="C165" s="79">
        <v>461.0</v>
      </c>
      <c r="D165" s="79">
        <v>240.0</v>
      </c>
      <c r="E165" s="80">
        <v>65.7631954</v>
      </c>
      <c r="F165" s="79">
        <v>459.0</v>
      </c>
      <c r="G165" s="79">
        <v>598.0</v>
      </c>
      <c r="H165" s="80">
        <v>43.4247871</v>
      </c>
      <c r="I165" s="69"/>
    </row>
    <row r="166">
      <c r="A166" s="78">
        <v>31501.0</v>
      </c>
      <c r="B166" s="88" t="s">
        <v>213</v>
      </c>
      <c r="C166" s="79">
        <v>2226.0</v>
      </c>
      <c r="D166" s="79">
        <v>140.0</v>
      </c>
      <c r="E166" s="80">
        <v>94.0828402</v>
      </c>
      <c r="F166" s="79">
        <v>2745.0</v>
      </c>
      <c r="G166" s="79">
        <v>466.0</v>
      </c>
      <c r="H166" s="80">
        <v>85.4873871</v>
      </c>
      <c r="I166" s="69"/>
    </row>
    <row r="167">
      <c r="A167" s="78">
        <v>31601.0</v>
      </c>
      <c r="B167" s="88" t="s">
        <v>214</v>
      </c>
      <c r="C167" s="79">
        <v>3515.0</v>
      </c>
      <c r="D167" s="79">
        <v>2981.0</v>
      </c>
      <c r="E167" s="80">
        <v>54.1102217</v>
      </c>
      <c r="F167" s="79">
        <v>2327.0</v>
      </c>
      <c r="G167" s="79">
        <v>4351.0</v>
      </c>
      <c r="H167" s="80">
        <v>34.8457622</v>
      </c>
      <c r="I167" s="69"/>
    </row>
    <row r="168">
      <c r="A168" s="78">
        <v>31602.0</v>
      </c>
      <c r="B168" s="88" t="s">
        <v>215</v>
      </c>
      <c r="C168" s="79">
        <v>2047.0</v>
      </c>
      <c r="D168" s="79">
        <v>5564.0</v>
      </c>
      <c r="E168" s="80">
        <v>26.8952831</v>
      </c>
      <c r="F168" s="79">
        <v>2118.0</v>
      </c>
      <c r="G168" s="79">
        <v>8313.0</v>
      </c>
      <c r="H168" s="80">
        <v>20.3048605</v>
      </c>
      <c r="I168" s="69"/>
    </row>
    <row r="169">
      <c r="A169" s="78">
        <v>40101.0</v>
      </c>
      <c r="B169" s="88" t="s">
        <v>216</v>
      </c>
      <c r="C169" s="79">
        <v>20840.0</v>
      </c>
      <c r="D169" s="79">
        <v>55884.0</v>
      </c>
      <c r="E169" s="80">
        <v>27.162296</v>
      </c>
      <c r="F169" s="79">
        <v>12424.0</v>
      </c>
      <c r="G169" s="79">
        <v>83699.0</v>
      </c>
      <c r="H169" s="80">
        <v>12.9251064</v>
      </c>
      <c r="I169" s="69"/>
    </row>
    <row r="170">
      <c r="A170" s="78">
        <v>40102.0</v>
      </c>
      <c r="B170" s="88" t="s">
        <v>217</v>
      </c>
      <c r="C170" s="79">
        <v>4949.0</v>
      </c>
      <c r="D170" s="79">
        <v>1741.0</v>
      </c>
      <c r="E170" s="80">
        <v>73.9760837</v>
      </c>
      <c r="F170" s="79">
        <v>4304.0</v>
      </c>
      <c r="G170" s="79">
        <v>3668.0</v>
      </c>
      <c r="H170" s="80">
        <v>53.9889614</v>
      </c>
      <c r="I170" s="69"/>
    </row>
    <row r="171">
      <c r="A171" s="78">
        <v>40103.0</v>
      </c>
      <c r="B171" s="88" t="s">
        <v>218</v>
      </c>
      <c r="C171" s="79">
        <v>3185.0</v>
      </c>
      <c r="D171" s="79">
        <v>76.0</v>
      </c>
      <c r="E171" s="80">
        <v>97.6694266</v>
      </c>
      <c r="F171" s="79">
        <v>3468.0</v>
      </c>
      <c r="G171" s="79">
        <v>376.0</v>
      </c>
      <c r="H171" s="80">
        <v>90.2185224</v>
      </c>
      <c r="I171" s="69"/>
    </row>
    <row r="172">
      <c r="A172" s="78">
        <v>40104.0</v>
      </c>
      <c r="B172" s="88" t="s">
        <v>219</v>
      </c>
      <c r="C172" s="79">
        <v>3130.0</v>
      </c>
      <c r="D172" s="79">
        <v>330.0</v>
      </c>
      <c r="E172" s="80">
        <v>90.4624277</v>
      </c>
      <c r="F172" s="79">
        <v>3821.0</v>
      </c>
      <c r="G172" s="79">
        <v>1643.0</v>
      </c>
      <c r="H172" s="80">
        <v>69.9304539</v>
      </c>
      <c r="I172" s="69"/>
    </row>
    <row r="173">
      <c r="A173" s="78">
        <v>40201.0</v>
      </c>
      <c r="B173" s="88" t="s">
        <v>221</v>
      </c>
      <c r="C173" s="79">
        <v>7146.0</v>
      </c>
      <c r="D173" s="79">
        <v>2727.0</v>
      </c>
      <c r="E173" s="80">
        <v>72.379216</v>
      </c>
      <c r="F173" s="79">
        <v>7884.0</v>
      </c>
      <c r="G173" s="79">
        <v>5659.0</v>
      </c>
      <c r="H173" s="80">
        <v>58.2145758</v>
      </c>
      <c r="I173" s="69"/>
    </row>
    <row r="174">
      <c r="A174" s="78">
        <v>40202.0</v>
      </c>
      <c r="B174" s="88" t="s">
        <v>222</v>
      </c>
      <c r="C174" s="79">
        <v>1203.0</v>
      </c>
      <c r="D174" s="79">
        <v>352.0</v>
      </c>
      <c r="E174" s="80">
        <v>77.3633441</v>
      </c>
      <c r="F174" s="79">
        <v>1519.0</v>
      </c>
      <c r="G174" s="79">
        <v>807.0</v>
      </c>
      <c r="H174" s="80">
        <v>65.3052451</v>
      </c>
      <c r="I174" s="69"/>
    </row>
    <row r="175">
      <c r="A175" s="78">
        <v>40301.0</v>
      </c>
      <c r="B175" s="88" t="s">
        <v>224</v>
      </c>
      <c r="C175" s="79">
        <v>3026.0</v>
      </c>
      <c r="D175" s="79">
        <v>146.0</v>
      </c>
      <c r="E175" s="80">
        <v>95.3972257</v>
      </c>
      <c r="F175" s="79">
        <v>3925.0</v>
      </c>
      <c r="G175" s="79">
        <v>742.0</v>
      </c>
      <c r="H175" s="80">
        <v>84.1011356</v>
      </c>
      <c r="I175" s="69"/>
    </row>
    <row r="176">
      <c r="A176" s="78">
        <v>40302.0</v>
      </c>
      <c r="B176" s="88" t="s">
        <v>225</v>
      </c>
      <c r="C176" s="79">
        <v>423.0</v>
      </c>
      <c r="D176" s="79">
        <v>93.0</v>
      </c>
      <c r="E176" s="80">
        <v>81.9767442</v>
      </c>
      <c r="F176" s="79">
        <v>415.0</v>
      </c>
      <c r="G176" s="79">
        <v>256.0</v>
      </c>
      <c r="H176" s="80">
        <v>61.8479881</v>
      </c>
      <c r="I176" s="69"/>
    </row>
    <row r="177">
      <c r="A177" s="78">
        <v>40401.0</v>
      </c>
      <c r="B177" s="88" t="s">
        <v>227</v>
      </c>
      <c r="C177" s="79">
        <v>862.0</v>
      </c>
      <c r="D177" s="79">
        <v>493.0</v>
      </c>
      <c r="E177" s="80">
        <v>63.6162362</v>
      </c>
      <c r="F177" s="79">
        <v>1000.0</v>
      </c>
      <c r="G177" s="79">
        <v>987.0</v>
      </c>
      <c r="H177" s="80">
        <v>50.3271263</v>
      </c>
      <c r="I177" s="69"/>
    </row>
    <row r="178">
      <c r="A178" s="78">
        <v>40402.0</v>
      </c>
      <c r="B178" s="88" t="s">
        <v>228</v>
      </c>
      <c r="C178" s="79">
        <v>1081.0</v>
      </c>
      <c r="D178" s="79">
        <v>475.0</v>
      </c>
      <c r="E178" s="80">
        <v>69.4730077</v>
      </c>
      <c r="F178" s="79">
        <v>1025.0</v>
      </c>
      <c r="G178" s="79">
        <v>735.0</v>
      </c>
      <c r="H178" s="80">
        <v>58.2386364</v>
      </c>
      <c r="I178" s="69"/>
    </row>
    <row r="179">
      <c r="A179" s="78">
        <v>40501.0</v>
      </c>
      <c r="B179" s="88" t="s">
        <v>230</v>
      </c>
      <c r="C179" s="79">
        <v>101.0</v>
      </c>
      <c r="D179" s="79">
        <v>248.0</v>
      </c>
      <c r="E179" s="80">
        <v>28.9398281</v>
      </c>
      <c r="F179" s="79">
        <v>224.0</v>
      </c>
      <c r="G179" s="79">
        <v>968.0</v>
      </c>
      <c r="H179" s="80">
        <v>18.7919463</v>
      </c>
      <c r="I179" s="69"/>
    </row>
    <row r="180">
      <c r="A180" s="78">
        <v>40502.0</v>
      </c>
      <c r="B180" s="88" t="s">
        <v>231</v>
      </c>
      <c r="C180" s="79">
        <v>1025.0</v>
      </c>
      <c r="D180" s="79">
        <v>57.0</v>
      </c>
      <c r="E180" s="80">
        <v>94.7319778</v>
      </c>
      <c r="F180" s="79">
        <v>518.0</v>
      </c>
      <c r="G180" s="79">
        <v>537.0</v>
      </c>
      <c r="H180" s="80">
        <v>49.0995261</v>
      </c>
      <c r="I180" s="69"/>
    </row>
    <row r="181">
      <c r="A181" s="78">
        <v>40503.0</v>
      </c>
      <c r="B181" s="88" t="s">
        <v>232</v>
      </c>
      <c r="C181" s="79">
        <v>549.0</v>
      </c>
      <c r="D181" s="79">
        <v>35.0</v>
      </c>
      <c r="E181" s="80">
        <v>94.0068493</v>
      </c>
      <c r="F181" s="79">
        <v>144.0</v>
      </c>
      <c r="G181" s="79">
        <v>208.0</v>
      </c>
      <c r="H181" s="80">
        <v>40.9090909</v>
      </c>
      <c r="I181" s="69"/>
    </row>
    <row r="182">
      <c r="A182" s="78">
        <v>40504.0</v>
      </c>
      <c r="B182" s="88" t="s">
        <v>233</v>
      </c>
      <c r="C182" s="79">
        <v>167.0</v>
      </c>
      <c r="D182" s="79">
        <v>2.0</v>
      </c>
      <c r="E182" s="80">
        <v>98.816568</v>
      </c>
      <c r="F182" s="79">
        <v>14.0</v>
      </c>
      <c r="G182" s="79">
        <v>159.0</v>
      </c>
      <c r="H182" s="80">
        <v>8.0924855</v>
      </c>
      <c r="I182" s="69"/>
    </row>
    <row r="183">
      <c r="A183" s="78">
        <v>40505.0</v>
      </c>
      <c r="B183" s="88" t="s">
        <v>234</v>
      </c>
      <c r="C183" s="79">
        <v>631.0</v>
      </c>
      <c r="D183" s="79">
        <v>88.0</v>
      </c>
      <c r="E183" s="80">
        <v>87.7607789</v>
      </c>
      <c r="F183" s="79">
        <v>347.0</v>
      </c>
      <c r="G183" s="79">
        <v>526.0</v>
      </c>
      <c r="H183" s="80">
        <v>39.7479954</v>
      </c>
      <c r="I183" s="69"/>
    </row>
    <row r="184">
      <c r="A184" s="78">
        <v>40601.0</v>
      </c>
      <c r="B184" s="88" t="s">
        <v>235</v>
      </c>
      <c r="C184" s="79">
        <v>2061.0</v>
      </c>
      <c r="D184" s="79">
        <v>778.0</v>
      </c>
      <c r="E184" s="80">
        <v>72.5959845</v>
      </c>
      <c r="F184" s="79">
        <v>1782.0</v>
      </c>
      <c r="G184" s="79">
        <v>1880.0</v>
      </c>
      <c r="H184" s="80">
        <v>48.6619334</v>
      </c>
      <c r="I184" s="69"/>
    </row>
    <row r="185">
      <c r="A185" s="78">
        <v>40602.0</v>
      </c>
      <c r="B185" s="88" t="s">
        <v>236</v>
      </c>
      <c r="C185" s="79">
        <v>1838.0</v>
      </c>
      <c r="D185" s="79">
        <v>347.0</v>
      </c>
      <c r="E185" s="80">
        <v>84.1189931</v>
      </c>
      <c r="F185" s="79">
        <v>1179.0</v>
      </c>
      <c r="G185" s="79">
        <v>590.0</v>
      </c>
      <c r="H185" s="80">
        <v>66.6478236</v>
      </c>
      <c r="I185" s="69"/>
    </row>
    <row r="186">
      <c r="A186" s="78">
        <v>40603.0</v>
      </c>
      <c r="B186" s="88" t="s">
        <v>237</v>
      </c>
      <c r="C186" s="79">
        <v>795.0</v>
      </c>
      <c r="D186" s="79">
        <v>363.0</v>
      </c>
      <c r="E186" s="80">
        <v>68.6528497</v>
      </c>
      <c r="F186" s="79">
        <v>800.0</v>
      </c>
      <c r="G186" s="79">
        <v>650.0</v>
      </c>
      <c r="H186" s="80">
        <v>55.1724138</v>
      </c>
      <c r="I186" s="69"/>
    </row>
    <row r="187">
      <c r="A187" s="78">
        <v>40701.0</v>
      </c>
      <c r="B187" s="88" t="s">
        <v>239</v>
      </c>
      <c r="C187" s="79">
        <v>3830.0</v>
      </c>
      <c r="D187" s="79">
        <v>3359.0</v>
      </c>
      <c r="E187" s="80">
        <v>53.2758381</v>
      </c>
      <c r="F187" s="79">
        <v>1702.0</v>
      </c>
      <c r="G187" s="79">
        <v>4721.0</v>
      </c>
      <c r="H187" s="80">
        <v>26.4985209</v>
      </c>
      <c r="I187" s="69"/>
    </row>
    <row r="188">
      <c r="A188" s="78">
        <v>40702.0</v>
      </c>
      <c r="B188" s="88" t="s">
        <v>240</v>
      </c>
      <c r="C188" s="79">
        <v>937.0</v>
      </c>
      <c r="D188" s="79">
        <v>621.0</v>
      </c>
      <c r="E188" s="80">
        <v>60.1412067</v>
      </c>
      <c r="F188" s="79">
        <v>823.0</v>
      </c>
      <c r="G188" s="79">
        <v>1353.0</v>
      </c>
      <c r="H188" s="80">
        <v>37.8216912</v>
      </c>
      <c r="I188" s="69"/>
    </row>
    <row r="189">
      <c r="A189" s="78">
        <v>40801.0</v>
      </c>
      <c r="B189" s="88" t="s">
        <v>242</v>
      </c>
      <c r="C189" s="79">
        <v>3328.0</v>
      </c>
      <c r="D189" s="79">
        <v>599.0</v>
      </c>
      <c r="E189" s="80">
        <v>84.7466259</v>
      </c>
      <c r="F189" s="79">
        <v>3594.0</v>
      </c>
      <c r="G189" s="79">
        <v>2375.0</v>
      </c>
      <c r="H189" s="80">
        <v>60.2110906</v>
      </c>
      <c r="I189" s="69"/>
    </row>
    <row r="190">
      <c r="A190" s="78">
        <v>40802.0</v>
      </c>
      <c r="B190" s="88" t="s">
        <v>243</v>
      </c>
      <c r="C190" s="79">
        <v>855.0</v>
      </c>
      <c r="D190" s="79">
        <v>185.0</v>
      </c>
      <c r="E190" s="80">
        <v>82.2115385</v>
      </c>
      <c r="F190" s="79">
        <v>778.0</v>
      </c>
      <c r="G190" s="79">
        <v>497.0</v>
      </c>
      <c r="H190" s="80">
        <v>61.0196078</v>
      </c>
      <c r="I190" s="69"/>
    </row>
    <row r="191">
      <c r="A191" s="78">
        <v>40901.0</v>
      </c>
      <c r="B191" s="88" t="s">
        <v>244</v>
      </c>
      <c r="C191" s="79">
        <v>1992.0</v>
      </c>
      <c r="D191" s="79">
        <v>255.0</v>
      </c>
      <c r="E191" s="80">
        <v>88.6515354</v>
      </c>
      <c r="F191" s="79">
        <v>2136.0</v>
      </c>
      <c r="G191" s="79">
        <v>1719.0</v>
      </c>
      <c r="H191" s="80">
        <v>55.4085603</v>
      </c>
      <c r="I191" s="69"/>
    </row>
    <row r="192">
      <c r="A192" s="78">
        <v>40902.0</v>
      </c>
      <c r="B192" s="88" t="s">
        <v>245</v>
      </c>
      <c r="C192" s="79">
        <v>240.0</v>
      </c>
      <c r="D192" s="79">
        <v>13.0</v>
      </c>
      <c r="E192" s="80">
        <v>94.8616601</v>
      </c>
      <c r="F192" s="79">
        <v>185.0</v>
      </c>
      <c r="G192" s="79">
        <v>172.0</v>
      </c>
      <c r="H192" s="80">
        <v>51.8207283</v>
      </c>
      <c r="I192" s="69"/>
    </row>
    <row r="193">
      <c r="A193" s="78">
        <v>40903.0</v>
      </c>
      <c r="B193" s="88" t="s">
        <v>246</v>
      </c>
      <c r="C193" s="79">
        <v>380.0</v>
      </c>
      <c r="D193" s="79">
        <v>210.0</v>
      </c>
      <c r="E193" s="80">
        <v>64.4067797</v>
      </c>
      <c r="F193" s="79">
        <v>681.0</v>
      </c>
      <c r="G193" s="79">
        <v>424.0</v>
      </c>
      <c r="H193" s="80">
        <v>61.6289593</v>
      </c>
      <c r="I193" s="69"/>
    </row>
    <row r="194">
      <c r="A194" s="78">
        <v>41001.0</v>
      </c>
      <c r="B194" s="88" t="s">
        <v>248</v>
      </c>
      <c r="C194" s="79">
        <v>4067.0</v>
      </c>
      <c r="D194" s="79">
        <v>264.0</v>
      </c>
      <c r="E194" s="80">
        <v>93.9044101</v>
      </c>
      <c r="F194" s="79">
        <v>3962.0</v>
      </c>
      <c r="G194" s="79">
        <v>770.0</v>
      </c>
      <c r="H194" s="80">
        <v>83.7278107</v>
      </c>
      <c r="I194" s="69"/>
    </row>
    <row r="195">
      <c r="A195" s="78">
        <v>41101.0</v>
      </c>
      <c r="B195" s="88" t="s">
        <v>250</v>
      </c>
      <c r="C195" s="79">
        <v>1536.0</v>
      </c>
      <c r="D195" s="79">
        <v>362.0</v>
      </c>
      <c r="E195" s="80">
        <v>80.9272919</v>
      </c>
      <c r="F195" s="79">
        <v>1100.0</v>
      </c>
      <c r="G195" s="79">
        <v>836.0</v>
      </c>
      <c r="H195" s="80">
        <v>56.8181818</v>
      </c>
      <c r="I195" s="69"/>
    </row>
    <row r="196">
      <c r="A196" s="78">
        <v>41201.0</v>
      </c>
      <c r="B196" s="88" t="s">
        <v>252</v>
      </c>
      <c r="C196" s="79">
        <v>1873.0</v>
      </c>
      <c r="D196" s="79">
        <v>119.0</v>
      </c>
      <c r="E196" s="80">
        <v>94.0261044</v>
      </c>
      <c r="F196" s="79">
        <v>1620.0</v>
      </c>
      <c r="G196" s="79">
        <v>665.0</v>
      </c>
      <c r="H196" s="80">
        <v>70.8971554</v>
      </c>
      <c r="I196" s="69"/>
    </row>
    <row r="197">
      <c r="A197" s="78">
        <v>41202.0</v>
      </c>
      <c r="B197" s="88" t="s">
        <v>253</v>
      </c>
      <c r="C197" s="79">
        <v>709.0</v>
      </c>
      <c r="D197" s="79">
        <v>19.0</v>
      </c>
      <c r="E197" s="80">
        <v>97.3901099</v>
      </c>
      <c r="F197" s="79">
        <v>670.0</v>
      </c>
      <c r="G197" s="79">
        <v>429.0</v>
      </c>
      <c r="H197" s="80">
        <v>60.9645132</v>
      </c>
      <c r="I197" s="69"/>
    </row>
    <row r="198">
      <c r="A198" s="78">
        <v>41301.0</v>
      </c>
      <c r="B198" s="88" t="s">
        <v>198</v>
      </c>
      <c r="C198" s="79">
        <v>1647.0</v>
      </c>
      <c r="D198" s="79">
        <v>239.0</v>
      </c>
      <c r="E198" s="80">
        <v>87.3276776</v>
      </c>
      <c r="F198" s="79">
        <v>1886.0</v>
      </c>
      <c r="G198" s="79">
        <v>762.0</v>
      </c>
      <c r="H198" s="80">
        <v>71.223565</v>
      </c>
      <c r="I198" s="69"/>
    </row>
    <row r="199">
      <c r="A199" s="78">
        <v>41401.0</v>
      </c>
      <c r="B199" s="88" t="s">
        <v>256</v>
      </c>
      <c r="C199" s="79">
        <v>3374.0</v>
      </c>
      <c r="D199" s="79">
        <v>928.0</v>
      </c>
      <c r="E199" s="80">
        <v>78.4286378</v>
      </c>
      <c r="F199" s="79">
        <v>2978.0</v>
      </c>
      <c r="G199" s="79">
        <v>1661.0</v>
      </c>
      <c r="H199" s="80">
        <v>64.1948696</v>
      </c>
      <c r="I199" s="69"/>
    </row>
    <row r="200">
      <c r="A200" s="78">
        <v>41501.0</v>
      </c>
      <c r="B200" s="88" t="s">
        <v>258</v>
      </c>
      <c r="C200" s="79">
        <v>153.0</v>
      </c>
      <c r="D200" s="79">
        <v>28.0</v>
      </c>
      <c r="E200" s="80">
        <v>84.5303867</v>
      </c>
      <c r="F200" s="79">
        <v>142.0</v>
      </c>
      <c r="G200" s="79">
        <v>141.0</v>
      </c>
      <c r="H200" s="80">
        <v>50.1766784</v>
      </c>
      <c r="I200" s="69"/>
    </row>
    <row r="201">
      <c r="A201" s="78">
        <v>41502.0</v>
      </c>
      <c r="B201" s="88" t="s">
        <v>259</v>
      </c>
      <c r="C201" s="79">
        <v>166.0</v>
      </c>
      <c r="D201" s="79">
        <v>27.0</v>
      </c>
      <c r="E201" s="80">
        <v>86.0103627</v>
      </c>
      <c r="F201" s="79">
        <v>112.0</v>
      </c>
      <c r="G201" s="79">
        <v>217.0</v>
      </c>
      <c r="H201" s="80">
        <v>34.0425532</v>
      </c>
      <c r="I201" s="69"/>
    </row>
    <row r="202">
      <c r="A202" s="78">
        <v>41503.0</v>
      </c>
      <c r="B202" s="88" t="s">
        <v>223</v>
      </c>
      <c r="C202" s="79">
        <v>234.0</v>
      </c>
      <c r="D202" s="79">
        <v>11.0</v>
      </c>
      <c r="E202" s="80">
        <v>95.5102041</v>
      </c>
      <c r="F202" s="79">
        <v>150.0</v>
      </c>
      <c r="G202" s="79">
        <v>107.0</v>
      </c>
      <c r="H202" s="80">
        <v>58.3657588</v>
      </c>
      <c r="I202" s="69"/>
    </row>
    <row r="203">
      <c r="A203" s="78">
        <v>41601.0</v>
      </c>
      <c r="B203" s="88" t="s">
        <v>261</v>
      </c>
      <c r="C203" s="79">
        <v>2097.0</v>
      </c>
      <c r="D203" s="79">
        <v>157.0</v>
      </c>
      <c r="E203" s="80">
        <v>93.0346051</v>
      </c>
      <c r="F203" s="79">
        <v>2004.0</v>
      </c>
      <c r="G203" s="79">
        <v>718.0</v>
      </c>
      <c r="H203" s="80">
        <v>73.6223365</v>
      </c>
      <c r="I203" s="69"/>
    </row>
    <row r="204">
      <c r="A204" s="78">
        <v>50101.0</v>
      </c>
      <c r="B204" s="88" t="s">
        <v>262</v>
      </c>
      <c r="C204" s="79">
        <v>9584.0</v>
      </c>
      <c r="D204" s="79">
        <v>42022.0</v>
      </c>
      <c r="E204" s="80">
        <v>18.5714839</v>
      </c>
      <c r="F204" s="79">
        <v>9263.0</v>
      </c>
      <c r="G204" s="79">
        <v>58116.0</v>
      </c>
      <c r="H204" s="80">
        <v>13.7476068</v>
      </c>
      <c r="I204" s="69"/>
    </row>
    <row r="205">
      <c r="A205" s="78">
        <v>50102.0</v>
      </c>
      <c r="B205" s="88" t="s">
        <v>264</v>
      </c>
      <c r="C205" s="79">
        <v>6728.0</v>
      </c>
      <c r="D205" s="79">
        <v>817.0</v>
      </c>
      <c r="E205" s="80">
        <v>89.1716368</v>
      </c>
      <c r="F205" s="79">
        <v>8641.0</v>
      </c>
      <c r="G205" s="79">
        <v>1155.0</v>
      </c>
      <c r="H205" s="80">
        <v>88.2094733</v>
      </c>
      <c r="I205" s="69"/>
    </row>
    <row r="206">
      <c r="A206" s="78">
        <v>50103.0</v>
      </c>
      <c r="B206" s="88" t="s">
        <v>265</v>
      </c>
      <c r="C206" s="79">
        <v>2032.0</v>
      </c>
      <c r="D206" s="79">
        <v>884.0</v>
      </c>
      <c r="E206" s="80">
        <v>69.6844993</v>
      </c>
      <c r="F206" s="79">
        <v>2275.0</v>
      </c>
      <c r="G206" s="79">
        <v>1916.0</v>
      </c>
      <c r="H206" s="80">
        <v>54.2829874</v>
      </c>
      <c r="I206" s="69"/>
    </row>
    <row r="207">
      <c r="A207" s="78">
        <v>50104.0</v>
      </c>
      <c r="B207" s="88" t="s">
        <v>266</v>
      </c>
      <c r="C207" s="79">
        <v>988.0</v>
      </c>
      <c r="D207" s="79">
        <v>114.0</v>
      </c>
      <c r="E207" s="80">
        <v>89.6551724</v>
      </c>
      <c r="F207" s="79">
        <v>962.0</v>
      </c>
      <c r="G207" s="79">
        <v>259.0</v>
      </c>
      <c r="H207" s="80">
        <v>78.7878788</v>
      </c>
      <c r="I207" s="69"/>
    </row>
    <row r="208">
      <c r="A208" s="78">
        <v>50201.0</v>
      </c>
      <c r="B208" s="88" t="s">
        <v>268</v>
      </c>
      <c r="C208" s="79">
        <v>4138.0</v>
      </c>
      <c r="D208" s="79">
        <v>2482.0</v>
      </c>
      <c r="E208" s="80">
        <v>62.5075529</v>
      </c>
      <c r="F208" s="79">
        <v>4655.0</v>
      </c>
      <c r="G208" s="79">
        <v>3782.0</v>
      </c>
      <c r="H208" s="80">
        <v>55.1736399</v>
      </c>
      <c r="I208" s="69"/>
    </row>
    <row r="209">
      <c r="A209" s="78">
        <v>50202.0</v>
      </c>
      <c r="B209" s="88" t="s">
        <v>269</v>
      </c>
      <c r="C209" s="79">
        <v>3702.0</v>
      </c>
      <c r="D209" s="79">
        <v>965.0</v>
      </c>
      <c r="E209" s="80">
        <v>79.3229055</v>
      </c>
      <c r="F209" s="79">
        <v>3421.0</v>
      </c>
      <c r="G209" s="79">
        <v>2237.0</v>
      </c>
      <c r="H209" s="80">
        <v>60.4630612</v>
      </c>
      <c r="I209" s="69"/>
    </row>
    <row r="210">
      <c r="A210" s="78">
        <v>50203.0</v>
      </c>
      <c r="B210" s="88" t="s">
        <v>270</v>
      </c>
      <c r="C210" s="79">
        <v>5437.0</v>
      </c>
      <c r="D210" s="79">
        <v>6972.0</v>
      </c>
      <c r="E210" s="80">
        <v>43.814973</v>
      </c>
      <c r="F210" s="79">
        <v>5288.0</v>
      </c>
      <c r="G210" s="79">
        <v>10729.0</v>
      </c>
      <c r="H210" s="80">
        <v>33.0149216</v>
      </c>
      <c r="I210" s="69"/>
    </row>
    <row r="211">
      <c r="A211" s="78">
        <v>50204.0</v>
      </c>
      <c r="B211" s="88" t="s">
        <v>271</v>
      </c>
      <c r="C211" s="79">
        <v>2125.0</v>
      </c>
      <c r="D211" s="79">
        <v>144.0</v>
      </c>
      <c r="E211" s="80">
        <v>93.6535919</v>
      </c>
      <c r="F211" s="79">
        <v>2404.0</v>
      </c>
      <c r="G211" s="79">
        <v>628.0</v>
      </c>
      <c r="H211" s="80">
        <v>79.2875989</v>
      </c>
      <c r="I211" s="69"/>
    </row>
    <row r="212">
      <c r="A212" s="78">
        <v>50301.0</v>
      </c>
      <c r="B212" s="88" t="s">
        <v>273</v>
      </c>
      <c r="C212" s="79">
        <v>7036.0</v>
      </c>
      <c r="D212" s="79">
        <v>2685.0</v>
      </c>
      <c r="E212" s="80">
        <v>72.3793848</v>
      </c>
      <c r="F212" s="79">
        <v>6146.0</v>
      </c>
      <c r="G212" s="79">
        <v>4775.0</v>
      </c>
      <c r="H212" s="80">
        <v>56.2768977</v>
      </c>
      <c r="I212" s="69"/>
    </row>
    <row r="213">
      <c r="A213" s="78">
        <v>50302.0</v>
      </c>
      <c r="B213" s="88" t="s">
        <v>274</v>
      </c>
      <c r="C213" s="79">
        <v>2383.0</v>
      </c>
      <c r="D213" s="79">
        <v>839.0</v>
      </c>
      <c r="E213" s="80">
        <v>73.9602731</v>
      </c>
      <c r="F213" s="79">
        <v>2089.0</v>
      </c>
      <c r="G213" s="79">
        <v>1393.0</v>
      </c>
      <c r="H213" s="80">
        <v>59.9942562</v>
      </c>
      <c r="I213" s="69"/>
    </row>
    <row r="214">
      <c r="A214" s="78">
        <v>50303.0</v>
      </c>
      <c r="B214" s="88" t="s">
        <v>275</v>
      </c>
      <c r="C214" s="79">
        <v>3801.0</v>
      </c>
      <c r="D214" s="79">
        <v>96.0</v>
      </c>
      <c r="E214" s="80">
        <v>97.5365666</v>
      </c>
      <c r="F214" s="79">
        <v>4703.0</v>
      </c>
      <c r="G214" s="79">
        <v>478.0</v>
      </c>
      <c r="H214" s="80">
        <v>90.7739819</v>
      </c>
      <c r="I214" s="69"/>
    </row>
    <row r="215">
      <c r="A215" s="78">
        <v>50401.0</v>
      </c>
      <c r="B215" s="88" t="s">
        <v>276</v>
      </c>
      <c r="C215" s="79">
        <v>3302.0</v>
      </c>
      <c r="D215" s="79">
        <v>984.0</v>
      </c>
      <c r="E215" s="80">
        <v>77.0415306</v>
      </c>
      <c r="F215" s="79">
        <v>4425.0</v>
      </c>
      <c r="G215" s="79">
        <v>2072.0</v>
      </c>
      <c r="H215" s="80">
        <v>68.1083577</v>
      </c>
      <c r="I215" s="69"/>
    </row>
    <row r="216">
      <c r="A216" s="78">
        <v>50402.0</v>
      </c>
      <c r="B216" s="88" t="s">
        <v>277</v>
      </c>
      <c r="C216" s="79">
        <v>4866.0</v>
      </c>
      <c r="D216" s="79">
        <v>1819.0</v>
      </c>
      <c r="E216" s="80">
        <v>72.789828</v>
      </c>
      <c r="F216" s="79">
        <v>5100.0</v>
      </c>
      <c r="G216" s="79">
        <v>1780.0</v>
      </c>
      <c r="H216" s="80">
        <v>74.127907</v>
      </c>
      <c r="I216" s="69"/>
    </row>
    <row r="217">
      <c r="A217" s="78">
        <v>50403.0</v>
      </c>
      <c r="B217" s="88" t="s">
        <v>278</v>
      </c>
      <c r="C217" s="79">
        <v>7538.0</v>
      </c>
      <c r="D217" s="79">
        <v>898.0</v>
      </c>
      <c r="E217" s="80">
        <v>89.3551446</v>
      </c>
      <c r="F217" s="79">
        <v>10150.0</v>
      </c>
      <c r="G217" s="79">
        <v>2388.0</v>
      </c>
      <c r="H217" s="80">
        <v>80.9539001</v>
      </c>
      <c r="I217" s="69"/>
    </row>
    <row r="218">
      <c r="A218" s="78">
        <v>50404.0</v>
      </c>
      <c r="B218" s="88" t="s">
        <v>279</v>
      </c>
      <c r="C218" s="79">
        <v>4273.0</v>
      </c>
      <c r="D218" s="79">
        <v>820.0</v>
      </c>
      <c r="E218" s="80">
        <v>83.8994699</v>
      </c>
      <c r="F218" s="79">
        <v>4941.0</v>
      </c>
      <c r="G218" s="79">
        <v>1240.0</v>
      </c>
      <c r="H218" s="80">
        <v>79.9385213</v>
      </c>
      <c r="I218" s="69"/>
    </row>
    <row r="219">
      <c r="A219" s="78">
        <v>50405.0</v>
      </c>
      <c r="B219" s="88" t="s">
        <v>280</v>
      </c>
      <c r="C219" s="79">
        <v>5196.0</v>
      </c>
      <c r="D219" s="79">
        <v>1168.0</v>
      </c>
      <c r="E219" s="80">
        <v>81.646763</v>
      </c>
      <c r="F219" s="79">
        <v>6651.0</v>
      </c>
      <c r="G219" s="79">
        <v>1787.0</v>
      </c>
      <c r="H219" s="80">
        <v>78.8219957</v>
      </c>
      <c r="I219" s="69"/>
    </row>
    <row r="220">
      <c r="A220" s="78">
        <v>50501.0</v>
      </c>
      <c r="B220" s="88" t="s">
        <v>282</v>
      </c>
      <c r="C220" s="79">
        <v>7642.0</v>
      </c>
      <c r="D220" s="79">
        <v>635.0</v>
      </c>
      <c r="E220" s="80">
        <v>92.3281382</v>
      </c>
      <c r="F220" s="79">
        <v>9719.0</v>
      </c>
      <c r="G220" s="79">
        <v>1584.0</v>
      </c>
      <c r="H220" s="80">
        <v>85.9860214</v>
      </c>
      <c r="I220" s="69"/>
    </row>
    <row r="221">
      <c r="A221" s="78">
        <v>50502.0</v>
      </c>
      <c r="B221" s="88" t="s">
        <v>283</v>
      </c>
      <c r="C221" s="79">
        <v>2790.0</v>
      </c>
      <c r="D221" s="79">
        <v>721.0</v>
      </c>
      <c r="E221" s="80">
        <v>79.46454</v>
      </c>
      <c r="F221" s="79">
        <v>2987.0</v>
      </c>
      <c r="G221" s="79">
        <v>1205.0</v>
      </c>
      <c r="H221" s="80">
        <v>71.254771</v>
      </c>
      <c r="I221" s="69"/>
    </row>
    <row r="222">
      <c r="A222" s="78">
        <v>50601.0</v>
      </c>
      <c r="B222" s="88" t="s">
        <v>285</v>
      </c>
      <c r="C222" s="79">
        <v>6881.0</v>
      </c>
      <c r="D222" s="79">
        <v>2590.0</v>
      </c>
      <c r="E222" s="80">
        <v>72.6533629</v>
      </c>
      <c r="F222" s="79">
        <v>5922.0</v>
      </c>
      <c r="G222" s="79">
        <v>5302.0</v>
      </c>
      <c r="H222" s="80">
        <v>52.7619387</v>
      </c>
      <c r="I222" s="69"/>
    </row>
    <row r="223">
      <c r="A223" s="78">
        <v>50602.0</v>
      </c>
      <c r="B223" s="88" t="s">
        <v>286</v>
      </c>
      <c r="C223" s="79">
        <v>2179.0</v>
      </c>
      <c r="D223" s="79">
        <v>945.0</v>
      </c>
      <c r="E223" s="80">
        <v>69.7503201</v>
      </c>
      <c r="F223" s="79">
        <v>1999.0</v>
      </c>
      <c r="G223" s="79">
        <v>1881.0</v>
      </c>
      <c r="H223" s="80">
        <v>51.5206186</v>
      </c>
      <c r="I223" s="69"/>
    </row>
    <row r="224">
      <c r="A224" s="78">
        <v>50701.0</v>
      </c>
      <c r="B224" s="88" t="s">
        <v>288</v>
      </c>
      <c r="C224" s="79">
        <v>4741.0</v>
      </c>
      <c r="D224" s="79">
        <v>877.0</v>
      </c>
      <c r="E224" s="80">
        <v>84.3894624</v>
      </c>
      <c r="F224" s="79">
        <v>5146.0</v>
      </c>
      <c r="G224" s="79">
        <v>1633.0</v>
      </c>
      <c r="H224" s="80">
        <v>75.9109013</v>
      </c>
      <c r="I224" s="69"/>
    </row>
    <row r="225">
      <c r="A225" s="78">
        <v>50702.0</v>
      </c>
      <c r="B225" s="88" t="s">
        <v>289</v>
      </c>
      <c r="C225" s="79">
        <v>2353.0</v>
      </c>
      <c r="D225" s="79">
        <v>388.0</v>
      </c>
      <c r="E225" s="80">
        <v>85.8445823</v>
      </c>
      <c r="F225" s="79">
        <v>3015.0</v>
      </c>
      <c r="G225" s="79">
        <v>502.0</v>
      </c>
      <c r="H225" s="80">
        <v>85.7264714</v>
      </c>
      <c r="I225" s="69"/>
    </row>
    <row r="226">
      <c r="A226" s="78">
        <v>50801.0</v>
      </c>
      <c r="B226" s="88" t="s">
        <v>291</v>
      </c>
      <c r="C226" s="79">
        <v>4811.0</v>
      </c>
      <c r="D226" s="79">
        <v>8508.0</v>
      </c>
      <c r="E226" s="80">
        <v>36.1213304</v>
      </c>
      <c r="F226" s="79">
        <v>3211.0</v>
      </c>
      <c r="G226" s="79">
        <v>12665.0</v>
      </c>
      <c r="H226" s="80">
        <v>20.2254976</v>
      </c>
      <c r="I226" s="69"/>
    </row>
    <row r="227">
      <c r="A227" s="78">
        <v>50802.0</v>
      </c>
      <c r="B227" s="88" t="s">
        <v>292</v>
      </c>
      <c r="C227" s="79">
        <v>2773.0</v>
      </c>
      <c r="D227" s="79">
        <v>803.0</v>
      </c>
      <c r="E227" s="80">
        <v>77.5447427</v>
      </c>
      <c r="F227" s="79">
        <v>2218.0</v>
      </c>
      <c r="G227" s="79">
        <v>1533.0</v>
      </c>
      <c r="H227" s="80">
        <v>59.1308984</v>
      </c>
      <c r="I227" s="69"/>
    </row>
    <row r="228">
      <c r="A228" s="78">
        <v>50901.0</v>
      </c>
      <c r="B228" s="88" t="s">
        <v>294</v>
      </c>
      <c r="C228" s="79">
        <v>2329.0</v>
      </c>
      <c r="D228" s="79">
        <v>978.0</v>
      </c>
      <c r="E228" s="80">
        <v>70.4263683</v>
      </c>
      <c r="F228" s="79">
        <v>1116.0</v>
      </c>
      <c r="G228" s="79">
        <v>3049.0</v>
      </c>
      <c r="H228" s="80">
        <v>26.7947179</v>
      </c>
      <c r="I228" s="69"/>
    </row>
    <row r="229">
      <c r="A229" s="78">
        <v>50902.0</v>
      </c>
      <c r="B229" s="88" t="s">
        <v>295</v>
      </c>
      <c r="C229" s="79">
        <v>272.0</v>
      </c>
      <c r="D229" s="79">
        <v>100.0</v>
      </c>
      <c r="E229" s="80">
        <v>73.1182796</v>
      </c>
      <c r="F229" s="79">
        <v>237.0</v>
      </c>
      <c r="G229" s="79">
        <v>420.0</v>
      </c>
      <c r="H229" s="80">
        <v>36.0730594</v>
      </c>
      <c r="I229" s="69"/>
    </row>
    <row r="230">
      <c r="A230" s="78">
        <v>51001.0</v>
      </c>
      <c r="B230" s="88" t="s">
        <v>297</v>
      </c>
      <c r="C230" s="79">
        <v>713.0</v>
      </c>
      <c r="D230" s="79">
        <v>158.0</v>
      </c>
      <c r="E230" s="80">
        <v>81.8599311</v>
      </c>
      <c r="F230" s="79">
        <v>586.0</v>
      </c>
      <c r="G230" s="79">
        <v>525.0</v>
      </c>
      <c r="H230" s="80">
        <v>52.7452745</v>
      </c>
      <c r="I230" s="69"/>
    </row>
    <row r="231">
      <c r="A231" s="78">
        <v>51002.0</v>
      </c>
      <c r="B231" s="88" t="s">
        <v>298</v>
      </c>
      <c r="C231" s="79">
        <v>253.0</v>
      </c>
      <c r="D231" s="79">
        <v>105.0</v>
      </c>
      <c r="E231" s="80">
        <v>70.6703911</v>
      </c>
      <c r="F231" s="79">
        <v>138.0</v>
      </c>
      <c r="G231" s="79">
        <v>186.0</v>
      </c>
      <c r="H231" s="80">
        <v>42.5925926</v>
      </c>
      <c r="I231" s="69"/>
    </row>
    <row r="232">
      <c r="A232" s="78">
        <v>51003.0</v>
      </c>
      <c r="B232" s="88" t="s">
        <v>299</v>
      </c>
      <c r="C232" s="79">
        <v>505.0</v>
      </c>
      <c r="D232" s="79">
        <v>210.0</v>
      </c>
      <c r="E232" s="80">
        <v>70.6293706</v>
      </c>
      <c r="F232" s="79">
        <v>287.0</v>
      </c>
      <c r="G232" s="79">
        <v>403.0</v>
      </c>
      <c r="H232" s="80">
        <v>41.5942029</v>
      </c>
      <c r="I232" s="69"/>
    </row>
    <row r="233">
      <c r="A233" s="78">
        <v>51101.0</v>
      </c>
      <c r="B233" s="88" t="s">
        <v>301</v>
      </c>
      <c r="C233" s="79">
        <v>5022.0</v>
      </c>
      <c r="D233" s="79">
        <v>2081.0</v>
      </c>
      <c r="E233" s="80">
        <v>70.7025201</v>
      </c>
      <c r="F233" s="79">
        <v>3094.0</v>
      </c>
      <c r="G233" s="79">
        <v>3157.0</v>
      </c>
      <c r="H233" s="80">
        <v>49.4960806</v>
      </c>
      <c r="I233" s="69"/>
    </row>
    <row r="234">
      <c r="A234" s="78">
        <v>51102.0</v>
      </c>
      <c r="B234" s="88" t="s">
        <v>302</v>
      </c>
      <c r="C234" s="79">
        <v>2550.0</v>
      </c>
      <c r="D234" s="79">
        <v>993.0</v>
      </c>
      <c r="E234" s="80">
        <v>71.9729043</v>
      </c>
      <c r="F234" s="79">
        <v>2130.0</v>
      </c>
      <c r="G234" s="79">
        <v>2513.0</v>
      </c>
      <c r="H234" s="80">
        <v>45.8755115</v>
      </c>
      <c r="I234" s="69"/>
    </row>
    <row r="235">
      <c r="A235" s="78">
        <v>51103.0</v>
      </c>
      <c r="B235" s="88" t="s">
        <v>303</v>
      </c>
      <c r="C235" s="79">
        <v>3571.0</v>
      </c>
      <c r="D235" s="79">
        <v>255.0</v>
      </c>
      <c r="E235" s="80">
        <v>93.3350758</v>
      </c>
      <c r="F235" s="79">
        <v>3445.0</v>
      </c>
      <c r="G235" s="79">
        <v>758.0</v>
      </c>
      <c r="H235" s="80">
        <v>81.9652629</v>
      </c>
      <c r="I235" s="69"/>
    </row>
    <row r="236">
      <c r="A236" s="78">
        <v>51201.0</v>
      </c>
      <c r="B236" s="88" t="s">
        <v>305</v>
      </c>
      <c r="C236" s="79">
        <v>5733.0</v>
      </c>
      <c r="D236" s="79">
        <v>3864.0</v>
      </c>
      <c r="E236" s="80">
        <v>59.7374179</v>
      </c>
      <c r="F236" s="79">
        <v>4646.0</v>
      </c>
      <c r="G236" s="79">
        <v>8488.0</v>
      </c>
      <c r="H236" s="80">
        <v>35.3738389</v>
      </c>
      <c r="I236" s="69"/>
    </row>
    <row r="237">
      <c r="A237" s="78">
        <v>51202.0</v>
      </c>
      <c r="B237" s="88" t="s">
        <v>306</v>
      </c>
      <c r="C237" s="79">
        <v>2866.0</v>
      </c>
      <c r="D237" s="79">
        <v>211.0</v>
      </c>
      <c r="E237" s="80">
        <v>93.1426714</v>
      </c>
      <c r="F237" s="79">
        <v>2429.0</v>
      </c>
      <c r="G237" s="79">
        <v>888.0</v>
      </c>
      <c r="H237" s="80">
        <v>73.2288212</v>
      </c>
      <c r="I237" s="69"/>
    </row>
    <row r="238">
      <c r="A238" s="78">
        <v>51203.0</v>
      </c>
      <c r="B238" s="88" t="s">
        <v>307</v>
      </c>
      <c r="C238" s="79">
        <v>1268.0</v>
      </c>
      <c r="D238" s="79">
        <v>1888.0</v>
      </c>
      <c r="E238" s="80">
        <v>40.1774398</v>
      </c>
      <c r="F238" s="79">
        <v>1160.0</v>
      </c>
      <c r="G238" s="79">
        <v>4126.0</v>
      </c>
      <c r="H238" s="80">
        <v>21.9447597</v>
      </c>
      <c r="I238" s="69"/>
    </row>
    <row r="239">
      <c r="A239" s="78">
        <v>51204.0</v>
      </c>
      <c r="B239" s="88" t="s">
        <v>308</v>
      </c>
      <c r="C239" s="79">
        <v>1927.0</v>
      </c>
      <c r="D239" s="79">
        <v>212.0</v>
      </c>
      <c r="E239" s="80">
        <v>90.0888266</v>
      </c>
      <c r="F239" s="79">
        <v>1832.0</v>
      </c>
      <c r="G239" s="79">
        <v>775.0</v>
      </c>
      <c r="H239" s="80">
        <v>70.2723437</v>
      </c>
      <c r="I239" s="69"/>
    </row>
    <row r="240">
      <c r="A240" s="78">
        <v>51301.0</v>
      </c>
      <c r="B240" s="88" t="s">
        <v>310</v>
      </c>
      <c r="C240" s="79">
        <v>1050.0</v>
      </c>
      <c r="D240" s="79">
        <v>248.0</v>
      </c>
      <c r="E240" s="80">
        <v>80.8936826</v>
      </c>
      <c r="F240" s="79">
        <v>1024.0</v>
      </c>
      <c r="G240" s="79">
        <v>433.0</v>
      </c>
      <c r="H240" s="80">
        <v>70.2814001</v>
      </c>
      <c r="I240" s="69"/>
    </row>
    <row r="241">
      <c r="A241" s="78">
        <v>51302.0</v>
      </c>
      <c r="B241" s="88" t="s">
        <v>311</v>
      </c>
      <c r="C241" s="79">
        <v>1497.0</v>
      </c>
      <c r="D241" s="79">
        <v>222.0</v>
      </c>
      <c r="E241" s="80">
        <v>87.0855148</v>
      </c>
      <c r="F241" s="79">
        <v>1391.0</v>
      </c>
      <c r="G241" s="79">
        <v>440.0</v>
      </c>
      <c r="H241" s="80">
        <v>75.9694156</v>
      </c>
      <c r="I241" s="69"/>
    </row>
    <row r="242">
      <c r="A242" s="78">
        <v>51401.0</v>
      </c>
      <c r="B242" s="88" t="s">
        <v>313</v>
      </c>
      <c r="C242" s="79">
        <v>1143.0</v>
      </c>
      <c r="D242" s="79">
        <v>361.0</v>
      </c>
      <c r="E242" s="80">
        <v>75.9973404</v>
      </c>
      <c r="F242" s="79">
        <v>825.0</v>
      </c>
      <c r="G242" s="79">
        <v>1031.0</v>
      </c>
      <c r="H242" s="80">
        <v>44.450431</v>
      </c>
      <c r="I242" s="69"/>
    </row>
    <row r="243">
      <c r="A243" s="78">
        <v>51402.0</v>
      </c>
      <c r="B243" s="88" t="s">
        <v>314</v>
      </c>
      <c r="C243" s="79">
        <v>625.0</v>
      </c>
      <c r="D243" s="79">
        <v>54.0</v>
      </c>
      <c r="E243" s="80">
        <v>92.0471281</v>
      </c>
      <c r="F243" s="79">
        <v>490.0</v>
      </c>
      <c r="G243" s="79">
        <v>252.0</v>
      </c>
      <c r="H243" s="80">
        <v>66.0377358</v>
      </c>
      <c r="I243" s="69"/>
    </row>
    <row r="244">
      <c r="A244" s="78">
        <v>51501.0</v>
      </c>
      <c r="B244" s="88" t="s">
        <v>316</v>
      </c>
      <c r="C244" s="79">
        <v>3131.0</v>
      </c>
      <c r="D244" s="79">
        <v>8943.0</v>
      </c>
      <c r="E244" s="80">
        <v>25.9317542</v>
      </c>
      <c r="F244" s="79">
        <v>1677.0</v>
      </c>
      <c r="G244" s="79">
        <v>12756.0</v>
      </c>
      <c r="H244" s="80">
        <v>11.619206</v>
      </c>
      <c r="I244" s="69"/>
    </row>
    <row r="245">
      <c r="A245" s="78">
        <v>51601.0</v>
      </c>
      <c r="B245" s="88" t="s">
        <v>318</v>
      </c>
      <c r="C245" s="79">
        <v>363.0</v>
      </c>
      <c r="D245" s="79">
        <v>126.0</v>
      </c>
      <c r="E245" s="80">
        <v>74.2331288</v>
      </c>
      <c r="F245" s="79">
        <v>219.0</v>
      </c>
      <c r="G245" s="79">
        <v>448.0</v>
      </c>
      <c r="H245" s="80">
        <v>32.8335832</v>
      </c>
      <c r="I245" s="69"/>
    </row>
    <row r="246">
      <c r="A246" s="78">
        <v>60101.0</v>
      </c>
      <c r="B246" s="88" t="s">
        <v>319</v>
      </c>
      <c r="C246" s="79">
        <v>7002.0</v>
      </c>
      <c r="D246" s="79">
        <v>47924.0</v>
      </c>
      <c r="E246" s="80">
        <v>12.748061</v>
      </c>
      <c r="F246" s="79">
        <v>3483.0</v>
      </c>
      <c r="G246" s="79">
        <v>69226.0</v>
      </c>
      <c r="H246" s="80">
        <v>4.7903286</v>
      </c>
      <c r="I246" s="69"/>
    </row>
    <row r="247">
      <c r="A247" s="78">
        <v>60201.0</v>
      </c>
      <c r="B247" s="88" t="s">
        <v>321</v>
      </c>
      <c r="C247" s="79">
        <v>2457.0</v>
      </c>
      <c r="D247" s="79">
        <v>2633.0</v>
      </c>
      <c r="E247" s="80">
        <v>48.2711198</v>
      </c>
      <c r="F247" s="79">
        <v>1729.0</v>
      </c>
      <c r="G247" s="79">
        <v>3920.0</v>
      </c>
      <c r="H247" s="80">
        <v>30.6071871</v>
      </c>
      <c r="I247" s="69"/>
    </row>
    <row r="248">
      <c r="A248" s="78">
        <v>60202.0</v>
      </c>
      <c r="B248" s="88" t="s">
        <v>322</v>
      </c>
      <c r="C248" s="79">
        <v>936.0</v>
      </c>
      <c r="D248" s="79">
        <v>8076.0</v>
      </c>
      <c r="E248" s="80">
        <v>10.3861518</v>
      </c>
      <c r="F248" s="79">
        <v>404.0</v>
      </c>
      <c r="G248" s="79">
        <v>10222.0</v>
      </c>
      <c r="H248" s="80">
        <v>3.8019951</v>
      </c>
      <c r="I248" s="69"/>
    </row>
    <row r="249">
      <c r="A249" s="78">
        <v>60301.0</v>
      </c>
      <c r="B249" s="88" t="s">
        <v>324</v>
      </c>
      <c r="C249" s="79">
        <v>3067.0</v>
      </c>
      <c r="D249" s="79">
        <v>19071.0</v>
      </c>
      <c r="E249" s="80">
        <v>13.8540067</v>
      </c>
      <c r="F249" s="79">
        <v>1636.0</v>
      </c>
      <c r="G249" s="79">
        <v>25672.0</v>
      </c>
      <c r="H249" s="80">
        <v>5.9909184</v>
      </c>
      <c r="I249" s="69"/>
    </row>
    <row r="250">
      <c r="A250" s="78">
        <v>60302.0</v>
      </c>
      <c r="B250" s="88" t="s">
        <v>325</v>
      </c>
      <c r="C250" s="79">
        <v>638.0</v>
      </c>
      <c r="D250" s="79">
        <v>3357.0</v>
      </c>
      <c r="E250" s="80">
        <v>15.9699625</v>
      </c>
      <c r="F250" s="79">
        <v>578.0</v>
      </c>
      <c r="G250" s="79">
        <v>4106.0</v>
      </c>
      <c r="H250" s="80">
        <v>12.3398804</v>
      </c>
      <c r="I250" s="69"/>
    </row>
    <row r="251">
      <c r="A251" s="78">
        <v>60303.0</v>
      </c>
      <c r="B251" s="88" t="s">
        <v>326</v>
      </c>
      <c r="C251" s="79">
        <v>1720.0</v>
      </c>
      <c r="D251" s="79">
        <v>8569.0</v>
      </c>
      <c r="E251" s="80">
        <v>16.7168821</v>
      </c>
      <c r="F251" s="79">
        <v>1173.0</v>
      </c>
      <c r="G251" s="79">
        <v>12867.0</v>
      </c>
      <c r="H251" s="80">
        <v>8.3547009</v>
      </c>
      <c r="I251" s="69"/>
    </row>
    <row r="252">
      <c r="A252" s="78">
        <v>60401.0</v>
      </c>
      <c r="B252" s="88" t="s">
        <v>328</v>
      </c>
      <c r="C252" s="79">
        <v>1580.0</v>
      </c>
      <c r="D252" s="79">
        <v>2582.0</v>
      </c>
      <c r="E252" s="80">
        <v>37.962518</v>
      </c>
      <c r="F252" s="79">
        <v>990.0</v>
      </c>
      <c r="G252" s="79">
        <v>3926.0</v>
      </c>
      <c r="H252" s="80">
        <v>20.1383238</v>
      </c>
      <c r="I252" s="69"/>
    </row>
    <row r="253">
      <c r="A253" s="78">
        <v>60402.0</v>
      </c>
      <c r="B253" s="88" t="s">
        <v>329</v>
      </c>
      <c r="C253" s="79">
        <v>388.0</v>
      </c>
      <c r="D253" s="79">
        <v>1096.0</v>
      </c>
      <c r="E253" s="80">
        <v>26.1455526</v>
      </c>
      <c r="F253" s="79">
        <v>333.0</v>
      </c>
      <c r="G253" s="79">
        <v>1197.0</v>
      </c>
      <c r="H253" s="80">
        <v>21.7647059</v>
      </c>
      <c r="I253" s="69"/>
    </row>
    <row r="254">
      <c r="A254" s="78">
        <v>60501.0</v>
      </c>
      <c r="B254" s="88" t="s">
        <v>331</v>
      </c>
      <c r="C254" s="79">
        <v>2319.0</v>
      </c>
      <c r="D254" s="79">
        <v>4165.0</v>
      </c>
      <c r="E254" s="80">
        <v>35.7649599</v>
      </c>
      <c r="F254" s="79">
        <v>1791.0</v>
      </c>
      <c r="G254" s="79">
        <v>7545.0</v>
      </c>
      <c r="H254" s="80">
        <v>19.1838046</v>
      </c>
      <c r="I254" s="69"/>
    </row>
    <row r="255">
      <c r="A255" s="78">
        <v>60502.0</v>
      </c>
      <c r="B255" s="88" t="s">
        <v>332</v>
      </c>
      <c r="C255" s="79">
        <v>719.0</v>
      </c>
      <c r="D255" s="79">
        <v>2534.0</v>
      </c>
      <c r="E255" s="80">
        <v>22.1026745</v>
      </c>
      <c r="F255" s="79">
        <v>495.0</v>
      </c>
      <c r="G255" s="79">
        <v>2745.0</v>
      </c>
      <c r="H255" s="80">
        <v>15.2777778</v>
      </c>
      <c r="I255" s="69"/>
    </row>
    <row r="256">
      <c r="A256" s="78">
        <v>60601.0</v>
      </c>
      <c r="B256" s="88" t="s">
        <v>203</v>
      </c>
      <c r="C256" s="79">
        <v>2148.0</v>
      </c>
      <c r="D256" s="79">
        <v>3267.0</v>
      </c>
      <c r="E256" s="80">
        <v>39.66759</v>
      </c>
      <c r="F256" s="79">
        <v>1686.0</v>
      </c>
      <c r="G256" s="79">
        <v>4530.0</v>
      </c>
      <c r="H256" s="80">
        <v>27.1235521</v>
      </c>
      <c r="I256" s="69"/>
    </row>
    <row r="257">
      <c r="A257" s="78">
        <v>70101.0</v>
      </c>
      <c r="B257" s="88" t="s">
        <v>336</v>
      </c>
      <c r="C257" s="79">
        <v>12301.0</v>
      </c>
      <c r="D257" s="79">
        <v>348140.0</v>
      </c>
      <c r="E257" s="80">
        <v>3.4127638</v>
      </c>
      <c r="F257" s="79">
        <v>5366.0</v>
      </c>
      <c r="G257" s="79">
        <v>447792.0</v>
      </c>
      <c r="H257" s="80">
        <v>1.1841345</v>
      </c>
      <c r="I257" s="69"/>
    </row>
    <row r="258">
      <c r="A258" s="78">
        <v>70102.0</v>
      </c>
      <c r="B258" s="88" t="s">
        <v>337</v>
      </c>
      <c r="C258" s="79">
        <v>2501.0</v>
      </c>
      <c r="D258" s="79">
        <v>10176.0</v>
      </c>
      <c r="E258" s="80">
        <v>19.7286424</v>
      </c>
      <c r="F258" s="79">
        <v>1684.0</v>
      </c>
      <c r="G258" s="79">
        <v>26149.0</v>
      </c>
      <c r="H258" s="80">
        <v>6.0503719</v>
      </c>
      <c r="I258" s="69"/>
    </row>
    <row r="259">
      <c r="A259" s="78">
        <v>70103.0</v>
      </c>
      <c r="B259" s="88" t="s">
        <v>338</v>
      </c>
      <c r="C259" s="79">
        <v>954.0</v>
      </c>
      <c r="D259" s="79">
        <v>2668.0</v>
      </c>
      <c r="E259" s="80">
        <v>26.3390392</v>
      </c>
      <c r="F259" s="79">
        <v>551.0</v>
      </c>
      <c r="G259" s="79">
        <v>6091.0</v>
      </c>
      <c r="H259" s="80">
        <v>8.2956941</v>
      </c>
      <c r="I259" s="69"/>
    </row>
    <row r="260">
      <c r="A260" s="78">
        <v>70104.0</v>
      </c>
      <c r="B260" s="88" t="s">
        <v>339</v>
      </c>
      <c r="C260" s="79">
        <v>1766.0</v>
      </c>
      <c r="D260" s="79">
        <v>19548.0</v>
      </c>
      <c r="E260" s="80">
        <v>8.2856339</v>
      </c>
      <c r="F260" s="79">
        <v>1204.0</v>
      </c>
      <c r="G260" s="79">
        <v>39063.0</v>
      </c>
      <c r="H260" s="80">
        <v>2.9900415</v>
      </c>
      <c r="I260" s="69"/>
    </row>
    <row r="261">
      <c r="A261" s="78">
        <v>70105.0</v>
      </c>
      <c r="B261" s="88" t="s">
        <v>340</v>
      </c>
      <c r="C261" s="79">
        <v>2564.0</v>
      </c>
      <c r="D261" s="79">
        <v>9671.0</v>
      </c>
      <c r="E261" s="80">
        <v>20.956273</v>
      </c>
      <c r="F261" s="79">
        <v>1723.0</v>
      </c>
      <c r="G261" s="79">
        <v>14889.0</v>
      </c>
      <c r="H261" s="80">
        <v>10.3720202</v>
      </c>
      <c r="I261" s="69"/>
    </row>
    <row r="262">
      <c r="A262" s="78">
        <v>70201.0</v>
      </c>
      <c r="B262" s="88" t="s">
        <v>341</v>
      </c>
      <c r="C262" s="79">
        <v>4040.0</v>
      </c>
      <c r="D262" s="79">
        <v>19178.0</v>
      </c>
      <c r="E262" s="80">
        <v>17.4002929</v>
      </c>
      <c r="F262" s="79">
        <v>2167.0</v>
      </c>
      <c r="G262" s="79">
        <v>38430.0</v>
      </c>
      <c r="H262" s="80">
        <v>5.3378328</v>
      </c>
      <c r="I262" s="69"/>
    </row>
    <row r="263">
      <c r="A263" s="78">
        <v>70202.0</v>
      </c>
      <c r="B263" s="88" t="s">
        <v>342</v>
      </c>
      <c r="C263" s="79">
        <v>276.0</v>
      </c>
      <c r="D263" s="79">
        <v>2284.0</v>
      </c>
      <c r="E263" s="80">
        <v>10.78125</v>
      </c>
      <c r="F263" s="79">
        <v>110.0</v>
      </c>
      <c r="G263" s="79">
        <v>2786.0</v>
      </c>
      <c r="H263" s="80">
        <v>3.7983425</v>
      </c>
      <c r="I263" s="69"/>
    </row>
    <row r="264">
      <c r="A264" s="78">
        <v>70301.0</v>
      </c>
      <c r="B264" s="88" t="s">
        <v>344</v>
      </c>
      <c r="C264" s="79">
        <v>817.0</v>
      </c>
      <c r="D264" s="79">
        <v>10008.0</v>
      </c>
      <c r="E264" s="80">
        <v>7.5473441</v>
      </c>
      <c r="F264" s="79">
        <v>1843.0</v>
      </c>
      <c r="G264" s="79">
        <v>15917.0</v>
      </c>
      <c r="H264" s="80">
        <v>10.3772523</v>
      </c>
      <c r="I264" s="69"/>
    </row>
    <row r="265">
      <c r="A265" s="78">
        <v>70302.0</v>
      </c>
      <c r="B265" s="88" t="s">
        <v>345</v>
      </c>
      <c r="C265" s="79">
        <v>376.0</v>
      </c>
      <c r="D265" s="79">
        <v>2206.0</v>
      </c>
      <c r="E265" s="80">
        <v>14.5623548</v>
      </c>
      <c r="F265" s="79">
        <v>859.0</v>
      </c>
      <c r="G265" s="79">
        <v>3588.0</v>
      </c>
      <c r="H265" s="80">
        <v>19.3163931</v>
      </c>
      <c r="I265" s="69"/>
    </row>
    <row r="266">
      <c r="A266" s="78">
        <v>70303.0</v>
      </c>
      <c r="B266" s="88" t="s">
        <v>346</v>
      </c>
      <c r="C266" s="79">
        <v>152.0</v>
      </c>
      <c r="D266" s="79">
        <v>987.0</v>
      </c>
      <c r="E266" s="80">
        <v>13.3450395</v>
      </c>
      <c r="F266" s="79">
        <v>993.0</v>
      </c>
      <c r="G266" s="79">
        <v>1904.0</v>
      </c>
      <c r="H266" s="80">
        <v>34.2768381</v>
      </c>
      <c r="I266" s="69"/>
    </row>
    <row r="267">
      <c r="A267" s="78">
        <v>70401.0</v>
      </c>
      <c r="B267" s="88" t="s">
        <v>348</v>
      </c>
      <c r="C267" s="79">
        <v>665.0</v>
      </c>
      <c r="D267" s="79">
        <v>2506.0</v>
      </c>
      <c r="E267" s="80">
        <v>20.9713024</v>
      </c>
      <c r="F267" s="79">
        <v>364.0</v>
      </c>
      <c r="G267" s="79">
        <v>3412.0</v>
      </c>
      <c r="H267" s="80">
        <v>9.6398305</v>
      </c>
      <c r="I267" s="69"/>
    </row>
    <row r="268">
      <c r="A268" s="78">
        <v>70402.0</v>
      </c>
      <c r="B268" s="88" t="s">
        <v>349</v>
      </c>
      <c r="C268" s="79">
        <v>1039.0</v>
      </c>
      <c r="D268" s="79">
        <v>3534.0</v>
      </c>
      <c r="E268" s="80">
        <v>22.7203149</v>
      </c>
      <c r="F268" s="79">
        <v>691.0</v>
      </c>
      <c r="G268" s="79">
        <v>4832.0</v>
      </c>
      <c r="H268" s="80">
        <v>12.5113163</v>
      </c>
      <c r="I268" s="69"/>
    </row>
    <row r="269">
      <c r="A269" s="78">
        <v>70403.0</v>
      </c>
      <c r="B269" s="88" t="s">
        <v>350</v>
      </c>
      <c r="C269" s="79">
        <v>5604.0</v>
      </c>
      <c r="D269" s="79">
        <v>9171.0</v>
      </c>
      <c r="E269" s="80">
        <v>37.928934</v>
      </c>
      <c r="F269" s="79">
        <v>5938.0</v>
      </c>
      <c r="G269" s="79">
        <v>14137.0</v>
      </c>
      <c r="H269" s="80">
        <v>29.5790785</v>
      </c>
      <c r="I269" s="69"/>
    </row>
    <row r="270">
      <c r="A270" s="78">
        <v>70404.0</v>
      </c>
      <c r="B270" s="88" t="s">
        <v>351</v>
      </c>
      <c r="C270" s="79">
        <v>478.0</v>
      </c>
      <c r="D270" s="79">
        <v>1577.0</v>
      </c>
      <c r="E270" s="80">
        <v>23.2603406</v>
      </c>
      <c r="F270" s="79">
        <v>568.0</v>
      </c>
      <c r="G270" s="79">
        <v>2389.0</v>
      </c>
      <c r="H270" s="80">
        <v>19.2086574</v>
      </c>
      <c r="I270" s="69"/>
    </row>
    <row r="271">
      <c r="A271" s="78">
        <v>70501.0</v>
      </c>
      <c r="B271" s="88" t="s">
        <v>353</v>
      </c>
      <c r="C271" s="79">
        <v>413.0</v>
      </c>
      <c r="D271" s="79">
        <v>4153.0</v>
      </c>
      <c r="E271" s="80">
        <v>9.0451161</v>
      </c>
      <c r="F271" s="79">
        <v>3011.0</v>
      </c>
      <c r="G271" s="79">
        <v>8596.0</v>
      </c>
      <c r="H271" s="80">
        <v>25.9412424</v>
      </c>
      <c r="I271" s="69"/>
    </row>
    <row r="272">
      <c r="A272" s="78">
        <v>70502.0</v>
      </c>
      <c r="B272" s="88" t="s">
        <v>354</v>
      </c>
      <c r="C272" s="79">
        <v>671.0</v>
      </c>
      <c r="D272" s="79">
        <v>6511.0</v>
      </c>
      <c r="E272" s="80">
        <v>9.3428014</v>
      </c>
      <c r="F272" s="79">
        <v>1323.0</v>
      </c>
      <c r="G272" s="79">
        <v>11647.0</v>
      </c>
      <c r="H272" s="80">
        <v>10.2004626</v>
      </c>
      <c r="I272" s="69"/>
    </row>
    <row r="273">
      <c r="A273" s="78">
        <v>70503.0</v>
      </c>
      <c r="B273" s="88" t="s">
        <v>355</v>
      </c>
      <c r="C273" s="79">
        <v>444.0</v>
      </c>
      <c r="D273" s="79">
        <v>3303.0</v>
      </c>
      <c r="E273" s="80">
        <v>11.8494796</v>
      </c>
      <c r="F273" s="79">
        <v>465.0</v>
      </c>
      <c r="G273" s="79">
        <v>4883.0</v>
      </c>
      <c r="H273" s="80">
        <v>8.6948392</v>
      </c>
      <c r="I273" s="69"/>
    </row>
    <row r="274">
      <c r="A274" s="78">
        <v>70601.0</v>
      </c>
      <c r="B274" s="88" t="s">
        <v>357</v>
      </c>
      <c r="C274" s="79">
        <v>487.0</v>
      </c>
      <c r="D274" s="79">
        <v>3632.0</v>
      </c>
      <c r="E274" s="80">
        <v>11.8232581</v>
      </c>
      <c r="F274" s="79">
        <v>173.0</v>
      </c>
      <c r="G274" s="79">
        <v>5272.0</v>
      </c>
      <c r="H274" s="80">
        <v>3.1772268</v>
      </c>
      <c r="I274" s="69"/>
    </row>
    <row r="275">
      <c r="A275" s="78">
        <v>70602.0</v>
      </c>
      <c r="B275" s="88" t="s">
        <v>358</v>
      </c>
      <c r="C275" s="79">
        <v>1702.0</v>
      </c>
      <c r="D275" s="79">
        <v>3276.0</v>
      </c>
      <c r="E275" s="80">
        <v>34.1904379</v>
      </c>
      <c r="F275" s="79">
        <v>1088.0</v>
      </c>
      <c r="G275" s="79">
        <v>4869.0</v>
      </c>
      <c r="H275" s="80">
        <v>18.264227</v>
      </c>
      <c r="I275" s="69"/>
    </row>
    <row r="276">
      <c r="A276" s="78">
        <v>70603.0</v>
      </c>
      <c r="B276" s="88" t="s">
        <v>359</v>
      </c>
      <c r="C276" s="79">
        <v>201.0</v>
      </c>
      <c r="D276" s="79">
        <v>1153.0</v>
      </c>
      <c r="E276" s="80">
        <v>14.844904</v>
      </c>
      <c r="F276" s="79">
        <v>113.0</v>
      </c>
      <c r="G276" s="79">
        <v>1420.0</v>
      </c>
      <c r="H276" s="80">
        <v>7.3711676</v>
      </c>
      <c r="I276" s="69"/>
    </row>
    <row r="277">
      <c r="A277" s="78">
        <v>70701.0</v>
      </c>
      <c r="B277" s="88" t="s">
        <v>361</v>
      </c>
      <c r="C277" s="79">
        <v>450.0</v>
      </c>
      <c r="D277" s="79">
        <v>621.0</v>
      </c>
      <c r="E277" s="80">
        <v>42.0168067</v>
      </c>
      <c r="F277" s="79">
        <v>225.0</v>
      </c>
      <c r="G277" s="79">
        <v>1344.0</v>
      </c>
      <c r="H277" s="80">
        <v>14.3403442</v>
      </c>
      <c r="I277" s="69"/>
    </row>
    <row r="278">
      <c r="A278" s="78">
        <v>70702.0</v>
      </c>
      <c r="B278" s="88" t="s">
        <v>362</v>
      </c>
      <c r="C278" s="79">
        <v>1945.0</v>
      </c>
      <c r="D278" s="79">
        <v>4344.0</v>
      </c>
      <c r="E278" s="80">
        <v>30.9270154</v>
      </c>
      <c r="F278" s="79">
        <v>1814.0</v>
      </c>
      <c r="G278" s="79">
        <v>7734.0</v>
      </c>
      <c r="H278" s="80">
        <v>18.9987432</v>
      </c>
      <c r="I278" s="69"/>
    </row>
    <row r="279">
      <c r="A279" s="78">
        <v>70703.0</v>
      </c>
      <c r="B279" s="88" t="s">
        <v>363</v>
      </c>
      <c r="C279" s="79">
        <v>1314.0</v>
      </c>
      <c r="D279" s="79">
        <v>4314.0</v>
      </c>
      <c r="E279" s="80">
        <v>23.347548</v>
      </c>
      <c r="F279" s="79">
        <v>1082.0</v>
      </c>
      <c r="G279" s="79">
        <v>7209.0</v>
      </c>
      <c r="H279" s="80">
        <v>13.0502955</v>
      </c>
      <c r="I279" s="69"/>
    </row>
    <row r="280">
      <c r="A280" s="78">
        <v>70704.0</v>
      </c>
      <c r="B280" s="88" t="s">
        <v>364</v>
      </c>
      <c r="C280" s="79">
        <v>354.0</v>
      </c>
      <c r="D280" s="79">
        <v>763.0</v>
      </c>
      <c r="E280" s="80">
        <v>31.6920322</v>
      </c>
      <c r="F280" s="79">
        <v>184.0</v>
      </c>
      <c r="G280" s="79">
        <v>1077.0</v>
      </c>
      <c r="H280" s="80">
        <v>14.591594</v>
      </c>
      <c r="I280" s="69"/>
    </row>
    <row r="281">
      <c r="A281" s="78">
        <v>70705.0</v>
      </c>
      <c r="B281" s="88" t="s">
        <v>365</v>
      </c>
      <c r="C281" s="79">
        <v>1119.0</v>
      </c>
      <c r="D281" s="79">
        <v>1271.0</v>
      </c>
      <c r="E281" s="80">
        <v>46.8200837</v>
      </c>
      <c r="F281" s="79">
        <v>761.0</v>
      </c>
      <c r="G281" s="79">
        <v>2865.0</v>
      </c>
      <c r="H281" s="80">
        <v>20.9873138</v>
      </c>
      <c r="I281" s="69"/>
    </row>
    <row r="282">
      <c r="A282" s="78">
        <v>70706.0</v>
      </c>
      <c r="B282" s="88" t="s">
        <v>366</v>
      </c>
      <c r="C282" s="79">
        <v>804.0</v>
      </c>
      <c r="D282" s="79">
        <v>7570.0</v>
      </c>
      <c r="E282" s="80">
        <v>9.6011464</v>
      </c>
      <c r="F282" s="79">
        <v>636.0</v>
      </c>
      <c r="G282" s="79">
        <v>8669.0</v>
      </c>
      <c r="H282" s="80">
        <v>6.8350349</v>
      </c>
      <c r="I282" s="69"/>
    </row>
    <row r="283">
      <c r="A283" s="78">
        <v>70707.0</v>
      </c>
      <c r="B283" s="88" t="s">
        <v>367</v>
      </c>
      <c r="C283" s="79">
        <v>230.0</v>
      </c>
      <c r="D283" s="79">
        <v>783.0</v>
      </c>
      <c r="E283" s="80">
        <v>22.7048371</v>
      </c>
      <c r="F283" s="79">
        <v>93.0</v>
      </c>
      <c r="G283" s="79">
        <v>1292.0</v>
      </c>
      <c r="H283" s="80">
        <v>6.7148014</v>
      </c>
      <c r="I283" s="69"/>
    </row>
    <row r="284">
      <c r="A284" s="78">
        <v>70801.0</v>
      </c>
      <c r="B284" s="88" t="s">
        <v>369</v>
      </c>
      <c r="C284" s="79">
        <v>1775.0</v>
      </c>
      <c r="D284" s="79">
        <v>3500.0</v>
      </c>
      <c r="E284" s="80">
        <v>33.6492891</v>
      </c>
      <c r="F284" s="79">
        <v>1267.0</v>
      </c>
      <c r="G284" s="79">
        <v>4930.0</v>
      </c>
      <c r="H284" s="80">
        <v>20.4453768</v>
      </c>
      <c r="I284" s="69"/>
    </row>
    <row r="285">
      <c r="A285" s="78">
        <v>70802.0</v>
      </c>
      <c r="B285" s="88" t="s">
        <v>370</v>
      </c>
      <c r="C285" s="79">
        <v>191.0</v>
      </c>
      <c r="D285" s="79">
        <v>385.0</v>
      </c>
      <c r="E285" s="80">
        <v>33.1597222</v>
      </c>
      <c r="F285" s="79">
        <v>104.0</v>
      </c>
      <c r="G285" s="79">
        <v>691.0</v>
      </c>
      <c r="H285" s="80">
        <v>13.081761</v>
      </c>
      <c r="I285" s="69"/>
    </row>
    <row r="286">
      <c r="A286" s="78">
        <v>70803.0</v>
      </c>
      <c r="B286" s="88" t="s">
        <v>371</v>
      </c>
      <c r="C286" s="79">
        <v>389.0</v>
      </c>
      <c r="D286" s="79">
        <v>481.0</v>
      </c>
      <c r="E286" s="80">
        <v>44.7126437</v>
      </c>
      <c r="F286" s="79">
        <v>324.0</v>
      </c>
      <c r="G286" s="79">
        <v>667.0</v>
      </c>
      <c r="H286" s="80">
        <v>32.6942482</v>
      </c>
      <c r="I286" s="69"/>
    </row>
    <row r="287">
      <c r="A287" s="78">
        <v>70804.0</v>
      </c>
      <c r="B287" s="88" t="s">
        <v>372</v>
      </c>
      <c r="C287" s="79">
        <v>355.0</v>
      </c>
      <c r="D287" s="79">
        <v>245.0</v>
      </c>
      <c r="E287" s="80">
        <v>59.1666667</v>
      </c>
      <c r="F287" s="79">
        <v>208.0</v>
      </c>
      <c r="G287" s="79">
        <v>398.0</v>
      </c>
      <c r="H287" s="80">
        <v>34.3234323</v>
      </c>
      <c r="I287" s="69"/>
    </row>
    <row r="288">
      <c r="A288" s="78">
        <v>70805.0</v>
      </c>
      <c r="B288" s="88" t="s">
        <v>373</v>
      </c>
      <c r="C288" s="79">
        <v>444.0</v>
      </c>
      <c r="D288" s="79">
        <v>191.0</v>
      </c>
      <c r="E288" s="80">
        <v>69.9212598</v>
      </c>
      <c r="F288" s="79">
        <v>318.0</v>
      </c>
      <c r="G288" s="79">
        <v>431.0</v>
      </c>
      <c r="H288" s="80">
        <v>42.4566088</v>
      </c>
      <c r="I288" s="69"/>
    </row>
    <row r="289">
      <c r="A289" s="78">
        <v>70901.0</v>
      </c>
      <c r="B289" s="88" t="s">
        <v>375</v>
      </c>
      <c r="C289" s="79">
        <v>975.0</v>
      </c>
      <c r="D289" s="79">
        <v>2124.0</v>
      </c>
      <c r="E289" s="80">
        <v>31.4617619</v>
      </c>
      <c r="F289" s="79">
        <v>670.0</v>
      </c>
      <c r="G289" s="79">
        <v>3382.0</v>
      </c>
      <c r="H289" s="80">
        <v>16.5350444</v>
      </c>
      <c r="I289" s="69"/>
    </row>
    <row r="290">
      <c r="A290" s="78">
        <v>70902.0</v>
      </c>
      <c r="B290" s="88" t="s">
        <v>376</v>
      </c>
      <c r="C290" s="79">
        <v>724.0</v>
      </c>
      <c r="D290" s="79">
        <v>1990.0</v>
      </c>
      <c r="E290" s="80">
        <v>26.6764923</v>
      </c>
      <c r="F290" s="79">
        <v>462.0</v>
      </c>
      <c r="G290" s="79">
        <v>2588.0</v>
      </c>
      <c r="H290" s="80">
        <v>15.147541</v>
      </c>
      <c r="I290" s="69"/>
    </row>
    <row r="291">
      <c r="A291" s="78">
        <v>70903.0</v>
      </c>
      <c r="B291" s="88" t="s">
        <v>377</v>
      </c>
      <c r="C291" s="79">
        <v>574.0</v>
      </c>
      <c r="D291" s="79">
        <v>2390.0</v>
      </c>
      <c r="E291" s="80">
        <v>19.365722</v>
      </c>
      <c r="F291" s="79">
        <v>679.0</v>
      </c>
      <c r="G291" s="79">
        <v>3631.0</v>
      </c>
      <c r="H291" s="80">
        <v>15.7540603</v>
      </c>
      <c r="I291" s="69"/>
    </row>
    <row r="292">
      <c r="A292" s="78">
        <v>70904.0</v>
      </c>
      <c r="B292" s="88" t="s">
        <v>378</v>
      </c>
      <c r="C292" s="79">
        <v>275.0</v>
      </c>
      <c r="D292" s="79">
        <v>455.0</v>
      </c>
      <c r="E292" s="80">
        <v>37.6712329</v>
      </c>
      <c r="F292" s="79">
        <v>201.0</v>
      </c>
      <c r="G292" s="79">
        <v>586.0</v>
      </c>
      <c r="H292" s="80">
        <v>25.5400254</v>
      </c>
      <c r="I292" s="69"/>
    </row>
    <row r="293">
      <c r="A293" s="78">
        <v>71001.0</v>
      </c>
      <c r="B293" s="88" t="s">
        <v>380</v>
      </c>
      <c r="C293" s="79">
        <v>2700.0</v>
      </c>
      <c r="D293" s="79">
        <v>23643.0</v>
      </c>
      <c r="E293" s="80">
        <v>10.2494021</v>
      </c>
      <c r="F293" s="79">
        <v>1250.0</v>
      </c>
      <c r="G293" s="79">
        <v>32134.0</v>
      </c>
      <c r="H293" s="80">
        <v>3.7443087</v>
      </c>
      <c r="I293" s="69"/>
    </row>
    <row r="294">
      <c r="A294" s="78">
        <v>71002.0</v>
      </c>
      <c r="B294" s="88" t="s">
        <v>381</v>
      </c>
      <c r="C294" s="79">
        <v>629.0</v>
      </c>
      <c r="D294" s="79">
        <v>2607.0</v>
      </c>
      <c r="E294" s="80">
        <v>19.4375773</v>
      </c>
      <c r="F294" s="79">
        <v>444.0</v>
      </c>
      <c r="G294" s="79">
        <v>3914.0</v>
      </c>
      <c r="H294" s="80">
        <v>10.1881597</v>
      </c>
      <c r="I294" s="69"/>
    </row>
    <row r="295">
      <c r="A295" s="78">
        <v>71003.0</v>
      </c>
      <c r="B295" s="88" t="s">
        <v>382</v>
      </c>
      <c r="C295" s="79">
        <v>906.0</v>
      </c>
      <c r="D295" s="79">
        <v>4421.0</v>
      </c>
      <c r="E295" s="80">
        <v>17.0076966</v>
      </c>
      <c r="F295" s="79">
        <v>420.0</v>
      </c>
      <c r="G295" s="79">
        <v>5774.0</v>
      </c>
      <c r="H295" s="80">
        <v>6.7807556</v>
      </c>
      <c r="I295" s="69"/>
    </row>
    <row r="296">
      <c r="A296" s="78">
        <v>71004.0</v>
      </c>
      <c r="B296" s="88" t="s">
        <v>383</v>
      </c>
      <c r="C296" s="79">
        <v>570.0</v>
      </c>
      <c r="D296" s="79">
        <v>2593.0</v>
      </c>
      <c r="E296" s="80">
        <v>18.0208663</v>
      </c>
      <c r="F296" s="79">
        <v>427.0</v>
      </c>
      <c r="G296" s="79">
        <v>3011.0</v>
      </c>
      <c r="H296" s="80">
        <v>12.4200116</v>
      </c>
      <c r="I296" s="69"/>
    </row>
    <row r="297">
      <c r="A297" s="78">
        <v>71005.0</v>
      </c>
      <c r="B297" s="88" t="s">
        <v>282</v>
      </c>
      <c r="C297" s="79">
        <v>294.0</v>
      </c>
      <c r="D297" s="79">
        <v>3183.0</v>
      </c>
      <c r="E297" s="80">
        <v>8.4555651</v>
      </c>
      <c r="F297" s="79">
        <v>289.0</v>
      </c>
      <c r="G297" s="79">
        <v>3486.0</v>
      </c>
      <c r="H297" s="80">
        <v>7.6556291</v>
      </c>
      <c r="I297" s="69"/>
    </row>
    <row r="298">
      <c r="A298" s="78">
        <v>71101.0</v>
      </c>
      <c r="B298" s="88" t="s">
        <v>385</v>
      </c>
      <c r="C298" s="79">
        <v>704.0</v>
      </c>
      <c r="D298" s="79">
        <v>3557.0</v>
      </c>
      <c r="E298" s="80">
        <v>16.5219432</v>
      </c>
      <c r="F298" s="79">
        <v>1654.0</v>
      </c>
      <c r="G298" s="79">
        <v>7753.0</v>
      </c>
      <c r="H298" s="80">
        <v>17.5826512</v>
      </c>
      <c r="I298" s="69"/>
    </row>
    <row r="299">
      <c r="A299" s="78">
        <v>71102.0</v>
      </c>
      <c r="B299" s="88" t="s">
        <v>386</v>
      </c>
      <c r="C299" s="79">
        <v>461.0</v>
      </c>
      <c r="D299" s="79">
        <v>2724.0</v>
      </c>
      <c r="E299" s="80">
        <v>14.4740973</v>
      </c>
      <c r="F299" s="79">
        <v>309.0</v>
      </c>
      <c r="G299" s="79">
        <v>3632.0</v>
      </c>
      <c r="H299" s="80">
        <v>7.8406496</v>
      </c>
      <c r="I299" s="69"/>
    </row>
    <row r="300">
      <c r="A300" s="78">
        <v>71103.0</v>
      </c>
      <c r="B300" s="88" t="s">
        <v>389</v>
      </c>
      <c r="C300" s="79">
        <v>335.0</v>
      </c>
      <c r="D300" s="79">
        <v>1350.0</v>
      </c>
      <c r="E300" s="80">
        <v>19.8813056</v>
      </c>
      <c r="F300" s="79">
        <v>270.0</v>
      </c>
      <c r="G300" s="79">
        <v>2163.0</v>
      </c>
      <c r="H300" s="80">
        <v>11.0974106</v>
      </c>
      <c r="I300" s="69"/>
    </row>
    <row r="301">
      <c r="A301" s="78">
        <v>71104.0</v>
      </c>
      <c r="B301" s="88" t="s">
        <v>387</v>
      </c>
      <c r="C301" s="79">
        <v>2876.0</v>
      </c>
      <c r="D301" s="79">
        <v>9891.0</v>
      </c>
      <c r="E301" s="80">
        <v>22.526827</v>
      </c>
      <c r="F301" s="79">
        <v>1872.0</v>
      </c>
      <c r="G301" s="79">
        <v>12576.0</v>
      </c>
      <c r="H301" s="80">
        <v>12.9568106</v>
      </c>
      <c r="I301" s="69"/>
    </row>
    <row r="302">
      <c r="A302" s="78">
        <v>71105.0</v>
      </c>
      <c r="B302" s="88" t="s">
        <v>388</v>
      </c>
      <c r="C302" s="79">
        <v>185.0</v>
      </c>
      <c r="D302" s="79">
        <v>961.0</v>
      </c>
      <c r="E302" s="80">
        <v>16.1431065</v>
      </c>
      <c r="F302" s="79">
        <v>112.0</v>
      </c>
      <c r="G302" s="79">
        <v>1363.0</v>
      </c>
      <c r="H302" s="80">
        <v>7.5932203</v>
      </c>
      <c r="I302" s="69"/>
    </row>
    <row r="303">
      <c r="A303" s="78">
        <v>71106.0</v>
      </c>
      <c r="B303" s="88" t="s">
        <v>390</v>
      </c>
      <c r="C303" s="79">
        <v>807.0</v>
      </c>
      <c r="D303" s="79">
        <v>4251.0</v>
      </c>
      <c r="E303" s="80">
        <v>15.9549229</v>
      </c>
      <c r="F303" s="79">
        <v>490.0</v>
      </c>
      <c r="G303" s="79">
        <v>6061.0</v>
      </c>
      <c r="H303" s="80">
        <v>7.4797741</v>
      </c>
      <c r="I303" s="69"/>
    </row>
    <row r="304">
      <c r="A304" s="78">
        <v>71201.0</v>
      </c>
      <c r="B304" s="88" t="s">
        <v>392</v>
      </c>
      <c r="C304" s="79">
        <v>417.0</v>
      </c>
      <c r="D304" s="79">
        <v>2798.0</v>
      </c>
      <c r="E304" s="80">
        <v>12.970451</v>
      </c>
      <c r="F304" s="79">
        <v>313.0</v>
      </c>
      <c r="G304" s="79">
        <v>3832.0</v>
      </c>
      <c r="H304" s="80">
        <v>7.5512666</v>
      </c>
      <c r="I304" s="69"/>
    </row>
    <row r="305">
      <c r="A305" s="78">
        <v>71301.0</v>
      </c>
      <c r="B305" s="88" t="s">
        <v>394</v>
      </c>
      <c r="C305" s="79">
        <v>1506.0</v>
      </c>
      <c r="D305" s="79">
        <v>3133.0</v>
      </c>
      <c r="E305" s="80">
        <v>32.4638931</v>
      </c>
      <c r="F305" s="79">
        <v>1417.0</v>
      </c>
      <c r="G305" s="79">
        <v>4337.0</v>
      </c>
      <c r="H305" s="80">
        <v>24.6263469</v>
      </c>
      <c r="I305" s="69"/>
    </row>
    <row r="306">
      <c r="A306" s="78">
        <v>71302.0</v>
      </c>
      <c r="B306" s="88" t="s">
        <v>395</v>
      </c>
      <c r="C306" s="79">
        <v>638.0</v>
      </c>
      <c r="D306" s="79">
        <v>1145.0</v>
      </c>
      <c r="E306" s="80">
        <v>35.7823892</v>
      </c>
      <c r="F306" s="79">
        <v>328.0</v>
      </c>
      <c r="G306" s="79">
        <v>1661.0</v>
      </c>
      <c r="H306" s="80">
        <v>16.4906988</v>
      </c>
      <c r="I306" s="69"/>
    </row>
    <row r="307">
      <c r="A307" s="78">
        <v>71401.0</v>
      </c>
      <c r="B307" s="88" t="s">
        <v>397</v>
      </c>
      <c r="C307" s="79">
        <v>539.0</v>
      </c>
      <c r="D307" s="79">
        <v>4015.0</v>
      </c>
      <c r="E307" s="80">
        <v>11.8357488</v>
      </c>
      <c r="F307" s="79">
        <v>338.0</v>
      </c>
      <c r="G307" s="79">
        <v>4521.0</v>
      </c>
      <c r="H307" s="80">
        <v>6.9561638</v>
      </c>
      <c r="I307" s="69"/>
    </row>
    <row r="308">
      <c r="A308" s="78">
        <v>71402.0</v>
      </c>
      <c r="B308" s="88" t="s">
        <v>398</v>
      </c>
      <c r="C308" s="79">
        <v>298.0</v>
      </c>
      <c r="D308" s="79">
        <v>3583.0</v>
      </c>
      <c r="E308" s="80">
        <v>7.6784334</v>
      </c>
      <c r="F308" s="79">
        <v>152.0</v>
      </c>
      <c r="G308" s="79">
        <v>4802.0</v>
      </c>
      <c r="H308" s="80">
        <v>3.0682277</v>
      </c>
      <c r="I308" s="69"/>
    </row>
    <row r="309">
      <c r="A309" s="78">
        <v>71403.0</v>
      </c>
      <c r="B309" s="88" t="s">
        <v>399</v>
      </c>
      <c r="C309" s="79">
        <v>249.0</v>
      </c>
      <c r="D309" s="79">
        <v>1243.0</v>
      </c>
      <c r="E309" s="80">
        <v>16.689008</v>
      </c>
      <c r="F309" s="79">
        <v>419.0</v>
      </c>
      <c r="G309" s="79">
        <v>2014.0</v>
      </c>
      <c r="H309" s="80">
        <v>17.2215372</v>
      </c>
      <c r="I309" s="69"/>
    </row>
    <row r="310">
      <c r="A310" s="78">
        <v>71501.0</v>
      </c>
      <c r="B310" s="88" t="s">
        <v>401</v>
      </c>
      <c r="C310" s="79">
        <v>822.0</v>
      </c>
      <c r="D310" s="79">
        <v>4699.0</v>
      </c>
      <c r="E310" s="80">
        <v>14.8886071</v>
      </c>
      <c r="F310" s="79">
        <v>2084.0</v>
      </c>
      <c r="G310" s="79">
        <v>8719.0</v>
      </c>
      <c r="H310" s="80">
        <v>19.2909377</v>
      </c>
      <c r="I310" s="69"/>
    </row>
    <row r="311">
      <c r="A311" s="78">
        <v>71502.0</v>
      </c>
      <c r="B311" s="88" t="s">
        <v>402</v>
      </c>
      <c r="C311" s="79">
        <v>117.0</v>
      </c>
      <c r="D311" s="79">
        <v>1065.0</v>
      </c>
      <c r="E311" s="80">
        <v>9.8984772</v>
      </c>
      <c r="F311" s="79">
        <v>211.0</v>
      </c>
      <c r="G311" s="79">
        <v>1429.0</v>
      </c>
      <c r="H311" s="80">
        <v>12.8658537</v>
      </c>
      <c r="I311" s="69"/>
    </row>
    <row r="312">
      <c r="A312" s="78">
        <v>71503.0</v>
      </c>
      <c r="B312" s="88" t="s">
        <v>332</v>
      </c>
      <c r="C312" s="79">
        <v>1757.0</v>
      </c>
      <c r="D312" s="79">
        <v>2704.0</v>
      </c>
      <c r="E312" s="80">
        <v>39.3857879</v>
      </c>
      <c r="F312" s="79">
        <v>1719.0</v>
      </c>
      <c r="G312" s="79">
        <v>4735.0</v>
      </c>
      <c r="H312" s="80">
        <v>26.6346452</v>
      </c>
      <c r="I312" s="69"/>
    </row>
    <row r="313">
      <c r="A313" s="78">
        <v>80101.0</v>
      </c>
      <c r="B313" s="88" t="s">
        <v>404</v>
      </c>
      <c r="C313" s="79">
        <v>2261.0</v>
      </c>
      <c r="D313" s="79">
        <v>22463.0</v>
      </c>
      <c r="E313" s="80">
        <v>9.1449604</v>
      </c>
      <c r="F313" s="79">
        <v>1363.0</v>
      </c>
      <c r="G313" s="79">
        <v>31082.0</v>
      </c>
      <c r="H313" s="80">
        <v>4.2009555</v>
      </c>
      <c r="I313" s="69"/>
    </row>
    <row r="314">
      <c r="A314" s="78">
        <v>80102.0</v>
      </c>
      <c r="B314" s="88" t="s">
        <v>386</v>
      </c>
      <c r="C314" s="79">
        <v>187.0</v>
      </c>
      <c r="D314" s="79">
        <v>1043.0</v>
      </c>
      <c r="E314" s="80">
        <v>15.203252</v>
      </c>
      <c r="F314" s="79">
        <v>334.0</v>
      </c>
      <c r="G314" s="79">
        <v>1737.0</v>
      </c>
      <c r="H314" s="80">
        <v>16.1274746</v>
      </c>
      <c r="I314" s="69"/>
    </row>
    <row r="315">
      <c r="A315" s="78">
        <v>80201.0</v>
      </c>
      <c r="B315" s="88" t="s">
        <v>406</v>
      </c>
      <c r="C315" s="79">
        <v>1545.0</v>
      </c>
      <c r="D315" s="79">
        <v>18043.0</v>
      </c>
      <c r="E315" s="80">
        <v>7.8874821</v>
      </c>
      <c r="F315" s="79">
        <v>1209.0</v>
      </c>
      <c r="G315" s="79">
        <v>26233.0</v>
      </c>
      <c r="H315" s="80">
        <v>4.4056556</v>
      </c>
      <c r="I315" s="69"/>
    </row>
    <row r="316">
      <c r="A316" s="78">
        <v>80202.0</v>
      </c>
      <c r="B316" s="88" t="s">
        <v>407</v>
      </c>
      <c r="C316" s="79">
        <v>632.0</v>
      </c>
      <c r="D316" s="79">
        <v>8629.0</v>
      </c>
      <c r="E316" s="80">
        <v>6.824317</v>
      </c>
      <c r="F316" s="79">
        <v>517.0</v>
      </c>
      <c r="G316" s="79">
        <v>10374.0</v>
      </c>
      <c r="H316" s="80">
        <v>4.7470388</v>
      </c>
      <c r="I316" s="69"/>
    </row>
    <row r="317">
      <c r="A317" s="78">
        <v>80301.0</v>
      </c>
      <c r="B317" s="88" t="s">
        <v>409</v>
      </c>
      <c r="C317" s="79">
        <v>465.0</v>
      </c>
      <c r="D317" s="79">
        <v>2497.0</v>
      </c>
      <c r="E317" s="80">
        <v>15.6988521</v>
      </c>
      <c r="F317" s="79">
        <v>241.0</v>
      </c>
      <c r="G317" s="79">
        <v>3176.0</v>
      </c>
      <c r="H317" s="80">
        <v>7.0529704</v>
      </c>
      <c r="I317" s="69"/>
    </row>
    <row r="318">
      <c r="A318" s="78">
        <v>80302.0</v>
      </c>
      <c r="B318" s="88" t="s">
        <v>410</v>
      </c>
      <c r="C318" s="79">
        <v>3556.0</v>
      </c>
      <c r="D318" s="79">
        <v>5856.0</v>
      </c>
      <c r="E318" s="80">
        <v>37.7815555</v>
      </c>
      <c r="F318" s="79">
        <v>3570.0</v>
      </c>
      <c r="G318" s="79">
        <v>9481.0</v>
      </c>
      <c r="H318" s="80">
        <v>27.3542257</v>
      </c>
      <c r="I318" s="69"/>
    </row>
    <row r="319">
      <c r="A319" s="78">
        <v>80303.0</v>
      </c>
      <c r="B319" s="88" t="s">
        <v>358</v>
      </c>
      <c r="C319" s="79">
        <v>144.0</v>
      </c>
      <c r="D319" s="79">
        <v>1832.0</v>
      </c>
      <c r="E319" s="80">
        <v>7.2874494</v>
      </c>
      <c r="F319" s="79">
        <v>119.0</v>
      </c>
      <c r="G319" s="79">
        <v>2636.0</v>
      </c>
      <c r="H319" s="80">
        <v>4.3194192</v>
      </c>
      <c r="I319" s="69"/>
    </row>
    <row r="320">
      <c r="A320" s="78">
        <v>80304.0</v>
      </c>
      <c r="B320" s="88" t="s">
        <v>411</v>
      </c>
      <c r="C320" s="79">
        <v>1214.0</v>
      </c>
      <c r="D320" s="79">
        <v>3643.0</v>
      </c>
      <c r="E320" s="80">
        <v>24.9948528</v>
      </c>
      <c r="F320" s="79">
        <v>1374.0</v>
      </c>
      <c r="G320" s="79">
        <v>5501.0</v>
      </c>
      <c r="H320" s="80">
        <v>19.9854545</v>
      </c>
      <c r="I320" s="69"/>
    </row>
    <row r="321">
      <c r="A321" s="78">
        <v>80401.0</v>
      </c>
      <c r="B321" s="88" t="s">
        <v>413</v>
      </c>
      <c r="C321" s="79">
        <v>414.0</v>
      </c>
      <c r="D321" s="79">
        <v>3016.0</v>
      </c>
      <c r="E321" s="80">
        <v>12.0699708</v>
      </c>
      <c r="F321" s="79">
        <v>402.0</v>
      </c>
      <c r="G321" s="79">
        <v>3893.0</v>
      </c>
      <c r="H321" s="80">
        <v>9.3597206</v>
      </c>
      <c r="I321" s="69"/>
    </row>
    <row r="322">
      <c r="A322" s="78">
        <v>80402.0</v>
      </c>
      <c r="B322" s="88" t="s">
        <v>414</v>
      </c>
      <c r="C322" s="79">
        <v>170.0</v>
      </c>
      <c r="D322" s="79">
        <v>768.0</v>
      </c>
      <c r="E322" s="80">
        <v>18.1236674</v>
      </c>
      <c r="F322" s="79">
        <v>122.0</v>
      </c>
      <c r="G322" s="79">
        <v>1333.0</v>
      </c>
      <c r="H322" s="80">
        <v>8.3848797</v>
      </c>
      <c r="I322" s="69"/>
    </row>
    <row r="323">
      <c r="A323" s="78">
        <v>80501.0</v>
      </c>
      <c r="B323" s="88" t="s">
        <v>344</v>
      </c>
      <c r="C323" s="79">
        <v>862.0</v>
      </c>
      <c r="D323" s="79">
        <v>3143.0</v>
      </c>
      <c r="E323" s="80">
        <v>21.5230961</v>
      </c>
      <c r="F323" s="79">
        <v>685.0</v>
      </c>
      <c r="G323" s="79">
        <v>4706.0</v>
      </c>
      <c r="H323" s="80">
        <v>12.7063625</v>
      </c>
      <c r="I323" s="69"/>
    </row>
    <row r="324">
      <c r="A324" s="78">
        <v>80601.0</v>
      </c>
      <c r="B324" s="88" t="s">
        <v>417</v>
      </c>
      <c r="C324" s="79">
        <v>143.0</v>
      </c>
      <c r="D324" s="79">
        <v>721.0</v>
      </c>
      <c r="E324" s="80">
        <v>16.5509259</v>
      </c>
      <c r="F324" s="79">
        <v>128.0</v>
      </c>
      <c r="G324" s="79">
        <v>925.0</v>
      </c>
      <c r="H324" s="80">
        <v>12.1557455</v>
      </c>
      <c r="I324" s="69"/>
    </row>
    <row r="325">
      <c r="A325" s="78">
        <v>80602.0</v>
      </c>
      <c r="B325" s="88" t="s">
        <v>418</v>
      </c>
      <c r="C325" s="79">
        <v>686.0</v>
      </c>
      <c r="D325" s="79">
        <v>2310.0</v>
      </c>
      <c r="E325" s="80">
        <v>22.8971963</v>
      </c>
      <c r="F325" s="79">
        <v>1517.0</v>
      </c>
      <c r="G325" s="79">
        <v>3753.0</v>
      </c>
      <c r="H325" s="80">
        <v>28.7855787</v>
      </c>
      <c r="I325" s="69"/>
    </row>
    <row r="326">
      <c r="A326" s="78">
        <v>80701.0</v>
      </c>
      <c r="B326" s="88" t="s">
        <v>420</v>
      </c>
      <c r="C326" s="79">
        <v>71.0</v>
      </c>
      <c r="D326" s="79">
        <v>1183.0</v>
      </c>
      <c r="E326" s="80">
        <v>5.661882</v>
      </c>
      <c r="F326" s="79">
        <v>53.0</v>
      </c>
      <c r="G326" s="79">
        <v>1432.0</v>
      </c>
      <c r="H326" s="80">
        <v>3.5690236</v>
      </c>
      <c r="I326" s="69"/>
    </row>
    <row r="327">
      <c r="A327" s="78">
        <v>80702.0</v>
      </c>
      <c r="B327" s="88" t="s">
        <v>389</v>
      </c>
      <c r="C327" s="79">
        <v>92.0</v>
      </c>
      <c r="D327" s="79">
        <v>1068.0</v>
      </c>
      <c r="E327" s="80">
        <v>7.9310345</v>
      </c>
      <c r="F327" s="79">
        <v>261.0</v>
      </c>
      <c r="G327" s="79">
        <v>1243.0</v>
      </c>
      <c r="H327" s="80">
        <v>17.3537234</v>
      </c>
      <c r="I327" s="69"/>
    </row>
    <row r="328">
      <c r="A328" s="78">
        <v>80703.0</v>
      </c>
      <c r="B328" s="88" t="s">
        <v>421</v>
      </c>
      <c r="C328" s="79">
        <v>26.0</v>
      </c>
      <c r="D328" s="79">
        <v>169.0</v>
      </c>
      <c r="E328" s="80">
        <v>13.3333333</v>
      </c>
      <c r="F328" s="79">
        <v>32.0</v>
      </c>
      <c r="G328" s="79">
        <v>273.0</v>
      </c>
      <c r="H328" s="80">
        <v>10.4918033</v>
      </c>
      <c r="I328" s="69"/>
    </row>
    <row r="329">
      <c r="A329" s="78">
        <v>80801.0</v>
      </c>
      <c r="B329" s="88" t="s">
        <v>423</v>
      </c>
      <c r="C329" s="79">
        <v>142.0</v>
      </c>
      <c r="D329" s="79">
        <v>2090.0</v>
      </c>
      <c r="E329" s="80">
        <v>6.3620072</v>
      </c>
      <c r="F329" s="79">
        <v>130.0</v>
      </c>
      <c r="G329" s="79">
        <v>2829.0</v>
      </c>
      <c r="H329" s="80">
        <v>4.3933761</v>
      </c>
      <c r="I329" s="69"/>
    </row>
    <row r="330">
      <c r="A330" s="78">
        <v>80802.0</v>
      </c>
      <c r="B330" s="88" t="s">
        <v>424</v>
      </c>
      <c r="C330" s="79">
        <v>226.0</v>
      </c>
      <c r="D330" s="79">
        <v>1130.0</v>
      </c>
      <c r="E330" s="80">
        <v>16.6666667</v>
      </c>
      <c r="F330" s="79">
        <v>300.0</v>
      </c>
      <c r="G330" s="79">
        <v>1764.0</v>
      </c>
      <c r="H330" s="80">
        <v>14.5348837</v>
      </c>
      <c r="I330" s="69"/>
    </row>
    <row r="331">
      <c r="A331" s="78">
        <v>80803.0</v>
      </c>
      <c r="B331" s="88" t="s">
        <v>425</v>
      </c>
      <c r="C331" s="79">
        <v>120.0</v>
      </c>
      <c r="D331" s="79">
        <v>699.0</v>
      </c>
      <c r="E331" s="80">
        <v>14.6520147</v>
      </c>
      <c r="F331" s="79">
        <v>46.0</v>
      </c>
      <c r="G331" s="79">
        <v>972.0</v>
      </c>
      <c r="H331" s="80">
        <v>4.518664</v>
      </c>
      <c r="I331" s="69"/>
    </row>
    <row r="332">
      <c r="A332" s="78">
        <v>80901.0</v>
      </c>
      <c r="B332" s="88" t="s">
        <v>427</v>
      </c>
      <c r="C332" s="79">
        <v>182.0</v>
      </c>
      <c r="D332" s="79">
        <v>449.0</v>
      </c>
      <c r="E332" s="80">
        <v>28.8431062</v>
      </c>
      <c r="F332" s="79">
        <v>285.0</v>
      </c>
      <c r="G332" s="79">
        <v>637.0</v>
      </c>
      <c r="H332" s="80">
        <v>30.9110629</v>
      </c>
      <c r="I332" s="69"/>
    </row>
    <row r="333">
      <c r="A333" s="78">
        <v>90101.0</v>
      </c>
      <c r="B333" s="88" t="s">
        <v>430</v>
      </c>
      <c r="C333" s="79">
        <v>1099.0</v>
      </c>
      <c r="D333" s="79">
        <v>11205.0</v>
      </c>
      <c r="E333" s="80">
        <v>8.9320546</v>
      </c>
      <c r="F333" s="79">
        <v>485.0</v>
      </c>
      <c r="G333" s="79">
        <v>15079.0</v>
      </c>
      <c r="H333" s="80">
        <v>3.1161655</v>
      </c>
      <c r="I333" s="69"/>
    </row>
    <row r="334">
      <c r="A334" s="78">
        <v>90102.0</v>
      </c>
      <c r="B334" s="88" t="s">
        <v>431</v>
      </c>
      <c r="C334" s="79">
        <v>133.0</v>
      </c>
      <c r="D334" s="79">
        <v>1522.0</v>
      </c>
      <c r="E334" s="80">
        <v>8.0362538</v>
      </c>
      <c r="F334" s="79">
        <v>134.0</v>
      </c>
      <c r="G334" s="79">
        <v>2096.0</v>
      </c>
      <c r="H334" s="80">
        <v>6.0089686</v>
      </c>
      <c r="I334" s="69"/>
    </row>
    <row r="335">
      <c r="A335" s="78">
        <v>90103.0</v>
      </c>
      <c r="B335" s="88" t="s">
        <v>432</v>
      </c>
      <c r="C335" s="79">
        <v>164.0</v>
      </c>
      <c r="D335" s="79">
        <v>381.0</v>
      </c>
      <c r="E335" s="80">
        <v>30.0917431</v>
      </c>
      <c r="F335" s="79">
        <v>122.0</v>
      </c>
      <c r="G335" s="79">
        <v>680.0</v>
      </c>
      <c r="H335" s="80">
        <v>15.2119701</v>
      </c>
      <c r="I335" s="69"/>
    </row>
    <row r="336">
      <c r="A336" s="78">
        <v>90104.0</v>
      </c>
      <c r="B336" s="88" t="s">
        <v>433</v>
      </c>
      <c r="C336" s="79">
        <v>268.0</v>
      </c>
      <c r="D336" s="79">
        <v>676.0</v>
      </c>
      <c r="E336" s="80">
        <v>28.3898305</v>
      </c>
      <c r="F336" s="79">
        <v>171.0</v>
      </c>
      <c r="G336" s="79">
        <v>1064.0</v>
      </c>
      <c r="H336" s="80">
        <v>13.8461538</v>
      </c>
      <c r="I336" s="69"/>
    </row>
    <row r="337">
      <c r="A337" s="78">
        <v>90201.0</v>
      </c>
      <c r="B337" s="88" t="s">
        <v>435</v>
      </c>
      <c r="C337" s="79">
        <v>164.0</v>
      </c>
      <c r="D337" s="79">
        <v>1218.0</v>
      </c>
      <c r="E337" s="80">
        <v>11.8668596</v>
      </c>
      <c r="F337" s="79">
        <v>81.0</v>
      </c>
      <c r="G337" s="79">
        <v>1908.0</v>
      </c>
      <c r="H337" s="80">
        <v>4.0723982</v>
      </c>
      <c r="I337" s="69"/>
    </row>
    <row r="338">
      <c r="A338" s="78">
        <v>90202.0</v>
      </c>
      <c r="B338" s="88" t="s">
        <v>282</v>
      </c>
      <c r="C338" s="79">
        <v>227.0</v>
      </c>
      <c r="D338" s="79">
        <v>384.0</v>
      </c>
      <c r="E338" s="80">
        <v>37.1522095</v>
      </c>
      <c r="F338" s="79">
        <v>45.0</v>
      </c>
      <c r="G338" s="79">
        <v>567.0</v>
      </c>
      <c r="H338" s="80">
        <v>7.3529412</v>
      </c>
      <c r="I338" s="69"/>
    </row>
    <row r="339">
      <c r="A339" s="78">
        <v>90203.0</v>
      </c>
      <c r="B339" s="88" t="s">
        <v>436</v>
      </c>
      <c r="C339" s="79">
        <v>294.0</v>
      </c>
      <c r="D339" s="79">
        <v>1133.0</v>
      </c>
      <c r="E339" s="80">
        <v>20.6026629</v>
      </c>
      <c r="F339" s="79">
        <v>256.0</v>
      </c>
      <c r="G339" s="79">
        <v>2258.0</v>
      </c>
      <c r="H339" s="80">
        <v>10.1829753</v>
      </c>
      <c r="I339" s="69"/>
    </row>
    <row r="340">
      <c r="A340" s="78">
        <v>90301.0</v>
      </c>
      <c r="B340" s="88" t="s">
        <v>438</v>
      </c>
      <c r="C340" s="79">
        <v>157.0</v>
      </c>
      <c r="D340" s="79">
        <v>869.0</v>
      </c>
      <c r="E340" s="80">
        <v>15.3021442</v>
      </c>
      <c r="F340" s="79">
        <v>288.0</v>
      </c>
      <c r="G340" s="79">
        <v>1677.0</v>
      </c>
      <c r="H340" s="80">
        <v>14.6564885</v>
      </c>
      <c r="I340" s="69"/>
    </row>
    <row r="341">
      <c r="A341" s="78">
        <v>90302.0</v>
      </c>
      <c r="B341" s="88" t="s">
        <v>331</v>
      </c>
      <c r="C341" s="79">
        <v>286.0</v>
      </c>
      <c r="D341" s="79">
        <v>1056.0</v>
      </c>
      <c r="E341" s="80">
        <v>21.3114754</v>
      </c>
      <c r="F341" s="79">
        <v>108.0</v>
      </c>
      <c r="G341" s="79">
        <v>1742.0</v>
      </c>
      <c r="H341" s="80">
        <v>5.8378378</v>
      </c>
      <c r="I341" s="69"/>
    </row>
    <row r="342">
      <c r="A342" s="78">
        <v>90303.0</v>
      </c>
      <c r="B342" s="88" t="s">
        <v>439</v>
      </c>
      <c r="C342" s="79">
        <v>648.0</v>
      </c>
      <c r="D342" s="79">
        <v>1005.0</v>
      </c>
      <c r="E342" s="80">
        <v>39.2014519</v>
      </c>
      <c r="F342" s="79">
        <v>215.0</v>
      </c>
      <c r="G342" s="79">
        <v>2660.0</v>
      </c>
      <c r="H342" s="80">
        <v>7.4782609</v>
      </c>
      <c r="I342" s="69"/>
    </row>
    <row r="343">
      <c r="A343" s="78">
        <v>90401.0</v>
      </c>
      <c r="B343" s="88" t="s">
        <v>358</v>
      </c>
      <c r="C343" s="79">
        <v>147.0</v>
      </c>
      <c r="D343" s="79">
        <v>464.0</v>
      </c>
      <c r="E343" s="80">
        <v>24.0589198</v>
      </c>
      <c r="F343" s="79">
        <v>74.0</v>
      </c>
      <c r="G343" s="79">
        <v>786.0</v>
      </c>
      <c r="H343" s="80">
        <v>8.6046512</v>
      </c>
      <c r="I343" s="69"/>
    </row>
    <row r="344">
      <c r="A344" s="78">
        <v>90402.0</v>
      </c>
      <c r="B344" s="88" t="s">
        <v>101</v>
      </c>
      <c r="C344" s="79">
        <v>73.0</v>
      </c>
      <c r="D344" s="79">
        <v>271.0</v>
      </c>
      <c r="E344" s="80">
        <v>21.2209302</v>
      </c>
      <c r="F344" s="79">
        <v>75.0</v>
      </c>
      <c r="G344" s="79">
        <v>574.0</v>
      </c>
      <c r="H344" s="80">
        <v>11.5562404</v>
      </c>
      <c r="I344" s="69"/>
    </row>
    <row r="345">
      <c r="A345" s="78">
        <v>90501.0</v>
      </c>
      <c r="B345" s="88" t="s">
        <v>442</v>
      </c>
      <c r="C345" s="79">
        <v>145.0</v>
      </c>
      <c r="D345" s="79">
        <v>321.0</v>
      </c>
      <c r="E345" s="80">
        <v>31.1158798</v>
      </c>
      <c r="F345" s="79">
        <v>38.0</v>
      </c>
      <c r="G345" s="79">
        <v>451.0</v>
      </c>
      <c r="H345" s="80">
        <v>7.7709611</v>
      </c>
      <c r="I345" s="69"/>
    </row>
    <row r="346">
      <c r="A346" s="78">
        <v>90502.0</v>
      </c>
      <c r="B346" s="88" t="s">
        <v>443</v>
      </c>
      <c r="C346" s="79">
        <v>140.0</v>
      </c>
      <c r="D346" s="79">
        <v>449.0</v>
      </c>
      <c r="E346" s="80">
        <v>23.7691002</v>
      </c>
      <c r="F346" s="79">
        <v>31.0</v>
      </c>
      <c r="G346" s="79">
        <v>677.0</v>
      </c>
      <c r="H346" s="80">
        <v>4.3785311</v>
      </c>
      <c r="I346" s="69"/>
    </row>
    <row r="347">
      <c r="A347" s="78">
        <v>90503.0</v>
      </c>
      <c r="B347" s="88" t="s">
        <v>444</v>
      </c>
      <c r="C347" s="79">
        <v>100.0</v>
      </c>
      <c r="D347" s="79">
        <v>366.0</v>
      </c>
      <c r="E347" s="80">
        <v>21.4592275</v>
      </c>
      <c r="F347" s="79">
        <v>36.0</v>
      </c>
      <c r="G347" s="79">
        <v>565.0</v>
      </c>
      <c r="H347" s="80">
        <v>5.9900166</v>
      </c>
      <c r="I347" s="69"/>
    </row>
    <row r="348">
      <c r="I348" s="69"/>
    </row>
    <row r="349">
      <c r="D349" s="63" t="s">
        <v>518</v>
      </c>
      <c r="E349" s="89">
        <f>+AVERAGE(E5:E347)</f>
        <v>52.4715481</v>
      </c>
      <c r="F349" s="89">
        <f>+E349+E350</f>
        <v>79.86770126</v>
      </c>
      <c r="H349" s="89"/>
      <c r="I349" s="89"/>
    </row>
    <row r="350">
      <c r="D350" s="63" t="s">
        <v>519</v>
      </c>
      <c r="E350" s="89">
        <f>+STDEVA(E5:E347)</f>
        <v>27.39615316</v>
      </c>
      <c r="F350" s="89">
        <f>+E349-E350</f>
        <v>25.07539494</v>
      </c>
      <c r="H350" s="89"/>
      <c r="I350" s="89"/>
    </row>
    <row r="351">
      <c r="D351" s="63" t="s">
        <v>520</v>
      </c>
      <c r="E351" s="89">
        <f>+MIN(E5:E347)</f>
        <v>3.4127638</v>
      </c>
      <c r="H351" s="89"/>
      <c r="I351" s="69"/>
    </row>
    <row r="352">
      <c r="D352" s="63" t="s">
        <v>521</v>
      </c>
      <c r="E352" s="89">
        <f>+MAX(E5:E347)</f>
        <v>98.816568</v>
      </c>
      <c r="H352" s="89"/>
      <c r="I352" s="69"/>
    </row>
    <row r="353">
      <c r="D353" s="63" t="s">
        <v>522</v>
      </c>
      <c r="E353" s="90">
        <v>343.0</v>
      </c>
      <c r="H353" s="90"/>
      <c r="I353" s="69"/>
    </row>
    <row r="354">
      <c r="I354" s="69"/>
    </row>
    <row r="355">
      <c r="I355" s="69"/>
    </row>
    <row r="356">
      <c r="I356" s="69"/>
    </row>
    <row r="357">
      <c r="I357" s="69"/>
    </row>
    <row r="358">
      <c r="I358" s="69"/>
    </row>
    <row r="359">
      <c r="I359" s="69"/>
    </row>
    <row r="360">
      <c r="I360" s="69"/>
    </row>
    <row r="361">
      <c r="I361" s="69"/>
    </row>
    <row r="362">
      <c r="I362" s="69"/>
    </row>
    <row r="363">
      <c r="I363" s="69"/>
    </row>
    <row r="364">
      <c r="I364" s="69"/>
    </row>
    <row r="365">
      <c r="I365" s="69"/>
    </row>
    <row r="366">
      <c r="I366" s="69"/>
    </row>
    <row r="367">
      <c r="I367" s="69"/>
    </row>
    <row r="368">
      <c r="I368" s="69"/>
    </row>
    <row r="369">
      <c r="I369" s="69"/>
    </row>
    <row r="370">
      <c r="I370" s="69"/>
    </row>
    <row r="371">
      <c r="I371" s="69"/>
    </row>
    <row r="372">
      <c r="I372" s="69"/>
    </row>
    <row r="373">
      <c r="I373" s="69"/>
    </row>
    <row r="374">
      <c r="I374" s="69"/>
    </row>
    <row r="375">
      <c r="I375" s="69"/>
    </row>
    <row r="376">
      <c r="I376" s="69"/>
    </row>
    <row r="377">
      <c r="I377" s="69"/>
    </row>
    <row r="378">
      <c r="I378" s="69"/>
    </row>
    <row r="379">
      <c r="I379" s="69"/>
    </row>
    <row r="380">
      <c r="I380" s="69"/>
    </row>
    <row r="381">
      <c r="I381" s="69"/>
    </row>
    <row r="382">
      <c r="I382" s="69"/>
    </row>
    <row r="383">
      <c r="I383" s="69"/>
    </row>
    <row r="384">
      <c r="I384" s="69"/>
    </row>
    <row r="385">
      <c r="I385" s="69"/>
    </row>
    <row r="386">
      <c r="I386" s="69"/>
    </row>
    <row r="387">
      <c r="I387" s="69"/>
    </row>
    <row r="388">
      <c r="I388" s="69"/>
    </row>
    <row r="389">
      <c r="I389" s="69"/>
    </row>
    <row r="390">
      <c r="I390" s="69"/>
    </row>
    <row r="391">
      <c r="I391" s="69"/>
    </row>
    <row r="392">
      <c r="I392" s="69"/>
    </row>
    <row r="393">
      <c r="I393" s="69"/>
    </row>
    <row r="394">
      <c r="I394" s="69"/>
    </row>
    <row r="395">
      <c r="I395" s="69"/>
    </row>
    <row r="396">
      <c r="I396" s="69"/>
    </row>
    <row r="397">
      <c r="I397" s="69"/>
    </row>
    <row r="398">
      <c r="I398" s="69"/>
    </row>
    <row r="399">
      <c r="I399" s="69"/>
    </row>
    <row r="400">
      <c r="I400" s="69"/>
    </row>
    <row r="401">
      <c r="I401" s="69"/>
    </row>
    <row r="402">
      <c r="I402" s="69"/>
    </row>
    <row r="403">
      <c r="I403" s="69"/>
    </row>
    <row r="404">
      <c r="I404" s="69"/>
    </row>
    <row r="405">
      <c r="I405" s="69"/>
    </row>
    <row r="406">
      <c r="I406" s="69"/>
    </row>
    <row r="407">
      <c r="I407" s="69"/>
    </row>
    <row r="408">
      <c r="I408" s="69"/>
    </row>
    <row r="409">
      <c r="I409" s="69"/>
    </row>
    <row r="410">
      <c r="I410" s="69"/>
    </row>
    <row r="411">
      <c r="I411" s="69"/>
    </row>
    <row r="412">
      <c r="I412" s="69"/>
    </row>
    <row r="413">
      <c r="I413" s="69"/>
    </row>
    <row r="414">
      <c r="I414" s="69"/>
    </row>
    <row r="415">
      <c r="I415" s="69"/>
    </row>
    <row r="416">
      <c r="I416" s="69"/>
    </row>
    <row r="417">
      <c r="I417" s="69"/>
    </row>
    <row r="418">
      <c r="I418" s="69"/>
    </row>
    <row r="419">
      <c r="I419" s="69"/>
    </row>
    <row r="420">
      <c r="I420" s="69"/>
    </row>
    <row r="421">
      <c r="I421" s="69"/>
    </row>
    <row r="422">
      <c r="I422" s="69"/>
    </row>
    <row r="423">
      <c r="I423" s="69"/>
    </row>
    <row r="424">
      <c r="I424" s="69"/>
    </row>
    <row r="425">
      <c r="I425" s="69"/>
    </row>
    <row r="426">
      <c r="I426" s="69"/>
    </row>
    <row r="427">
      <c r="I427" s="69"/>
    </row>
    <row r="428">
      <c r="I428" s="69"/>
    </row>
    <row r="429">
      <c r="I429" s="69"/>
    </row>
    <row r="430">
      <c r="I430" s="69"/>
    </row>
    <row r="431">
      <c r="I431" s="69"/>
    </row>
    <row r="432">
      <c r="I432" s="69"/>
    </row>
    <row r="433">
      <c r="I433" s="69"/>
    </row>
    <row r="434">
      <c r="I434" s="69"/>
    </row>
    <row r="435">
      <c r="I435" s="69"/>
    </row>
    <row r="436">
      <c r="I436" s="69"/>
    </row>
    <row r="437">
      <c r="I437" s="69"/>
    </row>
    <row r="438">
      <c r="I438" s="69"/>
    </row>
    <row r="439">
      <c r="I439" s="69"/>
    </row>
    <row r="440">
      <c r="I440" s="69"/>
    </row>
    <row r="441">
      <c r="I441" s="69"/>
    </row>
    <row r="442">
      <c r="I442" s="69"/>
    </row>
    <row r="443">
      <c r="I443" s="69"/>
    </row>
    <row r="444">
      <c r="I444" s="69"/>
    </row>
    <row r="445">
      <c r="I445" s="69"/>
    </row>
    <row r="446">
      <c r="I446" s="69"/>
    </row>
    <row r="447">
      <c r="I447" s="69"/>
    </row>
    <row r="448">
      <c r="I448" s="69"/>
    </row>
    <row r="449">
      <c r="I449" s="69"/>
    </row>
    <row r="450">
      <c r="I450" s="69"/>
    </row>
    <row r="451">
      <c r="I451" s="69"/>
    </row>
    <row r="452">
      <c r="I452" s="69"/>
    </row>
    <row r="453">
      <c r="I453" s="69"/>
    </row>
    <row r="454">
      <c r="I454" s="69"/>
    </row>
    <row r="455">
      <c r="I455" s="69"/>
    </row>
    <row r="456">
      <c r="I456" s="69"/>
    </row>
    <row r="457">
      <c r="I457" s="69"/>
    </row>
    <row r="458">
      <c r="I458" s="69"/>
    </row>
    <row r="459">
      <c r="I459" s="69"/>
    </row>
    <row r="460">
      <c r="I460" s="69"/>
    </row>
    <row r="461">
      <c r="I461" s="69"/>
    </row>
    <row r="462">
      <c r="I462" s="69"/>
    </row>
    <row r="463">
      <c r="I463" s="69"/>
    </row>
    <row r="464">
      <c r="I464" s="69"/>
    </row>
    <row r="465">
      <c r="I465" s="69"/>
    </row>
    <row r="466">
      <c r="I466" s="69"/>
    </row>
    <row r="467">
      <c r="I467" s="69"/>
    </row>
    <row r="468">
      <c r="I468" s="69"/>
    </row>
    <row r="469">
      <c r="I469" s="69"/>
    </row>
    <row r="470">
      <c r="I470" s="69"/>
    </row>
    <row r="471">
      <c r="I471" s="69"/>
    </row>
    <row r="472">
      <c r="I472" s="69"/>
    </row>
    <row r="473">
      <c r="I473" s="69"/>
    </row>
    <row r="474">
      <c r="I474" s="69"/>
    </row>
    <row r="475">
      <c r="I475" s="69"/>
    </row>
    <row r="476">
      <c r="I476" s="69"/>
    </row>
    <row r="477">
      <c r="I477" s="69"/>
    </row>
    <row r="478">
      <c r="I478" s="69"/>
    </row>
    <row r="479">
      <c r="I479" s="69"/>
    </row>
    <row r="480">
      <c r="I480" s="69"/>
    </row>
    <row r="481">
      <c r="I481" s="69"/>
    </row>
    <row r="482">
      <c r="I482" s="69"/>
    </row>
    <row r="483">
      <c r="I483" s="69"/>
    </row>
    <row r="484">
      <c r="I484" s="69"/>
    </row>
    <row r="485">
      <c r="I485" s="69"/>
    </row>
    <row r="486">
      <c r="I486" s="69"/>
    </row>
    <row r="487">
      <c r="I487" s="69"/>
    </row>
    <row r="488">
      <c r="I488" s="69"/>
    </row>
    <row r="489">
      <c r="I489" s="69"/>
    </row>
    <row r="490">
      <c r="I490" s="69"/>
    </row>
    <row r="491">
      <c r="I491" s="69"/>
    </row>
    <row r="492">
      <c r="I492" s="69"/>
    </row>
    <row r="493">
      <c r="I493" s="69"/>
    </row>
    <row r="494">
      <c r="I494" s="69"/>
    </row>
    <row r="495">
      <c r="I495" s="69"/>
    </row>
    <row r="496">
      <c r="I496" s="69"/>
    </row>
    <row r="497">
      <c r="I497" s="69"/>
    </row>
    <row r="498">
      <c r="I498" s="69"/>
    </row>
    <row r="499">
      <c r="I499" s="69"/>
    </row>
    <row r="500">
      <c r="I500" s="69"/>
    </row>
    <row r="501">
      <c r="I501" s="69"/>
    </row>
    <row r="502">
      <c r="I502" s="69"/>
    </row>
    <row r="503">
      <c r="I503" s="69"/>
    </row>
    <row r="504">
      <c r="I504" s="69"/>
    </row>
    <row r="505">
      <c r="I505" s="69"/>
    </row>
    <row r="506">
      <c r="I506" s="69"/>
    </row>
    <row r="507">
      <c r="I507" s="69"/>
    </row>
    <row r="508">
      <c r="I508" s="69"/>
    </row>
    <row r="509">
      <c r="I509" s="69"/>
    </row>
    <row r="510">
      <c r="I510" s="69"/>
    </row>
    <row r="511">
      <c r="I511" s="69"/>
    </row>
    <row r="512">
      <c r="I512" s="69"/>
    </row>
    <row r="513">
      <c r="I513" s="69"/>
    </row>
    <row r="514">
      <c r="I514" s="69"/>
    </row>
    <row r="515">
      <c r="I515" s="69"/>
    </row>
    <row r="516">
      <c r="I516" s="69"/>
    </row>
    <row r="517">
      <c r="I517" s="69"/>
    </row>
    <row r="518">
      <c r="I518" s="69"/>
    </row>
    <row r="519">
      <c r="I519" s="69"/>
    </row>
    <row r="520">
      <c r="I520" s="69"/>
    </row>
    <row r="521">
      <c r="I521" s="69"/>
    </row>
    <row r="522">
      <c r="I522" s="69"/>
    </row>
    <row r="523">
      <c r="I523" s="69"/>
    </row>
    <row r="524">
      <c r="I524" s="69"/>
    </row>
    <row r="525">
      <c r="I525" s="69"/>
    </row>
    <row r="526">
      <c r="I526" s="69"/>
    </row>
    <row r="527">
      <c r="I527" s="69"/>
    </row>
    <row r="528">
      <c r="I528" s="69"/>
    </row>
    <row r="529">
      <c r="I529" s="69"/>
    </row>
    <row r="530">
      <c r="I530" s="69"/>
    </row>
    <row r="531">
      <c r="I531" s="69"/>
    </row>
    <row r="532">
      <c r="I532" s="69"/>
    </row>
    <row r="533">
      <c r="I533" s="69"/>
    </row>
    <row r="534">
      <c r="I534" s="69"/>
    </row>
    <row r="535">
      <c r="I535" s="69"/>
    </row>
    <row r="536">
      <c r="I536" s="69"/>
    </row>
    <row r="537">
      <c r="I537" s="69"/>
    </row>
    <row r="538">
      <c r="I538" s="69"/>
    </row>
    <row r="539">
      <c r="I539" s="69"/>
    </row>
    <row r="540">
      <c r="I540" s="69"/>
    </row>
    <row r="541">
      <c r="I541" s="69"/>
    </row>
    <row r="542">
      <c r="I542" s="69"/>
    </row>
    <row r="543">
      <c r="I543" s="69"/>
    </row>
    <row r="544">
      <c r="I544" s="69"/>
    </row>
    <row r="545">
      <c r="I545" s="69"/>
    </row>
    <row r="546">
      <c r="I546" s="69"/>
    </row>
    <row r="547">
      <c r="I547" s="69"/>
    </row>
    <row r="548">
      <c r="I548" s="69"/>
    </row>
    <row r="549">
      <c r="I549" s="69"/>
    </row>
    <row r="550">
      <c r="I550" s="69"/>
    </row>
    <row r="551">
      <c r="I551" s="69"/>
    </row>
    <row r="552">
      <c r="I552" s="69"/>
    </row>
    <row r="553">
      <c r="I553" s="69"/>
    </row>
    <row r="554">
      <c r="I554" s="69"/>
    </row>
    <row r="555">
      <c r="I555" s="69"/>
    </row>
    <row r="556">
      <c r="I556" s="69"/>
    </row>
    <row r="557">
      <c r="I557" s="69"/>
    </row>
    <row r="558">
      <c r="I558" s="69"/>
    </row>
    <row r="559">
      <c r="I559" s="69"/>
    </row>
    <row r="560">
      <c r="I560" s="69"/>
    </row>
    <row r="561">
      <c r="I561" s="69"/>
    </row>
    <row r="562">
      <c r="I562" s="69"/>
    </row>
    <row r="563">
      <c r="I563" s="69"/>
    </row>
    <row r="564">
      <c r="I564" s="69"/>
    </row>
    <row r="565">
      <c r="I565" s="69"/>
    </row>
    <row r="566">
      <c r="I566" s="69"/>
    </row>
    <row r="567">
      <c r="I567" s="69"/>
    </row>
    <row r="568">
      <c r="I568" s="69"/>
    </row>
    <row r="569">
      <c r="I569" s="69"/>
    </row>
    <row r="570">
      <c r="I570" s="69"/>
    </row>
    <row r="571">
      <c r="I571" s="69"/>
    </row>
    <row r="572">
      <c r="I572" s="69"/>
    </row>
    <row r="573">
      <c r="I573" s="69"/>
    </row>
    <row r="574">
      <c r="I574" s="69"/>
    </row>
    <row r="575">
      <c r="I575" s="69"/>
    </row>
    <row r="576">
      <c r="I576" s="69"/>
    </row>
    <row r="577">
      <c r="I577" s="69"/>
    </row>
    <row r="578">
      <c r="I578" s="69"/>
    </row>
    <row r="579">
      <c r="I579" s="69"/>
    </row>
    <row r="580">
      <c r="I580" s="69"/>
    </row>
    <row r="581">
      <c r="I581" s="69"/>
    </row>
    <row r="582">
      <c r="I582" s="69"/>
    </row>
    <row r="583">
      <c r="I583" s="69"/>
    </row>
    <row r="584">
      <c r="I584" s="69"/>
    </row>
    <row r="585">
      <c r="I585" s="69"/>
    </row>
    <row r="586">
      <c r="I586" s="69"/>
    </row>
    <row r="587">
      <c r="I587" s="69"/>
    </row>
    <row r="588">
      <c r="I588" s="69"/>
    </row>
    <row r="589">
      <c r="I589" s="69"/>
    </row>
    <row r="590">
      <c r="I590" s="69"/>
    </row>
    <row r="591">
      <c r="I591" s="69"/>
    </row>
    <row r="592">
      <c r="I592" s="69"/>
    </row>
    <row r="593">
      <c r="I593" s="69"/>
    </row>
    <row r="594">
      <c r="I594" s="69"/>
    </row>
    <row r="595">
      <c r="I595" s="69"/>
    </row>
    <row r="596">
      <c r="I596" s="69"/>
    </row>
    <row r="597">
      <c r="I597" s="69"/>
    </row>
    <row r="598">
      <c r="I598" s="69"/>
    </row>
    <row r="599">
      <c r="I599" s="69"/>
    </row>
    <row r="600">
      <c r="I600" s="69"/>
    </row>
    <row r="601">
      <c r="I601" s="69"/>
    </row>
    <row r="602">
      <c r="I602" s="69"/>
    </row>
    <row r="603">
      <c r="I603" s="69"/>
    </row>
    <row r="604">
      <c r="I604" s="69"/>
    </row>
    <row r="605">
      <c r="I605" s="69"/>
    </row>
    <row r="606">
      <c r="I606" s="69"/>
    </row>
    <row r="607">
      <c r="I607" s="69"/>
    </row>
    <row r="608">
      <c r="I608" s="69"/>
    </row>
    <row r="609">
      <c r="I609" s="69"/>
    </row>
    <row r="610">
      <c r="I610" s="69"/>
    </row>
    <row r="611">
      <c r="I611" s="69"/>
    </row>
    <row r="612">
      <c r="I612" s="69"/>
    </row>
    <row r="613">
      <c r="I613" s="69"/>
    </row>
    <row r="614">
      <c r="I614" s="69"/>
    </row>
    <row r="615">
      <c r="I615" s="69"/>
    </row>
    <row r="616">
      <c r="I616" s="69"/>
    </row>
    <row r="617">
      <c r="I617" s="69"/>
    </row>
    <row r="618">
      <c r="I618" s="69"/>
    </row>
    <row r="619">
      <c r="I619" s="69"/>
    </row>
    <row r="620">
      <c r="I620" s="69"/>
    </row>
    <row r="621">
      <c r="I621" s="69"/>
    </row>
    <row r="622">
      <c r="I622" s="69"/>
    </row>
    <row r="623">
      <c r="I623" s="69"/>
    </row>
    <row r="624">
      <c r="I624" s="69"/>
    </row>
    <row r="625">
      <c r="I625" s="69"/>
    </row>
    <row r="626">
      <c r="I626" s="69"/>
    </row>
    <row r="627">
      <c r="I627" s="69"/>
    </row>
    <row r="628">
      <c r="I628" s="69"/>
    </row>
    <row r="629">
      <c r="I629" s="69"/>
    </row>
    <row r="630">
      <c r="I630" s="69"/>
    </row>
    <row r="631">
      <c r="I631" s="69"/>
    </row>
    <row r="632">
      <c r="I632" s="69"/>
    </row>
    <row r="633">
      <c r="I633" s="69"/>
    </row>
    <row r="634">
      <c r="I634" s="69"/>
    </row>
    <row r="635">
      <c r="I635" s="69"/>
    </row>
    <row r="636">
      <c r="I636" s="69"/>
    </row>
    <row r="637">
      <c r="I637" s="69"/>
    </row>
    <row r="638">
      <c r="I638" s="69"/>
    </row>
    <row r="639">
      <c r="I639" s="69"/>
    </row>
    <row r="640">
      <c r="I640" s="69"/>
    </row>
    <row r="641">
      <c r="I641" s="69"/>
    </row>
    <row r="642">
      <c r="I642" s="69"/>
    </row>
    <row r="643">
      <c r="I643" s="69"/>
    </row>
    <row r="644">
      <c r="I644" s="69"/>
    </row>
    <row r="645">
      <c r="I645" s="69"/>
    </row>
    <row r="646">
      <c r="I646" s="69"/>
    </row>
    <row r="647">
      <c r="I647" s="69"/>
    </row>
    <row r="648">
      <c r="I648" s="69"/>
    </row>
    <row r="649">
      <c r="I649" s="69"/>
    </row>
    <row r="650">
      <c r="I650" s="69"/>
    </row>
    <row r="651">
      <c r="I651" s="69"/>
    </row>
    <row r="652">
      <c r="I652" s="69"/>
    </row>
    <row r="653">
      <c r="I653" s="69"/>
    </row>
    <row r="654">
      <c r="I654" s="69"/>
    </row>
    <row r="655">
      <c r="I655" s="69"/>
    </row>
    <row r="656">
      <c r="I656" s="69"/>
    </row>
    <row r="657">
      <c r="I657" s="69"/>
    </row>
    <row r="658">
      <c r="I658" s="69"/>
    </row>
    <row r="659">
      <c r="I659" s="69"/>
    </row>
    <row r="660">
      <c r="I660" s="69"/>
    </row>
    <row r="661">
      <c r="I661" s="69"/>
    </row>
    <row r="662">
      <c r="I662" s="69"/>
    </row>
    <row r="663">
      <c r="I663" s="69"/>
    </row>
    <row r="664">
      <c r="I664" s="69"/>
    </row>
    <row r="665">
      <c r="I665" s="69"/>
    </row>
    <row r="666">
      <c r="I666" s="69"/>
    </row>
    <row r="667">
      <c r="I667" s="69"/>
    </row>
    <row r="668">
      <c r="I668" s="69"/>
    </row>
    <row r="669">
      <c r="I669" s="69"/>
    </row>
    <row r="670">
      <c r="I670" s="69"/>
    </row>
    <row r="671">
      <c r="I671" s="69"/>
    </row>
    <row r="672">
      <c r="I672" s="69"/>
    </row>
    <row r="673">
      <c r="I673" s="69"/>
    </row>
    <row r="674">
      <c r="I674" s="69"/>
    </row>
    <row r="675">
      <c r="I675" s="69"/>
    </row>
    <row r="676">
      <c r="I676" s="69"/>
    </row>
    <row r="677">
      <c r="I677" s="69"/>
    </row>
    <row r="678">
      <c r="I678" s="69"/>
    </row>
    <row r="679">
      <c r="I679" s="69"/>
    </row>
    <row r="680">
      <c r="I680" s="69"/>
    </row>
    <row r="681">
      <c r="I681" s="69"/>
    </row>
    <row r="682">
      <c r="I682" s="69"/>
    </row>
    <row r="683">
      <c r="I683" s="69"/>
    </row>
    <row r="684">
      <c r="I684" s="69"/>
    </row>
    <row r="685">
      <c r="I685" s="69"/>
    </row>
    <row r="686">
      <c r="I686" s="69"/>
    </row>
    <row r="687">
      <c r="I687" s="69"/>
    </row>
    <row r="688">
      <c r="I688" s="69"/>
    </row>
    <row r="689">
      <c r="I689" s="69"/>
    </row>
    <row r="690">
      <c r="I690" s="69"/>
    </row>
    <row r="691">
      <c r="I691" s="69"/>
    </row>
    <row r="692">
      <c r="I692" s="69"/>
    </row>
    <row r="693">
      <c r="I693" s="69"/>
    </row>
    <row r="694">
      <c r="I694" s="69"/>
    </row>
    <row r="695">
      <c r="I695" s="69"/>
    </row>
    <row r="696">
      <c r="I696" s="69"/>
    </row>
    <row r="697">
      <c r="I697" s="69"/>
    </row>
    <row r="698">
      <c r="I698" s="69"/>
    </row>
    <row r="699">
      <c r="I699" s="69"/>
    </row>
    <row r="700">
      <c r="I700" s="69"/>
    </row>
    <row r="701">
      <c r="I701" s="69"/>
    </row>
    <row r="702">
      <c r="I702" s="69"/>
    </row>
    <row r="703">
      <c r="I703" s="69"/>
    </row>
    <row r="704">
      <c r="I704" s="69"/>
    </row>
    <row r="705">
      <c r="I705" s="69"/>
    </row>
    <row r="706">
      <c r="I706" s="69"/>
    </row>
    <row r="707">
      <c r="I707" s="69"/>
    </row>
    <row r="708">
      <c r="I708" s="69"/>
    </row>
    <row r="709">
      <c r="I709" s="69"/>
    </row>
    <row r="710">
      <c r="I710" s="69"/>
    </row>
    <row r="711">
      <c r="I711" s="69"/>
    </row>
    <row r="712">
      <c r="I712" s="69"/>
    </row>
    <row r="713">
      <c r="I713" s="69"/>
    </row>
    <row r="714">
      <c r="I714" s="69"/>
    </row>
    <row r="715">
      <c r="I715" s="69"/>
    </row>
    <row r="716">
      <c r="I716" s="69"/>
    </row>
    <row r="717">
      <c r="I717" s="69"/>
    </row>
    <row r="718">
      <c r="I718" s="69"/>
    </row>
    <row r="719">
      <c r="I719" s="69"/>
    </row>
    <row r="720">
      <c r="I720" s="69"/>
    </row>
    <row r="721">
      <c r="I721" s="69"/>
    </row>
    <row r="722">
      <c r="I722" s="69"/>
    </row>
    <row r="723">
      <c r="I723" s="69"/>
    </row>
    <row r="724">
      <c r="I724" s="69"/>
    </row>
    <row r="725">
      <c r="I725" s="69"/>
    </row>
    <row r="726">
      <c r="I726" s="69"/>
    </row>
    <row r="727">
      <c r="I727" s="69"/>
    </row>
    <row r="728">
      <c r="I728" s="69"/>
    </row>
    <row r="729">
      <c r="I729" s="69"/>
    </row>
    <row r="730">
      <c r="I730" s="69"/>
    </row>
    <row r="731">
      <c r="I731" s="69"/>
    </row>
    <row r="732">
      <c r="I732" s="69"/>
    </row>
    <row r="733">
      <c r="I733" s="69"/>
    </row>
    <row r="734">
      <c r="I734" s="69"/>
    </row>
    <row r="735">
      <c r="I735" s="69"/>
    </row>
    <row r="736">
      <c r="I736" s="69"/>
    </row>
    <row r="737">
      <c r="I737" s="69"/>
    </row>
    <row r="738">
      <c r="I738" s="69"/>
    </row>
    <row r="739">
      <c r="I739" s="69"/>
    </row>
    <row r="740">
      <c r="I740" s="69"/>
    </row>
    <row r="741">
      <c r="I741" s="69"/>
    </row>
    <row r="742">
      <c r="I742" s="69"/>
    </row>
    <row r="743">
      <c r="I743" s="69"/>
    </row>
    <row r="744">
      <c r="I744" s="69"/>
    </row>
    <row r="745">
      <c r="I745" s="69"/>
    </row>
    <row r="746">
      <c r="I746" s="69"/>
    </row>
    <row r="747">
      <c r="I747" s="69"/>
    </row>
    <row r="748">
      <c r="I748" s="69"/>
    </row>
    <row r="749">
      <c r="I749" s="69"/>
    </row>
    <row r="750">
      <c r="I750" s="69"/>
    </row>
    <row r="751">
      <c r="I751" s="69"/>
    </row>
    <row r="752">
      <c r="I752" s="69"/>
    </row>
    <row r="753">
      <c r="I753" s="69"/>
    </row>
    <row r="754">
      <c r="I754" s="69"/>
    </row>
    <row r="755">
      <c r="I755" s="69"/>
    </row>
    <row r="756">
      <c r="I756" s="69"/>
    </row>
    <row r="757">
      <c r="I757" s="69"/>
    </row>
    <row r="758">
      <c r="I758" s="69"/>
    </row>
    <row r="759">
      <c r="I759" s="69"/>
    </row>
    <row r="760">
      <c r="I760" s="69"/>
    </row>
    <row r="761">
      <c r="I761" s="69"/>
    </row>
    <row r="762">
      <c r="I762" s="69"/>
    </row>
    <row r="763">
      <c r="I763" s="69"/>
    </row>
    <row r="764">
      <c r="I764" s="69"/>
    </row>
    <row r="765">
      <c r="I765" s="69"/>
    </row>
    <row r="766">
      <c r="I766" s="69"/>
    </row>
    <row r="767">
      <c r="I767" s="69"/>
    </row>
    <row r="768">
      <c r="I768" s="69"/>
    </row>
    <row r="769">
      <c r="I769" s="69"/>
    </row>
    <row r="770">
      <c r="I770" s="69"/>
    </row>
    <row r="771">
      <c r="I771" s="69"/>
    </row>
    <row r="772">
      <c r="I772" s="69"/>
    </row>
    <row r="773">
      <c r="I773" s="69"/>
    </row>
    <row r="774">
      <c r="I774" s="69"/>
    </row>
    <row r="775">
      <c r="I775" s="69"/>
    </row>
    <row r="776">
      <c r="I776" s="69"/>
    </row>
    <row r="777">
      <c r="I777" s="69"/>
    </row>
    <row r="778">
      <c r="I778" s="69"/>
    </row>
    <row r="779">
      <c r="I779" s="69"/>
    </row>
    <row r="780">
      <c r="I780" s="69"/>
    </row>
    <row r="781">
      <c r="I781" s="69"/>
    </row>
    <row r="782">
      <c r="I782" s="69"/>
    </row>
    <row r="783">
      <c r="I783" s="69"/>
    </row>
    <row r="784">
      <c r="I784" s="69"/>
    </row>
    <row r="785">
      <c r="I785" s="69"/>
    </row>
    <row r="786">
      <c r="I786" s="69"/>
    </row>
    <row r="787">
      <c r="I787" s="69"/>
    </row>
    <row r="788">
      <c r="I788" s="69"/>
    </row>
    <row r="789">
      <c r="I789" s="69"/>
    </row>
    <row r="790">
      <c r="I790" s="69"/>
    </row>
    <row r="791">
      <c r="I791" s="69"/>
    </row>
    <row r="792">
      <c r="I792" s="69"/>
    </row>
    <row r="793">
      <c r="I793" s="69"/>
    </row>
    <row r="794">
      <c r="I794" s="69"/>
    </row>
    <row r="795">
      <c r="I795" s="69"/>
    </row>
    <row r="796">
      <c r="I796" s="69"/>
    </row>
    <row r="797">
      <c r="I797" s="69"/>
    </row>
    <row r="798">
      <c r="I798" s="69"/>
    </row>
    <row r="799">
      <c r="I799" s="69"/>
    </row>
    <row r="800">
      <c r="I800" s="69"/>
    </row>
    <row r="801">
      <c r="I801" s="69"/>
    </row>
    <row r="802">
      <c r="I802" s="69"/>
    </row>
    <row r="803">
      <c r="I803" s="69"/>
    </row>
    <row r="804">
      <c r="I804" s="69"/>
    </row>
    <row r="805">
      <c r="I805" s="69"/>
    </row>
    <row r="806">
      <c r="I806" s="69"/>
    </row>
    <row r="807">
      <c r="I807" s="69"/>
    </row>
    <row r="808">
      <c r="I808" s="69"/>
    </row>
    <row r="809">
      <c r="I809" s="69"/>
    </row>
    <row r="810">
      <c r="I810" s="69"/>
    </row>
    <row r="811">
      <c r="I811" s="69"/>
    </row>
    <row r="812">
      <c r="I812" s="69"/>
    </row>
    <row r="813">
      <c r="I813" s="69"/>
    </row>
    <row r="814">
      <c r="I814" s="69"/>
    </row>
    <row r="815">
      <c r="I815" s="69"/>
    </row>
    <row r="816">
      <c r="I816" s="69"/>
    </row>
    <row r="817">
      <c r="I817" s="69"/>
    </row>
    <row r="818">
      <c r="I818" s="69"/>
    </row>
    <row r="819">
      <c r="I819" s="69"/>
    </row>
    <row r="820">
      <c r="I820" s="69"/>
    </row>
    <row r="821">
      <c r="I821" s="69"/>
    </row>
    <row r="822">
      <c r="I822" s="69"/>
    </row>
    <row r="823">
      <c r="I823" s="69"/>
    </row>
    <row r="824">
      <c r="I824" s="69"/>
    </row>
    <row r="825">
      <c r="I825" s="69"/>
    </row>
    <row r="826">
      <c r="I826" s="69"/>
    </row>
    <row r="827">
      <c r="I827" s="69"/>
    </row>
    <row r="828">
      <c r="I828" s="69"/>
    </row>
    <row r="829">
      <c r="I829" s="69"/>
    </row>
    <row r="830">
      <c r="I830" s="69"/>
    </row>
    <row r="831">
      <c r="I831" s="69"/>
    </row>
    <row r="832">
      <c r="I832" s="69"/>
    </row>
    <row r="833">
      <c r="I833" s="69"/>
    </row>
    <row r="834">
      <c r="I834" s="69"/>
    </row>
    <row r="835">
      <c r="I835" s="69"/>
    </row>
    <row r="836">
      <c r="I836" s="69"/>
    </row>
    <row r="837">
      <c r="I837" s="69"/>
    </row>
    <row r="838">
      <c r="I838" s="69"/>
    </row>
    <row r="839">
      <c r="I839" s="69"/>
    </row>
    <row r="840">
      <c r="I840" s="69"/>
    </row>
    <row r="841">
      <c r="I841" s="69"/>
    </row>
    <row r="842">
      <c r="I842" s="69"/>
    </row>
    <row r="843">
      <c r="I843" s="69"/>
    </row>
    <row r="844">
      <c r="I844" s="69"/>
    </row>
    <row r="845">
      <c r="I845" s="69"/>
    </row>
    <row r="846">
      <c r="I846" s="69"/>
    </row>
    <row r="847">
      <c r="I847" s="69"/>
    </row>
    <row r="848">
      <c r="I848" s="69"/>
    </row>
    <row r="849">
      <c r="I849" s="69"/>
    </row>
    <row r="850">
      <c r="I850" s="69"/>
    </row>
    <row r="851">
      <c r="I851" s="69"/>
    </row>
    <row r="852">
      <c r="I852" s="69"/>
    </row>
    <row r="853">
      <c r="I853" s="69"/>
    </row>
    <row r="854">
      <c r="I854" s="69"/>
    </row>
    <row r="855">
      <c r="I855" s="69"/>
    </row>
    <row r="856">
      <c r="I856" s="69"/>
    </row>
    <row r="857">
      <c r="I857" s="69"/>
    </row>
    <row r="858">
      <c r="I858" s="69"/>
    </row>
    <row r="859">
      <c r="I859" s="69"/>
    </row>
    <row r="860">
      <c r="I860" s="69"/>
    </row>
    <row r="861">
      <c r="I861" s="69"/>
    </row>
    <row r="862">
      <c r="I862" s="69"/>
    </row>
    <row r="863">
      <c r="I863" s="69"/>
    </row>
    <row r="864">
      <c r="I864" s="69"/>
    </row>
    <row r="865">
      <c r="I865" s="69"/>
    </row>
    <row r="866">
      <c r="I866" s="69"/>
    </row>
    <row r="867">
      <c r="I867" s="69"/>
    </row>
    <row r="868">
      <c r="I868" s="69"/>
    </row>
    <row r="869">
      <c r="I869" s="69"/>
    </row>
    <row r="870">
      <c r="I870" s="69"/>
    </row>
    <row r="871">
      <c r="I871" s="69"/>
    </row>
    <row r="872">
      <c r="I872" s="69"/>
    </row>
    <row r="873">
      <c r="I873" s="69"/>
    </row>
    <row r="874">
      <c r="I874" s="69"/>
    </row>
    <row r="875">
      <c r="I875" s="69"/>
    </row>
    <row r="876">
      <c r="I876" s="69"/>
    </row>
    <row r="877">
      <c r="I877" s="69"/>
    </row>
    <row r="878">
      <c r="I878" s="69"/>
    </row>
    <row r="879">
      <c r="I879" s="69"/>
    </row>
    <row r="880">
      <c r="I880" s="69"/>
    </row>
    <row r="881">
      <c r="I881" s="69"/>
    </row>
    <row r="882">
      <c r="I882" s="69"/>
    </row>
    <row r="883">
      <c r="I883" s="69"/>
    </row>
    <row r="884">
      <c r="I884" s="69"/>
    </row>
    <row r="885">
      <c r="I885" s="69"/>
    </row>
    <row r="886">
      <c r="I886" s="69"/>
    </row>
    <row r="887">
      <c r="I887" s="69"/>
    </row>
    <row r="888">
      <c r="I888" s="69"/>
    </row>
    <row r="889">
      <c r="I889" s="69"/>
    </row>
    <row r="890">
      <c r="I890" s="69"/>
    </row>
    <row r="891">
      <c r="I891" s="69"/>
    </row>
    <row r="892">
      <c r="I892" s="69"/>
    </row>
    <row r="893">
      <c r="I893" s="69"/>
    </row>
    <row r="894">
      <c r="I894" s="69"/>
    </row>
    <row r="895">
      <c r="I895" s="69"/>
    </row>
    <row r="896">
      <c r="I896" s="69"/>
    </row>
    <row r="897">
      <c r="I897" s="69"/>
    </row>
    <row r="898">
      <c r="I898" s="69"/>
    </row>
    <row r="899">
      <c r="I899" s="69"/>
    </row>
    <row r="900">
      <c r="I900" s="69"/>
    </row>
    <row r="901">
      <c r="I901" s="69"/>
    </row>
    <row r="902">
      <c r="I902" s="69"/>
    </row>
    <row r="903">
      <c r="I903" s="69"/>
    </row>
    <row r="904">
      <c r="I904" s="69"/>
    </row>
    <row r="905">
      <c r="I905" s="69"/>
    </row>
    <row r="906">
      <c r="I906" s="69"/>
    </row>
    <row r="907">
      <c r="I907" s="69"/>
    </row>
    <row r="908">
      <c r="I908" s="69"/>
    </row>
    <row r="909">
      <c r="I909" s="69"/>
    </row>
    <row r="910">
      <c r="I910" s="69"/>
    </row>
    <row r="911">
      <c r="I911" s="69"/>
    </row>
    <row r="912">
      <c r="I912" s="69"/>
    </row>
    <row r="913">
      <c r="I913" s="69"/>
    </row>
    <row r="914">
      <c r="I914" s="69"/>
    </row>
    <row r="915">
      <c r="I915" s="69"/>
    </row>
    <row r="916">
      <c r="I916" s="69"/>
    </row>
    <row r="917">
      <c r="I917" s="69"/>
    </row>
    <row r="918">
      <c r="I918" s="69"/>
    </row>
    <row r="919">
      <c r="I919" s="69"/>
    </row>
    <row r="920">
      <c r="I920" s="69"/>
    </row>
    <row r="921">
      <c r="I921" s="69"/>
    </row>
    <row r="922">
      <c r="I922" s="69"/>
    </row>
    <row r="923">
      <c r="I923" s="69"/>
    </row>
    <row r="924">
      <c r="I924" s="69"/>
    </row>
    <row r="925">
      <c r="I925" s="69"/>
    </row>
    <row r="926">
      <c r="I926" s="69"/>
    </row>
    <row r="927">
      <c r="I927" s="69"/>
    </row>
    <row r="928">
      <c r="I928" s="69"/>
    </row>
    <row r="929">
      <c r="I929" s="69"/>
    </row>
    <row r="930">
      <c r="I930" s="69"/>
    </row>
    <row r="931">
      <c r="I931" s="69"/>
    </row>
    <row r="932">
      <c r="I932" s="69"/>
    </row>
    <row r="933">
      <c r="I933" s="69"/>
    </row>
    <row r="934">
      <c r="I934" s="69"/>
    </row>
    <row r="935">
      <c r="I935" s="69"/>
    </row>
    <row r="936">
      <c r="I936" s="69"/>
    </row>
    <row r="937">
      <c r="I937" s="69"/>
    </row>
    <row r="938">
      <c r="I938" s="69"/>
    </row>
    <row r="939">
      <c r="I939" s="69"/>
    </row>
    <row r="940">
      <c r="I940" s="69"/>
    </row>
    <row r="941">
      <c r="I941" s="69"/>
    </row>
    <row r="942">
      <c r="I942" s="69"/>
    </row>
    <row r="943">
      <c r="I943" s="69"/>
    </row>
    <row r="944">
      <c r="I944" s="69"/>
    </row>
    <row r="945">
      <c r="I945" s="69"/>
    </row>
    <row r="946">
      <c r="I946" s="69"/>
    </row>
    <row r="947">
      <c r="I947" s="69"/>
    </row>
    <row r="948">
      <c r="I948" s="69"/>
    </row>
    <row r="949">
      <c r="I949" s="69"/>
    </row>
    <row r="950">
      <c r="I950" s="69"/>
    </row>
    <row r="951">
      <c r="I951" s="69"/>
    </row>
    <row r="952">
      <c r="I952" s="69"/>
    </row>
    <row r="953">
      <c r="I953" s="69"/>
    </row>
    <row r="954">
      <c r="I954" s="69"/>
    </row>
    <row r="955">
      <c r="I955" s="69"/>
    </row>
    <row r="956">
      <c r="I956" s="69"/>
    </row>
    <row r="957">
      <c r="I957" s="69"/>
    </row>
    <row r="958">
      <c r="I958" s="69"/>
    </row>
    <row r="959">
      <c r="I959" s="69"/>
    </row>
    <row r="960">
      <c r="I960" s="69"/>
    </row>
    <row r="961">
      <c r="I961" s="69"/>
    </row>
    <row r="962">
      <c r="I962" s="69"/>
    </row>
    <row r="963">
      <c r="I963" s="69"/>
    </row>
    <row r="964">
      <c r="I964" s="69"/>
    </row>
    <row r="965">
      <c r="I965" s="69"/>
    </row>
    <row r="966">
      <c r="I966" s="69"/>
    </row>
    <row r="967">
      <c r="I967" s="69"/>
    </row>
    <row r="968">
      <c r="I968" s="69"/>
    </row>
    <row r="969">
      <c r="I969" s="69"/>
    </row>
    <row r="970">
      <c r="I970" s="69"/>
    </row>
    <row r="971">
      <c r="I971" s="69"/>
    </row>
    <row r="972">
      <c r="I972" s="69"/>
    </row>
    <row r="973">
      <c r="I973" s="69"/>
    </row>
    <row r="974">
      <c r="I974" s="69"/>
    </row>
    <row r="975">
      <c r="I975" s="69"/>
    </row>
    <row r="976">
      <c r="I976" s="69"/>
    </row>
    <row r="977">
      <c r="I977" s="69"/>
    </row>
    <row r="978">
      <c r="I978" s="69"/>
    </row>
    <row r="979">
      <c r="I979" s="69"/>
    </row>
    <row r="980">
      <c r="I980" s="69"/>
    </row>
    <row r="981">
      <c r="I981" s="69"/>
    </row>
    <row r="982">
      <c r="I982" s="69"/>
    </row>
    <row r="983">
      <c r="I983" s="69"/>
    </row>
    <row r="984">
      <c r="I984" s="69"/>
    </row>
    <row r="985">
      <c r="I985" s="69"/>
    </row>
    <row r="986">
      <c r="I986" s="69"/>
    </row>
    <row r="987">
      <c r="I987" s="69"/>
    </row>
    <row r="988">
      <c r="I988" s="69"/>
    </row>
    <row r="989">
      <c r="I989" s="69"/>
    </row>
    <row r="990">
      <c r="I990" s="69"/>
    </row>
    <row r="991">
      <c r="I991" s="69"/>
    </row>
    <row r="992">
      <c r="I992" s="69"/>
    </row>
    <row r="993">
      <c r="I993" s="69"/>
    </row>
    <row r="994">
      <c r="I994" s="69"/>
    </row>
    <row r="995">
      <c r="I995" s="69"/>
    </row>
    <row r="996">
      <c r="I996" s="69"/>
    </row>
    <row r="997">
      <c r="I997" s="69"/>
    </row>
    <row r="998">
      <c r="I998" s="69"/>
    </row>
    <row r="999">
      <c r="I999" s="69"/>
    </row>
    <row r="1000">
      <c r="I1000" s="69"/>
    </row>
    <row r="1001">
      <c r="I1001" s="69"/>
    </row>
  </sheetData>
  <mergeCells count="8">
    <mergeCell ref="A1:E1"/>
    <mergeCell ref="F1:H1"/>
    <mergeCell ref="A2:A4"/>
    <mergeCell ref="B2:B4"/>
    <mergeCell ref="C2:D2"/>
    <mergeCell ref="E2:E4"/>
    <mergeCell ref="F2:G2"/>
    <mergeCell ref="H2:H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91" t="s">
        <v>523</v>
      </c>
      <c r="B1" s="91" t="s">
        <v>451</v>
      </c>
      <c r="C1" s="91" t="s">
        <v>533</v>
      </c>
      <c r="D1" s="91" t="s">
        <v>534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78">
        <v>10101.0</v>
      </c>
      <c r="B2" s="78" t="s">
        <v>22</v>
      </c>
      <c r="C2" s="80">
        <v>18.1260633</v>
      </c>
      <c r="D2" s="80">
        <v>10.0312328</v>
      </c>
    </row>
    <row r="3">
      <c r="A3" s="78">
        <v>10102.0</v>
      </c>
      <c r="B3" s="78" t="s">
        <v>23</v>
      </c>
      <c r="C3" s="80">
        <v>40.5895692</v>
      </c>
      <c r="D3" s="80">
        <v>26.7015707</v>
      </c>
    </row>
    <row r="4">
      <c r="A4" s="78">
        <v>10103.0</v>
      </c>
      <c r="B4" s="78" t="s">
        <v>24</v>
      </c>
      <c r="C4" s="80">
        <v>94.2274678</v>
      </c>
      <c r="D4" s="80">
        <v>83.0898152</v>
      </c>
    </row>
    <row r="5">
      <c r="A5" s="78">
        <v>10201.0</v>
      </c>
      <c r="B5" s="78" t="s">
        <v>25</v>
      </c>
      <c r="C5" s="80">
        <v>77.6595745</v>
      </c>
      <c r="D5" s="80">
        <v>62.8163265</v>
      </c>
    </row>
    <row r="6">
      <c r="A6" s="78">
        <v>10202.0</v>
      </c>
      <c r="B6" s="78" t="s">
        <v>26</v>
      </c>
      <c r="C6" s="80">
        <v>80.6612054</v>
      </c>
      <c r="D6" s="80">
        <v>61.8094824</v>
      </c>
    </row>
    <row r="7">
      <c r="A7" s="78">
        <v>10301.0</v>
      </c>
      <c r="B7" s="78" t="s">
        <v>27</v>
      </c>
      <c r="C7" s="80">
        <v>67.2080433</v>
      </c>
      <c r="D7" s="80">
        <v>51.7414496</v>
      </c>
    </row>
    <row r="8">
      <c r="A8" s="78">
        <v>10302.0</v>
      </c>
      <c r="B8" s="78" t="s">
        <v>28</v>
      </c>
      <c r="C8" s="80">
        <v>79.1682002</v>
      </c>
      <c r="D8" s="80">
        <v>56.129624</v>
      </c>
    </row>
    <row r="9">
      <c r="A9" s="78">
        <v>10303.0</v>
      </c>
      <c r="B9" s="78" t="s">
        <v>29</v>
      </c>
      <c r="C9" s="80">
        <v>63.925328</v>
      </c>
      <c r="D9" s="80">
        <v>41.525757</v>
      </c>
    </row>
    <row r="10">
      <c r="A10" s="78">
        <v>10304.0</v>
      </c>
      <c r="B10" s="78" t="s">
        <v>30</v>
      </c>
      <c r="C10" s="80">
        <v>45.1119607</v>
      </c>
      <c r="D10" s="80">
        <v>47.9696395</v>
      </c>
    </row>
    <row r="11">
      <c r="A11" s="78">
        <v>10401.0</v>
      </c>
      <c r="B11" s="78" t="s">
        <v>32</v>
      </c>
      <c r="C11" s="80">
        <v>61.2455516</v>
      </c>
      <c r="D11" s="80">
        <v>39.7677338</v>
      </c>
    </row>
    <row r="12">
      <c r="A12" s="78">
        <v>10402.0</v>
      </c>
      <c r="B12" s="78" t="s">
        <v>31</v>
      </c>
      <c r="C12" s="80">
        <v>57.6431614</v>
      </c>
      <c r="D12" s="80">
        <v>34.8194383</v>
      </c>
    </row>
    <row r="13">
      <c r="A13" s="78">
        <v>10403.0</v>
      </c>
      <c r="B13" s="78" t="s">
        <v>33</v>
      </c>
      <c r="C13" s="80">
        <v>67.2636816</v>
      </c>
      <c r="D13" s="80">
        <v>53.617633</v>
      </c>
    </row>
    <row r="14">
      <c r="A14" s="78">
        <v>10404.0</v>
      </c>
      <c r="B14" s="78" t="s">
        <v>34</v>
      </c>
      <c r="C14" s="80">
        <v>74.9067164</v>
      </c>
      <c r="D14" s="80">
        <v>38.6038688</v>
      </c>
    </row>
    <row r="15">
      <c r="A15" s="78">
        <v>10405.0</v>
      </c>
      <c r="B15" s="78" t="s">
        <v>35</v>
      </c>
      <c r="C15" s="80">
        <v>61.6336634</v>
      </c>
      <c r="D15" s="80">
        <v>44.6143155</v>
      </c>
    </row>
    <row r="16">
      <c r="A16" s="78">
        <v>10501.0</v>
      </c>
      <c r="B16" s="78" t="s">
        <v>37</v>
      </c>
      <c r="C16" s="80">
        <v>44.7935516</v>
      </c>
      <c r="D16" s="80">
        <v>21.7902351</v>
      </c>
    </row>
    <row r="17">
      <c r="A17" s="78">
        <v>10502.0</v>
      </c>
      <c r="B17" s="78" t="s">
        <v>38</v>
      </c>
      <c r="C17" s="80">
        <v>67.3400673</v>
      </c>
      <c r="D17" s="80">
        <v>46.6753585</v>
      </c>
    </row>
    <row r="18">
      <c r="A18" s="78">
        <v>10601.0</v>
      </c>
      <c r="B18" s="78" t="s">
        <v>40</v>
      </c>
      <c r="C18" s="80">
        <v>74.0082079</v>
      </c>
      <c r="D18" s="80">
        <v>49.7078757</v>
      </c>
    </row>
    <row r="19">
      <c r="A19" s="78">
        <v>10602.0</v>
      </c>
      <c r="B19" s="78" t="s">
        <v>39</v>
      </c>
      <c r="C19" s="80">
        <v>69.2542373</v>
      </c>
      <c r="D19" s="80">
        <v>48.3545129</v>
      </c>
    </row>
    <row r="20">
      <c r="A20" s="78">
        <v>10701.0</v>
      </c>
      <c r="B20" s="78" t="s">
        <v>42</v>
      </c>
      <c r="C20" s="80">
        <v>53.2716763</v>
      </c>
      <c r="D20" s="80">
        <v>37.0517139</v>
      </c>
    </row>
    <row r="21">
      <c r="A21" s="78">
        <v>10702.0</v>
      </c>
      <c r="B21" s="78" t="s">
        <v>43</v>
      </c>
      <c r="C21" s="80">
        <v>77.1228771</v>
      </c>
      <c r="D21" s="80">
        <v>60.8484568</v>
      </c>
    </row>
    <row r="22">
      <c r="A22" s="78">
        <v>10703.0</v>
      </c>
      <c r="B22" s="78" t="s">
        <v>44</v>
      </c>
      <c r="C22" s="80">
        <v>83.0874415</v>
      </c>
      <c r="D22" s="80">
        <v>66.7403586</v>
      </c>
    </row>
    <row r="23">
      <c r="A23" s="78">
        <v>10704.0</v>
      </c>
      <c r="B23" s="78" t="s">
        <v>45</v>
      </c>
      <c r="C23" s="80">
        <v>78.7338129</v>
      </c>
      <c r="D23" s="80">
        <v>60.15</v>
      </c>
    </row>
    <row r="24">
      <c r="A24" s="78">
        <v>10801.0</v>
      </c>
      <c r="B24" s="78" t="s">
        <v>47</v>
      </c>
      <c r="C24" s="80">
        <v>53.2227785</v>
      </c>
      <c r="D24" s="80">
        <v>35.6761845</v>
      </c>
    </row>
    <row r="25">
      <c r="A25" s="78">
        <v>10901.0</v>
      </c>
      <c r="B25" s="78" t="s">
        <v>49</v>
      </c>
      <c r="C25" s="80">
        <v>67.1502591</v>
      </c>
      <c r="D25" s="80">
        <v>37.1991247</v>
      </c>
    </row>
    <row r="26">
      <c r="A26" s="78">
        <v>10902.0</v>
      </c>
      <c r="B26" s="78" t="s">
        <v>50</v>
      </c>
      <c r="C26" s="80">
        <v>61.9277663</v>
      </c>
      <c r="D26" s="80">
        <v>50.5150215</v>
      </c>
    </row>
    <row r="27">
      <c r="A27" s="78">
        <v>10903.0</v>
      </c>
      <c r="B27" s="78" t="s">
        <v>51</v>
      </c>
      <c r="C27" s="80">
        <v>48.2109228</v>
      </c>
      <c r="D27" s="80">
        <v>24.765625</v>
      </c>
    </row>
    <row r="28">
      <c r="A28" s="78">
        <v>11001.0</v>
      </c>
      <c r="B28" s="78" t="s">
        <v>53</v>
      </c>
      <c r="C28" s="80">
        <v>46.7219589</v>
      </c>
      <c r="D28" s="80">
        <v>31.0586735</v>
      </c>
    </row>
    <row r="29">
      <c r="A29" s="78">
        <v>11002.0</v>
      </c>
      <c r="B29" s="78" t="s">
        <v>54</v>
      </c>
      <c r="C29" s="80">
        <v>57.3797678</v>
      </c>
      <c r="D29" s="80">
        <v>23.1051345</v>
      </c>
    </row>
    <row r="30">
      <c r="A30" s="78">
        <v>11003.0</v>
      </c>
      <c r="B30" s="78" t="s">
        <v>55</v>
      </c>
      <c r="C30" s="80">
        <v>32.2672758</v>
      </c>
      <c r="D30" s="80">
        <v>16.6958042</v>
      </c>
    </row>
    <row r="31">
      <c r="A31" s="78">
        <v>20101.0</v>
      </c>
      <c r="B31" s="78" t="s">
        <v>58</v>
      </c>
      <c r="C31" s="80">
        <v>6.6679031</v>
      </c>
      <c r="D31" s="80">
        <v>3.2801846</v>
      </c>
    </row>
    <row r="32">
      <c r="A32" s="78">
        <v>20102.0</v>
      </c>
      <c r="B32" s="88" t="s">
        <v>59</v>
      </c>
      <c r="C32" s="80">
        <v>78.6729858</v>
      </c>
      <c r="D32" s="80">
        <v>55.1219512</v>
      </c>
    </row>
    <row r="33">
      <c r="A33" s="78">
        <v>20103.0</v>
      </c>
      <c r="B33" s="88" t="s">
        <v>60</v>
      </c>
      <c r="C33" s="80">
        <v>56.642917</v>
      </c>
      <c r="D33" s="80">
        <v>37.3193167</v>
      </c>
    </row>
    <row r="34">
      <c r="A34" s="78">
        <v>20104.0</v>
      </c>
      <c r="B34" s="88" t="s">
        <v>61</v>
      </c>
      <c r="C34" s="80">
        <v>66.7878618</v>
      </c>
      <c r="D34" s="80">
        <v>33.4846904</v>
      </c>
    </row>
    <row r="35">
      <c r="A35" s="78">
        <v>20105.0</v>
      </c>
      <c r="B35" s="88" t="s">
        <v>62</v>
      </c>
      <c r="C35" s="80">
        <v>21.3815738</v>
      </c>
      <c r="D35" s="80">
        <v>6.2930936</v>
      </c>
    </row>
    <row r="36">
      <c r="A36" s="78">
        <v>20201.0</v>
      </c>
      <c r="B36" s="88" t="s">
        <v>64</v>
      </c>
      <c r="C36" s="80">
        <v>50.3635691</v>
      </c>
      <c r="D36" s="80">
        <v>30.3395938</v>
      </c>
    </row>
    <row r="37">
      <c r="A37" s="78">
        <v>20202.0</v>
      </c>
      <c r="B37" s="88" t="s">
        <v>65</v>
      </c>
      <c r="C37" s="80">
        <v>66.2621842</v>
      </c>
      <c r="D37" s="80">
        <v>51.5659789</v>
      </c>
    </row>
    <row r="38">
      <c r="A38" s="78">
        <v>20203.0</v>
      </c>
      <c r="B38" s="88" t="s">
        <v>69</v>
      </c>
      <c r="C38" s="80">
        <v>65.1574803</v>
      </c>
      <c r="D38" s="80">
        <v>44.6218168</v>
      </c>
    </row>
    <row r="39">
      <c r="A39" s="78">
        <v>20204.0</v>
      </c>
      <c r="B39" s="88" t="s">
        <v>66</v>
      </c>
      <c r="C39" s="80">
        <v>50.1971489</v>
      </c>
      <c r="D39" s="80">
        <v>34.7320526</v>
      </c>
    </row>
    <row r="40">
      <c r="A40" s="78">
        <v>20205.0</v>
      </c>
      <c r="B40" s="88" t="s">
        <v>67</v>
      </c>
      <c r="C40" s="80">
        <v>56.9923624</v>
      </c>
      <c r="D40" s="80">
        <v>34.5389596</v>
      </c>
    </row>
    <row r="41">
      <c r="A41" s="78">
        <v>20206.0</v>
      </c>
      <c r="B41" s="88" t="s">
        <v>68</v>
      </c>
      <c r="C41" s="80">
        <v>41.8772563</v>
      </c>
      <c r="D41" s="80">
        <v>24.2327621</v>
      </c>
    </row>
    <row r="42">
      <c r="A42" s="78">
        <v>20301.0</v>
      </c>
      <c r="B42" s="88" t="s">
        <v>71</v>
      </c>
      <c r="C42" s="80">
        <v>82.3529412</v>
      </c>
      <c r="D42" s="80">
        <v>61.5560641</v>
      </c>
    </row>
    <row r="43">
      <c r="A43" s="78">
        <v>20302.0</v>
      </c>
      <c r="B43" s="88" t="s">
        <v>72</v>
      </c>
      <c r="C43" s="80">
        <v>63.8088545</v>
      </c>
      <c r="D43" s="80">
        <v>49.1114084</v>
      </c>
    </row>
    <row r="44">
      <c r="A44" s="78">
        <v>20303.0</v>
      </c>
      <c r="B44" s="88" t="s">
        <v>73</v>
      </c>
      <c r="C44" s="80">
        <v>63.4022078</v>
      </c>
      <c r="D44" s="80">
        <v>49.2560689</v>
      </c>
    </row>
    <row r="45">
      <c r="A45" s="78">
        <v>20304.0</v>
      </c>
      <c r="B45" s="88" t="s">
        <v>74</v>
      </c>
      <c r="C45" s="80">
        <v>74.8283753</v>
      </c>
      <c r="D45" s="80">
        <v>49.6891192</v>
      </c>
    </row>
    <row r="46">
      <c r="A46" s="78">
        <v>20305.0</v>
      </c>
      <c r="B46" s="88" t="s">
        <v>75</v>
      </c>
      <c r="C46" s="80">
        <v>76.5314927</v>
      </c>
      <c r="D46" s="80">
        <v>50.3444317</v>
      </c>
    </row>
    <row r="47">
      <c r="A47" s="78">
        <v>20306.0</v>
      </c>
      <c r="B47" s="88" t="s">
        <v>76</v>
      </c>
      <c r="C47" s="80">
        <v>83.5514019</v>
      </c>
      <c r="D47" s="80">
        <v>60.355434</v>
      </c>
    </row>
    <row r="48">
      <c r="A48" s="78">
        <v>20307.0</v>
      </c>
      <c r="B48" s="88" t="s">
        <v>77</v>
      </c>
      <c r="C48" s="80">
        <v>55.017301</v>
      </c>
      <c r="D48" s="80">
        <v>54.9051937</v>
      </c>
    </row>
    <row r="49">
      <c r="A49" s="78">
        <v>20308.0</v>
      </c>
      <c r="B49" s="88" t="s">
        <v>78</v>
      </c>
      <c r="C49" s="80">
        <v>88.4229391</v>
      </c>
      <c r="D49" s="80">
        <v>81.8996918</v>
      </c>
    </row>
    <row r="50">
      <c r="A50" s="78">
        <v>20401.0</v>
      </c>
      <c r="B50" s="88" t="s">
        <v>80</v>
      </c>
      <c r="C50" s="80">
        <v>84.2147276</v>
      </c>
      <c r="D50" s="80">
        <v>71.3506965</v>
      </c>
    </row>
    <row r="51">
      <c r="A51" s="78">
        <v>20402.0</v>
      </c>
      <c r="B51" s="88" t="s">
        <v>81</v>
      </c>
      <c r="C51" s="80">
        <v>72.5855283</v>
      </c>
      <c r="D51" s="80">
        <v>57.8310246</v>
      </c>
    </row>
    <row r="52">
      <c r="A52" s="78">
        <v>20403.0</v>
      </c>
      <c r="B52" s="88" t="s">
        <v>82</v>
      </c>
      <c r="C52" s="80">
        <v>77.5388068</v>
      </c>
      <c r="D52" s="80">
        <v>61.3163482</v>
      </c>
    </row>
    <row r="53">
      <c r="A53" s="78">
        <v>20404.0</v>
      </c>
      <c r="B53" s="88" t="s">
        <v>83</v>
      </c>
      <c r="C53" s="80">
        <v>78.8899431</v>
      </c>
      <c r="D53" s="80">
        <v>70.8349822</v>
      </c>
    </row>
    <row r="54">
      <c r="A54" s="78">
        <v>20405.0</v>
      </c>
      <c r="B54" s="88" t="s">
        <v>84</v>
      </c>
      <c r="C54" s="80">
        <v>87.7766766</v>
      </c>
      <c r="D54" s="80">
        <v>67.4441205</v>
      </c>
    </row>
    <row r="55">
      <c r="A55" s="78">
        <v>20501.0</v>
      </c>
      <c r="B55" s="88" t="s">
        <v>86</v>
      </c>
      <c r="C55" s="80">
        <v>71.8892839</v>
      </c>
      <c r="D55" s="80">
        <v>51.0175329</v>
      </c>
    </row>
    <row r="56">
      <c r="A56" s="78">
        <v>20502.0</v>
      </c>
      <c r="B56" s="88" t="s">
        <v>87</v>
      </c>
      <c r="C56" s="80">
        <v>65.271205</v>
      </c>
      <c r="D56" s="80">
        <v>53.6920435</v>
      </c>
    </row>
    <row r="57">
      <c r="A57" s="78">
        <v>20503.0</v>
      </c>
      <c r="B57" s="88" t="s">
        <v>88</v>
      </c>
      <c r="C57" s="80">
        <v>75.8513932</v>
      </c>
      <c r="D57" s="80">
        <v>57.92</v>
      </c>
    </row>
    <row r="58">
      <c r="A58" s="78">
        <v>20601.0</v>
      </c>
      <c r="B58" s="88" t="s">
        <v>90</v>
      </c>
      <c r="C58" s="80">
        <v>63.4301994</v>
      </c>
      <c r="D58" s="80">
        <v>39.5496989</v>
      </c>
    </row>
    <row r="59">
      <c r="A59" s="78">
        <v>20602.0</v>
      </c>
      <c r="B59" s="88" t="s">
        <v>91</v>
      </c>
      <c r="C59" s="80">
        <v>56.9963683</v>
      </c>
      <c r="D59" s="80">
        <v>29.1753071</v>
      </c>
    </row>
    <row r="60">
      <c r="A60" s="78">
        <v>20603.0</v>
      </c>
      <c r="B60" s="88" t="s">
        <v>92</v>
      </c>
      <c r="C60" s="80">
        <v>57.7852349</v>
      </c>
      <c r="D60" s="80">
        <v>34.1763006</v>
      </c>
    </row>
    <row r="61">
      <c r="A61" s="78">
        <v>20604.0</v>
      </c>
      <c r="B61" s="88" t="s">
        <v>93</v>
      </c>
      <c r="C61" s="80">
        <v>64.0701071</v>
      </c>
      <c r="D61" s="80">
        <v>58.7347232</v>
      </c>
    </row>
    <row r="62">
      <c r="A62" s="78">
        <v>20605.0</v>
      </c>
      <c r="B62" s="88" t="s">
        <v>94</v>
      </c>
      <c r="C62" s="80">
        <v>71.3279678</v>
      </c>
      <c r="D62" s="80">
        <v>58.6666667</v>
      </c>
    </row>
    <row r="63">
      <c r="A63" s="78">
        <v>20606.0</v>
      </c>
      <c r="B63" s="88" t="s">
        <v>95</v>
      </c>
      <c r="C63" s="80">
        <v>50.8822679</v>
      </c>
      <c r="D63" s="80">
        <v>24.2368178</v>
      </c>
    </row>
    <row r="64">
      <c r="A64" s="78">
        <v>20607.0</v>
      </c>
      <c r="B64" s="88" t="s">
        <v>96</v>
      </c>
      <c r="C64" s="80">
        <v>52.8395062</v>
      </c>
      <c r="D64" s="80">
        <v>17.8602493</v>
      </c>
    </row>
    <row r="65">
      <c r="A65" s="78">
        <v>20608.0</v>
      </c>
      <c r="B65" s="88" t="s">
        <v>97</v>
      </c>
      <c r="C65" s="80">
        <v>61.31345</v>
      </c>
      <c r="D65" s="80">
        <v>38.6571056</v>
      </c>
    </row>
    <row r="66">
      <c r="A66" s="78">
        <v>20701.0</v>
      </c>
      <c r="B66" s="88" t="s">
        <v>99</v>
      </c>
      <c r="C66" s="80">
        <v>62.8972973</v>
      </c>
      <c r="D66" s="80">
        <v>51.9143413</v>
      </c>
    </row>
    <row r="67">
      <c r="A67" s="78">
        <v>20702.0</v>
      </c>
      <c r="B67" s="88" t="s">
        <v>100</v>
      </c>
      <c r="C67" s="80">
        <v>64.3497758</v>
      </c>
      <c r="D67" s="80">
        <v>31.6818774</v>
      </c>
    </row>
    <row r="68">
      <c r="A68" s="78">
        <v>20801.0</v>
      </c>
      <c r="B68" s="88" t="s">
        <v>102</v>
      </c>
      <c r="C68" s="80">
        <v>45.675861</v>
      </c>
      <c r="D68" s="80">
        <v>20.9222479</v>
      </c>
    </row>
    <row r="69">
      <c r="A69" s="78">
        <v>20802.0</v>
      </c>
      <c r="B69" s="88" t="s">
        <v>103</v>
      </c>
      <c r="C69" s="80">
        <v>66.2394727</v>
      </c>
      <c r="D69" s="80">
        <v>32.5465839</v>
      </c>
    </row>
    <row r="70">
      <c r="A70" s="78">
        <v>20803.0</v>
      </c>
      <c r="B70" s="88" t="s">
        <v>104</v>
      </c>
      <c r="C70" s="80">
        <v>58.6811352</v>
      </c>
      <c r="D70" s="80">
        <v>45.1106813</v>
      </c>
    </row>
    <row r="71">
      <c r="A71" s="78">
        <v>20804.0</v>
      </c>
      <c r="B71" s="88" t="s">
        <v>105</v>
      </c>
      <c r="C71" s="80">
        <v>63.0222222</v>
      </c>
      <c r="D71" s="80">
        <v>26.6542056</v>
      </c>
    </row>
    <row r="72">
      <c r="A72" s="78">
        <v>20805.0</v>
      </c>
      <c r="B72" s="88" t="s">
        <v>106</v>
      </c>
      <c r="C72" s="80">
        <v>46.1313258</v>
      </c>
      <c r="D72" s="80">
        <v>39.2421323</v>
      </c>
    </row>
    <row r="73">
      <c r="A73" s="78">
        <v>20806.0</v>
      </c>
      <c r="B73" s="88" t="s">
        <v>107</v>
      </c>
      <c r="C73" s="80">
        <v>37.8296759</v>
      </c>
      <c r="D73" s="80">
        <v>32.9879395</v>
      </c>
    </row>
    <row r="74">
      <c r="A74" s="78">
        <v>20807.0</v>
      </c>
      <c r="B74" s="88" t="s">
        <v>108</v>
      </c>
      <c r="C74" s="80">
        <v>70.3683342</v>
      </c>
      <c r="D74" s="80">
        <v>50.117096</v>
      </c>
    </row>
    <row r="75">
      <c r="A75" s="78">
        <v>20901.0</v>
      </c>
      <c r="B75" s="88" t="s">
        <v>110</v>
      </c>
      <c r="C75" s="80">
        <v>63.9151546</v>
      </c>
      <c r="D75" s="80">
        <v>44.0009021</v>
      </c>
    </row>
    <row r="76">
      <c r="A76" s="78">
        <v>20902.0</v>
      </c>
      <c r="B76" s="88" t="s">
        <v>111</v>
      </c>
      <c r="C76" s="80">
        <v>86.4403114</v>
      </c>
      <c r="D76" s="80">
        <v>62.2627297</v>
      </c>
    </row>
    <row r="77">
      <c r="A77" s="78">
        <v>20903.0</v>
      </c>
      <c r="B77" s="88" t="s">
        <v>112</v>
      </c>
      <c r="C77" s="80">
        <v>86.9037294</v>
      </c>
      <c r="D77" s="80">
        <v>71.9942057</v>
      </c>
    </row>
    <row r="78">
      <c r="A78" s="78">
        <v>20904.0</v>
      </c>
      <c r="B78" s="88" t="s">
        <v>113</v>
      </c>
      <c r="C78" s="80">
        <v>72.1231767</v>
      </c>
      <c r="D78" s="80">
        <v>66.9105234</v>
      </c>
    </row>
    <row r="79">
      <c r="A79" s="78">
        <v>20905.0</v>
      </c>
      <c r="B79" s="88" t="s">
        <v>114</v>
      </c>
      <c r="C79" s="80">
        <v>81.9543974</v>
      </c>
      <c r="D79" s="80">
        <v>69.8078496</v>
      </c>
    </row>
    <row r="80">
      <c r="A80" s="78">
        <v>21001.0</v>
      </c>
      <c r="B80" s="88" t="s">
        <v>115</v>
      </c>
      <c r="C80" s="80">
        <v>81.7531671</v>
      </c>
      <c r="D80" s="80">
        <v>64.8656215</v>
      </c>
    </row>
    <row r="81">
      <c r="A81" s="78">
        <v>21002.0</v>
      </c>
      <c r="B81" s="88" t="s">
        <v>116</v>
      </c>
      <c r="C81" s="80">
        <v>69.1172129</v>
      </c>
      <c r="D81" s="80">
        <v>50.654037</v>
      </c>
    </row>
    <row r="82">
      <c r="A82" s="78">
        <v>21003.0</v>
      </c>
      <c r="B82" s="88" t="s">
        <v>117</v>
      </c>
      <c r="C82" s="80">
        <v>61.3116926</v>
      </c>
      <c r="D82" s="80">
        <v>37.6312618</v>
      </c>
    </row>
    <row r="83">
      <c r="A83" s="78">
        <v>21004.0</v>
      </c>
      <c r="B83" s="88" t="s">
        <v>118</v>
      </c>
      <c r="C83" s="80">
        <v>83.0531732</v>
      </c>
      <c r="D83" s="80">
        <v>69.4663278</v>
      </c>
    </row>
    <row r="84">
      <c r="A84" s="78">
        <v>21005.0</v>
      </c>
      <c r="B84" s="88" t="s">
        <v>119</v>
      </c>
      <c r="C84" s="80">
        <v>85.7817109</v>
      </c>
      <c r="D84" s="80">
        <v>80.0578871</v>
      </c>
    </row>
    <row r="85">
      <c r="A85" s="78">
        <v>21006.0</v>
      </c>
      <c r="B85" s="88" t="s">
        <v>120</v>
      </c>
      <c r="C85" s="80">
        <v>63.467189</v>
      </c>
      <c r="D85" s="80">
        <v>37.5200428</v>
      </c>
    </row>
    <row r="86">
      <c r="A86" s="78">
        <v>21101.0</v>
      </c>
      <c r="B86" s="88" t="s">
        <v>122</v>
      </c>
      <c r="C86" s="80">
        <v>56.8679059</v>
      </c>
      <c r="D86" s="80">
        <v>31.3972831</v>
      </c>
    </row>
    <row r="87">
      <c r="A87" s="78">
        <v>21102.0</v>
      </c>
      <c r="B87" s="88" t="s">
        <v>123</v>
      </c>
      <c r="C87" s="80">
        <v>57.1780274</v>
      </c>
      <c r="D87" s="80">
        <v>40.9706069</v>
      </c>
    </row>
    <row r="88">
      <c r="A88" s="78">
        <v>21103.0</v>
      </c>
      <c r="B88" s="88" t="s">
        <v>124</v>
      </c>
      <c r="C88" s="80">
        <v>35.4852686</v>
      </c>
      <c r="D88" s="80">
        <v>21.6477652</v>
      </c>
    </row>
    <row r="89">
      <c r="A89" s="78">
        <v>21104.0</v>
      </c>
      <c r="B89" s="88" t="s">
        <v>125</v>
      </c>
      <c r="C89" s="80">
        <v>45.7278823</v>
      </c>
      <c r="D89" s="80">
        <v>36.5090284</v>
      </c>
    </row>
    <row r="90">
      <c r="A90" s="78">
        <v>21105.0</v>
      </c>
      <c r="B90" s="88" t="s">
        <v>126</v>
      </c>
      <c r="C90" s="80">
        <v>70.47221</v>
      </c>
      <c r="D90" s="80">
        <v>49.8095756</v>
      </c>
    </row>
    <row r="91">
      <c r="A91" s="78">
        <v>21201.0</v>
      </c>
      <c r="B91" s="88" t="s">
        <v>128</v>
      </c>
      <c r="C91" s="80">
        <v>59.5450049</v>
      </c>
      <c r="D91" s="80">
        <v>43.2965189</v>
      </c>
    </row>
    <row r="92">
      <c r="A92" s="78">
        <v>21202.0</v>
      </c>
      <c r="B92" s="88" t="s">
        <v>129</v>
      </c>
      <c r="C92" s="80">
        <v>65.8678005</v>
      </c>
      <c r="D92" s="80">
        <v>38.0592081</v>
      </c>
    </row>
    <row r="93">
      <c r="A93" s="78">
        <v>21203.0</v>
      </c>
      <c r="B93" s="88" t="s">
        <v>130</v>
      </c>
      <c r="C93" s="80">
        <v>51.600132</v>
      </c>
      <c r="D93" s="80">
        <v>34.787722</v>
      </c>
    </row>
    <row r="94">
      <c r="A94" s="78">
        <v>21204.0</v>
      </c>
      <c r="B94" s="88" t="s">
        <v>131</v>
      </c>
      <c r="C94" s="80">
        <v>72.4446337</v>
      </c>
      <c r="D94" s="80">
        <v>54.3601004</v>
      </c>
    </row>
    <row r="95">
      <c r="A95" s="78">
        <v>21301.0</v>
      </c>
      <c r="B95" s="88" t="s">
        <v>133</v>
      </c>
      <c r="C95" s="80">
        <v>79.0127389</v>
      </c>
      <c r="D95" s="80">
        <v>54.6764869</v>
      </c>
    </row>
    <row r="96">
      <c r="A96" s="78">
        <v>21302.0</v>
      </c>
      <c r="B96" s="88" t="s">
        <v>134</v>
      </c>
      <c r="C96" s="80">
        <v>64.265928</v>
      </c>
      <c r="D96" s="80">
        <v>46.1616934</v>
      </c>
    </row>
    <row r="97">
      <c r="A97" s="78">
        <v>21303.0</v>
      </c>
      <c r="B97" s="88" t="s">
        <v>135</v>
      </c>
      <c r="C97" s="80">
        <v>79.7732908</v>
      </c>
      <c r="D97" s="80">
        <v>66.020025</v>
      </c>
    </row>
    <row r="98">
      <c r="A98" s="78">
        <v>21304.0</v>
      </c>
      <c r="B98" s="88" t="s">
        <v>136</v>
      </c>
      <c r="C98" s="80">
        <v>72.9814476</v>
      </c>
      <c r="D98" s="80">
        <v>49.3506494</v>
      </c>
    </row>
    <row r="99">
      <c r="A99" s="78">
        <v>21305.0</v>
      </c>
      <c r="B99" s="88" t="s">
        <v>137</v>
      </c>
      <c r="C99" s="80">
        <v>45.4448446</v>
      </c>
      <c r="D99" s="80">
        <v>31.9139831</v>
      </c>
    </row>
    <row r="100">
      <c r="A100" s="78">
        <v>21306.0</v>
      </c>
      <c r="B100" s="88" t="s">
        <v>138</v>
      </c>
      <c r="C100" s="80">
        <v>71.6875</v>
      </c>
      <c r="D100" s="80">
        <v>49.4419643</v>
      </c>
    </row>
    <row r="101">
      <c r="A101" s="78">
        <v>21307.0</v>
      </c>
      <c r="B101" s="88" t="s">
        <v>139</v>
      </c>
      <c r="C101" s="80">
        <v>50.4716981</v>
      </c>
      <c r="D101" s="80">
        <v>34.3012704</v>
      </c>
    </row>
    <row r="102">
      <c r="A102" s="78">
        <v>21401.0</v>
      </c>
      <c r="B102" s="88" t="s">
        <v>141</v>
      </c>
      <c r="C102" s="80">
        <v>52.058319</v>
      </c>
      <c r="D102" s="80">
        <v>36.806091</v>
      </c>
    </row>
    <row r="103">
      <c r="A103" s="78">
        <v>21402.0</v>
      </c>
      <c r="B103" s="88" t="s">
        <v>142</v>
      </c>
      <c r="C103" s="80">
        <v>51.5613383</v>
      </c>
      <c r="D103" s="80">
        <v>25.726467</v>
      </c>
    </row>
    <row r="104">
      <c r="A104" s="78">
        <v>21501.0</v>
      </c>
      <c r="B104" s="88" t="s">
        <v>144</v>
      </c>
      <c r="C104" s="80">
        <v>25.3744493</v>
      </c>
      <c r="D104" s="80">
        <v>17.7858439</v>
      </c>
    </row>
    <row r="105">
      <c r="A105" s="78">
        <v>21502.0</v>
      </c>
      <c r="B105" s="88" t="s">
        <v>145</v>
      </c>
      <c r="C105" s="80">
        <v>22.4438903</v>
      </c>
      <c r="D105" s="80">
        <v>12.6711127</v>
      </c>
    </row>
    <row r="106">
      <c r="A106" s="78">
        <v>21601.0</v>
      </c>
      <c r="B106" s="88" t="s">
        <v>147</v>
      </c>
      <c r="C106" s="80">
        <v>86.056338</v>
      </c>
      <c r="D106" s="80">
        <v>54.181601</v>
      </c>
    </row>
    <row r="107">
      <c r="A107" s="78">
        <v>21602.0</v>
      </c>
      <c r="B107" s="88" t="s">
        <v>148</v>
      </c>
      <c r="C107" s="80">
        <v>76.6802444</v>
      </c>
      <c r="D107" s="80">
        <v>46.1352657</v>
      </c>
    </row>
    <row r="108">
      <c r="A108" s="78">
        <v>21701.0</v>
      </c>
      <c r="B108" s="88" t="s">
        <v>150</v>
      </c>
      <c r="C108" s="80">
        <v>41.4852255</v>
      </c>
      <c r="D108" s="80">
        <v>33.0203902</v>
      </c>
    </row>
    <row r="109">
      <c r="A109" s="78">
        <v>21702.0</v>
      </c>
      <c r="B109" s="88" t="s">
        <v>151</v>
      </c>
      <c r="C109" s="80">
        <v>80.0972842</v>
      </c>
      <c r="D109" s="80">
        <v>51.8314514</v>
      </c>
    </row>
    <row r="110">
      <c r="A110" s="78">
        <v>21703.0</v>
      </c>
      <c r="B110" s="88" t="s">
        <v>152</v>
      </c>
      <c r="C110" s="80">
        <v>84.7104247</v>
      </c>
      <c r="D110" s="80">
        <v>66.5535957</v>
      </c>
    </row>
    <row r="111">
      <c r="A111" s="78">
        <v>21801.0</v>
      </c>
      <c r="B111" s="88" t="s">
        <v>154</v>
      </c>
      <c r="C111" s="80">
        <v>84.2998586</v>
      </c>
      <c r="D111" s="80">
        <v>64.0068886</v>
      </c>
    </row>
    <row r="112">
      <c r="A112" s="78">
        <v>21802.0</v>
      </c>
      <c r="B112" s="88" t="s">
        <v>155</v>
      </c>
      <c r="C112" s="80">
        <v>55.1255661</v>
      </c>
      <c r="D112" s="80">
        <v>44.0096953</v>
      </c>
    </row>
    <row r="113">
      <c r="A113" s="78">
        <v>21803.0</v>
      </c>
      <c r="B113" s="88" t="s">
        <v>156</v>
      </c>
      <c r="C113" s="80">
        <v>95.4486346</v>
      </c>
      <c r="D113" s="80">
        <v>81.0442679</v>
      </c>
    </row>
    <row r="114">
      <c r="A114" s="78">
        <v>21901.0</v>
      </c>
      <c r="B114" s="88" t="s">
        <v>158</v>
      </c>
      <c r="C114" s="80">
        <v>40.9836066</v>
      </c>
      <c r="D114" s="80">
        <v>36.3667118</v>
      </c>
    </row>
    <row r="115">
      <c r="A115" s="78">
        <v>21902.0</v>
      </c>
      <c r="B115" s="88" t="s">
        <v>159</v>
      </c>
      <c r="C115" s="80">
        <v>43.6141304</v>
      </c>
      <c r="D115" s="80">
        <v>28.9675516</v>
      </c>
    </row>
    <row r="116">
      <c r="A116" s="78">
        <v>22001.0</v>
      </c>
      <c r="B116" s="88" t="s">
        <v>160</v>
      </c>
      <c r="C116" s="80">
        <v>39.6157688</v>
      </c>
      <c r="D116" s="80">
        <v>27.9019022</v>
      </c>
    </row>
    <row r="117">
      <c r="A117" s="78">
        <v>22002.0</v>
      </c>
      <c r="B117" s="88" t="s">
        <v>161</v>
      </c>
      <c r="C117" s="80">
        <v>60.0950119</v>
      </c>
      <c r="D117" s="80">
        <v>45.0901804</v>
      </c>
    </row>
    <row r="118">
      <c r="A118" s="78">
        <v>30101.0</v>
      </c>
      <c r="B118" s="88" t="s">
        <v>162</v>
      </c>
      <c r="C118" s="80">
        <v>13.0355854</v>
      </c>
      <c r="D118" s="80">
        <v>5.8316413</v>
      </c>
    </row>
    <row r="119">
      <c r="A119" s="78">
        <v>30201.0</v>
      </c>
      <c r="B119" s="88" t="s">
        <v>165</v>
      </c>
      <c r="C119" s="80">
        <v>54.9161409</v>
      </c>
      <c r="D119" s="80">
        <v>42.2293977</v>
      </c>
    </row>
    <row r="120">
      <c r="A120" s="78">
        <v>30202.0</v>
      </c>
      <c r="B120" s="88" t="s">
        <v>166</v>
      </c>
      <c r="C120" s="80">
        <v>59.4664932</v>
      </c>
      <c r="D120" s="80">
        <v>46.6058186</v>
      </c>
    </row>
    <row r="121">
      <c r="A121" s="78">
        <v>30203.0</v>
      </c>
      <c r="B121" s="88" t="s">
        <v>167</v>
      </c>
      <c r="C121" s="80">
        <v>47.4895397</v>
      </c>
      <c r="D121" s="80">
        <v>28.8020833</v>
      </c>
    </row>
    <row r="122">
      <c r="A122" s="78">
        <v>30301.0</v>
      </c>
      <c r="B122" s="88" t="s">
        <v>168</v>
      </c>
      <c r="C122" s="80">
        <v>84.6331836</v>
      </c>
      <c r="D122" s="80">
        <v>65.7664061</v>
      </c>
    </row>
    <row r="123">
      <c r="A123" s="78">
        <v>30302.0</v>
      </c>
      <c r="B123" s="88" t="s">
        <v>169</v>
      </c>
      <c r="C123" s="80">
        <v>69.9949187</v>
      </c>
      <c r="D123" s="80">
        <v>56.6227121</v>
      </c>
    </row>
    <row r="124">
      <c r="A124" s="78">
        <v>30303.0</v>
      </c>
      <c r="B124" s="88" t="s">
        <v>170</v>
      </c>
      <c r="C124" s="80">
        <v>72.601626</v>
      </c>
      <c r="D124" s="80">
        <v>59.5260285</v>
      </c>
    </row>
    <row r="125">
      <c r="A125" s="78">
        <v>30401.0</v>
      </c>
      <c r="B125" s="88" t="s">
        <v>172</v>
      </c>
      <c r="C125" s="80">
        <v>54.030081</v>
      </c>
      <c r="D125" s="80">
        <v>38.3622829</v>
      </c>
    </row>
    <row r="126">
      <c r="A126" s="78">
        <v>30402.0</v>
      </c>
      <c r="B126" s="88" t="s">
        <v>173</v>
      </c>
      <c r="C126" s="80">
        <v>79.4385432</v>
      </c>
      <c r="D126" s="80">
        <v>70.1070791</v>
      </c>
    </row>
    <row r="127">
      <c r="A127" s="78">
        <v>30403.0</v>
      </c>
      <c r="B127" s="88" t="s">
        <v>174</v>
      </c>
      <c r="C127" s="80">
        <v>50.5061461</v>
      </c>
      <c r="D127" s="80">
        <v>42.6253687</v>
      </c>
    </row>
    <row r="128">
      <c r="A128" s="78">
        <v>30404.0</v>
      </c>
      <c r="B128" s="88" t="s">
        <v>175</v>
      </c>
      <c r="C128" s="80">
        <v>71.7583164</v>
      </c>
      <c r="D128" s="80">
        <v>65.9482759</v>
      </c>
    </row>
    <row r="129">
      <c r="A129" s="78">
        <v>30501.0</v>
      </c>
      <c r="B129" s="88" t="s">
        <v>176</v>
      </c>
      <c r="C129" s="80">
        <v>44.4020356</v>
      </c>
      <c r="D129" s="80">
        <v>25.4656921</v>
      </c>
    </row>
    <row r="130">
      <c r="A130" s="78">
        <v>30502.0</v>
      </c>
      <c r="B130" s="88" t="s">
        <v>177</v>
      </c>
      <c r="C130" s="80">
        <v>73.9225484</v>
      </c>
      <c r="D130" s="80">
        <v>57.7093733</v>
      </c>
    </row>
    <row r="131">
      <c r="A131" s="78">
        <v>30601.0</v>
      </c>
      <c r="B131" s="88" t="s">
        <v>178</v>
      </c>
      <c r="C131" s="80">
        <v>83.9237057</v>
      </c>
      <c r="D131" s="80">
        <v>72.8717949</v>
      </c>
    </row>
    <row r="132">
      <c r="A132" s="78">
        <v>30602.0</v>
      </c>
      <c r="B132" s="88" t="s">
        <v>179</v>
      </c>
      <c r="C132" s="80">
        <v>60.9529518</v>
      </c>
      <c r="D132" s="80">
        <v>53.0288689</v>
      </c>
    </row>
    <row r="133">
      <c r="A133" s="78">
        <v>30701.0</v>
      </c>
      <c r="B133" s="88" t="s">
        <v>180</v>
      </c>
      <c r="C133" s="80">
        <v>44.365722</v>
      </c>
      <c r="D133" s="80">
        <v>32.2414533</v>
      </c>
    </row>
    <row r="134">
      <c r="A134" s="78">
        <v>30702.0</v>
      </c>
      <c r="B134" s="88" t="s">
        <v>181</v>
      </c>
      <c r="C134" s="80">
        <v>50.7282563</v>
      </c>
      <c r="D134" s="80">
        <v>29.3550532</v>
      </c>
    </row>
    <row r="135">
      <c r="A135" s="78">
        <v>30703.0</v>
      </c>
      <c r="B135" s="88" t="s">
        <v>182</v>
      </c>
      <c r="C135" s="80">
        <v>71.7451524</v>
      </c>
      <c r="D135" s="80">
        <v>48.8248673</v>
      </c>
    </row>
    <row r="136">
      <c r="A136" s="78">
        <v>30801.0</v>
      </c>
      <c r="B136" s="88" t="s">
        <v>184</v>
      </c>
      <c r="C136" s="80">
        <v>22.2315436</v>
      </c>
      <c r="D136" s="80">
        <v>8.8355948</v>
      </c>
    </row>
    <row r="137">
      <c r="A137" s="78">
        <v>30802.0</v>
      </c>
      <c r="B137" s="88" t="s">
        <v>185</v>
      </c>
      <c r="C137" s="80">
        <v>54.5851528</v>
      </c>
      <c r="D137" s="80">
        <v>34.681182</v>
      </c>
    </row>
    <row r="138">
      <c r="A138" s="78">
        <v>30803.0</v>
      </c>
      <c r="B138" s="88" t="s">
        <v>186</v>
      </c>
      <c r="C138" s="80">
        <v>26.3945578</v>
      </c>
      <c r="D138" s="80">
        <v>27.0667727</v>
      </c>
    </row>
    <row r="139">
      <c r="A139" s="78">
        <v>30901.0</v>
      </c>
      <c r="B139" s="88" t="s">
        <v>187</v>
      </c>
      <c r="C139" s="80">
        <v>10.8123904</v>
      </c>
      <c r="D139" s="80">
        <v>5.0171849</v>
      </c>
    </row>
    <row r="140">
      <c r="A140" s="78">
        <v>30902.0</v>
      </c>
      <c r="B140" s="88" t="s">
        <v>188</v>
      </c>
      <c r="C140" s="80">
        <v>33.4999569</v>
      </c>
      <c r="D140" s="80">
        <v>17.0724865</v>
      </c>
    </row>
    <row r="141">
      <c r="A141" s="78">
        <v>30903.0</v>
      </c>
      <c r="B141" s="88" t="s">
        <v>189</v>
      </c>
      <c r="C141" s="80">
        <v>15.0826297</v>
      </c>
      <c r="D141" s="80">
        <v>5.1918358</v>
      </c>
    </row>
    <row r="142">
      <c r="A142" s="78">
        <v>30904.0</v>
      </c>
      <c r="B142" s="88" t="s">
        <v>190</v>
      </c>
      <c r="C142" s="80">
        <v>27.2219117</v>
      </c>
      <c r="D142" s="80">
        <v>9.6201196</v>
      </c>
    </row>
    <row r="143">
      <c r="A143" s="78">
        <v>30905.0</v>
      </c>
      <c r="B143" s="88" t="s">
        <v>191</v>
      </c>
      <c r="C143" s="80">
        <v>5.1428149</v>
      </c>
      <c r="D143" s="80">
        <v>2.4231371</v>
      </c>
    </row>
    <row r="144">
      <c r="A144" s="78">
        <v>31001.0</v>
      </c>
      <c r="B144" s="88" t="s">
        <v>193</v>
      </c>
      <c r="C144" s="80">
        <v>21.6109896</v>
      </c>
      <c r="D144" s="80">
        <v>12.455095</v>
      </c>
    </row>
    <row r="145">
      <c r="A145" s="78">
        <v>31002.0</v>
      </c>
      <c r="B145" s="88" t="s">
        <v>194</v>
      </c>
      <c r="C145" s="80">
        <v>39.6878114</v>
      </c>
      <c r="D145" s="80">
        <v>31.0961969</v>
      </c>
    </row>
    <row r="146">
      <c r="A146" s="78">
        <v>31003.0</v>
      </c>
      <c r="B146" s="88" t="s">
        <v>195</v>
      </c>
      <c r="C146" s="80">
        <v>39.0982226</v>
      </c>
      <c r="D146" s="80">
        <v>34.1946557</v>
      </c>
    </row>
    <row r="147">
      <c r="A147" s="78">
        <v>31101.0</v>
      </c>
      <c r="B147" s="88" t="s">
        <v>196</v>
      </c>
      <c r="C147" s="80">
        <v>88.1424874</v>
      </c>
      <c r="D147" s="80">
        <v>79.9543474</v>
      </c>
    </row>
    <row r="148">
      <c r="A148" s="78">
        <v>31201.0</v>
      </c>
      <c r="B148" s="88" t="s">
        <v>198</v>
      </c>
      <c r="C148" s="80">
        <v>72.0448298</v>
      </c>
      <c r="D148" s="80">
        <v>62.698561</v>
      </c>
    </row>
    <row r="149">
      <c r="A149" s="78">
        <v>31202.0</v>
      </c>
      <c r="B149" s="88" t="s">
        <v>199</v>
      </c>
      <c r="C149" s="80">
        <v>73.2600733</v>
      </c>
      <c r="D149" s="80">
        <v>58.3535762</v>
      </c>
    </row>
    <row r="150">
      <c r="A150" s="78">
        <v>31203.0</v>
      </c>
      <c r="B150" s="88" t="s">
        <v>200</v>
      </c>
      <c r="C150" s="80">
        <v>66.1399549</v>
      </c>
      <c r="D150" s="80">
        <v>50.7521121</v>
      </c>
    </row>
    <row r="151">
      <c r="A151" s="78">
        <v>31204.0</v>
      </c>
      <c r="B151" s="88" t="s">
        <v>201</v>
      </c>
      <c r="C151" s="80">
        <v>34.6000275</v>
      </c>
      <c r="D151" s="80">
        <v>27.7635692</v>
      </c>
    </row>
    <row r="152">
      <c r="A152" s="78">
        <v>31205.0</v>
      </c>
      <c r="B152" s="88" t="s">
        <v>202</v>
      </c>
      <c r="C152" s="80">
        <v>41.1185181</v>
      </c>
      <c r="D152" s="80">
        <v>32.2743852</v>
      </c>
    </row>
    <row r="153">
      <c r="A153" s="78">
        <v>31206.0</v>
      </c>
      <c r="B153" s="88" t="s">
        <v>203</v>
      </c>
      <c r="C153" s="80">
        <v>47.0541082</v>
      </c>
      <c r="D153" s="80">
        <v>34.2887006</v>
      </c>
    </row>
    <row r="154">
      <c r="A154" s="78">
        <v>31301.0</v>
      </c>
      <c r="B154" s="88" t="s">
        <v>204</v>
      </c>
      <c r="C154" s="80">
        <v>77.1621622</v>
      </c>
      <c r="D154" s="80">
        <v>52.245966</v>
      </c>
    </row>
    <row r="155">
      <c r="A155" s="78">
        <v>31302.0</v>
      </c>
      <c r="B155" s="88" t="s">
        <v>205</v>
      </c>
      <c r="C155" s="80">
        <v>79.0909091</v>
      </c>
      <c r="D155" s="80">
        <v>74.1296197</v>
      </c>
    </row>
    <row r="156">
      <c r="A156" s="78">
        <v>31303.0</v>
      </c>
      <c r="B156" s="88" t="s">
        <v>206</v>
      </c>
      <c r="C156" s="80">
        <v>88.4135472</v>
      </c>
      <c r="D156" s="80">
        <v>80.2816901</v>
      </c>
    </row>
    <row r="157">
      <c r="A157" s="78">
        <v>31304.0</v>
      </c>
      <c r="B157" s="88" t="s">
        <v>207</v>
      </c>
      <c r="C157" s="80">
        <v>94.8267202</v>
      </c>
      <c r="D157" s="80">
        <v>86.913767</v>
      </c>
    </row>
    <row r="158">
      <c r="A158" s="78">
        <v>31401.0</v>
      </c>
      <c r="B158" s="88" t="s">
        <v>208</v>
      </c>
      <c r="C158" s="80">
        <v>22.5751366</v>
      </c>
      <c r="D158" s="80">
        <v>8.6587736</v>
      </c>
    </row>
    <row r="159">
      <c r="A159" s="78">
        <v>31402.0</v>
      </c>
      <c r="B159" s="88" t="s">
        <v>209</v>
      </c>
      <c r="C159" s="80">
        <v>62.3931624</v>
      </c>
      <c r="D159" s="80">
        <v>30.3188228</v>
      </c>
    </row>
    <row r="160">
      <c r="A160" s="78">
        <v>31403.0</v>
      </c>
      <c r="B160" s="88" t="s">
        <v>210</v>
      </c>
      <c r="C160" s="80">
        <v>28.8735984</v>
      </c>
      <c r="D160" s="80">
        <v>13.4273168</v>
      </c>
    </row>
    <row r="161">
      <c r="A161" s="78">
        <v>31404.0</v>
      </c>
      <c r="B161" s="88" t="s">
        <v>211</v>
      </c>
      <c r="C161" s="80">
        <v>76.3231198</v>
      </c>
      <c r="D161" s="80">
        <v>37.5257732</v>
      </c>
    </row>
    <row r="162">
      <c r="A162" s="78">
        <v>31405.0</v>
      </c>
      <c r="B162" s="88" t="s">
        <v>212</v>
      </c>
      <c r="C162" s="80">
        <v>65.7631954</v>
      </c>
      <c r="D162" s="80">
        <v>43.4247871</v>
      </c>
    </row>
    <row r="163">
      <c r="A163" s="78">
        <v>31501.0</v>
      </c>
      <c r="B163" s="88" t="s">
        <v>213</v>
      </c>
      <c r="C163" s="80">
        <v>94.0828402</v>
      </c>
      <c r="D163" s="80">
        <v>85.4873871</v>
      </c>
    </row>
    <row r="164">
      <c r="A164" s="78">
        <v>31601.0</v>
      </c>
      <c r="B164" s="88" t="s">
        <v>214</v>
      </c>
      <c r="C164" s="80">
        <v>54.1102217</v>
      </c>
      <c r="D164" s="80">
        <v>34.8457622</v>
      </c>
    </row>
    <row r="165">
      <c r="A165" s="78">
        <v>31602.0</v>
      </c>
      <c r="B165" s="88" t="s">
        <v>215</v>
      </c>
      <c r="C165" s="80">
        <v>26.8952831</v>
      </c>
      <c r="D165" s="80">
        <v>20.3048605</v>
      </c>
    </row>
    <row r="166">
      <c r="A166" s="78">
        <v>40101.0</v>
      </c>
      <c r="B166" s="88" t="s">
        <v>216</v>
      </c>
      <c r="C166" s="80">
        <v>27.162296</v>
      </c>
      <c r="D166" s="80">
        <v>12.9251064</v>
      </c>
    </row>
    <row r="167">
      <c r="A167" s="78">
        <v>40102.0</v>
      </c>
      <c r="B167" s="88" t="s">
        <v>217</v>
      </c>
      <c r="C167" s="80">
        <v>73.9760837</v>
      </c>
      <c r="D167" s="80">
        <v>53.9889614</v>
      </c>
    </row>
    <row r="168">
      <c r="A168" s="78">
        <v>40103.0</v>
      </c>
      <c r="B168" s="88" t="s">
        <v>218</v>
      </c>
      <c r="C168" s="80">
        <v>97.6694266</v>
      </c>
      <c r="D168" s="80">
        <v>90.2185224</v>
      </c>
    </row>
    <row r="169">
      <c r="A169" s="78">
        <v>40104.0</v>
      </c>
      <c r="B169" s="88" t="s">
        <v>219</v>
      </c>
      <c r="C169" s="80">
        <v>90.4624277</v>
      </c>
      <c r="D169" s="80">
        <v>69.9304539</v>
      </c>
    </row>
    <row r="170">
      <c r="A170" s="78">
        <v>40201.0</v>
      </c>
      <c r="B170" s="88" t="s">
        <v>221</v>
      </c>
      <c r="C170" s="80">
        <v>72.379216</v>
      </c>
      <c r="D170" s="80">
        <v>58.2145758</v>
      </c>
    </row>
    <row r="171">
      <c r="A171" s="78">
        <v>40202.0</v>
      </c>
      <c r="B171" s="88" t="s">
        <v>222</v>
      </c>
      <c r="C171" s="80">
        <v>77.3633441</v>
      </c>
      <c r="D171" s="80">
        <v>65.3052451</v>
      </c>
    </row>
    <row r="172">
      <c r="A172" s="78">
        <v>40301.0</v>
      </c>
      <c r="B172" s="88" t="s">
        <v>224</v>
      </c>
      <c r="C172" s="80">
        <v>95.3972257</v>
      </c>
      <c r="D172" s="80">
        <v>84.1011356</v>
      </c>
    </row>
    <row r="173">
      <c r="A173" s="78">
        <v>40302.0</v>
      </c>
      <c r="B173" s="88" t="s">
        <v>225</v>
      </c>
      <c r="C173" s="80">
        <v>81.9767442</v>
      </c>
      <c r="D173" s="80">
        <v>61.8479881</v>
      </c>
    </row>
    <row r="174">
      <c r="A174" s="78">
        <v>40401.0</v>
      </c>
      <c r="B174" s="88" t="s">
        <v>227</v>
      </c>
      <c r="C174" s="80">
        <v>63.6162362</v>
      </c>
      <c r="D174" s="80">
        <v>50.3271263</v>
      </c>
    </row>
    <row r="175">
      <c r="A175" s="78">
        <v>40402.0</v>
      </c>
      <c r="B175" s="88" t="s">
        <v>228</v>
      </c>
      <c r="C175" s="80">
        <v>69.4730077</v>
      </c>
      <c r="D175" s="80">
        <v>58.2386364</v>
      </c>
    </row>
    <row r="176">
      <c r="A176" s="78">
        <v>40501.0</v>
      </c>
      <c r="B176" s="88" t="s">
        <v>230</v>
      </c>
      <c r="C176" s="80">
        <v>28.9398281</v>
      </c>
      <c r="D176" s="80">
        <v>18.7919463</v>
      </c>
    </row>
    <row r="177">
      <c r="A177" s="78">
        <v>40502.0</v>
      </c>
      <c r="B177" s="88" t="s">
        <v>231</v>
      </c>
      <c r="C177" s="80">
        <v>94.7319778</v>
      </c>
      <c r="D177" s="80">
        <v>49.0995261</v>
      </c>
    </row>
    <row r="178">
      <c r="A178" s="78">
        <v>40503.0</v>
      </c>
      <c r="B178" s="88" t="s">
        <v>232</v>
      </c>
      <c r="C178" s="80">
        <v>94.0068493</v>
      </c>
      <c r="D178" s="80">
        <v>40.9090909</v>
      </c>
    </row>
    <row r="179">
      <c r="A179" s="78">
        <v>40504.0</v>
      </c>
      <c r="B179" s="88" t="s">
        <v>233</v>
      </c>
      <c r="C179" s="80">
        <v>98.816568</v>
      </c>
      <c r="D179" s="80">
        <v>8.0924855</v>
      </c>
    </row>
    <row r="180">
      <c r="A180" s="78">
        <v>40505.0</v>
      </c>
      <c r="B180" s="88" t="s">
        <v>234</v>
      </c>
      <c r="C180" s="80">
        <v>87.7607789</v>
      </c>
      <c r="D180" s="80">
        <v>39.7479954</v>
      </c>
    </row>
    <row r="181">
      <c r="A181" s="78">
        <v>40601.0</v>
      </c>
      <c r="B181" s="88" t="s">
        <v>235</v>
      </c>
      <c r="C181" s="80">
        <v>72.5959845</v>
      </c>
      <c r="D181" s="80">
        <v>48.6619334</v>
      </c>
    </row>
    <row r="182">
      <c r="A182" s="78">
        <v>40602.0</v>
      </c>
      <c r="B182" s="88" t="s">
        <v>236</v>
      </c>
      <c r="C182" s="80">
        <v>84.1189931</v>
      </c>
      <c r="D182" s="80">
        <v>66.6478236</v>
      </c>
    </row>
    <row r="183">
      <c r="A183" s="78">
        <v>40603.0</v>
      </c>
      <c r="B183" s="88" t="s">
        <v>237</v>
      </c>
      <c r="C183" s="80">
        <v>68.6528497</v>
      </c>
      <c r="D183" s="80">
        <v>55.1724138</v>
      </c>
    </row>
    <row r="184">
      <c r="A184" s="78">
        <v>40701.0</v>
      </c>
      <c r="B184" s="88" t="s">
        <v>239</v>
      </c>
      <c r="C184" s="80">
        <v>53.2758381</v>
      </c>
      <c r="D184" s="80">
        <v>26.4985209</v>
      </c>
    </row>
    <row r="185">
      <c r="A185" s="78">
        <v>40702.0</v>
      </c>
      <c r="B185" s="88" t="s">
        <v>240</v>
      </c>
      <c r="C185" s="80">
        <v>60.1412067</v>
      </c>
      <c r="D185" s="80">
        <v>37.8216912</v>
      </c>
    </row>
    <row r="186">
      <c r="A186" s="78">
        <v>40801.0</v>
      </c>
      <c r="B186" s="88" t="s">
        <v>242</v>
      </c>
      <c r="C186" s="80">
        <v>84.7466259</v>
      </c>
      <c r="D186" s="80">
        <v>60.2110906</v>
      </c>
    </row>
    <row r="187">
      <c r="A187" s="78">
        <v>40802.0</v>
      </c>
      <c r="B187" s="88" t="s">
        <v>243</v>
      </c>
      <c r="C187" s="80">
        <v>82.2115385</v>
      </c>
      <c r="D187" s="80">
        <v>61.0196078</v>
      </c>
    </row>
    <row r="188">
      <c r="A188" s="78">
        <v>40901.0</v>
      </c>
      <c r="B188" s="88" t="s">
        <v>244</v>
      </c>
      <c r="C188" s="80">
        <v>88.6515354</v>
      </c>
      <c r="D188" s="80">
        <v>55.4085603</v>
      </c>
    </row>
    <row r="189">
      <c r="A189" s="78">
        <v>40902.0</v>
      </c>
      <c r="B189" s="88" t="s">
        <v>245</v>
      </c>
      <c r="C189" s="80">
        <v>94.8616601</v>
      </c>
      <c r="D189" s="80">
        <v>51.8207283</v>
      </c>
    </row>
    <row r="190">
      <c r="A190" s="78">
        <v>40903.0</v>
      </c>
      <c r="B190" s="88" t="s">
        <v>246</v>
      </c>
      <c r="C190" s="80">
        <v>64.4067797</v>
      </c>
      <c r="D190" s="80">
        <v>61.6289593</v>
      </c>
    </row>
    <row r="191">
      <c r="A191" s="78">
        <v>41001.0</v>
      </c>
      <c r="B191" s="88" t="s">
        <v>248</v>
      </c>
      <c r="C191" s="80">
        <v>93.9044101</v>
      </c>
      <c r="D191" s="80">
        <v>83.7278107</v>
      </c>
    </row>
    <row r="192">
      <c r="A192" s="78">
        <v>41101.0</v>
      </c>
      <c r="B192" s="88" t="s">
        <v>250</v>
      </c>
      <c r="C192" s="80">
        <v>80.9272919</v>
      </c>
      <c r="D192" s="80">
        <v>56.8181818</v>
      </c>
    </row>
    <row r="193">
      <c r="A193" s="78">
        <v>41201.0</v>
      </c>
      <c r="B193" s="88" t="s">
        <v>252</v>
      </c>
      <c r="C193" s="80">
        <v>94.0261044</v>
      </c>
      <c r="D193" s="80">
        <v>70.8971554</v>
      </c>
    </row>
    <row r="194">
      <c r="A194" s="78">
        <v>41202.0</v>
      </c>
      <c r="B194" s="88" t="s">
        <v>253</v>
      </c>
      <c r="C194" s="80">
        <v>97.3901099</v>
      </c>
      <c r="D194" s="80">
        <v>60.9645132</v>
      </c>
    </row>
    <row r="195">
      <c r="A195" s="78">
        <v>41301.0</v>
      </c>
      <c r="B195" s="88" t="s">
        <v>198</v>
      </c>
      <c r="C195" s="80">
        <v>87.3276776</v>
      </c>
      <c r="D195" s="80">
        <v>71.223565</v>
      </c>
    </row>
    <row r="196">
      <c r="A196" s="78">
        <v>41401.0</v>
      </c>
      <c r="B196" s="88" t="s">
        <v>256</v>
      </c>
      <c r="C196" s="80">
        <v>78.4286378</v>
      </c>
      <c r="D196" s="80">
        <v>64.1948696</v>
      </c>
    </row>
    <row r="197">
      <c r="A197" s="78">
        <v>41501.0</v>
      </c>
      <c r="B197" s="88" t="s">
        <v>258</v>
      </c>
      <c r="C197" s="80">
        <v>84.5303867</v>
      </c>
      <c r="D197" s="80">
        <v>50.1766784</v>
      </c>
    </row>
    <row r="198">
      <c r="A198" s="78">
        <v>41502.0</v>
      </c>
      <c r="B198" s="88" t="s">
        <v>259</v>
      </c>
      <c r="C198" s="80">
        <v>86.0103627</v>
      </c>
      <c r="D198" s="80">
        <v>34.0425532</v>
      </c>
    </row>
    <row r="199">
      <c r="A199" s="78">
        <v>41503.0</v>
      </c>
      <c r="B199" s="88" t="s">
        <v>223</v>
      </c>
      <c r="C199" s="80">
        <v>95.5102041</v>
      </c>
      <c r="D199" s="80">
        <v>58.3657588</v>
      </c>
    </row>
    <row r="200">
      <c r="A200" s="78">
        <v>41601.0</v>
      </c>
      <c r="B200" s="88" t="s">
        <v>261</v>
      </c>
      <c r="C200" s="80">
        <v>93.0346051</v>
      </c>
      <c r="D200" s="80">
        <v>73.6223365</v>
      </c>
    </row>
    <row r="201">
      <c r="A201" s="78">
        <v>50101.0</v>
      </c>
      <c r="B201" s="88" t="s">
        <v>262</v>
      </c>
      <c r="C201" s="80">
        <v>18.5714839</v>
      </c>
      <c r="D201" s="80">
        <v>13.7476068</v>
      </c>
    </row>
    <row r="202">
      <c r="A202" s="78">
        <v>50102.0</v>
      </c>
      <c r="B202" s="88" t="s">
        <v>264</v>
      </c>
      <c r="C202" s="80">
        <v>89.1716368</v>
      </c>
      <c r="D202" s="80">
        <v>88.2094733</v>
      </c>
    </row>
    <row r="203">
      <c r="A203" s="78">
        <v>50103.0</v>
      </c>
      <c r="B203" s="88" t="s">
        <v>265</v>
      </c>
      <c r="C203" s="80">
        <v>69.6844993</v>
      </c>
      <c r="D203" s="80">
        <v>54.2829874</v>
      </c>
    </row>
    <row r="204">
      <c r="A204" s="78">
        <v>50104.0</v>
      </c>
      <c r="B204" s="88" t="s">
        <v>266</v>
      </c>
      <c r="C204" s="80">
        <v>89.6551724</v>
      </c>
      <c r="D204" s="80">
        <v>78.7878788</v>
      </c>
    </row>
    <row r="205">
      <c r="A205" s="78">
        <v>50201.0</v>
      </c>
      <c r="B205" s="88" t="s">
        <v>268</v>
      </c>
      <c r="C205" s="80">
        <v>62.5075529</v>
      </c>
      <c r="D205" s="80">
        <v>55.1736399</v>
      </c>
    </row>
    <row r="206">
      <c r="A206" s="78">
        <v>50202.0</v>
      </c>
      <c r="B206" s="88" t="s">
        <v>269</v>
      </c>
      <c r="C206" s="80">
        <v>79.3229055</v>
      </c>
      <c r="D206" s="80">
        <v>60.4630612</v>
      </c>
    </row>
    <row r="207">
      <c r="A207" s="78">
        <v>50203.0</v>
      </c>
      <c r="B207" s="88" t="s">
        <v>270</v>
      </c>
      <c r="C207" s="80">
        <v>43.814973</v>
      </c>
      <c r="D207" s="80">
        <v>33.0149216</v>
      </c>
    </row>
    <row r="208">
      <c r="A208" s="78">
        <v>50204.0</v>
      </c>
      <c r="B208" s="88" t="s">
        <v>271</v>
      </c>
      <c r="C208" s="80">
        <v>93.6535919</v>
      </c>
      <c r="D208" s="80">
        <v>79.2875989</v>
      </c>
    </row>
    <row r="209">
      <c r="A209" s="78">
        <v>50301.0</v>
      </c>
      <c r="B209" s="88" t="s">
        <v>273</v>
      </c>
      <c r="C209" s="80">
        <v>72.3793848</v>
      </c>
      <c r="D209" s="80">
        <v>56.2768977</v>
      </c>
    </row>
    <row r="210">
      <c r="A210" s="78">
        <v>50302.0</v>
      </c>
      <c r="B210" s="88" t="s">
        <v>274</v>
      </c>
      <c r="C210" s="80">
        <v>73.9602731</v>
      </c>
      <c r="D210" s="80">
        <v>59.9942562</v>
      </c>
    </row>
    <row r="211">
      <c r="A211" s="78">
        <v>50303.0</v>
      </c>
      <c r="B211" s="88" t="s">
        <v>275</v>
      </c>
      <c r="C211" s="80">
        <v>97.5365666</v>
      </c>
      <c r="D211" s="80">
        <v>90.7739819</v>
      </c>
    </row>
    <row r="212">
      <c r="A212" s="78">
        <v>50401.0</v>
      </c>
      <c r="B212" s="88" t="s">
        <v>276</v>
      </c>
      <c r="C212" s="80">
        <v>77.0415306</v>
      </c>
      <c r="D212" s="80">
        <v>68.1083577</v>
      </c>
    </row>
    <row r="213">
      <c r="A213" s="78">
        <v>50402.0</v>
      </c>
      <c r="B213" s="88" t="s">
        <v>277</v>
      </c>
      <c r="C213" s="80">
        <v>72.789828</v>
      </c>
      <c r="D213" s="80">
        <v>74.127907</v>
      </c>
    </row>
    <row r="214">
      <c r="A214" s="78">
        <v>50403.0</v>
      </c>
      <c r="B214" s="88" t="s">
        <v>278</v>
      </c>
      <c r="C214" s="80">
        <v>89.3551446</v>
      </c>
      <c r="D214" s="80">
        <v>80.9539001</v>
      </c>
    </row>
    <row r="215">
      <c r="A215" s="78">
        <v>50404.0</v>
      </c>
      <c r="B215" s="88" t="s">
        <v>279</v>
      </c>
      <c r="C215" s="80">
        <v>83.8994699</v>
      </c>
      <c r="D215" s="80">
        <v>79.9385213</v>
      </c>
    </row>
    <row r="216">
      <c r="A216" s="78">
        <v>50405.0</v>
      </c>
      <c r="B216" s="88" t="s">
        <v>280</v>
      </c>
      <c r="C216" s="80">
        <v>81.646763</v>
      </c>
      <c r="D216" s="80">
        <v>78.8219957</v>
      </c>
    </row>
    <row r="217">
      <c r="A217" s="78">
        <v>50501.0</v>
      </c>
      <c r="B217" s="88" t="s">
        <v>282</v>
      </c>
      <c r="C217" s="80">
        <v>92.3281382</v>
      </c>
      <c r="D217" s="80">
        <v>85.9860214</v>
      </c>
    </row>
    <row r="218">
      <c r="A218" s="78">
        <v>50502.0</v>
      </c>
      <c r="B218" s="88" t="s">
        <v>283</v>
      </c>
      <c r="C218" s="80">
        <v>79.46454</v>
      </c>
      <c r="D218" s="80">
        <v>71.254771</v>
      </c>
    </row>
    <row r="219">
      <c r="A219" s="78">
        <v>50601.0</v>
      </c>
      <c r="B219" s="88" t="s">
        <v>285</v>
      </c>
      <c r="C219" s="80">
        <v>72.6533629</v>
      </c>
      <c r="D219" s="80">
        <v>52.7619387</v>
      </c>
    </row>
    <row r="220">
      <c r="A220" s="78">
        <v>50602.0</v>
      </c>
      <c r="B220" s="88" t="s">
        <v>286</v>
      </c>
      <c r="C220" s="80">
        <v>69.7503201</v>
      </c>
      <c r="D220" s="80">
        <v>51.5206186</v>
      </c>
    </row>
    <row r="221">
      <c r="A221" s="78">
        <v>50701.0</v>
      </c>
      <c r="B221" s="88" t="s">
        <v>288</v>
      </c>
      <c r="C221" s="80">
        <v>84.3894624</v>
      </c>
      <c r="D221" s="80">
        <v>75.9109013</v>
      </c>
    </row>
    <row r="222">
      <c r="A222" s="78">
        <v>50702.0</v>
      </c>
      <c r="B222" s="88" t="s">
        <v>289</v>
      </c>
      <c r="C222" s="80">
        <v>85.8445823</v>
      </c>
      <c r="D222" s="80">
        <v>85.7264714</v>
      </c>
    </row>
    <row r="223">
      <c r="A223" s="78">
        <v>50801.0</v>
      </c>
      <c r="B223" s="88" t="s">
        <v>291</v>
      </c>
      <c r="C223" s="80">
        <v>36.1213304</v>
      </c>
      <c r="D223" s="80">
        <v>20.2254976</v>
      </c>
    </row>
    <row r="224">
      <c r="A224" s="78">
        <v>50802.0</v>
      </c>
      <c r="B224" s="88" t="s">
        <v>292</v>
      </c>
      <c r="C224" s="80">
        <v>77.5447427</v>
      </c>
      <c r="D224" s="80">
        <v>59.1308984</v>
      </c>
    </row>
    <row r="225">
      <c r="A225" s="78">
        <v>50901.0</v>
      </c>
      <c r="B225" s="88" t="s">
        <v>294</v>
      </c>
      <c r="C225" s="80">
        <v>70.4263683</v>
      </c>
      <c r="D225" s="80">
        <v>26.7947179</v>
      </c>
    </row>
    <row r="226">
      <c r="A226" s="78">
        <v>50902.0</v>
      </c>
      <c r="B226" s="88" t="s">
        <v>295</v>
      </c>
      <c r="C226" s="80">
        <v>73.1182796</v>
      </c>
      <c r="D226" s="80">
        <v>36.0730594</v>
      </c>
    </row>
    <row r="227">
      <c r="A227" s="78">
        <v>51001.0</v>
      </c>
      <c r="B227" s="88" t="s">
        <v>297</v>
      </c>
      <c r="C227" s="80">
        <v>81.8599311</v>
      </c>
      <c r="D227" s="80">
        <v>52.7452745</v>
      </c>
    </row>
    <row r="228">
      <c r="A228" s="78">
        <v>51002.0</v>
      </c>
      <c r="B228" s="88" t="s">
        <v>298</v>
      </c>
      <c r="C228" s="80">
        <v>70.6703911</v>
      </c>
      <c r="D228" s="80">
        <v>42.5925926</v>
      </c>
    </row>
    <row r="229">
      <c r="A229" s="78">
        <v>51003.0</v>
      </c>
      <c r="B229" s="88" t="s">
        <v>299</v>
      </c>
      <c r="C229" s="80">
        <v>70.6293706</v>
      </c>
      <c r="D229" s="80">
        <v>41.5942029</v>
      </c>
    </row>
    <row r="230">
      <c r="A230" s="78">
        <v>51101.0</v>
      </c>
      <c r="B230" s="88" t="s">
        <v>301</v>
      </c>
      <c r="C230" s="80">
        <v>70.7025201</v>
      </c>
      <c r="D230" s="80">
        <v>49.4960806</v>
      </c>
    </row>
    <row r="231">
      <c r="A231" s="78">
        <v>51102.0</v>
      </c>
      <c r="B231" s="88" t="s">
        <v>302</v>
      </c>
      <c r="C231" s="80">
        <v>71.9729043</v>
      </c>
      <c r="D231" s="80">
        <v>45.8755115</v>
      </c>
    </row>
    <row r="232">
      <c r="A232" s="78">
        <v>51103.0</v>
      </c>
      <c r="B232" s="88" t="s">
        <v>303</v>
      </c>
      <c r="C232" s="80">
        <v>93.3350758</v>
      </c>
      <c r="D232" s="80">
        <v>81.9652629</v>
      </c>
    </row>
    <row r="233">
      <c r="A233" s="78">
        <v>51201.0</v>
      </c>
      <c r="B233" s="88" t="s">
        <v>305</v>
      </c>
      <c r="C233" s="80">
        <v>59.7374179</v>
      </c>
      <c r="D233" s="80">
        <v>35.3738389</v>
      </c>
    </row>
    <row r="234">
      <c r="A234" s="78">
        <v>51202.0</v>
      </c>
      <c r="B234" s="88" t="s">
        <v>306</v>
      </c>
      <c r="C234" s="80">
        <v>93.1426714</v>
      </c>
      <c r="D234" s="80">
        <v>73.2288212</v>
      </c>
    </row>
    <row r="235">
      <c r="A235" s="78">
        <v>51203.0</v>
      </c>
      <c r="B235" s="88" t="s">
        <v>307</v>
      </c>
      <c r="C235" s="80">
        <v>40.1774398</v>
      </c>
      <c r="D235" s="80">
        <v>21.9447597</v>
      </c>
    </row>
    <row r="236">
      <c r="A236" s="78">
        <v>51204.0</v>
      </c>
      <c r="B236" s="88" t="s">
        <v>308</v>
      </c>
      <c r="C236" s="80">
        <v>90.0888266</v>
      </c>
      <c r="D236" s="80">
        <v>70.2723437</v>
      </c>
    </row>
    <row r="237">
      <c r="A237" s="78">
        <v>51301.0</v>
      </c>
      <c r="B237" s="88" t="s">
        <v>310</v>
      </c>
      <c r="C237" s="80">
        <v>80.8936826</v>
      </c>
      <c r="D237" s="80">
        <v>70.2814001</v>
      </c>
    </row>
    <row r="238">
      <c r="A238" s="78">
        <v>51302.0</v>
      </c>
      <c r="B238" s="88" t="s">
        <v>311</v>
      </c>
      <c r="C238" s="80">
        <v>87.0855148</v>
      </c>
      <c r="D238" s="80">
        <v>75.9694156</v>
      </c>
    </row>
    <row r="239">
      <c r="A239" s="78">
        <v>51401.0</v>
      </c>
      <c r="B239" s="88" t="s">
        <v>313</v>
      </c>
      <c r="C239" s="80">
        <v>75.9973404</v>
      </c>
      <c r="D239" s="80">
        <v>44.450431</v>
      </c>
    </row>
    <row r="240">
      <c r="A240" s="78">
        <v>51402.0</v>
      </c>
      <c r="B240" s="88" t="s">
        <v>314</v>
      </c>
      <c r="C240" s="80">
        <v>92.0471281</v>
      </c>
      <c r="D240" s="80">
        <v>66.0377358</v>
      </c>
    </row>
    <row r="241">
      <c r="A241" s="78">
        <v>51501.0</v>
      </c>
      <c r="B241" s="88" t="s">
        <v>316</v>
      </c>
      <c r="C241" s="80">
        <v>25.9317542</v>
      </c>
      <c r="D241" s="80">
        <v>11.619206</v>
      </c>
    </row>
    <row r="242">
      <c r="A242" s="78">
        <v>51601.0</v>
      </c>
      <c r="B242" s="88" t="s">
        <v>318</v>
      </c>
      <c r="C242" s="80">
        <v>74.2331288</v>
      </c>
      <c r="D242" s="80">
        <v>32.8335832</v>
      </c>
    </row>
    <row r="243">
      <c r="A243" s="78">
        <v>60101.0</v>
      </c>
      <c r="B243" s="88" t="s">
        <v>319</v>
      </c>
      <c r="C243" s="80">
        <v>12.748061</v>
      </c>
      <c r="D243" s="80">
        <v>4.7903286</v>
      </c>
    </row>
    <row r="244">
      <c r="A244" s="78">
        <v>60201.0</v>
      </c>
      <c r="B244" s="88" t="s">
        <v>321</v>
      </c>
      <c r="C244" s="80">
        <v>48.2711198</v>
      </c>
      <c r="D244" s="80">
        <v>30.6071871</v>
      </c>
    </row>
    <row r="245">
      <c r="A245" s="78">
        <v>60202.0</v>
      </c>
      <c r="B245" s="88" t="s">
        <v>322</v>
      </c>
      <c r="C245" s="80">
        <v>10.3861518</v>
      </c>
      <c r="D245" s="80">
        <v>3.8019951</v>
      </c>
    </row>
    <row r="246">
      <c r="A246" s="78">
        <v>60301.0</v>
      </c>
      <c r="B246" s="88" t="s">
        <v>324</v>
      </c>
      <c r="C246" s="80">
        <v>13.8540067</v>
      </c>
      <c r="D246" s="80">
        <v>5.9909184</v>
      </c>
    </row>
    <row r="247">
      <c r="A247" s="78">
        <v>60302.0</v>
      </c>
      <c r="B247" s="88" t="s">
        <v>325</v>
      </c>
      <c r="C247" s="80">
        <v>15.9699625</v>
      </c>
      <c r="D247" s="80">
        <v>12.3398804</v>
      </c>
    </row>
    <row r="248">
      <c r="A248" s="78">
        <v>60303.0</v>
      </c>
      <c r="B248" s="88" t="s">
        <v>326</v>
      </c>
      <c r="C248" s="80">
        <v>16.7168821</v>
      </c>
      <c r="D248" s="80">
        <v>8.3547009</v>
      </c>
    </row>
    <row r="249">
      <c r="A249" s="78">
        <v>60401.0</v>
      </c>
      <c r="B249" s="88" t="s">
        <v>328</v>
      </c>
      <c r="C249" s="80">
        <v>37.962518</v>
      </c>
      <c r="D249" s="80">
        <v>20.1383238</v>
      </c>
    </row>
    <row r="250">
      <c r="A250" s="78">
        <v>60402.0</v>
      </c>
      <c r="B250" s="88" t="s">
        <v>329</v>
      </c>
      <c r="C250" s="80">
        <v>26.1455526</v>
      </c>
      <c r="D250" s="80">
        <v>21.7647059</v>
      </c>
    </row>
    <row r="251">
      <c r="A251" s="78">
        <v>60501.0</v>
      </c>
      <c r="B251" s="88" t="s">
        <v>331</v>
      </c>
      <c r="C251" s="80">
        <v>35.7649599</v>
      </c>
      <c r="D251" s="80">
        <v>19.1838046</v>
      </c>
    </row>
    <row r="252">
      <c r="A252" s="78">
        <v>60502.0</v>
      </c>
      <c r="B252" s="88" t="s">
        <v>332</v>
      </c>
      <c r="C252" s="80">
        <v>22.1026745</v>
      </c>
      <c r="D252" s="80">
        <v>15.2777778</v>
      </c>
    </row>
    <row r="253">
      <c r="A253" s="78">
        <v>60601.0</v>
      </c>
      <c r="B253" s="88" t="s">
        <v>203</v>
      </c>
      <c r="C253" s="80">
        <v>39.66759</v>
      </c>
      <c r="D253" s="80">
        <v>27.1235521</v>
      </c>
    </row>
    <row r="254">
      <c r="A254" s="78">
        <v>70101.0</v>
      </c>
      <c r="B254" s="88" t="s">
        <v>336</v>
      </c>
      <c r="C254" s="80">
        <v>3.4127638</v>
      </c>
      <c r="D254" s="80">
        <v>1.1841345</v>
      </c>
    </row>
    <row r="255">
      <c r="A255" s="78">
        <v>70102.0</v>
      </c>
      <c r="B255" s="88" t="s">
        <v>337</v>
      </c>
      <c r="C255" s="80">
        <v>19.7286424</v>
      </c>
      <c r="D255" s="80">
        <v>6.0503719</v>
      </c>
    </row>
    <row r="256">
      <c r="A256" s="78">
        <v>70103.0</v>
      </c>
      <c r="B256" s="88" t="s">
        <v>338</v>
      </c>
      <c r="C256" s="80">
        <v>26.3390392</v>
      </c>
      <c r="D256" s="80">
        <v>8.2956941</v>
      </c>
    </row>
    <row r="257">
      <c r="A257" s="78">
        <v>70104.0</v>
      </c>
      <c r="B257" s="88" t="s">
        <v>339</v>
      </c>
      <c r="C257" s="80">
        <v>8.2856339</v>
      </c>
      <c r="D257" s="80">
        <v>2.9900415</v>
      </c>
    </row>
    <row r="258">
      <c r="A258" s="78">
        <v>70105.0</v>
      </c>
      <c r="B258" s="88" t="s">
        <v>340</v>
      </c>
      <c r="C258" s="80">
        <v>20.956273</v>
      </c>
      <c r="D258" s="80">
        <v>10.3720202</v>
      </c>
    </row>
    <row r="259">
      <c r="A259" s="78">
        <v>70201.0</v>
      </c>
      <c r="B259" s="88" t="s">
        <v>341</v>
      </c>
      <c r="C259" s="80">
        <v>17.4002929</v>
      </c>
      <c r="D259" s="80">
        <v>5.3378328</v>
      </c>
    </row>
    <row r="260">
      <c r="A260" s="78">
        <v>70202.0</v>
      </c>
      <c r="B260" s="88" t="s">
        <v>342</v>
      </c>
      <c r="C260" s="80">
        <v>10.78125</v>
      </c>
      <c r="D260" s="80">
        <v>3.7983425</v>
      </c>
    </row>
    <row r="261">
      <c r="A261" s="78">
        <v>70301.0</v>
      </c>
      <c r="B261" s="88" t="s">
        <v>344</v>
      </c>
      <c r="C261" s="80">
        <v>7.5473441</v>
      </c>
      <c r="D261" s="80">
        <v>10.3772523</v>
      </c>
    </row>
    <row r="262">
      <c r="A262" s="78">
        <v>70302.0</v>
      </c>
      <c r="B262" s="88" t="s">
        <v>345</v>
      </c>
      <c r="C262" s="80">
        <v>14.5623548</v>
      </c>
      <c r="D262" s="80">
        <v>19.3163931</v>
      </c>
    </row>
    <row r="263">
      <c r="A263" s="78">
        <v>70303.0</v>
      </c>
      <c r="B263" s="88" t="s">
        <v>346</v>
      </c>
      <c r="C263" s="80">
        <v>13.3450395</v>
      </c>
      <c r="D263" s="80">
        <v>34.2768381</v>
      </c>
    </row>
    <row r="264">
      <c r="A264" s="78">
        <v>70401.0</v>
      </c>
      <c r="B264" s="88" t="s">
        <v>348</v>
      </c>
      <c r="C264" s="80">
        <v>20.9713024</v>
      </c>
      <c r="D264" s="80">
        <v>9.6398305</v>
      </c>
    </row>
    <row r="265">
      <c r="A265" s="78">
        <v>70402.0</v>
      </c>
      <c r="B265" s="88" t="s">
        <v>349</v>
      </c>
      <c r="C265" s="80">
        <v>22.7203149</v>
      </c>
      <c r="D265" s="80">
        <v>12.5113163</v>
      </c>
    </row>
    <row r="266">
      <c r="A266" s="78">
        <v>70403.0</v>
      </c>
      <c r="B266" s="88" t="s">
        <v>350</v>
      </c>
      <c r="C266" s="80">
        <v>37.928934</v>
      </c>
      <c r="D266" s="80">
        <v>29.5790785</v>
      </c>
    </row>
    <row r="267">
      <c r="A267" s="78">
        <v>70404.0</v>
      </c>
      <c r="B267" s="88" t="s">
        <v>351</v>
      </c>
      <c r="C267" s="80">
        <v>23.2603406</v>
      </c>
      <c r="D267" s="80">
        <v>19.2086574</v>
      </c>
    </row>
    <row r="268">
      <c r="A268" s="78">
        <v>70501.0</v>
      </c>
      <c r="B268" s="88" t="s">
        <v>353</v>
      </c>
      <c r="C268" s="80">
        <v>9.0451161</v>
      </c>
      <c r="D268" s="80">
        <v>25.9412424</v>
      </c>
    </row>
    <row r="269">
      <c r="A269" s="78">
        <v>70502.0</v>
      </c>
      <c r="B269" s="88" t="s">
        <v>354</v>
      </c>
      <c r="C269" s="80">
        <v>9.3428014</v>
      </c>
      <c r="D269" s="80">
        <v>10.2004626</v>
      </c>
    </row>
    <row r="270">
      <c r="A270" s="78">
        <v>70503.0</v>
      </c>
      <c r="B270" s="88" t="s">
        <v>355</v>
      </c>
      <c r="C270" s="80">
        <v>11.8494796</v>
      </c>
      <c r="D270" s="80">
        <v>8.6948392</v>
      </c>
    </row>
    <row r="271">
      <c r="A271" s="78">
        <v>70601.0</v>
      </c>
      <c r="B271" s="88" t="s">
        <v>357</v>
      </c>
      <c r="C271" s="80">
        <v>11.8232581</v>
      </c>
      <c r="D271" s="80">
        <v>3.1772268</v>
      </c>
    </row>
    <row r="272">
      <c r="A272" s="78">
        <v>70602.0</v>
      </c>
      <c r="B272" s="88" t="s">
        <v>358</v>
      </c>
      <c r="C272" s="80">
        <v>34.1904379</v>
      </c>
      <c r="D272" s="80">
        <v>18.264227</v>
      </c>
    </row>
    <row r="273">
      <c r="A273" s="78">
        <v>70603.0</v>
      </c>
      <c r="B273" s="88" t="s">
        <v>359</v>
      </c>
      <c r="C273" s="80">
        <v>14.844904</v>
      </c>
      <c r="D273" s="80">
        <v>7.3711676</v>
      </c>
    </row>
    <row r="274">
      <c r="A274" s="78">
        <v>70701.0</v>
      </c>
      <c r="B274" s="88" t="s">
        <v>361</v>
      </c>
      <c r="C274" s="80">
        <v>42.0168067</v>
      </c>
      <c r="D274" s="80">
        <v>14.3403442</v>
      </c>
    </row>
    <row r="275">
      <c r="A275" s="78">
        <v>70702.0</v>
      </c>
      <c r="B275" s="88" t="s">
        <v>362</v>
      </c>
      <c r="C275" s="80">
        <v>30.9270154</v>
      </c>
      <c r="D275" s="80">
        <v>18.9987432</v>
      </c>
    </row>
    <row r="276">
      <c r="A276" s="78">
        <v>70703.0</v>
      </c>
      <c r="B276" s="88" t="s">
        <v>363</v>
      </c>
      <c r="C276" s="80">
        <v>23.347548</v>
      </c>
      <c r="D276" s="80">
        <v>13.0502955</v>
      </c>
    </row>
    <row r="277">
      <c r="A277" s="78">
        <v>70704.0</v>
      </c>
      <c r="B277" s="88" t="s">
        <v>364</v>
      </c>
      <c r="C277" s="80">
        <v>31.6920322</v>
      </c>
      <c r="D277" s="80">
        <v>14.591594</v>
      </c>
    </row>
    <row r="278">
      <c r="A278" s="78">
        <v>70705.0</v>
      </c>
      <c r="B278" s="88" t="s">
        <v>365</v>
      </c>
      <c r="C278" s="80">
        <v>46.8200837</v>
      </c>
      <c r="D278" s="80">
        <v>20.9873138</v>
      </c>
    </row>
    <row r="279">
      <c r="A279" s="78">
        <v>70706.0</v>
      </c>
      <c r="B279" s="88" t="s">
        <v>366</v>
      </c>
      <c r="C279" s="80">
        <v>9.6011464</v>
      </c>
      <c r="D279" s="80">
        <v>6.8350349</v>
      </c>
    </row>
    <row r="280">
      <c r="A280" s="78">
        <v>70707.0</v>
      </c>
      <c r="B280" s="88" t="s">
        <v>367</v>
      </c>
      <c r="C280" s="80">
        <v>22.7048371</v>
      </c>
      <c r="D280" s="80">
        <v>6.7148014</v>
      </c>
    </row>
    <row r="281">
      <c r="A281" s="78">
        <v>70801.0</v>
      </c>
      <c r="B281" s="88" t="s">
        <v>369</v>
      </c>
      <c r="C281" s="80">
        <v>33.6492891</v>
      </c>
      <c r="D281" s="80">
        <v>20.4453768</v>
      </c>
    </row>
    <row r="282">
      <c r="A282" s="78">
        <v>70802.0</v>
      </c>
      <c r="B282" s="88" t="s">
        <v>370</v>
      </c>
      <c r="C282" s="80">
        <v>33.1597222</v>
      </c>
      <c r="D282" s="80">
        <v>13.081761</v>
      </c>
    </row>
    <row r="283">
      <c r="A283" s="78">
        <v>70803.0</v>
      </c>
      <c r="B283" s="88" t="s">
        <v>371</v>
      </c>
      <c r="C283" s="80">
        <v>44.7126437</v>
      </c>
      <c r="D283" s="80">
        <v>32.6942482</v>
      </c>
    </row>
    <row r="284">
      <c r="A284" s="78">
        <v>70804.0</v>
      </c>
      <c r="B284" s="88" t="s">
        <v>372</v>
      </c>
      <c r="C284" s="80">
        <v>59.1666667</v>
      </c>
      <c r="D284" s="80">
        <v>34.3234323</v>
      </c>
    </row>
    <row r="285">
      <c r="A285" s="78">
        <v>70805.0</v>
      </c>
      <c r="B285" s="88" t="s">
        <v>373</v>
      </c>
      <c r="C285" s="80">
        <v>69.9212598</v>
      </c>
      <c r="D285" s="80">
        <v>42.4566088</v>
      </c>
    </row>
    <row r="286">
      <c r="A286" s="78">
        <v>70901.0</v>
      </c>
      <c r="B286" s="88" t="s">
        <v>375</v>
      </c>
      <c r="C286" s="80">
        <v>31.4617619</v>
      </c>
      <c r="D286" s="80">
        <v>16.5350444</v>
      </c>
    </row>
    <row r="287">
      <c r="A287" s="78">
        <v>70902.0</v>
      </c>
      <c r="B287" s="88" t="s">
        <v>376</v>
      </c>
      <c r="C287" s="80">
        <v>26.6764923</v>
      </c>
      <c r="D287" s="80">
        <v>15.147541</v>
      </c>
    </row>
    <row r="288">
      <c r="A288" s="78">
        <v>70903.0</v>
      </c>
      <c r="B288" s="88" t="s">
        <v>377</v>
      </c>
      <c r="C288" s="80">
        <v>19.365722</v>
      </c>
      <c r="D288" s="80">
        <v>15.7540603</v>
      </c>
    </row>
    <row r="289">
      <c r="A289" s="78">
        <v>70904.0</v>
      </c>
      <c r="B289" s="88" t="s">
        <v>378</v>
      </c>
      <c r="C289" s="80">
        <v>37.6712329</v>
      </c>
      <c r="D289" s="80">
        <v>25.5400254</v>
      </c>
    </row>
    <row r="290">
      <c r="A290" s="78">
        <v>71001.0</v>
      </c>
      <c r="B290" s="88" t="s">
        <v>380</v>
      </c>
      <c r="C290" s="80">
        <v>10.2494021</v>
      </c>
      <c r="D290" s="80">
        <v>3.7443087</v>
      </c>
    </row>
    <row r="291">
      <c r="A291" s="78">
        <v>71002.0</v>
      </c>
      <c r="B291" s="88" t="s">
        <v>381</v>
      </c>
      <c r="C291" s="80">
        <v>19.4375773</v>
      </c>
      <c r="D291" s="80">
        <v>10.1881597</v>
      </c>
    </row>
    <row r="292">
      <c r="A292" s="78">
        <v>71003.0</v>
      </c>
      <c r="B292" s="88" t="s">
        <v>382</v>
      </c>
      <c r="C292" s="80">
        <v>17.0076966</v>
      </c>
      <c r="D292" s="80">
        <v>6.7807556</v>
      </c>
    </row>
    <row r="293">
      <c r="A293" s="78">
        <v>71004.0</v>
      </c>
      <c r="B293" s="88" t="s">
        <v>383</v>
      </c>
      <c r="C293" s="80">
        <v>18.0208663</v>
      </c>
      <c r="D293" s="80">
        <v>12.4200116</v>
      </c>
    </row>
    <row r="294">
      <c r="A294" s="78">
        <v>71005.0</v>
      </c>
      <c r="B294" s="88" t="s">
        <v>282</v>
      </c>
      <c r="C294" s="80">
        <v>8.4555651</v>
      </c>
      <c r="D294" s="80">
        <v>7.6556291</v>
      </c>
    </row>
    <row r="295">
      <c r="A295" s="78">
        <v>71101.0</v>
      </c>
      <c r="B295" s="88" t="s">
        <v>385</v>
      </c>
      <c r="C295" s="80">
        <v>16.5219432</v>
      </c>
      <c r="D295" s="80">
        <v>17.5826512</v>
      </c>
    </row>
    <row r="296">
      <c r="A296" s="78">
        <v>71102.0</v>
      </c>
      <c r="B296" s="88" t="s">
        <v>386</v>
      </c>
      <c r="C296" s="80">
        <v>14.4740973</v>
      </c>
      <c r="D296" s="80">
        <v>7.8406496</v>
      </c>
    </row>
    <row r="297">
      <c r="A297" s="78">
        <v>71103.0</v>
      </c>
      <c r="B297" s="88" t="s">
        <v>389</v>
      </c>
      <c r="C297" s="80">
        <v>19.8813056</v>
      </c>
      <c r="D297" s="80">
        <v>11.0974106</v>
      </c>
    </row>
    <row r="298">
      <c r="A298" s="78">
        <v>71104.0</v>
      </c>
      <c r="B298" s="88" t="s">
        <v>387</v>
      </c>
      <c r="C298" s="80">
        <v>22.526827</v>
      </c>
      <c r="D298" s="80">
        <v>12.9568106</v>
      </c>
    </row>
    <row r="299">
      <c r="A299" s="78">
        <v>71105.0</v>
      </c>
      <c r="B299" s="88" t="s">
        <v>388</v>
      </c>
      <c r="C299" s="80">
        <v>16.1431065</v>
      </c>
      <c r="D299" s="80">
        <v>7.5932203</v>
      </c>
    </row>
    <row r="300">
      <c r="A300" s="78">
        <v>71106.0</v>
      </c>
      <c r="B300" s="88" t="s">
        <v>390</v>
      </c>
      <c r="C300" s="80">
        <v>15.9549229</v>
      </c>
      <c r="D300" s="80">
        <v>7.4797741</v>
      </c>
    </row>
    <row r="301">
      <c r="A301" s="78">
        <v>71201.0</v>
      </c>
      <c r="B301" s="88" t="s">
        <v>392</v>
      </c>
      <c r="C301" s="80">
        <v>12.970451</v>
      </c>
      <c r="D301" s="80">
        <v>7.5512666</v>
      </c>
    </row>
    <row r="302">
      <c r="A302" s="78">
        <v>71301.0</v>
      </c>
      <c r="B302" s="88" t="s">
        <v>394</v>
      </c>
      <c r="C302" s="80">
        <v>32.4638931</v>
      </c>
      <c r="D302" s="80">
        <v>24.6263469</v>
      </c>
    </row>
    <row r="303">
      <c r="A303" s="78">
        <v>71302.0</v>
      </c>
      <c r="B303" s="88" t="s">
        <v>395</v>
      </c>
      <c r="C303" s="80">
        <v>35.7823892</v>
      </c>
      <c r="D303" s="80">
        <v>16.4906988</v>
      </c>
    </row>
    <row r="304">
      <c r="A304" s="78">
        <v>71401.0</v>
      </c>
      <c r="B304" s="88" t="s">
        <v>397</v>
      </c>
      <c r="C304" s="80">
        <v>11.8357488</v>
      </c>
      <c r="D304" s="80">
        <v>6.9561638</v>
      </c>
    </row>
    <row r="305">
      <c r="A305" s="78">
        <v>71402.0</v>
      </c>
      <c r="B305" s="88" t="s">
        <v>398</v>
      </c>
      <c r="C305" s="80">
        <v>7.6784334</v>
      </c>
      <c r="D305" s="80">
        <v>3.0682277</v>
      </c>
    </row>
    <row r="306">
      <c r="A306" s="78">
        <v>71403.0</v>
      </c>
      <c r="B306" s="88" t="s">
        <v>399</v>
      </c>
      <c r="C306" s="80">
        <v>16.689008</v>
      </c>
      <c r="D306" s="80">
        <v>17.2215372</v>
      </c>
    </row>
    <row r="307">
      <c r="A307" s="78">
        <v>71501.0</v>
      </c>
      <c r="B307" s="88" t="s">
        <v>401</v>
      </c>
      <c r="C307" s="80">
        <v>14.8886071</v>
      </c>
      <c r="D307" s="80">
        <v>19.2909377</v>
      </c>
    </row>
    <row r="308">
      <c r="A308" s="78">
        <v>71502.0</v>
      </c>
      <c r="B308" s="88" t="s">
        <v>402</v>
      </c>
      <c r="C308" s="80">
        <v>9.8984772</v>
      </c>
      <c r="D308" s="80">
        <v>12.8658537</v>
      </c>
    </row>
    <row r="309">
      <c r="A309" s="78">
        <v>71503.0</v>
      </c>
      <c r="B309" s="88" t="s">
        <v>332</v>
      </c>
      <c r="C309" s="80">
        <v>39.3857879</v>
      </c>
      <c r="D309" s="80">
        <v>26.6346452</v>
      </c>
    </row>
    <row r="310">
      <c r="A310" s="78">
        <v>80101.0</v>
      </c>
      <c r="B310" s="88" t="s">
        <v>404</v>
      </c>
      <c r="C310" s="80">
        <v>9.1449604</v>
      </c>
      <c r="D310" s="80">
        <v>4.2009555</v>
      </c>
    </row>
    <row r="311">
      <c r="A311" s="78">
        <v>80102.0</v>
      </c>
      <c r="B311" s="88" t="s">
        <v>386</v>
      </c>
      <c r="C311" s="80">
        <v>15.203252</v>
      </c>
      <c r="D311" s="80">
        <v>16.1274746</v>
      </c>
    </row>
    <row r="312">
      <c r="A312" s="78">
        <v>80201.0</v>
      </c>
      <c r="B312" s="88" t="s">
        <v>406</v>
      </c>
      <c r="C312" s="80">
        <v>7.8874821</v>
      </c>
      <c r="D312" s="80">
        <v>4.4056556</v>
      </c>
    </row>
    <row r="313">
      <c r="A313" s="78">
        <v>80202.0</v>
      </c>
      <c r="B313" s="88" t="s">
        <v>407</v>
      </c>
      <c r="C313" s="80">
        <v>6.824317</v>
      </c>
      <c r="D313" s="80">
        <v>4.7470388</v>
      </c>
    </row>
    <row r="314">
      <c r="A314" s="78">
        <v>80301.0</v>
      </c>
      <c r="B314" s="88" t="s">
        <v>409</v>
      </c>
      <c r="C314" s="80">
        <v>15.6988521</v>
      </c>
      <c r="D314" s="80">
        <v>7.0529704</v>
      </c>
    </row>
    <row r="315">
      <c r="A315" s="78">
        <v>80302.0</v>
      </c>
      <c r="B315" s="88" t="s">
        <v>410</v>
      </c>
      <c r="C315" s="80">
        <v>37.7815555</v>
      </c>
      <c r="D315" s="80">
        <v>27.3542257</v>
      </c>
    </row>
    <row r="316">
      <c r="A316" s="78">
        <v>80303.0</v>
      </c>
      <c r="B316" s="88" t="s">
        <v>358</v>
      </c>
      <c r="C316" s="80">
        <v>7.2874494</v>
      </c>
      <c r="D316" s="80">
        <v>4.3194192</v>
      </c>
    </row>
    <row r="317">
      <c r="A317" s="78">
        <v>80304.0</v>
      </c>
      <c r="B317" s="88" t="s">
        <v>411</v>
      </c>
      <c r="C317" s="80">
        <v>24.9948528</v>
      </c>
      <c r="D317" s="80">
        <v>19.9854545</v>
      </c>
    </row>
    <row r="318">
      <c r="A318" s="78">
        <v>80401.0</v>
      </c>
      <c r="B318" s="88" t="s">
        <v>413</v>
      </c>
      <c r="C318" s="80">
        <v>12.0699708</v>
      </c>
      <c r="D318" s="80">
        <v>9.3597206</v>
      </c>
    </row>
    <row r="319">
      <c r="A319" s="78">
        <v>80402.0</v>
      </c>
      <c r="B319" s="88" t="s">
        <v>414</v>
      </c>
      <c r="C319" s="80">
        <v>18.1236674</v>
      </c>
      <c r="D319" s="80">
        <v>8.3848797</v>
      </c>
    </row>
    <row r="320">
      <c r="A320" s="78">
        <v>80501.0</v>
      </c>
      <c r="B320" s="88" t="s">
        <v>344</v>
      </c>
      <c r="C320" s="80">
        <v>21.5230961</v>
      </c>
      <c r="D320" s="80">
        <v>12.7063625</v>
      </c>
    </row>
    <row r="321">
      <c r="A321" s="78">
        <v>80601.0</v>
      </c>
      <c r="B321" s="88" t="s">
        <v>417</v>
      </c>
      <c r="C321" s="80">
        <v>16.5509259</v>
      </c>
      <c r="D321" s="80">
        <v>12.1557455</v>
      </c>
    </row>
    <row r="322">
      <c r="A322" s="78">
        <v>80602.0</v>
      </c>
      <c r="B322" s="88" t="s">
        <v>418</v>
      </c>
      <c r="C322" s="80">
        <v>22.8971963</v>
      </c>
      <c r="D322" s="80">
        <v>28.7855787</v>
      </c>
    </row>
    <row r="323">
      <c r="A323" s="78">
        <v>80701.0</v>
      </c>
      <c r="B323" s="88" t="s">
        <v>420</v>
      </c>
      <c r="C323" s="80">
        <v>5.661882</v>
      </c>
      <c r="D323" s="80">
        <v>3.5690236</v>
      </c>
    </row>
    <row r="324">
      <c r="A324" s="78">
        <v>80702.0</v>
      </c>
      <c r="B324" s="88" t="s">
        <v>389</v>
      </c>
      <c r="C324" s="80">
        <v>7.9310345</v>
      </c>
      <c r="D324" s="80">
        <v>17.3537234</v>
      </c>
    </row>
    <row r="325">
      <c r="A325" s="78">
        <v>80703.0</v>
      </c>
      <c r="B325" s="88" t="s">
        <v>421</v>
      </c>
      <c r="C325" s="80">
        <v>13.3333333</v>
      </c>
      <c r="D325" s="80">
        <v>10.4918033</v>
      </c>
    </row>
    <row r="326">
      <c r="A326" s="78">
        <v>80801.0</v>
      </c>
      <c r="B326" s="88" t="s">
        <v>423</v>
      </c>
      <c r="C326" s="80">
        <v>6.3620072</v>
      </c>
      <c r="D326" s="80">
        <v>4.3933761</v>
      </c>
    </row>
    <row r="327">
      <c r="A327" s="78">
        <v>80802.0</v>
      </c>
      <c r="B327" s="88" t="s">
        <v>424</v>
      </c>
      <c r="C327" s="80">
        <v>16.6666667</v>
      </c>
      <c r="D327" s="80">
        <v>14.5348837</v>
      </c>
    </row>
    <row r="328">
      <c r="A328" s="78">
        <v>80803.0</v>
      </c>
      <c r="B328" s="88" t="s">
        <v>425</v>
      </c>
      <c r="C328" s="80">
        <v>14.6520147</v>
      </c>
      <c r="D328" s="80">
        <v>4.518664</v>
      </c>
    </row>
    <row r="329">
      <c r="A329" s="78">
        <v>80901.0</v>
      </c>
      <c r="B329" s="88" t="s">
        <v>427</v>
      </c>
      <c r="C329" s="80">
        <v>28.8431062</v>
      </c>
      <c r="D329" s="80">
        <v>30.9110629</v>
      </c>
    </row>
    <row r="330">
      <c r="A330" s="78">
        <v>90101.0</v>
      </c>
      <c r="B330" s="88" t="s">
        <v>430</v>
      </c>
      <c r="C330" s="80">
        <v>8.9320546</v>
      </c>
      <c r="D330" s="80">
        <v>3.1161655</v>
      </c>
    </row>
    <row r="331">
      <c r="A331" s="78">
        <v>90102.0</v>
      </c>
      <c r="B331" s="88" t="s">
        <v>431</v>
      </c>
      <c r="C331" s="80">
        <v>8.0362538</v>
      </c>
      <c r="D331" s="80">
        <v>6.0089686</v>
      </c>
    </row>
    <row r="332">
      <c r="A332" s="78">
        <v>90103.0</v>
      </c>
      <c r="B332" s="88" t="s">
        <v>432</v>
      </c>
      <c r="C332" s="80">
        <v>30.0917431</v>
      </c>
      <c r="D332" s="80">
        <v>15.2119701</v>
      </c>
    </row>
    <row r="333">
      <c r="A333" s="78">
        <v>90104.0</v>
      </c>
      <c r="B333" s="88" t="s">
        <v>433</v>
      </c>
      <c r="C333" s="80">
        <v>28.3898305</v>
      </c>
      <c r="D333" s="80">
        <v>13.8461538</v>
      </c>
    </row>
    <row r="334">
      <c r="A334" s="78">
        <v>90201.0</v>
      </c>
      <c r="B334" s="88" t="s">
        <v>435</v>
      </c>
      <c r="C334" s="80">
        <v>11.8668596</v>
      </c>
      <c r="D334" s="80">
        <v>4.0723982</v>
      </c>
    </row>
    <row r="335">
      <c r="A335" s="78">
        <v>90202.0</v>
      </c>
      <c r="B335" s="88" t="s">
        <v>282</v>
      </c>
      <c r="C335" s="80">
        <v>37.1522095</v>
      </c>
      <c r="D335" s="80">
        <v>7.3529412</v>
      </c>
    </row>
    <row r="336">
      <c r="A336" s="78">
        <v>90203.0</v>
      </c>
      <c r="B336" s="88" t="s">
        <v>436</v>
      </c>
      <c r="C336" s="80">
        <v>20.6026629</v>
      </c>
      <c r="D336" s="80">
        <v>10.1829753</v>
      </c>
    </row>
    <row r="337">
      <c r="A337" s="78">
        <v>90301.0</v>
      </c>
      <c r="B337" s="88" t="s">
        <v>438</v>
      </c>
      <c r="C337" s="80">
        <v>15.3021442</v>
      </c>
      <c r="D337" s="80">
        <v>14.6564885</v>
      </c>
    </row>
    <row r="338">
      <c r="A338" s="78">
        <v>90302.0</v>
      </c>
      <c r="B338" s="88" t="s">
        <v>331</v>
      </c>
      <c r="C338" s="80">
        <v>21.3114754</v>
      </c>
      <c r="D338" s="80">
        <v>5.8378378</v>
      </c>
    </row>
    <row r="339">
      <c r="A339" s="78">
        <v>90303.0</v>
      </c>
      <c r="B339" s="88" t="s">
        <v>439</v>
      </c>
      <c r="C339" s="80">
        <v>39.2014519</v>
      </c>
      <c r="D339" s="80">
        <v>7.4782609</v>
      </c>
    </row>
    <row r="340">
      <c r="A340" s="78">
        <v>90401.0</v>
      </c>
      <c r="B340" s="88" t="s">
        <v>358</v>
      </c>
      <c r="C340" s="80">
        <v>24.0589198</v>
      </c>
      <c r="D340" s="80">
        <v>8.6046512</v>
      </c>
    </row>
    <row r="341">
      <c r="A341" s="78">
        <v>90402.0</v>
      </c>
      <c r="B341" s="88" t="s">
        <v>101</v>
      </c>
      <c r="C341" s="80">
        <v>21.2209302</v>
      </c>
      <c r="D341" s="80">
        <v>11.5562404</v>
      </c>
    </row>
    <row r="342">
      <c r="A342" s="78">
        <v>90501.0</v>
      </c>
      <c r="B342" s="88" t="s">
        <v>442</v>
      </c>
      <c r="C342" s="80">
        <v>31.1158798</v>
      </c>
      <c r="D342" s="80">
        <v>7.7709611</v>
      </c>
    </row>
    <row r="343">
      <c r="A343" s="78">
        <v>90502.0</v>
      </c>
      <c r="B343" s="88" t="s">
        <v>443</v>
      </c>
      <c r="C343" s="80">
        <v>23.7691002</v>
      </c>
      <c r="D343" s="80">
        <v>4.3785311</v>
      </c>
    </row>
    <row r="344">
      <c r="A344" s="78">
        <v>90503.0</v>
      </c>
      <c r="B344" s="88" t="s">
        <v>444</v>
      </c>
      <c r="C344" s="80">
        <v>21.4592275</v>
      </c>
      <c r="D344" s="80">
        <v>5.9900166</v>
      </c>
    </row>
  </sheetData>
  <autoFilter ref="$A$1:$D$344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91" t="s">
        <v>523</v>
      </c>
      <c r="B1" s="91" t="s">
        <v>451</v>
      </c>
      <c r="C1" s="91" t="s">
        <v>535</v>
      </c>
      <c r="D1" s="91" t="s">
        <v>536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78">
        <v>10101.0</v>
      </c>
      <c r="B2" s="78" t="s">
        <v>22</v>
      </c>
      <c r="C2" s="79">
        <v>12679.0</v>
      </c>
      <c r="D2" s="79">
        <v>9282.0</v>
      </c>
    </row>
    <row r="3">
      <c r="A3" s="78">
        <v>10102.0</v>
      </c>
      <c r="B3" s="78" t="s">
        <v>23</v>
      </c>
      <c r="C3" s="79">
        <v>1074.0</v>
      </c>
      <c r="D3" s="79">
        <v>816.0</v>
      </c>
    </row>
    <row r="4">
      <c r="A4" s="78">
        <v>10103.0</v>
      </c>
      <c r="B4" s="78" t="s">
        <v>24</v>
      </c>
      <c r="C4" s="79">
        <v>4391.0</v>
      </c>
      <c r="D4" s="79">
        <v>3867.0</v>
      </c>
    </row>
    <row r="5">
      <c r="A5" s="78">
        <v>10201.0</v>
      </c>
      <c r="B5" s="78" t="s">
        <v>25</v>
      </c>
      <c r="C5" s="79">
        <v>1971.0</v>
      </c>
      <c r="D5" s="79">
        <v>1539.0</v>
      </c>
    </row>
    <row r="6">
      <c r="A6" s="78">
        <v>10202.0</v>
      </c>
      <c r="B6" s="78" t="s">
        <v>26</v>
      </c>
      <c r="C6" s="79">
        <v>2757.0</v>
      </c>
      <c r="D6" s="79">
        <v>2842.0</v>
      </c>
    </row>
    <row r="7">
      <c r="A7" s="78">
        <v>10301.0</v>
      </c>
      <c r="B7" s="78" t="s">
        <v>27</v>
      </c>
      <c r="C7" s="79">
        <v>1738.0</v>
      </c>
      <c r="D7" s="79">
        <v>1649.0</v>
      </c>
    </row>
    <row r="8">
      <c r="A8" s="78">
        <v>10302.0</v>
      </c>
      <c r="B8" s="78" t="s">
        <v>28</v>
      </c>
      <c r="C8" s="79">
        <v>2151.0</v>
      </c>
      <c r="D8" s="79">
        <v>1836.0</v>
      </c>
    </row>
    <row r="9">
      <c r="A9" s="78">
        <v>10303.0</v>
      </c>
      <c r="B9" s="78" t="s">
        <v>29</v>
      </c>
      <c r="C9" s="79">
        <v>1267.0</v>
      </c>
      <c r="D9" s="79">
        <v>1056.0</v>
      </c>
    </row>
    <row r="10">
      <c r="A10" s="78">
        <v>10304.0</v>
      </c>
      <c r="B10" s="78" t="s">
        <v>30</v>
      </c>
      <c r="C10" s="79">
        <v>826.0</v>
      </c>
      <c r="D10" s="79">
        <v>1264.0</v>
      </c>
    </row>
    <row r="11">
      <c r="A11" s="78">
        <v>10401.0</v>
      </c>
      <c r="B11" s="78" t="s">
        <v>32</v>
      </c>
      <c r="C11" s="79">
        <v>1721.0</v>
      </c>
      <c r="D11" s="79">
        <v>1267.0</v>
      </c>
    </row>
    <row r="12">
      <c r="A12" s="78">
        <v>10402.0</v>
      </c>
      <c r="B12" s="78" t="s">
        <v>31</v>
      </c>
      <c r="C12" s="79">
        <v>1218.0</v>
      </c>
      <c r="D12" s="79">
        <v>781.0</v>
      </c>
    </row>
    <row r="13">
      <c r="A13" s="78">
        <v>10403.0</v>
      </c>
      <c r="B13" s="78" t="s">
        <v>33</v>
      </c>
      <c r="C13" s="79">
        <v>1352.0</v>
      </c>
      <c r="D13" s="79">
        <v>1119.0</v>
      </c>
    </row>
    <row r="14">
      <c r="A14" s="78">
        <v>10404.0</v>
      </c>
      <c r="B14" s="78" t="s">
        <v>34</v>
      </c>
      <c r="C14" s="79">
        <v>803.0</v>
      </c>
      <c r="D14" s="79">
        <v>459.0</v>
      </c>
    </row>
    <row r="15">
      <c r="A15" s="78">
        <v>10405.0</v>
      </c>
      <c r="B15" s="78" t="s">
        <v>35</v>
      </c>
      <c r="C15" s="79">
        <v>747.0</v>
      </c>
      <c r="D15" s="79">
        <v>642.0</v>
      </c>
    </row>
    <row r="16">
      <c r="A16" s="78">
        <v>10501.0</v>
      </c>
      <c r="B16" s="78" t="s">
        <v>37</v>
      </c>
      <c r="C16" s="79">
        <v>2723.0</v>
      </c>
      <c r="D16" s="79">
        <v>1687.0</v>
      </c>
    </row>
    <row r="17">
      <c r="A17" s="78">
        <v>10502.0</v>
      </c>
      <c r="B17" s="78" t="s">
        <v>38</v>
      </c>
      <c r="C17" s="79">
        <v>1400.0</v>
      </c>
      <c r="D17" s="79">
        <v>1074.0</v>
      </c>
    </row>
    <row r="18">
      <c r="A18" s="78">
        <v>10601.0</v>
      </c>
      <c r="B18" s="78" t="s">
        <v>40</v>
      </c>
      <c r="C18" s="79">
        <v>3246.0</v>
      </c>
      <c r="D18" s="79">
        <v>2127.0</v>
      </c>
    </row>
    <row r="19">
      <c r="A19" s="78">
        <v>10602.0</v>
      </c>
      <c r="B19" s="78" t="s">
        <v>39</v>
      </c>
      <c r="C19" s="79">
        <v>2043.0</v>
      </c>
      <c r="D19" s="79">
        <v>1484.0</v>
      </c>
    </row>
    <row r="20">
      <c r="A20" s="78">
        <v>10701.0</v>
      </c>
      <c r="B20" s="78" t="s">
        <v>42</v>
      </c>
      <c r="C20" s="79">
        <v>2304.0</v>
      </c>
      <c r="D20" s="79">
        <v>1870.0</v>
      </c>
    </row>
    <row r="21">
      <c r="A21" s="78">
        <v>10702.0</v>
      </c>
      <c r="B21" s="78" t="s">
        <v>43</v>
      </c>
      <c r="C21" s="79">
        <v>6176.0</v>
      </c>
      <c r="D21" s="79">
        <v>5264.0</v>
      </c>
    </row>
    <row r="22">
      <c r="A22" s="78">
        <v>10703.0</v>
      </c>
      <c r="B22" s="78" t="s">
        <v>44</v>
      </c>
      <c r="C22" s="79">
        <v>2309.0</v>
      </c>
      <c r="D22" s="79">
        <v>2717.0</v>
      </c>
    </row>
    <row r="23">
      <c r="A23" s="78">
        <v>10704.0</v>
      </c>
      <c r="B23" s="78" t="s">
        <v>45</v>
      </c>
      <c r="C23" s="79">
        <v>2736.0</v>
      </c>
      <c r="D23" s="79">
        <v>2406.0</v>
      </c>
    </row>
    <row r="24">
      <c r="A24" s="78">
        <v>10801.0</v>
      </c>
      <c r="B24" s="78" t="s">
        <v>47</v>
      </c>
      <c r="C24" s="79">
        <v>1701.0</v>
      </c>
      <c r="D24" s="79">
        <v>1137.0</v>
      </c>
    </row>
    <row r="25">
      <c r="A25" s="78">
        <v>10901.0</v>
      </c>
      <c r="B25" s="78" t="s">
        <v>49</v>
      </c>
      <c r="C25" s="79">
        <v>648.0</v>
      </c>
      <c r="D25" s="79">
        <v>510.0</v>
      </c>
    </row>
    <row r="26">
      <c r="A26" s="78">
        <v>10902.0</v>
      </c>
      <c r="B26" s="78" t="s">
        <v>50</v>
      </c>
      <c r="C26" s="79">
        <v>2692.0</v>
      </c>
      <c r="D26" s="79">
        <v>2354.0</v>
      </c>
    </row>
    <row r="27">
      <c r="A27" s="78">
        <v>10903.0</v>
      </c>
      <c r="B27" s="78" t="s">
        <v>51</v>
      </c>
      <c r="C27" s="79">
        <v>512.0</v>
      </c>
      <c r="D27" s="79">
        <v>317.0</v>
      </c>
    </row>
    <row r="28">
      <c r="A28" s="78">
        <v>11001.0</v>
      </c>
      <c r="B28" s="78" t="s">
        <v>53</v>
      </c>
      <c r="C28" s="79">
        <v>1183.0</v>
      </c>
      <c r="D28" s="79">
        <v>974.0</v>
      </c>
    </row>
    <row r="29">
      <c r="A29" s="78">
        <v>11002.0</v>
      </c>
      <c r="B29" s="78" t="s">
        <v>54</v>
      </c>
      <c r="C29" s="79">
        <v>346.0</v>
      </c>
      <c r="D29" s="79">
        <v>189.0</v>
      </c>
    </row>
    <row r="30">
      <c r="A30" s="78">
        <v>11003.0</v>
      </c>
      <c r="B30" s="78" t="s">
        <v>55</v>
      </c>
      <c r="C30" s="79">
        <v>565.0</v>
      </c>
      <c r="D30" s="79">
        <v>382.0</v>
      </c>
    </row>
    <row r="31">
      <c r="A31" s="78">
        <v>20101.0</v>
      </c>
      <c r="B31" s="78" t="s">
        <v>58</v>
      </c>
      <c r="C31" s="79">
        <v>15100.0</v>
      </c>
      <c r="D31" s="79">
        <v>8231.0</v>
      </c>
    </row>
    <row r="32">
      <c r="A32" s="78">
        <v>20102.0</v>
      </c>
      <c r="B32" s="88" t="s">
        <v>59</v>
      </c>
      <c r="C32" s="79">
        <v>3818.0</v>
      </c>
      <c r="D32" s="79">
        <v>4181.0</v>
      </c>
    </row>
    <row r="33">
      <c r="A33" s="78">
        <v>20103.0</v>
      </c>
      <c r="B33" s="88" t="s">
        <v>60</v>
      </c>
      <c r="C33" s="79">
        <v>2703.0</v>
      </c>
      <c r="D33" s="79">
        <v>2556.0</v>
      </c>
    </row>
    <row r="34">
      <c r="A34" s="78">
        <v>20104.0</v>
      </c>
      <c r="B34" s="88" t="s">
        <v>61</v>
      </c>
      <c r="C34" s="79">
        <v>4776.0</v>
      </c>
      <c r="D34" s="79">
        <v>5457.0</v>
      </c>
    </row>
    <row r="35">
      <c r="A35" s="78">
        <v>20105.0</v>
      </c>
      <c r="B35" s="88" t="s">
        <v>62</v>
      </c>
      <c r="C35" s="79">
        <v>54919.0</v>
      </c>
      <c r="D35" s="79">
        <v>18747.0</v>
      </c>
    </row>
    <row r="36">
      <c r="A36" s="78">
        <v>20201.0</v>
      </c>
      <c r="B36" s="88" t="s">
        <v>64</v>
      </c>
      <c r="C36" s="79">
        <v>8173.0</v>
      </c>
      <c r="D36" s="79">
        <v>5557.0</v>
      </c>
    </row>
    <row r="37">
      <c r="A37" s="78">
        <v>20202.0</v>
      </c>
      <c r="B37" s="88" t="s">
        <v>65</v>
      </c>
      <c r="C37" s="79">
        <v>3331.0</v>
      </c>
      <c r="D37" s="79">
        <v>3474.0</v>
      </c>
    </row>
    <row r="38">
      <c r="A38" s="78">
        <v>20203.0</v>
      </c>
      <c r="B38" s="88" t="s">
        <v>69</v>
      </c>
      <c r="C38" s="79">
        <v>1324.0</v>
      </c>
      <c r="D38" s="79">
        <v>1174.0</v>
      </c>
    </row>
    <row r="39">
      <c r="A39" s="78">
        <v>20204.0</v>
      </c>
      <c r="B39" s="88" t="s">
        <v>66</v>
      </c>
      <c r="C39" s="79">
        <v>1655.0</v>
      </c>
      <c r="D39" s="79">
        <v>1374.0</v>
      </c>
    </row>
    <row r="40">
      <c r="A40" s="78">
        <v>20205.0</v>
      </c>
      <c r="B40" s="88" t="s">
        <v>67</v>
      </c>
      <c r="C40" s="79">
        <v>2164.0</v>
      </c>
      <c r="D40" s="79">
        <v>1547.0</v>
      </c>
    </row>
    <row r="41">
      <c r="A41" s="78">
        <v>20206.0</v>
      </c>
      <c r="B41" s="88" t="s">
        <v>68</v>
      </c>
      <c r="C41" s="79">
        <v>696.0</v>
      </c>
      <c r="D41" s="79">
        <v>608.0</v>
      </c>
    </row>
    <row r="42">
      <c r="A42" s="78">
        <v>20301.0</v>
      </c>
      <c r="B42" s="88" t="s">
        <v>71</v>
      </c>
      <c r="C42" s="79">
        <v>3080.0</v>
      </c>
      <c r="D42" s="79">
        <v>3228.0</v>
      </c>
    </row>
    <row r="43">
      <c r="A43" s="78">
        <v>20302.0</v>
      </c>
      <c r="B43" s="88" t="s">
        <v>72</v>
      </c>
      <c r="C43" s="79">
        <v>2724.0</v>
      </c>
      <c r="D43" s="79">
        <v>2570.0</v>
      </c>
    </row>
    <row r="44">
      <c r="A44" s="78">
        <v>20303.0</v>
      </c>
      <c r="B44" s="88" t="s">
        <v>73</v>
      </c>
      <c r="C44" s="79">
        <v>2240.0</v>
      </c>
      <c r="D44" s="79">
        <v>2516.0</v>
      </c>
    </row>
    <row r="45">
      <c r="A45" s="78">
        <v>20304.0</v>
      </c>
      <c r="B45" s="88" t="s">
        <v>74</v>
      </c>
      <c r="C45" s="79">
        <v>981.0</v>
      </c>
      <c r="D45" s="79">
        <v>959.0</v>
      </c>
    </row>
    <row r="46">
      <c r="A46" s="78">
        <v>20305.0</v>
      </c>
      <c r="B46" s="88" t="s">
        <v>75</v>
      </c>
      <c r="C46" s="79">
        <v>887.0</v>
      </c>
      <c r="D46" s="79">
        <v>877.0</v>
      </c>
    </row>
    <row r="47">
      <c r="A47" s="78">
        <v>20306.0</v>
      </c>
      <c r="B47" s="88" t="s">
        <v>76</v>
      </c>
      <c r="C47" s="79">
        <v>894.0</v>
      </c>
      <c r="D47" s="79">
        <v>883.0</v>
      </c>
    </row>
    <row r="48">
      <c r="A48" s="78">
        <v>20307.0</v>
      </c>
      <c r="B48" s="88" t="s">
        <v>77</v>
      </c>
      <c r="C48" s="79">
        <v>159.0</v>
      </c>
      <c r="D48" s="79">
        <v>666.0</v>
      </c>
    </row>
    <row r="49">
      <c r="A49" s="78">
        <v>20308.0</v>
      </c>
      <c r="B49" s="88" t="s">
        <v>78</v>
      </c>
      <c r="C49" s="79">
        <v>2467.0</v>
      </c>
      <c r="D49" s="79">
        <v>2923.0</v>
      </c>
    </row>
    <row r="50">
      <c r="A50" s="78">
        <v>20401.0</v>
      </c>
      <c r="B50" s="88" t="s">
        <v>80</v>
      </c>
      <c r="C50" s="79">
        <v>4220.0</v>
      </c>
      <c r="D50" s="79">
        <v>4712.0</v>
      </c>
    </row>
    <row r="51">
      <c r="A51" s="78">
        <v>20402.0</v>
      </c>
      <c r="B51" s="88" t="s">
        <v>81</v>
      </c>
      <c r="C51" s="79">
        <v>4795.0</v>
      </c>
      <c r="D51" s="79">
        <v>4634.0</v>
      </c>
    </row>
    <row r="52">
      <c r="A52" s="78">
        <v>20403.0</v>
      </c>
      <c r="B52" s="88" t="s">
        <v>82</v>
      </c>
      <c r="C52" s="79">
        <v>4146.0</v>
      </c>
      <c r="D52" s="79">
        <v>4332.0</v>
      </c>
    </row>
    <row r="53">
      <c r="A53" s="78">
        <v>20404.0</v>
      </c>
      <c r="B53" s="88" t="s">
        <v>83</v>
      </c>
      <c r="C53" s="79">
        <v>1663.0</v>
      </c>
      <c r="D53" s="79">
        <v>1790.0</v>
      </c>
    </row>
    <row r="54">
      <c r="A54" s="78">
        <v>20405.0</v>
      </c>
      <c r="B54" s="88" t="s">
        <v>84</v>
      </c>
      <c r="C54" s="79">
        <v>2657.0</v>
      </c>
      <c r="D54" s="79">
        <v>2776.0</v>
      </c>
    </row>
    <row r="55">
      <c r="A55" s="78">
        <v>20501.0</v>
      </c>
      <c r="B55" s="88" t="s">
        <v>86</v>
      </c>
      <c r="C55" s="79">
        <v>2831.0</v>
      </c>
      <c r="D55" s="79">
        <v>3259.0</v>
      </c>
    </row>
    <row r="56">
      <c r="A56" s="78">
        <v>20502.0</v>
      </c>
      <c r="B56" s="88" t="s">
        <v>87</v>
      </c>
      <c r="C56" s="79">
        <v>1793.0</v>
      </c>
      <c r="D56" s="79">
        <v>1876.0</v>
      </c>
    </row>
    <row r="57">
      <c r="A57" s="78">
        <v>20503.0</v>
      </c>
      <c r="B57" s="88" t="s">
        <v>88</v>
      </c>
      <c r="C57" s="79">
        <v>1470.0</v>
      </c>
      <c r="D57" s="79">
        <v>1448.0</v>
      </c>
    </row>
    <row r="58">
      <c r="A58" s="78">
        <v>20601.0</v>
      </c>
      <c r="B58" s="88" t="s">
        <v>90</v>
      </c>
      <c r="C58" s="79">
        <v>5566.0</v>
      </c>
      <c r="D58" s="79">
        <v>4532.0</v>
      </c>
    </row>
    <row r="59">
      <c r="A59" s="78">
        <v>20602.0</v>
      </c>
      <c r="B59" s="88" t="s">
        <v>91</v>
      </c>
      <c r="C59" s="79">
        <v>2668.0</v>
      </c>
      <c r="D59" s="79">
        <v>1829.0</v>
      </c>
    </row>
    <row r="60">
      <c r="A60" s="78">
        <v>20603.0</v>
      </c>
      <c r="B60" s="88" t="s">
        <v>92</v>
      </c>
      <c r="C60" s="79">
        <v>1722.0</v>
      </c>
      <c r="D60" s="79">
        <v>1419.0</v>
      </c>
    </row>
    <row r="61">
      <c r="A61" s="78">
        <v>20604.0</v>
      </c>
      <c r="B61" s="88" t="s">
        <v>93</v>
      </c>
      <c r="C61" s="79">
        <v>658.0</v>
      </c>
      <c r="D61" s="79">
        <v>817.0</v>
      </c>
    </row>
    <row r="62">
      <c r="A62" s="78">
        <v>20605.0</v>
      </c>
      <c r="B62" s="88" t="s">
        <v>94</v>
      </c>
      <c r="C62" s="79">
        <v>709.0</v>
      </c>
      <c r="D62" s="79">
        <v>836.0</v>
      </c>
    </row>
    <row r="63">
      <c r="A63" s="78">
        <v>20606.0</v>
      </c>
      <c r="B63" s="88" t="s">
        <v>95</v>
      </c>
      <c r="C63" s="79">
        <v>1759.0</v>
      </c>
      <c r="D63" s="79">
        <v>786.0</v>
      </c>
    </row>
    <row r="64">
      <c r="A64" s="78">
        <v>20607.0</v>
      </c>
      <c r="B64" s="88" t="s">
        <v>96</v>
      </c>
      <c r="C64" s="79">
        <v>2140.0</v>
      </c>
      <c r="D64" s="79">
        <v>1232.0</v>
      </c>
    </row>
    <row r="65">
      <c r="A65" s="78">
        <v>20608.0</v>
      </c>
      <c r="B65" s="88" t="s">
        <v>97</v>
      </c>
      <c r="C65" s="79">
        <v>2138.0</v>
      </c>
      <c r="D65" s="79">
        <v>1779.0</v>
      </c>
    </row>
    <row r="66">
      <c r="A66" s="78">
        <v>20701.0</v>
      </c>
      <c r="B66" s="88" t="s">
        <v>99</v>
      </c>
      <c r="C66" s="79">
        <v>2909.0</v>
      </c>
      <c r="D66" s="79">
        <v>3200.0</v>
      </c>
    </row>
    <row r="67">
      <c r="A67" s="78">
        <v>20702.0</v>
      </c>
      <c r="B67" s="88" t="s">
        <v>100</v>
      </c>
      <c r="C67" s="79">
        <v>1435.0</v>
      </c>
      <c r="D67" s="79">
        <v>972.0</v>
      </c>
    </row>
    <row r="68">
      <c r="A68" s="78">
        <v>20801.0</v>
      </c>
      <c r="B68" s="88" t="s">
        <v>102</v>
      </c>
      <c r="C68" s="79">
        <v>11989.0</v>
      </c>
      <c r="D68" s="79">
        <v>8775.0</v>
      </c>
    </row>
    <row r="69">
      <c r="A69" s="78">
        <v>20802.0</v>
      </c>
      <c r="B69" s="88" t="s">
        <v>103</v>
      </c>
      <c r="C69" s="79">
        <v>1809.0</v>
      </c>
      <c r="D69" s="79">
        <v>1048.0</v>
      </c>
    </row>
    <row r="70">
      <c r="A70" s="78">
        <v>20803.0</v>
      </c>
      <c r="B70" s="88" t="s">
        <v>104</v>
      </c>
      <c r="C70" s="79">
        <v>2109.0</v>
      </c>
      <c r="D70" s="79">
        <v>2099.0</v>
      </c>
    </row>
    <row r="71">
      <c r="A71" s="78">
        <v>20804.0</v>
      </c>
      <c r="B71" s="88" t="s">
        <v>105</v>
      </c>
      <c r="C71" s="79">
        <v>1418.0</v>
      </c>
      <c r="D71" s="79">
        <v>713.0</v>
      </c>
    </row>
    <row r="72">
      <c r="A72" s="78">
        <v>20805.0</v>
      </c>
      <c r="B72" s="88" t="s">
        <v>106</v>
      </c>
      <c r="C72" s="79">
        <v>1103.0</v>
      </c>
      <c r="D72" s="79">
        <v>1222.0</v>
      </c>
    </row>
    <row r="73">
      <c r="A73" s="78">
        <v>20806.0</v>
      </c>
      <c r="B73" s="88" t="s">
        <v>107</v>
      </c>
      <c r="C73" s="79">
        <v>1879.0</v>
      </c>
      <c r="D73" s="79">
        <v>1942.0</v>
      </c>
    </row>
    <row r="74">
      <c r="A74" s="78">
        <v>20807.0</v>
      </c>
      <c r="B74" s="88" t="s">
        <v>108</v>
      </c>
      <c r="C74" s="79">
        <v>1280.0</v>
      </c>
      <c r="D74" s="79">
        <v>1284.0</v>
      </c>
    </row>
    <row r="75">
      <c r="A75" s="78">
        <v>20901.0</v>
      </c>
      <c r="B75" s="88" t="s">
        <v>110</v>
      </c>
      <c r="C75" s="79">
        <v>2501.0</v>
      </c>
      <c r="D75" s="79">
        <v>1951.0</v>
      </c>
    </row>
    <row r="76">
      <c r="A76" s="78">
        <v>20902.0</v>
      </c>
      <c r="B76" s="88" t="s">
        <v>111</v>
      </c>
      <c r="C76" s="79">
        <v>3997.0</v>
      </c>
      <c r="D76" s="79">
        <v>4133.0</v>
      </c>
    </row>
    <row r="77">
      <c r="A77" s="78">
        <v>20903.0</v>
      </c>
      <c r="B77" s="88" t="s">
        <v>112</v>
      </c>
      <c r="C77" s="79">
        <v>2004.0</v>
      </c>
      <c r="D77" s="79">
        <v>2982.0</v>
      </c>
    </row>
    <row r="78">
      <c r="A78" s="78">
        <v>20904.0</v>
      </c>
      <c r="B78" s="88" t="s">
        <v>113</v>
      </c>
      <c r="C78" s="79">
        <v>890.0</v>
      </c>
      <c r="D78" s="79">
        <v>1189.0</v>
      </c>
    </row>
    <row r="79">
      <c r="A79" s="78">
        <v>20905.0</v>
      </c>
      <c r="B79" s="88" t="s">
        <v>114</v>
      </c>
      <c r="C79" s="79">
        <v>2516.0</v>
      </c>
      <c r="D79" s="79">
        <v>3415.0</v>
      </c>
    </row>
    <row r="80">
      <c r="A80" s="78">
        <v>21001.0</v>
      </c>
      <c r="B80" s="88" t="s">
        <v>115</v>
      </c>
      <c r="C80" s="79">
        <v>4001.0</v>
      </c>
      <c r="D80" s="79">
        <v>4634.0</v>
      </c>
    </row>
    <row r="81">
      <c r="A81" s="78">
        <v>21002.0</v>
      </c>
      <c r="B81" s="88" t="s">
        <v>116</v>
      </c>
      <c r="C81" s="79">
        <v>2341.0</v>
      </c>
      <c r="D81" s="79">
        <v>2246.0</v>
      </c>
    </row>
    <row r="82">
      <c r="A82" s="78">
        <v>21003.0</v>
      </c>
      <c r="B82" s="88" t="s">
        <v>117</v>
      </c>
      <c r="C82" s="79">
        <v>1851.0</v>
      </c>
      <c r="D82" s="79">
        <v>2186.0</v>
      </c>
    </row>
    <row r="83">
      <c r="A83" s="78">
        <v>21004.0</v>
      </c>
      <c r="B83" s="88" t="s">
        <v>118</v>
      </c>
      <c r="C83" s="79">
        <v>4842.0</v>
      </c>
      <c r="D83" s="79">
        <v>5467.0</v>
      </c>
    </row>
    <row r="84">
      <c r="A84" s="78">
        <v>21005.0</v>
      </c>
      <c r="B84" s="88" t="s">
        <v>119</v>
      </c>
      <c r="C84" s="79">
        <v>1454.0</v>
      </c>
      <c r="D84" s="79">
        <v>2766.0</v>
      </c>
    </row>
    <row r="85">
      <c r="A85" s="78">
        <v>21006.0</v>
      </c>
      <c r="B85" s="88" t="s">
        <v>120</v>
      </c>
      <c r="C85" s="79">
        <v>648.0</v>
      </c>
      <c r="D85" s="79">
        <v>702.0</v>
      </c>
    </row>
    <row r="86">
      <c r="A86" s="78">
        <v>21101.0</v>
      </c>
      <c r="B86" s="88" t="s">
        <v>122</v>
      </c>
      <c r="C86" s="79">
        <v>3457.0</v>
      </c>
      <c r="D86" s="79">
        <v>2265.0</v>
      </c>
    </row>
    <row r="87">
      <c r="A87" s="78">
        <v>21102.0</v>
      </c>
      <c r="B87" s="88" t="s">
        <v>123</v>
      </c>
      <c r="C87" s="79">
        <v>3716.0</v>
      </c>
      <c r="D87" s="79">
        <v>3875.0</v>
      </c>
    </row>
    <row r="88">
      <c r="A88" s="78">
        <v>21103.0</v>
      </c>
      <c r="B88" s="88" t="s">
        <v>124</v>
      </c>
      <c r="C88" s="79">
        <v>819.0</v>
      </c>
      <c r="D88" s="79">
        <v>649.0</v>
      </c>
    </row>
    <row r="89">
      <c r="A89" s="78">
        <v>21104.0</v>
      </c>
      <c r="B89" s="88" t="s">
        <v>125</v>
      </c>
      <c r="C89" s="79">
        <v>4228.0</v>
      </c>
      <c r="D89" s="79">
        <v>4246.0</v>
      </c>
    </row>
    <row r="90">
      <c r="A90" s="78">
        <v>21105.0</v>
      </c>
      <c r="B90" s="88" t="s">
        <v>126</v>
      </c>
      <c r="C90" s="79">
        <v>9611.0</v>
      </c>
      <c r="D90" s="79">
        <v>9155.0</v>
      </c>
    </row>
    <row r="91">
      <c r="A91" s="78">
        <v>21201.0</v>
      </c>
      <c r="B91" s="88" t="s">
        <v>128</v>
      </c>
      <c r="C91" s="79">
        <v>6622.0</v>
      </c>
      <c r="D91" s="79">
        <v>9291.0</v>
      </c>
    </row>
    <row r="92">
      <c r="A92" s="78">
        <v>21202.0</v>
      </c>
      <c r="B92" s="88" t="s">
        <v>129</v>
      </c>
      <c r="C92" s="79">
        <v>5112.0</v>
      </c>
      <c r="D92" s="79">
        <v>5181.0</v>
      </c>
    </row>
    <row r="93">
      <c r="A93" s="78">
        <v>21203.0</v>
      </c>
      <c r="B93" s="88" t="s">
        <v>130</v>
      </c>
      <c r="C93" s="79">
        <v>3128.0</v>
      </c>
      <c r="D93" s="79">
        <v>2958.0</v>
      </c>
    </row>
    <row r="94">
      <c r="A94" s="78">
        <v>21204.0</v>
      </c>
      <c r="B94" s="88" t="s">
        <v>131</v>
      </c>
      <c r="C94" s="79">
        <v>1701.0</v>
      </c>
      <c r="D94" s="79">
        <v>1733.0</v>
      </c>
    </row>
    <row r="95">
      <c r="A95" s="78">
        <v>21301.0</v>
      </c>
      <c r="B95" s="88" t="s">
        <v>133</v>
      </c>
      <c r="C95" s="79">
        <v>7443.0</v>
      </c>
      <c r="D95" s="79">
        <v>6904.0</v>
      </c>
    </row>
    <row r="96">
      <c r="A96" s="78">
        <v>21302.0</v>
      </c>
      <c r="B96" s="88" t="s">
        <v>134</v>
      </c>
      <c r="C96" s="79">
        <v>2088.0</v>
      </c>
      <c r="D96" s="79">
        <v>1810.0</v>
      </c>
    </row>
    <row r="97">
      <c r="A97" s="78">
        <v>21303.0</v>
      </c>
      <c r="B97" s="88" t="s">
        <v>135</v>
      </c>
      <c r="C97" s="79">
        <v>2252.0</v>
      </c>
      <c r="D97" s="79">
        <v>3165.0</v>
      </c>
    </row>
    <row r="98">
      <c r="A98" s="78">
        <v>21304.0</v>
      </c>
      <c r="B98" s="88" t="s">
        <v>136</v>
      </c>
      <c r="C98" s="79">
        <v>2793.0</v>
      </c>
      <c r="D98" s="79">
        <v>2698.0</v>
      </c>
    </row>
    <row r="99">
      <c r="A99" s="78">
        <v>21305.0</v>
      </c>
      <c r="B99" s="88" t="s">
        <v>137</v>
      </c>
      <c r="C99" s="79">
        <v>3407.0</v>
      </c>
      <c r="D99" s="79">
        <v>2983.0</v>
      </c>
    </row>
    <row r="100">
      <c r="A100" s="78">
        <v>21306.0</v>
      </c>
      <c r="B100" s="88" t="s">
        <v>138</v>
      </c>
      <c r="C100" s="79">
        <v>2294.0</v>
      </c>
      <c r="D100" s="79">
        <v>2215.0</v>
      </c>
    </row>
    <row r="101">
      <c r="A101" s="78">
        <v>21307.0</v>
      </c>
      <c r="B101" s="88" t="s">
        <v>139</v>
      </c>
      <c r="C101" s="79">
        <v>642.0</v>
      </c>
      <c r="D101" s="79">
        <v>567.0</v>
      </c>
    </row>
    <row r="102">
      <c r="A102" s="78">
        <v>21401.0</v>
      </c>
      <c r="B102" s="88" t="s">
        <v>141</v>
      </c>
      <c r="C102" s="79">
        <v>3642.0</v>
      </c>
      <c r="D102" s="79">
        <v>3819.0</v>
      </c>
    </row>
    <row r="103">
      <c r="A103" s="78">
        <v>21402.0</v>
      </c>
      <c r="B103" s="88" t="s">
        <v>142</v>
      </c>
      <c r="C103" s="79">
        <v>2774.0</v>
      </c>
      <c r="D103" s="79">
        <v>2293.0</v>
      </c>
    </row>
    <row r="104">
      <c r="A104" s="78">
        <v>21501.0</v>
      </c>
      <c r="B104" s="88" t="s">
        <v>144</v>
      </c>
      <c r="C104" s="79">
        <v>576.0</v>
      </c>
      <c r="D104" s="79">
        <v>588.0</v>
      </c>
    </row>
    <row r="105">
      <c r="A105" s="78">
        <v>21502.0</v>
      </c>
      <c r="B105" s="88" t="s">
        <v>145</v>
      </c>
      <c r="C105" s="79">
        <v>450.0</v>
      </c>
      <c r="D105" s="79">
        <v>361.0</v>
      </c>
    </row>
    <row r="106">
      <c r="A106" s="78">
        <v>21601.0</v>
      </c>
      <c r="B106" s="88" t="s">
        <v>147</v>
      </c>
      <c r="C106" s="79">
        <v>3055.0</v>
      </c>
      <c r="D106" s="79">
        <v>2721.0</v>
      </c>
    </row>
    <row r="107">
      <c r="A107" s="78">
        <v>21602.0</v>
      </c>
      <c r="B107" s="88" t="s">
        <v>148</v>
      </c>
      <c r="C107" s="79">
        <v>753.0</v>
      </c>
      <c r="D107" s="79">
        <v>764.0</v>
      </c>
    </row>
    <row r="108">
      <c r="A108" s="78">
        <v>21701.0</v>
      </c>
      <c r="B108" s="88" t="s">
        <v>150</v>
      </c>
      <c r="C108" s="79">
        <v>2134.0</v>
      </c>
      <c r="D108" s="79">
        <v>2251.0</v>
      </c>
    </row>
    <row r="109">
      <c r="A109" s="78">
        <v>21702.0</v>
      </c>
      <c r="B109" s="88" t="s">
        <v>151</v>
      </c>
      <c r="C109" s="79">
        <v>1976.0</v>
      </c>
      <c r="D109" s="79">
        <v>1882.0</v>
      </c>
    </row>
    <row r="110">
      <c r="A110" s="78">
        <v>21703.0</v>
      </c>
      <c r="B110" s="88" t="s">
        <v>152</v>
      </c>
      <c r="C110" s="79">
        <v>1097.0</v>
      </c>
      <c r="D110" s="79">
        <v>981.0</v>
      </c>
    </row>
    <row r="111">
      <c r="A111" s="78">
        <v>21801.0</v>
      </c>
      <c r="B111" s="88" t="s">
        <v>154</v>
      </c>
      <c r="C111" s="79">
        <v>2384.0</v>
      </c>
      <c r="D111" s="79">
        <v>2230.0</v>
      </c>
    </row>
    <row r="112">
      <c r="A112" s="78">
        <v>21802.0</v>
      </c>
      <c r="B112" s="88" t="s">
        <v>155</v>
      </c>
      <c r="C112" s="79">
        <v>1339.0</v>
      </c>
      <c r="D112" s="79">
        <v>1271.0</v>
      </c>
    </row>
    <row r="113">
      <c r="A113" s="78">
        <v>21803.0</v>
      </c>
      <c r="B113" s="88" t="s">
        <v>156</v>
      </c>
      <c r="C113" s="79">
        <v>734.0</v>
      </c>
      <c r="D113" s="79">
        <v>714.0</v>
      </c>
    </row>
    <row r="114">
      <c r="A114" s="78">
        <v>21901.0</v>
      </c>
      <c r="B114" s="88" t="s">
        <v>158</v>
      </c>
      <c r="C114" s="79">
        <v>750.0</v>
      </c>
      <c r="D114" s="79">
        <v>1075.0</v>
      </c>
    </row>
    <row r="115">
      <c r="A115" s="78">
        <v>21902.0</v>
      </c>
      <c r="B115" s="88" t="s">
        <v>159</v>
      </c>
      <c r="C115" s="79">
        <v>321.0</v>
      </c>
      <c r="D115" s="79">
        <v>491.0</v>
      </c>
    </row>
    <row r="116">
      <c r="A116" s="78">
        <v>22001.0</v>
      </c>
      <c r="B116" s="88" t="s">
        <v>160</v>
      </c>
      <c r="C116" s="79">
        <v>6743.0</v>
      </c>
      <c r="D116" s="79">
        <v>5882.0</v>
      </c>
    </row>
    <row r="117">
      <c r="A117" s="78">
        <v>22002.0</v>
      </c>
      <c r="B117" s="88" t="s">
        <v>161</v>
      </c>
      <c r="C117" s="79">
        <v>2530.0</v>
      </c>
      <c r="D117" s="79">
        <v>2025.0</v>
      </c>
    </row>
    <row r="118">
      <c r="A118" s="78">
        <v>30101.0</v>
      </c>
      <c r="B118" s="88" t="s">
        <v>162</v>
      </c>
      <c r="C118" s="79">
        <v>23122.0</v>
      </c>
      <c r="D118" s="79">
        <v>12379.0</v>
      </c>
    </row>
    <row r="119">
      <c r="A119" s="78">
        <v>30201.0</v>
      </c>
      <c r="B119" s="88" t="s">
        <v>165</v>
      </c>
      <c r="C119" s="79">
        <v>3569.0</v>
      </c>
      <c r="D119" s="79">
        <v>3008.0</v>
      </c>
    </row>
    <row r="120">
      <c r="A120" s="78">
        <v>30202.0</v>
      </c>
      <c r="B120" s="88" t="s">
        <v>166</v>
      </c>
      <c r="C120" s="79">
        <v>914.0</v>
      </c>
      <c r="D120" s="79">
        <v>817.0</v>
      </c>
    </row>
    <row r="121">
      <c r="A121" s="78">
        <v>30203.0</v>
      </c>
      <c r="B121" s="88" t="s">
        <v>167</v>
      </c>
      <c r="C121" s="79">
        <v>681.0</v>
      </c>
      <c r="D121" s="79">
        <v>553.0</v>
      </c>
    </row>
    <row r="122">
      <c r="A122" s="78">
        <v>30301.0</v>
      </c>
      <c r="B122" s="88" t="s">
        <v>168</v>
      </c>
      <c r="C122" s="79">
        <v>6218.0</v>
      </c>
      <c r="D122" s="79">
        <v>5552.0</v>
      </c>
    </row>
    <row r="123">
      <c r="A123" s="78">
        <v>30302.0</v>
      </c>
      <c r="B123" s="88" t="s">
        <v>169</v>
      </c>
      <c r="C123" s="79">
        <v>2755.0</v>
      </c>
      <c r="D123" s="79">
        <v>2877.0</v>
      </c>
    </row>
    <row r="124">
      <c r="A124" s="78">
        <v>30303.0</v>
      </c>
      <c r="B124" s="88" t="s">
        <v>170</v>
      </c>
      <c r="C124" s="79">
        <v>3572.0</v>
      </c>
      <c r="D124" s="79">
        <v>4471.0</v>
      </c>
    </row>
    <row r="125">
      <c r="A125" s="78">
        <v>30401.0</v>
      </c>
      <c r="B125" s="88" t="s">
        <v>172</v>
      </c>
      <c r="C125" s="79">
        <v>1401.0</v>
      </c>
      <c r="D125" s="79">
        <v>1546.0</v>
      </c>
    </row>
    <row r="126">
      <c r="A126" s="78">
        <v>30402.0</v>
      </c>
      <c r="B126" s="88" t="s">
        <v>173</v>
      </c>
      <c r="C126" s="79">
        <v>2094.0</v>
      </c>
      <c r="D126" s="79">
        <v>2357.0</v>
      </c>
    </row>
    <row r="127">
      <c r="A127" s="78">
        <v>30403.0</v>
      </c>
      <c r="B127" s="88" t="s">
        <v>174</v>
      </c>
      <c r="C127" s="79">
        <v>2794.0</v>
      </c>
      <c r="D127" s="79">
        <v>4624.0</v>
      </c>
    </row>
    <row r="128">
      <c r="A128" s="78">
        <v>30404.0</v>
      </c>
      <c r="B128" s="88" t="s">
        <v>175</v>
      </c>
      <c r="C128" s="79">
        <v>1057.0</v>
      </c>
      <c r="D128" s="79">
        <v>1224.0</v>
      </c>
    </row>
    <row r="129">
      <c r="A129" s="78">
        <v>30501.0</v>
      </c>
      <c r="B129" s="88" t="s">
        <v>176</v>
      </c>
      <c r="C129" s="79">
        <v>1396.0</v>
      </c>
      <c r="D129" s="79">
        <v>1080.0</v>
      </c>
    </row>
    <row r="130">
      <c r="A130" s="78">
        <v>30502.0</v>
      </c>
      <c r="B130" s="88" t="s">
        <v>177</v>
      </c>
      <c r="C130" s="79">
        <v>2367.0</v>
      </c>
      <c r="D130" s="79">
        <v>2081.0</v>
      </c>
    </row>
    <row r="131">
      <c r="A131" s="78">
        <v>30601.0</v>
      </c>
      <c r="B131" s="88" t="s">
        <v>178</v>
      </c>
      <c r="C131" s="79">
        <v>2772.0</v>
      </c>
      <c r="D131" s="79">
        <v>2842.0</v>
      </c>
    </row>
    <row r="132">
      <c r="A132" s="78">
        <v>30602.0</v>
      </c>
      <c r="B132" s="88" t="s">
        <v>179</v>
      </c>
      <c r="C132" s="79">
        <v>2034.0</v>
      </c>
      <c r="D132" s="79">
        <v>2241.0</v>
      </c>
    </row>
    <row r="133">
      <c r="A133" s="78">
        <v>30701.0</v>
      </c>
      <c r="B133" s="88" t="s">
        <v>180</v>
      </c>
      <c r="C133" s="79">
        <v>2630.0</v>
      </c>
      <c r="D133" s="79">
        <v>2254.0</v>
      </c>
    </row>
    <row r="134">
      <c r="A134" s="78">
        <v>30702.0</v>
      </c>
      <c r="B134" s="88" t="s">
        <v>181</v>
      </c>
      <c r="C134" s="79">
        <v>1219.0</v>
      </c>
      <c r="D134" s="79">
        <v>883.0</v>
      </c>
    </row>
    <row r="135">
      <c r="A135" s="78">
        <v>30703.0</v>
      </c>
      <c r="B135" s="88" t="s">
        <v>182</v>
      </c>
      <c r="C135" s="79">
        <v>777.0</v>
      </c>
      <c r="D135" s="79">
        <v>644.0</v>
      </c>
    </row>
    <row r="136">
      <c r="A136" s="78">
        <v>30801.0</v>
      </c>
      <c r="B136" s="88" t="s">
        <v>184</v>
      </c>
      <c r="C136" s="79">
        <v>1325.0</v>
      </c>
      <c r="D136" s="79">
        <v>560.0</v>
      </c>
    </row>
    <row r="137">
      <c r="A137" s="78">
        <v>30802.0</v>
      </c>
      <c r="B137" s="88" t="s">
        <v>185</v>
      </c>
      <c r="C137" s="79">
        <v>1125.0</v>
      </c>
      <c r="D137" s="79">
        <v>892.0</v>
      </c>
    </row>
    <row r="138">
      <c r="A138" s="78">
        <v>30803.0</v>
      </c>
      <c r="B138" s="88" t="s">
        <v>186</v>
      </c>
      <c r="C138" s="79">
        <v>388.0</v>
      </c>
      <c r="D138" s="79">
        <v>681.0</v>
      </c>
    </row>
    <row r="139">
      <c r="A139" s="78">
        <v>30901.0</v>
      </c>
      <c r="B139" s="88" t="s">
        <v>187</v>
      </c>
      <c r="C139" s="79">
        <v>3885.0</v>
      </c>
      <c r="D139" s="79">
        <v>2467.0</v>
      </c>
    </row>
    <row r="140">
      <c r="A140" s="78">
        <v>30902.0</v>
      </c>
      <c r="B140" s="88" t="s">
        <v>188</v>
      </c>
      <c r="C140" s="79">
        <v>3887.0</v>
      </c>
      <c r="D140" s="79">
        <v>3043.0</v>
      </c>
    </row>
    <row r="141">
      <c r="A141" s="78">
        <v>30903.0</v>
      </c>
      <c r="B141" s="88" t="s">
        <v>189</v>
      </c>
      <c r="C141" s="79">
        <v>2090.0</v>
      </c>
      <c r="D141" s="79">
        <v>931.0</v>
      </c>
    </row>
    <row r="142">
      <c r="A142" s="78">
        <v>30904.0</v>
      </c>
      <c r="B142" s="88" t="s">
        <v>190</v>
      </c>
      <c r="C142" s="79">
        <v>3896.0</v>
      </c>
      <c r="D142" s="79">
        <v>1641.0</v>
      </c>
    </row>
    <row r="143">
      <c r="A143" s="78">
        <v>30905.0</v>
      </c>
      <c r="B143" s="88" t="s">
        <v>191</v>
      </c>
      <c r="C143" s="79">
        <v>695.0</v>
      </c>
      <c r="D143" s="79">
        <v>465.0</v>
      </c>
    </row>
    <row r="144">
      <c r="A144" s="78">
        <v>31001.0</v>
      </c>
      <c r="B144" s="88" t="s">
        <v>193</v>
      </c>
      <c r="C144" s="79">
        <v>10273.0</v>
      </c>
      <c r="D144" s="79">
        <v>8633.0</v>
      </c>
    </row>
    <row r="145">
      <c r="A145" s="78">
        <v>31002.0</v>
      </c>
      <c r="B145" s="88" t="s">
        <v>194</v>
      </c>
      <c r="C145" s="79">
        <v>2390.0</v>
      </c>
      <c r="D145" s="79">
        <v>2641.0</v>
      </c>
    </row>
    <row r="146">
      <c r="A146" s="78">
        <v>31003.0</v>
      </c>
      <c r="B146" s="88" t="s">
        <v>195</v>
      </c>
      <c r="C146" s="79">
        <v>10449.0</v>
      </c>
      <c r="D146" s="79">
        <v>14345.0</v>
      </c>
    </row>
    <row r="147">
      <c r="A147" s="78">
        <v>31101.0</v>
      </c>
      <c r="B147" s="88" t="s">
        <v>196</v>
      </c>
      <c r="C147" s="79">
        <v>7151.0</v>
      </c>
      <c r="D147" s="79">
        <v>7706.0</v>
      </c>
    </row>
    <row r="148">
      <c r="A148" s="78">
        <v>31201.0</v>
      </c>
      <c r="B148" s="88" t="s">
        <v>198</v>
      </c>
      <c r="C148" s="79">
        <v>3407.0</v>
      </c>
      <c r="D148" s="79">
        <v>3355.0</v>
      </c>
    </row>
    <row r="149">
      <c r="A149" s="78">
        <v>31202.0</v>
      </c>
      <c r="B149" s="88" t="s">
        <v>199</v>
      </c>
      <c r="C149" s="79">
        <v>2200.0</v>
      </c>
      <c r="D149" s="79">
        <v>2162.0</v>
      </c>
    </row>
    <row r="150">
      <c r="A150" s="78">
        <v>31203.0</v>
      </c>
      <c r="B150" s="88" t="s">
        <v>200</v>
      </c>
      <c r="C150" s="79">
        <v>2344.0</v>
      </c>
      <c r="D150" s="79">
        <v>2463.0</v>
      </c>
    </row>
    <row r="151">
      <c r="A151" s="78">
        <v>31204.0</v>
      </c>
      <c r="B151" s="88" t="s">
        <v>201</v>
      </c>
      <c r="C151" s="79">
        <v>2513.0</v>
      </c>
      <c r="D151" s="79">
        <v>2931.0</v>
      </c>
    </row>
    <row r="152">
      <c r="A152" s="78">
        <v>31205.0</v>
      </c>
      <c r="B152" s="88" t="s">
        <v>202</v>
      </c>
      <c r="C152" s="79">
        <v>6970.0</v>
      </c>
      <c r="D152" s="79">
        <v>8229.0</v>
      </c>
    </row>
    <row r="153">
      <c r="A153" s="78">
        <v>31206.0</v>
      </c>
      <c r="B153" s="88" t="s">
        <v>203</v>
      </c>
      <c r="C153" s="79">
        <v>5870.0</v>
      </c>
      <c r="D153" s="79">
        <v>6233.0</v>
      </c>
    </row>
    <row r="154">
      <c r="A154" s="78">
        <v>31301.0</v>
      </c>
      <c r="B154" s="88" t="s">
        <v>204</v>
      </c>
      <c r="C154" s="79">
        <v>4568.0</v>
      </c>
      <c r="D154" s="79">
        <v>3594.0</v>
      </c>
    </row>
    <row r="155">
      <c r="A155" s="78">
        <v>31302.0</v>
      </c>
      <c r="B155" s="88" t="s">
        <v>205</v>
      </c>
      <c r="C155" s="79">
        <v>1218.0</v>
      </c>
      <c r="D155" s="79">
        <v>1384.0</v>
      </c>
    </row>
    <row r="156">
      <c r="A156" s="78">
        <v>31303.0</v>
      </c>
      <c r="B156" s="88" t="s">
        <v>206</v>
      </c>
      <c r="C156" s="79">
        <v>992.0</v>
      </c>
      <c r="D156" s="79">
        <v>1026.0</v>
      </c>
    </row>
    <row r="157">
      <c r="A157" s="78">
        <v>31304.0</v>
      </c>
      <c r="B157" s="88" t="s">
        <v>207</v>
      </c>
      <c r="C157" s="79">
        <v>1888.0</v>
      </c>
      <c r="D157" s="79">
        <v>2298.0</v>
      </c>
    </row>
    <row r="158">
      <c r="A158" s="78">
        <v>31401.0</v>
      </c>
      <c r="B158" s="88" t="s">
        <v>208</v>
      </c>
      <c r="C158" s="79">
        <v>1983.0</v>
      </c>
      <c r="D158" s="79">
        <v>980.0</v>
      </c>
    </row>
    <row r="159">
      <c r="A159" s="78">
        <v>31402.0</v>
      </c>
      <c r="B159" s="88" t="s">
        <v>209</v>
      </c>
      <c r="C159" s="79">
        <v>1898.0</v>
      </c>
      <c r="D159" s="79">
        <v>989.0</v>
      </c>
    </row>
    <row r="160">
      <c r="A160" s="78">
        <v>31403.0</v>
      </c>
      <c r="B160" s="88" t="s">
        <v>210</v>
      </c>
      <c r="C160" s="79">
        <v>1133.0</v>
      </c>
      <c r="D160" s="79">
        <v>581.0</v>
      </c>
    </row>
    <row r="161">
      <c r="A161" s="78">
        <v>31404.0</v>
      </c>
      <c r="B161" s="88" t="s">
        <v>211</v>
      </c>
      <c r="C161" s="79">
        <v>274.0</v>
      </c>
      <c r="D161" s="79">
        <v>182.0</v>
      </c>
    </row>
    <row r="162">
      <c r="A162" s="78">
        <v>31405.0</v>
      </c>
      <c r="B162" s="88" t="s">
        <v>212</v>
      </c>
      <c r="C162" s="79">
        <v>461.0</v>
      </c>
      <c r="D162" s="79">
        <v>459.0</v>
      </c>
    </row>
    <row r="163">
      <c r="A163" s="78">
        <v>31501.0</v>
      </c>
      <c r="B163" s="88" t="s">
        <v>213</v>
      </c>
      <c r="C163" s="79">
        <v>2226.0</v>
      </c>
      <c r="D163" s="79">
        <v>2745.0</v>
      </c>
    </row>
    <row r="164">
      <c r="A164" s="78">
        <v>31601.0</v>
      </c>
      <c r="B164" s="88" t="s">
        <v>214</v>
      </c>
      <c r="C164" s="79">
        <v>3515.0</v>
      </c>
      <c r="D164" s="79">
        <v>2327.0</v>
      </c>
    </row>
    <row r="165">
      <c r="A165" s="78">
        <v>31602.0</v>
      </c>
      <c r="B165" s="88" t="s">
        <v>215</v>
      </c>
      <c r="C165" s="79">
        <v>2047.0</v>
      </c>
      <c r="D165" s="79">
        <v>2118.0</v>
      </c>
    </row>
    <row r="166">
      <c r="A166" s="78">
        <v>40101.0</v>
      </c>
      <c r="B166" s="88" t="s">
        <v>216</v>
      </c>
      <c r="C166" s="79">
        <v>20840.0</v>
      </c>
      <c r="D166" s="79">
        <v>12424.0</v>
      </c>
    </row>
    <row r="167">
      <c r="A167" s="78">
        <v>40102.0</v>
      </c>
      <c r="B167" s="88" t="s">
        <v>217</v>
      </c>
      <c r="C167" s="79">
        <v>4949.0</v>
      </c>
      <c r="D167" s="79">
        <v>4304.0</v>
      </c>
    </row>
    <row r="168">
      <c r="A168" s="78">
        <v>40103.0</v>
      </c>
      <c r="B168" s="88" t="s">
        <v>218</v>
      </c>
      <c r="C168" s="79">
        <v>3185.0</v>
      </c>
      <c r="D168" s="79">
        <v>3468.0</v>
      </c>
    </row>
    <row r="169">
      <c r="A169" s="78">
        <v>40104.0</v>
      </c>
      <c r="B169" s="88" t="s">
        <v>219</v>
      </c>
      <c r="C169" s="79">
        <v>3130.0</v>
      </c>
      <c r="D169" s="79">
        <v>3821.0</v>
      </c>
    </row>
    <row r="170">
      <c r="A170" s="78">
        <v>40201.0</v>
      </c>
      <c r="B170" s="88" t="s">
        <v>221</v>
      </c>
      <c r="C170" s="79">
        <v>7146.0</v>
      </c>
      <c r="D170" s="79">
        <v>7884.0</v>
      </c>
    </row>
    <row r="171">
      <c r="A171" s="78">
        <v>40202.0</v>
      </c>
      <c r="B171" s="88" t="s">
        <v>222</v>
      </c>
      <c r="C171" s="79">
        <v>1203.0</v>
      </c>
      <c r="D171" s="79">
        <v>1519.0</v>
      </c>
    </row>
    <row r="172">
      <c r="A172" s="78">
        <v>40301.0</v>
      </c>
      <c r="B172" s="88" t="s">
        <v>224</v>
      </c>
      <c r="C172" s="79">
        <v>3026.0</v>
      </c>
      <c r="D172" s="79">
        <v>3925.0</v>
      </c>
    </row>
    <row r="173">
      <c r="A173" s="78">
        <v>40302.0</v>
      </c>
      <c r="B173" s="88" t="s">
        <v>225</v>
      </c>
      <c r="C173" s="79">
        <v>423.0</v>
      </c>
      <c r="D173" s="79">
        <v>415.0</v>
      </c>
    </row>
    <row r="174">
      <c r="A174" s="78">
        <v>40401.0</v>
      </c>
      <c r="B174" s="88" t="s">
        <v>227</v>
      </c>
      <c r="C174" s="79">
        <v>862.0</v>
      </c>
      <c r="D174" s="79">
        <v>1000.0</v>
      </c>
    </row>
    <row r="175">
      <c r="A175" s="78">
        <v>40402.0</v>
      </c>
      <c r="B175" s="88" t="s">
        <v>228</v>
      </c>
      <c r="C175" s="79">
        <v>1081.0</v>
      </c>
      <c r="D175" s="79">
        <v>1025.0</v>
      </c>
    </row>
    <row r="176">
      <c r="A176" s="78">
        <v>40501.0</v>
      </c>
      <c r="B176" s="88" t="s">
        <v>230</v>
      </c>
      <c r="C176" s="79">
        <v>101.0</v>
      </c>
      <c r="D176" s="79">
        <v>224.0</v>
      </c>
    </row>
    <row r="177">
      <c r="A177" s="78">
        <v>40502.0</v>
      </c>
      <c r="B177" s="88" t="s">
        <v>231</v>
      </c>
      <c r="C177" s="79">
        <v>1025.0</v>
      </c>
      <c r="D177" s="79">
        <v>518.0</v>
      </c>
    </row>
    <row r="178">
      <c r="A178" s="78">
        <v>40503.0</v>
      </c>
      <c r="B178" s="88" t="s">
        <v>232</v>
      </c>
      <c r="C178" s="79">
        <v>549.0</v>
      </c>
      <c r="D178" s="79">
        <v>144.0</v>
      </c>
    </row>
    <row r="179">
      <c r="A179" s="78">
        <v>40504.0</v>
      </c>
      <c r="B179" s="88" t="s">
        <v>233</v>
      </c>
      <c r="C179" s="79">
        <v>167.0</v>
      </c>
      <c r="D179" s="79">
        <v>14.0</v>
      </c>
    </row>
    <row r="180">
      <c r="A180" s="78">
        <v>40505.0</v>
      </c>
      <c r="B180" s="88" t="s">
        <v>234</v>
      </c>
      <c r="C180" s="79">
        <v>631.0</v>
      </c>
      <c r="D180" s="79">
        <v>347.0</v>
      </c>
    </row>
    <row r="181">
      <c r="A181" s="78">
        <v>40601.0</v>
      </c>
      <c r="B181" s="88" t="s">
        <v>235</v>
      </c>
      <c r="C181" s="79">
        <v>2061.0</v>
      </c>
      <c r="D181" s="79">
        <v>1782.0</v>
      </c>
    </row>
    <row r="182">
      <c r="A182" s="78">
        <v>40602.0</v>
      </c>
      <c r="B182" s="88" t="s">
        <v>236</v>
      </c>
      <c r="C182" s="79">
        <v>1838.0</v>
      </c>
      <c r="D182" s="79">
        <v>1179.0</v>
      </c>
    </row>
    <row r="183">
      <c r="A183" s="78">
        <v>40603.0</v>
      </c>
      <c r="B183" s="88" t="s">
        <v>237</v>
      </c>
      <c r="C183" s="79">
        <v>795.0</v>
      </c>
      <c r="D183" s="79">
        <v>800.0</v>
      </c>
    </row>
    <row r="184">
      <c r="A184" s="78">
        <v>40701.0</v>
      </c>
      <c r="B184" s="88" t="s">
        <v>239</v>
      </c>
      <c r="C184" s="79">
        <v>3830.0</v>
      </c>
      <c r="D184" s="79">
        <v>1702.0</v>
      </c>
    </row>
    <row r="185">
      <c r="A185" s="78">
        <v>40702.0</v>
      </c>
      <c r="B185" s="88" t="s">
        <v>240</v>
      </c>
      <c r="C185" s="79">
        <v>937.0</v>
      </c>
      <c r="D185" s="79">
        <v>823.0</v>
      </c>
    </row>
    <row r="186">
      <c r="A186" s="78">
        <v>40801.0</v>
      </c>
      <c r="B186" s="88" t="s">
        <v>242</v>
      </c>
      <c r="C186" s="79">
        <v>3328.0</v>
      </c>
      <c r="D186" s="79">
        <v>3594.0</v>
      </c>
    </row>
    <row r="187">
      <c r="A187" s="78">
        <v>40802.0</v>
      </c>
      <c r="B187" s="88" t="s">
        <v>243</v>
      </c>
      <c r="C187" s="79">
        <v>855.0</v>
      </c>
      <c r="D187" s="79">
        <v>778.0</v>
      </c>
    </row>
    <row r="188">
      <c r="A188" s="78">
        <v>40901.0</v>
      </c>
      <c r="B188" s="88" t="s">
        <v>244</v>
      </c>
      <c r="C188" s="79">
        <v>1992.0</v>
      </c>
      <c r="D188" s="79">
        <v>2136.0</v>
      </c>
    </row>
    <row r="189">
      <c r="A189" s="78">
        <v>40902.0</v>
      </c>
      <c r="B189" s="88" t="s">
        <v>245</v>
      </c>
      <c r="C189" s="79">
        <v>240.0</v>
      </c>
      <c r="D189" s="79">
        <v>185.0</v>
      </c>
    </row>
    <row r="190">
      <c r="A190" s="78">
        <v>40903.0</v>
      </c>
      <c r="B190" s="88" t="s">
        <v>246</v>
      </c>
      <c r="C190" s="79">
        <v>380.0</v>
      </c>
      <c r="D190" s="79">
        <v>681.0</v>
      </c>
    </row>
    <row r="191">
      <c r="A191" s="78">
        <v>41001.0</v>
      </c>
      <c r="B191" s="88" t="s">
        <v>248</v>
      </c>
      <c r="C191" s="79">
        <v>4067.0</v>
      </c>
      <c r="D191" s="79">
        <v>3962.0</v>
      </c>
    </row>
    <row r="192">
      <c r="A192" s="78">
        <v>41101.0</v>
      </c>
      <c r="B192" s="88" t="s">
        <v>250</v>
      </c>
      <c r="C192" s="79">
        <v>1536.0</v>
      </c>
      <c r="D192" s="79">
        <v>1100.0</v>
      </c>
    </row>
    <row r="193">
      <c r="A193" s="78">
        <v>41201.0</v>
      </c>
      <c r="B193" s="88" t="s">
        <v>252</v>
      </c>
      <c r="C193" s="79">
        <v>1873.0</v>
      </c>
      <c r="D193" s="79">
        <v>1620.0</v>
      </c>
    </row>
    <row r="194">
      <c r="A194" s="78">
        <v>41202.0</v>
      </c>
      <c r="B194" s="88" t="s">
        <v>253</v>
      </c>
      <c r="C194" s="79">
        <v>709.0</v>
      </c>
      <c r="D194" s="79">
        <v>670.0</v>
      </c>
    </row>
    <row r="195">
      <c r="A195" s="78">
        <v>41301.0</v>
      </c>
      <c r="B195" s="88" t="s">
        <v>198</v>
      </c>
      <c r="C195" s="79">
        <v>1647.0</v>
      </c>
      <c r="D195" s="79">
        <v>1886.0</v>
      </c>
    </row>
    <row r="196">
      <c r="A196" s="78">
        <v>41401.0</v>
      </c>
      <c r="B196" s="88" t="s">
        <v>256</v>
      </c>
      <c r="C196" s="79">
        <v>3374.0</v>
      </c>
      <c r="D196" s="79">
        <v>2978.0</v>
      </c>
    </row>
    <row r="197">
      <c r="A197" s="78">
        <v>41501.0</v>
      </c>
      <c r="B197" s="88" t="s">
        <v>258</v>
      </c>
      <c r="C197" s="79">
        <v>153.0</v>
      </c>
      <c r="D197" s="79">
        <v>142.0</v>
      </c>
    </row>
    <row r="198">
      <c r="A198" s="78">
        <v>41502.0</v>
      </c>
      <c r="B198" s="88" t="s">
        <v>259</v>
      </c>
      <c r="C198" s="79">
        <v>166.0</v>
      </c>
      <c r="D198" s="79">
        <v>112.0</v>
      </c>
    </row>
    <row r="199">
      <c r="A199" s="78">
        <v>41503.0</v>
      </c>
      <c r="B199" s="88" t="s">
        <v>223</v>
      </c>
      <c r="C199" s="79">
        <v>234.0</v>
      </c>
      <c r="D199" s="79">
        <v>150.0</v>
      </c>
    </row>
    <row r="200">
      <c r="A200" s="78">
        <v>41601.0</v>
      </c>
      <c r="B200" s="88" t="s">
        <v>261</v>
      </c>
      <c r="C200" s="79">
        <v>2097.0</v>
      </c>
      <c r="D200" s="79">
        <v>2004.0</v>
      </c>
    </row>
    <row r="201">
      <c r="A201" s="78">
        <v>50101.0</v>
      </c>
      <c r="B201" s="88" t="s">
        <v>262</v>
      </c>
      <c r="C201" s="79">
        <v>9584.0</v>
      </c>
      <c r="D201" s="79">
        <v>9263.0</v>
      </c>
    </row>
    <row r="202">
      <c r="A202" s="78">
        <v>50102.0</v>
      </c>
      <c r="B202" s="88" t="s">
        <v>264</v>
      </c>
      <c r="C202" s="79">
        <v>6728.0</v>
      </c>
      <c r="D202" s="79">
        <v>8641.0</v>
      </c>
    </row>
    <row r="203">
      <c r="A203" s="78">
        <v>50103.0</v>
      </c>
      <c r="B203" s="88" t="s">
        <v>265</v>
      </c>
      <c r="C203" s="79">
        <v>2032.0</v>
      </c>
      <c r="D203" s="79">
        <v>2275.0</v>
      </c>
    </row>
    <row r="204">
      <c r="A204" s="78">
        <v>50104.0</v>
      </c>
      <c r="B204" s="88" t="s">
        <v>266</v>
      </c>
      <c r="C204" s="79">
        <v>988.0</v>
      </c>
      <c r="D204" s="79">
        <v>962.0</v>
      </c>
    </row>
    <row r="205">
      <c r="A205" s="78">
        <v>50201.0</v>
      </c>
      <c r="B205" s="88" t="s">
        <v>268</v>
      </c>
      <c r="C205" s="79">
        <v>4138.0</v>
      </c>
      <c r="D205" s="79">
        <v>4655.0</v>
      </c>
    </row>
    <row r="206">
      <c r="A206" s="78">
        <v>50202.0</v>
      </c>
      <c r="B206" s="88" t="s">
        <v>269</v>
      </c>
      <c r="C206" s="79">
        <v>3702.0</v>
      </c>
      <c r="D206" s="79">
        <v>3421.0</v>
      </c>
    </row>
    <row r="207">
      <c r="A207" s="78">
        <v>50203.0</v>
      </c>
      <c r="B207" s="88" t="s">
        <v>270</v>
      </c>
      <c r="C207" s="79">
        <v>5437.0</v>
      </c>
      <c r="D207" s="79">
        <v>5288.0</v>
      </c>
    </row>
    <row r="208">
      <c r="A208" s="78">
        <v>50204.0</v>
      </c>
      <c r="B208" s="88" t="s">
        <v>271</v>
      </c>
      <c r="C208" s="79">
        <v>2125.0</v>
      </c>
      <c r="D208" s="79">
        <v>2404.0</v>
      </c>
    </row>
    <row r="209">
      <c r="A209" s="78">
        <v>50301.0</v>
      </c>
      <c r="B209" s="88" t="s">
        <v>273</v>
      </c>
      <c r="C209" s="79">
        <v>7036.0</v>
      </c>
      <c r="D209" s="79">
        <v>6146.0</v>
      </c>
    </row>
    <row r="210">
      <c r="A210" s="78">
        <v>50302.0</v>
      </c>
      <c r="B210" s="88" t="s">
        <v>274</v>
      </c>
      <c r="C210" s="79">
        <v>2383.0</v>
      </c>
      <c r="D210" s="79">
        <v>2089.0</v>
      </c>
    </row>
    <row r="211">
      <c r="A211" s="78">
        <v>50303.0</v>
      </c>
      <c r="B211" s="88" t="s">
        <v>275</v>
      </c>
      <c r="C211" s="79">
        <v>3801.0</v>
      </c>
      <c r="D211" s="79">
        <v>4703.0</v>
      </c>
    </row>
    <row r="212">
      <c r="A212" s="78">
        <v>50401.0</v>
      </c>
      <c r="B212" s="88" t="s">
        <v>276</v>
      </c>
      <c r="C212" s="79">
        <v>3302.0</v>
      </c>
      <c r="D212" s="79">
        <v>4425.0</v>
      </c>
    </row>
    <row r="213">
      <c r="A213" s="78">
        <v>50402.0</v>
      </c>
      <c r="B213" s="88" t="s">
        <v>277</v>
      </c>
      <c r="C213" s="79">
        <v>4866.0</v>
      </c>
      <c r="D213" s="79">
        <v>5100.0</v>
      </c>
    </row>
    <row r="214">
      <c r="A214" s="78">
        <v>50403.0</v>
      </c>
      <c r="B214" s="88" t="s">
        <v>278</v>
      </c>
      <c r="C214" s="79">
        <v>7538.0</v>
      </c>
      <c r="D214" s="79">
        <v>10150.0</v>
      </c>
    </row>
    <row r="215">
      <c r="A215" s="78">
        <v>50404.0</v>
      </c>
      <c r="B215" s="88" t="s">
        <v>279</v>
      </c>
      <c r="C215" s="79">
        <v>4273.0</v>
      </c>
      <c r="D215" s="79">
        <v>4941.0</v>
      </c>
    </row>
    <row r="216">
      <c r="A216" s="78">
        <v>50405.0</v>
      </c>
      <c r="B216" s="88" t="s">
        <v>280</v>
      </c>
      <c r="C216" s="79">
        <v>5196.0</v>
      </c>
      <c r="D216" s="79">
        <v>6651.0</v>
      </c>
    </row>
    <row r="217">
      <c r="A217" s="78">
        <v>50501.0</v>
      </c>
      <c r="B217" s="88" t="s">
        <v>282</v>
      </c>
      <c r="C217" s="79">
        <v>7642.0</v>
      </c>
      <c r="D217" s="79">
        <v>9719.0</v>
      </c>
    </row>
    <row r="218">
      <c r="A218" s="78">
        <v>50502.0</v>
      </c>
      <c r="B218" s="88" t="s">
        <v>283</v>
      </c>
      <c r="C218" s="79">
        <v>2790.0</v>
      </c>
      <c r="D218" s="79">
        <v>2987.0</v>
      </c>
    </row>
    <row r="219">
      <c r="A219" s="78">
        <v>50601.0</v>
      </c>
      <c r="B219" s="88" t="s">
        <v>285</v>
      </c>
      <c r="C219" s="79">
        <v>6881.0</v>
      </c>
      <c r="D219" s="79">
        <v>5922.0</v>
      </c>
    </row>
    <row r="220">
      <c r="A220" s="78">
        <v>50602.0</v>
      </c>
      <c r="B220" s="88" t="s">
        <v>286</v>
      </c>
      <c r="C220" s="79">
        <v>2179.0</v>
      </c>
      <c r="D220" s="79">
        <v>1999.0</v>
      </c>
    </row>
    <row r="221">
      <c r="A221" s="78">
        <v>50701.0</v>
      </c>
      <c r="B221" s="88" t="s">
        <v>288</v>
      </c>
      <c r="C221" s="79">
        <v>4741.0</v>
      </c>
      <c r="D221" s="79">
        <v>5146.0</v>
      </c>
    </row>
    <row r="222">
      <c r="A222" s="78">
        <v>50702.0</v>
      </c>
      <c r="B222" s="88" t="s">
        <v>289</v>
      </c>
      <c r="C222" s="79">
        <v>2353.0</v>
      </c>
      <c r="D222" s="79">
        <v>3015.0</v>
      </c>
    </row>
    <row r="223">
      <c r="A223" s="78">
        <v>50801.0</v>
      </c>
      <c r="B223" s="88" t="s">
        <v>291</v>
      </c>
      <c r="C223" s="79">
        <v>4811.0</v>
      </c>
      <c r="D223" s="79">
        <v>3211.0</v>
      </c>
    </row>
    <row r="224">
      <c r="A224" s="78">
        <v>50802.0</v>
      </c>
      <c r="B224" s="88" t="s">
        <v>292</v>
      </c>
      <c r="C224" s="79">
        <v>2773.0</v>
      </c>
      <c r="D224" s="79">
        <v>2218.0</v>
      </c>
    </row>
    <row r="225">
      <c r="A225" s="78">
        <v>50901.0</v>
      </c>
      <c r="B225" s="88" t="s">
        <v>294</v>
      </c>
      <c r="C225" s="79">
        <v>2329.0</v>
      </c>
      <c r="D225" s="79">
        <v>1116.0</v>
      </c>
    </row>
    <row r="226">
      <c r="A226" s="78">
        <v>50902.0</v>
      </c>
      <c r="B226" s="88" t="s">
        <v>295</v>
      </c>
      <c r="C226" s="79">
        <v>272.0</v>
      </c>
      <c r="D226" s="79">
        <v>237.0</v>
      </c>
    </row>
    <row r="227">
      <c r="A227" s="78">
        <v>51001.0</v>
      </c>
      <c r="B227" s="88" t="s">
        <v>297</v>
      </c>
      <c r="C227" s="79">
        <v>713.0</v>
      </c>
      <c r="D227" s="79">
        <v>586.0</v>
      </c>
    </row>
    <row r="228">
      <c r="A228" s="78">
        <v>51002.0</v>
      </c>
      <c r="B228" s="88" t="s">
        <v>298</v>
      </c>
      <c r="C228" s="79">
        <v>253.0</v>
      </c>
      <c r="D228" s="79">
        <v>138.0</v>
      </c>
    </row>
    <row r="229">
      <c r="A229" s="78">
        <v>51003.0</v>
      </c>
      <c r="B229" s="88" t="s">
        <v>299</v>
      </c>
      <c r="C229" s="79">
        <v>505.0</v>
      </c>
      <c r="D229" s="79">
        <v>287.0</v>
      </c>
    </row>
    <row r="230">
      <c r="A230" s="78">
        <v>51101.0</v>
      </c>
      <c r="B230" s="88" t="s">
        <v>301</v>
      </c>
      <c r="C230" s="79">
        <v>5022.0</v>
      </c>
      <c r="D230" s="79">
        <v>3094.0</v>
      </c>
    </row>
    <row r="231">
      <c r="A231" s="78">
        <v>51102.0</v>
      </c>
      <c r="B231" s="88" t="s">
        <v>302</v>
      </c>
      <c r="C231" s="79">
        <v>2550.0</v>
      </c>
      <c r="D231" s="79">
        <v>2130.0</v>
      </c>
    </row>
    <row r="232">
      <c r="A232" s="78">
        <v>51103.0</v>
      </c>
      <c r="B232" s="88" t="s">
        <v>303</v>
      </c>
      <c r="C232" s="79">
        <v>3571.0</v>
      </c>
      <c r="D232" s="79">
        <v>3445.0</v>
      </c>
    </row>
    <row r="233">
      <c r="A233" s="78">
        <v>51201.0</v>
      </c>
      <c r="B233" s="88" t="s">
        <v>305</v>
      </c>
      <c r="C233" s="79">
        <v>5733.0</v>
      </c>
      <c r="D233" s="79">
        <v>4646.0</v>
      </c>
    </row>
    <row r="234">
      <c r="A234" s="78">
        <v>51202.0</v>
      </c>
      <c r="B234" s="88" t="s">
        <v>306</v>
      </c>
      <c r="C234" s="79">
        <v>2866.0</v>
      </c>
      <c r="D234" s="79">
        <v>2429.0</v>
      </c>
    </row>
    <row r="235">
      <c r="A235" s="78">
        <v>51203.0</v>
      </c>
      <c r="B235" s="88" t="s">
        <v>307</v>
      </c>
      <c r="C235" s="79">
        <v>1268.0</v>
      </c>
      <c r="D235" s="79">
        <v>1160.0</v>
      </c>
    </row>
    <row r="236">
      <c r="A236" s="78">
        <v>51204.0</v>
      </c>
      <c r="B236" s="88" t="s">
        <v>308</v>
      </c>
      <c r="C236" s="79">
        <v>1927.0</v>
      </c>
      <c r="D236" s="79">
        <v>1832.0</v>
      </c>
    </row>
    <row r="237">
      <c r="A237" s="78">
        <v>51301.0</v>
      </c>
      <c r="B237" s="88" t="s">
        <v>310</v>
      </c>
      <c r="C237" s="79">
        <v>1050.0</v>
      </c>
      <c r="D237" s="79">
        <v>1024.0</v>
      </c>
    </row>
    <row r="238">
      <c r="A238" s="78">
        <v>51302.0</v>
      </c>
      <c r="B238" s="88" t="s">
        <v>311</v>
      </c>
      <c r="C238" s="79">
        <v>1497.0</v>
      </c>
      <c r="D238" s="79">
        <v>1391.0</v>
      </c>
    </row>
    <row r="239">
      <c r="A239" s="78">
        <v>51401.0</v>
      </c>
      <c r="B239" s="88" t="s">
        <v>313</v>
      </c>
      <c r="C239" s="79">
        <v>1143.0</v>
      </c>
      <c r="D239" s="79">
        <v>825.0</v>
      </c>
    </row>
    <row r="240">
      <c r="A240" s="78">
        <v>51402.0</v>
      </c>
      <c r="B240" s="88" t="s">
        <v>314</v>
      </c>
      <c r="C240" s="79">
        <v>625.0</v>
      </c>
      <c r="D240" s="79">
        <v>490.0</v>
      </c>
    </row>
    <row r="241">
      <c r="A241" s="78">
        <v>51501.0</v>
      </c>
      <c r="B241" s="88" t="s">
        <v>316</v>
      </c>
      <c r="C241" s="79">
        <v>3131.0</v>
      </c>
      <c r="D241" s="79">
        <v>1677.0</v>
      </c>
    </row>
    <row r="242">
      <c r="A242" s="78">
        <v>51601.0</v>
      </c>
      <c r="B242" s="88" t="s">
        <v>318</v>
      </c>
      <c r="C242" s="79">
        <v>363.0</v>
      </c>
      <c r="D242" s="79">
        <v>219.0</v>
      </c>
    </row>
    <row r="243">
      <c r="A243" s="78">
        <v>60101.0</v>
      </c>
      <c r="B243" s="88" t="s">
        <v>319</v>
      </c>
      <c r="C243" s="79">
        <v>7002.0</v>
      </c>
      <c r="D243" s="79">
        <v>3483.0</v>
      </c>
    </row>
    <row r="244">
      <c r="A244" s="78">
        <v>60201.0</v>
      </c>
      <c r="B244" s="88" t="s">
        <v>321</v>
      </c>
      <c r="C244" s="79">
        <v>2457.0</v>
      </c>
      <c r="D244" s="79">
        <v>1729.0</v>
      </c>
    </row>
    <row r="245">
      <c r="A245" s="78">
        <v>60202.0</v>
      </c>
      <c r="B245" s="88" t="s">
        <v>322</v>
      </c>
      <c r="C245" s="79">
        <v>936.0</v>
      </c>
      <c r="D245" s="79">
        <v>404.0</v>
      </c>
    </row>
    <row r="246">
      <c r="A246" s="78">
        <v>60301.0</v>
      </c>
      <c r="B246" s="88" t="s">
        <v>324</v>
      </c>
      <c r="C246" s="79">
        <v>3067.0</v>
      </c>
      <c r="D246" s="79">
        <v>1636.0</v>
      </c>
    </row>
    <row r="247">
      <c r="A247" s="78">
        <v>60302.0</v>
      </c>
      <c r="B247" s="88" t="s">
        <v>325</v>
      </c>
      <c r="C247" s="79">
        <v>638.0</v>
      </c>
      <c r="D247" s="79">
        <v>578.0</v>
      </c>
    </row>
    <row r="248">
      <c r="A248" s="78">
        <v>60303.0</v>
      </c>
      <c r="B248" s="88" t="s">
        <v>326</v>
      </c>
      <c r="C248" s="79">
        <v>1720.0</v>
      </c>
      <c r="D248" s="79">
        <v>1173.0</v>
      </c>
    </row>
    <row r="249">
      <c r="A249" s="78">
        <v>60401.0</v>
      </c>
      <c r="B249" s="88" t="s">
        <v>328</v>
      </c>
      <c r="C249" s="79">
        <v>1580.0</v>
      </c>
      <c r="D249" s="79">
        <v>990.0</v>
      </c>
    </row>
    <row r="250">
      <c r="A250" s="78">
        <v>60402.0</v>
      </c>
      <c r="B250" s="88" t="s">
        <v>329</v>
      </c>
      <c r="C250" s="79">
        <v>388.0</v>
      </c>
      <c r="D250" s="79">
        <v>333.0</v>
      </c>
    </row>
    <row r="251">
      <c r="A251" s="78">
        <v>60501.0</v>
      </c>
      <c r="B251" s="88" t="s">
        <v>331</v>
      </c>
      <c r="C251" s="79">
        <v>2319.0</v>
      </c>
      <c r="D251" s="79">
        <v>1791.0</v>
      </c>
    </row>
    <row r="252">
      <c r="A252" s="78">
        <v>60502.0</v>
      </c>
      <c r="B252" s="88" t="s">
        <v>332</v>
      </c>
      <c r="C252" s="79">
        <v>719.0</v>
      </c>
      <c r="D252" s="79">
        <v>495.0</v>
      </c>
    </row>
    <row r="253">
      <c r="A253" s="78">
        <v>60601.0</v>
      </c>
      <c r="B253" s="88" t="s">
        <v>203</v>
      </c>
      <c r="C253" s="79">
        <v>2148.0</v>
      </c>
      <c r="D253" s="79">
        <v>1686.0</v>
      </c>
    </row>
    <row r="254">
      <c r="A254" s="78">
        <v>70101.0</v>
      </c>
      <c r="B254" s="88" t="s">
        <v>336</v>
      </c>
      <c r="C254" s="79">
        <v>12301.0</v>
      </c>
      <c r="D254" s="79">
        <v>5366.0</v>
      </c>
    </row>
    <row r="255">
      <c r="A255" s="78">
        <v>70102.0</v>
      </c>
      <c r="B255" s="88" t="s">
        <v>337</v>
      </c>
      <c r="C255" s="79">
        <v>2501.0</v>
      </c>
      <c r="D255" s="79">
        <v>1684.0</v>
      </c>
    </row>
    <row r="256">
      <c r="A256" s="78">
        <v>70103.0</v>
      </c>
      <c r="B256" s="88" t="s">
        <v>338</v>
      </c>
      <c r="C256" s="79">
        <v>954.0</v>
      </c>
      <c r="D256" s="79">
        <v>551.0</v>
      </c>
    </row>
    <row r="257">
      <c r="A257" s="78">
        <v>70104.0</v>
      </c>
      <c r="B257" s="88" t="s">
        <v>339</v>
      </c>
      <c r="C257" s="79">
        <v>1766.0</v>
      </c>
      <c r="D257" s="79">
        <v>1204.0</v>
      </c>
    </row>
    <row r="258">
      <c r="A258" s="78">
        <v>70105.0</v>
      </c>
      <c r="B258" s="88" t="s">
        <v>340</v>
      </c>
      <c r="C258" s="79">
        <v>2564.0</v>
      </c>
      <c r="D258" s="79">
        <v>1723.0</v>
      </c>
    </row>
    <row r="259">
      <c r="A259" s="78">
        <v>70201.0</v>
      </c>
      <c r="B259" s="88" t="s">
        <v>341</v>
      </c>
      <c r="C259" s="79">
        <v>4040.0</v>
      </c>
      <c r="D259" s="79">
        <v>2167.0</v>
      </c>
    </row>
    <row r="260">
      <c r="A260" s="78">
        <v>70202.0</v>
      </c>
      <c r="B260" s="88" t="s">
        <v>342</v>
      </c>
      <c r="C260" s="79">
        <v>276.0</v>
      </c>
      <c r="D260" s="79">
        <v>110.0</v>
      </c>
    </row>
    <row r="261">
      <c r="A261" s="78">
        <v>70301.0</v>
      </c>
      <c r="B261" s="88" t="s">
        <v>344</v>
      </c>
      <c r="C261" s="79">
        <v>817.0</v>
      </c>
      <c r="D261" s="79">
        <v>1843.0</v>
      </c>
    </row>
    <row r="262">
      <c r="A262" s="78">
        <v>70302.0</v>
      </c>
      <c r="B262" s="88" t="s">
        <v>345</v>
      </c>
      <c r="C262" s="79">
        <v>376.0</v>
      </c>
      <c r="D262" s="79">
        <v>859.0</v>
      </c>
    </row>
    <row r="263">
      <c r="A263" s="78">
        <v>70303.0</v>
      </c>
      <c r="B263" s="88" t="s">
        <v>346</v>
      </c>
      <c r="C263" s="79">
        <v>152.0</v>
      </c>
      <c r="D263" s="79">
        <v>993.0</v>
      </c>
    </row>
    <row r="264">
      <c r="A264" s="78">
        <v>70401.0</v>
      </c>
      <c r="B264" s="88" t="s">
        <v>348</v>
      </c>
      <c r="C264" s="79">
        <v>665.0</v>
      </c>
      <c r="D264" s="79">
        <v>364.0</v>
      </c>
    </row>
    <row r="265">
      <c r="A265" s="78">
        <v>70402.0</v>
      </c>
      <c r="B265" s="88" t="s">
        <v>349</v>
      </c>
      <c r="C265" s="79">
        <v>1039.0</v>
      </c>
      <c r="D265" s="79">
        <v>691.0</v>
      </c>
    </row>
    <row r="266">
      <c r="A266" s="78">
        <v>70403.0</v>
      </c>
      <c r="B266" s="88" t="s">
        <v>350</v>
      </c>
      <c r="C266" s="79">
        <v>5604.0</v>
      </c>
      <c r="D266" s="79">
        <v>5938.0</v>
      </c>
    </row>
    <row r="267">
      <c r="A267" s="78">
        <v>70404.0</v>
      </c>
      <c r="B267" s="88" t="s">
        <v>351</v>
      </c>
      <c r="C267" s="79">
        <v>478.0</v>
      </c>
      <c r="D267" s="79">
        <v>568.0</v>
      </c>
    </row>
    <row r="268">
      <c r="A268" s="78">
        <v>70501.0</v>
      </c>
      <c r="B268" s="88" t="s">
        <v>353</v>
      </c>
      <c r="C268" s="79">
        <v>413.0</v>
      </c>
      <c r="D268" s="79">
        <v>3011.0</v>
      </c>
    </row>
    <row r="269">
      <c r="A269" s="78">
        <v>70502.0</v>
      </c>
      <c r="B269" s="88" t="s">
        <v>354</v>
      </c>
      <c r="C269" s="79">
        <v>671.0</v>
      </c>
      <c r="D269" s="79">
        <v>1323.0</v>
      </c>
    </row>
    <row r="270">
      <c r="A270" s="78">
        <v>70503.0</v>
      </c>
      <c r="B270" s="88" t="s">
        <v>355</v>
      </c>
      <c r="C270" s="79">
        <v>444.0</v>
      </c>
      <c r="D270" s="79">
        <v>465.0</v>
      </c>
    </row>
    <row r="271">
      <c r="A271" s="78">
        <v>70601.0</v>
      </c>
      <c r="B271" s="88" t="s">
        <v>357</v>
      </c>
      <c r="C271" s="79">
        <v>487.0</v>
      </c>
      <c r="D271" s="79">
        <v>173.0</v>
      </c>
    </row>
    <row r="272">
      <c r="A272" s="78">
        <v>70602.0</v>
      </c>
      <c r="B272" s="88" t="s">
        <v>358</v>
      </c>
      <c r="C272" s="79">
        <v>1702.0</v>
      </c>
      <c r="D272" s="79">
        <v>1088.0</v>
      </c>
    </row>
    <row r="273">
      <c r="A273" s="78">
        <v>70603.0</v>
      </c>
      <c r="B273" s="88" t="s">
        <v>359</v>
      </c>
      <c r="C273" s="79">
        <v>201.0</v>
      </c>
      <c r="D273" s="79">
        <v>113.0</v>
      </c>
    </row>
    <row r="274">
      <c r="A274" s="78">
        <v>70701.0</v>
      </c>
      <c r="B274" s="88" t="s">
        <v>361</v>
      </c>
      <c r="C274" s="79">
        <v>450.0</v>
      </c>
      <c r="D274" s="79">
        <v>225.0</v>
      </c>
    </row>
    <row r="275">
      <c r="A275" s="78">
        <v>70702.0</v>
      </c>
      <c r="B275" s="88" t="s">
        <v>362</v>
      </c>
      <c r="C275" s="79">
        <v>1945.0</v>
      </c>
      <c r="D275" s="79">
        <v>1814.0</v>
      </c>
    </row>
    <row r="276">
      <c r="A276" s="78">
        <v>70703.0</v>
      </c>
      <c r="B276" s="88" t="s">
        <v>363</v>
      </c>
      <c r="C276" s="79">
        <v>1314.0</v>
      </c>
      <c r="D276" s="79">
        <v>1082.0</v>
      </c>
    </row>
    <row r="277">
      <c r="A277" s="78">
        <v>70704.0</v>
      </c>
      <c r="B277" s="88" t="s">
        <v>364</v>
      </c>
      <c r="C277" s="79">
        <v>354.0</v>
      </c>
      <c r="D277" s="79">
        <v>184.0</v>
      </c>
    </row>
    <row r="278">
      <c r="A278" s="78">
        <v>70705.0</v>
      </c>
      <c r="B278" s="88" t="s">
        <v>365</v>
      </c>
      <c r="C278" s="79">
        <v>1119.0</v>
      </c>
      <c r="D278" s="79">
        <v>761.0</v>
      </c>
    </row>
    <row r="279">
      <c r="A279" s="78">
        <v>70706.0</v>
      </c>
      <c r="B279" s="88" t="s">
        <v>366</v>
      </c>
      <c r="C279" s="79">
        <v>804.0</v>
      </c>
      <c r="D279" s="79">
        <v>636.0</v>
      </c>
    </row>
    <row r="280">
      <c r="A280" s="78">
        <v>70707.0</v>
      </c>
      <c r="B280" s="88" t="s">
        <v>367</v>
      </c>
      <c r="C280" s="79">
        <v>230.0</v>
      </c>
      <c r="D280" s="79">
        <v>93.0</v>
      </c>
    </row>
    <row r="281">
      <c r="A281" s="78">
        <v>70801.0</v>
      </c>
      <c r="B281" s="88" t="s">
        <v>369</v>
      </c>
      <c r="C281" s="79">
        <v>1775.0</v>
      </c>
      <c r="D281" s="79">
        <v>1267.0</v>
      </c>
    </row>
    <row r="282">
      <c r="A282" s="78">
        <v>70802.0</v>
      </c>
      <c r="B282" s="88" t="s">
        <v>370</v>
      </c>
      <c r="C282" s="79">
        <v>191.0</v>
      </c>
      <c r="D282" s="79">
        <v>104.0</v>
      </c>
    </row>
    <row r="283">
      <c r="A283" s="78">
        <v>70803.0</v>
      </c>
      <c r="B283" s="88" t="s">
        <v>371</v>
      </c>
      <c r="C283" s="79">
        <v>389.0</v>
      </c>
      <c r="D283" s="79">
        <v>324.0</v>
      </c>
    </row>
    <row r="284">
      <c r="A284" s="78">
        <v>70804.0</v>
      </c>
      <c r="B284" s="88" t="s">
        <v>372</v>
      </c>
      <c r="C284" s="79">
        <v>355.0</v>
      </c>
      <c r="D284" s="79">
        <v>208.0</v>
      </c>
    </row>
    <row r="285">
      <c r="A285" s="78">
        <v>70805.0</v>
      </c>
      <c r="B285" s="88" t="s">
        <v>373</v>
      </c>
      <c r="C285" s="79">
        <v>444.0</v>
      </c>
      <c r="D285" s="79">
        <v>318.0</v>
      </c>
    </row>
    <row r="286">
      <c r="A286" s="78">
        <v>70901.0</v>
      </c>
      <c r="B286" s="88" t="s">
        <v>375</v>
      </c>
      <c r="C286" s="79">
        <v>975.0</v>
      </c>
      <c r="D286" s="79">
        <v>670.0</v>
      </c>
    </row>
    <row r="287">
      <c r="A287" s="78">
        <v>70902.0</v>
      </c>
      <c r="B287" s="88" t="s">
        <v>376</v>
      </c>
      <c r="C287" s="79">
        <v>724.0</v>
      </c>
      <c r="D287" s="79">
        <v>462.0</v>
      </c>
    </row>
    <row r="288">
      <c r="A288" s="78">
        <v>70903.0</v>
      </c>
      <c r="B288" s="88" t="s">
        <v>377</v>
      </c>
      <c r="C288" s="79">
        <v>574.0</v>
      </c>
      <c r="D288" s="79">
        <v>679.0</v>
      </c>
    </row>
    <row r="289">
      <c r="A289" s="78">
        <v>70904.0</v>
      </c>
      <c r="B289" s="88" t="s">
        <v>378</v>
      </c>
      <c r="C289" s="79">
        <v>275.0</v>
      </c>
      <c r="D289" s="79">
        <v>201.0</v>
      </c>
    </row>
    <row r="290">
      <c r="A290" s="78">
        <v>71001.0</v>
      </c>
      <c r="B290" s="88" t="s">
        <v>380</v>
      </c>
      <c r="C290" s="79">
        <v>2700.0</v>
      </c>
      <c r="D290" s="79">
        <v>1250.0</v>
      </c>
    </row>
    <row r="291">
      <c r="A291" s="78">
        <v>71002.0</v>
      </c>
      <c r="B291" s="88" t="s">
        <v>381</v>
      </c>
      <c r="C291" s="79">
        <v>629.0</v>
      </c>
      <c r="D291" s="79">
        <v>444.0</v>
      </c>
    </row>
    <row r="292">
      <c r="A292" s="78">
        <v>71003.0</v>
      </c>
      <c r="B292" s="88" t="s">
        <v>382</v>
      </c>
      <c r="C292" s="79">
        <v>906.0</v>
      </c>
      <c r="D292" s="79">
        <v>420.0</v>
      </c>
    </row>
    <row r="293">
      <c r="A293" s="78">
        <v>71004.0</v>
      </c>
      <c r="B293" s="88" t="s">
        <v>383</v>
      </c>
      <c r="C293" s="79">
        <v>570.0</v>
      </c>
      <c r="D293" s="79">
        <v>427.0</v>
      </c>
    </row>
    <row r="294">
      <c r="A294" s="78">
        <v>71005.0</v>
      </c>
      <c r="B294" s="88" t="s">
        <v>282</v>
      </c>
      <c r="C294" s="79">
        <v>294.0</v>
      </c>
      <c r="D294" s="79">
        <v>289.0</v>
      </c>
    </row>
    <row r="295">
      <c r="A295" s="78">
        <v>71101.0</v>
      </c>
      <c r="B295" s="88" t="s">
        <v>385</v>
      </c>
      <c r="C295" s="79">
        <v>704.0</v>
      </c>
      <c r="D295" s="79">
        <v>1654.0</v>
      </c>
    </row>
    <row r="296">
      <c r="A296" s="78">
        <v>71102.0</v>
      </c>
      <c r="B296" s="88" t="s">
        <v>386</v>
      </c>
      <c r="C296" s="79">
        <v>461.0</v>
      </c>
      <c r="D296" s="79">
        <v>309.0</v>
      </c>
    </row>
    <row r="297">
      <c r="A297" s="78">
        <v>71103.0</v>
      </c>
      <c r="B297" s="88" t="s">
        <v>389</v>
      </c>
      <c r="C297" s="79">
        <v>335.0</v>
      </c>
      <c r="D297" s="79">
        <v>270.0</v>
      </c>
    </row>
    <row r="298">
      <c r="A298" s="78">
        <v>71104.0</v>
      </c>
      <c r="B298" s="88" t="s">
        <v>387</v>
      </c>
      <c r="C298" s="79">
        <v>2876.0</v>
      </c>
      <c r="D298" s="79">
        <v>1872.0</v>
      </c>
    </row>
    <row r="299">
      <c r="A299" s="78">
        <v>71105.0</v>
      </c>
      <c r="B299" s="88" t="s">
        <v>388</v>
      </c>
      <c r="C299" s="79">
        <v>185.0</v>
      </c>
      <c r="D299" s="79">
        <v>112.0</v>
      </c>
    </row>
    <row r="300">
      <c r="A300" s="78">
        <v>71106.0</v>
      </c>
      <c r="B300" s="88" t="s">
        <v>390</v>
      </c>
      <c r="C300" s="79">
        <v>807.0</v>
      </c>
      <c r="D300" s="79">
        <v>490.0</v>
      </c>
    </row>
    <row r="301">
      <c r="A301" s="78">
        <v>71201.0</v>
      </c>
      <c r="B301" s="88" t="s">
        <v>392</v>
      </c>
      <c r="C301" s="79">
        <v>417.0</v>
      </c>
      <c r="D301" s="79">
        <v>313.0</v>
      </c>
    </row>
    <row r="302">
      <c r="A302" s="78">
        <v>71301.0</v>
      </c>
      <c r="B302" s="88" t="s">
        <v>394</v>
      </c>
      <c r="C302" s="79">
        <v>1506.0</v>
      </c>
      <c r="D302" s="79">
        <v>1417.0</v>
      </c>
    </row>
    <row r="303">
      <c r="A303" s="78">
        <v>71302.0</v>
      </c>
      <c r="B303" s="88" t="s">
        <v>395</v>
      </c>
      <c r="C303" s="79">
        <v>638.0</v>
      </c>
      <c r="D303" s="79">
        <v>328.0</v>
      </c>
    </row>
    <row r="304">
      <c r="A304" s="78">
        <v>71401.0</v>
      </c>
      <c r="B304" s="88" t="s">
        <v>397</v>
      </c>
      <c r="C304" s="79">
        <v>539.0</v>
      </c>
      <c r="D304" s="79">
        <v>338.0</v>
      </c>
    </row>
    <row r="305">
      <c r="A305" s="78">
        <v>71402.0</v>
      </c>
      <c r="B305" s="88" t="s">
        <v>398</v>
      </c>
      <c r="C305" s="79">
        <v>298.0</v>
      </c>
      <c r="D305" s="79">
        <v>152.0</v>
      </c>
    </row>
    <row r="306">
      <c r="A306" s="78">
        <v>71403.0</v>
      </c>
      <c r="B306" s="88" t="s">
        <v>399</v>
      </c>
      <c r="C306" s="79">
        <v>249.0</v>
      </c>
      <c r="D306" s="79">
        <v>419.0</v>
      </c>
    </row>
    <row r="307">
      <c r="A307" s="78">
        <v>71501.0</v>
      </c>
      <c r="B307" s="88" t="s">
        <v>401</v>
      </c>
      <c r="C307" s="79">
        <v>822.0</v>
      </c>
      <c r="D307" s="79">
        <v>2084.0</v>
      </c>
    </row>
    <row r="308">
      <c r="A308" s="78">
        <v>71502.0</v>
      </c>
      <c r="B308" s="88" t="s">
        <v>402</v>
      </c>
      <c r="C308" s="79">
        <v>117.0</v>
      </c>
      <c r="D308" s="79">
        <v>211.0</v>
      </c>
    </row>
    <row r="309">
      <c r="A309" s="78">
        <v>71503.0</v>
      </c>
      <c r="B309" s="88" t="s">
        <v>332</v>
      </c>
      <c r="C309" s="79">
        <v>1757.0</v>
      </c>
      <c r="D309" s="79">
        <v>1719.0</v>
      </c>
    </row>
    <row r="310">
      <c r="A310" s="78">
        <v>80101.0</v>
      </c>
      <c r="B310" s="88" t="s">
        <v>404</v>
      </c>
      <c r="C310" s="79">
        <v>2261.0</v>
      </c>
      <c r="D310" s="79">
        <v>1363.0</v>
      </c>
    </row>
    <row r="311">
      <c r="A311" s="78">
        <v>80102.0</v>
      </c>
      <c r="B311" s="88" t="s">
        <v>386</v>
      </c>
      <c r="C311" s="79">
        <v>187.0</v>
      </c>
      <c r="D311" s="79">
        <v>334.0</v>
      </c>
    </row>
    <row r="312">
      <c r="A312" s="78">
        <v>80201.0</v>
      </c>
      <c r="B312" s="88" t="s">
        <v>406</v>
      </c>
      <c r="C312" s="79">
        <v>1545.0</v>
      </c>
      <c r="D312" s="79">
        <v>1209.0</v>
      </c>
    </row>
    <row r="313">
      <c r="A313" s="78">
        <v>80202.0</v>
      </c>
      <c r="B313" s="88" t="s">
        <v>407</v>
      </c>
      <c r="C313" s="79">
        <v>632.0</v>
      </c>
      <c r="D313" s="79">
        <v>517.0</v>
      </c>
    </row>
    <row r="314">
      <c r="A314" s="78">
        <v>80301.0</v>
      </c>
      <c r="B314" s="88" t="s">
        <v>409</v>
      </c>
      <c r="C314" s="79">
        <v>465.0</v>
      </c>
      <c r="D314" s="79">
        <v>241.0</v>
      </c>
    </row>
    <row r="315">
      <c r="A315" s="78">
        <v>80302.0</v>
      </c>
      <c r="B315" s="88" t="s">
        <v>410</v>
      </c>
      <c r="C315" s="79">
        <v>3556.0</v>
      </c>
      <c r="D315" s="79">
        <v>3570.0</v>
      </c>
    </row>
    <row r="316">
      <c r="A316" s="78">
        <v>80303.0</v>
      </c>
      <c r="B316" s="88" t="s">
        <v>358</v>
      </c>
      <c r="C316" s="79">
        <v>144.0</v>
      </c>
      <c r="D316" s="79">
        <v>119.0</v>
      </c>
    </row>
    <row r="317">
      <c r="A317" s="78">
        <v>80304.0</v>
      </c>
      <c r="B317" s="88" t="s">
        <v>411</v>
      </c>
      <c r="C317" s="79">
        <v>1214.0</v>
      </c>
      <c r="D317" s="79">
        <v>1374.0</v>
      </c>
    </row>
    <row r="318">
      <c r="A318" s="78">
        <v>80401.0</v>
      </c>
      <c r="B318" s="88" t="s">
        <v>413</v>
      </c>
      <c r="C318" s="79">
        <v>414.0</v>
      </c>
      <c r="D318" s="79">
        <v>402.0</v>
      </c>
    </row>
    <row r="319">
      <c r="A319" s="78">
        <v>80402.0</v>
      </c>
      <c r="B319" s="88" t="s">
        <v>414</v>
      </c>
      <c r="C319" s="79">
        <v>170.0</v>
      </c>
      <c r="D319" s="79">
        <v>122.0</v>
      </c>
    </row>
    <row r="320">
      <c r="A320" s="78">
        <v>80501.0</v>
      </c>
      <c r="B320" s="88" t="s">
        <v>344</v>
      </c>
      <c r="C320" s="79">
        <v>862.0</v>
      </c>
      <c r="D320" s="79">
        <v>685.0</v>
      </c>
    </row>
    <row r="321">
      <c r="A321" s="78">
        <v>80601.0</v>
      </c>
      <c r="B321" s="88" t="s">
        <v>417</v>
      </c>
      <c r="C321" s="79">
        <v>143.0</v>
      </c>
      <c r="D321" s="79">
        <v>128.0</v>
      </c>
    </row>
    <row r="322">
      <c r="A322" s="78">
        <v>80602.0</v>
      </c>
      <c r="B322" s="88" t="s">
        <v>418</v>
      </c>
      <c r="C322" s="79">
        <v>686.0</v>
      </c>
      <c r="D322" s="79">
        <v>1517.0</v>
      </c>
    </row>
    <row r="323">
      <c r="A323" s="78">
        <v>80701.0</v>
      </c>
      <c r="B323" s="88" t="s">
        <v>420</v>
      </c>
      <c r="C323" s="79">
        <v>71.0</v>
      </c>
      <c r="D323" s="79">
        <v>53.0</v>
      </c>
    </row>
    <row r="324">
      <c r="A324" s="78">
        <v>80702.0</v>
      </c>
      <c r="B324" s="88" t="s">
        <v>389</v>
      </c>
      <c r="C324" s="79">
        <v>92.0</v>
      </c>
      <c r="D324" s="79">
        <v>261.0</v>
      </c>
    </row>
    <row r="325">
      <c r="A325" s="78">
        <v>80703.0</v>
      </c>
      <c r="B325" s="88" t="s">
        <v>421</v>
      </c>
      <c r="C325" s="79">
        <v>26.0</v>
      </c>
      <c r="D325" s="79">
        <v>32.0</v>
      </c>
    </row>
    <row r="326">
      <c r="A326" s="78">
        <v>80801.0</v>
      </c>
      <c r="B326" s="88" t="s">
        <v>423</v>
      </c>
      <c r="C326" s="79">
        <v>142.0</v>
      </c>
      <c r="D326" s="79">
        <v>130.0</v>
      </c>
    </row>
    <row r="327">
      <c r="A327" s="78">
        <v>80802.0</v>
      </c>
      <c r="B327" s="88" t="s">
        <v>424</v>
      </c>
      <c r="C327" s="79">
        <v>226.0</v>
      </c>
      <c r="D327" s="79">
        <v>300.0</v>
      </c>
    </row>
    <row r="328">
      <c r="A328" s="78">
        <v>80803.0</v>
      </c>
      <c r="B328" s="88" t="s">
        <v>425</v>
      </c>
      <c r="C328" s="79">
        <v>120.0</v>
      </c>
      <c r="D328" s="79">
        <v>46.0</v>
      </c>
    </row>
    <row r="329">
      <c r="A329" s="78">
        <v>80901.0</v>
      </c>
      <c r="B329" s="88" t="s">
        <v>427</v>
      </c>
      <c r="C329" s="79">
        <v>182.0</v>
      </c>
      <c r="D329" s="79">
        <v>285.0</v>
      </c>
    </row>
    <row r="330">
      <c r="A330" s="78">
        <v>90101.0</v>
      </c>
      <c r="B330" s="88" t="s">
        <v>430</v>
      </c>
      <c r="C330" s="79">
        <v>1099.0</v>
      </c>
      <c r="D330" s="79">
        <v>485.0</v>
      </c>
    </row>
    <row r="331">
      <c r="A331" s="78">
        <v>90102.0</v>
      </c>
      <c r="B331" s="88" t="s">
        <v>431</v>
      </c>
      <c r="C331" s="79">
        <v>133.0</v>
      </c>
      <c r="D331" s="79">
        <v>134.0</v>
      </c>
    </row>
    <row r="332">
      <c r="A332" s="78">
        <v>90103.0</v>
      </c>
      <c r="B332" s="88" t="s">
        <v>432</v>
      </c>
      <c r="C332" s="79">
        <v>164.0</v>
      </c>
      <c r="D332" s="79">
        <v>122.0</v>
      </c>
    </row>
    <row r="333">
      <c r="A333" s="78">
        <v>90104.0</v>
      </c>
      <c r="B333" s="88" t="s">
        <v>433</v>
      </c>
      <c r="C333" s="79">
        <v>268.0</v>
      </c>
      <c r="D333" s="79">
        <v>171.0</v>
      </c>
    </row>
    <row r="334">
      <c r="A334" s="78">
        <v>90201.0</v>
      </c>
      <c r="B334" s="88" t="s">
        <v>435</v>
      </c>
      <c r="C334" s="79">
        <v>164.0</v>
      </c>
      <c r="D334" s="79">
        <v>81.0</v>
      </c>
    </row>
    <row r="335">
      <c r="A335" s="78">
        <v>90202.0</v>
      </c>
      <c r="B335" s="88" t="s">
        <v>282</v>
      </c>
      <c r="C335" s="79">
        <v>227.0</v>
      </c>
      <c r="D335" s="79">
        <v>45.0</v>
      </c>
    </row>
    <row r="336">
      <c r="A336" s="78">
        <v>90203.0</v>
      </c>
      <c r="B336" s="88" t="s">
        <v>436</v>
      </c>
      <c r="C336" s="79">
        <v>294.0</v>
      </c>
      <c r="D336" s="79">
        <v>256.0</v>
      </c>
    </row>
    <row r="337">
      <c r="A337" s="78">
        <v>90301.0</v>
      </c>
      <c r="B337" s="88" t="s">
        <v>438</v>
      </c>
      <c r="C337" s="79">
        <v>157.0</v>
      </c>
      <c r="D337" s="79">
        <v>288.0</v>
      </c>
    </row>
    <row r="338">
      <c r="A338" s="78">
        <v>90302.0</v>
      </c>
      <c r="B338" s="88" t="s">
        <v>331</v>
      </c>
      <c r="C338" s="79">
        <v>286.0</v>
      </c>
      <c r="D338" s="79">
        <v>108.0</v>
      </c>
    </row>
    <row r="339">
      <c r="A339" s="78">
        <v>90303.0</v>
      </c>
      <c r="B339" s="88" t="s">
        <v>439</v>
      </c>
      <c r="C339" s="79">
        <v>648.0</v>
      </c>
      <c r="D339" s="79">
        <v>215.0</v>
      </c>
    </row>
    <row r="340">
      <c r="A340" s="78">
        <v>90401.0</v>
      </c>
      <c r="B340" s="88" t="s">
        <v>358</v>
      </c>
      <c r="C340" s="79">
        <v>147.0</v>
      </c>
      <c r="D340" s="79">
        <v>74.0</v>
      </c>
    </row>
    <row r="341">
      <c r="A341" s="78">
        <v>90402.0</v>
      </c>
      <c r="B341" s="88" t="s">
        <v>101</v>
      </c>
      <c r="C341" s="79">
        <v>73.0</v>
      </c>
      <c r="D341" s="79">
        <v>75.0</v>
      </c>
    </row>
    <row r="342">
      <c r="A342" s="78">
        <v>90501.0</v>
      </c>
      <c r="B342" s="88" t="s">
        <v>442</v>
      </c>
      <c r="C342" s="79">
        <v>145.0</v>
      </c>
      <c r="D342" s="79">
        <v>38.0</v>
      </c>
    </row>
    <row r="343">
      <c r="A343" s="78">
        <v>90502.0</v>
      </c>
      <c r="B343" s="88" t="s">
        <v>443</v>
      </c>
      <c r="C343" s="79">
        <v>140.0</v>
      </c>
      <c r="D343" s="79">
        <v>31.0</v>
      </c>
    </row>
    <row r="344">
      <c r="A344" s="78">
        <v>90503.0</v>
      </c>
      <c r="B344" s="88" t="s">
        <v>444</v>
      </c>
      <c r="C344" s="79">
        <v>100.0</v>
      </c>
      <c r="D344" s="79">
        <v>36.0</v>
      </c>
    </row>
  </sheetData>
  <autoFilter ref="$A$1:$D$344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7" t="s">
        <v>537</v>
      </c>
      <c r="B1" s="77" t="s">
        <v>17</v>
      </c>
      <c r="C1" s="77" t="s">
        <v>533</v>
      </c>
      <c r="D1" s="77" t="s">
        <v>534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93">
        <v>1.0</v>
      </c>
      <c r="B2" s="78" t="s">
        <v>18</v>
      </c>
      <c r="C2" s="80">
        <v>43.4958456</v>
      </c>
      <c r="D2" s="80">
        <v>28.6053339</v>
      </c>
    </row>
    <row r="3">
      <c r="A3" s="93">
        <v>2.0</v>
      </c>
      <c r="B3" s="78" t="s">
        <v>56</v>
      </c>
      <c r="C3" s="80">
        <v>34.785643</v>
      </c>
      <c r="D3" s="80">
        <v>23.1393912</v>
      </c>
    </row>
    <row r="4">
      <c r="A4" s="93">
        <v>3.0</v>
      </c>
      <c r="B4" s="78" t="s">
        <v>162</v>
      </c>
      <c r="C4" s="80">
        <v>29.8936524</v>
      </c>
      <c r="D4" s="80">
        <v>20.6638185</v>
      </c>
    </row>
    <row r="5">
      <c r="A5" s="93">
        <v>4.0</v>
      </c>
      <c r="B5" s="78" t="s">
        <v>216</v>
      </c>
      <c r="C5" s="80">
        <v>52.8932468</v>
      </c>
      <c r="D5" s="80">
        <v>36.2962304</v>
      </c>
    </row>
    <row r="6">
      <c r="A6" s="93">
        <v>5.0</v>
      </c>
      <c r="B6" s="78" t="s">
        <v>262</v>
      </c>
      <c r="C6" s="80">
        <v>58.6528382</v>
      </c>
      <c r="D6" s="80">
        <v>46.7685065</v>
      </c>
    </row>
    <row r="7">
      <c r="A7" s="93">
        <v>6.0</v>
      </c>
      <c r="B7" s="78" t="s">
        <v>319</v>
      </c>
      <c r="C7" s="80">
        <v>18.197516</v>
      </c>
      <c r="D7" s="80">
        <v>8.9220862</v>
      </c>
    </row>
    <row r="8">
      <c r="A8" s="93">
        <v>7.0</v>
      </c>
      <c r="B8" s="78" t="s">
        <v>334</v>
      </c>
      <c r="C8" s="80">
        <v>10.2626331</v>
      </c>
      <c r="D8" s="80">
        <v>6.1304726</v>
      </c>
    </row>
    <row r="9">
      <c r="A9" s="93">
        <v>8.0</v>
      </c>
      <c r="B9" s="78" t="s">
        <v>403</v>
      </c>
      <c r="C9" s="80">
        <v>13.9929705</v>
      </c>
      <c r="D9" s="80">
        <v>10.0167367</v>
      </c>
    </row>
    <row r="10">
      <c r="A10" s="94">
        <v>9.0</v>
      </c>
      <c r="B10" s="83" t="s">
        <v>428</v>
      </c>
      <c r="C10" s="87">
        <v>15.9471713</v>
      </c>
      <c r="D10" s="87">
        <v>6.1786338</v>
      </c>
    </row>
    <row r="11" ht="15.0" customHeight="1">
      <c r="A11" s="93">
        <v>10.0</v>
      </c>
      <c r="B11" s="78" t="s">
        <v>323</v>
      </c>
      <c r="C11" s="80">
        <v>14.894843775739938</v>
      </c>
      <c r="D11" s="80">
        <v>7.3579249217935345</v>
      </c>
    </row>
    <row r="12" ht="15.0" customHeight="1">
      <c r="A12" s="93">
        <v>11.0</v>
      </c>
      <c r="B12" s="78" t="s">
        <v>14</v>
      </c>
      <c r="C12" s="80">
        <v>30.1417056</v>
      </c>
      <c r="D12" s="80">
        <v>20.2625706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7" t="s">
        <v>537</v>
      </c>
      <c r="B1" s="77" t="s">
        <v>17</v>
      </c>
      <c r="C1" s="77" t="s">
        <v>535</v>
      </c>
      <c r="D1" s="77" t="s">
        <v>536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93">
        <v>1.0</v>
      </c>
      <c r="B2" s="78" t="s">
        <v>18</v>
      </c>
      <c r="C2" s="79">
        <v>65279.0</v>
      </c>
      <c r="D2" s="79">
        <v>52911.0</v>
      </c>
    </row>
    <row r="3">
      <c r="A3" s="93">
        <v>2.0</v>
      </c>
      <c r="B3" s="78" t="s">
        <v>56</v>
      </c>
      <c r="C3" s="79">
        <v>296573.0</v>
      </c>
      <c r="D3" s="79">
        <v>247554.0</v>
      </c>
      <c r="F3" s="95"/>
      <c r="G3" s="95"/>
    </row>
    <row r="4">
      <c r="A4" s="93">
        <v>3.0</v>
      </c>
      <c r="B4" s="78" t="s">
        <v>162</v>
      </c>
      <c r="C4" s="79">
        <v>154433.0</v>
      </c>
      <c r="D4" s="79">
        <v>139494.0</v>
      </c>
    </row>
    <row r="5">
      <c r="A5" s="93">
        <v>4.0</v>
      </c>
      <c r="B5" s="78" t="s">
        <v>216</v>
      </c>
      <c r="C5" s="79">
        <v>80430.0</v>
      </c>
      <c r="D5" s="79">
        <v>69316.0</v>
      </c>
    </row>
    <row r="6">
      <c r="A6" s="93">
        <v>5.0</v>
      </c>
      <c r="B6" s="78" t="s">
        <v>262</v>
      </c>
      <c r="C6" s="79">
        <v>142117.0</v>
      </c>
      <c r="D6" s="79">
        <v>142057.0</v>
      </c>
    </row>
    <row r="7">
      <c r="A7" s="93">
        <v>6.0</v>
      </c>
      <c r="B7" s="78" t="s">
        <v>319</v>
      </c>
      <c r="C7" s="79">
        <v>22974.0</v>
      </c>
      <c r="D7" s="79">
        <v>14298.0</v>
      </c>
    </row>
    <row r="8">
      <c r="A8" s="93">
        <v>7.0</v>
      </c>
      <c r="B8" s="78" t="s">
        <v>334</v>
      </c>
      <c r="C8" s="79">
        <v>66179.0</v>
      </c>
      <c r="D8" s="79">
        <v>53780.0</v>
      </c>
    </row>
    <row r="9">
      <c r="A9" s="93">
        <v>8.0</v>
      </c>
      <c r="B9" s="78" t="s">
        <v>403</v>
      </c>
      <c r="C9" s="79">
        <v>13138.0</v>
      </c>
      <c r="D9" s="79">
        <v>12688.0</v>
      </c>
    </row>
    <row r="10">
      <c r="A10" s="93">
        <v>9.0</v>
      </c>
      <c r="B10" s="78" t="s">
        <v>428</v>
      </c>
      <c r="C10" s="79">
        <v>4045.0</v>
      </c>
      <c r="D10" s="79">
        <v>2159.0</v>
      </c>
    </row>
    <row r="11" ht="15.0" customHeight="1">
      <c r="A11" s="93">
        <v>10.0</v>
      </c>
      <c r="B11" s="78" t="s">
        <v>323</v>
      </c>
      <c r="C11" s="79">
        <v>5425.0</v>
      </c>
      <c r="D11" s="79">
        <v>3387.0</v>
      </c>
    </row>
    <row r="12" ht="15.0" customHeight="1">
      <c r="A12" s="93">
        <v>11.0</v>
      </c>
      <c r="B12" s="78" t="s">
        <v>14</v>
      </c>
      <c r="C12" s="79">
        <v>845168.0</v>
      </c>
      <c r="D12" s="79">
        <v>734257.0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1" max="11" width="26.29"/>
  </cols>
  <sheetData>
    <row r="1">
      <c r="A1" s="96" t="s">
        <v>538</v>
      </c>
      <c r="B1" s="96" t="s">
        <v>539</v>
      </c>
      <c r="C1" s="97" t="s">
        <v>540</v>
      </c>
      <c r="D1" s="97" t="s">
        <v>541</v>
      </c>
      <c r="E1" s="98" t="s">
        <v>542</v>
      </c>
      <c r="F1" s="98" t="s">
        <v>543</v>
      </c>
      <c r="G1" s="99" t="s">
        <v>544</v>
      </c>
      <c r="H1" s="99" t="s">
        <v>545</v>
      </c>
      <c r="I1" s="100" t="s">
        <v>546</v>
      </c>
      <c r="J1" s="100" t="s">
        <v>547</v>
      </c>
      <c r="K1" s="101" t="s">
        <v>548</v>
      </c>
    </row>
    <row r="2">
      <c r="A2" s="102">
        <v>11.0</v>
      </c>
      <c r="B2" s="103" t="s">
        <v>549</v>
      </c>
      <c r="C2" s="104">
        <v>0.0</v>
      </c>
      <c r="D2" s="104">
        <v>15.0</v>
      </c>
      <c r="E2" s="104">
        <v>15.0</v>
      </c>
      <c r="F2" s="104">
        <v>32.5</v>
      </c>
      <c r="G2" s="104">
        <v>32.5</v>
      </c>
      <c r="H2" s="104">
        <v>50.0</v>
      </c>
      <c r="I2" s="104">
        <v>50.0</v>
      </c>
      <c r="J2" s="104">
        <v>100.0</v>
      </c>
      <c r="K2" s="105" t="s">
        <v>550</v>
      </c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2025-08-05T20:26:57Z</dcterms:created>
  <dc:creator>Instituto Nacional de Estadística</dc:creator>
</cp:coreProperties>
</file>