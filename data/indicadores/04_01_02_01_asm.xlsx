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Mapa" sheetId="7" r:id="rId10"/>
  </sheets>
  <definedNames/>
  <calcPr/>
  <extLst>
    <ext uri="GoogleSheetsCustomDataVersion2">
      <go:sheetsCustomData xmlns:go="http://customooxmlschemas.google.com/" r:id="rId11" roundtripDataChecksum="vMCkAv93qcsG7NfKWfQfnYO3IGQ93cub4Z2Tt7nzx3c="/>
    </ext>
  </extLst>
</workbook>
</file>

<file path=xl/sharedStrings.xml><?xml version="1.0" encoding="utf-8"?>
<sst xmlns="http://schemas.openxmlformats.org/spreadsheetml/2006/main" count="2166" uniqueCount="525">
  <si>
    <t>Depart</t>
  </si>
  <si>
    <t>Provincia</t>
  </si>
  <si>
    <t>Municipio</t>
  </si>
  <si>
    <t>Capital</t>
  </si>
  <si>
    <t>Codigo_MUN</t>
  </si>
  <si>
    <t>Matriculación escolar de mujeres en secundaria, 2012</t>
  </si>
  <si>
    <t>Matriculación escolar de mujeres en secundaria, 2013</t>
  </si>
  <si>
    <t>Matriculación escolar de mujeres en secundaria, 2014</t>
  </si>
  <si>
    <t>Abandono escolar de mujeres en secundaria, 2012</t>
  </si>
  <si>
    <t>Abandono escolar de mujeres en secundaria, 2013</t>
  </si>
  <si>
    <t>Abandono escolar de mujeres en secundaria, 2014</t>
  </si>
  <si>
    <t>Tasas de abandono escolar de mujeres en secundaria, 2012</t>
  </si>
  <si>
    <t>Tasas de abandono escolar de mujeres en secundaria, 2013</t>
  </si>
  <si>
    <t>Tasas de abandono escolar de mujeres en secundaria, 2014</t>
  </si>
  <si>
    <t>Promedio de abandono escolar de mujeres en secundaria, 2012 - 2014</t>
  </si>
  <si>
    <t>Matriculación escolar de mujeres en secundaria, 2022</t>
  </si>
  <si>
    <t>Matriculación escolar de mujeres en secundaria, 2023</t>
  </si>
  <si>
    <t>Matriculación escolar de mujeres en secundaria, 2024</t>
  </si>
  <si>
    <t>Abandono escolar de mujeres en secundaria, 2022</t>
  </si>
  <si>
    <t>Abandono escolar de mujeres en secundaria, 2023</t>
  </si>
  <si>
    <t>Abandono escolar de mujeres en secundaria, 2024</t>
  </si>
  <si>
    <t>Tasas de abandono escolar de mujeres en secundaria, 2022</t>
  </si>
  <si>
    <t>Tasas de abandono escolar de mujeres en secundaria, 2023</t>
  </si>
  <si>
    <t>Tasas de abandono escolar de mujeres en secundaria, 2024</t>
  </si>
  <si>
    <t>Promedio de abandono escolar de mujeres en secundaria, 2022 - 2024</t>
  </si>
  <si>
    <t>Departamento</t>
  </si>
  <si>
    <t>Promedio de abandono escolar de mujeres en secundaria, 2022 - 2023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</si>
  <si>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</si>
  <si>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</si>
  <si>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</si>
  <si>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</si>
  <si>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</si>
  <si>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</si>
  <si>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</si>
  <si>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</si>
  <si>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</si>
  <si>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</si>
  <si>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</si>
  <si>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Villa Orías</t>
  </si>
  <si>
    <t>Potosi</t>
  </si>
  <si>
    <t>Zudáñez</t>
  </si>
  <si>
    <t>Villa Zudáñez</t>
  </si>
  <si>
    <t>Tarija</t>
  </si>
  <si>
    <t>Presto</t>
  </si>
  <si>
    <t>Santa Cruz</t>
  </si>
  <si>
    <t>Mojocoya</t>
  </si>
  <si>
    <t>Villa de Mojocoya</t>
  </si>
  <si>
    <t>Beni</t>
  </si>
  <si>
    <t>Icla</t>
  </si>
  <si>
    <t>Pando</t>
  </si>
  <si>
    <t>Tomina</t>
  </si>
  <si>
    <t>Padilla</t>
  </si>
  <si>
    <t>Bolivia</t>
  </si>
  <si>
    <t>Villa de Tomina</t>
  </si>
  <si>
    <t>Gran Chaco</t>
  </si>
  <si>
    <t>Sopachuy</t>
  </si>
  <si>
    <t>Villa de Sopachui</t>
  </si>
  <si>
    <t>Alcalá</t>
  </si>
  <si>
    <t>El Villar</t>
  </si>
  <si>
    <t>Hernando Siles</t>
  </si>
  <si>
    <t>Monteagudo</t>
  </si>
  <si>
    <t>Huacareta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</si>
  <si>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</si>
  <si>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</si>
  <si>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</si>
  <si>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</si>
  <si>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</si>
  <si>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</si>
  <si>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</si>
  <si>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</si>
  <si>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</si>
  <si>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</si>
  <si>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</si>
  <si>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</si>
  <si>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</si>
  <si>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</si>
  <si>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</si>
  <si>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</si>
  <si>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</si>
  <si>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Villa de Huacaya</t>
  </si>
  <si>
    <t>Macharetí</t>
  </si>
  <si>
    <t>Villa de 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</si>
  <si>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</si>
  <si>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</si>
  <si>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</si>
  <si>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</si>
  <si>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</si>
  <si>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</si>
  <si>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</si>
  <si>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</si>
  <si>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</si>
  <si>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</si>
  <si>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</si>
  <si>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</si>
  <si>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</si>
  <si>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</si>
  <si>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</si>
  <si>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</si>
  <si>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</si>
  <si>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</si>
  <si>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</si>
  <si>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</si>
  <si>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</si>
  <si>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</si>
  <si>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</si>
  <si>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</si>
  <si>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</si>
  <si>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</si>
  <si>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</si>
  <si>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</si>
  <si>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</si>
  <si>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</si>
  <si>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</si>
  <si>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</si>
  <si>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</si>
  <si>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</si>
  <si>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</si>
  <si>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</si>
  <si>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</si>
  <si>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</si>
  <si>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</si>
  <si>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</si>
  <si>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</si>
  <si>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</si>
  <si>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</si>
  <si>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</si>
  <si>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</si>
  <si>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</si>
  <si>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</si>
  <si>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</si>
  <si>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</si>
  <si>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</si>
  <si>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</si>
  <si>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</si>
  <si>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</si>
  <si>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</si>
  <si>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</si>
  <si>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</si>
  <si>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</si>
  <si>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</si>
  <si>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</si>
  <si>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</si>
  <si>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</si>
  <si>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</si>
  <si>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</si>
  <si>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</si>
  <si>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</si>
  <si>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</si>
  <si>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</si>
  <si>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</si>
  <si>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</si>
  <si>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</si>
  <si>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</si>
  <si>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</si>
  <si>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</si>
  <si>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</si>
  <si>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</si>
  <si>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</si>
  <si>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</si>
  <si>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</si>
  <si>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</si>
  <si>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</si>
  <si>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</si>
  <si>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</si>
  <si>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</si>
  <si>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</si>
  <si>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</si>
  <si>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</si>
  <si>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</si>
  <si>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</si>
  <si>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</si>
  <si>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</si>
  <si>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</si>
  <si>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</si>
  <si>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</si>
  <si>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</si>
  <si>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</si>
  <si>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</si>
  <si>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</si>
  <si>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</si>
  <si>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</si>
  <si>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</si>
  <si>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</si>
  <si>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</si>
  <si>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</si>
  <si>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</si>
  <si>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</si>
  <si>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</si>
  <si>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</si>
  <si>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</si>
  <si>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</si>
  <si>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</si>
  <si>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</si>
  <si>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</si>
  <si>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</si>
  <si>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</si>
  <si>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</si>
  <si>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</si>
  <si>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</si>
  <si>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</si>
  <si>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</si>
  <si>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</si>
  <si>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</si>
  <si>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</si>
  <si>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</si>
  <si>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</si>
  <si>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</si>
  <si>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</si>
  <si>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</si>
  <si>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</si>
  <si>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</si>
  <si>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</si>
  <si>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</si>
  <si>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</si>
  <si>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</si>
  <si>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</si>
  <si>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Santiváñez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</si>
  <si>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</si>
  <si>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</si>
  <si>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</si>
  <si>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</si>
  <si>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</si>
  <si>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</si>
  <si>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</si>
  <si>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</si>
  <si>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</si>
  <si>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</si>
  <si>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</si>
  <si>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</si>
  <si>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</si>
  <si>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</si>
  <si>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</si>
  <si>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</si>
  <si>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</si>
  <si>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</si>
  <si>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</si>
  <si>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</si>
  <si>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</si>
  <si>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</si>
  <si>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</si>
  <si>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</si>
  <si>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</si>
  <si>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</si>
  <si>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</si>
  <si>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</si>
  <si>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</si>
  <si>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</si>
  <si>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</si>
  <si>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</si>
  <si>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</si>
  <si>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</si>
  <si>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</si>
  <si>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</si>
  <si>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Bolívar</t>
  </si>
  <si>
    <t>Tiraque</t>
  </si>
  <si>
    <t>Shinahota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</si>
  <si>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</si>
  <si>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</si>
  <si>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</si>
  <si>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</si>
  <si>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</si>
  <si>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</si>
  <si>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</si>
  <si>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</si>
  <si>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</si>
  <si>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</si>
  <si>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</si>
  <si>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</si>
  <si>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</si>
  <si>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</si>
  <si>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</si>
  <si>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</si>
  <si>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</si>
  <si>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</si>
  <si>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</si>
  <si>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</si>
  <si>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</si>
  <si>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</si>
  <si>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</si>
  <si>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</si>
  <si>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</si>
  <si>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</si>
  <si>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</si>
  <si>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</si>
  <si>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Garci Mendoza (Autonomía Indígena Originario Campesina de Salinas)</t>
  </si>
  <si>
    <t>Salinas de Garcí Mendoza</t>
  </si>
  <si>
    <t>Pampa Aullagas</t>
  </si>
  <si>
    <t>Sabaya</t>
  </si>
  <si>
    <t>Coipasa</t>
  </si>
  <si>
    <t>Uru Chipaya (Nación Originaria Uru Chipaya)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</si>
  <si>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</si>
  <si>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</si>
  <si>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</si>
  <si>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</si>
  <si>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</si>
  <si>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</si>
  <si>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</si>
  <si>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</si>
  <si>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</si>
  <si>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</si>
  <si>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</si>
  <si>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</si>
  <si>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</si>
  <si>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</si>
  <si>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</si>
  <si>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</si>
  <si>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</si>
  <si>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</si>
  <si>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</si>
  <si>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</si>
  <si>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</si>
  <si>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</si>
  <si>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</si>
  <si>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</si>
  <si>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</si>
  <si>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</si>
  <si>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</si>
  <si>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</si>
  <si>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</si>
  <si>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</si>
  <si>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</si>
  <si>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</si>
  <si>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</si>
  <si>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</si>
  <si>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</si>
  <si>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</si>
  <si>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</si>
  <si>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</si>
  <si>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</si>
  <si>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</si>
  <si>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</si>
  <si>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</si>
  <si>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</si>
  <si>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</si>
  <si>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Vitichi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</si>
  <si>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</si>
  <si>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</si>
  <si>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</si>
  <si>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</si>
  <si>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</si>
  <si>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</si>
  <si>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</si>
  <si>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</si>
  <si>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</si>
  <si>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</si>
  <si>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</si>
  <si>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</si>
  <si>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</si>
  <si>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</si>
  <si>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</si>
  <si>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</si>
  <si>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</si>
  <si>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</si>
  <si>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</si>
  <si>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</si>
  <si>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</si>
  <si>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</si>
  <si>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</si>
  <si>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</si>
  <si>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</si>
  <si>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</si>
  <si>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</si>
  <si>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</si>
  <si>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</si>
  <si>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</si>
  <si>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</si>
  <si>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</si>
  <si>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</si>
  <si>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</si>
  <si>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</si>
  <si>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</si>
  <si>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</si>
  <si>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</si>
  <si>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</si>
  <si>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</si>
  <si>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</si>
  <si>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</si>
  <si>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</si>
  <si>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</si>
  <si>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</si>
  <si>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</si>
  <si>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</si>
  <si>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</si>
  <si>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</si>
  <si>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</si>
  <si>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</si>
  <si>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</si>
  <si>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</si>
  <si>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</si>
  <si>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</si>
  <si>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</si>
  <si>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</si>
  <si>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</si>
  <si>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</si>
  <si>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</si>
  <si>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</si>
  <si>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</si>
  <si>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</si>
  <si>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</si>
  <si>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</si>
  <si>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</si>
  <si>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</si>
  <si>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</si>
  <si>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</si>
  <si>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</si>
  <si>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</si>
  <si>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</si>
  <si>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</si>
  <si>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</si>
  <si>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</si>
  <si>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</si>
  <si>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</si>
  <si>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</si>
  <si>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</si>
  <si>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</si>
  <si>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</si>
  <si>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</si>
  <si>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</si>
  <si>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Charagua</t>
  </si>
  <si>
    <t>Cabezas</t>
  </si>
  <si>
    <t>Cuevo</t>
  </si>
  <si>
    <t>Gutiérrez (Autonomía Indígena Kereimba Iyaambae)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</si>
  <si>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</si>
  <si>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</si>
  <si>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</si>
  <si>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</si>
  <si>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</si>
  <si>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</si>
  <si>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</si>
  <si>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</si>
  <si>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</si>
  <si>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</si>
  <si>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</si>
  <si>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</si>
  <si>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</si>
  <si>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</si>
  <si>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</si>
  <si>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</si>
  <si>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</si>
  <si>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</si>
  <si>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</si>
  <si>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</si>
  <si>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</si>
  <si>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</si>
  <si>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</si>
  <si>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</si>
  <si>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</si>
  <si>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</si>
  <si>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</si>
  <si>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</si>
  <si>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</si>
  <si>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</si>
  <si>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</si>
  <si>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</si>
  <si>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</si>
  <si>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</si>
  <si>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</si>
  <si>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</si>
  <si>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</si>
  <si>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</si>
  <si>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</si>
  <si>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</si>
  <si>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</si>
  <si>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</si>
  <si>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</si>
  <si>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</si>
  <si>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</si>
  <si>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</si>
  <si>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</si>
  <si>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</si>
  <si>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</si>
  <si>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</si>
  <si>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</si>
  <si>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</si>
  <si>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</si>
  <si>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</si>
  <si>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</si>
  <si>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</si>
  <si>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</si>
  <si>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</si>
  <si>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</si>
  <si>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</si>
  <si>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</si>
  <si>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</si>
  <si>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</si>
  <si>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Indígena Multiétnico</t>
  </si>
  <si>
    <t>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</si>
  <si>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</si>
  <si>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</si>
  <si>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</si>
  <si>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</si>
  <si>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</si>
  <si>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</si>
  <si>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</si>
  <si>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</si>
  <si>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</si>
  <si>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</si>
  <si>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</si>
  <si>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</si>
  <si>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</si>
  <si>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</si>
  <si>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</si>
  <si>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</si>
  <si>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</si>
  <si>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</si>
  <si>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Tasa_abandono_secundaria_mujeres_prom_2012_2014</t>
  </si>
  <si>
    <t>Tasa_abandono_secundaria_mujeres_prom_2022_2024</t>
  </si>
  <si>
    <t>Número_promedio_de_abandonos_escolares_de_mujeres_en_secundaria_2012</t>
  </si>
  <si>
    <t>Número_promedio_de_abandonos_escolares_de_mujeres_en_secundaria_2024</t>
  </si>
  <si>
    <t>id_departamento</t>
  </si>
  <si>
    <t>Número_promedio_de_abandonos_escolares_de_mujeres_en_secundaria_2012_2014</t>
  </si>
  <si>
    <t>Número_promedio_de_abandonos_escolares_de_mujeres_en_secundaria_2022_2024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</si>
  <si>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</si>
  <si>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</si>
  <si>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</si>
  <si>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</si>
  <si>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</si>
  <si>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</si>
  <si>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</si>
  <si>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</si>
  <si>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</si>
  <si>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</si>
  <si>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</si>
  <si>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Tasa de abandono escolar de mujeres en secundaria (Abandono/Matriculación) (%)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</si>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</sst>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9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center" wrapText="1"/>
    </xf>
    <xf borderId="1" fillId="0" fontId="1" numFmtId="1" xfId="0" applyBorder="1" applyFont="1" applyNumberFormat="1"/>
    <xf borderId="1" fillId="0" fontId="1" numFmtId="3" xfId="0" applyBorder="1" applyFont="1" applyNumberFormat="1"/>
    <xf borderId="1" fillId="0" fontId="1" numFmtId="164" xfId="0" applyBorder="1" applyFont="1" applyNumberFormat="1"/>
    <xf borderId="1" fillId="0" fontId="2" numFmtId="0" xfId="0" applyBorder="1" applyFont="1"/>
    <xf borderId="1" fillId="0" fontId="1" numFmtId="165" xfId="0" applyBorder="1" applyFont="1" applyNumberFormat="1"/>
    <xf borderId="1" fillId="0" fontId="3" numFmtId="0" xfId="0" applyBorder="1" applyFont="1"/>
    <xf borderId="1" fillId="0" fontId="3" numFmtId="3" xfId="0" applyBorder="1" applyFont="1" applyNumberFormat="1"/>
    <xf borderId="0" fillId="0" fontId="5" numFmtId="0" xfId="0" applyFont="1"/>
    <xf borderId="0" fillId="0" fontId="1" numFmtId="3" xfId="0" applyFont="1" applyNumberFormat="1"/>
    <xf borderId="1" fillId="3" fontId="1" numFmtId="0" xfId="0" applyBorder="1" applyFill="1" applyFont="1"/>
    <xf borderId="1" fillId="3" fontId="1" numFmtId="164" xfId="0" applyBorder="1" applyFont="1" applyNumberFormat="1"/>
    <xf borderId="1" fillId="3" fontId="1" numFmtId="1" xfId="0" applyBorder="1" applyFont="1" applyNumberFormat="1"/>
    <xf borderId="1" fillId="4" fontId="4" numFmtId="0" xfId="0" applyBorder="1" applyFill="1" applyFont="1"/>
    <xf borderId="1" fillId="5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95250</xdr:rowOff>
    </xdr:from>
    <xdr:ext cx="6210300" cy="456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29"/>
    <col customWidth="1" min="5" max="48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/>
      <c r="AA1" s="4"/>
      <c r="AB1" s="2" t="s">
        <v>25</v>
      </c>
      <c r="AC1" s="2" t="s">
        <v>5</v>
      </c>
      <c r="AD1" s="2" t="s">
        <v>6</v>
      </c>
      <c r="AE1" s="2" t="s">
        <v>7</v>
      </c>
      <c r="AF1" s="2" t="s">
        <v>8</v>
      </c>
      <c r="AG1" s="2" t="s">
        <v>9</v>
      </c>
      <c r="AH1" s="2" t="s">
        <v>10</v>
      </c>
      <c r="AI1" s="2" t="s">
        <v>11</v>
      </c>
      <c r="AJ1" s="2" t="s">
        <v>12</v>
      </c>
      <c r="AK1" s="2" t="s">
        <v>13</v>
      </c>
      <c r="AL1" s="3" t="s">
        <v>14</v>
      </c>
      <c r="AM1" s="2" t="s">
        <v>15</v>
      </c>
      <c r="AN1" s="2" t="s">
        <v>16</v>
      </c>
      <c r="AO1" s="2" t="s">
        <v>17</v>
      </c>
      <c r="AP1" s="2" t="s">
        <v>18</v>
      </c>
      <c r="AQ1" s="2" t="s">
        <v>19</v>
      </c>
      <c r="AR1" s="2" t="s">
        <v>20</v>
      </c>
      <c r="AS1" s="2" t="s">
        <v>21</v>
      </c>
      <c r="AT1" s="2" t="s">
        <v>22</v>
      </c>
      <c r="AU1" s="2" t="s">
        <v>23</v>
      </c>
      <c r="AV1" s="3" t="s">
        <v>26</v>
      </c>
    </row>
    <row r="2" ht="14.25" customHeight="1">
      <c r="A2" s="1" t="s">
        <v>27</v>
      </c>
      <c r="B2" s="1" t="s">
        <v>28</v>
      </c>
      <c r="C2" s="1" t="s">
        <v>29</v>
      </c>
      <c r="D2" s="1" t="s">
        <v>29</v>
      </c>
      <c r="E2" s="5">
        <v>10101.0</v>
      </c>
      <c r="F2" s="6">
        <v>16401.0</v>
      </c>
      <c r="G2" s="6">
        <v>16912.0</v>
      </c>
      <c r="H2" s="6">
        <v>17219.0</v>
      </c>
      <c r="I2" s="6">
        <v>710.0</v>
      </c>
      <c r="J2" s="6">
        <v>805.0</v>
      </c>
      <c r="K2" s="6">
        <v>710.0</v>
      </c>
      <c r="L2" s="7">
        <f t="shared" ref="L2:N2" si="1">(I2/F2)*100</f>
        <v>4.329004329</v>
      </c>
      <c r="M2" s="7">
        <f t="shared" si="1"/>
        <v>4.759933775</v>
      </c>
      <c r="N2" s="7">
        <f t="shared" si="1"/>
        <v>4.123352111</v>
      </c>
      <c r="O2" s="7">
        <f t="shared" ref="O2:O160" si="8">AVERAGE(L2:N2)</f>
        <v>4.404096738</v>
      </c>
      <c r="P2" s="6">
        <v>18039.0</v>
      </c>
      <c r="Q2" s="6">
        <v>18296.0</v>
      </c>
      <c r="R2" s="6">
        <v>18384.0</v>
      </c>
      <c r="S2" s="6">
        <v>422.0</v>
      </c>
      <c r="T2" s="6">
        <v>353.0</v>
      </c>
      <c r="U2" s="6">
        <v>338.0</v>
      </c>
      <c r="V2" s="7">
        <f t="shared" ref="V2:X2" si="2">(S2/P2)*100</f>
        <v>2.339375797</v>
      </c>
      <c r="W2" s="7">
        <f t="shared" si="2"/>
        <v>1.929383472</v>
      </c>
      <c r="X2" s="7">
        <f t="shared" si="2"/>
        <v>1.838555265</v>
      </c>
      <c r="Y2" s="7">
        <f t="shared" ref="Y2:Y160" si="10">AVERAGE(V2:W2)</f>
        <v>2.134379634</v>
      </c>
      <c r="AB2" s="8" t="s">
        <v>27</v>
      </c>
      <c r="AC2" s="6">
        <f t="shared" ref="AC2:AH2" si="3">+SUM(F2:F30)</f>
        <v>28406</v>
      </c>
      <c r="AD2" s="6">
        <f t="shared" si="3"/>
        <v>29289</v>
      </c>
      <c r="AE2" s="6">
        <f t="shared" si="3"/>
        <v>30002</v>
      </c>
      <c r="AF2" s="6">
        <f t="shared" si="3"/>
        <v>1672</v>
      </c>
      <c r="AG2" s="6">
        <f t="shared" si="3"/>
        <v>1889</v>
      </c>
      <c r="AH2" s="6">
        <f t="shared" si="3"/>
        <v>1699</v>
      </c>
      <c r="AI2" s="7">
        <f t="shared" ref="AI2:AK2" si="4">+(AF2/AC2)*100</f>
        <v>5.886080406</v>
      </c>
      <c r="AJ2" s="7">
        <f t="shared" si="4"/>
        <v>6.449520298</v>
      </c>
      <c r="AK2" s="7">
        <f t="shared" si="4"/>
        <v>5.662955803</v>
      </c>
      <c r="AL2" s="7">
        <f t="shared" ref="AL2:AL12" si="13">AVERAGE(AI2:AK2)</f>
        <v>5.999518835</v>
      </c>
      <c r="AM2" s="6">
        <f t="shared" ref="AM2:AR2" si="5">+SUM(P2:P30)</f>
        <v>29906</v>
      </c>
      <c r="AN2" s="6">
        <f t="shared" si="5"/>
        <v>29877</v>
      </c>
      <c r="AO2" s="6">
        <f t="shared" si="5"/>
        <v>29790</v>
      </c>
      <c r="AP2" s="6">
        <f t="shared" si="5"/>
        <v>933</v>
      </c>
      <c r="AQ2" s="6">
        <f t="shared" si="5"/>
        <v>779</v>
      </c>
      <c r="AR2" s="6">
        <f t="shared" si="5"/>
        <v>764</v>
      </c>
      <c r="AS2" s="9">
        <f t="shared" ref="AS2:AU2" si="6">(AP2/AM2)*100</f>
        <v>3.119775296</v>
      </c>
      <c r="AT2" s="9">
        <f t="shared" si="6"/>
        <v>2.60735683</v>
      </c>
      <c r="AU2" s="9">
        <f t="shared" si="6"/>
        <v>2.564619</v>
      </c>
      <c r="AV2" s="9">
        <f t="shared" ref="AV2:AV12" si="16">AVERAGE(AS2:AU2)</f>
        <v>2.763917042</v>
      </c>
    </row>
    <row r="3" ht="14.25" customHeight="1">
      <c r="A3" s="1" t="s">
        <v>27</v>
      </c>
      <c r="B3" s="1" t="s">
        <v>28</v>
      </c>
      <c r="C3" s="1" t="s">
        <v>30</v>
      </c>
      <c r="D3" s="1" t="s">
        <v>30</v>
      </c>
      <c r="E3" s="5">
        <v>10102.0</v>
      </c>
      <c r="F3" s="6">
        <v>427.0</v>
      </c>
      <c r="G3" s="6">
        <v>449.0</v>
      </c>
      <c r="H3" s="6">
        <v>508.0</v>
      </c>
      <c r="I3" s="6">
        <v>27.0</v>
      </c>
      <c r="J3" s="6">
        <v>20.0</v>
      </c>
      <c r="K3" s="6">
        <v>16.0</v>
      </c>
      <c r="L3" s="7">
        <f t="shared" ref="L3:N3" si="7">(I3/F3)*100</f>
        <v>6.323185012</v>
      </c>
      <c r="M3" s="7">
        <f t="shared" si="7"/>
        <v>4.454342984</v>
      </c>
      <c r="N3" s="7">
        <f t="shared" si="7"/>
        <v>3.149606299</v>
      </c>
      <c r="O3" s="7">
        <f t="shared" si="8"/>
        <v>4.642378098</v>
      </c>
      <c r="P3" s="6">
        <v>422.0</v>
      </c>
      <c r="Q3" s="6">
        <v>413.0</v>
      </c>
      <c r="R3" s="6">
        <v>405.0</v>
      </c>
      <c r="S3" s="6">
        <v>11.0</v>
      </c>
      <c r="T3" s="6">
        <v>10.0</v>
      </c>
      <c r="U3" s="6">
        <v>11.0</v>
      </c>
      <c r="V3" s="7">
        <f t="shared" ref="V3:X3" si="9">(S3/P3)*100</f>
        <v>2.606635071</v>
      </c>
      <c r="W3" s="7">
        <f t="shared" si="9"/>
        <v>2.421307506</v>
      </c>
      <c r="X3" s="7">
        <f t="shared" si="9"/>
        <v>2.716049383</v>
      </c>
      <c r="Y3" s="7">
        <f t="shared" si="10"/>
        <v>2.513971289</v>
      </c>
      <c r="AB3" s="8" t="s">
        <v>31</v>
      </c>
      <c r="AC3" s="6">
        <f t="shared" ref="AC3:AH3" si="11">+SUM(F31:F117)</f>
        <v>151353</v>
      </c>
      <c r="AD3" s="6">
        <f t="shared" si="11"/>
        <v>155502</v>
      </c>
      <c r="AE3" s="6">
        <f t="shared" si="11"/>
        <v>156208</v>
      </c>
      <c r="AF3" s="6">
        <f t="shared" si="11"/>
        <v>6443</v>
      </c>
      <c r="AG3" s="6">
        <f t="shared" si="11"/>
        <v>6611</v>
      </c>
      <c r="AH3" s="6">
        <f t="shared" si="11"/>
        <v>7251</v>
      </c>
      <c r="AI3" s="7">
        <f t="shared" ref="AI3:AK3" si="12">+(AF3/AC3)*100</f>
        <v>4.256935773</v>
      </c>
      <c r="AJ3" s="7">
        <f t="shared" si="12"/>
        <v>4.251392265</v>
      </c>
      <c r="AK3" s="7">
        <f t="shared" si="12"/>
        <v>4.641887739</v>
      </c>
      <c r="AL3" s="7">
        <f t="shared" si="13"/>
        <v>4.383405259</v>
      </c>
      <c r="AM3" s="6">
        <f t="shared" ref="AM3:AR3" si="14">+SUM(P31:P117)</f>
        <v>153431</v>
      </c>
      <c r="AN3" s="6">
        <f t="shared" si="14"/>
        <v>155406</v>
      </c>
      <c r="AO3" s="6">
        <f t="shared" si="14"/>
        <v>156618</v>
      </c>
      <c r="AP3" s="6">
        <f t="shared" si="14"/>
        <v>2802</v>
      </c>
      <c r="AQ3" s="6">
        <f t="shared" si="14"/>
        <v>2630</v>
      </c>
      <c r="AR3" s="6">
        <f t="shared" si="14"/>
        <v>2715</v>
      </c>
      <c r="AS3" s="9">
        <f t="shared" ref="AS3:AU3" si="15">(AP3/AM3)*100</f>
        <v>1.826228076</v>
      </c>
      <c r="AT3" s="9">
        <f t="shared" si="15"/>
        <v>1.692341351</v>
      </c>
      <c r="AU3" s="9">
        <f t="shared" si="15"/>
        <v>1.73351722</v>
      </c>
      <c r="AV3" s="9">
        <f t="shared" si="16"/>
        <v>1.750695549</v>
      </c>
    </row>
    <row r="4" ht="14.25" customHeight="1">
      <c r="A4" s="1" t="s">
        <v>27</v>
      </c>
      <c r="B4" s="1" t="s">
        <v>28</v>
      </c>
      <c r="C4" s="1" t="s">
        <v>32</v>
      </c>
      <c r="D4" s="1" t="s">
        <v>32</v>
      </c>
      <c r="E4" s="5">
        <v>10103.0</v>
      </c>
      <c r="F4" s="6">
        <v>902.0</v>
      </c>
      <c r="G4" s="6">
        <v>913.0</v>
      </c>
      <c r="H4" s="6">
        <v>907.0</v>
      </c>
      <c r="I4" s="6">
        <v>91.0</v>
      </c>
      <c r="J4" s="6">
        <v>97.0</v>
      </c>
      <c r="K4" s="6">
        <v>81.0</v>
      </c>
      <c r="L4" s="7">
        <f t="shared" ref="L4:N4" si="17">(I4/F4)*100</f>
        <v>10.0886918</v>
      </c>
      <c r="M4" s="7">
        <f t="shared" si="17"/>
        <v>10.62431544</v>
      </c>
      <c r="N4" s="7">
        <f t="shared" si="17"/>
        <v>8.930540243</v>
      </c>
      <c r="O4" s="7">
        <f t="shared" si="8"/>
        <v>9.881182494</v>
      </c>
      <c r="P4" s="6">
        <v>476.0</v>
      </c>
      <c r="Q4" s="6">
        <v>452.0</v>
      </c>
      <c r="R4" s="6">
        <v>436.0</v>
      </c>
      <c r="S4" s="6">
        <v>28.0</v>
      </c>
      <c r="T4" s="6">
        <v>25.0</v>
      </c>
      <c r="U4" s="6">
        <v>37.0</v>
      </c>
      <c r="V4" s="7">
        <f t="shared" ref="V4:X4" si="18">(S4/P4)*100</f>
        <v>5.882352941</v>
      </c>
      <c r="W4" s="7">
        <f t="shared" si="18"/>
        <v>5.530973451</v>
      </c>
      <c r="X4" s="7">
        <f t="shared" si="18"/>
        <v>8.486238532</v>
      </c>
      <c r="Y4" s="7">
        <f t="shared" si="10"/>
        <v>5.706663196</v>
      </c>
      <c r="AB4" s="8" t="s">
        <v>33</v>
      </c>
      <c r="AC4" s="6">
        <f t="shared" ref="AC4:AH4" si="19">+SUM(F118:F165)</f>
        <v>96770</v>
      </c>
      <c r="AD4" s="6">
        <f t="shared" si="19"/>
        <v>101121</v>
      </c>
      <c r="AE4" s="6">
        <f t="shared" si="19"/>
        <v>103802</v>
      </c>
      <c r="AF4" s="6">
        <f t="shared" si="19"/>
        <v>4811</v>
      </c>
      <c r="AG4" s="6">
        <f t="shared" si="19"/>
        <v>5287</v>
      </c>
      <c r="AH4" s="6">
        <f t="shared" si="19"/>
        <v>5102</v>
      </c>
      <c r="AI4" s="7">
        <f t="shared" ref="AI4:AK4" si="20">+(AF4/AC4)*100</f>
        <v>4.971582102</v>
      </c>
      <c r="AJ4" s="7">
        <f t="shared" si="20"/>
        <v>5.228389751</v>
      </c>
      <c r="AK4" s="7">
        <f t="shared" si="20"/>
        <v>4.915126876</v>
      </c>
      <c r="AL4" s="7">
        <f t="shared" si="13"/>
        <v>5.038366243</v>
      </c>
      <c r="AM4" s="6">
        <f t="shared" ref="AM4:AR4" si="21">+SUM(P118:P168)</f>
        <v>135079</v>
      </c>
      <c r="AN4" s="6">
        <f t="shared" si="21"/>
        <v>137110</v>
      </c>
      <c r="AO4" s="6">
        <f t="shared" si="21"/>
        <v>137584</v>
      </c>
      <c r="AP4" s="6">
        <f t="shared" si="21"/>
        <v>2941</v>
      </c>
      <c r="AQ4" s="6">
        <f t="shared" si="21"/>
        <v>2520</v>
      </c>
      <c r="AR4" s="6">
        <f t="shared" si="21"/>
        <v>2698</v>
      </c>
      <c r="AS4" s="9">
        <f t="shared" ref="AS4:AU4" si="22">(AP4/AM4)*100</f>
        <v>2.177244427</v>
      </c>
      <c r="AT4" s="9">
        <f t="shared" si="22"/>
        <v>1.83794034</v>
      </c>
      <c r="AU4" s="9">
        <f t="shared" si="22"/>
        <v>1.960983835</v>
      </c>
      <c r="AV4" s="9">
        <f t="shared" si="16"/>
        <v>1.992056201</v>
      </c>
    </row>
    <row r="5" ht="14.25" customHeight="1">
      <c r="A5" s="1" t="s">
        <v>27</v>
      </c>
      <c r="B5" s="1" t="s">
        <v>34</v>
      </c>
      <c r="C5" s="1" t="s">
        <v>34</v>
      </c>
      <c r="D5" s="1" t="s">
        <v>35</v>
      </c>
      <c r="E5" s="5">
        <v>10201.0</v>
      </c>
      <c r="F5" s="6">
        <v>272.0</v>
      </c>
      <c r="G5" s="6">
        <v>343.0</v>
      </c>
      <c r="H5" s="6">
        <v>336.0</v>
      </c>
      <c r="I5" s="6">
        <v>37.0</v>
      </c>
      <c r="J5" s="6">
        <v>70.0</v>
      </c>
      <c r="K5" s="6">
        <v>46.0</v>
      </c>
      <c r="L5" s="7">
        <f t="shared" ref="L5:N5" si="23">(I5/F5)*100</f>
        <v>13.60294118</v>
      </c>
      <c r="M5" s="7">
        <f t="shared" si="23"/>
        <v>20.40816327</v>
      </c>
      <c r="N5" s="7">
        <f t="shared" si="23"/>
        <v>13.69047619</v>
      </c>
      <c r="O5" s="7">
        <f t="shared" si="8"/>
        <v>15.90052688</v>
      </c>
      <c r="P5" s="6">
        <v>308.0</v>
      </c>
      <c r="Q5" s="6">
        <v>302.0</v>
      </c>
      <c r="R5" s="6">
        <v>284.0</v>
      </c>
      <c r="S5" s="6">
        <v>12.0</v>
      </c>
      <c r="T5" s="6">
        <v>11.0</v>
      </c>
      <c r="U5" s="6">
        <v>16.0</v>
      </c>
      <c r="V5" s="7">
        <f t="shared" ref="V5:X5" si="24">(S5/P5)*100</f>
        <v>3.896103896</v>
      </c>
      <c r="W5" s="7">
        <f t="shared" si="24"/>
        <v>3.642384106</v>
      </c>
      <c r="X5" s="7">
        <f t="shared" si="24"/>
        <v>5.633802817</v>
      </c>
      <c r="Y5" s="7">
        <f t="shared" si="10"/>
        <v>3.769244001</v>
      </c>
      <c r="AB5" s="8" t="s">
        <v>36</v>
      </c>
      <c r="AC5" s="6">
        <f t="shared" ref="AC5:AH5" si="25">+SUM(F166:F200)</f>
        <v>25390</v>
      </c>
      <c r="AD5" s="6">
        <f t="shared" si="25"/>
        <v>26113</v>
      </c>
      <c r="AE5" s="6">
        <f t="shared" si="25"/>
        <v>26527</v>
      </c>
      <c r="AF5" s="6">
        <f t="shared" si="25"/>
        <v>1100</v>
      </c>
      <c r="AG5" s="6">
        <f t="shared" si="25"/>
        <v>1374</v>
      </c>
      <c r="AH5" s="6">
        <f t="shared" si="25"/>
        <v>1324</v>
      </c>
      <c r="AI5" s="7">
        <f t="shared" ref="AI5:AK5" si="26">+(AF5/AC5)*100</f>
        <v>4.332414336</v>
      </c>
      <c r="AJ5" s="7">
        <f t="shared" si="26"/>
        <v>5.261747023</v>
      </c>
      <c r="AK5" s="7">
        <f t="shared" si="26"/>
        <v>4.991141102</v>
      </c>
      <c r="AL5" s="7">
        <f t="shared" si="13"/>
        <v>4.861767487</v>
      </c>
      <c r="AM5" s="6">
        <f t="shared" ref="AM5:AR5" si="27">+SUM(P169:P206)</f>
        <v>24479</v>
      </c>
      <c r="AN5" s="6">
        <f t="shared" si="27"/>
        <v>25022</v>
      </c>
      <c r="AO5" s="6">
        <f t="shared" si="27"/>
        <v>25595</v>
      </c>
      <c r="AP5" s="6">
        <f t="shared" si="27"/>
        <v>688</v>
      </c>
      <c r="AQ5" s="6">
        <f t="shared" si="27"/>
        <v>636</v>
      </c>
      <c r="AR5" s="6">
        <f t="shared" si="27"/>
        <v>630</v>
      </c>
      <c r="AS5" s="9">
        <f t="shared" ref="AS5:AU5" si="28">(AP5/AM5)*100</f>
        <v>2.810572327</v>
      </c>
      <c r="AT5" s="9">
        <f t="shared" si="28"/>
        <v>2.541763248</v>
      </c>
      <c r="AU5" s="9">
        <f t="shared" si="28"/>
        <v>2.461418246</v>
      </c>
      <c r="AV5" s="9">
        <f t="shared" si="16"/>
        <v>2.604584607</v>
      </c>
    </row>
    <row r="6" ht="14.25" customHeight="1">
      <c r="A6" s="1" t="s">
        <v>27</v>
      </c>
      <c r="B6" s="1" t="s">
        <v>34</v>
      </c>
      <c r="C6" s="1" t="s">
        <v>37</v>
      </c>
      <c r="D6" s="1" t="s">
        <v>38</v>
      </c>
      <c r="E6" s="5">
        <v>10202.0</v>
      </c>
      <c r="F6" s="6">
        <v>518.0</v>
      </c>
      <c r="G6" s="6">
        <v>550.0</v>
      </c>
      <c r="H6" s="6">
        <v>587.0</v>
      </c>
      <c r="I6" s="6">
        <v>67.0</v>
      </c>
      <c r="J6" s="6">
        <v>35.0</v>
      </c>
      <c r="K6" s="6">
        <v>37.0</v>
      </c>
      <c r="L6" s="7">
        <f t="shared" ref="L6:N6" si="29">(I6/F6)*100</f>
        <v>12.93436293</v>
      </c>
      <c r="M6" s="7">
        <f t="shared" si="29"/>
        <v>6.363636364</v>
      </c>
      <c r="N6" s="7">
        <f t="shared" si="29"/>
        <v>6.303236797</v>
      </c>
      <c r="O6" s="7">
        <f t="shared" si="8"/>
        <v>8.533745365</v>
      </c>
      <c r="P6" s="6">
        <v>578.0</v>
      </c>
      <c r="Q6" s="6">
        <v>524.0</v>
      </c>
      <c r="R6" s="6">
        <v>491.0</v>
      </c>
      <c r="S6" s="6">
        <v>39.0</v>
      </c>
      <c r="T6" s="6">
        <v>39.0</v>
      </c>
      <c r="U6" s="6">
        <v>24.0</v>
      </c>
      <c r="V6" s="7">
        <f t="shared" ref="V6:X6" si="30">(S6/P6)*100</f>
        <v>6.747404844</v>
      </c>
      <c r="W6" s="7">
        <f t="shared" si="30"/>
        <v>7.442748092</v>
      </c>
      <c r="X6" s="7">
        <f t="shared" si="30"/>
        <v>4.887983707</v>
      </c>
      <c r="Y6" s="7">
        <f t="shared" si="10"/>
        <v>7.095076468</v>
      </c>
      <c r="AB6" s="8" t="s">
        <v>39</v>
      </c>
      <c r="AC6" s="6">
        <f t="shared" ref="AC6:AH6" si="31">+SUM(F201:F242)</f>
        <v>37857</v>
      </c>
      <c r="AD6" s="6">
        <f t="shared" si="31"/>
        <v>39139</v>
      </c>
      <c r="AE6" s="6">
        <f t="shared" si="31"/>
        <v>40052</v>
      </c>
      <c r="AF6" s="6">
        <f t="shared" si="31"/>
        <v>3930</v>
      </c>
      <c r="AG6" s="6">
        <f t="shared" si="31"/>
        <v>3998</v>
      </c>
      <c r="AH6" s="6">
        <f t="shared" si="31"/>
        <v>3906</v>
      </c>
      <c r="AI6" s="7">
        <f t="shared" ref="AI6:AK6" si="32">+(AF6/AC6)*100</f>
        <v>10.38117125</v>
      </c>
      <c r="AJ6" s="7">
        <f t="shared" si="32"/>
        <v>10.21487519</v>
      </c>
      <c r="AK6" s="7">
        <f t="shared" si="32"/>
        <v>9.752321981</v>
      </c>
      <c r="AL6" s="7">
        <f t="shared" si="13"/>
        <v>10.11612281</v>
      </c>
      <c r="AM6" s="6">
        <f t="shared" ref="AM6:AR6" si="33">+SUM(P207:P250)</f>
        <v>50540</v>
      </c>
      <c r="AN6" s="6">
        <f t="shared" si="33"/>
        <v>51102</v>
      </c>
      <c r="AO6" s="6">
        <f t="shared" si="33"/>
        <v>51247</v>
      </c>
      <c r="AP6" s="6">
        <f t="shared" si="33"/>
        <v>1556</v>
      </c>
      <c r="AQ6" s="6">
        <f t="shared" si="33"/>
        <v>1286</v>
      </c>
      <c r="AR6" s="6">
        <f t="shared" si="33"/>
        <v>1264</v>
      </c>
      <c r="AS6" s="9">
        <f t="shared" ref="AS6:AU6" si="34">(AP6/AM6)*100</f>
        <v>3.078749505</v>
      </c>
      <c r="AT6" s="9">
        <f t="shared" si="34"/>
        <v>2.516535556</v>
      </c>
      <c r="AU6" s="9">
        <f t="shared" si="34"/>
        <v>2.466485843</v>
      </c>
      <c r="AV6" s="9">
        <f t="shared" si="16"/>
        <v>2.687256968</v>
      </c>
    </row>
    <row r="7" ht="14.25" customHeight="1">
      <c r="A7" s="1" t="s">
        <v>27</v>
      </c>
      <c r="B7" s="1" t="s">
        <v>40</v>
      </c>
      <c r="C7" s="1" t="s">
        <v>40</v>
      </c>
      <c r="D7" s="1" t="s">
        <v>41</v>
      </c>
      <c r="E7" s="5">
        <v>10301.0</v>
      </c>
      <c r="F7" s="6">
        <v>220.0</v>
      </c>
      <c r="G7" s="6">
        <v>212.0</v>
      </c>
      <c r="H7" s="6">
        <v>232.0</v>
      </c>
      <c r="I7" s="6">
        <v>10.0</v>
      </c>
      <c r="J7" s="6">
        <v>16.0</v>
      </c>
      <c r="K7" s="6">
        <v>23.0</v>
      </c>
      <c r="L7" s="7">
        <f t="shared" ref="L7:N7" si="35">(I7/F7)*100</f>
        <v>4.545454545</v>
      </c>
      <c r="M7" s="7">
        <f t="shared" si="35"/>
        <v>7.547169811</v>
      </c>
      <c r="N7" s="7">
        <f t="shared" si="35"/>
        <v>9.913793103</v>
      </c>
      <c r="O7" s="7">
        <f t="shared" si="8"/>
        <v>7.335472487</v>
      </c>
      <c r="P7" s="6">
        <v>239.0</v>
      </c>
      <c r="Q7" s="6">
        <v>227.0</v>
      </c>
      <c r="R7" s="6">
        <v>235.0</v>
      </c>
      <c r="S7" s="6">
        <v>13.0</v>
      </c>
      <c r="T7" s="6">
        <v>2.0</v>
      </c>
      <c r="U7" s="6">
        <v>3.0</v>
      </c>
      <c r="V7" s="7">
        <f t="shared" ref="V7:X7" si="36">(S7/P7)*100</f>
        <v>5.439330544</v>
      </c>
      <c r="W7" s="7">
        <f t="shared" si="36"/>
        <v>0.8810572687</v>
      </c>
      <c r="X7" s="7">
        <f t="shared" si="36"/>
        <v>1.276595745</v>
      </c>
      <c r="Y7" s="7">
        <f t="shared" si="10"/>
        <v>3.160193906</v>
      </c>
      <c r="AB7" s="8" t="s">
        <v>42</v>
      </c>
      <c r="AC7" s="6">
        <f t="shared" ref="AC7:AH7" si="37">+SUM(F243:F253)</f>
        <v>25787</v>
      </c>
      <c r="AD7" s="6">
        <f t="shared" si="37"/>
        <v>26210</v>
      </c>
      <c r="AE7" s="6">
        <f t="shared" si="37"/>
        <v>26282</v>
      </c>
      <c r="AF7" s="6">
        <f t="shared" si="37"/>
        <v>1472</v>
      </c>
      <c r="AG7" s="6">
        <f t="shared" si="37"/>
        <v>1614</v>
      </c>
      <c r="AH7" s="6">
        <f t="shared" si="37"/>
        <v>1323</v>
      </c>
      <c r="AI7" s="7">
        <f t="shared" ref="AI7:AK7" si="38">+(AF7/AC7)*100</f>
        <v>5.708302633</v>
      </c>
      <c r="AJ7" s="7">
        <f t="shared" si="38"/>
        <v>6.157954979</v>
      </c>
      <c r="AK7" s="7">
        <f t="shared" si="38"/>
        <v>5.033863481</v>
      </c>
      <c r="AL7" s="7">
        <f t="shared" si="13"/>
        <v>5.633373698</v>
      </c>
      <c r="AM7" s="6">
        <f t="shared" ref="AM7:AR7" si="39">+SUM(P251:P261)</f>
        <v>113066</v>
      </c>
      <c r="AN7" s="6">
        <f t="shared" si="39"/>
        <v>116288</v>
      </c>
      <c r="AO7" s="6">
        <f t="shared" si="39"/>
        <v>119780</v>
      </c>
      <c r="AP7" s="6">
        <f t="shared" si="39"/>
        <v>2076</v>
      </c>
      <c r="AQ7" s="6">
        <f t="shared" si="39"/>
        <v>1720</v>
      </c>
      <c r="AR7" s="6">
        <f t="shared" si="39"/>
        <v>2349</v>
      </c>
      <c r="AS7" s="9">
        <f t="shared" ref="AS7:AU7" si="40">(AP7/AM7)*100</f>
        <v>1.836095732</v>
      </c>
      <c r="AT7" s="9">
        <f t="shared" si="40"/>
        <v>1.479086406</v>
      </c>
      <c r="AU7" s="9">
        <f t="shared" si="40"/>
        <v>1.961095341</v>
      </c>
      <c r="AV7" s="9">
        <f t="shared" si="16"/>
        <v>1.75875916</v>
      </c>
    </row>
    <row r="8" ht="14.25" customHeight="1">
      <c r="A8" s="1" t="s">
        <v>27</v>
      </c>
      <c r="B8" s="1" t="s">
        <v>40</v>
      </c>
      <c r="C8" s="1" t="s">
        <v>43</v>
      </c>
      <c r="D8" s="1" t="s">
        <v>43</v>
      </c>
      <c r="E8" s="5">
        <v>10302.0</v>
      </c>
      <c r="F8" s="6">
        <v>190.0</v>
      </c>
      <c r="G8" s="6">
        <v>201.0</v>
      </c>
      <c r="H8" s="6">
        <v>230.0</v>
      </c>
      <c r="I8" s="6">
        <v>13.0</v>
      </c>
      <c r="J8" s="6">
        <v>24.0</v>
      </c>
      <c r="K8" s="6">
        <v>47.0</v>
      </c>
      <c r="L8" s="7">
        <f t="shared" ref="L8:N8" si="41">(I8/F8)*100</f>
        <v>6.842105263</v>
      </c>
      <c r="M8" s="7">
        <f t="shared" si="41"/>
        <v>11.94029851</v>
      </c>
      <c r="N8" s="7">
        <f t="shared" si="41"/>
        <v>20.43478261</v>
      </c>
      <c r="O8" s="7">
        <f t="shared" si="8"/>
        <v>13.07239546</v>
      </c>
      <c r="P8" s="6">
        <v>266.0</v>
      </c>
      <c r="Q8" s="6">
        <v>263.0</v>
      </c>
      <c r="R8" s="6">
        <v>268.0</v>
      </c>
      <c r="S8" s="6">
        <v>7.0</v>
      </c>
      <c r="T8" s="6">
        <v>10.0</v>
      </c>
      <c r="U8" s="6">
        <v>17.0</v>
      </c>
      <c r="V8" s="7">
        <f t="shared" ref="V8:X8" si="42">(S8/P8)*100</f>
        <v>2.631578947</v>
      </c>
      <c r="W8" s="7">
        <f t="shared" si="42"/>
        <v>3.802281369</v>
      </c>
      <c r="X8" s="7">
        <f t="shared" si="42"/>
        <v>6.343283582</v>
      </c>
      <c r="Y8" s="7">
        <f t="shared" si="10"/>
        <v>3.216930158</v>
      </c>
      <c r="AB8" s="8" t="s">
        <v>44</v>
      </c>
      <c r="AC8" s="6">
        <f t="shared" ref="AC8:AH8" si="43">+SUM(F254:F309)</f>
        <v>139698</v>
      </c>
      <c r="AD8" s="6">
        <f t="shared" si="43"/>
        <v>143448</v>
      </c>
      <c r="AE8" s="6">
        <f t="shared" si="43"/>
        <v>145577</v>
      </c>
      <c r="AF8" s="6">
        <f t="shared" si="43"/>
        <v>7635</v>
      </c>
      <c r="AG8" s="6">
        <f t="shared" si="43"/>
        <v>9157</v>
      </c>
      <c r="AH8" s="6">
        <f t="shared" si="43"/>
        <v>9433</v>
      </c>
      <c r="AI8" s="7">
        <f t="shared" ref="AI8:AK8" si="44">+(AF8/AC8)*100</f>
        <v>5.465360993</v>
      </c>
      <c r="AJ8" s="7">
        <f t="shared" si="44"/>
        <v>6.383497853</v>
      </c>
      <c r="AK8" s="7">
        <f t="shared" si="44"/>
        <v>6.479732375</v>
      </c>
      <c r="AL8" s="7">
        <f t="shared" si="13"/>
        <v>6.109530407</v>
      </c>
      <c r="AM8" s="6">
        <f t="shared" ref="AM8:AR8" si="45">+SUM(P262:P317)</f>
        <v>69754</v>
      </c>
      <c r="AN8" s="6">
        <f t="shared" si="45"/>
        <v>71431</v>
      </c>
      <c r="AO8" s="6">
        <f t="shared" si="45"/>
        <v>73348</v>
      </c>
      <c r="AP8" s="6">
        <f t="shared" si="45"/>
        <v>2273</v>
      </c>
      <c r="AQ8" s="6">
        <f t="shared" si="45"/>
        <v>2279</v>
      </c>
      <c r="AR8" s="6">
        <f t="shared" si="45"/>
        <v>2640</v>
      </c>
      <c r="AS8" s="9">
        <f t="shared" ref="AS8:AU8" si="46">(AP8/AM8)*100</f>
        <v>3.258594489</v>
      </c>
      <c r="AT8" s="9">
        <f t="shared" si="46"/>
        <v>3.190491523</v>
      </c>
      <c r="AU8" s="9">
        <f t="shared" si="46"/>
        <v>3.599280144</v>
      </c>
      <c r="AV8" s="9">
        <f t="shared" si="16"/>
        <v>3.349455385</v>
      </c>
    </row>
    <row r="9" ht="14.25" customHeight="1">
      <c r="A9" s="1" t="s">
        <v>27</v>
      </c>
      <c r="B9" s="1" t="s">
        <v>40</v>
      </c>
      <c r="C9" s="1" t="s">
        <v>45</v>
      </c>
      <c r="D9" s="1" t="s">
        <v>46</v>
      </c>
      <c r="E9" s="5">
        <v>10303.0</v>
      </c>
      <c r="F9" s="6">
        <v>379.0</v>
      </c>
      <c r="G9" s="6">
        <v>365.0</v>
      </c>
      <c r="H9" s="6">
        <v>359.0</v>
      </c>
      <c r="I9" s="6">
        <v>18.0</v>
      </c>
      <c r="J9" s="6">
        <v>24.0</v>
      </c>
      <c r="K9" s="6">
        <v>22.0</v>
      </c>
      <c r="L9" s="7">
        <f t="shared" ref="L9:N9" si="47">(I9/F9)*100</f>
        <v>4.749340369</v>
      </c>
      <c r="M9" s="7">
        <f t="shared" si="47"/>
        <v>6.575342466</v>
      </c>
      <c r="N9" s="7">
        <f t="shared" si="47"/>
        <v>6.128133705</v>
      </c>
      <c r="O9" s="7">
        <f t="shared" si="8"/>
        <v>5.817605513</v>
      </c>
      <c r="P9" s="6">
        <v>270.0</v>
      </c>
      <c r="Q9" s="6">
        <v>282.0</v>
      </c>
      <c r="R9" s="6">
        <v>289.0</v>
      </c>
      <c r="S9" s="6">
        <v>16.0</v>
      </c>
      <c r="T9" s="6">
        <v>8.0</v>
      </c>
      <c r="U9" s="6">
        <v>5.0</v>
      </c>
      <c r="V9" s="7">
        <f t="shared" ref="V9:X9" si="48">(S9/P9)*100</f>
        <v>5.925925926</v>
      </c>
      <c r="W9" s="7">
        <f t="shared" si="48"/>
        <v>2.836879433</v>
      </c>
      <c r="X9" s="7">
        <f t="shared" si="48"/>
        <v>1.730103806</v>
      </c>
      <c r="Y9" s="7">
        <f t="shared" si="10"/>
        <v>4.381402679</v>
      </c>
      <c r="AB9" s="8" t="s">
        <v>47</v>
      </c>
      <c r="AC9" s="6">
        <f t="shared" ref="AC9:AH9" si="49">+SUM(F310:F329)</f>
        <v>23942.5</v>
      </c>
      <c r="AD9" s="6">
        <f t="shared" si="49"/>
        <v>24460</v>
      </c>
      <c r="AE9" s="6">
        <f t="shared" si="49"/>
        <v>24668</v>
      </c>
      <c r="AF9" s="6">
        <f t="shared" si="49"/>
        <v>2339</v>
      </c>
      <c r="AG9" s="6">
        <f t="shared" si="49"/>
        <v>2850.5</v>
      </c>
      <c r="AH9" s="6">
        <f t="shared" si="49"/>
        <v>2730</v>
      </c>
      <c r="AI9" s="7">
        <f t="shared" ref="AI9:AK9" si="50">+(AF9/AC9)*100</f>
        <v>9.769238801</v>
      </c>
      <c r="AJ9" s="7">
        <f t="shared" si="50"/>
        <v>11.65372036</v>
      </c>
      <c r="AK9" s="7">
        <f t="shared" si="50"/>
        <v>11.06696935</v>
      </c>
      <c r="AL9" s="7">
        <f t="shared" si="13"/>
        <v>10.82997617</v>
      </c>
      <c r="AM9" s="6">
        <f t="shared" ref="AM9:AR9" si="51">+SUM(P318:P338)</f>
        <v>12160.5</v>
      </c>
      <c r="AN9" s="6">
        <f t="shared" si="51"/>
        <v>12458.5</v>
      </c>
      <c r="AO9" s="6">
        <f t="shared" si="51"/>
        <v>12871</v>
      </c>
      <c r="AP9" s="6">
        <f t="shared" si="51"/>
        <v>539.5</v>
      </c>
      <c r="AQ9" s="6">
        <f t="shared" si="51"/>
        <v>530.5</v>
      </c>
      <c r="AR9" s="6">
        <f t="shared" si="51"/>
        <v>619</v>
      </c>
      <c r="AS9" s="9">
        <f t="shared" ref="AS9:AU9" si="52">(AP9/AM9)*100</f>
        <v>4.43649521</v>
      </c>
      <c r="AT9" s="9">
        <f t="shared" si="52"/>
        <v>4.258137015</v>
      </c>
      <c r="AU9" s="9">
        <f t="shared" si="52"/>
        <v>4.80926113</v>
      </c>
      <c r="AV9" s="9">
        <f t="shared" si="16"/>
        <v>4.501297785</v>
      </c>
    </row>
    <row r="10" ht="14.25" customHeight="1">
      <c r="A10" s="1" t="s">
        <v>27</v>
      </c>
      <c r="B10" s="1" t="s">
        <v>40</v>
      </c>
      <c r="C10" s="1" t="s">
        <v>48</v>
      </c>
      <c r="D10" s="1" t="s">
        <v>48</v>
      </c>
      <c r="E10" s="5">
        <v>10304.0</v>
      </c>
      <c r="F10" s="6">
        <v>306.0</v>
      </c>
      <c r="G10" s="6">
        <v>335.0</v>
      </c>
      <c r="H10" s="6">
        <v>363.0</v>
      </c>
      <c r="I10" s="6">
        <v>16.0</v>
      </c>
      <c r="J10" s="6">
        <v>32.0</v>
      </c>
      <c r="K10" s="6">
        <v>37.0</v>
      </c>
      <c r="L10" s="7">
        <f t="shared" ref="L10:N10" si="53">(I10/F10)*100</f>
        <v>5.22875817</v>
      </c>
      <c r="M10" s="7">
        <f t="shared" si="53"/>
        <v>9.552238806</v>
      </c>
      <c r="N10" s="7">
        <f t="shared" si="53"/>
        <v>10.19283747</v>
      </c>
      <c r="O10" s="7">
        <f t="shared" si="8"/>
        <v>8.32461148</v>
      </c>
      <c r="P10" s="6">
        <v>339.0</v>
      </c>
      <c r="Q10" s="6">
        <v>288.0</v>
      </c>
      <c r="R10" s="6">
        <v>268.0</v>
      </c>
      <c r="S10" s="6">
        <v>22.0</v>
      </c>
      <c r="T10" s="6">
        <v>10.0</v>
      </c>
      <c r="U10" s="6">
        <v>6.0</v>
      </c>
      <c r="V10" s="7">
        <f t="shared" ref="V10:X10" si="54">(S10/P10)*100</f>
        <v>6.489675516</v>
      </c>
      <c r="W10" s="7">
        <f t="shared" si="54"/>
        <v>3.472222222</v>
      </c>
      <c r="X10" s="7">
        <f t="shared" si="54"/>
        <v>2.23880597</v>
      </c>
      <c r="Y10" s="7">
        <f t="shared" si="10"/>
        <v>4.980948869</v>
      </c>
      <c r="AB10" s="8" t="s">
        <v>49</v>
      </c>
      <c r="AC10" s="6">
        <f t="shared" ref="AC10:AH10" si="55">+SUM(F330:F344)</f>
        <v>3712</v>
      </c>
      <c r="AD10" s="6">
        <f t="shared" si="55"/>
        <v>4021</v>
      </c>
      <c r="AE10" s="6">
        <f t="shared" si="55"/>
        <v>4483</v>
      </c>
      <c r="AF10" s="6">
        <f t="shared" si="55"/>
        <v>482</v>
      </c>
      <c r="AG10" s="6">
        <f t="shared" si="55"/>
        <v>590</v>
      </c>
      <c r="AH10" s="6">
        <f t="shared" si="55"/>
        <v>543</v>
      </c>
      <c r="AI10" s="7">
        <f t="shared" ref="AI10:AK10" si="56">+(AF10/AC10)*100</f>
        <v>12.98491379</v>
      </c>
      <c r="AJ10" s="7">
        <f t="shared" si="56"/>
        <v>14.67296692</v>
      </c>
      <c r="AK10" s="7">
        <f t="shared" si="56"/>
        <v>12.11242472</v>
      </c>
      <c r="AL10" s="7">
        <f t="shared" si="13"/>
        <v>13.25676848</v>
      </c>
      <c r="AM10" s="6">
        <f t="shared" ref="AM10:AR10" si="57">+SUM(P336:P344)</f>
        <v>2269</v>
      </c>
      <c r="AN10" s="6">
        <f t="shared" si="57"/>
        <v>2327</v>
      </c>
      <c r="AO10" s="6">
        <f t="shared" si="57"/>
        <v>2477</v>
      </c>
      <c r="AP10" s="6">
        <f t="shared" si="57"/>
        <v>161</v>
      </c>
      <c r="AQ10" s="6">
        <f t="shared" si="57"/>
        <v>174</v>
      </c>
      <c r="AR10" s="6">
        <f t="shared" si="57"/>
        <v>197</v>
      </c>
      <c r="AS10" s="9">
        <f t="shared" ref="AS10:AU10" si="58">(AP10/AM10)*100</f>
        <v>7.095636844</v>
      </c>
      <c r="AT10" s="9">
        <f t="shared" si="58"/>
        <v>7.477438762</v>
      </c>
      <c r="AU10" s="9">
        <f t="shared" si="58"/>
        <v>7.953169156</v>
      </c>
      <c r="AV10" s="9">
        <f t="shared" si="16"/>
        <v>7.508748254</v>
      </c>
    </row>
    <row r="11" ht="14.25" customHeight="1">
      <c r="A11" s="1" t="s">
        <v>27</v>
      </c>
      <c r="B11" s="1" t="s">
        <v>50</v>
      </c>
      <c r="C11" s="1" t="s">
        <v>51</v>
      </c>
      <c r="D11" s="1" t="s">
        <v>51</v>
      </c>
      <c r="E11" s="5">
        <v>10401.0</v>
      </c>
      <c r="F11" s="6">
        <v>385.0</v>
      </c>
      <c r="G11" s="6">
        <v>413.0</v>
      </c>
      <c r="H11" s="6">
        <v>442.0</v>
      </c>
      <c r="I11" s="6">
        <v>16.0</v>
      </c>
      <c r="J11" s="6">
        <v>7.0</v>
      </c>
      <c r="K11" s="6">
        <v>9.0</v>
      </c>
      <c r="L11" s="7">
        <f t="shared" ref="L11:N11" si="59">(I11/F11)*100</f>
        <v>4.155844156</v>
      </c>
      <c r="M11" s="7">
        <f t="shared" si="59"/>
        <v>1.694915254</v>
      </c>
      <c r="N11" s="7">
        <f t="shared" si="59"/>
        <v>2.036199095</v>
      </c>
      <c r="O11" s="7">
        <f t="shared" si="8"/>
        <v>2.628986168</v>
      </c>
      <c r="P11" s="6">
        <v>371.0</v>
      </c>
      <c r="Q11" s="6">
        <v>373.0</v>
      </c>
      <c r="R11" s="6">
        <v>367.0</v>
      </c>
      <c r="S11" s="6">
        <v>4.0</v>
      </c>
      <c r="T11" s="6">
        <v>12.0</v>
      </c>
      <c r="U11" s="6">
        <v>10.0</v>
      </c>
      <c r="V11" s="7">
        <f t="shared" ref="V11:X11" si="60">(S11/P11)*100</f>
        <v>1.078167116</v>
      </c>
      <c r="W11" s="7">
        <f t="shared" si="60"/>
        <v>3.217158177</v>
      </c>
      <c r="X11" s="7">
        <f t="shared" si="60"/>
        <v>2.72479564</v>
      </c>
      <c r="Y11" s="7">
        <f t="shared" si="10"/>
        <v>2.147662646</v>
      </c>
      <c r="AB11" s="8" t="s">
        <v>52</v>
      </c>
      <c r="AC11" s="6">
        <f t="shared" ref="AC11:AH11" si="61">SUM(AC2:AC10)</f>
        <v>532915.5</v>
      </c>
      <c r="AD11" s="6">
        <f t="shared" si="61"/>
        <v>549303</v>
      </c>
      <c r="AE11" s="6">
        <f t="shared" si="61"/>
        <v>557601</v>
      </c>
      <c r="AF11" s="6">
        <f t="shared" si="61"/>
        <v>29884</v>
      </c>
      <c r="AG11" s="6">
        <f t="shared" si="61"/>
        <v>33370.5</v>
      </c>
      <c r="AH11" s="6">
        <f t="shared" si="61"/>
        <v>33311</v>
      </c>
      <c r="AI11" s="7">
        <f t="shared" ref="AI11:AK11" si="62">+(AF11/AC11)*100</f>
        <v>5.607643238</v>
      </c>
      <c r="AJ11" s="7">
        <f t="shared" si="62"/>
        <v>6.075062397</v>
      </c>
      <c r="AK11" s="7">
        <f t="shared" si="62"/>
        <v>5.973984982</v>
      </c>
      <c r="AL11" s="7">
        <f t="shared" si="13"/>
        <v>5.885563539</v>
      </c>
      <c r="AM11" s="6">
        <f t="shared" ref="AM11:AR11" si="63">SUM(AM2:AM10)</f>
        <v>590684.5</v>
      </c>
      <c r="AN11" s="6">
        <f t="shared" si="63"/>
        <v>601021.5</v>
      </c>
      <c r="AO11" s="6">
        <f t="shared" si="63"/>
        <v>609310</v>
      </c>
      <c r="AP11" s="6">
        <f t="shared" si="63"/>
        <v>13969.5</v>
      </c>
      <c r="AQ11" s="6">
        <f t="shared" si="63"/>
        <v>12554.5</v>
      </c>
      <c r="AR11" s="6">
        <f t="shared" si="63"/>
        <v>13876</v>
      </c>
      <c r="AS11" s="9">
        <f t="shared" ref="AS11:AU11" si="64">(AP11/AM11)*100</f>
        <v>2.364968101</v>
      </c>
      <c r="AT11" s="9">
        <f t="shared" si="64"/>
        <v>2.088860382</v>
      </c>
      <c r="AU11" s="9">
        <f t="shared" si="64"/>
        <v>2.277330095</v>
      </c>
      <c r="AV11" s="9">
        <f t="shared" si="16"/>
        <v>2.243719526</v>
      </c>
    </row>
    <row r="12" ht="14.25" customHeight="1">
      <c r="A12" s="1" t="s">
        <v>27</v>
      </c>
      <c r="B12" s="1" t="s">
        <v>50</v>
      </c>
      <c r="C12" s="1" t="s">
        <v>50</v>
      </c>
      <c r="D12" s="1" t="s">
        <v>53</v>
      </c>
      <c r="E12" s="5">
        <v>10402.0</v>
      </c>
      <c r="F12" s="6">
        <v>304.0</v>
      </c>
      <c r="G12" s="6">
        <v>298.0</v>
      </c>
      <c r="H12" s="6">
        <v>326.0</v>
      </c>
      <c r="I12" s="6">
        <v>15.0</v>
      </c>
      <c r="J12" s="6">
        <v>10.0</v>
      </c>
      <c r="K12" s="6">
        <v>15.0</v>
      </c>
      <c r="L12" s="7">
        <f t="shared" ref="L12:N12" si="65">(I12/F12)*100</f>
        <v>4.934210526</v>
      </c>
      <c r="M12" s="7">
        <f t="shared" si="65"/>
        <v>3.355704698</v>
      </c>
      <c r="N12" s="7">
        <f t="shared" si="65"/>
        <v>4.601226994</v>
      </c>
      <c r="O12" s="7">
        <f t="shared" si="8"/>
        <v>4.297047406</v>
      </c>
      <c r="P12" s="6">
        <v>343.0</v>
      </c>
      <c r="Q12" s="6">
        <v>318.0</v>
      </c>
      <c r="R12" s="6">
        <v>307.0</v>
      </c>
      <c r="S12" s="6">
        <v>12.0</v>
      </c>
      <c r="T12" s="6">
        <v>8.0</v>
      </c>
      <c r="U12" s="6">
        <v>10.0</v>
      </c>
      <c r="V12" s="7">
        <f t="shared" ref="V12:X12" si="66">(S12/P12)*100</f>
        <v>3.498542274</v>
      </c>
      <c r="W12" s="7">
        <f t="shared" si="66"/>
        <v>2.51572327</v>
      </c>
      <c r="X12" s="7">
        <f t="shared" si="66"/>
        <v>3.25732899</v>
      </c>
      <c r="Y12" s="7">
        <f t="shared" si="10"/>
        <v>3.007132772</v>
      </c>
      <c r="AB12" s="8" t="s">
        <v>54</v>
      </c>
      <c r="AC12" s="6">
        <f t="shared" ref="AC12:AH12" si="67">+SUM(F246:F248)</f>
        <v>8568</v>
      </c>
      <c r="AD12" s="6">
        <f t="shared" si="67"/>
        <v>8709</v>
      </c>
      <c r="AE12" s="6">
        <f t="shared" si="67"/>
        <v>8744</v>
      </c>
      <c r="AF12" s="6">
        <f t="shared" si="67"/>
        <v>517</v>
      </c>
      <c r="AG12" s="6">
        <f t="shared" si="67"/>
        <v>568</v>
      </c>
      <c r="AH12" s="6">
        <f t="shared" si="67"/>
        <v>497</v>
      </c>
      <c r="AI12" s="7">
        <f t="shared" ref="AI12:AK12" si="68">+(AF12/AC12)*100</f>
        <v>6.034080299</v>
      </c>
      <c r="AJ12" s="7">
        <f t="shared" si="68"/>
        <v>6.521988747</v>
      </c>
      <c r="AK12" s="7">
        <f t="shared" si="68"/>
        <v>5.68389753</v>
      </c>
      <c r="AL12" s="7">
        <f t="shared" si="13"/>
        <v>6.079988859</v>
      </c>
      <c r="AM12" s="6">
        <f t="shared" ref="AM12:AR12" si="69">+SUM(P246:P248)</f>
        <v>8553</v>
      </c>
      <c r="AN12" s="6">
        <f t="shared" si="69"/>
        <v>8804</v>
      </c>
      <c r="AO12" s="6">
        <f t="shared" si="69"/>
        <v>8878</v>
      </c>
      <c r="AP12" s="6">
        <f t="shared" si="69"/>
        <v>190</v>
      </c>
      <c r="AQ12" s="6">
        <f t="shared" si="69"/>
        <v>157</v>
      </c>
      <c r="AR12" s="6">
        <f t="shared" si="69"/>
        <v>148</v>
      </c>
      <c r="AS12" s="9">
        <f t="shared" ref="AS12:AU12" si="70">(AP12/AM12)*100</f>
        <v>2.221442769</v>
      </c>
      <c r="AT12" s="9">
        <f t="shared" si="70"/>
        <v>1.783280327</v>
      </c>
      <c r="AU12" s="9">
        <f t="shared" si="70"/>
        <v>1.667042127</v>
      </c>
      <c r="AV12" s="9">
        <f t="shared" si="16"/>
        <v>1.890588407</v>
      </c>
    </row>
    <row r="13" ht="14.25" customHeight="1">
      <c r="A13" s="1" t="s">
        <v>27</v>
      </c>
      <c r="B13" s="1" t="s">
        <v>50</v>
      </c>
      <c r="C13" s="1" t="s">
        <v>55</v>
      </c>
      <c r="D13" s="1" t="s">
        <v>56</v>
      </c>
      <c r="E13" s="5">
        <v>10403.0</v>
      </c>
      <c r="F13" s="6">
        <v>249.0</v>
      </c>
      <c r="G13" s="6">
        <v>227.0</v>
      </c>
      <c r="H13" s="6">
        <v>225.0</v>
      </c>
      <c r="I13" s="6">
        <v>23.0</v>
      </c>
      <c r="J13" s="6">
        <v>19.0</v>
      </c>
      <c r="K13" s="6">
        <v>25.0</v>
      </c>
      <c r="L13" s="7">
        <f t="shared" ref="L13:N13" si="71">(I13/F13)*100</f>
        <v>9.236947791</v>
      </c>
      <c r="M13" s="7">
        <f t="shared" si="71"/>
        <v>8.370044053</v>
      </c>
      <c r="N13" s="7">
        <f t="shared" si="71"/>
        <v>11.11111111</v>
      </c>
      <c r="O13" s="7">
        <f t="shared" si="8"/>
        <v>9.572700985</v>
      </c>
      <c r="P13" s="6">
        <v>229.0</v>
      </c>
      <c r="Q13" s="6">
        <v>220.0</v>
      </c>
      <c r="R13" s="6">
        <v>211.0</v>
      </c>
      <c r="S13" s="6">
        <v>8.0</v>
      </c>
      <c r="T13" s="6">
        <v>5.0</v>
      </c>
      <c r="U13" s="6">
        <v>11.0</v>
      </c>
      <c r="V13" s="7">
        <f t="shared" ref="V13:X13" si="72">(S13/P13)*100</f>
        <v>3.493449782</v>
      </c>
      <c r="W13" s="7">
        <f t="shared" si="72"/>
        <v>2.272727273</v>
      </c>
      <c r="X13" s="7">
        <f t="shared" si="72"/>
        <v>5.213270142</v>
      </c>
      <c r="Y13" s="7">
        <f t="shared" si="10"/>
        <v>2.883088527</v>
      </c>
    </row>
    <row r="14" ht="14.25" customHeight="1">
      <c r="A14" s="1" t="s">
        <v>27</v>
      </c>
      <c r="B14" s="1" t="s">
        <v>50</v>
      </c>
      <c r="C14" s="1" t="s">
        <v>57</v>
      </c>
      <c r="D14" s="1" t="s">
        <v>57</v>
      </c>
      <c r="E14" s="5">
        <v>10404.0</v>
      </c>
      <c r="F14" s="6">
        <v>166.0</v>
      </c>
      <c r="G14" s="6">
        <v>175.0</v>
      </c>
      <c r="H14" s="6">
        <v>172.0</v>
      </c>
      <c r="I14" s="6">
        <v>12.0</v>
      </c>
      <c r="J14" s="6">
        <v>15.0</v>
      </c>
      <c r="K14" s="6">
        <v>4.0</v>
      </c>
      <c r="L14" s="7">
        <f t="shared" ref="L14:N14" si="73">(I14/F14)*100</f>
        <v>7.228915663</v>
      </c>
      <c r="M14" s="7">
        <f t="shared" si="73"/>
        <v>8.571428571</v>
      </c>
      <c r="N14" s="7">
        <f t="shared" si="73"/>
        <v>2.325581395</v>
      </c>
      <c r="O14" s="7">
        <f t="shared" si="8"/>
        <v>6.04197521</v>
      </c>
      <c r="P14" s="6">
        <v>129.0</v>
      </c>
      <c r="Q14" s="6">
        <v>131.0</v>
      </c>
      <c r="R14" s="6">
        <v>129.0</v>
      </c>
      <c r="S14" s="6">
        <v>3.0</v>
      </c>
      <c r="T14" s="6">
        <v>2.0</v>
      </c>
      <c r="U14" s="6">
        <v>0.0</v>
      </c>
      <c r="V14" s="7">
        <f t="shared" ref="V14:X14" si="74">(S14/P14)*100</f>
        <v>2.325581395</v>
      </c>
      <c r="W14" s="7">
        <f t="shared" si="74"/>
        <v>1.526717557</v>
      </c>
      <c r="X14" s="7">
        <f t="shared" si="74"/>
        <v>0</v>
      </c>
      <c r="Y14" s="7">
        <f t="shared" si="10"/>
        <v>1.926149476</v>
      </c>
    </row>
    <row r="15" ht="14.25" customHeight="1">
      <c r="A15" s="1" t="s">
        <v>27</v>
      </c>
      <c r="B15" s="1" t="s">
        <v>50</v>
      </c>
      <c r="C15" s="1" t="s">
        <v>58</v>
      </c>
      <c r="D15" s="1" t="s">
        <v>58</v>
      </c>
      <c r="E15" s="5">
        <v>10405.0</v>
      </c>
      <c r="F15" s="6">
        <v>187.0</v>
      </c>
      <c r="G15" s="6">
        <v>182.0</v>
      </c>
      <c r="H15" s="6">
        <v>183.0</v>
      </c>
      <c r="I15" s="6">
        <v>3.0</v>
      </c>
      <c r="J15" s="6">
        <v>6.0</v>
      </c>
      <c r="K15" s="6">
        <v>2.0</v>
      </c>
      <c r="L15" s="7">
        <f t="shared" ref="L15:N15" si="75">(I15/F15)*100</f>
        <v>1.604278075</v>
      </c>
      <c r="M15" s="7">
        <f t="shared" si="75"/>
        <v>3.296703297</v>
      </c>
      <c r="N15" s="7">
        <f t="shared" si="75"/>
        <v>1.092896175</v>
      </c>
      <c r="O15" s="7">
        <f t="shared" si="8"/>
        <v>1.997959182</v>
      </c>
      <c r="P15" s="6">
        <v>147.0</v>
      </c>
      <c r="Q15" s="6">
        <v>130.0</v>
      </c>
      <c r="R15" s="6">
        <v>130.0</v>
      </c>
      <c r="S15" s="6">
        <v>2.0</v>
      </c>
      <c r="T15" s="6">
        <v>1.0</v>
      </c>
      <c r="U15" s="6">
        <v>0.0</v>
      </c>
      <c r="V15" s="7">
        <f t="shared" ref="V15:X15" si="76">(S15/P15)*100</f>
        <v>1.360544218</v>
      </c>
      <c r="W15" s="7">
        <f t="shared" si="76"/>
        <v>0.7692307692</v>
      </c>
      <c r="X15" s="7">
        <f t="shared" si="76"/>
        <v>0</v>
      </c>
      <c r="Y15" s="7">
        <f t="shared" si="10"/>
        <v>1.064887493</v>
      </c>
    </row>
    <row r="16" ht="14.25" customHeight="1">
      <c r="A16" s="1" t="s">
        <v>27</v>
      </c>
      <c r="B16" s="1" t="s">
        <v>59</v>
      </c>
      <c r="C16" s="1" t="s">
        <v>60</v>
      </c>
      <c r="D16" s="1" t="s">
        <v>60</v>
      </c>
      <c r="E16" s="5">
        <v>10501.0</v>
      </c>
      <c r="F16" s="6">
        <v>1533.0</v>
      </c>
      <c r="G16" s="6">
        <v>1545.0</v>
      </c>
      <c r="H16" s="6">
        <v>1533.0</v>
      </c>
      <c r="I16" s="6">
        <v>60.0</v>
      </c>
      <c r="J16" s="6">
        <v>98.0</v>
      </c>
      <c r="K16" s="6">
        <v>43.0</v>
      </c>
      <c r="L16" s="7">
        <f t="shared" ref="L16:N16" si="77">(I16/F16)*100</f>
        <v>3.913894325</v>
      </c>
      <c r="M16" s="7">
        <f t="shared" si="77"/>
        <v>6.343042071</v>
      </c>
      <c r="N16" s="7">
        <f t="shared" si="77"/>
        <v>2.804957599</v>
      </c>
      <c r="O16" s="7">
        <f t="shared" si="8"/>
        <v>4.353964665</v>
      </c>
      <c r="P16" s="6">
        <v>1195.0</v>
      </c>
      <c r="Q16" s="6">
        <v>1196.0</v>
      </c>
      <c r="R16" s="6">
        <v>1226.0</v>
      </c>
      <c r="S16" s="6">
        <v>26.0</v>
      </c>
      <c r="T16" s="6">
        <v>25.0</v>
      </c>
      <c r="U16" s="6">
        <v>15.0</v>
      </c>
      <c r="V16" s="7">
        <f t="shared" ref="V16:X16" si="78">(S16/P16)*100</f>
        <v>2.175732218</v>
      </c>
      <c r="W16" s="7">
        <f t="shared" si="78"/>
        <v>2.090301003</v>
      </c>
      <c r="X16" s="7">
        <f t="shared" si="78"/>
        <v>1.223491028</v>
      </c>
      <c r="Y16" s="7">
        <f t="shared" si="10"/>
        <v>2.13301661</v>
      </c>
    </row>
    <row r="17" ht="14.25" customHeight="1">
      <c r="A17" s="1" t="s">
        <v>27</v>
      </c>
      <c r="B17" s="1" t="s">
        <v>59</v>
      </c>
      <c r="C17" s="1" t="s">
        <v>61</v>
      </c>
      <c r="D17" s="1" t="s">
        <v>62</v>
      </c>
      <c r="E17" s="5">
        <v>10502.0</v>
      </c>
      <c r="F17" s="6">
        <v>302.0</v>
      </c>
      <c r="G17" s="6">
        <v>343.0</v>
      </c>
      <c r="H17" s="6">
        <v>346.0</v>
      </c>
      <c r="I17" s="6">
        <v>38.0</v>
      </c>
      <c r="J17" s="6">
        <v>51.0</v>
      </c>
      <c r="K17" s="6">
        <v>48.0</v>
      </c>
      <c r="L17" s="7">
        <f t="shared" ref="L17:N17" si="79">(I17/F17)*100</f>
        <v>12.58278146</v>
      </c>
      <c r="M17" s="7">
        <f t="shared" si="79"/>
        <v>14.86880466</v>
      </c>
      <c r="N17" s="7">
        <f t="shared" si="79"/>
        <v>13.87283237</v>
      </c>
      <c r="O17" s="7">
        <f t="shared" si="8"/>
        <v>13.77480616</v>
      </c>
      <c r="P17" s="6">
        <v>327.0</v>
      </c>
      <c r="Q17" s="6">
        <v>328.0</v>
      </c>
      <c r="R17" s="6">
        <v>330.0</v>
      </c>
      <c r="S17" s="6">
        <v>14.0</v>
      </c>
      <c r="T17" s="6">
        <v>8.0</v>
      </c>
      <c r="U17" s="6">
        <v>18.0</v>
      </c>
      <c r="V17" s="7">
        <f t="shared" ref="V17:X17" si="80">(S17/P17)*100</f>
        <v>4.281345566</v>
      </c>
      <c r="W17" s="7">
        <f t="shared" si="80"/>
        <v>2.43902439</v>
      </c>
      <c r="X17" s="7">
        <f t="shared" si="80"/>
        <v>5.454545455</v>
      </c>
      <c r="Y17" s="7">
        <f t="shared" si="10"/>
        <v>3.360184978</v>
      </c>
    </row>
    <row r="18" ht="14.25" customHeight="1">
      <c r="A18" s="1" t="s">
        <v>27</v>
      </c>
      <c r="B18" s="1" t="s">
        <v>63</v>
      </c>
      <c r="C18" s="1" t="s">
        <v>64</v>
      </c>
      <c r="D18" s="1" t="s">
        <v>64</v>
      </c>
      <c r="E18" s="5">
        <v>10601.0</v>
      </c>
      <c r="F18" s="6">
        <v>579.0</v>
      </c>
      <c r="G18" s="6">
        <v>618.0</v>
      </c>
      <c r="H18" s="6">
        <v>654.0</v>
      </c>
      <c r="I18" s="6">
        <v>33.0</v>
      </c>
      <c r="J18" s="6">
        <v>67.0</v>
      </c>
      <c r="K18" s="6">
        <v>43.0</v>
      </c>
      <c r="L18" s="7">
        <f t="shared" ref="L18:N18" si="81">(I18/F18)*100</f>
        <v>5.699481865</v>
      </c>
      <c r="M18" s="7">
        <f t="shared" si="81"/>
        <v>10.84142395</v>
      </c>
      <c r="N18" s="7">
        <f t="shared" si="81"/>
        <v>6.574923547</v>
      </c>
      <c r="O18" s="7">
        <f t="shared" si="8"/>
        <v>7.705276454</v>
      </c>
      <c r="P18" s="6">
        <v>702.0</v>
      </c>
      <c r="Q18" s="6">
        <v>647.0</v>
      </c>
      <c r="R18" s="6">
        <v>581.0</v>
      </c>
      <c r="S18" s="6">
        <v>33.0</v>
      </c>
      <c r="T18" s="6">
        <v>28.0</v>
      </c>
      <c r="U18" s="6">
        <v>29.0</v>
      </c>
      <c r="V18" s="7">
        <f t="shared" ref="V18:X18" si="82">(S18/P18)*100</f>
        <v>4.700854701</v>
      </c>
      <c r="W18" s="7">
        <f t="shared" si="82"/>
        <v>4.327666151</v>
      </c>
      <c r="X18" s="7">
        <f t="shared" si="82"/>
        <v>4.991394148</v>
      </c>
      <c r="Y18" s="7">
        <f t="shared" si="10"/>
        <v>4.514260426</v>
      </c>
    </row>
    <row r="19" ht="14.25" customHeight="1">
      <c r="A19" s="1" t="s">
        <v>27</v>
      </c>
      <c r="B19" s="1" t="s">
        <v>63</v>
      </c>
      <c r="C19" s="1" t="s">
        <v>63</v>
      </c>
      <c r="D19" s="1" t="s">
        <v>63</v>
      </c>
      <c r="E19" s="5">
        <v>10602.0</v>
      </c>
      <c r="F19" s="6">
        <v>304.0</v>
      </c>
      <c r="G19" s="6">
        <v>320.0</v>
      </c>
      <c r="H19" s="6">
        <v>353.0</v>
      </c>
      <c r="I19" s="6">
        <v>17.0</v>
      </c>
      <c r="J19" s="6">
        <v>24.0</v>
      </c>
      <c r="K19" s="6">
        <v>28.0</v>
      </c>
      <c r="L19" s="7">
        <f t="shared" ref="L19:N19" si="83">(I19/F19)*100</f>
        <v>5.592105263</v>
      </c>
      <c r="M19" s="7">
        <f t="shared" si="83"/>
        <v>7.5</v>
      </c>
      <c r="N19" s="7">
        <f t="shared" si="83"/>
        <v>7.932011331</v>
      </c>
      <c r="O19" s="7">
        <f t="shared" si="8"/>
        <v>7.008038865</v>
      </c>
      <c r="P19" s="6">
        <v>342.0</v>
      </c>
      <c r="Q19" s="6">
        <v>319.0</v>
      </c>
      <c r="R19" s="6">
        <v>306.0</v>
      </c>
      <c r="S19" s="6">
        <v>14.0</v>
      </c>
      <c r="T19" s="6">
        <v>8.0</v>
      </c>
      <c r="U19" s="6">
        <v>11.0</v>
      </c>
      <c r="V19" s="7">
        <f t="shared" ref="V19:X19" si="84">(S19/P19)*100</f>
        <v>4.093567251</v>
      </c>
      <c r="W19" s="7">
        <f t="shared" si="84"/>
        <v>2.507836991</v>
      </c>
      <c r="X19" s="7">
        <f t="shared" si="84"/>
        <v>3.594771242</v>
      </c>
      <c r="Y19" s="7">
        <f t="shared" si="10"/>
        <v>3.300702121</v>
      </c>
    </row>
    <row r="20" ht="14.25" customHeight="1">
      <c r="A20" s="1" t="s">
        <v>27</v>
      </c>
      <c r="B20" s="1" t="s">
        <v>65</v>
      </c>
      <c r="C20" s="1" t="s">
        <v>66</v>
      </c>
      <c r="D20" s="1" t="s">
        <v>66</v>
      </c>
      <c r="E20" s="5">
        <v>10701.0</v>
      </c>
      <c r="F20" s="6">
        <v>797.0</v>
      </c>
      <c r="G20" s="6">
        <v>802.0</v>
      </c>
      <c r="H20" s="6">
        <v>782.0</v>
      </c>
      <c r="I20" s="6">
        <v>40.0</v>
      </c>
      <c r="J20" s="6">
        <v>50.0</v>
      </c>
      <c r="K20" s="6">
        <v>48.0</v>
      </c>
      <c r="L20" s="7">
        <f t="shared" ref="L20:N20" si="85">(I20/F20)*100</f>
        <v>5.018820577</v>
      </c>
      <c r="M20" s="7">
        <f t="shared" si="85"/>
        <v>6.234413965</v>
      </c>
      <c r="N20" s="7">
        <f t="shared" si="85"/>
        <v>6.138107417</v>
      </c>
      <c r="O20" s="7">
        <f t="shared" si="8"/>
        <v>5.797113986</v>
      </c>
      <c r="P20" s="6">
        <v>705.0</v>
      </c>
      <c r="Q20" s="6">
        <v>696.0</v>
      </c>
      <c r="R20" s="6">
        <v>667.0</v>
      </c>
      <c r="S20" s="6">
        <v>23.0</v>
      </c>
      <c r="T20" s="6">
        <v>26.0</v>
      </c>
      <c r="U20" s="6">
        <v>15.0</v>
      </c>
      <c r="V20" s="7">
        <f t="shared" ref="V20:X20" si="86">(S20/P20)*100</f>
        <v>3.262411348</v>
      </c>
      <c r="W20" s="7">
        <f t="shared" si="86"/>
        <v>3.735632184</v>
      </c>
      <c r="X20" s="7">
        <f t="shared" si="86"/>
        <v>2.248875562</v>
      </c>
      <c r="Y20" s="7">
        <f t="shared" si="10"/>
        <v>3.499021766</v>
      </c>
    </row>
    <row r="21" ht="14.25" customHeight="1">
      <c r="A21" s="1" t="s">
        <v>27</v>
      </c>
      <c r="B21" s="1" t="s">
        <v>65</v>
      </c>
      <c r="C21" s="1" t="s">
        <v>67</v>
      </c>
      <c r="D21" s="1" t="s">
        <v>67</v>
      </c>
      <c r="E21" s="5">
        <v>10702.0</v>
      </c>
      <c r="F21" s="6">
        <v>1190.0</v>
      </c>
      <c r="G21" s="6">
        <v>1236.0</v>
      </c>
      <c r="H21" s="6">
        <v>1339.0</v>
      </c>
      <c r="I21" s="6">
        <v>173.0</v>
      </c>
      <c r="J21" s="6">
        <v>138.0</v>
      </c>
      <c r="K21" s="6">
        <v>153.0</v>
      </c>
      <c r="L21" s="7">
        <f t="shared" ref="L21:N21" si="87">(I21/F21)*100</f>
        <v>14.53781513</v>
      </c>
      <c r="M21" s="7">
        <f t="shared" si="87"/>
        <v>11.16504854</v>
      </c>
      <c r="N21" s="7">
        <f t="shared" si="87"/>
        <v>11.42643764</v>
      </c>
      <c r="O21" s="7">
        <f t="shared" si="8"/>
        <v>12.37643377</v>
      </c>
      <c r="P21" s="6">
        <v>1500.0</v>
      </c>
      <c r="Q21" s="6">
        <v>1447.0</v>
      </c>
      <c r="R21" s="6">
        <v>1419.0</v>
      </c>
      <c r="S21" s="6">
        <v>94.0</v>
      </c>
      <c r="T21" s="6">
        <v>71.0</v>
      </c>
      <c r="U21" s="6">
        <v>66.0</v>
      </c>
      <c r="V21" s="7">
        <f t="shared" ref="V21:X21" si="88">(S21/P21)*100</f>
        <v>6.266666667</v>
      </c>
      <c r="W21" s="7">
        <f t="shared" si="88"/>
        <v>4.906703525</v>
      </c>
      <c r="X21" s="7">
        <f t="shared" si="88"/>
        <v>4.651162791</v>
      </c>
      <c r="Y21" s="7">
        <f t="shared" si="10"/>
        <v>5.586685096</v>
      </c>
    </row>
    <row r="22" ht="14.25" customHeight="1">
      <c r="A22" s="1" t="s">
        <v>27</v>
      </c>
      <c r="B22" s="1" t="s">
        <v>65</v>
      </c>
      <c r="C22" s="1" t="s">
        <v>68</v>
      </c>
      <c r="D22" s="1" t="s">
        <v>68</v>
      </c>
      <c r="E22" s="5">
        <v>10703.0</v>
      </c>
      <c r="F22" s="6">
        <v>694.0</v>
      </c>
      <c r="G22" s="6">
        <v>723.0</v>
      </c>
      <c r="H22" s="6">
        <v>338.0</v>
      </c>
      <c r="I22" s="6">
        <v>119.0</v>
      </c>
      <c r="J22" s="6">
        <v>117.0</v>
      </c>
      <c r="K22" s="6">
        <v>52.0</v>
      </c>
      <c r="L22" s="7">
        <f t="shared" ref="L22:N22" si="89">(I22/F22)*100</f>
        <v>17.14697406</v>
      </c>
      <c r="M22" s="7">
        <f t="shared" si="89"/>
        <v>16.18257261</v>
      </c>
      <c r="N22" s="7">
        <f t="shared" si="89"/>
        <v>15.38461538</v>
      </c>
      <c r="O22" s="7">
        <f t="shared" si="8"/>
        <v>16.23805402</v>
      </c>
      <c r="P22" s="6">
        <v>460.0</v>
      </c>
      <c r="Q22" s="6">
        <v>468.0</v>
      </c>
      <c r="R22" s="6">
        <v>490.0</v>
      </c>
      <c r="S22" s="6">
        <v>25.0</v>
      </c>
      <c r="T22" s="6">
        <v>31.0</v>
      </c>
      <c r="U22" s="6">
        <v>35.0</v>
      </c>
      <c r="V22" s="7">
        <f t="shared" ref="V22:X22" si="90">(S22/P22)*100</f>
        <v>5.434782609</v>
      </c>
      <c r="W22" s="7">
        <f t="shared" si="90"/>
        <v>6.623931624</v>
      </c>
      <c r="X22" s="7">
        <f t="shared" si="90"/>
        <v>7.142857143</v>
      </c>
      <c r="Y22" s="7">
        <f t="shared" si="10"/>
        <v>6.029357116</v>
      </c>
    </row>
    <row r="23" ht="14.25" customHeight="1">
      <c r="A23" s="1" t="s">
        <v>27</v>
      </c>
      <c r="B23" s="1" t="s">
        <v>65</v>
      </c>
      <c r="C23" s="1" t="s">
        <v>69</v>
      </c>
      <c r="D23" s="1" t="s">
        <v>69</v>
      </c>
      <c r="E23" s="5">
        <v>10704.0</v>
      </c>
      <c r="F23" s="6">
        <v>0.0</v>
      </c>
      <c r="G23" s="6">
        <v>0.0</v>
      </c>
      <c r="H23" s="6">
        <v>448.0</v>
      </c>
      <c r="I23" s="6">
        <v>0.0</v>
      </c>
      <c r="J23" s="6">
        <v>0.0</v>
      </c>
      <c r="K23" s="6">
        <v>65.0</v>
      </c>
      <c r="L23" s="7"/>
      <c r="M23" s="7"/>
      <c r="N23" s="7">
        <f>(K23/H23)*100</f>
        <v>14.50892857</v>
      </c>
      <c r="O23" s="7">
        <f t="shared" si="8"/>
        <v>14.50892857</v>
      </c>
      <c r="P23" s="6">
        <v>609.0</v>
      </c>
      <c r="Q23" s="6">
        <v>596.0</v>
      </c>
      <c r="R23" s="6">
        <v>588.0</v>
      </c>
      <c r="S23" s="6">
        <v>43.0</v>
      </c>
      <c r="T23" s="6">
        <v>35.0</v>
      </c>
      <c r="U23" s="6">
        <v>31.0</v>
      </c>
      <c r="V23" s="7">
        <f t="shared" ref="V23:X23" si="91">(S23/P23)*100</f>
        <v>7.060755337</v>
      </c>
      <c r="W23" s="7">
        <f t="shared" si="91"/>
        <v>5.872483221</v>
      </c>
      <c r="X23" s="7">
        <f t="shared" si="91"/>
        <v>5.272108844</v>
      </c>
      <c r="Y23" s="7">
        <f t="shared" si="10"/>
        <v>6.466619279</v>
      </c>
    </row>
    <row r="24" ht="14.25" customHeight="1">
      <c r="A24" s="1" t="s">
        <v>27</v>
      </c>
      <c r="B24" s="1" t="s">
        <v>70</v>
      </c>
      <c r="C24" s="1" t="s">
        <v>71</v>
      </c>
      <c r="D24" s="1" t="s">
        <v>71</v>
      </c>
      <c r="E24" s="5">
        <v>10801.0</v>
      </c>
      <c r="F24" s="6">
        <v>579.0</v>
      </c>
      <c r="G24" s="6">
        <v>528.0</v>
      </c>
      <c r="H24" s="6">
        <v>508.0</v>
      </c>
      <c r="I24" s="6">
        <v>26.0</v>
      </c>
      <c r="J24" s="6">
        <v>31.0</v>
      </c>
      <c r="K24" s="6">
        <v>15.0</v>
      </c>
      <c r="L24" s="7">
        <f t="shared" ref="L24:N24" si="92">(I24/F24)*100</f>
        <v>4.490500864</v>
      </c>
      <c r="M24" s="7">
        <f t="shared" si="92"/>
        <v>5.871212121</v>
      </c>
      <c r="N24" s="7">
        <f t="shared" si="92"/>
        <v>2.952755906</v>
      </c>
      <c r="O24" s="7">
        <f t="shared" si="8"/>
        <v>4.438156297</v>
      </c>
      <c r="P24" s="6">
        <v>383.0</v>
      </c>
      <c r="Q24" s="6">
        <v>427.0</v>
      </c>
      <c r="R24" s="6">
        <v>421.0</v>
      </c>
      <c r="S24" s="6">
        <v>4.0</v>
      </c>
      <c r="T24" s="6">
        <v>5.0</v>
      </c>
      <c r="U24" s="6">
        <v>7.0</v>
      </c>
      <c r="V24" s="7">
        <f t="shared" ref="V24:X24" si="93">(S24/P24)*100</f>
        <v>1.044386423</v>
      </c>
      <c r="W24" s="7">
        <f t="shared" si="93"/>
        <v>1.170960187</v>
      </c>
      <c r="X24" s="7">
        <f t="shared" si="93"/>
        <v>1.662707838</v>
      </c>
      <c r="Y24" s="7">
        <f t="shared" si="10"/>
        <v>1.107673305</v>
      </c>
    </row>
    <row r="25" ht="14.25" customHeight="1">
      <c r="A25" s="1" t="s">
        <v>27</v>
      </c>
      <c r="B25" s="1" t="s">
        <v>72</v>
      </c>
      <c r="C25" s="1" t="s">
        <v>73</v>
      </c>
      <c r="D25" s="1" t="s">
        <v>73</v>
      </c>
      <c r="E25" s="5">
        <v>10901.0</v>
      </c>
      <c r="F25" s="6">
        <v>147.0</v>
      </c>
      <c r="G25" s="6">
        <v>147.0</v>
      </c>
      <c r="H25" s="6">
        <v>149.0</v>
      </c>
      <c r="I25" s="6">
        <v>3.0</v>
      </c>
      <c r="J25" s="6">
        <v>7.0</v>
      </c>
      <c r="K25" s="6">
        <v>6.0</v>
      </c>
      <c r="L25" s="7">
        <f t="shared" ref="L25:N25" si="94">(I25/F25)*100</f>
        <v>2.040816327</v>
      </c>
      <c r="M25" s="7">
        <f t="shared" si="94"/>
        <v>4.761904762</v>
      </c>
      <c r="N25" s="7">
        <f t="shared" si="94"/>
        <v>4.026845638</v>
      </c>
      <c r="O25" s="7">
        <f t="shared" si="8"/>
        <v>3.609855575</v>
      </c>
      <c r="P25" s="6">
        <v>132.0</v>
      </c>
      <c r="Q25" s="6">
        <v>129.0</v>
      </c>
      <c r="R25" s="6">
        <v>115.0</v>
      </c>
      <c r="S25" s="6">
        <v>4.0</v>
      </c>
      <c r="T25" s="6">
        <v>0.0</v>
      </c>
      <c r="U25" s="6">
        <v>3.0</v>
      </c>
      <c r="V25" s="7">
        <f t="shared" ref="V25:X25" si="95">(S25/P25)*100</f>
        <v>3.03030303</v>
      </c>
      <c r="W25" s="7">
        <f t="shared" si="95"/>
        <v>0</v>
      </c>
      <c r="X25" s="7">
        <f t="shared" si="95"/>
        <v>2.608695652</v>
      </c>
      <c r="Y25" s="7">
        <f t="shared" si="10"/>
        <v>1.515151515</v>
      </c>
    </row>
    <row r="26" ht="14.25" customHeight="1">
      <c r="A26" s="1" t="s">
        <v>27</v>
      </c>
      <c r="B26" s="1" t="s">
        <v>72</v>
      </c>
      <c r="C26" s="1" t="s">
        <v>74</v>
      </c>
      <c r="D26" s="1" t="s">
        <v>74</v>
      </c>
      <c r="E26" s="5">
        <v>10902.0</v>
      </c>
      <c r="F26" s="6">
        <v>497.0</v>
      </c>
      <c r="G26" s="6">
        <v>522.0</v>
      </c>
      <c r="H26" s="6">
        <v>520.0</v>
      </c>
      <c r="I26" s="6">
        <v>62.0</v>
      </c>
      <c r="J26" s="6">
        <v>68.0</v>
      </c>
      <c r="K26" s="6">
        <v>65.0</v>
      </c>
      <c r="L26" s="7">
        <f t="shared" ref="L26:N26" si="96">(I26/F26)*100</f>
        <v>12.47484909</v>
      </c>
      <c r="M26" s="7">
        <f t="shared" si="96"/>
        <v>13.02681992</v>
      </c>
      <c r="N26" s="7">
        <f t="shared" si="96"/>
        <v>12.5</v>
      </c>
      <c r="O26" s="7">
        <f t="shared" si="8"/>
        <v>12.66722301</v>
      </c>
      <c r="P26" s="6">
        <v>558.0</v>
      </c>
      <c r="Q26" s="6">
        <v>566.0</v>
      </c>
      <c r="R26" s="6">
        <v>579.0</v>
      </c>
      <c r="S26" s="6">
        <v>27.0</v>
      </c>
      <c r="T26" s="6">
        <v>26.0</v>
      </c>
      <c r="U26" s="6">
        <v>26.0</v>
      </c>
      <c r="V26" s="7">
        <f t="shared" ref="V26:X26" si="97">(S26/P26)*100</f>
        <v>4.838709677</v>
      </c>
      <c r="W26" s="7">
        <f t="shared" si="97"/>
        <v>4.593639576</v>
      </c>
      <c r="X26" s="7">
        <f t="shared" si="97"/>
        <v>4.490500864</v>
      </c>
      <c r="Y26" s="7">
        <f t="shared" si="10"/>
        <v>4.716174627</v>
      </c>
    </row>
    <row r="27" ht="14.25" customHeight="1">
      <c r="A27" s="1" t="s">
        <v>27</v>
      </c>
      <c r="B27" s="1" t="s">
        <v>72</v>
      </c>
      <c r="C27" s="1" t="s">
        <v>75</v>
      </c>
      <c r="D27" s="1" t="s">
        <v>75</v>
      </c>
      <c r="E27" s="5">
        <v>10903.0</v>
      </c>
      <c r="F27" s="6">
        <v>73.0</v>
      </c>
      <c r="G27" s="6">
        <v>76.0</v>
      </c>
      <c r="H27" s="6">
        <v>69.0</v>
      </c>
      <c r="I27" s="6">
        <v>5.0</v>
      </c>
      <c r="J27" s="6">
        <v>5.0</v>
      </c>
      <c r="K27" s="6">
        <v>2.0</v>
      </c>
      <c r="L27" s="7">
        <f t="shared" ref="L27:N27" si="98">(I27/F27)*100</f>
        <v>6.849315068</v>
      </c>
      <c r="M27" s="7">
        <f t="shared" si="98"/>
        <v>6.578947368</v>
      </c>
      <c r="N27" s="7">
        <f t="shared" si="98"/>
        <v>2.898550725</v>
      </c>
      <c r="O27" s="7">
        <f t="shared" si="8"/>
        <v>5.442271054</v>
      </c>
      <c r="P27" s="6">
        <v>77.0</v>
      </c>
      <c r="Q27" s="6">
        <v>73.0</v>
      </c>
      <c r="R27" s="6">
        <v>81.0</v>
      </c>
      <c r="S27" s="6">
        <v>2.0</v>
      </c>
      <c r="T27" s="6">
        <v>0.0</v>
      </c>
      <c r="U27" s="6"/>
      <c r="V27" s="7">
        <f t="shared" ref="V27:X27" si="99">(S27/P27)*100</f>
        <v>2.597402597</v>
      </c>
      <c r="W27" s="7">
        <f t="shared" si="99"/>
        <v>0</v>
      </c>
      <c r="X27" s="7">
        <f t="shared" si="99"/>
        <v>0</v>
      </c>
      <c r="Y27" s="7">
        <f t="shared" si="10"/>
        <v>1.298701299</v>
      </c>
    </row>
    <row r="28" ht="14.25" customHeight="1">
      <c r="A28" s="1" t="s">
        <v>27</v>
      </c>
      <c r="B28" s="1" t="s">
        <v>76</v>
      </c>
      <c r="C28" s="1" t="s">
        <v>77</v>
      </c>
      <c r="D28" s="1" t="s">
        <v>77</v>
      </c>
      <c r="E28" s="5">
        <v>11001.0</v>
      </c>
      <c r="F28" s="6">
        <v>440.0</v>
      </c>
      <c r="G28" s="6">
        <v>452.0</v>
      </c>
      <c r="H28" s="6">
        <v>440.0</v>
      </c>
      <c r="I28" s="6">
        <v>5.0</v>
      </c>
      <c r="J28" s="6">
        <v>18.0</v>
      </c>
      <c r="K28" s="6">
        <v>21.0</v>
      </c>
      <c r="L28" s="7">
        <f t="shared" ref="L28:N28" si="100">(I28/F28)*100</f>
        <v>1.136363636</v>
      </c>
      <c r="M28" s="7">
        <f t="shared" si="100"/>
        <v>3.982300885</v>
      </c>
      <c r="N28" s="7">
        <f t="shared" si="100"/>
        <v>4.772727273</v>
      </c>
      <c r="O28" s="7">
        <f t="shared" si="8"/>
        <v>3.297130598</v>
      </c>
      <c r="P28" s="6">
        <v>364.0</v>
      </c>
      <c r="Q28" s="6">
        <v>368.0</v>
      </c>
      <c r="R28" s="6">
        <v>366.0</v>
      </c>
      <c r="S28" s="6">
        <v>14.0</v>
      </c>
      <c r="T28" s="6">
        <v>15.0</v>
      </c>
      <c r="U28" s="6">
        <v>6.0</v>
      </c>
      <c r="V28" s="7">
        <f t="shared" ref="V28:X28" si="101">(S28/P28)*100</f>
        <v>3.846153846</v>
      </c>
      <c r="W28" s="7">
        <f t="shared" si="101"/>
        <v>4.076086957</v>
      </c>
      <c r="X28" s="7">
        <f t="shared" si="101"/>
        <v>1.639344262</v>
      </c>
      <c r="Y28" s="7">
        <f t="shared" si="10"/>
        <v>3.961120401</v>
      </c>
    </row>
    <row r="29" ht="14.25" customHeight="1">
      <c r="A29" s="1" t="s">
        <v>27</v>
      </c>
      <c r="B29" s="1" t="s">
        <v>76</v>
      </c>
      <c r="C29" s="1" t="s">
        <v>78</v>
      </c>
      <c r="D29" s="1" t="s">
        <v>79</v>
      </c>
      <c r="E29" s="5">
        <v>11002.0</v>
      </c>
      <c r="F29" s="6">
        <v>87.0</v>
      </c>
      <c r="G29" s="6">
        <v>92.0</v>
      </c>
      <c r="H29" s="6">
        <v>113.0</v>
      </c>
      <c r="I29" s="6">
        <v>8.0</v>
      </c>
      <c r="J29" s="6">
        <v>7.0</v>
      </c>
      <c r="K29" s="6">
        <v>12.0</v>
      </c>
      <c r="L29" s="7">
        <f t="shared" ref="L29:N29" si="102">(I29/F29)*100</f>
        <v>9.195402299</v>
      </c>
      <c r="M29" s="7">
        <f t="shared" si="102"/>
        <v>7.608695652</v>
      </c>
      <c r="N29" s="7">
        <f t="shared" si="102"/>
        <v>10.61946903</v>
      </c>
      <c r="O29" s="7">
        <f t="shared" si="8"/>
        <v>9.141188993</v>
      </c>
      <c r="P29" s="6">
        <v>128.0</v>
      </c>
      <c r="Q29" s="6">
        <v>128.0</v>
      </c>
      <c r="R29" s="6">
        <v>115.0</v>
      </c>
      <c r="S29" s="6">
        <v>2.0</v>
      </c>
      <c r="T29" s="6">
        <v>2.0</v>
      </c>
      <c r="U29" s="6">
        <v>1.0</v>
      </c>
      <c r="V29" s="7">
        <f t="shared" ref="V29:X29" si="103">(S29/P29)*100</f>
        <v>1.5625</v>
      </c>
      <c r="W29" s="7">
        <f t="shared" si="103"/>
        <v>1.5625</v>
      </c>
      <c r="X29" s="7">
        <f t="shared" si="103"/>
        <v>0.8695652174</v>
      </c>
      <c r="Y29" s="7">
        <f t="shared" si="10"/>
        <v>1.5625</v>
      </c>
    </row>
    <row r="30" ht="14.25" customHeight="1">
      <c r="A30" s="1" t="s">
        <v>27</v>
      </c>
      <c r="B30" s="1" t="s">
        <v>76</v>
      </c>
      <c r="C30" s="1" t="s">
        <v>80</v>
      </c>
      <c r="D30" s="1" t="s">
        <v>81</v>
      </c>
      <c r="E30" s="5">
        <v>11003.0</v>
      </c>
      <c r="F30" s="6">
        <v>278.0</v>
      </c>
      <c r="G30" s="6">
        <v>310.0</v>
      </c>
      <c r="H30" s="6">
        <v>321.0</v>
      </c>
      <c r="I30" s="6">
        <v>25.0</v>
      </c>
      <c r="J30" s="6">
        <v>28.0</v>
      </c>
      <c r="K30" s="6">
        <v>24.0</v>
      </c>
      <c r="L30" s="7">
        <f t="shared" ref="L30:N30" si="104">(I30/F30)*100</f>
        <v>8.992805755</v>
      </c>
      <c r="M30" s="7">
        <f t="shared" si="104"/>
        <v>9.032258065</v>
      </c>
      <c r="N30" s="7">
        <f t="shared" si="104"/>
        <v>7.476635514</v>
      </c>
      <c r="O30" s="7">
        <f t="shared" si="8"/>
        <v>8.500566445</v>
      </c>
      <c r="P30" s="6">
        <v>268.0</v>
      </c>
      <c r="Q30" s="6">
        <v>270.0</v>
      </c>
      <c r="R30" s="6">
        <v>302.0</v>
      </c>
      <c r="S30" s="6">
        <v>9.0</v>
      </c>
      <c r="T30" s="6">
        <v>3.0</v>
      </c>
      <c r="U30" s="6">
        <v>13.0</v>
      </c>
      <c r="V30" s="7">
        <f t="shared" ref="V30:X30" si="105">(S30/P30)*100</f>
        <v>3.358208955</v>
      </c>
      <c r="W30" s="7">
        <f t="shared" si="105"/>
        <v>1.111111111</v>
      </c>
      <c r="X30" s="7">
        <f t="shared" si="105"/>
        <v>4.304635762</v>
      </c>
      <c r="Y30" s="7">
        <f t="shared" si="10"/>
        <v>2.234660033</v>
      </c>
    </row>
    <row r="31" ht="14.25" customHeight="1">
      <c r="A31" s="1" t="s">
        <v>31</v>
      </c>
      <c r="B31" s="1" t="s">
        <v>82</v>
      </c>
      <c r="C31" s="1" t="s">
        <v>83</v>
      </c>
      <c r="D31" s="1" t="s">
        <v>83</v>
      </c>
      <c r="E31" s="5">
        <v>20101.0</v>
      </c>
      <c r="F31" s="6">
        <v>46408.0</v>
      </c>
      <c r="G31" s="6">
        <v>46456.0</v>
      </c>
      <c r="H31" s="6">
        <v>45750.0</v>
      </c>
      <c r="I31" s="6">
        <v>1347.0</v>
      </c>
      <c r="J31" s="6">
        <v>1403.0</v>
      </c>
      <c r="K31" s="6">
        <v>1545.0</v>
      </c>
      <c r="L31" s="7">
        <f t="shared" ref="L31:N31" si="106">(I31/F31)*100</f>
        <v>2.902516807</v>
      </c>
      <c r="M31" s="7">
        <f t="shared" si="106"/>
        <v>3.020061994</v>
      </c>
      <c r="N31" s="7">
        <f t="shared" si="106"/>
        <v>3.37704918</v>
      </c>
      <c r="O31" s="7">
        <f t="shared" si="8"/>
        <v>3.099875994</v>
      </c>
      <c r="P31" s="6">
        <v>40451.0</v>
      </c>
      <c r="Q31" s="6">
        <v>40481.0</v>
      </c>
      <c r="R31" s="6">
        <v>40587.0</v>
      </c>
      <c r="S31" s="6">
        <v>509.0</v>
      </c>
      <c r="T31" s="6">
        <v>455.0</v>
      </c>
      <c r="U31" s="6">
        <v>523.0</v>
      </c>
      <c r="V31" s="7">
        <f t="shared" ref="V31:X31" si="107">(S31/P31)*100</f>
        <v>1.258312526</v>
      </c>
      <c r="W31" s="7">
        <f t="shared" si="107"/>
        <v>1.123984091</v>
      </c>
      <c r="X31" s="7">
        <f t="shared" si="107"/>
        <v>1.288589943</v>
      </c>
      <c r="Y31" s="7">
        <f t="shared" si="10"/>
        <v>1.191148309</v>
      </c>
    </row>
    <row r="32" ht="14.25" customHeight="1">
      <c r="A32" s="1" t="s">
        <v>31</v>
      </c>
      <c r="B32" s="1" t="s">
        <v>82</v>
      </c>
      <c r="C32" s="1" t="s">
        <v>84</v>
      </c>
      <c r="D32" s="1" t="s">
        <v>84</v>
      </c>
      <c r="E32" s="5">
        <v>20102.0</v>
      </c>
      <c r="F32" s="6">
        <v>779.0</v>
      </c>
      <c r="G32" s="6">
        <v>845.0</v>
      </c>
      <c r="H32" s="6">
        <v>842.0</v>
      </c>
      <c r="I32" s="6">
        <v>31.0</v>
      </c>
      <c r="J32" s="6">
        <v>75.0</v>
      </c>
      <c r="K32" s="6">
        <v>58.0</v>
      </c>
      <c r="L32" s="7">
        <f t="shared" ref="L32:N32" si="108">(I32/F32)*100</f>
        <v>3.979460847</v>
      </c>
      <c r="M32" s="7">
        <f t="shared" si="108"/>
        <v>8.875739645</v>
      </c>
      <c r="N32" s="7">
        <f t="shared" si="108"/>
        <v>6.888361045</v>
      </c>
      <c r="O32" s="7">
        <f t="shared" si="8"/>
        <v>6.581187179</v>
      </c>
      <c r="P32" s="6">
        <v>1005.0</v>
      </c>
      <c r="Q32" s="6">
        <v>1031.0</v>
      </c>
      <c r="R32" s="6">
        <v>1004.0</v>
      </c>
      <c r="S32" s="6">
        <v>23.0</v>
      </c>
      <c r="T32" s="6">
        <v>44.0</v>
      </c>
      <c r="U32" s="6">
        <v>37.0</v>
      </c>
      <c r="V32" s="7">
        <f t="shared" ref="V32:X32" si="109">(S32/P32)*100</f>
        <v>2.288557214</v>
      </c>
      <c r="W32" s="7">
        <f t="shared" si="109"/>
        <v>4.267701261</v>
      </c>
      <c r="X32" s="7">
        <f t="shared" si="109"/>
        <v>3.685258964</v>
      </c>
      <c r="Y32" s="7">
        <f t="shared" si="10"/>
        <v>3.278129237</v>
      </c>
    </row>
    <row r="33" ht="14.25" customHeight="1">
      <c r="A33" s="1" t="s">
        <v>31</v>
      </c>
      <c r="B33" s="1" t="s">
        <v>82</v>
      </c>
      <c r="C33" s="1" t="s">
        <v>85</v>
      </c>
      <c r="D33" s="1" t="s">
        <v>85</v>
      </c>
      <c r="E33" s="5">
        <v>20103.0</v>
      </c>
      <c r="F33" s="6">
        <v>806.0</v>
      </c>
      <c r="G33" s="6">
        <v>818.0</v>
      </c>
      <c r="H33" s="6">
        <v>835.0</v>
      </c>
      <c r="I33" s="6">
        <v>40.0</v>
      </c>
      <c r="J33" s="6">
        <v>26.0</v>
      </c>
      <c r="K33" s="6">
        <v>44.0</v>
      </c>
      <c r="L33" s="7">
        <f t="shared" ref="L33:N33" si="110">(I33/F33)*100</f>
        <v>4.962779156</v>
      </c>
      <c r="M33" s="7">
        <f t="shared" si="110"/>
        <v>3.178484108</v>
      </c>
      <c r="N33" s="7">
        <f t="shared" si="110"/>
        <v>5.269461078</v>
      </c>
      <c r="O33" s="7">
        <f t="shared" si="8"/>
        <v>4.470241447</v>
      </c>
      <c r="P33" s="6">
        <v>824.0</v>
      </c>
      <c r="Q33" s="6">
        <v>835.0</v>
      </c>
      <c r="R33" s="6">
        <v>819.0</v>
      </c>
      <c r="S33" s="6">
        <v>25.0</v>
      </c>
      <c r="T33" s="6">
        <v>23.0</v>
      </c>
      <c r="U33" s="6">
        <v>8.0</v>
      </c>
      <c r="V33" s="7">
        <f t="shared" ref="V33:X33" si="111">(S33/P33)*100</f>
        <v>3.033980583</v>
      </c>
      <c r="W33" s="7">
        <f t="shared" si="111"/>
        <v>2.754491018</v>
      </c>
      <c r="X33" s="7">
        <f t="shared" si="111"/>
        <v>0.9768009768</v>
      </c>
      <c r="Y33" s="7">
        <f t="shared" si="10"/>
        <v>2.8942358</v>
      </c>
    </row>
    <row r="34" ht="14.25" customHeight="1">
      <c r="A34" s="1" t="s">
        <v>31</v>
      </c>
      <c r="B34" s="1" t="s">
        <v>82</v>
      </c>
      <c r="C34" s="1" t="s">
        <v>86</v>
      </c>
      <c r="D34" s="1" t="s">
        <v>86</v>
      </c>
      <c r="E34" s="5">
        <v>20104.0</v>
      </c>
      <c r="F34" s="6">
        <v>996.0</v>
      </c>
      <c r="G34" s="6">
        <v>1104.0</v>
      </c>
      <c r="H34" s="6">
        <v>1156.0</v>
      </c>
      <c r="I34" s="6">
        <v>52.0</v>
      </c>
      <c r="J34" s="6">
        <v>58.0</v>
      </c>
      <c r="K34" s="6">
        <v>61.0</v>
      </c>
      <c r="L34" s="7">
        <f t="shared" ref="L34:N34" si="112">(I34/F34)*100</f>
        <v>5.220883534</v>
      </c>
      <c r="M34" s="7">
        <f t="shared" si="112"/>
        <v>5.253623188</v>
      </c>
      <c r="N34" s="7">
        <f t="shared" si="112"/>
        <v>5.276816609</v>
      </c>
      <c r="O34" s="7">
        <f t="shared" si="8"/>
        <v>5.250441111</v>
      </c>
      <c r="P34" s="6">
        <v>1472.0</v>
      </c>
      <c r="Q34" s="6">
        <v>1551.0</v>
      </c>
      <c r="R34" s="6">
        <v>1638.0</v>
      </c>
      <c r="S34" s="6">
        <v>24.0</v>
      </c>
      <c r="T34" s="6">
        <v>29.0</v>
      </c>
      <c r="U34" s="6">
        <v>32.0</v>
      </c>
      <c r="V34" s="7">
        <f t="shared" ref="V34:X34" si="113">(S34/P34)*100</f>
        <v>1.630434783</v>
      </c>
      <c r="W34" s="7">
        <f t="shared" si="113"/>
        <v>1.869761444</v>
      </c>
      <c r="X34" s="7">
        <f t="shared" si="113"/>
        <v>1.953601954</v>
      </c>
      <c r="Y34" s="7">
        <f t="shared" si="10"/>
        <v>1.750098113</v>
      </c>
    </row>
    <row r="35" ht="14.25" customHeight="1">
      <c r="A35" s="1" t="s">
        <v>31</v>
      </c>
      <c r="B35" s="1" t="s">
        <v>82</v>
      </c>
      <c r="C35" s="1" t="s">
        <v>87</v>
      </c>
      <c r="D35" s="1" t="s">
        <v>87</v>
      </c>
      <c r="E35" s="5">
        <v>20105.0</v>
      </c>
      <c r="F35" s="6">
        <v>59693.0</v>
      </c>
      <c r="G35" s="6">
        <v>61895.0</v>
      </c>
      <c r="H35" s="6">
        <v>62906.0</v>
      </c>
      <c r="I35" s="6">
        <v>1952.0</v>
      </c>
      <c r="J35" s="6">
        <v>1916.0</v>
      </c>
      <c r="K35" s="6">
        <v>2138.0</v>
      </c>
      <c r="L35" s="7">
        <f t="shared" ref="L35:N35" si="114">(I35/F35)*100</f>
        <v>3.270065167</v>
      </c>
      <c r="M35" s="7">
        <f t="shared" si="114"/>
        <v>3.09556507</v>
      </c>
      <c r="N35" s="7">
        <f t="shared" si="114"/>
        <v>3.398721903</v>
      </c>
      <c r="O35" s="7">
        <f t="shared" si="8"/>
        <v>3.254784046</v>
      </c>
      <c r="P35" s="6">
        <v>64029.0</v>
      </c>
      <c r="Q35" s="6">
        <v>65136.0</v>
      </c>
      <c r="R35" s="6">
        <v>66002.0</v>
      </c>
      <c r="S35" s="6">
        <v>919.0</v>
      </c>
      <c r="T35" s="6">
        <v>737.0</v>
      </c>
      <c r="U35" s="6">
        <v>773.0</v>
      </c>
      <c r="V35" s="7">
        <f t="shared" ref="V35:X35" si="115">(S35/P35)*100</f>
        <v>1.435287136</v>
      </c>
      <c r="W35" s="7">
        <f t="shared" si="115"/>
        <v>1.131478752</v>
      </c>
      <c r="X35" s="7">
        <f t="shared" si="115"/>
        <v>1.171176631</v>
      </c>
      <c r="Y35" s="7">
        <f t="shared" si="10"/>
        <v>1.283382944</v>
      </c>
    </row>
    <row r="36" ht="14.25" customHeight="1">
      <c r="A36" s="1" t="s">
        <v>31</v>
      </c>
      <c r="B36" s="1" t="s">
        <v>88</v>
      </c>
      <c r="C36" s="1" t="s">
        <v>89</v>
      </c>
      <c r="D36" s="1" t="s">
        <v>89</v>
      </c>
      <c r="E36" s="5">
        <v>20201.0</v>
      </c>
      <c r="F36" s="6">
        <v>3433.0</v>
      </c>
      <c r="G36" s="6">
        <v>3450.0</v>
      </c>
      <c r="H36" s="6">
        <v>2592.0</v>
      </c>
      <c r="I36" s="6">
        <v>175.0</v>
      </c>
      <c r="J36" s="6">
        <v>192.0</v>
      </c>
      <c r="K36" s="6">
        <v>140.0</v>
      </c>
      <c r="L36" s="7">
        <f t="shared" ref="L36:N36" si="116">(I36/F36)*100</f>
        <v>5.09758229</v>
      </c>
      <c r="M36" s="7">
        <f t="shared" si="116"/>
        <v>5.565217391</v>
      </c>
      <c r="N36" s="7">
        <f t="shared" si="116"/>
        <v>5.401234568</v>
      </c>
      <c r="O36" s="7">
        <f t="shared" si="8"/>
        <v>5.354678083</v>
      </c>
      <c r="P36" s="6">
        <v>1890.0</v>
      </c>
      <c r="Q36" s="6">
        <v>1942.0</v>
      </c>
      <c r="R36" s="6">
        <v>1975.0</v>
      </c>
      <c r="S36" s="6">
        <v>37.0</v>
      </c>
      <c r="T36" s="6">
        <v>33.0</v>
      </c>
      <c r="U36" s="6">
        <v>32.0</v>
      </c>
      <c r="V36" s="7">
        <f t="shared" ref="V36:X36" si="117">(S36/P36)*100</f>
        <v>1.957671958</v>
      </c>
      <c r="W36" s="7">
        <f t="shared" si="117"/>
        <v>1.699279094</v>
      </c>
      <c r="X36" s="7">
        <f t="shared" si="117"/>
        <v>1.620253165</v>
      </c>
      <c r="Y36" s="7">
        <f t="shared" si="10"/>
        <v>1.828475526</v>
      </c>
    </row>
    <row r="37" ht="14.25" customHeight="1">
      <c r="A37" s="1" t="s">
        <v>31</v>
      </c>
      <c r="B37" s="1" t="s">
        <v>88</v>
      </c>
      <c r="C37" s="1" t="s">
        <v>90</v>
      </c>
      <c r="D37" s="1" t="s">
        <v>90</v>
      </c>
      <c r="E37" s="5">
        <v>20202.0</v>
      </c>
      <c r="F37" s="6">
        <v>581.0</v>
      </c>
      <c r="G37" s="6">
        <v>567.0</v>
      </c>
      <c r="H37" s="6">
        <v>564.0</v>
      </c>
      <c r="I37" s="6">
        <v>52.0</v>
      </c>
      <c r="J37" s="6">
        <v>42.0</v>
      </c>
      <c r="K37" s="6">
        <v>50.0</v>
      </c>
      <c r="L37" s="7">
        <f t="shared" ref="L37:N37" si="118">(I37/F37)*100</f>
        <v>8.950086059</v>
      </c>
      <c r="M37" s="7">
        <f t="shared" si="118"/>
        <v>7.407407407</v>
      </c>
      <c r="N37" s="7">
        <f t="shared" si="118"/>
        <v>8.865248227</v>
      </c>
      <c r="O37" s="7">
        <f t="shared" si="8"/>
        <v>8.407580564</v>
      </c>
      <c r="P37" s="6">
        <v>423.0</v>
      </c>
      <c r="Q37" s="6">
        <v>438.0</v>
      </c>
      <c r="R37" s="6">
        <v>450.0</v>
      </c>
      <c r="S37" s="6">
        <v>14.0</v>
      </c>
      <c r="T37" s="6">
        <v>16.0</v>
      </c>
      <c r="U37" s="6">
        <v>7.0</v>
      </c>
      <c r="V37" s="7">
        <f t="shared" ref="V37:X37" si="119">(S37/P37)*100</f>
        <v>3.309692671</v>
      </c>
      <c r="W37" s="7">
        <f t="shared" si="119"/>
        <v>3.652968037</v>
      </c>
      <c r="X37" s="7">
        <f t="shared" si="119"/>
        <v>1.555555556</v>
      </c>
      <c r="Y37" s="7">
        <f t="shared" si="10"/>
        <v>3.481330354</v>
      </c>
    </row>
    <row r="38" ht="14.25" customHeight="1">
      <c r="A38" s="1" t="s">
        <v>31</v>
      </c>
      <c r="B38" s="1" t="s">
        <v>88</v>
      </c>
      <c r="C38" s="1" t="s">
        <v>91</v>
      </c>
      <c r="D38" s="1" t="s">
        <v>91</v>
      </c>
      <c r="E38" s="5">
        <v>20203.0</v>
      </c>
      <c r="F38" s="6">
        <v>0.0</v>
      </c>
      <c r="G38" s="6">
        <v>0.0</v>
      </c>
      <c r="H38" s="6">
        <v>170.0</v>
      </c>
      <c r="I38" s="6">
        <v>0.0</v>
      </c>
      <c r="J38" s="6">
        <v>0.0</v>
      </c>
      <c r="K38" s="6">
        <v>14.0</v>
      </c>
      <c r="L38" s="7"/>
      <c r="M38" s="7"/>
      <c r="N38" s="7">
        <f t="shared" ref="N38:N41" si="121">(K38/H38)*100</f>
        <v>8.235294118</v>
      </c>
      <c r="O38" s="7">
        <f t="shared" si="8"/>
        <v>8.235294118</v>
      </c>
      <c r="P38" s="6">
        <v>106.0</v>
      </c>
      <c r="Q38" s="6">
        <v>118.0</v>
      </c>
      <c r="R38" s="6">
        <v>113.0</v>
      </c>
      <c r="S38" s="6">
        <v>1.0</v>
      </c>
      <c r="T38" s="6">
        <v>2.0</v>
      </c>
      <c r="U38" s="6">
        <v>2.0</v>
      </c>
      <c r="V38" s="7">
        <f t="shared" ref="V38:X38" si="120">(S38/P38)*100</f>
        <v>0.9433962264</v>
      </c>
      <c r="W38" s="7">
        <f t="shared" si="120"/>
        <v>1.694915254</v>
      </c>
      <c r="X38" s="7">
        <f t="shared" si="120"/>
        <v>1.769911504</v>
      </c>
      <c r="Y38" s="7">
        <f t="shared" si="10"/>
        <v>1.31915574</v>
      </c>
    </row>
    <row r="39" ht="14.25" customHeight="1">
      <c r="A39" s="1" t="s">
        <v>31</v>
      </c>
      <c r="B39" s="1" t="s">
        <v>88</v>
      </c>
      <c r="C39" s="1" t="s">
        <v>92</v>
      </c>
      <c r="D39" s="1" t="s">
        <v>92</v>
      </c>
      <c r="E39" s="5">
        <v>20204.0</v>
      </c>
      <c r="F39" s="6">
        <v>0.0</v>
      </c>
      <c r="G39" s="6">
        <v>0.0</v>
      </c>
      <c r="H39" s="6">
        <v>305.0</v>
      </c>
      <c r="I39" s="6">
        <v>0.0</v>
      </c>
      <c r="J39" s="6">
        <v>0.0</v>
      </c>
      <c r="K39" s="6">
        <v>26.0</v>
      </c>
      <c r="L39" s="7"/>
      <c r="M39" s="7"/>
      <c r="N39" s="7">
        <f t="shared" si="121"/>
        <v>8.524590164</v>
      </c>
      <c r="O39" s="7">
        <f t="shared" si="8"/>
        <v>8.524590164</v>
      </c>
      <c r="P39" s="6">
        <v>226.0</v>
      </c>
      <c r="Q39" s="6">
        <v>244.0</v>
      </c>
      <c r="R39" s="6">
        <v>239.0</v>
      </c>
      <c r="S39" s="6">
        <v>1.0</v>
      </c>
      <c r="T39" s="6">
        <v>6.0</v>
      </c>
      <c r="U39" s="6">
        <v>5.0</v>
      </c>
      <c r="V39" s="7">
        <f t="shared" ref="V39:X39" si="122">(S39/P39)*100</f>
        <v>0.4424778761</v>
      </c>
      <c r="W39" s="7">
        <f t="shared" si="122"/>
        <v>2.459016393</v>
      </c>
      <c r="X39" s="7">
        <f t="shared" si="122"/>
        <v>2.092050209</v>
      </c>
      <c r="Y39" s="7">
        <f t="shared" si="10"/>
        <v>1.450747135</v>
      </c>
    </row>
    <row r="40" ht="14.25" customHeight="1">
      <c r="A40" s="1" t="s">
        <v>31</v>
      </c>
      <c r="B40" s="1" t="s">
        <v>88</v>
      </c>
      <c r="C40" s="1" t="s">
        <v>93</v>
      </c>
      <c r="D40" s="1" t="s">
        <v>93</v>
      </c>
      <c r="E40" s="5">
        <v>20205.0</v>
      </c>
      <c r="F40" s="6">
        <v>0.0</v>
      </c>
      <c r="G40" s="6">
        <v>0.0</v>
      </c>
      <c r="H40" s="6">
        <v>330.0</v>
      </c>
      <c r="I40" s="6">
        <v>0.0</v>
      </c>
      <c r="J40" s="6">
        <v>0.0</v>
      </c>
      <c r="K40" s="6">
        <v>16.0</v>
      </c>
      <c r="L40" s="7"/>
      <c r="M40" s="7"/>
      <c r="N40" s="7">
        <f t="shared" si="121"/>
        <v>4.848484848</v>
      </c>
      <c r="O40" s="7">
        <f t="shared" si="8"/>
        <v>4.848484848</v>
      </c>
      <c r="P40" s="6">
        <v>231.0</v>
      </c>
      <c r="Q40" s="6">
        <v>231.0</v>
      </c>
      <c r="R40" s="6">
        <v>245.0</v>
      </c>
      <c r="S40" s="6">
        <v>2.0</v>
      </c>
      <c r="T40" s="6">
        <v>5.0</v>
      </c>
      <c r="U40" s="6">
        <v>2.0</v>
      </c>
      <c r="V40" s="7">
        <f t="shared" ref="V40:X40" si="123">(S40/P40)*100</f>
        <v>0.8658008658</v>
      </c>
      <c r="W40" s="7">
        <f t="shared" si="123"/>
        <v>2.164502165</v>
      </c>
      <c r="X40" s="7">
        <f t="shared" si="123"/>
        <v>0.8163265306</v>
      </c>
      <c r="Y40" s="7">
        <f t="shared" si="10"/>
        <v>1.515151515</v>
      </c>
    </row>
    <row r="41" ht="14.25" customHeight="1">
      <c r="A41" s="1" t="s">
        <v>31</v>
      </c>
      <c r="B41" s="1" t="s">
        <v>88</v>
      </c>
      <c r="C41" s="1" t="s">
        <v>94</v>
      </c>
      <c r="D41" s="1" t="s">
        <v>94</v>
      </c>
      <c r="E41" s="5">
        <v>20206.0</v>
      </c>
      <c r="F41" s="6">
        <v>0.0</v>
      </c>
      <c r="G41" s="6">
        <v>0.0</v>
      </c>
      <c r="H41" s="6">
        <v>77.0</v>
      </c>
      <c r="I41" s="6">
        <v>0.0</v>
      </c>
      <c r="J41" s="6">
        <v>0.0</v>
      </c>
      <c r="K41" s="6">
        <v>1.0</v>
      </c>
      <c r="L41" s="7"/>
      <c r="M41" s="7"/>
      <c r="N41" s="7">
        <f t="shared" si="121"/>
        <v>1.298701299</v>
      </c>
      <c r="O41" s="7">
        <f t="shared" si="8"/>
        <v>1.298701299</v>
      </c>
      <c r="P41" s="6">
        <v>62.0</v>
      </c>
      <c r="Q41" s="6">
        <v>72.0</v>
      </c>
      <c r="R41" s="6">
        <v>76.0</v>
      </c>
      <c r="S41" s="6">
        <v>0.0</v>
      </c>
      <c r="T41" s="6">
        <v>2.0</v>
      </c>
      <c r="U41" s="6">
        <v>0.0</v>
      </c>
      <c r="V41" s="7">
        <f t="shared" ref="V41:X41" si="124">(S41/P41)*100</f>
        <v>0</v>
      </c>
      <c r="W41" s="7">
        <f t="shared" si="124"/>
        <v>2.777777778</v>
      </c>
      <c r="X41" s="7">
        <f t="shared" si="124"/>
        <v>0</v>
      </c>
      <c r="Y41" s="7">
        <f t="shared" si="10"/>
        <v>1.388888889</v>
      </c>
    </row>
    <row r="42" ht="14.25" customHeight="1">
      <c r="A42" s="1" t="s">
        <v>31</v>
      </c>
      <c r="B42" s="1" t="s">
        <v>95</v>
      </c>
      <c r="C42" s="1" t="s">
        <v>96</v>
      </c>
      <c r="D42" s="1" t="s">
        <v>96</v>
      </c>
      <c r="E42" s="5">
        <v>20301.0</v>
      </c>
      <c r="F42" s="6">
        <v>400.0</v>
      </c>
      <c r="G42" s="6">
        <v>390.0</v>
      </c>
      <c r="H42" s="6">
        <v>412.0</v>
      </c>
      <c r="I42" s="6">
        <v>38.0</v>
      </c>
      <c r="J42" s="6">
        <v>35.0</v>
      </c>
      <c r="K42" s="6">
        <v>54.0</v>
      </c>
      <c r="L42" s="7">
        <f t="shared" ref="L42:N42" si="125">(I42/F42)*100</f>
        <v>9.5</v>
      </c>
      <c r="M42" s="7">
        <f t="shared" si="125"/>
        <v>8.974358974</v>
      </c>
      <c r="N42" s="7">
        <f t="shared" si="125"/>
        <v>13.10679612</v>
      </c>
      <c r="O42" s="7">
        <f t="shared" si="8"/>
        <v>10.5270517</v>
      </c>
      <c r="P42" s="6">
        <v>367.0</v>
      </c>
      <c r="Q42" s="6">
        <v>381.0</v>
      </c>
      <c r="R42" s="6">
        <v>377.0</v>
      </c>
      <c r="S42" s="6">
        <v>12.0</v>
      </c>
      <c r="T42" s="6">
        <v>18.0</v>
      </c>
      <c r="U42" s="6">
        <v>17.0</v>
      </c>
      <c r="V42" s="7">
        <f t="shared" ref="V42:X42" si="126">(S42/P42)*100</f>
        <v>3.269754768</v>
      </c>
      <c r="W42" s="7">
        <f t="shared" si="126"/>
        <v>4.724409449</v>
      </c>
      <c r="X42" s="7">
        <f t="shared" si="126"/>
        <v>4.50928382</v>
      </c>
      <c r="Y42" s="7">
        <f t="shared" si="10"/>
        <v>3.997082109</v>
      </c>
    </row>
    <row r="43" ht="14.25" customHeight="1">
      <c r="A43" s="1" t="s">
        <v>31</v>
      </c>
      <c r="B43" s="1" t="s">
        <v>95</v>
      </c>
      <c r="C43" s="1" t="s">
        <v>97</v>
      </c>
      <c r="D43" s="1" t="s">
        <v>97</v>
      </c>
      <c r="E43" s="5">
        <v>20302.0</v>
      </c>
      <c r="F43" s="6">
        <v>413.0</v>
      </c>
      <c r="G43" s="6">
        <v>425.0</v>
      </c>
      <c r="H43" s="6">
        <v>397.0</v>
      </c>
      <c r="I43" s="6">
        <v>27.0</v>
      </c>
      <c r="J43" s="6">
        <v>31.0</v>
      </c>
      <c r="K43" s="6">
        <v>41.0</v>
      </c>
      <c r="L43" s="7">
        <f t="shared" ref="L43:N43" si="127">(I43/F43)*100</f>
        <v>6.537530266</v>
      </c>
      <c r="M43" s="7">
        <f t="shared" si="127"/>
        <v>7.294117647</v>
      </c>
      <c r="N43" s="7">
        <f t="shared" si="127"/>
        <v>10.32745592</v>
      </c>
      <c r="O43" s="7">
        <f t="shared" si="8"/>
        <v>8.053034611</v>
      </c>
      <c r="P43" s="6">
        <v>311.0</v>
      </c>
      <c r="Q43" s="6">
        <v>308.0</v>
      </c>
      <c r="R43" s="6">
        <v>299.0</v>
      </c>
      <c r="S43" s="6">
        <v>13.0</v>
      </c>
      <c r="T43" s="6">
        <v>10.0</v>
      </c>
      <c r="U43" s="6">
        <v>10.0</v>
      </c>
      <c r="V43" s="7">
        <f t="shared" ref="V43:X43" si="128">(S43/P43)*100</f>
        <v>4.180064309</v>
      </c>
      <c r="W43" s="7">
        <f t="shared" si="128"/>
        <v>3.246753247</v>
      </c>
      <c r="X43" s="7">
        <f t="shared" si="128"/>
        <v>3.344481605</v>
      </c>
      <c r="Y43" s="7">
        <f t="shared" si="10"/>
        <v>3.713408778</v>
      </c>
    </row>
    <row r="44" ht="14.25" customHeight="1">
      <c r="A44" s="1" t="s">
        <v>31</v>
      </c>
      <c r="B44" s="1" t="s">
        <v>95</v>
      </c>
      <c r="C44" s="1" t="s">
        <v>98</v>
      </c>
      <c r="D44" s="1" t="s">
        <v>98</v>
      </c>
      <c r="E44" s="5">
        <v>20303.0</v>
      </c>
      <c r="F44" s="6">
        <v>261.0</v>
      </c>
      <c r="G44" s="6">
        <v>261.0</v>
      </c>
      <c r="H44" s="6">
        <v>252.0</v>
      </c>
      <c r="I44" s="6">
        <v>20.0</v>
      </c>
      <c r="J44" s="6">
        <v>26.0</v>
      </c>
      <c r="K44" s="6">
        <v>28.0</v>
      </c>
      <c r="L44" s="7">
        <f t="shared" ref="L44:N44" si="129">(I44/F44)*100</f>
        <v>7.662835249</v>
      </c>
      <c r="M44" s="7">
        <f t="shared" si="129"/>
        <v>9.961685824</v>
      </c>
      <c r="N44" s="7">
        <f t="shared" si="129"/>
        <v>11.11111111</v>
      </c>
      <c r="O44" s="7">
        <f t="shared" si="8"/>
        <v>9.578544061</v>
      </c>
      <c r="P44" s="6">
        <v>174.0</v>
      </c>
      <c r="Q44" s="6">
        <v>195.0</v>
      </c>
      <c r="R44" s="6">
        <v>185.0</v>
      </c>
      <c r="S44" s="6">
        <v>4.0</v>
      </c>
      <c r="T44" s="6">
        <v>9.0</v>
      </c>
      <c r="U44" s="6">
        <v>4.0</v>
      </c>
      <c r="V44" s="7">
        <f t="shared" ref="V44:X44" si="130">(S44/P44)*100</f>
        <v>2.298850575</v>
      </c>
      <c r="W44" s="7">
        <f t="shared" si="130"/>
        <v>4.615384615</v>
      </c>
      <c r="X44" s="7">
        <f t="shared" si="130"/>
        <v>2.162162162</v>
      </c>
      <c r="Y44" s="7">
        <f t="shared" si="10"/>
        <v>3.457117595</v>
      </c>
    </row>
    <row r="45" ht="14.25" customHeight="1">
      <c r="A45" s="1" t="s">
        <v>31</v>
      </c>
      <c r="B45" s="1" t="s">
        <v>95</v>
      </c>
      <c r="C45" s="1" t="s">
        <v>99</v>
      </c>
      <c r="D45" s="1" t="s">
        <v>99</v>
      </c>
      <c r="E45" s="5">
        <v>20304.0</v>
      </c>
      <c r="F45" s="6">
        <v>137.0</v>
      </c>
      <c r="G45" s="6">
        <v>158.0</v>
      </c>
      <c r="H45" s="6">
        <v>159.0</v>
      </c>
      <c r="I45" s="6">
        <v>9.0</v>
      </c>
      <c r="J45" s="6">
        <v>25.0</v>
      </c>
      <c r="K45" s="6">
        <v>14.0</v>
      </c>
      <c r="L45" s="7">
        <f t="shared" ref="L45:N45" si="131">(I45/F45)*100</f>
        <v>6.569343066</v>
      </c>
      <c r="M45" s="7">
        <f t="shared" si="131"/>
        <v>15.82278481</v>
      </c>
      <c r="N45" s="7">
        <f t="shared" si="131"/>
        <v>8.805031447</v>
      </c>
      <c r="O45" s="7">
        <f t="shared" si="8"/>
        <v>10.39905311</v>
      </c>
      <c r="P45" s="6">
        <v>142.0</v>
      </c>
      <c r="Q45" s="6">
        <v>149.0</v>
      </c>
      <c r="R45" s="6">
        <v>144.0</v>
      </c>
      <c r="S45" s="6">
        <v>4.0</v>
      </c>
      <c r="T45" s="6">
        <v>2.0</v>
      </c>
      <c r="U45" s="6">
        <v>3.0</v>
      </c>
      <c r="V45" s="7">
        <f t="shared" ref="V45:X45" si="132">(S45/P45)*100</f>
        <v>2.816901408</v>
      </c>
      <c r="W45" s="7">
        <f t="shared" si="132"/>
        <v>1.342281879</v>
      </c>
      <c r="X45" s="7">
        <f t="shared" si="132"/>
        <v>2.083333333</v>
      </c>
      <c r="Y45" s="7">
        <f t="shared" si="10"/>
        <v>2.079591644</v>
      </c>
    </row>
    <row r="46" ht="14.25" customHeight="1">
      <c r="A46" s="1" t="s">
        <v>31</v>
      </c>
      <c r="B46" s="1" t="s">
        <v>95</v>
      </c>
      <c r="C46" s="1" t="s">
        <v>100</v>
      </c>
      <c r="D46" s="1" t="s">
        <v>100</v>
      </c>
      <c r="E46" s="5">
        <v>20305.0</v>
      </c>
      <c r="F46" s="6">
        <v>80.0</v>
      </c>
      <c r="G46" s="6">
        <v>70.0</v>
      </c>
      <c r="H46" s="6">
        <v>83.0</v>
      </c>
      <c r="I46" s="6">
        <v>3.0</v>
      </c>
      <c r="J46" s="6">
        <v>8.0</v>
      </c>
      <c r="K46" s="6">
        <v>7.0</v>
      </c>
      <c r="L46" s="7">
        <f t="shared" ref="L46:N46" si="133">(I46/F46)*100</f>
        <v>3.75</v>
      </c>
      <c r="M46" s="7">
        <f t="shared" si="133"/>
        <v>11.42857143</v>
      </c>
      <c r="N46" s="7">
        <f t="shared" si="133"/>
        <v>8.43373494</v>
      </c>
      <c r="O46" s="7">
        <f t="shared" si="8"/>
        <v>7.870768789</v>
      </c>
      <c r="P46" s="6">
        <v>72.0</v>
      </c>
      <c r="Q46" s="6">
        <v>68.0</v>
      </c>
      <c r="R46" s="6">
        <v>74.0</v>
      </c>
      <c r="S46" s="6">
        <v>3.0</v>
      </c>
      <c r="T46" s="6">
        <v>1.0</v>
      </c>
      <c r="U46" s="6">
        <v>4.0</v>
      </c>
      <c r="V46" s="7">
        <f t="shared" ref="V46:X46" si="134">(S46/P46)*100</f>
        <v>4.166666667</v>
      </c>
      <c r="W46" s="7">
        <f t="shared" si="134"/>
        <v>1.470588235</v>
      </c>
      <c r="X46" s="7">
        <f t="shared" si="134"/>
        <v>5.405405405</v>
      </c>
      <c r="Y46" s="7">
        <f t="shared" si="10"/>
        <v>2.818627451</v>
      </c>
    </row>
    <row r="47" ht="14.25" customHeight="1">
      <c r="A47" s="1" t="s">
        <v>31</v>
      </c>
      <c r="B47" s="1" t="s">
        <v>95</v>
      </c>
      <c r="C47" s="1" t="s">
        <v>101</v>
      </c>
      <c r="D47" s="1" t="s">
        <v>102</v>
      </c>
      <c r="E47" s="5">
        <v>20306.0</v>
      </c>
      <c r="F47" s="6">
        <v>84.0</v>
      </c>
      <c r="G47" s="6">
        <v>101.0</v>
      </c>
      <c r="H47" s="6">
        <v>103.0</v>
      </c>
      <c r="I47" s="6">
        <v>3.0</v>
      </c>
      <c r="J47" s="6">
        <v>5.0</v>
      </c>
      <c r="K47" s="6">
        <v>5.0</v>
      </c>
      <c r="L47" s="7">
        <f t="shared" ref="L47:N47" si="135">(I47/F47)*100</f>
        <v>3.571428571</v>
      </c>
      <c r="M47" s="7">
        <f t="shared" si="135"/>
        <v>4.95049505</v>
      </c>
      <c r="N47" s="7">
        <f t="shared" si="135"/>
        <v>4.854368932</v>
      </c>
      <c r="O47" s="7">
        <f t="shared" si="8"/>
        <v>4.458764184</v>
      </c>
      <c r="P47" s="6">
        <v>101.0</v>
      </c>
      <c r="Q47" s="6">
        <v>92.0</v>
      </c>
      <c r="R47" s="6">
        <v>90.0</v>
      </c>
      <c r="S47" s="6">
        <v>7.0</v>
      </c>
      <c r="T47" s="6">
        <v>0.0</v>
      </c>
      <c r="U47" s="6">
        <v>4.0</v>
      </c>
      <c r="V47" s="7">
        <f t="shared" ref="V47:X47" si="136">(S47/P47)*100</f>
        <v>6.930693069</v>
      </c>
      <c r="W47" s="7">
        <f t="shared" si="136"/>
        <v>0</v>
      </c>
      <c r="X47" s="7">
        <f t="shared" si="136"/>
        <v>4.444444444</v>
      </c>
      <c r="Y47" s="7">
        <f t="shared" si="10"/>
        <v>3.465346535</v>
      </c>
    </row>
    <row r="48" ht="14.25" customHeight="1">
      <c r="A48" s="1" t="s">
        <v>31</v>
      </c>
      <c r="B48" s="1" t="s">
        <v>95</v>
      </c>
      <c r="C48" s="1" t="s">
        <v>103</v>
      </c>
      <c r="D48" s="1" t="s">
        <v>103</v>
      </c>
      <c r="E48" s="5">
        <v>20307.0</v>
      </c>
      <c r="F48" s="6">
        <v>15.0</v>
      </c>
      <c r="G48" s="6">
        <v>18.0</v>
      </c>
      <c r="H48" s="6">
        <v>17.0</v>
      </c>
      <c r="I48" s="6">
        <v>3.0</v>
      </c>
      <c r="J48" s="6">
        <v>5.0</v>
      </c>
      <c r="K48" s="6">
        <v>4.0</v>
      </c>
      <c r="L48" s="7">
        <f t="shared" ref="L48:N48" si="137">(I48/F48)*100</f>
        <v>20</v>
      </c>
      <c r="M48" s="7">
        <f t="shared" si="137"/>
        <v>27.77777778</v>
      </c>
      <c r="N48" s="7">
        <f t="shared" si="137"/>
        <v>23.52941176</v>
      </c>
      <c r="O48" s="7">
        <f t="shared" si="8"/>
        <v>23.76906318</v>
      </c>
      <c r="P48" s="6">
        <v>26.0</v>
      </c>
      <c r="Q48" s="6">
        <v>24.0</v>
      </c>
      <c r="R48" s="6">
        <v>17.0</v>
      </c>
      <c r="S48" s="6">
        <v>1.0</v>
      </c>
      <c r="T48" s="6">
        <v>2.0</v>
      </c>
      <c r="U48" s="6">
        <v>1.0</v>
      </c>
      <c r="V48" s="7">
        <f t="shared" ref="V48:X48" si="138">(S48/P48)*100</f>
        <v>3.846153846</v>
      </c>
      <c r="W48" s="7">
        <f t="shared" si="138"/>
        <v>8.333333333</v>
      </c>
      <c r="X48" s="7">
        <f t="shared" si="138"/>
        <v>5.882352941</v>
      </c>
      <c r="Y48" s="7">
        <f t="shared" si="10"/>
        <v>6.08974359</v>
      </c>
    </row>
    <row r="49" ht="14.25" customHeight="1">
      <c r="A49" s="1" t="s">
        <v>31</v>
      </c>
      <c r="B49" s="1" t="s">
        <v>95</v>
      </c>
      <c r="C49" s="1" t="s">
        <v>104</v>
      </c>
      <c r="D49" s="1" t="s">
        <v>104</v>
      </c>
      <c r="E49" s="5">
        <v>20308.0</v>
      </c>
      <c r="F49" s="6">
        <v>196.0</v>
      </c>
      <c r="G49" s="6">
        <v>188.0</v>
      </c>
      <c r="H49" s="6">
        <v>185.0</v>
      </c>
      <c r="I49" s="6">
        <v>16.0</v>
      </c>
      <c r="J49" s="6">
        <v>30.0</v>
      </c>
      <c r="K49" s="6">
        <v>31.0</v>
      </c>
      <c r="L49" s="7">
        <f t="shared" ref="L49:N49" si="139">(I49/F49)*100</f>
        <v>8.163265306</v>
      </c>
      <c r="M49" s="7">
        <f t="shared" si="139"/>
        <v>15.95744681</v>
      </c>
      <c r="N49" s="7">
        <f t="shared" si="139"/>
        <v>16.75675676</v>
      </c>
      <c r="O49" s="7">
        <f t="shared" si="8"/>
        <v>13.62582296</v>
      </c>
      <c r="P49" s="6">
        <v>133.0</v>
      </c>
      <c r="Q49" s="6">
        <v>131.0</v>
      </c>
      <c r="R49" s="6">
        <v>129.0</v>
      </c>
      <c r="S49" s="6">
        <v>4.0</v>
      </c>
      <c r="T49" s="6">
        <v>8.0</v>
      </c>
      <c r="U49" s="6">
        <v>5.0</v>
      </c>
      <c r="V49" s="7">
        <f t="shared" ref="V49:X49" si="140">(S49/P49)*100</f>
        <v>3.007518797</v>
      </c>
      <c r="W49" s="7">
        <f t="shared" si="140"/>
        <v>6.106870229</v>
      </c>
      <c r="X49" s="7">
        <f t="shared" si="140"/>
        <v>3.875968992</v>
      </c>
      <c r="Y49" s="7">
        <f t="shared" si="10"/>
        <v>4.557194513</v>
      </c>
    </row>
    <row r="50" ht="14.25" customHeight="1">
      <c r="A50" s="1" t="s">
        <v>31</v>
      </c>
      <c r="B50" s="1" t="s">
        <v>105</v>
      </c>
      <c r="C50" s="1" t="s">
        <v>106</v>
      </c>
      <c r="D50" s="1" t="s">
        <v>106</v>
      </c>
      <c r="E50" s="5">
        <v>20401.0</v>
      </c>
      <c r="F50" s="6">
        <v>1027.0</v>
      </c>
      <c r="G50" s="6">
        <v>1054.0</v>
      </c>
      <c r="H50" s="6">
        <v>483.0</v>
      </c>
      <c r="I50" s="6">
        <v>58.0</v>
      </c>
      <c r="J50" s="6">
        <v>79.0</v>
      </c>
      <c r="K50" s="6">
        <v>66.0</v>
      </c>
      <c r="L50" s="7">
        <f t="shared" ref="L50:N50" si="141">(I50/F50)*100</f>
        <v>5.64751704</v>
      </c>
      <c r="M50" s="7">
        <f t="shared" si="141"/>
        <v>7.495256167</v>
      </c>
      <c r="N50" s="7">
        <f t="shared" si="141"/>
        <v>13.66459627</v>
      </c>
      <c r="O50" s="7">
        <f t="shared" si="8"/>
        <v>8.935789827</v>
      </c>
      <c r="P50" s="6">
        <v>354.0</v>
      </c>
      <c r="Q50" s="6">
        <v>349.0</v>
      </c>
      <c r="R50" s="6">
        <v>332.0</v>
      </c>
      <c r="S50" s="6">
        <v>11.0</v>
      </c>
      <c r="T50" s="6">
        <v>14.0</v>
      </c>
      <c r="U50" s="6">
        <v>6.0</v>
      </c>
      <c r="V50" s="7">
        <f t="shared" ref="V50:X50" si="142">(S50/P50)*100</f>
        <v>3.107344633</v>
      </c>
      <c r="W50" s="7">
        <f t="shared" si="142"/>
        <v>4.011461318</v>
      </c>
      <c r="X50" s="7">
        <f t="shared" si="142"/>
        <v>1.807228916</v>
      </c>
      <c r="Y50" s="7">
        <f t="shared" si="10"/>
        <v>3.559402975</v>
      </c>
    </row>
    <row r="51" ht="14.25" customHeight="1">
      <c r="A51" s="1" t="s">
        <v>31</v>
      </c>
      <c r="B51" s="1" t="s">
        <v>105</v>
      </c>
      <c r="C51" s="1" t="s">
        <v>107</v>
      </c>
      <c r="D51" s="1" t="s">
        <v>107</v>
      </c>
      <c r="E51" s="5">
        <v>20402.0</v>
      </c>
      <c r="F51" s="6">
        <v>614.0</v>
      </c>
      <c r="G51" s="6">
        <v>665.0</v>
      </c>
      <c r="H51" s="6">
        <v>636.0</v>
      </c>
      <c r="I51" s="6">
        <v>41.0</v>
      </c>
      <c r="J51" s="6">
        <v>66.0</v>
      </c>
      <c r="K51" s="6">
        <v>67.0</v>
      </c>
      <c r="L51" s="7">
        <f t="shared" ref="L51:N51" si="143">(I51/F51)*100</f>
        <v>6.67752443</v>
      </c>
      <c r="M51" s="7">
        <f t="shared" si="143"/>
        <v>9.92481203</v>
      </c>
      <c r="N51" s="7">
        <f t="shared" si="143"/>
        <v>10.53459119</v>
      </c>
      <c r="O51" s="7">
        <f t="shared" si="8"/>
        <v>9.045642552</v>
      </c>
      <c r="P51" s="6">
        <v>539.0</v>
      </c>
      <c r="Q51" s="6">
        <v>547.0</v>
      </c>
      <c r="R51" s="6">
        <v>508.0</v>
      </c>
      <c r="S51" s="6">
        <v>23.0</v>
      </c>
      <c r="T51" s="6">
        <v>28.0</v>
      </c>
      <c r="U51" s="6">
        <v>21.0</v>
      </c>
      <c r="V51" s="7">
        <f t="shared" ref="V51:X51" si="144">(S51/P51)*100</f>
        <v>4.26716141</v>
      </c>
      <c r="W51" s="7">
        <f t="shared" si="144"/>
        <v>5.118829982</v>
      </c>
      <c r="X51" s="7">
        <f t="shared" si="144"/>
        <v>4.133858268</v>
      </c>
      <c r="Y51" s="7">
        <f t="shared" si="10"/>
        <v>4.692995696</v>
      </c>
    </row>
    <row r="52" ht="14.25" customHeight="1">
      <c r="A52" s="1" t="s">
        <v>31</v>
      </c>
      <c r="B52" s="1" t="s">
        <v>105</v>
      </c>
      <c r="C52" s="1" t="s">
        <v>108</v>
      </c>
      <c r="D52" s="1" t="s">
        <v>109</v>
      </c>
      <c r="E52" s="5">
        <v>20403.0</v>
      </c>
      <c r="F52" s="6">
        <v>564.0</v>
      </c>
      <c r="G52" s="6">
        <v>552.0</v>
      </c>
      <c r="H52" s="6">
        <v>549.0</v>
      </c>
      <c r="I52" s="6">
        <v>34.0</v>
      </c>
      <c r="J52" s="6">
        <v>58.0</v>
      </c>
      <c r="K52" s="6">
        <v>65.0</v>
      </c>
      <c r="L52" s="7">
        <f t="shared" ref="L52:N52" si="145">(I52/F52)*100</f>
        <v>6.028368794</v>
      </c>
      <c r="M52" s="7">
        <f t="shared" si="145"/>
        <v>10.50724638</v>
      </c>
      <c r="N52" s="7">
        <f t="shared" si="145"/>
        <v>11.83970856</v>
      </c>
      <c r="O52" s="7">
        <f t="shared" si="8"/>
        <v>9.458441244</v>
      </c>
      <c r="P52" s="6">
        <v>486.0</v>
      </c>
      <c r="Q52" s="6">
        <v>510.0</v>
      </c>
      <c r="R52" s="6">
        <v>544.0</v>
      </c>
      <c r="S52" s="6">
        <v>18.0</v>
      </c>
      <c r="T52" s="6">
        <v>10.0</v>
      </c>
      <c r="U52" s="6">
        <v>14.0</v>
      </c>
      <c r="V52" s="7">
        <f t="shared" ref="V52:X52" si="146">(S52/P52)*100</f>
        <v>3.703703704</v>
      </c>
      <c r="W52" s="7">
        <f t="shared" si="146"/>
        <v>1.960784314</v>
      </c>
      <c r="X52" s="7">
        <f t="shared" si="146"/>
        <v>2.573529412</v>
      </c>
      <c r="Y52" s="7">
        <f t="shared" si="10"/>
        <v>2.832244009</v>
      </c>
    </row>
    <row r="53" ht="14.25" customHeight="1">
      <c r="A53" s="1" t="s">
        <v>31</v>
      </c>
      <c r="B53" s="1" t="s">
        <v>105</v>
      </c>
      <c r="C53" s="1" t="s">
        <v>110</v>
      </c>
      <c r="D53" s="1" t="s">
        <v>110</v>
      </c>
      <c r="E53" s="5">
        <v>20404.0</v>
      </c>
      <c r="F53" s="6">
        <v>0.0</v>
      </c>
      <c r="G53" s="6">
        <v>0.0</v>
      </c>
      <c r="H53" s="6">
        <v>272.0</v>
      </c>
      <c r="I53" s="6">
        <v>0.0</v>
      </c>
      <c r="J53" s="6">
        <v>0.0</v>
      </c>
      <c r="K53" s="6">
        <v>34.0</v>
      </c>
      <c r="L53" s="7"/>
      <c r="M53" s="7"/>
      <c r="N53" s="7">
        <f t="shared" ref="N53:N54" si="148">(K53/H53)*100</f>
        <v>12.5</v>
      </c>
      <c r="O53" s="7">
        <f t="shared" si="8"/>
        <v>12.5</v>
      </c>
      <c r="P53" s="6">
        <v>165.0</v>
      </c>
      <c r="Q53" s="6">
        <v>158.0</v>
      </c>
      <c r="R53" s="6">
        <v>159.0</v>
      </c>
      <c r="S53" s="6">
        <v>6.0</v>
      </c>
      <c r="T53" s="6">
        <v>20.0</v>
      </c>
      <c r="U53" s="6">
        <v>12.0</v>
      </c>
      <c r="V53" s="7">
        <f t="shared" ref="V53:X53" si="147">(S53/P53)*100</f>
        <v>3.636363636</v>
      </c>
      <c r="W53" s="7">
        <f t="shared" si="147"/>
        <v>12.65822785</v>
      </c>
      <c r="X53" s="7">
        <f t="shared" si="147"/>
        <v>7.547169811</v>
      </c>
      <c r="Y53" s="7">
        <f t="shared" si="10"/>
        <v>8.147295742</v>
      </c>
    </row>
    <row r="54" ht="14.25" customHeight="1">
      <c r="A54" s="1" t="s">
        <v>31</v>
      </c>
      <c r="B54" s="1" t="s">
        <v>105</v>
      </c>
      <c r="C54" s="1" t="s">
        <v>111</v>
      </c>
      <c r="D54" s="1" t="s">
        <v>111</v>
      </c>
      <c r="E54" s="5">
        <v>20405.0</v>
      </c>
      <c r="F54" s="6">
        <v>0.0</v>
      </c>
      <c r="G54" s="6">
        <v>0.0</v>
      </c>
      <c r="H54" s="6">
        <v>289.0</v>
      </c>
      <c r="I54" s="6">
        <v>0.0</v>
      </c>
      <c r="J54" s="6">
        <v>0.0</v>
      </c>
      <c r="K54" s="6">
        <v>21.0</v>
      </c>
      <c r="L54" s="7"/>
      <c r="M54" s="7"/>
      <c r="N54" s="7">
        <f t="shared" si="148"/>
        <v>7.266435986</v>
      </c>
      <c r="O54" s="7">
        <f t="shared" si="8"/>
        <v>7.266435986</v>
      </c>
      <c r="P54" s="6">
        <v>264.0</v>
      </c>
      <c r="Q54" s="6">
        <v>278.0</v>
      </c>
      <c r="R54" s="6">
        <v>273.0</v>
      </c>
      <c r="S54" s="6">
        <v>6.0</v>
      </c>
      <c r="T54" s="6">
        <v>5.0</v>
      </c>
      <c r="U54" s="6">
        <v>8.0</v>
      </c>
      <c r="V54" s="7">
        <f t="shared" ref="V54:X54" si="149">(S54/P54)*100</f>
        <v>2.272727273</v>
      </c>
      <c r="W54" s="7">
        <f t="shared" si="149"/>
        <v>1.798561151</v>
      </c>
      <c r="X54" s="7">
        <f t="shared" si="149"/>
        <v>2.93040293</v>
      </c>
      <c r="Y54" s="7">
        <f t="shared" si="10"/>
        <v>2.035644212</v>
      </c>
    </row>
    <row r="55" ht="14.25" customHeight="1">
      <c r="A55" s="1" t="s">
        <v>31</v>
      </c>
      <c r="B55" s="1" t="s">
        <v>112</v>
      </c>
      <c r="C55" s="1" t="s">
        <v>113</v>
      </c>
      <c r="D55" s="1" t="s">
        <v>113</v>
      </c>
      <c r="E55" s="5">
        <v>20501.0</v>
      </c>
      <c r="F55" s="6">
        <v>524.0</v>
      </c>
      <c r="G55" s="6">
        <v>544.0</v>
      </c>
      <c r="H55" s="6">
        <v>522.0</v>
      </c>
      <c r="I55" s="6">
        <v>32.0</v>
      </c>
      <c r="J55" s="6">
        <v>57.0</v>
      </c>
      <c r="K55" s="6">
        <v>56.0</v>
      </c>
      <c r="L55" s="7">
        <f t="shared" ref="L55:N55" si="150">(I55/F55)*100</f>
        <v>6.106870229</v>
      </c>
      <c r="M55" s="7">
        <f t="shared" si="150"/>
        <v>10.47794118</v>
      </c>
      <c r="N55" s="7">
        <f t="shared" si="150"/>
        <v>10.72796935</v>
      </c>
      <c r="O55" s="7">
        <f t="shared" si="8"/>
        <v>9.104260251</v>
      </c>
      <c r="P55" s="6">
        <v>396.0</v>
      </c>
      <c r="Q55" s="6">
        <v>396.0</v>
      </c>
      <c r="R55" s="6">
        <v>380.0</v>
      </c>
      <c r="S55" s="6">
        <v>19.0</v>
      </c>
      <c r="T55" s="6">
        <v>3.0</v>
      </c>
      <c r="U55" s="6">
        <v>12.0</v>
      </c>
      <c r="V55" s="7">
        <f t="shared" ref="V55:X55" si="151">(S55/P55)*100</f>
        <v>4.797979798</v>
      </c>
      <c r="W55" s="7">
        <f t="shared" si="151"/>
        <v>0.7575757576</v>
      </c>
      <c r="X55" s="7">
        <f t="shared" si="151"/>
        <v>3.157894737</v>
      </c>
      <c r="Y55" s="7">
        <f t="shared" si="10"/>
        <v>2.777777778</v>
      </c>
    </row>
    <row r="56" ht="14.25" customHeight="1">
      <c r="A56" s="1" t="s">
        <v>31</v>
      </c>
      <c r="B56" s="1" t="s">
        <v>112</v>
      </c>
      <c r="C56" s="1" t="s">
        <v>114</v>
      </c>
      <c r="D56" s="1" t="s">
        <v>114</v>
      </c>
      <c r="E56" s="5">
        <v>20502.0</v>
      </c>
      <c r="F56" s="6">
        <v>263.0</v>
      </c>
      <c r="G56" s="6">
        <v>351.0</v>
      </c>
      <c r="H56" s="6">
        <v>367.0</v>
      </c>
      <c r="I56" s="6">
        <v>27.0</v>
      </c>
      <c r="J56" s="6">
        <v>42.0</v>
      </c>
      <c r="K56" s="6">
        <v>51.0</v>
      </c>
      <c r="L56" s="7">
        <f t="shared" ref="L56:N56" si="152">(I56/F56)*100</f>
        <v>10.2661597</v>
      </c>
      <c r="M56" s="7">
        <f t="shared" si="152"/>
        <v>11.96581197</v>
      </c>
      <c r="N56" s="7">
        <f t="shared" si="152"/>
        <v>13.89645777</v>
      </c>
      <c r="O56" s="7">
        <f t="shared" si="8"/>
        <v>12.04280981</v>
      </c>
      <c r="P56" s="6">
        <v>372.0</v>
      </c>
      <c r="Q56" s="6">
        <v>384.0</v>
      </c>
      <c r="R56" s="6">
        <v>372.0</v>
      </c>
      <c r="S56" s="6">
        <v>13.0</v>
      </c>
      <c r="T56" s="6">
        <v>11.0</v>
      </c>
      <c r="U56" s="6">
        <v>7.0</v>
      </c>
      <c r="V56" s="7">
        <f t="shared" ref="V56:X56" si="153">(S56/P56)*100</f>
        <v>3.494623656</v>
      </c>
      <c r="W56" s="7">
        <f t="shared" si="153"/>
        <v>2.864583333</v>
      </c>
      <c r="X56" s="7">
        <f t="shared" si="153"/>
        <v>1.88172043</v>
      </c>
      <c r="Y56" s="7">
        <f t="shared" si="10"/>
        <v>3.179603495</v>
      </c>
    </row>
    <row r="57" ht="14.25" customHeight="1">
      <c r="A57" s="1" t="s">
        <v>31</v>
      </c>
      <c r="B57" s="1" t="s">
        <v>112</v>
      </c>
      <c r="C57" s="1" t="s">
        <v>115</v>
      </c>
      <c r="D57" s="1" t="s">
        <v>115</v>
      </c>
      <c r="E57" s="5">
        <v>20503.0</v>
      </c>
      <c r="F57" s="6">
        <v>160.0</v>
      </c>
      <c r="G57" s="6">
        <v>186.0</v>
      </c>
      <c r="H57" s="6">
        <v>200.0</v>
      </c>
      <c r="I57" s="6">
        <v>4.0</v>
      </c>
      <c r="J57" s="6">
        <v>12.0</v>
      </c>
      <c r="K57" s="6">
        <v>19.0</v>
      </c>
      <c r="L57" s="7">
        <f t="shared" ref="L57:N57" si="154">(I57/F57)*100</f>
        <v>2.5</v>
      </c>
      <c r="M57" s="7">
        <f t="shared" si="154"/>
        <v>6.451612903</v>
      </c>
      <c r="N57" s="7">
        <f t="shared" si="154"/>
        <v>9.5</v>
      </c>
      <c r="O57" s="7">
        <f t="shared" si="8"/>
        <v>6.150537634</v>
      </c>
      <c r="P57" s="6">
        <v>224.0</v>
      </c>
      <c r="Q57" s="6">
        <v>235.0</v>
      </c>
      <c r="R57" s="6">
        <v>249.0</v>
      </c>
      <c r="S57" s="6">
        <v>8.0</v>
      </c>
      <c r="T57" s="6">
        <v>10.0</v>
      </c>
      <c r="U57" s="6">
        <v>10.0</v>
      </c>
      <c r="V57" s="7">
        <f t="shared" ref="V57:X57" si="155">(S57/P57)*100</f>
        <v>3.571428571</v>
      </c>
      <c r="W57" s="7">
        <f t="shared" si="155"/>
        <v>4.255319149</v>
      </c>
      <c r="X57" s="7">
        <f t="shared" si="155"/>
        <v>4.016064257</v>
      </c>
      <c r="Y57" s="7">
        <f t="shared" si="10"/>
        <v>3.91337386</v>
      </c>
    </row>
    <row r="58" ht="14.25" customHeight="1">
      <c r="A58" s="1" t="s">
        <v>31</v>
      </c>
      <c r="B58" s="1" t="s">
        <v>116</v>
      </c>
      <c r="C58" s="1" t="s">
        <v>117</v>
      </c>
      <c r="D58" s="1" t="s">
        <v>117</v>
      </c>
      <c r="E58" s="5">
        <v>20601.0</v>
      </c>
      <c r="F58" s="6">
        <v>761.0</v>
      </c>
      <c r="G58" s="6">
        <v>792.0</v>
      </c>
      <c r="H58" s="6">
        <v>818.0</v>
      </c>
      <c r="I58" s="6">
        <v>72.0</v>
      </c>
      <c r="J58" s="6">
        <v>54.0</v>
      </c>
      <c r="K58" s="6">
        <v>66.0</v>
      </c>
      <c r="L58" s="7">
        <f t="shared" ref="L58:N58" si="156">(I58/F58)*100</f>
        <v>9.461235217</v>
      </c>
      <c r="M58" s="7">
        <f t="shared" si="156"/>
        <v>6.818181818</v>
      </c>
      <c r="N58" s="7">
        <f t="shared" si="156"/>
        <v>8.068459658</v>
      </c>
      <c r="O58" s="7">
        <f t="shared" si="8"/>
        <v>8.115958898</v>
      </c>
      <c r="P58" s="6">
        <v>845.0</v>
      </c>
      <c r="Q58" s="6">
        <v>853.0</v>
      </c>
      <c r="R58" s="6">
        <v>824.0</v>
      </c>
      <c r="S58" s="6">
        <v>27.0</v>
      </c>
      <c r="T58" s="6">
        <v>32.0</v>
      </c>
      <c r="U58" s="6">
        <v>21.0</v>
      </c>
      <c r="V58" s="7">
        <f t="shared" ref="V58:X58" si="157">(S58/P58)*100</f>
        <v>3.195266272</v>
      </c>
      <c r="W58" s="7">
        <f t="shared" si="157"/>
        <v>3.751465416</v>
      </c>
      <c r="X58" s="7">
        <f t="shared" si="157"/>
        <v>2.548543689</v>
      </c>
      <c r="Y58" s="7">
        <f t="shared" si="10"/>
        <v>3.473365844</v>
      </c>
    </row>
    <row r="59" ht="14.25" customHeight="1">
      <c r="A59" s="1" t="s">
        <v>31</v>
      </c>
      <c r="B59" s="1" t="s">
        <v>116</v>
      </c>
      <c r="C59" s="1" t="s">
        <v>118</v>
      </c>
      <c r="D59" s="1" t="s">
        <v>118</v>
      </c>
      <c r="E59" s="5">
        <v>20602.0</v>
      </c>
      <c r="F59" s="6">
        <v>557.0</v>
      </c>
      <c r="G59" s="6">
        <v>617.0</v>
      </c>
      <c r="H59" s="6">
        <v>615.0</v>
      </c>
      <c r="I59" s="6">
        <v>35.0</v>
      </c>
      <c r="J59" s="6">
        <v>64.0</v>
      </c>
      <c r="K59" s="6">
        <v>72.0</v>
      </c>
      <c r="L59" s="7">
        <f t="shared" ref="L59:N59" si="158">(I59/F59)*100</f>
        <v>6.283662478</v>
      </c>
      <c r="M59" s="7">
        <f t="shared" si="158"/>
        <v>10.37277147</v>
      </c>
      <c r="N59" s="7">
        <f t="shared" si="158"/>
        <v>11.70731707</v>
      </c>
      <c r="O59" s="7">
        <f t="shared" si="8"/>
        <v>9.454583675</v>
      </c>
      <c r="P59" s="6">
        <v>741.0</v>
      </c>
      <c r="Q59" s="6">
        <v>744.0</v>
      </c>
      <c r="R59" s="6">
        <v>765.0</v>
      </c>
      <c r="S59" s="6">
        <v>43.0</v>
      </c>
      <c r="T59" s="6">
        <v>31.0</v>
      </c>
      <c r="U59" s="6">
        <v>30.0</v>
      </c>
      <c r="V59" s="7">
        <f t="shared" ref="V59:X59" si="159">(S59/P59)*100</f>
        <v>5.802968961</v>
      </c>
      <c r="W59" s="7">
        <f t="shared" si="159"/>
        <v>4.166666667</v>
      </c>
      <c r="X59" s="7">
        <f t="shared" si="159"/>
        <v>3.921568627</v>
      </c>
      <c r="Y59" s="7">
        <f t="shared" si="10"/>
        <v>4.984817814</v>
      </c>
    </row>
    <row r="60" ht="14.25" customHeight="1">
      <c r="A60" s="1" t="s">
        <v>31</v>
      </c>
      <c r="B60" s="1" t="s">
        <v>116</v>
      </c>
      <c r="C60" s="1" t="s">
        <v>119</v>
      </c>
      <c r="D60" s="1" t="s">
        <v>119</v>
      </c>
      <c r="E60" s="5">
        <v>20603.0</v>
      </c>
      <c r="F60" s="6">
        <v>268.0</v>
      </c>
      <c r="G60" s="6">
        <v>279.0</v>
      </c>
      <c r="H60" s="6">
        <v>296.0</v>
      </c>
      <c r="I60" s="6">
        <v>26.0</v>
      </c>
      <c r="J60" s="6">
        <v>25.0</v>
      </c>
      <c r="K60" s="6">
        <v>33.0</v>
      </c>
      <c r="L60" s="7">
        <f t="shared" ref="L60:N60" si="160">(I60/F60)*100</f>
        <v>9.701492537</v>
      </c>
      <c r="M60" s="7">
        <f t="shared" si="160"/>
        <v>8.960573477</v>
      </c>
      <c r="N60" s="7">
        <f t="shared" si="160"/>
        <v>11.14864865</v>
      </c>
      <c r="O60" s="7">
        <f t="shared" si="8"/>
        <v>9.936904888</v>
      </c>
      <c r="P60" s="6">
        <v>324.0</v>
      </c>
      <c r="Q60" s="6">
        <v>336.0</v>
      </c>
      <c r="R60" s="6">
        <v>342.0</v>
      </c>
      <c r="S60" s="6">
        <v>8.0</v>
      </c>
      <c r="T60" s="6">
        <v>5.0</v>
      </c>
      <c r="U60" s="6">
        <v>9.0</v>
      </c>
      <c r="V60" s="7">
        <f t="shared" ref="V60:X60" si="161">(S60/P60)*100</f>
        <v>2.469135802</v>
      </c>
      <c r="W60" s="7">
        <f t="shared" si="161"/>
        <v>1.488095238</v>
      </c>
      <c r="X60" s="7">
        <f t="shared" si="161"/>
        <v>2.631578947</v>
      </c>
      <c r="Y60" s="7">
        <f t="shared" si="10"/>
        <v>1.97861552</v>
      </c>
    </row>
    <row r="61" ht="14.25" customHeight="1">
      <c r="A61" s="1" t="s">
        <v>31</v>
      </c>
      <c r="B61" s="1" t="s">
        <v>116</v>
      </c>
      <c r="C61" s="1" t="s">
        <v>120</v>
      </c>
      <c r="D61" s="1" t="s">
        <v>120</v>
      </c>
      <c r="E61" s="5">
        <v>20604.0</v>
      </c>
      <c r="F61" s="6">
        <v>113.0</v>
      </c>
      <c r="G61" s="6">
        <v>126.0</v>
      </c>
      <c r="H61" s="6">
        <v>127.0</v>
      </c>
      <c r="I61" s="6">
        <v>1.0</v>
      </c>
      <c r="J61" s="6">
        <v>5.0</v>
      </c>
      <c r="K61" s="6">
        <v>15.0</v>
      </c>
      <c r="L61" s="7">
        <f t="shared" ref="L61:N61" si="162">(I61/F61)*100</f>
        <v>0.8849557522</v>
      </c>
      <c r="M61" s="7">
        <f t="shared" si="162"/>
        <v>3.968253968</v>
      </c>
      <c r="N61" s="7">
        <f t="shared" si="162"/>
        <v>11.81102362</v>
      </c>
      <c r="O61" s="7">
        <f t="shared" si="8"/>
        <v>5.554744448</v>
      </c>
      <c r="P61" s="6">
        <v>100.0</v>
      </c>
      <c r="Q61" s="6">
        <v>106.0</v>
      </c>
      <c r="R61" s="6">
        <v>104.0</v>
      </c>
      <c r="S61" s="6">
        <v>3.0</v>
      </c>
      <c r="T61" s="6">
        <v>7.0</v>
      </c>
      <c r="U61" s="6">
        <v>5.0</v>
      </c>
      <c r="V61" s="7">
        <f t="shared" ref="V61:X61" si="163">(S61/P61)*100</f>
        <v>3</v>
      </c>
      <c r="W61" s="7">
        <f t="shared" si="163"/>
        <v>6.603773585</v>
      </c>
      <c r="X61" s="7">
        <f t="shared" si="163"/>
        <v>4.807692308</v>
      </c>
      <c r="Y61" s="7">
        <f t="shared" si="10"/>
        <v>4.801886792</v>
      </c>
    </row>
    <row r="62" ht="14.25" customHeight="1">
      <c r="A62" s="1" t="s">
        <v>31</v>
      </c>
      <c r="B62" s="1" t="s">
        <v>116</v>
      </c>
      <c r="C62" s="1" t="s">
        <v>121</v>
      </c>
      <c r="D62" s="1" t="s">
        <v>121</v>
      </c>
      <c r="E62" s="5">
        <v>20605.0</v>
      </c>
      <c r="F62" s="6">
        <v>128.0</v>
      </c>
      <c r="G62" s="6">
        <v>136.0</v>
      </c>
      <c r="H62" s="6">
        <v>120.0</v>
      </c>
      <c r="I62" s="6">
        <v>7.0</v>
      </c>
      <c r="J62" s="6">
        <v>7.0</v>
      </c>
      <c r="K62" s="6">
        <v>2.0</v>
      </c>
      <c r="L62" s="7">
        <f t="shared" ref="L62:N62" si="164">(I62/F62)*100</f>
        <v>5.46875</v>
      </c>
      <c r="M62" s="7">
        <f t="shared" si="164"/>
        <v>5.147058824</v>
      </c>
      <c r="N62" s="7">
        <f t="shared" si="164"/>
        <v>1.666666667</v>
      </c>
      <c r="O62" s="7">
        <f t="shared" si="8"/>
        <v>4.094158497</v>
      </c>
      <c r="P62" s="6">
        <v>70.0</v>
      </c>
      <c r="Q62" s="6">
        <v>79.0</v>
      </c>
      <c r="R62" s="6">
        <v>83.0</v>
      </c>
      <c r="S62" s="6">
        <v>6.0</v>
      </c>
      <c r="T62" s="6">
        <v>9.0</v>
      </c>
      <c r="U62" s="6">
        <v>7.0</v>
      </c>
      <c r="V62" s="7">
        <f t="shared" ref="V62:X62" si="165">(S62/P62)*100</f>
        <v>8.571428571</v>
      </c>
      <c r="W62" s="7">
        <f t="shared" si="165"/>
        <v>11.39240506</v>
      </c>
      <c r="X62" s="7">
        <f t="shared" si="165"/>
        <v>8.43373494</v>
      </c>
      <c r="Y62" s="7">
        <f t="shared" si="10"/>
        <v>9.981916817</v>
      </c>
    </row>
    <row r="63" ht="14.25" customHeight="1">
      <c r="A63" s="1" t="s">
        <v>31</v>
      </c>
      <c r="B63" s="1" t="s">
        <v>116</v>
      </c>
      <c r="C63" s="1" t="s">
        <v>122</v>
      </c>
      <c r="D63" s="1" t="s">
        <v>122</v>
      </c>
      <c r="E63" s="5">
        <v>20606.0</v>
      </c>
      <c r="F63" s="6">
        <v>570.0</v>
      </c>
      <c r="G63" s="6">
        <v>575.0</v>
      </c>
      <c r="H63" s="6">
        <v>561.0</v>
      </c>
      <c r="I63" s="6">
        <v>32.0</v>
      </c>
      <c r="J63" s="6">
        <v>23.0</v>
      </c>
      <c r="K63" s="6">
        <v>35.0</v>
      </c>
      <c r="L63" s="7">
        <f t="shared" ref="L63:N63" si="166">(I63/F63)*100</f>
        <v>5.614035088</v>
      </c>
      <c r="M63" s="7">
        <f t="shared" si="166"/>
        <v>4</v>
      </c>
      <c r="N63" s="7">
        <f t="shared" si="166"/>
        <v>6.23885918</v>
      </c>
      <c r="O63" s="7">
        <f t="shared" si="8"/>
        <v>5.284298089</v>
      </c>
      <c r="P63" s="6">
        <v>378.0</v>
      </c>
      <c r="Q63" s="6">
        <v>384.0</v>
      </c>
      <c r="R63" s="6">
        <v>363.0</v>
      </c>
      <c r="S63" s="6">
        <v>5.0</v>
      </c>
      <c r="T63" s="6">
        <v>8.0</v>
      </c>
      <c r="U63" s="6">
        <v>8.0</v>
      </c>
      <c r="V63" s="7">
        <f t="shared" ref="V63:X63" si="167">(S63/P63)*100</f>
        <v>1.322751323</v>
      </c>
      <c r="W63" s="7">
        <f t="shared" si="167"/>
        <v>2.083333333</v>
      </c>
      <c r="X63" s="7">
        <f t="shared" si="167"/>
        <v>2.203856749</v>
      </c>
      <c r="Y63" s="7">
        <f t="shared" si="10"/>
        <v>1.703042328</v>
      </c>
    </row>
    <row r="64" ht="14.25" customHeight="1">
      <c r="A64" s="1" t="s">
        <v>31</v>
      </c>
      <c r="B64" s="1" t="s">
        <v>116</v>
      </c>
      <c r="C64" s="1" t="s">
        <v>123</v>
      </c>
      <c r="D64" s="1" t="s">
        <v>123</v>
      </c>
      <c r="E64" s="5">
        <v>20607.0</v>
      </c>
      <c r="F64" s="6">
        <v>706.0</v>
      </c>
      <c r="G64" s="6">
        <v>756.0</v>
      </c>
      <c r="H64" s="6">
        <v>741.0</v>
      </c>
      <c r="I64" s="6">
        <v>71.0</v>
      </c>
      <c r="J64" s="6">
        <v>56.0</v>
      </c>
      <c r="K64" s="6">
        <v>60.0</v>
      </c>
      <c r="L64" s="7">
        <f t="shared" ref="L64:N64" si="168">(I64/F64)*100</f>
        <v>10.05665722</v>
      </c>
      <c r="M64" s="7">
        <f t="shared" si="168"/>
        <v>7.407407407</v>
      </c>
      <c r="N64" s="7">
        <f t="shared" si="168"/>
        <v>8.097165992</v>
      </c>
      <c r="O64" s="7">
        <f t="shared" si="8"/>
        <v>8.520410208</v>
      </c>
      <c r="P64" s="6">
        <v>970.0</v>
      </c>
      <c r="Q64" s="6">
        <v>970.0</v>
      </c>
      <c r="R64" s="6">
        <v>955.0</v>
      </c>
      <c r="S64" s="6">
        <v>56.0</v>
      </c>
      <c r="T64" s="6">
        <v>48.0</v>
      </c>
      <c r="U64" s="6">
        <v>37.0</v>
      </c>
      <c r="V64" s="7">
        <f t="shared" ref="V64:X64" si="169">(S64/P64)*100</f>
        <v>5.773195876</v>
      </c>
      <c r="W64" s="7">
        <f t="shared" si="169"/>
        <v>4.948453608</v>
      </c>
      <c r="X64" s="7">
        <f t="shared" si="169"/>
        <v>3.87434555</v>
      </c>
      <c r="Y64" s="7">
        <f t="shared" si="10"/>
        <v>5.360824742</v>
      </c>
    </row>
    <row r="65" ht="14.25" customHeight="1">
      <c r="A65" s="1" t="s">
        <v>31</v>
      </c>
      <c r="B65" s="1" t="s">
        <v>116</v>
      </c>
      <c r="C65" s="1" t="s">
        <v>124</v>
      </c>
      <c r="D65" s="1" t="s">
        <v>124</v>
      </c>
      <c r="E65" s="5">
        <v>20608.0</v>
      </c>
      <c r="F65" s="6">
        <v>394.0</v>
      </c>
      <c r="G65" s="6">
        <v>425.0</v>
      </c>
      <c r="H65" s="6">
        <v>409.0</v>
      </c>
      <c r="I65" s="6">
        <v>40.0</v>
      </c>
      <c r="J65" s="6">
        <v>39.0</v>
      </c>
      <c r="K65" s="6">
        <v>46.0</v>
      </c>
      <c r="L65" s="7">
        <f t="shared" ref="L65:N65" si="170">(I65/F65)*100</f>
        <v>10.15228426</v>
      </c>
      <c r="M65" s="7">
        <f t="shared" si="170"/>
        <v>9.176470588</v>
      </c>
      <c r="N65" s="7">
        <f t="shared" si="170"/>
        <v>11.24694377</v>
      </c>
      <c r="O65" s="7">
        <f t="shared" si="8"/>
        <v>10.19189954</v>
      </c>
      <c r="P65" s="6">
        <v>507.0</v>
      </c>
      <c r="Q65" s="6">
        <v>494.0</v>
      </c>
      <c r="R65" s="6">
        <v>517.0</v>
      </c>
      <c r="S65" s="6">
        <v>24.0</v>
      </c>
      <c r="T65" s="6">
        <v>14.0</v>
      </c>
      <c r="U65" s="6">
        <v>17.0</v>
      </c>
      <c r="V65" s="7">
        <f t="shared" ref="V65:X65" si="171">(S65/P65)*100</f>
        <v>4.733727811</v>
      </c>
      <c r="W65" s="7">
        <f t="shared" si="171"/>
        <v>2.834008097</v>
      </c>
      <c r="X65" s="7">
        <f t="shared" si="171"/>
        <v>3.288201161</v>
      </c>
      <c r="Y65" s="7">
        <f t="shared" si="10"/>
        <v>3.783867954</v>
      </c>
    </row>
    <row r="66" ht="14.25" customHeight="1">
      <c r="A66" s="1" t="s">
        <v>31</v>
      </c>
      <c r="B66" s="1" t="s">
        <v>125</v>
      </c>
      <c r="C66" s="1" t="s">
        <v>126</v>
      </c>
      <c r="D66" s="1" t="s">
        <v>126</v>
      </c>
      <c r="E66" s="5">
        <v>20701.0</v>
      </c>
      <c r="F66" s="6">
        <v>769.0</v>
      </c>
      <c r="G66" s="6">
        <v>825.0</v>
      </c>
      <c r="H66" s="6">
        <v>817.0</v>
      </c>
      <c r="I66" s="6">
        <v>91.0</v>
      </c>
      <c r="J66" s="6">
        <v>66.0</v>
      </c>
      <c r="K66" s="6">
        <v>80.0</v>
      </c>
      <c r="L66" s="7">
        <f t="shared" ref="L66:N66" si="172">(I66/F66)*100</f>
        <v>11.83355007</v>
      </c>
      <c r="M66" s="7">
        <f t="shared" si="172"/>
        <v>8</v>
      </c>
      <c r="N66" s="7">
        <f t="shared" si="172"/>
        <v>9.791921665</v>
      </c>
      <c r="O66" s="7">
        <f t="shared" si="8"/>
        <v>9.875157243</v>
      </c>
      <c r="P66" s="6">
        <v>1120.0</v>
      </c>
      <c r="Q66" s="6">
        <v>1174.0</v>
      </c>
      <c r="R66" s="6">
        <v>1187.0</v>
      </c>
      <c r="S66" s="6">
        <v>50.0</v>
      </c>
      <c r="T66" s="6">
        <v>51.0</v>
      </c>
      <c r="U66" s="6">
        <v>59.0</v>
      </c>
      <c r="V66" s="7">
        <f t="shared" ref="V66:X66" si="173">(S66/P66)*100</f>
        <v>4.464285714</v>
      </c>
      <c r="W66" s="7">
        <f t="shared" si="173"/>
        <v>4.344122658</v>
      </c>
      <c r="X66" s="7">
        <f t="shared" si="173"/>
        <v>4.970513901</v>
      </c>
      <c r="Y66" s="7">
        <f t="shared" si="10"/>
        <v>4.404204186</v>
      </c>
    </row>
    <row r="67" ht="14.25" customHeight="1">
      <c r="A67" s="1" t="s">
        <v>31</v>
      </c>
      <c r="B67" s="1" t="s">
        <v>125</v>
      </c>
      <c r="C67" s="1" t="s">
        <v>127</v>
      </c>
      <c r="D67" s="1" t="s">
        <v>127</v>
      </c>
      <c r="E67" s="5">
        <v>20702.0</v>
      </c>
      <c r="F67" s="6">
        <v>145.0</v>
      </c>
      <c r="G67" s="6">
        <v>181.0</v>
      </c>
      <c r="H67" s="6">
        <v>181.0</v>
      </c>
      <c r="I67" s="6">
        <v>9.0</v>
      </c>
      <c r="J67" s="6">
        <v>19.0</v>
      </c>
      <c r="K67" s="6">
        <v>15.0</v>
      </c>
      <c r="L67" s="7">
        <f t="shared" ref="L67:N67" si="174">(I67/F67)*100</f>
        <v>6.206896552</v>
      </c>
      <c r="M67" s="7">
        <f t="shared" si="174"/>
        <v>10.49723757</v>
      </c>
      <c r="N67" s="7">
        <f t="shared" si="174"/>
        <v>8.287292818</v>
      </c>
      <c r="O67" s="7">
        <f t="shared" si="8"/>
        <v>8.330475646</v>
      </c>
      <c r="P67" s="6">
        <v>258.0</v>
      </c>
      <c r="Q67" s="6">
        <v>268.0</v>
      </c>
      <c r="R67" s="6">
        <v>289.0</v>
      </c>
      <c r="S67" s="6">
        <v>1.0</v>
      </c>
      <c r="T67" s="6">
        <v>5.0</v>
      </c>
      <c r="U67" s="6">
        <v>7.0</v>
      </c>
      <c r="V67" s="7">
        <f t="shared" ref="V67:X67" si="175">(S67/P67)*100</f>
        <v>0.3875968992</v>
      </c>
      <c r="W67" s="7">
        <f t="shared" si="175"/>
        <v>1.865671642</v>
      </c>
      <c r="X67" s="7">
        <f t="shared" si="175"/>
        <v>2.422145329</v>
      </c>
      <c r="Y67" s="7">
        <f t="shared" si="10"/>
        <v>1.126634271</v>
      </c>
    </row>
    <row r="68" ht="14.25" customHeight="1">
      <c r="A68" s="1" t="s">
        <v>31</v>
      </c>
      <c r="B68" s="1" t="s">
        <v>128</v>
      </c>
      <c r="C68" s="1" t="s">
        <v>129</v>
      </c>
      <c r="D68" s="1" t="s">
        <v>129</v>
      </c>
      <c r="E68" s="5">
        <v>20801.0</v>
      </c>
      <c r="F68" s="6">
        <v>3565.0</v>
      </c>
      <c r="G68" s="6">
        <v>3702.0</v>
      </c>
      <c r="H68" s="6">
        <v>3839.0</v>
      </c>
      <c r="I68" s="6">
        <v>135.0</v>
      </c>
      <c r="J68" s="6">
        <v>123.0</v>
      </c>
      <c r="K68" s="6">
        <v>158.0</v>
      </c>
      <c r="L68" s="7">
        <f t="shared" ref="L68:N68" si="176">(I68/F68)*100</f>
        <v>3.786816269</v>
      </c>
      <c r="M68" s="7">
        <f t="shared" si="176"/>
        <v>3.322528363</v>
      </c>
      <c r="N68" s="7">
        <f t="shared" si="176"/>
        <v>4.115655119</v>
      </c>
      <c r="O68" s="7">
        <f t="shared" si="8"/>
        <v>3.741666584</v>
      </c>
      <c r="P68" s="6">
        <v>4940.0</v>
      </c>
      <c r="Q68" s="6">
        <v>5156.0</v>
      </c>
      <c r="R68" s="6">
        <v>5368.0</v>
      </c>
      <c r="S68" s="6">
        <v>65.0</v>
      </c>
      <c r="T68" s="6">
        <v>74.0</v>
      </c>
      <c r="U68" s="6">
        <v>63.0</v>
      </c>
      <c r="V68" s="7">
        <f t="shared" ref="V68:X68" si="177">(S68/P68)*100</f>
        <v>1.315789474</v>
      </c>
      <c r="W68" s="7">
        <f t="shared" si="177"/>
        <v>1.435221102</v>
      </c>
      <c r="X68" s="7">
        <f t="shared" si="177"/>
        <v>1.173621461</v>
      </c>
      <c r="Y68" s="7">
        <f t="shared" si="10"/>
        <v>1.375505288</v>
      </c>
    </row>
    <row r="69" ht="14.25" customHeight="1">
      <c r="A69" s="1" t="s">
        <v>31</v>
      </c>
      <c r="B69" s="1" t="s">
        <v>128</v>
      </c>
      <c r="C69" s="1" t="s">
        <v>130</v>
      </c>
      <c r="D69" s="1" t="s">
        <v>131</v>
      </c>
      <c r="E69" s="5">
        <v>20802.0</v>
      </c>
      <c r="F69" s="6">
        <v>374.0</v>
      </c>
      <c r="G69" s="6">
        <v>384.0</v>
      </c>
      <c r="H69" s="6">
        <v>368.0</v>
      </c>
      <c r="I69" s="6">
        <v>29.0</v>
      </c>
      <c r="J69" s="6">
        <v>30.0</v>
      </c>
      <c r="K69" s="6">
        <v>32.0</v>
      </c>
      <c r="L69" s="7">
        <f t="shared" ref="L69:N69" si="178">(I69/F69)*100</f>
        <v>7.754010695</v>
      </c>
      <c r="M69" s="7">
        <f t="shared" si="178"/>
        <v>7.8125</v>
      </c>
      <c r="N69" s="7">
        <f t="shared" si="178"/>
        <v>8.695652174</v>
      </c>
      <c r="O69" s="7">
        <f t="shared" si="8"/>
        <v>8.087387623</v>
      </c>
      <c r="P69" s="6">
        <v>290.0</v>
      </c>
      <c r="Q69" s="6">
        <v>281.0</v>
      </c>
      <c r="R69" s="6">
        <v>283.0</v>
      </c>
      <c r="S69" s="6">
        <v>5.0</v>
      </c>
      <c r="T69" s="6">
        <v>2.0</v>
      </c>
      <c r="U69" s="6">
        <v>4.0</v>
      </c>
      <c r="V69" s="7">
        <f t="shared" ref="V69:X69" si="179">(S69/P69)*100</f>
        <v>1.724137931</v>
      </c>
      <c r="W69" s="7">
        <f t="shared" si="179"/>
        <v>0.7117437722</v>
      </c>
      <c r="X69" s="7">
        <f t="shared" si="179"/>
        <v>1.413427562</v>
      </c>
      <c r="Y69" s="7">
        <f t="shared" si="10"/>
        <v>1.217940852</v>
      </c>
    </row>
    <row r="70" ht="14.25" customHeight="1">
      <c r="A70" s="1" t="s">
        <v>31</v>
      </c>
      <c r="B70" s="1" t="s">
        <v>128</v>
      </c>
      <c r="C70" s="1" t="s">
        <v>132</v>
      </c>
      <c r="D70" s="1" t="s">
        <v>132</v>
      </c>
      <c r="E70" s="5">
        <v>20803.0</v>
      </c>
      <c r="F70" s="6">
        <v>658.0</v>
      </c>
      <c r="G70" s="6">
        <v>669.0</v>
      </c>
      <c r="H70" s="6">
        <v>661.0</v>
      </c>
      <c r="I70" s="6">
        <v>36.0</v>
      </c>
      <c r="J70" s="6">
        <v>36.0</v>
      </c>
      <c r="K70" s="6">
        <v>35.0</v>
      </c>
      <c r="L70" s="7">
        <f t="shared" ref="L70:N70" si="180">(I70/F70)*100</f>
        <v>5.47112462</v>
      </c>
      <c r="M70" s="7">
        <f t="shared" si="180"/>
        <v>5.381165919</v>
      </c>
      <c r="N70" s="7">
        <f t="shared" si="180"/>
        <v>5.295007564</v>
      </c>
      <c r="O70" s="7">
        <f t="shared" si="8"/>
        <v>5.382432701</v>
      </c>
      <c r="P70" s="6">
        <v>499.0</v>
      </c>
      <c r="Q70" s="6">
        <v>497.0</v>
      </c>
      <c r="R70" s="6">
        <v>475.0</v>
      </c>
      <c r="S70" s="6">
        <v>18.0</v>
      </c>
      <c r="T70" s="6">
        <v>9.0</v>
      </c>
      <c r="U70" s="6">
        <v>6.0</v>
      </c>
      <c r="V70" s="7">
        <f t="shared" ref="V70:X70" si="181">(S70/P70)*100</f>
        <v>3.607214429</v>
      </c>
      <c r="W70" s="7">
        <f t="shared" si="181"/>
        <v>1.810865191</v>
      </c>
      <c r="X70" s="7">
        <f t="shared" si="181"/>
        <v>1.263157895</v>
      </c>
      <c r="Y70" s="7">
        <f t="shared" si="10"/>
        <v>2.70903981</v>
      </c>
    </row>
    <row r="71" ht="14.25" customHeight="1">
      <c r="A71" s="1" t="s">
        <v>31</v>
      </c>
      <c r="B71" s="1" t="s">
        <v>128</v>
      </c>
      <c r="C71" s="1" t="s">
        <v>133</v>
      </c>
      <c r="D71" s="1" t="s">
        <v>133</v>
      </c>
      <c r="E71" s="5">
        <v>20804.0</v>
      </c>
      <c r="F71" s="6">
        <v>234.0</v>
      </c>
      <c r="G71" s="6">
        <v>229.0</v>
      </c>
      <c r="H71" s="6">
        <v>220.0</v>
      </c>
      <c r="I71" s="6">
        <v>4.0</v>
      </c>
      <c r="J71" s="6">
        <v>7.0</v>
      </c>
      <c r="K71" s="6">
        <v>12.0</v>
      </c>
      <c r="L71" s="7">
        <f t="shared" ref="L71:N71" si="182">(I71/F71)*100</f>
        <v>1.709401709</v>
      </c>
      <c r="M71" s="7">
        <f t="shared" si="182"/>
        <v>3.056768559</v>
      </c>
      <c r="N71" s="7">
        <f t="shared" si="182"/>
        <v>5.454545455</v>
      </c>
      <c r="O71" s="7">
        <f t="shared" si="8"/>
        <v>3.406905241</v>
      </c>
      <c r="P71" s="6">
        <v>313.0</v>
      </c>
      <c r="Q71" s="6">
        <v>304.0</v>
      </c>
      <c r="R71" s="6">
        <v>308.0</v>
      </c>
      <c r="S71" s="6">
        <v>5.0</v>
      </c>
      <c r="T71" s="6">
        <v>4.0</v>
      </c>
      <c r="U71" s="6">
        <v>4.0</v>
      </c>
      <c r="V71" s="7">
        <f t="shared" ref="V71:X71" si="183">(S71/P71)*100</f>
        <v>1.597444089</v>
      </c>
      <c r="W71" s="7">
        <f t="shared" si="183"/>
        <v>1.315789474</v>
      </c>
      <c r="X71" s="7">
        <f t="shared" si="183"/>
        <v>1.298701299</v>
      </c>
      <c r="Y71" s="7">
        <f t="shared" si="10"/>
        <v>1.456616782</v>
      </c>
    </row>
    <row r="72" ht="14.25" customHeight="1">
      <c r="A72" s="1" t="s">
        <v>31</v>
      </c>
      <c r="B72" s="1" t="s">
        <v>128</v>
      </c>
      <c r="C72" s="1" t="s">
        <v>134</v>
      </c>
      <c r="D72" s="1" t="s">
        <v>134</v>
      </c>
      <c r="E72" s="5">
        <v>20805.0</v>
      </c>
      <c r="F72" s="6">
        <v>199.0</v>
      </c>
      <c r="G72" s="6">
        <v>205.0</v>
      </c>
      <c r="H72" s="6">
        <v>206.0</v>
      </c>
      <c r="I72" s="6">
        <v>18.0</v>
      </c>
      <c r="J72" s="6">
        <v>7.0</v>
      </c>
      <c r="K72" s="6">
        <v>21.0</v>
      </c>
      <c r="L72" s="7">
        <f t="shared" ref="L72:N72" si="184">(I72/F72)*100</f>
        <v>9.045226131</v>
      </c>
      <c r="M72" s="7">
        <f t="shared" si="184"/>
        <v>3.414634146</v>
      </c>
      <c r="N72" s="7">
        <f t="shared" si="184"/>
        <v>10.19417476</v>
      </c>
      <c r="O72" s="7">
        <f t="shared" si="8"/>
        <v>7.551345011</v>
      </c>
      <c r="P72" s="6">
        <v>138.0</v>
      </c>
      <c r="Q72" s="6">
        <v>146.0</v>
      </c>
      <c r="R72" s="6">
        <v>165.0</v>
      </c>
      <c r="S72" s="6">
        <v>3.0</v>
      </c>
      <c r="T72" s="6">
        <v>3.0</v>
      </c>
      <c r="U72" s="6">
        <v>9.0</v>
      </c>
      <c r="V72" s="7">
        <f t="shared" ref="V72:X72" si="185">(S72/P72)*100</f>
        <v>2.173913043</v>
      </c>
      <c r="W72" s="7">
        <f t="shared" si="185"/>
        <v>2.054794521</v>
      </c>
      <c r="X72" s="7">
        <f t="shared" si="185"/>
        <v>5.454545455</v>
      </c>
      <c r="Y72" s="7">
        <f t="shared" si="10"/>
        <v>2.114353782</v>
      </c>
    </row>
    <row r="73" ht="14.25" customHeight="1">
      <c r="A73" s="1" t="s">
        <v>31</v>
      </c>
      <c r="B73" s="1" t="s">
        <v>128</v>
      </c>
      <c r="C73" s="1" t="s">
        <v>135</v>
      </c>
      <c r="D73" s="1" t="s">
        <v>135</v>
      </c>
      <c r="E73" s="5">
        <v>20806.0</v>
      </c>
      <c r="F73" s="6">
        <v>597.0</v>
      </c>
      <c r="G73" s="6">
        <v>595.0</v>
      </c>
      <c r="H73" s="6">
        <v>555.0</v>
      </c>
      <c r="I73" s="6">
        <v>37.0</v>
      </c>
      <c r="J73" s="6">
        <v>48.0</v>
      </c>
      <c r="K73" s="6">
        <v>43.0</v>
      </c>
      <c r="L73" s="7">
        <f t="shared" ref="L73:N73" si="186">(I73/F73)*100</f>
        <v>6.197654941</v>
      </c>
      <c r="M73" s="7">
        <f t="shared" si="186"/>
        <v>8.067226891</v>
      </c>
      <c r="N73" s="7">
        <f t="shared" si="186"/>
        <v>7.747747748</v>
      </c>
      <c r="O73" s="7">
        <f t="shared" si="8"/>
        <v>7.337543193</v>
      </c>
      <c r="P73" s="6">
        <v>427.0</v>
      </c>
      <c r="Q73" s="6">
        <v>446.0</v>
      </c>
      <c r="R73" s="6">
        <v>444.0</v>
      </c>
      <c r="S73" s="6">
        <v>16.0</v>
      </c>
      <c r="T73" s="6">
        <v>15.0</v>
      </c>
      <c r="U73" s="6">
        <v>12.0</v>
      </c>
      <c r="V73" s="7">
        <f t="shared" ref="V73:X73" si="187">(S73/P73)*100</f>
        <v>3.7470726</v>
      </c>
      <c r="W73" s="7">
        <f t="shared" si="187"/>
        <v>3.3632287</v>
      </c>
      <c r="X73" s="7">
        <f t="shared" si="187"/>
        <v>2.702702703</v>
      </c>
      <c r="Y73" s="7">
        <f t="shared" si="10"/>
        <v>3.55515065</v>
      </c>
    </row>
    <row r="74" ht="14.25" customHeight="1">
      <c r="A74" s="1" t="s">
        <v>31</v>
      </c>
      <c r="B74" s="1" t="s">
        <v>128</v>
      </c>
      <c r="C74" s="1" t="s">
        <v>136</v>
      </c>
      <c r="D74" s="1" t="s">
        <v>136</v>
      </c>
      <c r="E74" s="5">
        <v>20807.0</v>
      </c>
      <c r="F74" s="6">
        <v>206.0</v>
      </c>
      <c r="G74" s="6">
        <v>214.0</v>
      </c>
      <c r="H74" s="6">
        <v>199.0</v>
      </c>
      <c r="I74" s="6">
        <v>25.0</v>
      </c>
      <c r="J74" s="6">
        <v>21.0</v>
      </c>
      <c r="K74" s="6">
        <v>7.0</v>
      </c>
      <c r="L74" s="7">
        <f t="shared" ref="L74:N74" si="188">(I74/F74)*100</f>
        <v>12.13592233</v>
      </c>
      <c r="M74" s="7">
        <f t="shared" si="188"/>
        <v>9.813084112</v>
      </c>
      <c r="N74" s="7">
        <f t="shared" si="188"/>
        <v>3.51758794</v>
      </c>
      <c r="O74" s="7">
        <f t="shared" si="8"/>
        <v>8.488864794</v>
      </c>
      <c r="P74" s="6">
        <v>177.0</v>
      </c>
      <c r="Q74" s="6">
        <v>153.0</v>
      </c>
      <c r="R74" s="6">
        <v>161.0</v>
      </c>
      <c r="S74" s="6">
        <v>6.0</v>
      </c>
      <c r="T74" s="6">
        <v>4.0</v>
      </c>
      <c r="U74" s="6">
        <v>1.0</v>
      </c>
      <c r="V74" s="7">
        <f t="shared" ref="V74:X74" si="189">(S74/P74)*100</f>
        <v>3.389830508</v>
      </c>
      <c r="W74" s="7">
        <f t="shared" si="189"/>
        <v>2.614379085</v>
      </c>
      <c r="X74" s="7">
        <f t="shared" si="189"/>
        <v>0.6211180124</v>
      </c>
      <c r="Y74" s="7">
        <f t="shared" si="10"/>
        <v>3.002104797</v>
      </c>
    </row>
    <row r="75" ht="14.25" customHeight="1">
      <c r="A75" s="1" t="s">
        <v>31</v>
      </c>
      <c r="B75" s="1" t="s">
        <v>137</v>
      </c>
      <c r="C75" s="1" t="s">
        <v>138</v>
      </c>
      <c r="D75" s="1" t="s">
        <v>138</v>
      </c>
      <c r="E75" s="5">
        <v>20901.0</v>
      </c>
      <c r="F75" s="6">
        <v>430.0</v>
      </c>
      <c r="G75" s="6">
        <v>473.0</v>
      </c>
      <c r="H75" s="6">
        <v>506.0</v>
      </c>
      <c r="I75" s="6">
        <v>28.0</v>
      </c>
      <c r="J75" s="6">
        <v>31.0</v>
      </c>
      <c r="K75" s="6">
        <v>37.0</v>
      </c>
      <c r="L75" s="7">
        <f t="shared" ref="L75:N75" si="190">(I75/F75)*100</f>
        <v>6.511627907</v>
      </c>
      <c r="M75" s="7">
        <f t="shared" si="190"/>
        <v>6.553911205</v>
      </c>
      <c r="N75" s="7">
        <f t="shared" si="190"/>
        <v>7.312252964</v>
      </c>
      <c r="O75" s="7">
        <f t="shared" si="8"/>
        <v>6.792597359</v>
      </c>
      <c r="P75" s="6">
        <v>394.0</v>
      </c>
      <c r="Q75" s="6">
        <v>422.0</v>
      </c>
      <c r="R75" s="6">
        <v>403.0</v>
      </c>
      <c r="S75" s="6">
        <v>10.0</v>
      </c>
      <c r="T75" s="6">
        <v>16.0</v>
      </c>
      <c r="U75" s="6">
        <v>12.0</v>
      </c>
      <c r="V75" s="7">
        <f t="shared" ref="V75:X75" si="191">(S75/P75)*100</f>
        <v>2.538071066</v>
      </c>
      <c r="W75" s="7">
        <f t="shared" si="191"/>
        <v>3.791469194</v>
      </c>
      <c r="X75" s="7">
        <f t="shared" si="191"/>
        <v>2.977667494</v>
      </c>
      <c r="Y75" s="7">
        <f t="shared" si="10"/>
        <v>3.16477013</v>
      </c>
    </row>
    <row r="76" ht="14.25" customHeight="1">
      <c r="A76" s="1" t="s">
        <v>31</v>
      </c>
      <c r="B76" s="1" t="s">
        <v>137</v>
      </c>
      <c r="C76" s="1" t="s">
        <v>139</v>
      </c>
      <c r="D76" s="1" t="s">
        <v>139</v>
      </c>
      <c r="E76" s="5">
        <v>20902.0</v>
      </c>
      <c r="F76" s="6">
        <v>512.0</v>
      </c>
      <c r="G76" s="6">
        <v>509.0</v>
      </c>
      <c r="H76" s="6">
        <v>486.0</v>
      </c>
      <c r="I76" s="6">
        <v>34.0</v>
      </c>
      <c r="J76" s="6">
        <v>36.0</v>
      </c>
      <c r="K76" s="6">
        <v>24.0</v>
      </c>
      <c r="L76" s="7">
        <f t="shared" ref="L76:N76" si="192">(I76/F76)*100</f>
        <v>6.640625</v>
      </c>
      <c r="M76" s="7">
        <f t="shared" si="192"/>
        <v>7.072691552</v>
      </c>
      <c r="N76" s="7">
        <f t="shared" si="192"/>
        <v>4.938271605</v>
      </c>
      <c r="O76" s="7">
        <f t="shared" si="8"/>
        <v>6.217196052</v>
      </c>
      <c r="P76" s="6">
        <v>451.0</v>
      </c>
      <c r="Q76" s="6">
        <v>449.0</v>
      </c>
      <c r="R76" s="6">
        <v>440.0</v>
      </c>
      <c r="S76" s="6">
        <v>17.0</v>
      </c>
      <c r="T76" s="6">
        <v>13.0</v>
      </c>
      <c r="U76" s="6">
        <v>14.0</v>
      </c>
      <c r="V76" s="7">
        <f t="shared" ref="V76:X76" si="193">(S76/P76)*100</f>
        <v>3.76940133</v>
      </c>
      <c r="W76" s="7">
        <f t="shared" si="193"/>
        <v>2.89532294</v>
      </c>
      <c r="X76" s="7">
        <f t="shared" si="193"/>
        <v>3.181818182</v>
      </c>
      <c r="Y76" s="7">
        <f t="shared" si="10"/>
        <v>3.332362135</v>
      </c>
    </row>
    <row r="77" ht="14.25" customHeight="1">
      <c r="A77" s="1" t="s">
        <v>31</v>
      </c>
      <c r="B77" s="1" t="s">
        <v>137</v>
      </c>
      <c r="C77" s="1" t="s">
        <v>140</v>
      </c>
      <c r="D77" s="1" t="s">
        <v>140</v>
      </c>
      <c r="E77" s="5">
        <v>20903.0</v>
      </c>
      <c r="F77" s="6">
        <v>281.0</v>
      </c>
      <c r="G77" s="6">
        <v>276.0</v>
      </c>
      <c r="H77" s="6">
        <v>322.0</v>
      </c>
      <c r="I77" s="6">
        <v>32.0</v>
      </c>
      <c r="J77" s="6">
        <v>19.0</v>
      </c>
      <c r="K77" s="6">
        <v>30.0</v>
      </c>
      <c r="L77" s="7">
        <f t="shared" ref="L77:N77" si="194">(I77/F77)*100</f>
        <v>11.38790036</v>
      </c>
      <c r="M77" s="7">
        <f t="shared" si="194"/>
        <v>6.884057971</v>
      </c>
      <c r="N77" s="7">
        <f t="shared" si="194"/>
        <v>9.316770186</v>
      </c>
      <c r="O77" s="7">
        <f t="shared" si="8"/>
        <v>9.196242838</v>
      </c>
      <c r="P77" s="6">
        <v>305.0</v>
      </c>
      <c r="Q77" s="6">
        <v>303.0</v>
      </c>
      <c r="R77" s="6">
        <v>279.0</v>
      </c>
      <c r="S77" s="6">
        <v>10.0</v>
      </c>
      <c r="T77" s="6">
        <v>13.0</v>
      </c>
      <c r="U77" s="6">
        <v>7.0</v>
      </c>
      <c r="V77" s="7">
        <f t="shared" ref="V77:X77" si="195">(S77/P77)*100</f>
        <v>3.278688525</v>
      </c>
      <c r="W77" s="7">
        <f t="shared" si="195"/>
        <v>4.290429043</v>
      </c>
      <c r="X77" s="7">
        <f t="shared" si="195"/>
        <v>2.508960573</v>
      </c>
      <c r="Y77" s="7">
        <f t="shared" si="10"/>
        <v>3.784558784</v>
      </c>
    </row>
    <row r="78" ht="14.25" customHeight="1">
      <c r="A78" s="1" t="s">
        <v>31</v>
      </c>
      <c r="B78" s="1" t="s">
        <v>137</v>
      </c>
      <c r="C78" s="1" t="s">
        <v>141</v>
      </c>
      <c r="D78" s="1" t="s">
        <v>141</v>
      </c>
      <c r="E78" s="5">
        <v>20904.0</v>
      </c>
      <c r="F78" s="6">
        <v>58.0</v>
      </c>
      <c r="G78" s="6">
        <v>59.0</v>
      </c>
      <c r="H78" s="6">
        <v>59.0</v>
      </c>
      <c r="I78" s="6">
        <v>5.0</v>
      </c>
      <c r="J78" s="6">
        <v>1.0</v>
      </c>
      <c r="K78" s="6">
        <v>4.0</v>
      </c>
      <c r="L78" s="7">
        <f t="shared" ref="L78:N78" si="196">(I78/F78)*100</f>
        <v>8.620689655</v>
      </c>
      <c r="M78" s="7">
        <f t="shared" si="196"/>
        <v>1.694915254</v>
      </c>
      <c r="N78" s="7">
        <f t="shared" si="196"/>
        <v>6.779661017</v>
      </c>
      <c r="O78" s="7">
        <f t="shared" si="8"/>
        <v>5.698421975</v>
      </c>
      <c r="P78" s="6">
        <v>59.0</v>
      </c>
      <c r="Q78" s="6">
        <v>61.0</v>
      </c>
      <c r="R78" s="6">
        <v>55.0</v>
      </c>
      <c r="S78" s="6">
        <v>1.0</v>
      </c>
      <c r="T78" s="6">
        <v>0.0</v>
      </c>
      <c r="U78" s="6">
        <v>0.0</v>
      </c>
      <c r="V78" s="7">
        <f t="shared" ref="V78:X78" si="197">(S78/P78)*100</f>
        <v>1.694915254</v>
      </c>
      <c r="W78" s="7">
        <f t="shared" si="197"/>
        <v>0</v>
      </c>
      <c r="X78" s="7">
        <f t="shared" si="197"/>
        <v>0</v>
      </c>
      <c r="Y78" s="7">
        <f t="shared" si="10"/>
        <v>0.8474576271</v>
      </c>
    </row>
    <row r="79" ht="14.25" customHeight="1">
      <c r="A79" s="1" t="s">
        <v>31</v>
      </c>
      <c r="B79" s="1" t="s">
        <v>137</v>
      </c>
      <c r="C79" s="1" t="s">
        <v>142</v>
      </c>
      <c r="D79" s="1" t="s">
        <v>142</v>
      </c>
      <c r="E79" s="5">
        <v>20905.0</v>
      </c>
      <c r="F79" s="6">
        <v>497.0</v>
      </c>
      <c r="G79" s="6">
        <v>516.0</v>
      </c>
      <c r="H79" s="6">
        <v>509.0</v>
      </c>
      <c r="I79" s="6">
        <v>51.0</v>
      </c>
      <c r="J79" s="6">
        <v>33.0</v>
      </c>
      <c r="K79" s="6">
        <v>42.0</v>
      </c>
      <c r="L79" s="7">
        <f t="shared" ref="L79:N79" si="198">(I79/F79)*100</f>
        <v>10.26156942</v>
      </c>
      <c r="M79" s="7">
        <f t="shared" si="198"/>
        <v>6.395348837</v>
      </c>
      <c r="N79" s="7">
        <f t="shared" si="198"/>
        <v>8.251473477</v>
      </c>
      <c r="O79" s="7">
        <f t="shared" si="8"/>
        <v>8.302797244</v>
      </c>
      <c r="P79" s="6">
        <v>488.0</v>
      </c>
      <c r="Q79" s="6">
        <v>494.0</v>
      </c>
      <c r="R79" s="6">
        <v>535.0</v>
      </c>
      <c r="S79" s="6">
        <v>20.0</v>
      </c>
      <c r="T79" s="6">
        <v>26.0</v>
      </c>
      <c r="U79" s="6">
        <v>29.0</v>
      </c>
      <c r="V79" s="7">
        <f t="shared" ref="V79:X79" si="199">(S79/P79)*100</f>
        <v>4.098360656</v>
      </c>
      <c r="W79" s="7">
        <f t="shared" si="199"/>
        <v>5.263157895</v>
      </c>
      <c r="X79" s="7">
        <f t="shared" si="199"/>
        <v>5.420560748</v>
      </c>
      <c r="Y79" s="7">
        <f t="shared" si="10"/>
        <v>4.680759275</v>
      </c>
    </row>
    <row r="80" ht="14.25" customHeight="1">
      <c r="A80" s="1" t="s">
        <v>31</v>
      </c>
      <c r="B80" s="1" t="s">
        <v>143</v>
      </c>
      <c r="C80" s="1" t="s">
        <v>143</v>
      </c>
      <c r="D80" s="1" t="s">
        <v>143</v>
      </c>
      <c r="E80" s="5">
        <v>21001.0</v>
      </c>
      <c r="F80" s="6">
        <v>577.0</v>
      </c>
      <c r="G80" s="6">
        <v>628.0</v>
      </c>
      <c r="H80" s="6">
        <v>636.0</v>
      </c>
      <c r="I80" s="6">
        <v>52.0</v>
      </c>
      <c r="J80" s="6">
        <v>52.0</v>
      </c>
      <c r="K80" s="6">
        <v>73.0</v>
      </c>
      <c r="L80" s="7">
        <f t="shared" ref="L80:N80" si="200">(I80/F80)*100</f>
        <v>9.012131716</v>
      </c>
      <c r="M80" s="7">
        <f t="shared" si="200"/>
        <v>8.280254777</v>
      </c>
      <c r="N80" s="7">
        <f t="shared" si="200"/>
        <v>11.47798742</v>
      </c>
      <c r="O80" s="7">
        <f t="shared" si="8"/>
        <v>9.590124638</v>
      </c>
      <c r="P80" s="6">
        <v>593.0</v>
      </c>
      <c r="Q80" s="6">
        <v>604.0</v>
      </c>
      <c r="R80" s="6">
        <v>566.0</v>
      </c>
      <c r="S80" s="6">
        <v>24.0</v>
      </c>
      <c r="T80" s="6">
        <v>36.0</v>
      </c>
      <c r="U80" s="6">
        <v>20.0</v>
      </c>
      <c r="V80" s="7">
        <f t="shared" ref="V80:X80" si="201">(S80/P80)*100</f>
        <v>4.047217538</v>
      </c>
      <c r="W80" s="7">
        <f t="shared" si="201"/>
        <v>5.960264901</v>
      </c>
      <c r="X80" s="7">
        <f t="shared" si="201"/>
        <v>3.533568905</v>
      </c>
      <c r="Y80" s="7">
        <f t="shared" si="10"/>
        <v>5.003741219</v>
      </c>
    </row>
    <row r="81" ht="14.25" customHeight="1">
      <c r="A81" s="1" t="s">
        <v>31</v>
      </c>
      <c r="B81" s="1" t="s">
        <v>143</v>
      </c>
      <c r="C81" s="1" t="s">
        <v>144</v>
      </c>
      <c r="D81" s="1" t="s">
        <v>144</v>
      </c>
      <c r="E81" s="5">
        <v>21002.0</v>
      </c>
      <c r="F81" s="6">
        <v>286.0</v>
      </c>
      <c r="G81" s="6">
        <v>301.0</v>
      </c>
      <c r="H81" s="6">
        <v>292.0</v>
      </c>
      <c r="I81" s="6">
        <v>15.0</v>
      </c>
      <c r="J81" s="6">
        <v>12.0</v>
      </c>
      <c r="K81" s="6">
        <v>14.0</v>
      </c>
      <c r="L81" s="7">
        <f t="shared" ref="L81:N81" si="202">(I81/F81)*100</f>
        <v>5.244755245</v>
      </c>
      <c r="M81" s="7">
        <f t="shared" si="202"/>
        <v>3.986710963</v>
      </c>
      <c r="N81" s="7">
        <f t="shared" si="202"/>
        <v>4.794520548</v>
      </c>
      <c r="O81" s="7">
        <f t="shared" si="8"/>
        <v>4.675328919</v>
      </c>
      <c r="P81" s="6">
        <v>323.0</v>
      </c>
      <c r="Q81" s="6">
        <v>335.0</v>
      </c>
      <c r="R81" s="6">
        <v>351.0</v>
      </c>
      <c r="S81" s="6">
        <v>4.0</v>
      </c>
      <c r="T81" s="6">
        <v>5.0</v>
      </c>
      <c r="U81" s="6">
        <v>8.0</v>
      </c>
      <c r="V81" s="7">
        <f t="shared" ref="V81:X81" si="203">(S81/P81)*100</f>
        <v>1.238390093</v>
      </c>
      <c r="W81" s="7">
        <f t="shared" si="203"/>
        <v>1.492537313</v>
      </c>
      <c r="X81" s="7">
        <f t="shared" si="203"/>
        <v>2.279202279</v>
      </c>
      <c r="Y81" s="7">
        <f t="shared" si="10"/>
        <v>1.365463703</v>
      </c>
    </row>
    <row r="82" ht="14.25" customHeight="1">
      <c r="A82" s="1" t="s">
        <v>31</v>
      </c>
      <c r="B82" s="1" t="s">
        <v>143</v>
      </c>
      <c r="C82" s="1" t="s">
        <v>145</v>
      </c>
      <c r="D82" s="1" t="s">
        <v>145</v>
      </c>
      <c r="E82" s="5">
        <v>21003.0</v>
      </c>
      <c r="F82" s="6">
        <v>427.0</v>
      </c>
      <c r="G82" s="6">
        <v>459.0</v>
      </c>
      <c r="H82" s="6">
        <v>521.0</v>
      </c>
      <c r="I82" s="6">
        <v>24.0</v>
      </c>
      <c r="J82" s="6">
        <v>23.0</v>
      </c>
      <c r="K82" s="6">
        <v>49.0</v>
      </c>
      <c r="L82" s="7">
        <f t="shared" ref="L82:N82" si="204">(I82/F82)*100</f>
        <v>5.620608899</v>
      </c>
      <c r="M82" s="7">
        <f t="shared" si="204"/>
        <v>5.010893246</v>
      </c>
      <c r="N82" s="7">
        <f t="shared" si="204"/>
        <v>9.404990403</v>
      </c>
      <c r="O82" s="7">
        <f t="shared" si="8"/>
        <v>6.67883085</v>
      </c>
      <c r="P82" s="6">
        <v>684.0</v>
      </c>
      <c r="Q82" s="6">
        <v>660.0</v>
      </c>
      <c r="R82" s="6">
        <v>670.0</v>
      </c>
      <c r="S82" s="6">
        <v>35.0</v>
      </c>
      <c r="T82" s="6">
        <v>22.0</v>
      </c>
      <c r="U82" s="6">
        <v>19.0</v>
      </c>
      <c r="V82" s="7">
        <f t="shared" ref="V82:X82" si="205">(S82/P82)*100</f>
        <v>5.116959064</v>
      </c>
      <c r="W82" s="7">
        <f t="shared" si="205"/>
        <v>3.333333333</v>
      </c>
      <c r="X82" s="7">
        <f t="shared" si="205"/>
        <v>2.835820896</v>
      </c>
      <c r="Y82" s="7">
        <f t="shared" si="10"/>
        <v>4.225146199</v>
      </c>
    </row>
    <row r="83" ht="14.25" customHeight="1">
      <c r="A83" s="1" t="s">
        <v>31</v>
      </c>
      <c r="B83" s="1" t="s">
        <v>143</v>
      </c>
      <c r="C83" s="1" t="s">
        <v>146</v>
      </c>
      <c r="D83" s="1" t="s">
        <v>146</v>
      </c>
      <c r="E83" s="5">
        <v>21004.0</v>
      </c>
      <c r="F83" s="6">
        <v>783.0</v>
      </c>
      <c r="G83" s="6">
        <v>827.0</v>
      </c>
      <c r="H83" s="6">
        <v>864.0</v>
      </c>
      <c r="I83" s="6">
        <v>71.0</v>
      </c>
      <c r="J83" s="6">
        <v>74.0</v>
      </c>
      <c r="K83" s="6">
        <v>81.0</v>
      </c>
      <c r="L83" s="7">
        <f t="shared" ref="L83:N83" si="206">(I83/F83)*100</f>
        <v>9.067688378</v>
      </c>
      <c r="M83" s="7">
        <f t="shared" si="206"/>
        <v>8.948004837</v>
      </c>
      <c r="N83" s="7">
        <f t="shared" si="206"/>
        <v>9.375</v>
      </c>
      <c r="O83" s="7">
        <f t="shared" si="8"/>
        <v>9.130231072</v>
      </c>
      <c r="P83" s="6">
        <v>883.0</v>
      </c>
      <c r="Q83" s="6">
        <v>885.0</v>
      </c>
      <c r="R83" s="6">
        <v>894.0</v>
      </c>
      <c r="S83" s="6">
        <v>27.0</v>
      </c>
      <c r="T83" s="6">
        <v>30.0</v>
      </c>
      <c r="U83" s="6">
        <v>29.0</v>
      </c>
      <c r="V83" s="7">
        <f t="shared" ref="V83:X83" si="207">(S83/P83)*100</f>
        <v>3.057757644</v>
      </c>
      <c r="W83" s="7">
        <f t="shared" si="207"/>
        <v>3.389830508</v>
      </c>
      <c r="X83" s="7">
        <f t="shared" si="207"/>
        <v>3.243847875</v>
      </c>
      <c r="Y83" s="7">
        <f t="shared" si="10"/>
        <v>3.223794076</v>
      </c>
    </row>
    <row r="84" ht="14.25" customHeight="1">
      <c r="A84" s="1" t="s">
        <v>31</v>
      </c>
      <c r="B84" s="1" t="s">
        <v>143</v>
      </c>
      <c r="C84" s="1" t="s">
        <v>147</v>
      </c>
      <c r="D84" s="1" t="s">
        <v>147</v>
      </c>
      <c r="E84" s="5">
        <v>21005.0</v>
      </c>
      <c r="F84" s="6">
        <v>176.0</v>
      </c>
      <c r="G84" s="6">
        <v>178.0</v>
      </c>
      <c r="H84" s="6">
        <v>175.0</v>
      </c>
      <c r="I84" s="6">
        <v>16.0</v>
      </c>
      <c r="J84" s="6">
        <v>24.0</v>
      </c>
      <c r="K84" s="6">
        <v>24.0</v>
      </c>
      <c r="L84" s="7">
        <f t="shared" ref="L84:N84" si="208">(I84/F84)*100</f>
        <v>9.090909091</v>
      </c>
      <c r="M84" s="7">
        <f t="shared" si="208"/>
        <v>13.48314607</v>
      </c>
      <c r="N84" s="7">
        <f t="shared" si="208"/>
        <v>13.71428571</v>
      </c>
      <c r="O84" s="7">
        <f t="shared" si="8"/>
        <v>12.09611362</v>
      </c>
      <c r="P84" s="6">
        <v>193.0</v>
      </c>
      <c r="Q84" s="6">
        <v>186.0</v>
      </c>
      <c r="R84" s="6">
        <v>170.0</v>
      </c>
      <c r="S84" s="6">
        <v>12.0</v>
      </c>
      <c r="T84" s="6">
        <v>16.0</v>
      </c>
      <c r="U84" s="6">
        <v>3.0</v>
      </c>
      <c r="V84" s="7">
        <f t="shared" ref="V84:X84" si="209">(S84/P84)*100</f>
        <v>6.21761658</v>
      </c>
      <c r="W84" s="7">
        <f t="shared" si="209"/>
        <v>8.602150538</v>
      </c>
      <c r="X84" s="7">
        <f t="shared" si="209"/>
        <v>1.764705882</v>
      </c>
      <c r="Y84" s="7">
        <f t="shared" si="10"/>
        <v>7.409883559</v>
      </c>
    </row>
    <row r="85" ht="14.25" customHeight="1">
      <c r="A85" s="1" t="s">
        <v>31</v>
      </c>
      <c r="B85" s="1" t="s">
        <v>143</v>
      </c>
      <c r="C85" s="1" t="s">
        <v>148</v>
      </c>
      <c r="D85" s="1" t="s">
        <v>148</v>
      </c>
      <c r="E85" s="5">
        <v>21006.0</v>
      </c>
      <c r="F85" s="6">
        <v>94.0</v>
      </c>
      <c r="G85" s="6">
        <v>102.0</v>
      </c>
      <c r="H85" s="6">
        <v>121.0</v>
      </c>
      <c r="I85" s="6">
        <v>8.0</v>
      </c>
      <c r="J85" s="6">
        <v>5.0</v>
      </c>
      <c r="K85" s="6">
        <v>15.0</v>
      </c>
      <c r="L85" s="7">
        <f t="shared" ref="L85:N85" si="210">(I85/F85)*100</f>
        <v>8.510638298</v>
      </c>
      <c r="M85" s="7">
        <f t="shared" si="210"/>
        <v>4.901960784</v>
      </c>
      <c r="N85" s="7">
        <f t="shared" si="210"/>
        <v>12.39669421</v>
      </c>
      <c r="O85" s="7">
        <f t="shared" si="8"/>
        <v>8.603097766</v>
      </c>
      <c r="P85" s="6">
        <v>120.0</v>
      </c>
      <c r="Q85" s="6">
        <v>112.0</v>
      </c>
      <c r="R85" s="6">
        <v>112.0</v>
      </c>
      <c r="S85" s="6">
        <v>5.0</v>
      </c>
      <c r="T85" s="6">
        <v>1.0</v>
      </c>
      <c r="U85" s="6">
        <v>2.0</v>
      </c>
      <c r="V85" s="7">
        <f t="shared" ref="V85:X85" si="211">(S85/P85)*100</f>
        <v>4.166666667</v>
      </c>
      <c r="W85" s="7">
        <f t="shared" si="211"/>
        <v>0.8928571429</v>
      </c>
      <c r="X85" s="7">
        <f t="shared" si="211"/>
        <v>1.785714286</v>
      </c>
      <c r="Y85" s="7">
        <f t="shared" si="10"/>
        <v>2.529761905</v>
      </c>
    </row>
    <row r="86" ht="14.25" customHeight="1">
      <c r="A86" s="1" t="s">
        <v>31</v>
      </c>
      <c r="B86" s="1" t="s">
        <v>149</v>
      </c>
      <c r="C86" s="1" t="s">
        <v>150</v>
      </c>
      <c r="D86" s="1" t="s">
        <v>151</v>
      </c>
      <c r="E86" s="5">
        <v>21101.0</v>
      </c>
      <c r="F86" s="6">
        <v>765.0</v>
      </c>
      <c r="G86" s="6">
        <v>788.0</v>
      </c>
      <c r="H86" s="6">
        <v>787.0</v>
      </c>
      <c r="I86" s="6">
        <v>41.0</v>
      </c>
      <c r="J86" s="6">
        <v>56.0</v>
      </c>
      <c r="K86" s="6">
        <v>71.0</v>
      </c>
      <c r="L86" s="7">
        <f t="shared" ref="L86:N86" si="212">(I86/F86)*100</f>
        <v>5.359477124</v>
      </c>
      <c r="M86" s="7">
        <f t="shared" si="212"/>
        <v>7.106598985</v>
      </c>
      <c r="N86" s="7">
        <f t="shared" si="212"/>
        <v>9.021601017</v>
      </c>
      <c r="O86" s="7">
        <f t="shared" si="8"/>
        <v>7.162559042</v>
      </c>
      <c r="P86" s="6">
        <v>907.0</v>
      </c>
      <c r="Q86" s="6">
        <v>896.0</v>
      </c>
      <c r="R86" s="6">
        <v>861.0</v>
      </c>
      <c r="S86" s="6">
        <v>23.0</v>
      </c>
      <c r="T86" s="6">
        <v>19.0</v>
      </c>
      <c r="U86" s="6">
        <v>23.0</v>
      </c>
      <c r="V86" s="7">
        <f t="shared" ref="V86:X86" si="213">(S86/P86)*100</f>
        <v>2.535832415</v>
      </c>
      <c r="W86" s="7">
        <f t="shared" si="213"/>
        <v>2.120535714</v>
      </c>
      <c r="X86" s="7">
        <f t="shared" si="213"/>
        <v>2.671312427</v>
      </c>
      <c r="Y86" s="7">
        <f t="shared" si="10"/>
        <v>2.328184064</v>
      </c>
    </row>
    <row r="87" ht="14.25" customHeight="1">
      <c r="A87" s="1" t="s">
        <v>31</v>
      </c>
      <c r="B87" s="1" t="s">
        <v>149</v>
      </c>
      <c r="C87" s="1" t="s">
        <v>152</v>
      </c>
      <c r="D87" s="1" t="s">
        <v>153</v>
      </c>
      <c r="E87" s="5">
        <v>21102.0</v>
      </c>
      <c r="F87" s="6">
        <v>544.0</v>
      </c>
      <c r="G87" s="6">
        <v>570.0</v>
      </c>
      <c r="H87" s="6">
        <v>560.0</v>
      </c>
      <c r="I87" s="6">
        <v>37.0</v>
      </c>
      <c r="J87" s="6">
        <v>44.0</v>
      </c>
      <c r="K87" s="6">
        <v>66.0</v>
      </c>
      <c r="L87" s="7">
        <f t="shared" ref="L87:N87" si="214">(I87/F87)*100</f>
        <v>6.801470588</v>
      </c>
      <c r="M87" s="7">
        <f t="shared" si="214"/>
        <v>7.719298246</v>
      </c>
      <c r="N87" s="7">
        <f t="shared" si="214"/>
        <v>11.78571429</v>
      </c>
      <c r="O87" s="7">
        <f t="shared" si="8"/>
        <v>8.768827707</v>
      </c>
      <c r="P87" s="6">
        <v>768.0</v>
      </c>
      <c r="Q87" s="6">
        <v>814.0</v>
      </c>
      <c r="R87" s="6">
        <v>774.0</v>
      </c>
      <c r="S87" s="6">
        <v>20.0</v>
      </c>
      <c r="T87" s="6">
        <v>33.0</v>
      </c>
      <c r="U87" s="6">
        <v>25.0</v>
      </c>
      <c r="V87" s="7">
        <f t="shared" ref="V87:X87" si="215">(S87/P87)*100</f>
        <v>2.604166667</v>
      </c>
      <c r="W87" s="7">
        <f t="shared" si="215"/>
        <v>4.054054054</v>
      </c>
      <c r="X87" s="7">
        <f t="shared" si="215"/>
        <v>3.22997416</v>
      </c>
      <c r="Y87" s="7">
        <f t="shared" si="10"/>
        <v>3.32911036</v>
      </c>
    </row>
    <row r="88" ht="14.25" customHeight="1">
      <c r="A88" s="1" t="s">
        <v>31</v>
      </c>
      <c r="B88" s="1" t="s">
        <v>149</v>
      </c>
      <c r="C88" s="1" t="s">
        <v>154</v>
      </c>
      <c r="D88" s="1" t="s">
        <v>154</v>
      </c>
      <c r="E88" s="5">
        <v>21103.0</v>
      </c>
      <c r="F88" s="6">
        <v>206.0</v>
      </c>
      <c r="G88" s="6">
        <v>223.0</v>
      </c>
      <c r="H88" s="6">
        <v>256.0</v>
      </c>
      <c r="I88" s="6">
        <v>11.0</v>
      </c>
      <c r="J88" s="6">
        <v>8.0</v>
      </c>
      <c r="K88" s="6">
        <v>11.0</v>
      </c>
      <c r="L88" s="7">
        <f t="shared" ref="L88:N88" si="216">(I88/F88)*100</f>
        <v>5.339805825</v>
      </c>
      <c r="M88" s="7">
        <f t="shared" si="216"/>
        <v>3.587443946</v>
      </c>
      <c r="N88" s="7">
        <f t="shared" si="216"/>
        <v>4.296875</v>
      </c>
      <c r="O88" s="7">
        <f t="shared" si="8"/>
        <v>4.40804159</v>
      </c>
      <c r="P88" s="6">
        <v>270.0</v>
      </c>
      <c r="Q88" s="6">
        <v>273.0</v>
      </c>
      <c r="R88" s="6">
        <v>277.0</v>
      </c>
      <c r="S88" s="6">
        <v>8.0</v>
      </c>
      <c r="T88" s="6">
        <v>4.0</v>
      </c>
      <c r="U88" s="6">
        <v>3.0</v>
      </c>
      <c r="V88" s="7">
        <f t="shared" ref="V88:X88" si="217">(S88/P88)*100</f>
        <v>2.962962963</v>
      </c>
      <c r="W88" s="7">
        <f t="shared" si="217"/>
        <v>1.465201465</v>
      </c>
      <c r="X88" s="7">
        <f t="shared" si="217"/>
        <v>1.083032491</v>
      </c>
      <c r="Y88" s="7">
        <f t="shared" si="10"/>
        <v>2.214082214</v>
      </c>
    </row>
    <row r="89" ht="14.25" customHeight="1">
      <c r="A89" s="1" t="s">
        <v>31</v>
      </c>
      <c r="B89" s="1" t="s">
        <v>149</v>
      </c>
      <c r="C89" s="1" t="s">
        <v>155</v>
      </c>
      <c r="D89" s="1" t="s">
        <v>155</v>
      </c>
      <c r="E89" s="5">
        <v>21104.0</v>
      </c>
      <c r="F89" s="6">
        <v>1326.0</v>
      </c>
      <c r="G89" s="6">
        <v>1377.0</v>
      </c>
      <c r="H89" s="6">
        <v>1421.0</v>
      </c>
      <c r="I89" s="6">
        <v>126.0</v>
      </c>
      <c r="J89" s="6">
        <v>107.0</v>
      </c>
      <c r="K89" s="6">
        <v>90.0</v>
      </c>
      <c r="L89" s="7">
        <f t="shared" ref="L89:N89" si="218">(I89/F89)*100</f>
        <v>9.502262443</v>
      </c>
      <c r="M89" s="7">
        <f t="shared" si="218"/>
        <v>7.770515614</v>
      </c>
      <c r="N89" s="7">
        <f t="shared" si="218"/>
        <v>6.33356791</v>
      </c>
      <c r="O89" s="7">
        <f t="shared" si="8"/>
        <v>7.868781989</v>
      </c>
      <c r="P89" s="6">
        <v>1512.0</v>
      </c>
      <c r="Q89" s="6">
        <v>1548.0</v>
      </c>
      <c r="R89" s="6">
        <v>1556.0</v>
      </c>
      <c r="S89" s="6">
        <v>54.0</v>
      </c>
      <c r="T89" s="6">
        <v>50.0</v>
      </c>
      <c r="U89" s="6">
        <v>54.0</v>
      </c>
      <c r="V89" s="7">
        <f t="shared" ref="V89:X89" si="219">(S89/P89)*100</f>
        <v>3.571428571</v>
      </c>
      <c r="W89" s="7">
        <f t="shared" si="219"/>
        <v>3.22997416</v>
      </c>
      <c r="X89" s="7">
        <f t="shared" si="219"/>
        <v>3.470437018</v>
      </c>
      <c r="Y89" s="7">
        <f t="shared" si="10"/>
        <v>3.400701366</v>
      </c>
    </row>
    <row r="90" ht="14.25" customHeight="1">
      <c r="A90" s="1" t="s">
        <v>31</v>
      </c>
      <c r="B90" s="1" t="s">
        <v>149</v>
      </c>
      <c r="C90" s="1" t="s">
        <v>156</v>
      </c>
      <c r="D90" s="1" t="s">
        <v>156</v>
      </c>
      <c r="E90" s="5">
        <v>21105.0</v>
      </c>
      <c r="F90" s="6">
        <v>1318.0</v>
      </c>
      <c r="G90" s="6">
        <v>1554.0</v>
      </c>
      <c r="H90" s="6">
        <v>1689.0</v>
      </c>
      <c r="I90" s="6">
        <v>105.0</v>
      </c>
      <c r="J90" s="6">
        <v>193.0</v>
      </c>
      <c r="K90" s="6">
        <v>130.0</v>
      </c>
      <c r="L90" s="7">
        <f t="shared" ref="L90:N90" si="220">(I90/F90)*100</f>
        <v>7.966616085</v>
      </c>
      <c r="M90" s="7">
        <f t="shared" si="220"/>
        <v>12.41956242</v>
      </c>
      <c r="N90" s="7">
        <f t="shared" si="220"/>
        <v>7.696862049</v>
      </c>
      <c r="O90" s="7">
        <f t="shared" si="8"/>
        <v>9.361013518</v>
      </c>
      <c r="P90" s="6">
        <v>2765.0</v>
      </c>
      <c r="Q90" s="6">
        <v>2774.0</v>
      </c>
      <c r="R90" s="6">
        <v>2814.0</v>
      </c>
      <c r="S90" s="6">
        <v>71.0</v>
      </c>
      <c r="T90" s="6">
        <v>91.0</v>
      </c>
      <c r="U90" s="6">
        <v>105.0</v>
      </c>
      <c r="V90" s="7">
        <f t="shared" ref="V90:X90" si="221">(S90/P90)*100</f>
        <v>2.567811935</v>
      </c>
      <c r="W90" s="7">
        <f t="shared" si="221"/>
        <v>3.280461428</v>
      </c>
      <c r="X90" s="7">
        <f t="shared" si="221"/>
        <v>3.731343284</v>
      </c>
      <c r="Y90" s="7">
        <f t="shared" si="10"/>
        <v>2.924136681</v>
      </c>
    </row>
    <row r="91" ht="14.25" customHeight="1">
      <c r="A91" s="1" t="s">
        <v>31</v>
      </c>
      <c r="B91" s="1" t="s">
        <v>157</v>
      </c>
      <c r="C91" s="1" t="s">
        <v>158</v>
      </c>
      <c r="D91" s="1" t="s">
        <v>158</v>
      </c>
      <c r="E91" s="5">
        <v>21201.0</v>
      </c>
      <c r="F91" s="6">
        <v>1565.0</v>
      </c>
      <c r="G91" s="6">
        <v>1646.0</v>
      </c>
      <c r="H91" s="6">
        <v>1632.0</v>
      </c>
      <c r="I91" s="6">
        <v>108.0</v>
      </c>
      <c r="J91" s="6">
        <v>124.0</v>
      </c>
      <c r="K91" s="6">
        <v>122.0</v>
      </c>
      <c r="L91" s="7">
        <f t="shared" ref="L91:N91" si="222">(I91/F91)*100</f>
        <v>6.900958466</v>
      </c>
      <c r="M91" s="7">
        <f t="shared" si="222"/>
        <v>7.533414338</v>
      </c>
      <c r="N91" s="7">
        <f t="shared" si="222"/>
        <v>7.475490196</v>
      </c>
      <c r="O91" s="7">
        <f t="shared" si="8"/>
        <v>7.303287667</v>
      </c>
      <c r="P91" s="6">
        <v>1426.0</v>
      </c>
      <c r="Q91" s="6">
        <v>1455.0</v>
      </c>
      <c r="R91" s="6">
        <v>1482.0</v>
      </c>
      <c r="S91" s="6">
        <v>37.0</v>
      </c>
      <c r="T91" s="6">
        <v>28.0</v>
      </c>
      <c r="U91" s="6">
        <v>36.0</v>
      </c>
      <c r="V91" s="7">
        <f t="shared" ref="V91:X91" si="223">(S91/P91)*100</f>
        <v>2.594670407</v>
      </c>
      <c r="W91" s="7">
        <f t="shared" si="223"/>
        <v>1.924398625</v>
      </c>
      <c r="X91" s="7">
        <f t="shared" si="223"/>
        <v>2.429149798</v>
      </c>
      <c r="Y91" s="7">
        <f t="shared" si="10"/>
        <v>2.259534516</v>
      </c>
    </row>
    <row r="92" ht="14.25" customHeight="1">
      <c r="A92" s="1" t="s">
        <v>31</v>
      </c>
      <c r="B92" s="1" t="s">
        <v>157</v>
      </c>
      <c r="C92" s="1" t="s">
        <v>159</v>
      </c>
      <c r="D92" s="1" t="s">
        <v>159</v>
      </c>
      <c r="E92" s="5">
        <v>21202.0</v>
      </c>
      <c r="F92" s="6">
        <v>718.0</v>
      </c>
      <c r="G92" s="6">
        <v>763.0</v>
      </c>
      <c r="H92" s="6">
        <v>732.0</v>
      </c>
      <c r="I92" s="6">
        <v>43.0</v>
      </c>
      <c r="J92" s="6">
        <v>62.0</v>
      </c>
      <c r="K92" s="6">
        <v>30.0</v>
      </c>
      <c r="L92" s="7">
        <f t="shared" ref="L92:N92" si="224">(I92/F92)*100</f>
        <v>5.988857939</v>
      </c>
      <c r="M92" s="7">
        <f t="shared" si="224"/>
        <v>8.125819135</v>
      </c>
      <c r="N92" s="7">
        <f t="shared" si="224"/>
        <v>4.098360656</v>
      </c>
      <c r="O92" s="7">
        <f t="shared" si="8"/>
        <v>6.071012576</v>
      </c>
      <c r="P92" s="6">
        <v>807.0</v>
      </c>
      <c r="Q92" s="6">
        <v>829.0</v>
      </c>
      <c r="R92" s="6">
        <v>831.0</v>
      </c>
      <c r="S92" s="6">
        <v>34.0</v>
      </c>
      <c r="T92" s="6">
        <v>20.0</v>
      </c>
      <c r="U92" s="6">
        <v>25.0</v>
      </c>
      <c r="V92" s="7">
        <f t="shared" ref="V92:X92" si="225">(S92/P92)*100</f>
        <v>4.213135068</v>
      </c>
      <c r="W92" s="7">
        <f t="shared" si="225"/>
        <v>2.412545235</v>
      </c>
      <c r="X92" s="7">
        <f t="shared" si="225"/>
        <v>3.008423586</v>
      </c>
      <c r="Y92" s="7">
        <f t="shared" si="10"/>
        <v>3.312840152</v>
      </c>
    </row>
    <row r="93" ht="14.25" customHeight="1">
      <c r="A93" s="1" t="s">
        <v>31</v>
      </c>
      <c r="B93" s="1" t="s">
        <v>157</v>
      </c>
      <c r="C93" s="1" t="s">
        <v>160</v>
      </c>
      <c r="D93" s="1" t="s">
        <v>160</v>
      </c>
      <c r="E93" s="5">
        <v>21203.0</v>
      </c>
      <c r="F93" s="6">
        <v>1009.0</v>
      </c>
      <c r="G93" s="6">
        <v>1065.0</v>
      </c>
      <c r="H93" s="6">
        <v>1060.0</v>
      </c>
      <c r="I93" s="6">
        <v>79.0</v>
      </c>
      <c r="J93" s="6">
        <v>72.0</v>
      </c>
      <c r="K93" s="6">
        <v>80.0</v>
      </c>
      <c r="L93" s="7">
        <f t="shared" ref="L93:N93" si="226">(I93/F93)*100</f>
        <v>7.829534192</v>
      </c>
      <c r="M93" s="7">
        <f t="shared" si="226"/>
        <v>6.76056338</v>
      </c>
      <c r="N93" s="7">
        <f t="shared" si="226"/>
        <v>7.547169811</v>
      </c>
      <c r="O93" s="7">
        <f t="shared" si="8"/>
        <v>7.379089128</v>
      </c>
      <c r="P93" s="6">
        <v>766.0</v>
      </c>
      <c r="Q93" s="6">
        <v>785.0</v>
      </c>
      <c r="R93" s="6">
        <v>788.0</v>
      </c>
      <c r="S93" s="6">
        <v>14.0</v>
      </c>
      <c r="T93" s="6">
        <v>22.0</v>
      </c>
      <c r="U93" s="6">
        <v>24.0</v>
      </c>
      <c r="V93" s="7">
        <f t="shared" ref="V93:X93" si="227">(S93/P93)*100</f>
        <v>1.82767624</v>
      </c>
      <c r="W93" s="7">
        <f t="shared" si="227"/>
        <v>2.802547771</v>
      </c>
      <c r="X93" s="7">
        <f t="shared" si="227"/>
        <v>3.045685279</v>
      </c>
      <c r="Y93" s="7">
        <f t="shared" si="10"/>
        <v>2.315112005</v>
      </c>
    </row>
    <row r="94" ht="14.25" customHeight="1">
      <c r="A94" s="1" t="s">
        <v>31</v>
      </c>
      <c r="B94" s="1" t="s">
        <v>157</v>
      </c>
      <c r="C94" s="1" t="s">
        <v>161</v>
      </c>
      <c r="D94" s="1" t="s">
        <v>161</v>
      </c>
      <c r="E94" s="5">
        <v>21204.0</v>
      </c>
      <c r="F94" s="6">
        <v>307.0</v>
      </c>
      <c r="G94" s="6">
        <v>287.0</v>
      </c>
      <c r="H94" s="6">
        <v>293.0</v>
      </c>
      <c r="I94" s="6">
        <v>22.0</v>
      </c>
      <c r="J94" s="6">
        <v>21.0</v>
      </c>
      <c r="K94" s="6">
        <v>21.0</v>
      </c>
      <c r="L94" s="7">
        <f t="shared" ref="L94:N94" si="228">(I94/F94)*100</f>
        <v>7.166123779</v>
      </c>
      <c r="M94" s="7">
        <f t="shared" si="228"/>
        <v>7.317073171</v>
      </c>
      <c r="N94" s="7">
        <f t="shared" si="228"/>
        <v>7.167235495</v>
      </c>
      <c r="O94" s="7">
        <f t="shared" si="8"/>
        <v>7.216810815</v>
      </c>
      <c r="P94" s="6">
        <v>238.0</v>
      </c>
      <c r="Q94" s="6">
        <v>258.0</v>
      </c>
      <c r="R94" s="6">
        <v>239.0</v>
      </c>
      <c r="S94" s="6">
        <v>3.0</v>
      </c>
      <c r="T94" s="6">
        <v>6.0</v>
      </c>
      <c r="U94" s="6">
        <v>4.0</v>
      </c>
      <c r="V94" s="7">
        <f t="shared" ref="V94:X94" si="229">(S94/P94)*100</f>
        <v>1.260504202</v>
      </c>
      <c r="W94" s="7">
        <f t="shared" si="229"/>
        <v>2.325581395</v>
      </c>
      <c r="X94" s="7">
        <f t="shared" si="229"/>
        <v>1.673640167</v>
      </c>
      <c r="Y94" s="7">
        <f t="shared" si="10"/>
        <v>1.793042799</v>
      </c>
    </row>
    <row r="95" ht="14.25" customHeight="1">
      <c r="A95" s="1" t="s">
        <v>31</v>
      </c>
      <c r="B95" s="1" t="s">
        <v>162</v>
      </c>
      <c r="C95" s="1" t="s">
        <v>163</v>
      </c>
      <c r="D95" s="1" t="s">
        <v>164</v>
      </c>
      <c r="E95" s="5">
        <v>21301.0</v>
      </c>
      <c r="F95" s="6">
        <v>1041.0</v>
      </c>
      <c r="G95" s="6">
        <v>1028.0</v>
      </c>
      <c r="H95" s="6">
        <v>1007.0</v>
      </c>
      <c r="I95" s="6">
        <v>53.0</v>
      </c>
      <c r="J95" s="6">
        <v>62.0</v>
      </c>
      <c r="K95" s="6">
        <v>70.0</v>
      </c>
      <c r="L95" s="7">
        <f t="shared" ref="L95:N95" si="230">(I95/F95)*100</f>
        <v>5.091258405</v>
      </c>
      <c r="M95" s="7">
        <f t="shared" si="230"/>
        <v>6.031128405</v>
      </c>
      <c r="N95" s="7">
        <f t="shared" si="230"/>
        <v>6.951340616</v>
      </c>
      <c r="O95" s="7">
        <f t="shared" si="8"/>
        <v>6.024575809</v>
      </c>
      <c r="P95" s="6">
        <v>991.0</v>
      </c>
      <c r="Q95" s="6">
        <v>951.0</v>
      </c>
      <c r="R95" s="6">
        <v>948.0</v>
      </c>
      <c r="S95" s="6">
        <v>16.0</v>
      </c>
      <c r="T95" s="6">
        <v>22.0</v>
      </c>
      <c r="U95" s="6">
        <v>17.0</v>
      </c>
      <c r="V95" s="7">
        <f t="shared" ref="V95:X95" si="231">(S95/P95)*100</f>
        <v>1.614530777</v>
      </c>
      <c r="W95" s="7">
        <f t="shared" si="231"/>
        <v>2.313354364</v>
      </c>
      <c r="X95" s="7">
        <f t="shared" si="231"/>
        <v>1.793248945</v>
      </c>
      <c r="Y95" s="7">
        <f t="shared" si="10"/>
        <v>1.96394257</v>
      </c>
    </row>
    <row r="96" ht="14.25" customHeight="1">
      <c r="A96" s="1" t="s">
        <v>31</v>
      </c>
      <c r="B96" s="1" t="s">
        <v>162</v>
      </c>
      <c r="C96" s="1" t="s">
        <v>165</v>
      </c>
      <c r="D96" s="1" t="s">
        <v>165</v>
      </c>
      <c r="E96" s="5">
        <v>21302.0</v>
      </c>
      <c r="F96" s="6">
        <v>261.0</v>
      </c>
      <c r="G96" s="6">
        <v>300.0</v>
      </c>
      <c r="H96" s="6">
        <v>299.0</v>
      </c>
      <c r="I96" s="6">
        <v>45.0</v>
      </c>
      <c r="J96" s="6">
        <v>43.0</v>
      </c>
      <c r="K96" s="6">
        <v>38.0</v>
      </c>
      <c r="L96" s="7">
        <f t="shared" ref="L96:N96" si="232">(I96/F96)*100</f>
        <v>17.24137931</v>
      </c>
      <c r="M96" s="7">
        <f t="shared" si="232"/>
        <v>14.33333333</v>
      </c>
      <c r="N96" s="7">
        <f t="shared" si="232"/>
        <v>12.7090301</v>
      </c>
      <c r="O96" s="7">
        <f t="shared" si="8"/>
        <v>14.76124758</v>
      </c>
      <c r="P96" s="6">
        <v>305.0</v>
      </c>
      <c r="Q96" s="6">
        <v>323.0</v>
      </c>
      <c r="R96" s="6">
        <v>326.0</v>
      </c>
      <c r="S96" s="6">
        <v>6.0</v>
      </c>
      <c r="T96" s="6">
        <v>16.0</v>
      </c>
      <c r="U96" s="6">
        <v>20.0</v>
      </c>
      <c r="V96" s="7">
        <f t="shared" ref="V96:X96" si="233">(S96/P96)*100</f>
        <v>1.967213115</v>
      </c>
      <c r="W96" s="7">
        <f t="shared" si="233"/>
        <v>4.953560372</v>
      </c>
      <c r="X96" s="7">
        <f t="shared" si="233"/>
        <v>6.134969325</v>
      </c>
      <c r="Y96" s="7">
        <f t="shared" si="10"/>
        <v>3.460386743</v>
      </c>
    </row>
    <row r="97" ht="14.25" customHeight="1">
      <c r="A97" s="1" t="s">
        <v>31</v>
      </c>
      <c r="B97" s="1" t="s">
        <v>162</v>
      </c>
      <c r="C97" s="1" t="s">
        <v>166</v>
      </c>
      <c r="D97" s="1" t="s">
        <v>166</v>
      </c>
      <c r="E97" s="5">
        <v>21303.0</v>
      </c>
      <c r="F97" s="6">
        <v>371.0</v>
      </c>
      <c r="G97" s="6">
        <v>385.0</v>
      </c>
      <c r="H97" s="6">
        <v>408.0</v>
      </c>
      <c r="I97" s="6">
        <v>23.0</v>
      </c>
      <c r="J97" s="6">
        <v>34.0</v>
      </c>
      <c r="K97" s="6">
        <v>35.0</v>
      </c>
      <c r="L97" s="7">
        <f t="shared" ref="L97:N97" si="234">(I97/F97)*100</f>
        <v>6.199460916</v>
      </c>
      <c r="M97" s="7">
        <f t="shared" si="234"/>
        <v>8.831168831</v>
      </c>
      <c r="N97" s="7">
        <f t="shared" si="234"/>
        <v>8.578431373</v>
      </c>
      <c r="O97" s="7">
        <f t="shared" si="8"/>
        <v>7.86968704</v>
      </c>
      <c r="P97" s="6">
        <v>361.0</v>
      </c>
      <c r="Q97" s="6">
        <v>346.0</v>
      </c>
      <c r="R97" s="6">
        <v>353.0</v>
      </c>
      <c r="S97" s="6">
        <v>11.0</v>
      </c>
      <c r="T97" s="6">
        <v>10.0</v>
      </c>
      <c r="U97" s="6">
        <v>17.0</v>
      </c>
      <c r="V97" s="7">
        <f t="shared" ref="V97:X97" si="235">(S97/P97)*100</f>
        <v>3.047091413</v>
      </c>
      <c r="W97" s="7">
        <f t="shared" si="235"/>
        <v>2.89017341</v>
      </c>
      <c r="X97" s="7">
        <f t="shared" si="235"/>
        <v>4.815864023</v>
      </c>
      <c r="Y97" s="7">
        <f t="shared" si="10"/>
        <v>2.968632412</v>
      </c>
    </row>
    <row r="98" ht="14.25" customHeight="1">
      <c r="A98" s="1" t="s">
        <v>31</v>
      </c>
      <c r="B98" s="1" t="s">
        <v>162</v>
      </c>
      <c r="C98" s="1" t="s">
        <v>167</v>
      </c>
      <c r="D98" s="1" t="s">
        <v>167</v>
      </c>
      <c r="E98" s="5">
        <v>21304.0</v>
      </c>
      <c r="F98" s="6">
        <v>560.0</v>
      </c>
      <c r="G98" s="6">
        <v>582.0</v>
      </c>
      <c r="H98" s="6">
        <v>606.0</v>
      </c>
      <c r="I98" s="6">
        <v>61.0</v>
      </c>
      <c r="J98" s="6">
        <v>45.0</v>
      </c>
      <c r="K98" s="6">
        <v>54.0</v>
      </c>
      <c r="L98" s="7">
        <f t="shared" ref="L98:N98" si="236">(I98/F98)*100</f>
        <v>10.89285714</v>
      </c>
      <c r="M98" s="7">
        <f t="shared" si="236"/>
        <v>7.731958763</v>
      </c>
      <c r="N98" s="7">
        <f t="shared" si="236"/>
        <v>8.910891089</v>
      </c>
      <c r="O98" s="7">
        <f t="shared" si="8"/>
        <v>9.178568998</v>
      </c>
      <c r="P98" s="6">
        <v>600.0</v>
      </c>
      <c r="Q98" s="6">
        <v>611.0</v>
      </c>
      <c r="R98" s="6">
        <v>607.0</v>
      </c>
      <c r="S98" s="6">
        <v>16.0</v>
      </c>
      <c r="T98" s="6">
        <v>28.0</v>
      </c>
      <c r="U98" s="6">
        <v>44.0</v>
      </c>
      <c r="V98" s="7">
        <f t="shared" ref="V98:X98" si="237">(S98/P98)*100</f>
        <v>2.666666667</v>
      </c>
      <c r="W98" s="7">
        <f t="shared" si="237"/>
        <v>4.582651391</v>
      </c>
      <c r="X98" s="7">
        <f t="shared" si="237"/>
        <v>7.248764415</v>
      </c>
      <c r="Y98" s="7">
        <f t="shared" si="10"/>
        <v>3.624659029</v>
      </c>
    </row>
    <row r="99" ht="14.25" customHeight="1">
      <c r="A99" s="1" t="s">
        <v>31</v>
      </c>
      <c r="B99" s="1" t="s">
        <v>162</v>
      </c>
      <c r="C99" s="1" t="s">
        <v>168</v>
      </c>
      <c r="D99" s="1" t="s">
        <v>168</v>
      </c>
      <c r="E99" s="5">
        <v>21305.0</v>
      </c>
      <c r="F99" s="6">
        <v>1417.0</v>
      </c>
      <c r="G99" s="6">
        <v>1484.0</v>
      </c>
      <c r="H99" s="6">
        <v>1497.0</v>
      </c>
      <c r="I99" s="6">
        <v>99.0</v>
      </c>
      <c r="J99" s="6">
        <v>87.0</v>
      </c>
      <c r="K99" s="6">
        <v>89.0</v>
      </c>
      <c r="L99" s="7">
        <f t="shared" ref="L99:N99" si="238">(I99/F99)*100</f>
        <v>6.98659139</v>
      </c>
      <c r="M99" s="7">
        <f t="shared" si="238"/>
        <v>5.862533693</v>
      </c>
      <c r="N99" s="7">
        <f t="shared" si="238"/>
        <v>5.945223781</v>
      </c>
      <c r="O99" s="7">
        <f t="shared" si="8"/>
        <v>6.264782955</v>
      </c>
      <c r="P99" s="6">
        <v>1469.0</v>
      </c>
      <c r="Q99" s="6">
        <v>1483.0</v>
      </c>
      <c r="R99" s="6">
        <v>1528.0</v>
      </c>
      <c r="S99" s="6">
        <v>25.0</v>
      </c>
      <c r="T99" s="6">
        <v>19.0</v>
      </c>
      <c r="U99" s="6">
        <v>36.0</v>
      </c>
      <c r="V99" s="7">
        <f t="shared" ref="V99:X99" si="239">(S99/P99)*100</f>
        <v>1.701837985</v>
      </c>
      <c r="W99" s="7">
        <f t="shared" si="239"/>
        <v>1.281186784</v>
      </c>
      <c r="X99" s="7">
        <f t="shared" si="239"/>
        <v>2.356020942</v>
      </c>
      <c r="Y99" s="7">
        <f t="shared" si="10"/>
        <v>1.491512384</v>
      </c>
    </row>
    <row r="100" ht="14.25" customHeight="1">
      <c r="A100" s="1" t="s">
        <v>31</v>
      </c>
      <c r="B100" s="1" t="s">
        <v>162</v>
      </c>
      <c r="C100" s="1" t="s">
        <v>169</v>
      </c>
      <c r="D100" s="1" t="s">
        <v>169</v>
      </c>
      <c r="E100" s="5">
        <v>21306.0</v>
      </c>
      <c r="F100" s="6">
        <v>455.0</v>
      </c>
      <c r="G100" s="6">
        <v>470.0</v>
      </c>
      <c r="H100" s="6">
        <v>499.0</v>
      </c>
      <c r="I100" s="6">
        <v>23.0</v>
      </c>
      <c r="J100" s="6">
        <v>29.0</v>
      </c>
      <c r="K100" s="6">
        <v>39.0</v>
      </c>
      <c r="L100" s="7">
        <f t="shared" ref="L100:N100" si="240">(I100/F100)*100</f>
        <v>5.054945055</v>
      </c>
      <c r="M100" s="7">
        <f t="shared" si="240"/>
        <v>6.170212766</v>
      </c>
      <c r="N100" s="7">
        <f t="shared" si="240"/>
        <v>7.815631263</v>
      </c>
      <c r="O100" s="7">
        <f t="shared" si="8"/>
        <v>6.346929694</v>
      </c>
      <c r="P100" s="6">
        <v>430.0</v>
      </c>
      <c r="Q100" s="6">
        <v>449.0</v>
      </c>
      <c r="R100" s="6">
        <v>443.0</v>
      </c>
      <c r="S100" s="6">
        <v>8.0</v>
      </c>
      <c r="T100" s="6">
        <v>20.0</v>
      </c>
      <c r="U100" s="6">
        <v>12.0</v>
      </c>
      <c r="V100" s="7">
        <f t="shared" ref="V100:X100" si="241">(S100/P100)*100</f>
        <v>1.860465116</v>
      </c>
      <c r="W100" s="7">
        <f t="shared" si="241"/>
        <v>4.454342984</v>
      </c>
      <c r="X100" s="7">
        <f t="shared" si="241"/>
        <v>2.708803612</v>
      </c>
      <c r="Y100" s="7">
        <f t="shared" si="10"/>
        <v>3.15740405</v>
      </c>
    </row>
    <row r="101" ht="14.25" customHeight="1">
      <c r="A101" s="1" t="s">
        <v>31</v>
      </c>
      <c r="B101" s="1" t="s">
        <v>162</v>
      </c>
      <c r="C101" s="1" t="s">
        <v>170</v>
      </c>
      <c r="D101" s="1" t="s">
        <v>170</v>
      </c>
      <c r="E101" s="5">
        <v>21307.0</v>
      </c>
      <c r="F101" s="6">
        <v>89.0</v>
      </c>
      <c r="G101" s="6">
        <v>92.0</v>
      </c>
      <c r="H101" s="6">
        <v>77.0</v>
      </c>
      <c r="I101" s="6">
        <v>0.0</v>
      </c>
      <c r="J101" s="6">
        <v>3.0</v>
      </c>
      <c r="K101" s="6">
        <v>5.0</v>
      </c>
      <c r="L101" s="7">
        <f t="shared" ref="L101:N101" si="242">(I101/F101)*100</f>
        <v>0</v>
      </c>
      <c r="M101" s="7">
        <f t="shared" si="242"/>
        <v>3.260869565</v>
      </c>
      <c r="N101" s="7">
        <f t="shared" si="242"/>
        <v>6.493506494</v>
      </c>
      <c r="O101" s="7">
        <f t="shared" si="8"/>
        <v>3.251458686</v>
      </c>
      <c r="P101" s="6">
        <v>103.0</v>
      </c>
      <c r="Q101" s="6">
        <v>93.0</v>
      </c>
      <c r="R101" s="6">
        <v>101.0</v>
      </c>
      <c r="S101" s="6">
        <v>3.0</v>
      </c>
      <c r="T101" s="6">
        <v>1.0</v>
      </c>
      <c r="U101" s="6">
        <v>1.0</v>
      </c>
      <c r="V101" s="7">
        <f t="shared" ref="V101:X101" si="243">(S101/P101)*100</f>
        <v>2.912621359</v>
      </c>
      <c r="W101" s="7">
        <f t="shared" si="243"/>
        <v>1.075268817</v>
      </c>
      <c r="X101" s="7">
        <f t="shared" si="243"/>
        <v>0.9900990099</v>
      </c>
      <c r="Y101" s="7">
        <f t="shared" si="10"/>
        <v>1.993945088</v>
      </c>
    </row>
    <row r="102" ht="14.25" customHeight="1">
      <c r="A102" s="1" t="s">
        <v>31</v>
      </c>
      <c r="B102" s="1" t="s">
        <v>171</v>
      </c>
      <c r="C102" s="1" t="s">
        <v>172</v>
      </c>
      <c r="D102" s="1" t="s">
        <v>172</v>
      </c>
      <c r="E102" s="5">
        <v>21401.0</v>
      </c>
      <c r="F102" s="6">
        <v>809.0</v>
      </c>
      <c r="G102" s="6">
        <v>807.0</v>
      </c>
      <c r="H102" s="6">
        <v>792.0</v>
      </c>
      <c r="I102" s="6">
        <v>59.0</v>
      </c>
      <c r="J102" s="6">
        <v>53.0</v>
      </c>
      <c r="K102" s="6">
        <v>62.0</v>
      </c>
      <c r="L102" s="7">
        <f t="shared" ref="L102:N102" si="244">(I102/F102)*100</f>
        <v>7.292954265</v>
      </c>
      <c r="M102" s="7">
        <f t="shared" si="244"/>
        <v>6.567534077</v>
      </c>
      <c r="N102" s="7">
        <f t="shared" si="244"/>
        <v>7.828282828</v>
      </c>
      <c r="O102" s="7">
        <f t="shared" si="8"/>
        <v>7.22959039</v>
      </c>
      <c r="P102" s="6">
        <v>955.0</v>
      </c>
      <c r="Q102" s="6">
        <v>979.0</v>
      </c>
      <c r="R102" s="6">
        <v>1004.0</v>
      </c>
      <c r="S102" s="6">
        <v>15.0</v>
      </c>
      <c r="T102" s="6">
        <v>22.0</v>
      </c>
      <c r="U102" s="6">
        <v>30.0</v>
      </c>
      <c r="V102" s="7">
        <f t="shared" ref="V102:X102" si="245">(S102/P102)*100</f>
        <v>1.570680628</v>
      </c>
      <c r="W102" s="7">
        <f t="shared" si="245"/>
        <v>2.247191011</v>
      </c>
      <c r="X102" s="7">
        <f t="shared" si="245"/>
        <v>2.988047809</v>
      </c>
      <c r="Y102" s="7">
        <f t="shared" si="10"/>
        <v>1.90893582</v>
      </c>
    </row>
    <row r="103" ht="14.25" customHeight="1">
      <c r="A103" s="1" t="s">
        <v>31</v>
      </c>
      <c r="B103" s="1" t="s">
        <v>171</v>
      </c>
      <c r="C103" s="1" t="s">
        <v>173</v>
      </c>
      <c r="D103" s="1" t="s">
        <v>173</v>
      </c>
      <c r="E103" s="5">
        <v>21402.0</v>
      </c>
      <c r="F103" s="6">
        <v>702.0</v>
      </c>
      <c r="G103" s="6">
        <v>729.0</v>
      </c>
      <c r="H103" s="6">
        <v>728.0</v>
      </c>
      <c r="I103" s="6">
        <v>31.0</v>
      </c>
      <c r="J103" s="6">
        <v>34.0</v>
      </c>
      <c r="K103" s="6">
        <v>31.0</v>
      </c>
      <c r="L103" s="7">
        <f t="shared" ref="L103:N103" si="246">(I103/F103)*100</f>
        <v>4.415954416</v>
      </c>
      <c r="M103" s="7">
        <f t="shared" si="246"/>
        <v>4.663923182</v>
      </c>
      <c r="N103" s="7">
        <f t="shared" si="246"/>
        <v>4.258241758</v>
      </c>
      <c r="O103" s="7">
        <f t="shared" si="8"/>
        <v>4.446039786</v>
      </c>
      <c r="P103" s="6">
        <v>815.0</v>
      </c>
      <c r="Q103" s="6">
        <v>793.0</v>
      </c>
      <c r="R103" s="6">
        <v>762.0</v>
      </c>
      <c r="S103" s="6">
        <v>16.0</v>
      </c>
      <c r="T103" s="6">
        <v>18.0</v>
      </c>
      <c r="U103" s="6">
        <v>15.0</v>
      </c>
      <c r="V103" s="7">
        <f t="shared" ref="V103:X103" si="247">(S103/P103)*100</f>
        <v>1.963190184</v>
      </c>
      <c r="W103" s="7">
        <f t="shared" si="247"/>
        <v>2.269861286</v>
      </c>
      <c r="X103" s="7">
        <f t="shared" si="247"/>
        <v>1.968503937</v>
      </c>
      <c r="Y103" s="7">
        <f t="shared" si="10"/>
        <v>2.116525735</v>
      </c>
    </row>
    <row r="104" ht="14.25" customHeight="1">
      <c r="A104" s="1" t="s">
        <v>31</v>
      </c>
      <c r="B104" s="1" t="s">
        <v>174</v>
      </c>
      <c r="C104" s="1" t="s">
        <v>175</v>
      </c>
      <c r="D104" s="1" t="s">
        <v>175</v>
      </c>
      <c r="E104" s="5">
        <v>21501.0</v>
      </c>
      <c r="F104" s="6">
        <v>377.0</v>
      </c>
      <c r="G104" s="6">
        <v>399.0</v>
      </c>
      <c r="H104" s="6">
        <v>436.0</v>
      </c>
      <c r="I104" s="6">
        <v>52.0</v>
      </c>
      <c r="J104" s="6">
        <v>46.0</v>
      </c>
      <c r="K104" s="6">
        <v>46.0</v>
      </c>
      <c r="L104" s="7">
        <f t="shared" ref="L104:N104" si="248">(I104/F104)*100</f>
        <v>13.79310345</v>
      </c>
      <c r="M104" s="7">
        <f t="shared" si="248"/>
        <v>11.52882206</v>
      </c>
      <c r="N104" s="7">
        <f t="shared" si="248"/>
        <v>10.55045872</v>
      </c>
      <c r="O104" s="7">
        <f t="shared" si="8"/>
        <v>11.95746141</v>
      </c>
      <c r="P104" s="6">
        <v>628.0</v>
      </c>
      <c r="Q104" s="6">
        <v>658.0</v>
      </c>
      <c r="R104" s="6">
        <v>663.0</v>
      </c>
      <c r="S104" s="6">
        <v>21.0</v>
      </c>
      <c r="T104" s="6">
        <v>27.0</v>
      </c>
      <c r="U104" s="6">
        <v>38.0</v>
      </c>
      <c r="V104" s="7">
        <f t="shared" ref="V104:X104" si="249">(S104/P104)*100</f>
        <v>3.343949045</v>
      </c>
      <c r="W104" s="7">
        <f t="shared" si="249"/>
        <v>4.103343465</v>
      </c>
      <c r="X104" s="7">
        <f t="shared" si="249"/>
        <v>5.731523379</v>
      </c>
      <c r="Y104" s="7">
        <f t="shared" si="10"/>
        <v>3.723646255</v>
      </c>
    </row>
    <row r="105" ht="14.25" customHeight="1">
      <c r="A105" s="1" t="s">
        <v>31</v>
      </c>
      <c r="B105" s="1" t="s">
        <v>174</v>
      </c>
      <c r="C105" s="1" t="s">
        <v>176</v>
      </c>
      <c r="D105" s="1" t="s">
        <v>176</v>
      </c>
      <c r="E105" s="5">
        <v>21502.0</v>
      </c>
      <c r="F105" s="6">
        <v>402.0</v>
      </c>
      <c r="G105" s="6">
        <v>420.0</v>
      </c>
      <c r="H105" s="6">
        <v>433.0</v>
      </c>
      <c r="I105" s="6">
        <v>38.0</v>
      </c>
      <c r="J105" s="6">
        <v>24.0</v>
      </c>
      <c r="K105" s="6">
        <v>20.0</v>
      </c>
      <c r="L105" s="7">
        <f t="shared" ref="L105:N105" si="250">(I105/F105)*100</f>
        <v>9.452736318</v>
      </c>
      <c r="M105" s="7">
        <f t="shared" si="250"/>
        <v>5.714285714</v>
      </c>
      <c r="N105" s="7">
        <f t="shared" si="250"/>
        <v>4.618937644</v>
      </c>
      <c r="O105" s="7">
        <f t="shared" si="8"/>
        <v>6.595319892</v>
      </c>
      <c r="P105" s="6">
        <v>573.0</v>
      </c>
      <c r="Q105" s="6">
        <v>576.0</v>
      </c>
      <c r="R105" s="6">
        <v>597.0</v>
      </c>
      <c r="S105" s="6">
        <v>31.0</v>
      </c>
      <c r="T105" s="6">
        <v>14.0</v>
      </c>
      <c r="U105" s="6">
        <v>18.0</v>
      </c>
      <c r="V105" s="7">
        <f t="shared" ref="V105:X105" si="251">(S105/P105)*100</f>
        <v>5.410122164</v>
      </c>
      <c r="W105" s="7">
        <f t="shared" si="251"/>
        <v>2.430555556</v>
      </c>
      <c r="X105" s="7">
        <f t="shared" si="251"/>
        <v>3.015075377</v>
      </c>
      <c r="Y105" s="7">
        <f t="shared" si="10"/>
        <v>3.92033886</v>
      </c>
    </row>
    <row r="106" ht="14.25" customHeight="1">
      <c r="A106" s="1" t="s">
        <v>31</v>
      </c>
      <c r="B106" s="1" t="s">
        <v>177</v>
      </c>
      <c r="C106" s="1" t="s">
        <v>178</v>
      </c>
      <c r="D106" s="1" t="s">
        <v>179</v>
      </c>
      <c r="E106" s="5">
        <v>21601.0</v>
      </c>
      <c r="F106" s="6">
        <v>388.0</v>
      </c>
      <c r="G106" s="6">
        <v>420.0</v>
      </c>
      <c r="H106" s="6">
        <v>449.0</v>
      </c>
      <c r="I106" s="6">
        <v>49.0</v>
      </c>
      <c r="J106" s="6">
        <v>34.0</v>
      </c>
      <c r="K106" s="6">
        <v>47.0</v>
      </c>
      <c r="L106" s="7">
        <f t="shared" ref="L106:N106" si="252">(I106/F106)*100</f>
        <v>12.62886598</v>
      </c>
      <c r="M106" s="7">
        <f t="shared" si="252"/>
        <v>8.095238095</v>
      </c>
      <c r="N106" s="7">
        <f t="shared" si="252"/>
        <v>10.46770601</v>
      </c>
      <c r="O106" s="7">
        <f t="shared" si="8"/>
        <v>10.39727003</v>
      </c>
      <c r="P106" s="6">
        <v>517.0</v>
      </c>
      <c r="Q106" s="6">
        <v>527.0</v>
      </c>
      <c r="R106" s="6">
        <v>504.0</v>
      </c>
      <c r="S106" s="6">
        <v>18.0</v>
      </c>
      <c r="T106" s="6">
        <v>16.0</v>
      </c>
      <c r="U106" s="6">
        <v>16.0</v>
      </c>
      <c r="V106" s="7">
        <f t="shared" ref="V106:X106" si="253">(S106/P106)*100</f>
        <v>3.481624758</v>
      </c>
      <c r="W106" s="7">
        <f t="shared" si="253"/>
        <v>3.036053131</v>
      </c>
      <c r="X106" s="7">
        <f t="shared" si="253"/>
        <v>3.174603175</v>
      </c>
      <c r="Y106" s="7">
        <f t="shared" si="10"/>
        <v>3.258838945</v>
      </c>
    </row>
    <row r="107" ht="14.25" customHeight="1">
      <c r="A107" s="1" t="s">
        <v>31</v>
      </c>
      <c r="B107" s="1" t="s">
        <v>177</v>
      </c>
      <c r="C107" s="1" t="s">
        <v>180</v>
      </c>
      <c r="D107" s="1" t="s">
        <v>180</v>
      </c>
      <c r="E107" s="5">
        <v>21602.0</v>
      </c>
      <c r="F107" s="6">
        <v>45.0</v>
      </c>
      <c r="G107" s="6">
        <v>56.0</v>
      </c>
      <c r="H107" s="6">
        <v>50.0</v>
      </c>
      <c r="I107" s="6">
        <v>2.0</v>
      </c>
      <c r="J107" s="6">
        <v>5.0</v>
      </c>
      <c r="K107" s="6">
        <v>2.0</v>
      </c>
      <c r="L107" s="7">
        <f t="shared" ref="L107:N107" si="254">(I107/F107)*100</f>
        <v>4.444444444</v>
      </c>
      <c r="M107" s="7">
        <f t="shared" si="254"/>
        <v>8.928571429</v>
      </c>
      <c r="N107" s="7">
        <f t="shared" si="254"/>
        <v>4</v>
      </c>
      <c r="O107" s="7">
        <f t="shared" si="8"/>
        <v>5.791005291</v>
      </c>
      <c r="P107" s="6">
        <v>78.0</v>
      </c>
      <c r="Q107" s="6">
        <v>81.0</v>
      </c>
      <c r="R107" s="6">
        <v>79.0</v>
      </c>
      <c r="S107" s="6">
        <v>2.0</v>
      </c>
      <c r="T107" s="6">
        <v>1.0</v>
      </c>
      <c r="U107" s="6">
        <v>2.0</v>
      </c>
      <c r="V107" s="7">
        <f t="shared" ref="V107:X107" si="255">(S107/P107)*100</f>
        <v>2.564102564</v>
      </c>
      <c r="W107" s="7">
        <f t="shared" si="255"/>
        <v>1.234567901</v>
      </c>
      <c r="X107" s="7">
        <f t="shared" si="255"/>
        <v>2.53164557</v>
      </c>
      <c r="Y107" s="7">
        <f t="shared" si="10"/>
        <v>1.899335233</v>
      </c>
    </row>
    <row r="108" ht="14.25" customHeight="1">
      <c r="A108" s="1" t="s">
        <v>31</v>
      </c>
      <c r="B108" s="1" t="s">
        <v>181</v>
      </c>
      <c r="C108" s="1" t="s">
        <v>182</v>
      </c>
      <c r="D108" s="1" t="s">
        <v>182</v>
      </c>
      <c r="E108" s="5">
        <v>21701.0</v>
      </c>
      <c r="F108" s="6">
        <v>823.0</v>
      </c>
      <c r="G108" s="6">
        <v>799.0</v>
      </c>
      <c r="H108" s="6">
        <v>797.0</v>
      </c>
      <c r="I108" s="6">
        <v>41.0</v>
      </c>
      <c r="J108" s="6">
        <v>41.0</v>
      </c>
      <c r="K108" s="6">
        <v>50.0</v>
      </c>
      <c r="L108" s="7">
        <f t="shared" ref="L108:N108" si="256">(I108/F108)*100</f>
        <v>4.981773998</v>
      </c>
      <c r="M108" s="7">
        <f t="shared" si="256"/>
        <v>5.131414268</v>
      </c>
      <c r="N108" s="7">
        <f t="shared" si="256"/>
        <v>6.273525721</v>
      </c>
      <c r="O108" s="7">
        <f t="shared" si="8"/>
        <v>5.462237996</v>
      </c>
      <c r="P108" s="6">
        <v>692.0</v>
      </c>
      <c r="Q108" s="6">
        <v>684.0</v>
      </c>
      <c r="R108" s="6">
        <v>671.0</v>
      </c>
      <c r="S108" s="6">
        <v>11.0</v>
      </c>
      <c r="T108" s="6">
        <v>10.0</v>
      </c>
      <c r="U108" s="6">
        <v>14.0</v>
      </c>
      <c r="V108" s="7">
        <f t="shared" ref="V108:X108" si="257">(S108/P108)*100</f>
        <v>1.589595376</v>
      </c>
      <c r="W108" s="7">
        <f t="shared" si="257"/>
        <v>1.461988304</v>
      </c>
      <c r="X108" s="7">
        <f t="shared" si="257"/>
        <v>2.086438152</v>
      </c>
      <c r="Y108" s="7">
        <f t="shared" si="10"/>
        <v>1.52579184</v>
      </c>
    </row>
    <row r="109" ht="14.25" customHeight="1">
      <c r="A109" s="1" t="s">
        <v>31</v>
      </c>
      <c r="B109" s="1" t="s">
        <v>181</v>
      </c>
      <c r="C109" s="1" t="s">
        <v>183</v>
      </c>
      <c r="D109" s="1" t="s">
        <v>183</v>
      </c>
      <c r="E109" s="5">
        <v>21702.0</v>
      </c>
      <c r="F109" s="6">
        <v>184.0</v>
      </c>
      <c r="G109" s="6">
        <v>196.0</v>
      </c>
      <c r="H109" s="6">
        <v>194.0</v>
      </c>
      <c r="I109" s="6">
        <v>10.0</v>
      </c>
      <c r="J109" s="6">
        <v>6.0</v>
      </c>
      <c r="K109" s="6">
        <v>14.0</v>
      </c>
      <c r="L109" s="7">
        <f t="shared" ref="L109:N109" si="258">(I109/F109)*100</f>
        <v>5.434782609</v>
      </c>
      <c r="M109" s="7">
        <f t="shared" si="258"/>
        <v>3.06122449</v>
      </c>
      <c r="N109" s="7">
        <f t="shared" si="258"/>
        <v>7.216494845</v>
      </c>
      <c r="O109" s="7">
        <f t="shared" si="8"/>
        <v>5.237500648</v>
      </c>
      <c r="P109" s="6">
        <v>221.0</v>
      </c>
      <c r="Q109" s="6">
        <v>212.0</v>
      </c>
      <c r="R109" s="6">
        <v>205.0</v>
      </c>
      <c r="S109" s="6">
        <v>0.0</v>
      </c>
      <c r="T109" s="6">
        <v>2.0</v>
      </c>
      <c r="U109" s="6">
        <v>4.0</v>
      </c>
      <c r="V109" s="7">
        <f t="shared" ref="V109:X109" si="259">(S109/P109)*100</f>
        <v>0</v>
      </c>
      <c r="W109" s="7">
        <f t="shared" si="259"/>
        <v>0.9433962264</v>
      </c>
      <c r="X109" s="7">
        <f t="shared" si="259"/>
        <v>1.951219512</v>
      </c>
      <c r="Y109" s="7">
        <f t="shared" si="10"/>
        <v>0.4716981132</v>
      </c>
    </row>
    <row r="110" ht="14.25" customHeight="1">
      <c r="A110" s="1" t="s">
        <v>31</v>
      </c>
      <c r="B110" s="1" t="s">
        <v>181</v>
      </c>
      <c r="C110" s="1" t="s">
        <v>184</v>
      </c>
      <c r="D110" s="1" t="s">
        <v>184</v>
      </c>
      <c r="E110" s="5">
        <v>21703.0</v>
      </c>
      <c r="F110" s="6">
        <v>46.0</v>
      </c>
      <c r="G110" s="6">
        <v>46.0</v>
      </c>
      <c r="H110" s="6">
        <v>45.0</v>
      </c>
      <c r="I110" s="6">
        <v>1.0</v>
      </c>
      <c r="J110" s="6">
        <v>1.0</v>
      </c>
      <c r="K110" s="6">
        <v>1.0</v>
      </c>
      <c r="L110" s="7">
        <f t="shared" ref="L110:N110" si="260">(I110/F110)*100</f>
        <v>2.173913043</v>
      </c>
      <c r="M110" s="7">
        <f t="shared" si="260"/>
        <v>2.173913043</v>
      </c>
      <c r="N110" s="7">
        <f t="shared" si="260"/>
        <v>2.222222222</v>
      </c>
      <c r="O110" s="7">
        <f t="shared" si="8"/>
        <v>2.190016103</v>
      </c>
      <c r="P110" s="6">
        <v>51.0</v>
      </c>
      <c r="Q110" s="6">
        <v>53.0</v>
      </c>
      <c r="R110" s="6">
        <v>57.0</v>
      </c>
      <c r="S110" s="6">
        <v>0.0</v>
      </c>
      <c r="T110" s="6">
        <v>0.0</v>
      </c>
      <c r="U110" s="6">
        <v>2.0</v>
      </c>
      <c r="V110" s="7">
        <f t="shared" ref="V110:X110" si="261">(S110/P110)*100</f>
        <v>0</v>
      </c>
      <c r="W110" s="7">
        <f t="shared" si="261"/>
        <v>0</v>
      </c>
      <c r="X110" s="7">
        <f t="shared" si="261"/>
        <v>3.50877193</v>
      </c>
      <c r="Y110" s="7">
        <f t="shared" si="10"/>
        <v>0</v>
      </c>
    </row>
    <row r="111" ht="14.25" customHeight="1">
      <c r="A111" s="1" t="s">
        <v>31</v>
      </c>
      <c r="B111" s="1" t="s">
        <v>185</v>
      </c>
      <c r="C111" s="1" t="s">
        <v>186</v>
      </c>
      <c r="D111" s="1" t="s">
        <v>186</v>
      </c>
      <c r="E111" s="5">
        <v>21801.0</v>
      </c>
      <c r="F111" s="6">
        <v>294.0</v>
      </c>
      <c r="G111" s="6">
        <v>292.0</v>
      </c>
      <c r="H111" s="6">
        <v>278.0</v>
      </c>
      <c r="I111" s="6">
        <v>18.0</v>
      </c>
      <c r="J111" s="6">
        <v>16.0</v>
      </c>
      <c r="K111" s="6">
        <v>10.0</v>
      </c>
      <c r="L111" s="7">
        <f t="shared" ref="L111:N111" si="262">(I111/F111)*100</f>
        <v>6.12244898</v>
      </c>
      <c r="M111" s="7">
        <f t="shared" si="262"/>
        <v>5.479452055</v>
      </c>
      <c r="N111" s="7">
        <f t="shared" si="262"/>
        <v>3.597122302</v>
      </c>
      <c r="O111" s="7">
        <f t="shared" si="8"/>
        <v>5.066341112</v>
      </c>
      <c r="P111" s="6">
        <v>240.0</v>
      </c>
      <c r="Q111" s="6">
        <v>234.0</v>
      </c>
      <c r="R111" s="6">
        <v>224.0</v>
      </c>
      <c r="S111" s="6">
        <v>8.0</v>
      </c>
      <c r="T111" s="6">
        <v>10.0</v>
      </c>
      <c r="U111" s="6">
        <v>5.0</v>
      </c>
      <c r="V111" s="7">
        <f t="shared" ref="V111:X111" si="263">(S111/P111)*100</f>
        <v>3.333333333</v>
      </c>
      <c r="W111" s="7">
        <f t="shared" si="263"/>
        <v>4.273504274</v>
      </c>
      <c r="X111" s="7">
        <f t="shared" si="263"/>
        <v>2.232142857</v>
      </c>
      <c r="Y111" s="7">
        <f t="shared" si="10"/>
        <v>3.803418803</v>
      </c>
    </row>
    <row r="112" ht="14.25" customHeight="1">
      <c r="A112" s="1" t="s">
        <v>31</v>
      </c>
      <c r="B112" s="1" t="s">
        <v>187</v>
      </c>
      <c r="C112" s="1" t="s">
        <v>188</v>
      </c>
      <c r="D112" s="1" t="s">
        <v>188</v>
      </c>
      <c r="E112" s="5">
        <v>21802.0</v>
      </c>
      <c r="F112" s="6">
        <v>208.0</v>
      </c>
      <c r="G112" s="6">
        <v>200.0</v>
      </c>
      <c r="H112" s="6">
        <v>196.0</v>
      </c>
      <c r="I112" s="6">
        <v>29.0</v>
      </c>
      <c r="J112" s="6">
        <v>13.0</v>
      </c>
      <c r="K112" s="6">
        <v>10.0</v>
      </c>
      <c r="L112" s="7">
        <f t="shared" ref="L112:N112" si="264">(I112/F112)*100</f>
        <v>13.94230769</v>
      </c>
      <c r="M112" s="7">
        <f t="shared" si="264"/>
        <v>6.5</v>
      </c>
      <c r="N112" s="7">
        <f t="shared" si="264"/>
        <v>5.102040816</v>
      </c>
      <c r="O112" s="7">
        <f t="shared" si="8"/>
        <v>8.514782836</v>
      </c>
      <c r="P112" s="6">
        <v>170.0</v>
      </c>
      <c r="Q112" s="6">
        <v>157.0</v>
      </c>
      <c r="R112" s="6">
        <v>157.0</v>
      </c>
      <c r="S112" s="6">
        <v>3.0</v>
      </c>
      <c r="T112" s="6">
        <v>4.0</v>
      </c>
      <c r="U112" s="6">
        <v>5.0</v>
      </c>
      <c r="V112" s="7">
        <f t="shared" ref="V112:X112" si="265">(S112/P112)*100</f>
        <v>1.764705882</v>
      </c>
      <c r="W112" s="7">
        <f t="shared" si="265"/>
        <v>2.547770701</v>
      </c>
      <c r="X112" s="7">
        <f t="shared" si="265"/>
        <v>3.184713376</v>
      </c>
      <c r="Y112" s="7">
        <f t="shared" si="10"/>
        <v>2.156238291</v>
      </c>
    </row>
    <row r="113" ht="14.25" customHeight="1">
      <c r="A113" s="1" t="s">
        <v>31</v>
      </c>
      <c r="B113" s="1" t="s">
        <v>187</v>
      </c>
      <c r="C113" s="1" t="s">
        <v>189</v>
      </c>
      <c r="D113" s="1" t="s">
        <v>189</v>
      </c>
      <c r="E113" s="5">
        <v>21803.0</v>
      </c>
      <c r="F113" s="6">
        <v>47.0</v>
      </c>
      <c r="G113" s="6">
        <v>46.0</v>
      </c>
      <c r="H113" s="6">
        <v>37.0</v>
      </c>
      <c r="I113" s="6">
        <v>4.0</v>
      </c>
      <c r="J113" s="6">
        <v>6.0</v>
      </c>
      <c r="K113" s="6">
        <v>1.0</v>
      </c>
      <c r="L113" s="7">
        <f t="shared" ref="L113:N113" si="266">(I113/F113)*100</f>
        <v>8.510638298</v>
      </c>
      <c r="M113" s="7">
        <f t="shared" si="266"/>
        <v>13.04347826</v>
      </c>
      <c r="N113" s="7">
        <f t="shared" si="266"/>
        <v>2.702702703</v>
      </c>
      <c r="O113" s="7">
        <f t="shared" si="8"/>
        <v>8.08560642</v>
      </c>
      <c r="P113" s="6">
        <v>60.0</v>
      </c>
      <c r="Q113" s="6">
        <v>57.0</v>
      </c>
      <c r="R113" s="6">
        <v>52.0</v>
      </c>
      <c r="S113" s="6">
        <v>0.0</v>
      </c>
      <c r="T113" s="6">
        <v>3.0</v>
      </c>
      <c r="U113" s="6">
        <v>1.0</v>
      </c>
      <c r="V113" s="7">
        <f t="shared" ref="V113:X113" si="267">(S113/P113)*100</f>
        <v>0</v>
      </c>
      <c r="W113" s="7">
        <f t="shared" si="267"/>
        <v>5.263157895</v>
      </c>
      <c r="X113" s="7">
        <f t="shared" si="267"/>
        <v>1.923076923</v>
      </c>
      <c r="Y113" s="7">
        <f t="shared" si="10"/>
        <v>2.631578947</v>
      </c>
    </row>
    <row r="114" ht="14.25" customHeight="1">
      <c r="A114" s="1" t="s">
        <v>31</v>
      </c>
      <c r="B114" s="1" t="s">
        <v>190</v>
      </c>
      <c r="C114" s="1" t="s">
        <v>191</v>
      </c>
      <c r="D114" s="1" t="s">
        <v>191</v>
      </c>
      <c r="E114" s="5">
        <v>21901.0</v>
      </c>
      <c r="F114" s="6">
        <v>168.0</v>
      </c>
      <c r="G114" s="6">
        <v>166.0</v>
      </c>
      <c r="H114" s="6">
        <v>160.0</v>
      </c>
      <c r="I114" s="6">
        <v>14.0</v>
      </c>
      <c r="J114" s="6">
        <v>12.0</v>
      </c>
      <c r="K114" s="6">
        <v>18.0</v>
      </c>
      <c r="L114" s="7">
        <f t="shared" ref="L114:N114" si="268">(I114/F114)*100</f>
        <v>8.333333333</v>
      </c>
      <c r="M114" s="7">
        <f t="shared" si="268"/>
        <v>7.228915663</v>
      </c>
      <c r="N114" s="7">
        <f t="shared" si="268"/>
        <v>11.25</v>
      </c>
      <c r="O114" s="7">
        <f t="shared" si="8"/>
        <v>8.937416332</v>
      </c>
      <c r="P114" s="6">
        <v>160.0</v>
      </c>
      <c r="Q114" s="6">
        <v>157.0</v>
      </c>
      <c r="R114" s="6">
        <v>154.0</v>
      </c>
      <c r="S114" s="6">
        <v>13.0</v>
      </c>
      <c r="T114" s="6">
        <v>2.0</v>
      </c>
      <c r="U114" s="6">
        <v>4.0</v>
      </c>
      <c r="V114" s="7">
        <f t="shared" ref="V114:X114" si="269">(S114/P114)*100</f>
        <v>8.125</v>
      </c>
      <c r="W114" s="7">
        <f t="shared" si="269"/>
        <v>1.27388535</v>
      </c>
      <c r="X114" s="7">
        <f t="shared" si="269"/>
        <v>2.597402597</v>
      </c>
      <c r="Y114" s="7">
        <f t="shared" si="10"/>
        <v>4.699442675</v>
      </c>
    </row>
    <row r="115" ht="14.25" customHeight="1">
      <c r="A115" s="1" t="s">
        <v>31</v>
      </c>
      <c r="B115" s="1" t="s">
        <v>190</v>
      </c>
      <c r="C115" s="1" t="s">
        <v>192</v>
      </c>
      <c r="D115" s="1" t="s">
        <v>192</v>
      </c>
      <c r="E115" s="5">
        <v>21902.0</v>
      </c>
      <c r="F115" s="6">
        <v>59.0</v>
      </c>
      <c r="G115" s="6">
        <v>57.0</v>
      </c>
      <c r="H115" s="6">
        <v>47.0</v>
      </c>
      <c r="I115" s="6">
        <v>1.0</v>
      </c>
      <c r="J115" s="6">
        <v>2.0</v>
      </c>
      <c r="K115" s="6">
        <v>1.0</v>
      </c>
      <c r="L115" s="7">
        <f t="shared" ref="L115:N115" si="270">(I115/F115)*100</f>
        <v>1.694915254</v>
      </c>
      <c r="M115" s="7">
        <f t="shared" si="270"/>
        <v>3.50877193</v>
      </c>
      <c r="N115" s="7">
        <f t="shared" si="270"/>
        <v>2.127659574</v>
      </c>
      <c r="O115" s="7">
        <f t="shared" si="8"/>
        <v>2.443782253</v>
      </c>
      <c r="P115" s="6">
        <v>34.0</v>
      </c>
      <c r="Q115" s="6">
        <v>31.0</v>
      </c>
      <c r="R115" s="6">
        <v>25.0</v>
      </c>
      <c r="S115" s="6">
        <v>1.0</v>
      </c>
      <c r="T115" s="6">
        <v>0.0</v>
      </c>
      <c r="U115" s="6">
        <v>0.0</v>
      </c>
      <c r="V115" s="7">
        <f t="shared" ref="V115:X115" si="271">(S115/P115)*100</f>
        <v>2.941176471</v>
      </c>
      <c r="W115" s="7">
        <f t="shared" si="271"/>
        <v>0</v>
      </c>
      <c r="X115" s="7">
        <f t="shared" si="271"/>
        <v>0</v>
      </c>
      <c r="Y115" s="7">
        <f t="shared" si="10"/>
        <v>1.470588235</v>
      </c>
    </row>
    <row r="116" ht="14.25" customHeight="1">
      <c r="A116" s="1" t="s">
        <v>31</v>
      </c>
      <c r="B116" s="1" t="s">
        <v>193</v>
      </c>
      <c r="C116" s="1" t="s">
        <v>193</v>
      </c>
      <c r="D116" s="1" t="s">
        <v>193</v>
      </c>
      <c r="E116" s="5">
        <v>22001.0</v>
      </c>
      <c r="F116" s="6">
        <v>3050.0</v>
      </c>
      <c r="G116" s="6">
        <v>3119.0</v>
      </c>
      <c r="H116" s="6">
        <v>2737.0</v>
      </c>
      <c r="I116" s="6">
        <v>250.0</v>
      </c>
      <c r="J116" s="6">
        <v>197.0</v>
      </c>
      <c r="K116" s="6">
        <v>189.0</v>
      </c>
      <c r="L116" s="7">
        <f t="shared" ref="L116:N116" si="272">(I116/F116)*100</f>
        <v>8.196721311</v>
      </c>
      <c r="M116" s="7">
        <f t="shared" si="272"/>
        <v>6.316126964</v>
      </c>
      <c r="N116" s="7">
        <f t="shared" si="272"/>
        <v>6.905370844</v>
      </c>
      <c r="O116" s="7">
        <f t="shared" si="8"/>
        <v>7.139406373</v>
      </c>
      <c r="P116" s="6">
        <v>2632.0</v>
      </c>
      <c r="Q116" s="6">
        <v>2650.0</v>
      </c>
      <c r="R116" s="6">
        <v>2668.0</v>
      </c>
      <c r="S116" s="6">
        <v>89.0</v>
      </c>
      <c r="T116" s="6">
        <v>99.0</v>
      </c>
      <c r="U116" s="6">
        <v>96.0</v>
      </c>
      <c r="V116" s="7">
        <f t="shared" ref="V116:X116" si="273">(S116/P116)*100</f>
        <v>3.381458967</v>
      </c>
      <c r="W116" s="7">
        <f t="shared" si="273"/>
        <v>3.735849057</v>
      </c>
      <c r="X116" s="7">
        <f t="shared" si="273"/>
        <v>3.5982009</v>
      </c>
      <c r="Y116" s="7">
        <f t="shared" si="10"/>
        <v>3.558654012</v>
      </c>
    </row>
    <row r="117" ht="14.25" customHeight="1">
      <c r="A117" s="1" t="s">
        <v>31</v>
      </c>
      <c r="B117" s="1" t="s">
        <v>193</v>
      </c>
      <c r="C117" s="1" t="s">
        <v>194</v>
      </c>
      <c r="D117" s="1" t="s">
        <v>194</v>
      </c>
      <c r="E117" s="5">
        <v>22002.0</v>
      </c>
      <c r="F117" s="6">
        <v>0.0</v>
      </c>
      <c r="G117" s="6">
        <v>0.0</v>
      </c>
      <c r="H117" s="6">
        <v>329.0</v>
      </c>
      <c r="I117" s="6">
        <v>0.0</v>
      </c>
      <c r="J117" s="6">
        <v>0.0</v>
      </c>
      <c r="K117" s="6">
        <v>17.0</v>
      </c>
      <c r="L117" s="7"/>
      <c r="M117" s="7"/>
      <c r="N117" s="7">
        <f>(K117/H117)*100</f>
        <v>5.167173252</v>
      </c>
      <c r="O117" s="7">
        <f t="shared" si="8"/>
        <v>5.167173252</v>
      </c>
      <c r="P117" s="6">
        <v>452.0</v>
      </c>
      <c r="Q117" s="6">
        <v>483.0</v>
      </c>
      <c r="R117" s="6">
        <v>480.0</v>
      </c>
      <c r="S117" s="6">
        <v>12.0</v>
      </c>
      <c r="T117" s="6">
        <v>11.0</v>
      </c>
      <c r="U117" s="6">
        <v>18.0</v>
      </c>
      <c r="V117" s="7">
        <f t="shared" ref="V117:X117" si="274">(S117/P117)*100</f>
        <v>2.654867257</v>
      </c>
      <c r="W117" s="7">
        <f t="shared" si="274"/>
        <v>2.277432712</v>
      </c>
      <c r="X117" s="7">
        <f t="shared" si="274"/>
        <v>3.75</v>
      </c>
      <c r="Y117" s="7">
        <f t="shared" si="10"/>
        <v>2.466149984</v>
      </c>
    </row>
    <row r="118" ht="14.25" customHeight="1">
      <c r="A118" s="1" t="s">
        <v>33</v>
      </c>
      <c r="B118" s="1" t="s">
        <v>195</v>
      </c>
      <c r="C118" s="1" t="s">
        <v>33</v>
      </c>
      <c r="D118" s="1" t="s">
        <v>33</v>
      </c>
      <c r="E118" s="5">
        <v>30101.0</v>
      </c>
      <c r="F118" s="6">
        <v>41400.0</v>
      </c>
      <c r="G118" s="6">
        <v>42471.0</v>
      </c>
      <c r="H118" s="6">
        <v>42993.0</v>
      </c>
      <c r="I118" s="6">
        <v>1425.0</v>
      </c>
      <c r="J118" s="6">
        <v>1567.0</v>
      </c>
      <c r="K118" s="6">
        <v>1573.0</v>
      </c>
      <c r="L118" s="7">
        <f t="shared" ref="L118:N118" si="275">(I118/F118)*100</f>
        <v>3.442028986</v>
      </c>
      <c r="M118" s="7">
        <f t="shared" si="275"/>
        <v>3.689576417</v>
      </c>
      <c r="N118" s="7">
        <f t="shared" si="275"/>
        <v>3.658735143</v>
      </c>
      <c r="O118" s="7">
        <f t="shared" si="8"/>
        <v>3.596780182</v>
      </c>
      <c r="P118" s="6">
        <v>43114.0</v>
      </c>
      <c r="Q118" s="6">
        <v>43165.0</v>
      </c>
      <c r="R118" s="6">
        <v>43516.0</v>
      </c>
      <c r="S118" s="6">
        <v>737.0</v>
      </c>
      <c r="T118" s="6">
        <v>576.0</v>
      </c>
      <c r="U118" s="6">
        <v>636.0</v>
      </c>
      <c r="V118" s="7">
        <f t="shared" ref="V118:X118" si="276">(S118/P118)*100</f>
        <v>1.709421534</v>
      </c>
      <c r="W118" s="7">
        <f t="shared" si="276"/>
        <v>1.334414456</v>
      </c>
      <c r="X118" s="7">
        <f t="shared" si="276"/>
        <v>1.461531391</v>
      </c>
      <c r="Y118" s="7">
        <f t="shared" si="10"/>
        <v>1.521917995</v>
      </c>
    </row>
    <row r="119" ht="14.25" customHeight="1">
      <c r="A119" s="1" t="s">
        <v>33</v>
      </c>
      <c r="B119" s="1" t="s">
        <v>196</v>
      </c>
      <c r="C119" s="1" t="s">
        <v>197</v>
      </c>
      <c r="D119" s="1" t="s">
        <v>197</v>
      </c>
      <c r="E119" s="5">
        <v>30201.0</v>
      </c>
      <c r="F119" s="6">
        <v>1254.0</v>
      </c>
      <c r="G119" s="6">
        <v>1328.0</v>
      </c>
      <c r="H119" s="6">
        <v>1349.0</v>
      </c>
      <c r="I119" s="6">
        <v>51.0</v>
      </c>
      <c r="J119" s="6">
        <v>84.0</v>
      </c>
      <c r="K119" s="6">
        <v>87.0</v>
      </c>
      <c r="L119" s="7">
        <f t="shared" ref="L119:N119" si="277">(I119/F119)*100</f>
        <v>4.066985646</v>
      </c>
      <c r="M119" s="7">
        <f t="shared" si="277"/>
        <v>6.325301205</v>
      </c>
      <c r="N119" s="7">
        <f t="shared" si="277"/>
        <v>6.449221646</v>
      </c>
      <c r="O119" s="7">
        <f t="shared" si="8"/>
        <v>5.613836165</v>
      </c>
      <c r="P119" s="6">
        <v>1243.0</v>
      </c>
      <c r="Q119" s="6">
        <v>1274.0</v>
      </c>
      <c r="R119" s="6">
        <v>1263.0</v>
      </c>
      <c r="S119" s="6">
        <v>22.0</v>
      </c>
      <c r="T119" s="6">
        <v>31.0</v>
      </c>
      <c r="U119" s="6">
        <v>39.0</v>
      </c>
      <c r="V119" s="7">
        <f t="shared" ref="V119:X119" si="278">(S119/P119)*100</f>
        <v>1.769911504</v>
      </c>
      <c r="W119" s="7">
        <f t="shared" si="278"/>
        <v>2.433281005</v>
      </c>
      <c r="X119" s="7">
        <f t="shared" si="278"/>
        <v>3.087885986</v>
      </c>
      <c r="Y119" s="7">
        <f t="shared" si="10"/>
        <v>2.101596255</v>
      </c>
    </row>
    <row r="120" ht="14.25" customHeight="1">
      <c r="A120" s="1" t="s">
        <v>33</v>
      </c>
      <c r="B120" s="1" t="s">
        <v>196</v>
      </c>
      <c r="C120" s="1" t="s">
        <v>198</v>
      </c>
      <c r="D120" s="1" t="s">
        <v>198</v>
      </c>
      <c r="E120" s="5">
        <v>30202.0</v>
      </c>
      <c r="F120" s="6">
        <v>189.0</v>
      </c>
      <c r="G120" s="6">
        <v>193.0</v>
      </c>
      <c r="H120" s="6">
        <v>190.0</v>
      </c>
      <c r="I120" s="6">
        <v>10.0</v>
      </c>
      <c r="J120" s="6">
        <v>8.0</v>
      </c>
      <c r="K120" s="6">
        <v>12.0</v>
      </c>
      <c r="L120" s="7">
        <f t="shared" ref="L120:N120" si="279">(I120/F120)*100</f>
        <v>5.291005291</v>
      </c>
      <c r="M120" s="7">
        <f t="shared" si="279"/>
        <v>4.14507772</v>
      </c>
      <c r="N120" s="7">
        <f t="shared" si="279"/>
        <v>6.315789474</v>
      </c>
      <c r="O120" s="7">
        <f t="shared" si="8"/>
        <v>5.250624162</v>
      </c>
      <c r="P120" s="6">
        <v>110.0</v>
      </c>
      <c r="Q120" s="6">
        <v>118.0</v>
      </c>
      <c r="R120" s="6">
        <v>118.0</v>
      </c>
      <c r="S120" s="6">
        <v>3.0</v>
      </c>
      <c r="T120" s="6">
        <v>0.0</v>
      </c>
      <c r="U120" s="6">
        <v>2.0</v>
      </c>
      <c r="V120" s="7">
        <f t="shared" ref="V120:X120" si="280">(S120/P120)*100</f>
        <v>2.727272727</v>
      </c>
      <c r="W120" s="7">
        <f t="shared" si="280"/>
        <v>0</v>
      </c>
      <c r="X120" s="7">
        <f t="shared" si="280"/>
        <v>1.694915254</v>
      </c>
      <c r="Y120" s="7">
        <f t="shared" si="10"/>
        <v>1.363636364</v>
      </c>
    </row>
    <row r="121" ht="14.25" customHeight="1">
      <c r="A121" s="1" t="s">
        <v>33</v>
      </c>
      <c r="B121" s="1" t="s">
        <v>196</v>
      </c>
      <c r="C121" s="1" t="s">
        <v>199</v>
      </c>
      <c r="D121" s="1" t="s">
        <v>199</v>
      </c>
      <c r="E121" s="5">
        <v>30203.0</v>
      </c>
      <c r="F121" s="6">
        <v>179.0</v>
      </c>
      <c r="G121" s="6">
        <v>180.0</v>
      </c>
      <c r="H121" s="6">
        <v>203.0</v>
      </c>
      <c r="I121" s="6">
        <v>19.0</v>
      </c>
      <c r="J121" s="6">
        <v>13.0</v>
      </c>
      <c r="K121" s="6">
        <v>18.0</v>
      </c>
      <c r="L121" s="7">
        <f t="shared" ref="L121:N121" si="281">(I121/F121)*100</f>
        <v>10.61452514</v>
      </c>
      <c r="M121" s="7">
        <f t="shared" si="281"/>
        <v>7.222222222</v>
      </c>
      <c r="N121" s="7">
        <f t="shared" si="281"/>
        <v>8.866995074</v>
      </c>
      <c r="O121" s="7">
        <f t="shared" si="8"/>
        <v>8.901247479</v>
      </c>
      <c r="P121" s="6">
        <v>269.0</v>
      </c>
      <c r="Q121" s="6">
        <v>251.0</v>
      </c>
      <c r="R121" s="6">
        <v>246.0</v>
      </c>
      <c r="S121" s="6">
        <v>9.0</v>
      </c>
      <c r="T121" s="6">
        <v>0.0</v>
      </c>
      <c r="U121" s="6">
        <v>4.0</v>
      </c>
      <c r="V121" s="7">
        <f t="shared" ref="V121:X121" si="282">(S121/P121)*100</f>
        <v>3.345724907</v>
      </c>
      <c r="W121" s="7">
        <f t="shared" si="282"/>
        <v>0</v>
      </c>
      <c r="X121" s="7">
        <f t="shared" si="282"/>
        <v>1.62601626</v>
      </c>
      <c r="Y121" s="7">
        <f t="shared" si="10"/>
        <v>1.672862454</v>
      </c>
    </row>
    <row r="122" ht="14.25" customHeight="1">
      <c r="A122" s="1" t="s">
        <v>33</v>
      </c>
      <c r="B122" s="1" t="s">
        <v>200</v>
      </c>
      <c r="C122" s="1" t="s">
        <v>200</v>
      </c>
      <c r="D122" s="1" t="s">
        <v>201</v>
      </c>
      <c r="E122" s="5">
        <v>30301.0</v>
      </c>
      <c r="F122" s="6">
        <v>944.0</v>
      </c>
      <c r="G122" s="6">
        <v>934.0</v>
      </c>
      <c r="H122" s="6">
        <v>994.0</v>
      </c>
      <c r="I122" s="6">
        <v>131.0</v>
      </c>
      <c r="J122" s="6">
        <v>148.0</v>
      </c>
      <c r="K122" s="6">
        <v>110.0</v>
      </c>
      <c r="L122" s="7">
        <f t="shared" ref="L122:N122" si="283">(I122/F122)*100</f>
        <v>13.87711864</v>
      </c>
      <c r="M122" s="7">
        <f t="shared" si="283"/>
        <v>15.84582441</v>
      </c>
      <c r="N122" s="7">
        <f t="shared" si="283"/>
        <v>11.06639839</v>
      </c>
      <c r="O122" s="7">
        <f t="shared" si="8"/>
        <v>13.59644715</v>
      </c>
      <c r="P122" s="6">
        <v>986.0</v>
      </c>
      <c r="Q122" s="6">
        <v>1008.0</v>
      </c>
      <c r="R122" s="6">
        <v>984.0</v>
      </c>
      <c r="S122" s="6">
        <v>38.0</v>
      </c>
      <c r="T122" s="6">
        <v>40.0</v>
      </c>
      <c r="U122" s="6">
        <v>40.0</v>
      </c>
      <c r="V122" s="7">
        <f t="shared" ref="V122:X122" si="284">(S122/P122)*100</f>
        <v>3.853955375</v>
      </c>
      <c r="W122" s="7">
        <f t="shared" si="284"/>
        <v>3.968253968</v>
      </c>
      <c r="X122" s="7">
        <f t="shared" si="284"/>
        <v>4.06504065</v>
      </c>
      <c r="Y122" s="7">
        <f t="shared" si="10"/>
        <v>3.911104672</v>
      </c>
    </row>
    <row r="123" ht="14.25" customHeight="1">
      <c r="A123" s="1" t="s">
        <v>33</v>
      </c>
      <c r="B123" s="1" t="s">
        <v>200</v>
      </c>
      <c r="C123" s="1" t="s">
        <v>202</v>
      </c>
      <c r="D123" s="1" t="s">
        <v>202</v>
      </c>
      <c r="E123" s="5">
        <v>30302.0</v>
      </c>
      <c r="F123" s="6">
        <v>646.0</v>
      </c>
      <c r="G123" s="6">
        <v>676.0</v>
      </c>
      <c r="H123" s="6">
        <v>354.0</v>
      </c>
      <c r="I123" s="6">
        <v>94.0</v>
      </c>
      <c r="J123" s="6">
        <v>88.0</v>
      </c>
      <c r="K123" s="6">
        <v>52.0</v>
      </c>
      <c r="L123" s="7">
        <f t="shared" ref="L123:N123" si="285">(I123/F123)*100</f>
        <v>14.55108359</v>
      </c>
      <c r="M123" s="7">
        <f t="shared" si="285"/>
        <v>13.01775148</v>
      </c>
      <c r="N123" s="7">
        <f t="shared" si="285"/>
        <v>14.68926554</v>
      </c>
      <c r="O123" s="7">
        <f t="shared" si="8"/>
        <v>14.08603354</v>
      </c>
      <c r="P123" s="6">
        <v>475.0</v>
      </c>
      <c r="Q123" s="6">
        <v>461.0</v>
      </c>
      <c r="R123" s="6">
        <v>466.0</v>
      </c>
      <c r="S123" s="6">
        <v>16.0</v>
      </c>
      <c r="T123" s="6">
        <v>14.0</v>
      </c>
      <c r="U123" s="6">
        <v>14.0</v>
      </c>
      <c r="V123" s="7">
        <f t="shared" ref="V123:X123" si="286">(S123/P123)*100</f>
        <v>3.368421053</v>
      </c>
      <c r="W123" s="7">
        <f t="shared" si="286"/>
        <v>3.036876356</v>
      </c>
      <c r="X123" s="7">
        <f t="shared" si="286"/>
        <v>3.004291845</v>
      </c>
      <c r="Y123" s="7">
        <f t="shared" si="10"/>
        <v>3.202648704</v>
      </c>
    </row>
    <row r="124" ht="14.25" customHeight="1">
      <c r="A124" s="1" t="s">
        <v>33</v>
      </c>
      <c r="B124" s="1" t="s">
        <v>200</v>
      </c>
      <c r="C124" s="1" t="s">
        <v>203</v>
      </c>
      <c r="D124" s="1" t="s">
        <v>203</v>
      </c>
      <c r="E124" s="5">
        <v>30303.0</v>
      </c>
      <c r="F124" s="6">
        <v>0.0</v>
      </c>
      <c r="G124" s="6">
        <v>0.0</v>
      </c>
      <c r="H124" s="6">
        <v>345.0</v>
      </c>
      <c r="I124" s="6">
        <v>0.0</v>
      </c>
      <c r="J124" s="6">
        <v>0.0</v>
      </c>
      <c r="K124" s="6">
        <v>50.0</v>
      </c>
      <c r="L124" s="7"/>
      <c r="M124" s="7"/>
      <c r="N124" s="7">
        <f>(K124/H124)*100</f>
        <v>14.49275362</v>
      </c>
      <c r="O124" s="7">
        <f t="shared" si="8"/>
        <v>14.49275362</v>
      </c>
      <c r="P124" s="6">
        <v>646.0</v>
      </c>
      <c r="Q124" s="6">
        <v>648.0</v>
      </c>
      <c r="R124" s="6">
        <v>658.0</v>
      </c>
      <c r="S124" s="6">
        <v>45.0</v>
      </c>
      <c r="T124" s="6">
        <v>24.0</v>
      </c>
      <c r="U124" s="6">
        <v>30.0</v>
      </c>
      <c r="V124" s="7">
        <f t="shared" ref="V124:X124" si="287">(S124/P124)*100</f>
        <v>6.965944272</v>
      </c>
      <c r="W124" s="7">
        <f t="shared" si="287"/>
        <v>3.703703704</v>
      </c>
      <c r="X124" s="7">
        <f t="shared" si="287"/>
        <v>4.559270517</v>
      </c>
      <c r="Y124" s="7">
        <f t="shared" si="10"/>
        <v>5.334823988</v>
      </c>
    </row>
    <row r="125" ht="14.25" customHeight="1">
      <c r="A125" s="1" t="s">
        <v>33</v>
      </c>
      <c r="B125" s="1" t="s">
        <v>204</v>
      </c>
      <c r="C125" s="1" t="s">
        <v>205</v>
      </c>
      <c r="D125" s="1" t="s">
        <v>205</v>
      </c>
      <c r="E125" s="5">
        <v>30401.0</v>
      </c>
      <c r="F125" s="6">
        <v>623.0</v>
      </c>
      <c r="G125" s="6">
        <v>644.0</v>
      </c>
      <c r="H125" s="6">
        <v>647.0</v>
      </c>
      <c r="I125" s="6">
        <v>28.0</v>
      </c>
      <c r="J125" s="6">
        <v>39.0</v>
      </c>
      <c r="K125" s="6">
        <v>28.0</v>
      </c>
      <c r="L125" s="7">
        <f t="shared" ref="L125:N125" si="288">(I125/F125)*100</f>
        <v>4.494382022</v>
      </c>
      <c r="M125" s="7">
        <f t="shared" si="288"/>
        <v>6.055900621</v>
      </c>
      <c r="N125" s="7">
        <f t="shared" si="288"/>
        <v>4.327666151</v>
      </c>
      <c r="O125" s="7">
        <f t="shared" si="8"/>
        <v>4.959316265</v>
      </c>
      <c r="P125" s="6">
        <v>599.0</v>
      </c>
      <c r="Q125" s="6">
        <v>590.0</v>
      </c>
      <c r="R125" s="6">
        <v>614.0</v>
      </c>
      <c r="S125" s="6">
        <v>21.0</v>
      </c>
      <c r="T125" s="6">
        <v>11.0</v>
      </c>
      <c r="U125" s="6">
        <v>11.0</v>
      </c>
      <c r="V125" s="7">
        <f t="shared" ref="V125:X125" si="289">(S125/P125)*100</f>
        <v>3.505843072</v>
      </c>
      <c r="W125" s="7">
        <f t="shared" si="289"/>
        <v>1.86440678</v>
      </c>
      <c r="X125" s="7">
        <f t="shared" si="289"/>
        <v>1.791530945</v>
      </c>
      <c r="Y125" s="7">
        <f t="shared" si="10"/>
        <v>2.685124926</v>
      </c>
    </row>
    <row r="126" ht="14.25" customHeight="1">
      <c r="A126" s="1" t="s">
        <v>33</v>
      </c>
      <c r="B126" s="1" t="s">
        <v>204</v>
      </c>
      <c r="C126" s="1" t="s">
        <v>206</v>
      </c>
      <c r="D126" s="1" t="s">
        <v>207</v>
      </c>
      <c r="E126" s="5">
        <v>30402.0</v>
      </c>
      <c r="F126" s="6">
        <v>239.0</v>
      </c>
      <c r="G126" s="6">
        <v>279.0</v>
      </c>
      <c r="H126" s="6">
        <v>283.0</v>
      </c>
      <c r="I126" s="6">
        <v>19.0</v>
      </c>
      <c r="J126" s="6">
        <v>37.0</v>
      </c>
      <c r="K126" s="6">
        <v>33.0</v>
      </c>
      <c r="L126" s="7">
        <f t="shared" ref="L126:N126" si="290">(I126/F126)*100</f>
        <v>7.949790795</v>
      </c>
      <c r="M126" s="7">
        <f t="shared" si="290"/>
        <v>13.26164875</v>
      </c>
      <c r="N126" s="7">
        <f t="shared" si="290"/>
        <v>11.66077739</v>
      </c>
      <c r="O126" s="7">
        <f t="shared" si="8"/>
        <v>10.95740564</v>
      </c>
      <c r="P126" s="6">
        <v>276.0</v>
      </c>
      <c r="Q126" s="6">
        <v>290.0</v>
      </c>
      <c r="R126" s="6">
        <v>271.0</v>
      </c>
      <c r="S126" s="6">
        <v>6.0</v>
      </c>
      <c r="T126" s="6">
        <v>16.0</v>
      </c>
      <c r="U126" s="6">
        <v>7.0</v>
      </c>
      <c r="V126" s="7">
        <f t="shared" ref="V126:X126" si="291">(S126/P126)*100</f>
        <v>2.173913043</v>
      </c>
      <c r="W126" s="7">
        <f t="shared" si="291"/>
        <v>5.517241379</v>
      </c>
      <c r="X126" s="7">
        <f t="shared" si="291"/>
        <v>2.58302583</v>
      </c>
      <c r="Y126" s="7">
        <f t="shared" si="10"/>
        <v>3.845577211</v>
      </c>
    </row>
    <row r="127" ht="14.25" customHeight="1">
      <c r="A127" s="1" t="s">
        <v>33</v>
      </c>
      <c r="B127" s="1" t="s">
        <v>204</v>
      </c>
      <c r="C127" s="1" t="s">
        <v>208</v>
      </c>
      <c r="D127" s="1" t="s">
        <v>208</v>
      </c>
      <c r="E127" s="5">
        <v>30403.0</v>
      </c>
      <c r="F127" s="6">
        <v>383.0</v>
      </c>
      <c r="G127" s="6">
        <v>473.0</v>
      </c>
      <c r="H127" s="6">
        <v>565.0</v>
      </c>
      <c r="I127" s="6">
        <v>29.0</v>
      </c>
      <c r="J127" s="6">
        <v>33.0</v>
      </c>
      <c r="K127" s="6">
        <v>31.0</v>
      </c>
      <c r="L127" s="7">
        <f t="shared" ref="L127:N127" si="292">(I127/F127)*100</f>
        <v>7.571801567</v>
      </c>
      <c r="M127" s="7">
        <f t="shared" si="292"/>
        <v>6.976744186</v>
      </c>
      <c r="N127" s="7">
        <f t="shared" si="292"/>
        <v>5.486725664</v>
      </c>
      <c r="O127" s="7">
        <f t="shared" si="8"/>
        <v>6.678423805</v>
      </c>
      <c r="P127" s="6">
        <v>858.0</v>
      </c>
      <c r="Q127" s="6">
        <v>913.0</v>
      </c>
      <c r="R127" s="6">
        <v>936.0</v>
      </c>
      <c r="S127" s="6">
        <v>22.0</v>
      </c>
      <c r="T127" s="6">
        <v>20.0</v>
      </c>
      <c r="U127" s="6">
        <v>25.0</v>
      </c>
      <c r="V127" s="7">
        <f t="shared" ref="V127:X127" si="293">(S127/P127)*100</f>
        <v>2.564102564</v>
      </c>
      <c r="W127" s="7">
        <f t="shared" si="293"/>
        <v>2.190580504</v>
      </c>
      <c r="X127" s="7">
        <f t="shared" si="293"/>
        <v>2.670940171</v>
      </c>
      <c r="Y127" s="7">
        <f t="shared" si="10"/>
        <v>2.377341534</v>
      </c>
    </row>
    <row r="128" ht="14.25" customHeight="1">
      <c r="A128" s="1" t="s">
        <v>33</v>
      </c>
      <c r="B128" s="1" t="s">
        <v>204</v>
      </c>
      <c r="C128" s="1" t="s">
        <v>209</v>
      </c>
      <c r="D128" s="1" t="s">
        <v>209</v>
      </c>
      <c r="E128" s="5">
        <v>30404.0</v>
      </c>
      <c r="F128" s="6">
        <v>185.0</v>
      </c>
      <c r="G128" s="6">
        <v>183.0</v>
      </c>
      <c r="H128" s="6">
        <v>181.0</v>
      </c>
      <c r="I128" s="6">
        <v>17.0</v>
      </c>
      <c r="J128" s="6">
        <v>25.0</v>
      </c>
      <c r="K128" s="6">
        <v>17.0</v>
      </c>
      <c r="L128" s="7">
        <f t="shared" ref="L128:N128" si="294">(I128/F128)*100</f>
        <v>9.189189189</v>
      </c>
      <c r="M128" s="7">
        <f t="shared" si="294"/>
        <v>13.66120219</v>
      </c>
      <c r="N128" s="7">
        <f t="shared" si="294"/>
        <v>9.392265193</v>
      </c>
      <c r="O128" s="7">
        <f t="shared" si="8"/>
        <v>10.74755219</v>
      </c>
      <c r="P128" s="6">
        <v>179.0</v>
      </c>
      <c r="Q128" s="6">
        <v>171.0</v>
      </c>
      <c r="R128" s="6">
        <v>159.0</v>
      </c>
      <c r="S128" s="6">
        <v>9.0</v>
      </c>
      <c r="T128" s="6">
        <v>10.0</v>
      </c>
      <c r="U128" s="6">
        <v>1.0</v>
      </c>
      <c r="V128" s="7">
        <f t="shared" ref="V128:X128" si="295">(S128/P128)*100</f>
        <v>5.027932961</v>
      </c>
      <c r="W128" s="7">
        <f t="shared" si="295"/>
        <v>5.847953216</v>
      </c>
      <c r="X128" s="7">
        <f t="shared" si="295"/>
        <v>0.6289308176</v>
      </c>
      <c r="Y128" s="7">
        <f t="shared" si="10"/>
        <v>5.437943089</v>
      </c>
    </row>
    <row r="129" ht="14.25" customHeight="1">
      <c r="A129" s="1" t="s">
        <v>33</v>
      </c>
      <c r="B129" s="1" t="s">
        <v>210</v>
      </c>
      <c r="C129" s="1" t="s">
        <v>210</v>
      </c>
      <c r="D129" s="1" t="s">
        <v>210</v>
      </c>
      <c r="E129" s="5">
        <v>30501.0</v>
      </c>
      <c r="F129" s="6">
        <v>538.0</v>
      </c>
      <c r="G129" s="6">
        <v>544.0</v>
      </c>
      <c r="H129" s="6">
        <v>545.0</v>
      </c>
      <c r="I129" s="6">
        <v>31.0</v>
      </c>
      <c r="J129" s="6">
        <v>37.0</v>
      </c>
      <c r="K129" s="6">
        <v>18.0</v>
      </c>
      <c r="L129" s="7">
        <f t="shared" ref="L129:N129" si="296">(I129/F129)*100</f>
        <v>5.762081784</v>
      </c>
      <c r="M129" s="7">
        <f t="shared" si="296"/>
        <v>6.801470588</v>
      </c>
      <c r="N129" s="7">
        <f t="shared" si="296"/>
        <v>3.302752294</v>
      </c>
      <c r="O129" s="7">
        <f t="shared" si="8"/>
        <v>5.288768222</v>
      </c>
      <c r="P129" s="6">
        <v>499.0</v>
      </c>
      <c r="Q129" s="6">
        <v>523.0</v>
      </c>
      <c r="R129" s="6">
        <v>499.0</v>
      </c>
      <c r="S129" s="6">
        <v>3.0</v>
      </c>
      <c r="T129" s="6">
        <v>10.0</v>
      </c>
      <c r="U129" s="6">
        <v>10.0</v>
      </c>
      <c r="V129" s="7">
        <f t="shared" ref="V129:X129" si="297">(S129/P129)*100</f>
        <v>0.6012024048</v>
      </c>
      <c r="W129" s="7">
        <f t="shared" si="297"/>
        <v>1.912045889</v>
      </c>
      <c r="X129" s="7">
        <f t="shared" si="297"/>
        <v>2.004008016</v>
      </c>
      <c r="Y129" s="7">
        <f t="shared" si="10"/>
        <v>1.256624147</v>
      </c>
    </row>
    <row r="130" ht="14.25" customHeight="1">
      <c r="A130" s="1" t="s">
        <v>33</v>
      </c>
      <c r="B130" s="1" t="s">
        <v>210</v>
      </c>
      <c r="C130" s="1" t="s">
        <v>211</v>
      </c>
      <c r="D130" s="1" t="s">
        <v>211</v>
      </c>
      <c r="E130" s="5">
        <v>30502.0</v>
      </c>
      <c r="F130" s="6">
        <v>519.0</v>
      </c>
      <c r="G130" s="6">
        <v>506.0</v>
      </c>
      <c r="H130" s="6">
        <v>495.0</v>
      </c>
      <c r="I130" s="6">
        <v>41.0</v>
      </c>
      <c r="J130" s="6">
        <v>38.0</v>
      </c>
      <c r="K130" s="6">
        <v>55.0</v>
      </c>
      <c r="L130" s="7">
        <f t="shared" ref="L130:N130" si="298">(I130/F130)*100</f>
        <v>7.899807322</v>
      </c>
      <c r="M130" s="7">
        <f t="shared" si="298"/>
        <v>7.509881423</v>
      </c>
      <c r="N130" s="7">
        <f t="shared" si="298"/>
        <v>11.11111111</v>
      </c>
      <c r="O130" s="7">
        <f t="shared" si="8"/>
        <v>8.840266619</v>
      </c>
      <c r="P130" s="6">
        <v>346.0</v>
      </c>
      <c r="Q130" s="6">
        <v>361.0</v>
      </c>
      <c r="R130" s="6">
        <v>341.0</v>
      </c>
      <c r="S130" s="6">
        <v>11.0</v>
      </c>
      <c r="T130" s="6">
        <v>17.0</v>
      </c>
      <c r="U130" s="6">
        <v>16.0</v>
      </c>
      <c r="V130" s="7">
        <f t="shared" ref="V130:X130" si="299">(S130/P130)*100</f>
        <v>3.179190751</v>
      </c>
      <c r="W130" s="7">
        <f t="shared" si="299"/>
        <v>4.709141274</v>
      </c>
      <c r="X130" s="7">
        <f t="shared" si="299"/>
        <v>4.692082111</v>
      </c>
      <c r="Y130" s="7">
        <f t="shared" si="10"/>
        <v>3.944166013</v>
      </c>
    </row>
    <row r="131" ht="14.25" customHeight="1">
      <c r="A131" s="1" t="s">
        <v>33</v>
      </c>
      <c r="B131" s="1" t="s">
        <v>212</v>
      </c>
      <c r="C131" s="1" t="s">
        <v>212</v>
      </c>
      <c r="D131" s="1" t="s">
        <v>213</v>
      </c>
      <c r="E131" s="5">
        <v>30601.0</v>
      </c>
      <c r="F131" s="6">
        <v>284.0</v>
      </c>
      <c r="G131" s="6">
        <v>294.0</v>
      </c>
      <c r="H131" s="6">
        <v>307.0</v>
      </c>
      <c r="I131" s="6">
        <v>46.0</v>
      </c>
      <c r="J131" s="6">
        <v>60.0</v>
      </c>
      <c r="K131" s="6">
        <v>49.0</v>
      </c>
      <c r="L131" s="7">
        <f t="shared" ref="L131:N131" si="300">(I131/F131)*100</f>
        <v>16.1971831</v>
      </c>
      <c r="M131" s="7">
        <f t="shared" si="300"/>
        <v>20.40816327</v>
      </c>
      <c r="N131" s="7">
        <f t="shared" si="300"/>
        <v>15.96091205</v>
      </c>
      <c r="O131" s="7">
        <f t="shared" si="8"/>
        <v>17.52208614</v>
      </c>
      <c r="P131" s="6">
        <v>409.0</v>
      </c>
      <c r="Q131" s="6">
        <v>438.0</v>
      </c>
      <c r="R131" s="6">
        <v>409.0</v>
      </c>
      <c r="S131" s="6">
        <v>28.0</v>
      </c>
      <c r="T131" s="6">
        <v>36.0</v>
      </c>
      <c r="U131" s="6">
        <v>21.0</v>
      </c>
      <c r="V131" s="7">
        <f t="shared" ref="V131:X131" si="301">(S131/P131)*100</f>
        <v>6.84596577</v>
      </c>
      <c r="W131" s="7">
        <f t="shared" si="301"/>
        <v>8.219178082</v>
      </c>
      <c r="X131" s="7">
        <f t="shared" si="301"/>
        <v>5.134474328</v>
      </c>
      <c r="Y131" s="7">
        <f t="shared" si="10"/>
        <v>7.532571926</v>
      </c>
    </row>
    <row r="132" ht="14.25" customHeight="1">
      <c r="A132" s="1" t="s">
        <v>33</v>
      </c>
      <c r="B132" s="1" t="s">
        <v>212</v>
      </c>
      <c r="C132" s="1" t="s">
        <v>214</v>
      </c>
      <c r="D132" s="1" t="s">
        <v>214</v>
      </c>
      <c r="E132" s="5">
        <v>30602.0</v>
      </c>
      <c r="F132" s="6">
        <v>240.0</v>
      </c>
      <c r="G132" s="6">
        <v>316.0</v>
      </c>
      <c r="H132" s="6">
        <v>305.0</v>
      </c>
      <c r="I132" s="6">
        <v>35.0</v>
      </c>
      <c r="J132" s="6">
        <v>62.0</v>
      </c>
      <c r="K132" s="6">
        <v>45.0</v>
      </c>
      <c r="L132" s="7">
        <f t="shared" ref="L132:N132" si="302">(I132/F132)*100</f>
        <v>14.58333333</v>
      </c>
      <c r="M132" s="7">
        <f t="shared" si="302"/>
        <v>19.62025316</v>
      </c>
      <c r="N132" s="7">
        <f t="shared" si="302"/>
        <v>14.75409836</v>
      </c>
      <c r="O132" s="7">
        <f t="shared" si="8"/>
        <v>16.31922829</v>
      </c>
      <c r="P132" s="6">
        <v>306.0</v>
      </c>
      <c r="Q132" s="6">
        <v>286.0</v>
      </c>
      <c r="R132" s="6">
        <v>274.0</v>
      </c>
      <c r="S132" s="6">
        <v>12.0</v>
      </c>
      <c r="T132" s="6">
        <v>16.0</v>
      </c>
      <c r="U132" s="6">
        <v>15.0</v>
      </c>
      <c r="V132" s="7">
        <f t="shared" ref="V132:X132" si="303">(S132/P132)*100</f>
        <v>3.921568627</v>
      </c>
      <c r="W132" s="7">
        <f t="shared" si="303"/>
        <v>5.594405594</v>
      </c>
      <c r="X132" s="7">
        <f t="shared" si="303"/>
        <v>5.474452555</v>
      </c>
      <c r="Y132" s="7">
        <f t="shared" si="10"/>
        <v>4.757987111</v>
      </c>
    </row>
    <row r="133" ht="14.25" customHeight="1">
      <c r="A133" s="1" t="s">
        <v>33</v>
      </c>
      <c r="B133" s="1" t="s">
        <v>215</v>
      </c>
      <c r="C133" s="1" t="s">
        <v>215</v>
      </c>
      <c r="D133" s="1" t="s">
        <v>215</v>
      </c>
      <c r="E133" s="5">
        <v>30701.0</v>
      </c>
      <c r="F133" s="6">
        <v>1116.0</v>
      </c>
      <c r="G133" s="6">
        <v>1177.0</v>
      </c>
      <c r="H133" s="6">
        <v>1206.0</v>
      </c>
      <c r="I133" s="6">
        <v>80.0</v>
      </c>
      <c r="J133" s="6">
        <v>87.0</v>
      </c>
      <c r="K133" s="6">
        <v>72.0</v>
      </c>
      <c r="L133" s="7">
        <f t="shared" ref="L133:N133" si="304">(I133/F133)*100</f>
        <v>7.168458781</v>
      </c>
      <c r="M133" s="7">
        <f t="shared" si="304"/>
        <v>7.391673747</v>
      </c>
      <c r="N133" s="7">
        <f t="shared" si="304"/>
        <v>5.970149254</v>
      </c>
      <c r="O133" s="7">
        <f t="shared" si="8"/>
        <v>6.843427261</v>
      </c>
      <c r="P133" s="6">
        <v>1263.0</v>
      </c>
      <c r="Q133" s="6">
        <v>1260.0</v>
      </c>
      <c r="R133" s="6">
        <v>1264.0</v>
      </c>
      <c r="S133" s="6">
        <v>26.0</v>
      </c>
      <c r="T133" s="6">
        <v>37.0</v>
      </c>
      <c r="U133" s="6">
        <v>33.0</v>
      </c>
      <c r="V133" s="7">
        <f t="shared" ref="V133:X133" si="305">(S133/P133)*100</f>
        <v>2.058590657</v>
      </c>
      <c r="W133" s="7">
        <f t="shared" si="305"/>
        <v>2.936507937</v>
      </c>
      <c r="X133" s="7">
        <f t="shared" si="305"/>
        <v>2.610759494</v>
      </c>
      <c r="Y133" s="7">
        <f t="shared" si="10"/>
        <v>2.497549297</v>
      </c>
    </row>
    <row r="134" ht="14.25" customHeight="1">
      <c r="A134" s="1" t="s">
        <v>33</v>
      </c>
      <c r="B134" s="1" t="s">
        <v>215</v>
      </c>
      <c r="C134" s="1" t="s">
        <v>216</v>
      </c>
      <c r="D134" s="1" t="s">
        <v>217</v>
      </c>
      <c r="E134" s="5">
        <v>30702.0</v>
      </c>
      <c r="F134" s="6">
        <v>274.0</v>
      </c>
      <c r="G134" s="6">
        <v>312.0</v>
      </c>
      <c r="H134" s="6">
        <v>320.0</v>
      </c>
      <c r="I134" s="6">
        <v>9.0</v>
      </c>
      <c r="J134" s="6">
        <v>20.0</v>
      </c>
      <c r="K134" s="6">
        <v>18.0</v>
      </c>
      <c r="L134" s="7">
        <f t="shared" ref="L134:N134" si="306">(I134/F134)*100</f>
        <v>3.284671533</v>
      </c>
      <c r="M134" s="7">
        <f t="shared" si="306"/>
        <v>6.41025641</v>
      </c>
      <c r="N134" s="7">
        <f t="shared" si="306"/>
        <v>5.625</v>
      </c>
      <c r="O134" s="7">
        <f t="shared" si="8"/>
        <v>5.106642648</v>
      </c>
      <c r="P134" s="6">
        <v>366.0</v>
      </c>
      <c r="Q134" s="6">
        <v>375.0</v>
      </c>
      <c r="R134" s="6">
        <v>367.0</v>
      </c>
      <c r="S134" s="6">
        <v>5.0</v>
      </c>
      <c r="T134" s="6">
        <v>5.0</v>
      </c>
      <c r="U134" s="6">
        <v>6.0</v>
      </c>
      <c r="V134" s="7">
        <f t="shared" ref="V134:X134" si="307">(S134/P134)*100</f>
        <v>1.366120219</v>
      </c>
      <c r="W134" s="7">
        <f t="shared" si="307"/>
        <v>1.333333333</v>
      </c>
      <c r="X134" s="7">
        <f t="shared" si="307"/>
        <v>1.634877384</v>
      </c>
      <c r="Y134" s="7">
        <f t="shared" si="10"/>
        <v>1.349726776</v>
      </c>
    </row>
    <row r="135" ht="14.25" customHeight="1">
      <c r="A135" s="1" t="s">
        <v>33</v>
      </c>
      <c r="B135" s="1" t="s">
        <v>215</v>
      </c>
      <c r="C135" s="1" t="s">
        <v>218</v>
      </c>
      <c r="D135" s="1" t="s">
        <v>218</v>
      </c>
      <c r="E135" s="5">
        <v>30703.0</v>
      </c>
      <c r="F135" s="6">
        <v>76.0</v>
      </c>
      <c r="G135" s="6">
        <v>87.0</v>
      </c>
      <c r="H135" s="6">
        <v>94.0</v>
      </c>
      <c r="I135" s="6">
        <v>10.0</v>
      </c>
      <c r="J135" s="6">
        <v>10.0</v>
      </c>
      <c r="K135" s="6">
        <v>12.0</v>
      </c>
      <c r="L135" s="7">
        <f t="shared" ref="L135:N135" si="308">(I135/F135)*100</f>
        <v>13.15789474</v>
      </c>
      <c r="M135" s="7">
        <f t="shared" si="308"/>
        <v>11.49425287</v>
      </c>
      <c r="N135" s="7">
        <f t="shared" si="308"/>
        <v>12.76595745</v>
      </c>
      <c r="O135" s="7">
        <f t="shared" si="8"/>
        <v>12.47270169</v>
      </c>
      <c r="P135" s="6">
        <v>161.0</v>
      </c>
      <c r="Q135" s="6">
        <v>158.0</v>
      </c>
      <c r="R135" s="6">
        <v>174.0</v>
      </c>
      <c r="S135" s="6">
        <v>5.0</v>
      </c>
      <c r="T135" s="6">
        <v>3.0</v>
      </c>
      <c r="U135" s="6">
        <v>10.0</v>
      </c>
      <c r="V135" s="7">
        <f t="shared" ref="V135:X135" si="309">(S135/P135)*100</f>
        <v>3.105590062</v>
      </c>
      <c r="W135" s="7">
        <f t="shared" si="309"/>
        <v>1.898734177</v>
      </c>
      <c r="X135" s="7">
        <f t="shared" si="309"/>
        <v>5.747126437</v>
      </c>
      <c r="Y135" s="7">
        <f t="shared" si="10"/>
        <v>2.50216212</v>
      </c>
    </row>
    <row r="136" ht="14.25" customHeight="1">
      <c r="A136" s="1" t="s">
        <v>33</v>
      </c>
      <c r="B136" s="1" t="s">
        <v>219</v>
      </c>
      <c r="C136" s="1" t="s">
        <v>220</v>
      </c>
      <c r="D136" s="1" t="s">
        <v>220</v>
      </c>
      <c r="E136" s="5">
        <v>30801.0</v>
      </c>
      <c r="F136" s="6">
        <v>1220.0</v>
      </c>
      <c r="G136" s="6">
        <v>1242.0</v>
      </c>
      <c r="H136" s="6">
        <v>1258.0</v>
      </c>
      <c r="I136" s="6">
        <v>55.0</v>
      </c>
      <c r="J136" s="6">
        <v>47.0</v>
      </c>
      <c r="K136" s="6">
        <v>76.0</v>
      </c>
      <c r="L136" s="7">
        <f t="shared" ref="L136:N136" si="310">(I136/F136)*100</f>
        <v>4.508196721</v>
      </c>
      <c r="M136" s="7">
        <f t="shared" si="310"/>
        <v>3.784219002</v>
      </c>
      <c r="N136" s="7">
        <f t="shared" si="310"/>
        <v>6.041335453</v>
      </c>
      <c r="O136" s="7">
        <f t="shared" si="8"/>
        <v>4.777917059</v>
      </c>
      <c r="P136" s="6">
        <v>1164.0</v>
      </c>
      <c r="Q136" s="6">
        <v>1194.0</v>
      </c>
      <c r="R136" s="6">
        <v>1227.0</v>
      </c>
      <c r="S136" s="6">
        <v>49.0</v>
      </c>
      <c r="T136" s="6">
        <v>32.0</v>
      </c>
      <c r="U136" s="6">
        <v>44.0</v>
      </c>
      <c r="V136" s="7">
        <f t="shared" ref="V136:X136" si="311">(S136/P136)*100</f>
        <v>4.209621993</v>
      </c>
      <c r="W136" s="7">
        <f t="shared" si="311"/>
        <v>2.680067002</v>
      </c>
      <c r="X136" s="7">
        <f t="shared" si="311"/>
        <v>3.58598207</v>
      </c>
      <c r="Y136" s="7">
        <f t="shared" si="10"/>
        <v>3.444844497</v>
      </c>
    </row>
    <row r="137" ht="14.25" customHeight="1">
      <c r="A137" s="1" t="s">
        <v>33</v>
      </c>
      <c r="B137" s="1" t="s">
        <v>219</v>
      </c>
      <c r="C137" s="1" t="s">
        <v>221</v>
      </c>
      <c r="D137" s="1" t="s">
        <v>221</v>
      </c>
      <c r="E137" s="5">
        <v>30802.0</v>
      </c>
      <c r="F137" s="6">
        <v>191.0</v>
      </c>
      <c r="G137" s="6">
        <v>193.0</v>
      </c>
      <c r="H137" s="6">
        <v>203.0</v>
      </c>
      <c r="I137" s="6">
        <v>17.0</v>
      </c>
      <c r="J137" s="6">
        <v>16.0</v>
      </c>
      <c r="K137" s="6">
        <v>19.0</v>
      </c>
      <c r="L137" s="7">
        <f t="shared" ref="L137:N137" si="312">(I137/F137)*100</f>
        <v>8.90052356</v>
      </c>
      <c r="M137" s="7">
        <f t="shared" si="312"/>
        <v>8.29015544</v>
      </c>
      <c r="N137" s="7">
        <f t="shared" si="312"/>
        <v>9.359605911</v>
      </c>
      <c r="O137" s="7">
        <f t="shared" si="8"/>
        <v>8.850094971</v>
      </c>
      <c r="P137" s="6">
        <v>160.0</v>
      </c>
      <c r="Q137" s="6">
        <v>149.0</v>
      </c>
      <c r="R137" s="6">
        <v>157.0</v>
      </c>
      <c r="S137" s="6">
        <v>14.0</v>
      </c>
      <c r="T137" s="6">
        <v>13.0</v>
      </c>
      <c r="U137" s="6">
        <v>15.0</v>
      </c>
      <c r="V137" s="7">
        <f t="shared" ref="V137:X137" si="313">(S137/P137)*100</f>
        <v>8.75</v>
      </c>
      <c r="W137" s="7">
        <f t="shared" si="313"/>
        <v>8.724832215</v>
      </c>
      <c r="X137" s="7">
        <f t="shared" si="313"/>
        <v>9.554140127</v>
      </c>
      <c r="Y137" s="7">
        <f t="shared" si="10"/>
        <v>8.737416107</v>
      </c>
    </row>
    <row r="138" ht="14.25" customHeight="1">
      <c r="A138" s="1" t="s">
        <v>33</v>
      </c>
      <c r="B138" s="1" t="s">
        <v>219</v>
      </c>
      <c r="C138" s="1" t="s">
        <v>222</v>
      </c>
      <c r="D138" s="1" t="s">
        <v>222</v>
      </c>
      <c r="E138" s="5">
        <v>30803.0</v>
      </c>
      <c r="F138" s="6">
        <v>302.0</v>
      </c>
      <c r="G138" s="6">
        <v>347.0</v>
      </c>
      <c r="H138" s="6">
        <v>366.0</v>
      </c>
      <c r="I138" s="6">
        <v>5.0</v>
      </c>
      <c r="J138" s="6">
        <v>13.0</v>
      </c>
      <c r="K138" s="6">
        <v>10.0</v>
      </c>
      <c r="L138" s="7">
        <f t="shared" ref="L138:N138" si="314">(I138/F138)*100</f>
        <v>1.655629139</v>
      </c>
      <c r="M138" s="7">
        <f t="shared" si="314"/>
        <v>3.746397695</v>
      </c>
      <c r="N138" s="7">
        <f t="shared" si="314"/>
        <v>2.732240437</v>
      </c>
      <c r="O138" s="7">
        <f t="shared" si="8"/>
        <v>2.711422424</v>
      </c>
      <c r="P138" s="6">
        <v>313.0</v>
      </c>
      <c r="Q138" s="6">
        <v>308.0</v>
      </c>
      <c r="R138" s="6">
        <v>283.0</v>
      </c>
      <c r="S138" s="6">
        <v>12.0</v>
      </c>
      <c r="T138" s="6">
        <v>14.0</v>
      </c>
      <c r="U138" s="6">
        <v>11.0</v>
      </c>
      <c r="V138" s="7">
        <f t="shared" ref="V138:X138" si="315">(S138/P138)*100</f>
        <v>3.833865815</v>
      </c>
      <c r="W138" s="7">
        <f t="shared" si="315"/>
        <v>4.545454545</v>
      </c>
      <c r="X138" s="7">
        <f t="shared" si="315"/>
        <v>3.886925795</v>
      </c>
      <c r="Y138" s="7">
        <f t="shared" si="10"/>
        <v>4.18966018</v>
      </c>
    </row>
    <row r="139" ht="14.25" customHeight="1">
      <c r="A139" s="1" t="s">
        <v>33</v>
      </c>
      <c r="B139" s="1" t="s">
        <v>223</v>
      </c>
      <c r="C139" s="1" t="s">
        <v>223</v>
      </c>
      <c r="D139" s="1" t="s">
        <v>223</v>
      </c>
      <c r="E139" s="5">
        <v>30901.0</v>
      </c>
      <c r="F139" s="6">
        <v>9119.0</v>
      </c>
      <c r="G139" s="6">
        <v>9477.0</v>
      </c>
      <c r="H139" s="6">
        <v>9693.0</v>
      </c>
      <c r="I139" s="6">
        <v>395.0</v>
      </c>
      <c r="J139" s="6">
        <v>475.0</v>
      </c>
      <c r="K139" s="6">
        <v>449.0</v>
      </c>
      <c r="L139" s="7">
        <f t="shared" ref="L139:N139" si="316">(I139/F139)*100</f>
        <v>4.331615309</v>
      </c>
      <c r="M139" s="7">
        <f t="shared" si="316"/>
        <v>5.012134642</v>
      </c>
      <c r="N139" s="7">
        <f t="shared" si="316"/>
        <v>4.63220881</v>
      </c>
      <c r="O139" s="7">
        <f t="shared" si="8"/>
        <v>4.65865292</v>
      </c>
      <c r="P139" s="6">
        <v>10247.0</v>
      </c>
      <c r="Q139" s="6">
        <v>10441.0</v>
      </c>
      <c r="R139" s="6">
        <v>10518.0</v>
      </c>
      <c r="S139" s="6">
        <v>169.0</v>
      </c>
      <c r="T139" s="6">
        <v>171.0</v>
      </c>
      <c r="U139" s="6">
        <v>154.0</v>
      </c>
      <c r="V139" s="7">
        <f t="shared" ref="V139:X139" si="317">(S139/P139)*100</f>
        <v>1.649263199</v>
      </c>
      <c r="W139" s="7">
        <f t="shared" si="317"/>
        <v>1.63777416</v>
      </c>
      <c r="X139" s="7">
        <f t="shared" si="317"/>
        <v>1.464156684</v>
      </c>
      <c r="Y139" s="7">
        <f t="shared" si="10"/>
        <v>1.643518679</v>
      </c>
    </row>
    <row r="140" ht="14.25" customHeight="1">
      <c r="A140" s="1" t="s">
        <v>33</v>
      </c>
      <c r="B140" s="1" t="s">
        <v>223</v>
      </c>
      <c r="C140" s="1" t="s">
        <v>224</v>
      </c>
      <c r="D140" s="1" t="s">
        <v>224</v>
      </c>
      <c r="E140" s="5">
        <v>30902.0</v>
      </c>
      <c r="F140" s="6">
        <v>2154.0</v>
      </c>
      <c r="G140" s="6">
        <v>2296.0</v>
      </c>
      <c r="H140" s="6">
        <v>2381.0</v>
      </c>
      <c r="I140" s="6">
        <v>116.0</v>
      </c>
      <c r="J140" s="6">
        <v>92.0</v>
      </c>
      <c r="K140" s="6">
        <v>95.0</v>
      </c>
      <c r="L140" s="7">
        <f t="shared" ref="L140:N140" si="318">(I140/F140)*100</f>
        <v>5.385329619</v>
      </c>
      <c r="M140" s="7">
        <f t="shared" si="318"/>
        <v>4.006968641</v>
      </c>
      <c r="N140" s="7">
        <f t="shared" si="318"/>
        <v>3.989920202</v>
      </c>
      <c r="O140" s="7">
        <f t="shared" si="8"/>
        <v>4.460739487</v>
      </c>
      <c r="P140" s="6">
        <v>3193.0</v>
      </c>
      <c r="Q140" s="6">
        <v>3268.0</v>
      </c>
      <c r="R140" s="6">
        <v>3363.0</v>
      </c>
      <c r="S140" s="6">
        <v>81.0</v>
      </c>
      <c r="T140" s="6">
        <v>49.0</v>
      </c>
      <c r="U140" s="6">
        <v>80.0</v>
      </c>
      <c r="V140" s="7">
        <f t="shared" ref="V140:X140" si="319">(S140/P140)*100</f>
        <v>2.536799248</v>
      </c>
      <c r="W140" s="7">
        <f t="shared" si="319"/>
        <v>1.499388005</v>
      </c>
      <c r="X140" s="7">
        <f t="shared" si="319"/>
        <v>2.378828427</v>
      </c>
      <c r="Y140" s="7">
        <f t="shared" si="10"/>
        <v>2.018093627</v>
      </c>
    </row>
    <row r="141" ht="14.25" customHeight="1">
      <c r="A141" s="1" t="s">
        <v>33</v>
      </c>
      <c r="B141" s="1" t="s">
        <v>223</v>
      </c>
      <c r="C141" s="1" t="s">
        <v>225</v>
      </c>
      <c r="D141" s="1" t="s">
        <v>225</v>
      </c>
      <c r="E141" s="5">
        <v>30903.0</v>
      </c>
      <c r="F141" s="6">
        <v>3159.0</v>
      </c>
      <c r="G141" s="6">
        <v>3279.0</v>
      </c>
      <c r="H141" s="6">
        <v>3375.0</v>
      </c>
      <c r="I141" s="6">
        <v>151.0</v>
      </c>
      <c r="J141" s="6">
        <v>160.0</v>
      </c>
      <c r="K141" s="6">
        <v>102.0</v>
      </c>
      <c r="L141" s="7">
        <f t="shared" ref="L141:N141" si="320">(I141/F141)*100</f>
        <v>4.779993669</v>
      </c>
      <c r="M141" s="7">
        <f t="shared" si="320"/>
        <v>4.879536444</v>
      </c>
      <c r="N141" s="7">
        <f t="shared" si="320"/>
        <v>3.022222222</v>
      </c>
      <c r="O141" s="7">
        <f t="shared" si="8"/>
        <v>4.227250778</v>
      </c>
      <c r="P141" s="6">
        <v>3781.0</v>
      </c>
      <c r="Q141" s="6">
        <v>3797.0</v>
      </c>
      <c r="R141" s="6">
        <v>3823.0</v>
      </c>
      <c r="S141" s="6">
        <v>58.0</v>
      </c>
      <c r="T141" s="6">
        <v>54.0</v>
      </c>
      <c r="U141" s="6">
        <v>62.0</v>
      </c>
      <c r="V141" s="7">
        <f t="shared" ref="V141:X141" si="321">(S141/P141)*100</f>
        <v>1.533985718</v>
      </c>
      <c r="W141" s="7">
        <f t="shared" si="321"/>
        <v>1.422175402</v>
      </c>
      <c r="X141" s="7">
        <f t="shared" si="321"/>
        <v>1.621763013</v>
      </c>
      <c r="Y141" s="7">
        <f t="shared" si="10"/>
        <v>1.47808056</v>
      </c>
    </row>
    <row r="142" ht="14.25" customHeight="1">
      <c r="A142" s="1" t="s">
        <v>33</v>
      </c>
      <c r="B142" s="1" t="s">
        <v>223</v>
      </c>
      <c r="C142" s="1" t="s">
        <v>226</v>
      </c>
      <c r="D142" s="1" t="s">
        <v>226</v>
      </c>
      <c r="E142" s="5">
        <v>30904.0</v>
      </c>
      <c r="F142" s="6">
        <v>3105.0</v>
      </c>
      <c r="G142" s="6">
        <v>3330.0</v>
      </c>
      <c r="H142" s="6">
        <v>3466.0</v>
      </c>
      <c r="I142" s="6">
        <v>159.0</v>
      </c>
      <c r="J142" s="6">
        <v>178.0</v>
      </c>
      <c r="K142" s="6">
        <v>142.0</v>
      </c>
      <c r="L142" s="7">
        <f t="shared" ref="L142:N142" si="322">(I142/F142)*100</f>
        <v>5.120772947</v>
      </c>
      <c r="M142" s="7">
        <f t="shared" si="322"/>
        <v>5.345345345</v>
      </c>
      <c r="N142" s="7">
        <f t="shared" si="322"/>
        <v>4.09694172</v>
      </c>
      <c r="O142" s="7">
        <f t="shared" si="8"/>
        <v>4.854353337</v>
      </c>
      <c r="P142" s="6">
        <v>3855.0</v>
      </c>
      <c r="Q142" s="6">
        <v>3849.0</v>
      </c>
      <c r="R142" s="6">
        <v>3964.0</v>
      </c>
      <c r="S142" s="6">
        <v>51.0</v>
      </c>
      <c r="T142" s="6">
        <v>40.0</v>
      </c>
      <c r="U142" s="6">
        <v>84.0</v>
      </c>
      <c r="V142" s="7">
        <f t="shared" ref="V142:X142" si="323">(S142/P142)*100</f>
        <v>1.322957198</v>
      </c>
      <c r="W142" s="7">
        <f t="shared" si="323"/>
        <v>1.039230969</v>
      </c>
      <c r="X142" s="7">
        <f t="shared" si="323"/>
        <v>2.119071645</v>
      </c>
      <c r="Y142" s="7">
        <f t="shared" si="10"/>
        <v>1.181094084</v>
      </c>
    </row>
    <row r="143" ht="14.25" customHeight="1">
      <c r="A143" s="1" t="s">
        <v>33</v>
      </c>
      <c r="B143" s="1" t="s">
        <v>223</v>
      </c>
      <c r="C143" s="1" t="s">
        <v>227</v>
      </c>
      <c r="D143" s="1" t="s">
        <v>227</v>
      </c>
      <c r="E143" s="5">
        <v>30905.0</v>
      </c>
      <c r="F143" s="6">
        <v>2220.0</v>
      </c>
      <c r="G143" s="6">
        <v>2274.0</v>
      </c>
      <c r="H143" s="6">
        <v>2327.0</v>
      </c>
      <c r="I143" s="6">
        <v>68.0</v>
      </c>
      <c r="J143" s="6">
        <v>73.0</v>
      </c>
      <c r="K143" s="6">
        <v>51.0</v>
      </c>
      <c r="L143" s="7">
        <f t="shared" ref="L143:N143" si="324">(I143/F143)*100</f>
        <v>3.063063063</v>
      </c>
      <c r="M143" s="7">
        <f t="shared" si="324"/>
        <v>3.210202287</v>
      </c>
      <c r="N143" s="7">
        <f t="shared" si="324"/>
        <v>2.191663086</v>
      </c>
      <c r="O143" s="7">
        <f t="shared" si="8"/>
        <v>2.821642812</v>
      </c>
      <c r="P143" s="6">
        <v>2498.0</v>
      </c>
      <c r="Q143" s="6">
        <v>2573.0</v>
      </c>
      <c r="R143" s="6">
        <v>2629.0</v>
      </c>
      <c r="S143" s="6">
        <v>48.0</v>
      </c>
      <c r="T143" s="6">
        <v>30.0</v>
      </c>
      <c r="U143" s="6">
        <v>23.0</v>
      </c>
      <c r="V143" s="7">
        <f t="shared" ref="V143:X143" si="325">(S143/P143)*100</f>
        <v>1.92153723</v>
      </c>
      <c r="W143" s="7">
        <f t="shared" si="325"/>
        <v>1.165954139</v>
      </c>
      <c r="X143" s="7">
        <f t="shared" si="325"/>
        <v>0.8748573602</v>
      </c>
      <c r="Y143" s="7">
        <f t="shared" si="10"/>
        <v>1.543745684</v>
      </c>
    </row>
    <row r="144" ht="14.25" customHeight="1">
      <c r="A144" s="1" t="s">
        <v>33</v>
      </c>
      <c r="B144" s="1" t="s">
        <v>228</v>
      </c>
      <c r="C144" s="1" t="s">
        <v>229</v>
      </c>
      <c r="D144" s="1" t="s">
        <v>229</v>
      </c>
      <c r="E144" s="5">
        <v>31001.0</v>
      </c>
      <c r="F144" s="6">
        <v>6896.0</v>
      </c>
      <c r="G144" s="6">
        <v>7568.0</v>
      </c>
      <c r="H144" s="6">
        <v>7997.0</v>
      </c>
      <c r="I144" s="6">
        <v>340.0</v>
      </c>
      <c r="J144" s="6">
        <v>401.0</v>
      </c>
      <c r="K144" s="6">
        <v>383.0</v>
      </c>
      <c r="L144" s="7">
        <f t="shared" ref="L144:N144" si="326">(I144/F144)*100</f>
        <v>4.930394432</v>
      </c>
      <c r="M144" s="7">
        <f t="shared" si="326"/>
        <v>5.298625793</v>
      </c>
      <c r="N144" s="7">
        <f t="shared" si="326"/>
        <v>4.789295986</v>
      </c>
      <c r="O144" s="7">
        <f t="shared" si="8"/>
        <v>5.006105403</v>
      </c>
      <c r="P144" s="6">
        <v>9549.0</v>
      </c>
      <c r="Q144" s="6">
        <v>9840.0</v>
      </c>
      <c r="R144" s="6">
        <v>10033.0</v>
      </c>
      <c r="S144" s="6">
        <v>162.0</v>
      </c>
      <c r="T144" s="6">
        <v>159.0</v>
      </c>
      <c r="U144" s="6">
        <v>133.0</v>
      </c>
      <c r="V144" s="7">
        <f t="shared" ref="V144:X144" si="327">(S144/P144)*100</f>
        <v>1.696512724</v>
      </c>
      <c r="W144" s="7">
        <f t="shared" si="327"/>
        <v>1.615853659</v>
      </c>
      <c r="X144" s="7">
        <f t="shared" si="327"/>
        <v>1.325625436</v>
      </c>
      <c r="Y144" s="7">
        <f t="shared" si="10"/>
        <v>1.656183191</v>
      </c>
    </row>
    <row r="145" ht="14.25" customHeight="1">
      <c r="A145" s="1" t="s">
        <v>33</v>
      </c>
      <c r="B145" s="1" t="s">
        <v>228</v>
      </c>
      <c r="C145" s="1" t="s">
        <v>230</v>
      </c>
      <c r="D145" s="1" t="s">
        <v>230</v>
      </c>
      <c r="E145" s="5">
        <v>31002.0</v>
      </c>
      <c r="F145" s="6">
        <v>1184.0</v>
      </c>
      <c r="G145" s="6">
        <v>1266.0</v>
      </c>
      <c r="H145" s="6">
        <v>1300.0</v>
      </c>
      <c r="I145" s="6">
        <v>77.0</v>
      </c>
      <c r="J145" s="6">
        <v>120.0</v>
      </c>
      <c r="K145" s="6">
        <v>86.0</v>
      </c>
      <c r="L145" s="7">
        <f t="shared" ref="L145:N145" si="328">(I145/F145)*100</f>
        <v>6.503378378</v>
      </c>
      <c r="M145" s="7">
        <f t="shared" si="328"/>
        <v>9.478672986</v>
      </c>
      <c r="N145" s="7">
        <f t="shared" si="328"/>
        <v>6.615384615</v>
      </c>
      <c r="O145" s="7">
        <f t="shared" si="8"/>
        <v>7.53247866</v>
      </c>
      <c r="P145" s="6">
        <v>1283.0</v>
      </c>
      <c r="Q145" s="6">
        <v>1255.0</v>
      </c>
      <c r="R145" s="6">
        <v>1235.0</v>
      </c>
      <c r="S145" s="6">
        <v>48.0</v>
      </c>
      <c r="T145" s="6">
        <v>29.0</v>
      </c>
      <c r="U145" s="6">
        <v>30.0</v>
      </c>
      <c r="V145" s="7">
        <f t="shared" ref="V145:X145" si="329">(S145/P145)*100</f>
        <v>3.741231489</v>
      </c>
      <c r="W145" s="7">
        <f t="shared" si="329"/>
        <v>2.310756972</v>
      </c>
      <c r="X145" s="7">
        <f t="shared" si="329"/>
        <v>2.429149798</v>
      </c>
      <c r="Y145" s="7">
        <f t="shared" si="10"/>
        <v>3.02599423</v>
      </c>
    </row>
    <row r="146" ht="14.25" customHeight="1">
      <c r="A146" s="1" t="s">
        <v>33</v>
      </c>
      <c r="B146" s="1" t="s">
        <v>228</v>
      </c>
      <c r="C146" s="1" t="s">
        <v>231</v>
      </c>
      <c r="D146" s="1" t="s">
        <v>231</v>
      </c>
      <c r="E146" s="5">
        <v>31003.0</v>
      </c>
      <c r="F146" s="6">
        <v>3162.0</v>
      </c>
      <c r="G146" s="6">
        <v>3439.0</v>
      </c>
      <c r="H146" s="6">
        <v>3642.0</v>
      </c>
      <c r="I146" s="6">
        <v>249.0</v>
      </c>
      <c r="J146" s="6">
        <v>252.0</v>
      </c>
      <c r="K146" s="6">
        <v>263.0</v>
      </c>
      <c r="L146" s="7">
        <f t="shared" ref="L146:N146" si="330">(I146/F146)*100</f>
        <v>7.874762808</v>
      </c>
      <c r="M146" s="7">
        <f t="shared" si="330"/>
        <v>7.327711544</v>
      </c>
      <c r="N146" s="7">
        <f t="shared" si="330"/>
        <v>7.221306974</v>
      </c>
      <c r="O146" s="7">
        <f t="shared" si="8"/>
        <v>7.474593776</v>
      </c>
      <c r="P146" s="6">
        <v>5345.0</v>
      </c>
      <c r="Q146" s="6">
        <v>5555.0</v>
      </c>
      <c r="R146" s="6">
        <v>5836.0</v>
      </c>
      <c r="S146" s="6">
        <v>122.0</v>
      </c>
      <c r="T146" s="6">
        <v>136.0</v>
      </c>
      <c r="U146" s="6">
        <v>136.0</v>
      </c>
      <c r="V146" s="7">
        <f t="shared" ref="V146:X146" si="331">(S146/P146)*100</f>
        <v>2.282507016</v>
      </c>
      <c r="W146" s="7">
        <f t="shared" si="331"/>
        <v>2.448244824</v>
      </c>
      <c r="X146" s="7">
        <f t="shared" si="331"/>
        <v>2.330363263</v>
      </c>
      <c r="Y146" s="7">
        <f t="shared" si="10"/>
        <v>2.36537592</v>
      </c>
    </row>
    <row r="147" ht="14.25" customHeight="1">
      <c r="A147" s="1" t="s">
        <v>33</v>
      </c>
      <c r="B147" s="1" t="s">
        <v>232</v>
      </c>
      <c r="C147" s="1" t="s">
        <v>232</v>
      </c>
      <c r="D147" s="1" t="s">
        <v>232</v>
      </c>
      <c r="E147" s="5">
        <v>31101.0</v>
      </c>
      <c r="F147" s="6">
        <v>562.0</v>
      </c>
      <c r="G147" s="6">
        <v>589.0</v>
      </c>
      <c r="H147" s="6">
        <v>618.0</v>
      </c>
      <c r="I147" s="6">
        <v>84.0</v>
      </c>
      <c r="J147" s="6">
        <v>82.0</v>
      </c>
      <c r="K147" s="6">
        <v>104.0</v>
      </c>
      <c r="L147" s="7">
        <f t="shared" ref="L147:N147" si="332">(I147/F147)*100</f>
        <v>14.94661922</v>
      </c>
      <c r="M147" s="7">
        <f t="shared" si="332"/>
        <v>13.92190153</v>
      </c>
      <c r="N147" s="7">
        <f t="shared" si="332"/>
        <v>16.82847896</v>
      </c>
      <c r="O147" s="7">
        <f t="shared" si="8"/>
        <v>15.23233324</v>
      </c>
      <c r="P147" s="6">
        <v>730.0</v>
      </c>
      <c r="Q147" s="6">
        <v>717.0</v>
      </c>
      <c r="R147" s="6">
        <v>671.0</v>
      </c>
      <c r="S147" s="6">
        <v>48.0</v>
      </c>
      <c r="T147" s="6">
        <v>58.0</v>
      </c>
      <c r="U147" s="6">
        <v>41.0</v>
      </c>
      <c r="V147" s="7">
        <f t="shared" ref="V147:X147" si="333">(S147/P147)*100</f>
        <v>6.575342466</v>
      </c>
      <c r="W147" s="7">
        <f t="shared" si="333"/>
        <v>8.089260809</v>
      </c>
      <c r="X147" s="7">
        <f t="shared" si="333"/>
        <v>6.110283159</v>
      </c>
      <c r="Y147" s="7">
        <f t="shared" si="10"/>
        <v>7.332301637</v>
      </c>
    </row>
    <row r="148" ht="14.25" customHeight="1">
      <c r="A148" s="1" t="s">
        <v>33</v>
      </c>
      <c r="B148" s="1" t="s">
        <v>233</v>
      </c>
      <c r="C148" s="1" t="s">
        <v>234</v>
      </c>
      <c r="D148" s="1" t="s">
        <v>234</v>
      </c>
      <c r="E148" s="5">
        <v>31201.0</v>
      </c>
      <c r="F148" s="6">
        <v>394.0</v>
      </c>
      <c r="G148" s="6">
        <v>417.0</v>
      </c>
      <c r="H148" s="6">
        <v>463.0</v>
      </c>
      <c r="I148" s="6">
        <v>36.0</v>
      </c>
      <c r="J148" s="6">
        <v>36.0</v>
      </c>
      <c r="K148" s="6">
        <v>38.0</v>
      </c>
      <c r="L148" s="7">
        <f t="shared" ref="L148:N148" si="334">(I148/F148)*100</f>
        <v>9.137055838</v>
      </c>
      <c r="M148" s="7">
        <f t="shared" si="334"/>
        <v>8.633093525</v>
      </c>
      <c r="N148" s="7">
        <f t="shared" si="334"/>
        <v>8.207343413</v>
      </c>
      <c r="O148" s="7">
        <f t="shared" si="8"/>
        <v>8.659164258</v>
      </c>
      <c r="P148" s="6">
        <v>608.0</v>
      </c>
      <c r="Q148" s="6">
        <v>660.0</v>
      </c>
      <c r="R148" s="6">
        <v>646.0</v>
      </c>
      <c r="S148" s="6">
        <v>15.0</v>
      </c>
      <c r="T148" s="6">
        <v>50.0</v>
      </c>
      <c r="U148" s="6">
        <v>27.0</v>
      </c>
      <c r="V148" s="7">
        <f t="shared" ref="V148:X148" si="335">(S148/P148)*100</f>
        <v>2.467105263</v>
      </c>
      <c r="W148" s="7">
        <f t="shared" si="335"/>
        <v>7.575757576</v>
      </c>
      <c r="X148" s="7">
        <f t="shared" si="335"/>
        <v>4.179566563</v>
      </c>
      <c r="Y148" s="7">
        <f t="shared" si="10"/>
        <v>5.021431419</v>
      </c>
    </row>
    <row r="149" ht="14.25" customHeight="1">
      <c r="A149" s="1" t="s">
        <v>33</v>
      </c>
      <c r="B149" s="1" t="s">
        <v>233</v>
      </c>
      <c r="C149" s="1" t="s">
        <v>235</v>
      </c>
      <c r="D149" s="1" t="s">
        <v>235</v>
      </c>
      <c r="E149" s="5">
        <v>31202.0</v>
      </c>
      <c r="F149" s="6">
        <v>372.0</v>
      </c>
      <c r="G149" s="6">
        <v>388.0</v>
      </c>
      <c r="H149" s="6">
        <v>440.0</v>
      </c>
      <c r="I149" s="6">
        <v>28.0</v>
      </c>
      <c r="J149" s="6">
        <v>37.0</v>
      </c>
      <c r="K149" s="6">
        <v>42.0</v>
      </c>
      <c r="L149" s="7">
        <f t="shared" ref="L149:N149" si="336">(I149/F149)*100</f>
        <v>7.52688172</v>
      </c>
      <c r="M149" s="7">
        <f t="shared" si="336"/>
        <v>9.536082474</v>
      </c>
      <c r="N149" s="7">
        <f t="shared" si="336"/>
        <v>9.545454545</v>
      </c>
      <c r="O149" s="7">
        <f t="shared" si="8"/>
        <v>8.869472913</v>
      </c>
      <c r="P149" s="6">
        <v>603.0</v>
      </c>
      <c r="Q149" s="6">
        <v>612.0</v>
      </c>
      <c r="R149" s="6">
        <v>649.0</v>
      </c>
      <c r="S149" s="6">
        <v>20.0</v>
      </c>
      <c r="T149" s="6">
        <v>17.0</v>
      </c>
      <c r="U149" s="6">
        <v>33.0</v>
      </c>
      <c r="V149" s="7">
        <f t="shared" ref="V149:X149" si="337">(S149/P149)*100</f>
        <v>3.316749585</v>
      </c>
      <c r="W149" s="7">
        <f t="shared" si="337"/>
        <v>2.777777778</v>
      </c>
      <c r="X149" s="7">
        <f t="shared" si="337"/>
        <v>5.084745763</v>
      </c>
      <c r="Y149" s="7">
        <f t="shared" si="10"/>
        <v>3.047263682</v>
      </c>
    </row>
    <row r="150" ht="14.25" customHeight="1">
      <c r="A150" s="1" t="s">
        <v>33</v>
      </c>
      <c r="B150" s="1" t="s">
        <v>233</v>
      </c>
      <c r="C150" s="1" t="s">
        <v>236</v>
      </c>
      <c r="D150" s="1" t="s">
        <v>236</v>
      </c>
      <c r="E150" s="5">
        <v>31203.0</v>
      </c>
      <c r="F150" s="6">
        <v>417.0</v>
      </c>
      <c r="G150" s="6">
        <v>458.0</v>
      </c>
      <c r="H150" s="6">
        <v>479.0</v>
      </c>
      <c r="I150" s="6">
        <v>48.0</v>
      </c>
      <c r="J150" s="6">
        <v>54.0</v>
      </c>
      <c r="K150" s="6">
        <v>41.0</v>
      </c>
      <c r="L150" s="7">
        <f t="shared" ref="L150:N150" si="338">(I150/F150)*100</f>
        <v>11.51079137</v>
      </c>
      <c r="M150" s="7">
        <f t="shared" si="338"/>
        <v>11.79039301</v>
      </c>
      <c r="N150" s="7">
        <f t="shared" si="338"/>
        <v>8.559498956</v>
      </c>
      <c r="O150" s="7">
        <f t="shared" si="8"/>
        <v>10.62022778</v>
      </c>
      <c r="P150" s="6">
        <v>534.0</v>
      </c>
      <c r="Q150" s="6">
        <v>539.0</v>
      </c>
      <c r="R150" s="6">
        <v>522.0</v>
      </c>
      <c r="S150" s="6">
        <v>15.0</v>
      </c>
      <c r="T150" s="6">
        <v>14.0</v>
      </c>
      <c r="U150" s="6">
        <v>15.0</v>
      </c>
      <c r="V150" s="7">
        <f t="shared" ref="V150:X150" si="339">(S150/P150)*100</f>
        <v>2.808988764</v>
      </c>
      <c r="W150" s="7">
        <f t="shared" si="339"/>
        <v>2.597402597</v>
      </c>
      <c r="X150" s="7">
        <f t="shared" si="339"/>
        <v>2.873563218</v>
      </c>
      <c r="Y150" s="7">
        <f t="shared" si="10"/>
        <v>2.703195681</v>
      </c>
    </row>
    <row r="151" ht="14.25" customHeight="1">
      <c r="A151" s="1" t="s">
        <v>33</v>
      </c>
      <c r="B151" s="1" t="s">
        <v>233</v>
      </c>
      <c r="C151" s="1" t="s">
        <v>237</v>
      </c>
      <c r="D151" s="1" t="s">
        <v>237</v>
      </c>
      <c r="E151" s="5">
        <v>31204.0</v>
      </c>
      <c r="F151" s="6">
        <v>1004.0</v>
      </c>
      <c r="G151" s="6">
        <v>1062.0</v>
      </c>
      <c r="H151" s="6">
        <v>1070.0</v>
      </c>
      <c r="I151" s="6">
        <v>70.0</v>
      </c>
      <c r="J151" s="6">
        <v>61.0</v>
      </c>
      <c r="K151" s="6">
        <v>76.0</v>
      </c>
      <c r="L151" s="7">
        <f t="shared" ref="L151:N151" si="340">(I151/F151)*100</f>
        <v>6.972111554</v>
      </c>
      <c r="M151" s="7">
        <f t="shared" si="340"/>
        <v>5.743879473</v>
      </c>
      <c r="N151" s="7">
        <f t="shared" si="340"/>
        <v>7.102803738</v>
      </c>
      <c r="O151" s="7">
        <f t="shared" si="8"/>
        <v>6.606264922</v>
      </c>
      <c r="P151" s="6">
        <v>1658.0</v>
      </c>
      <c r="Q151" s="6">
        <v>1683.0</v>
      </c>
      <c r="R151" s="6">
        <v>1695.0</v>
      </c>
      <c r="S151" s="6">
        <v>33.0</v>
      </c>
      <c r="T151" s="6">
        <v>34.0</v>
      </c>
      <c r="U151" s="6">
        <v>41.0</v>
      </c>
      <c r="V151" s="7">
        <f t="shared" ref="V151:X151" si="341">(S151/P151)*100</f>
        <v>1.990349819</v>
      </c>
      <c r="W151" s="7">
        <f t="shared" si="341"/>
        <v>2.02020202</v>
      </c>
      <c r="X151" s="7">
        <f t="shared" si="341"/>
        <v>2.418879056</v>
      </c>
      <c r="Y151" s="7">
        <f t="shared" si="10"/>
        <v>2.00527592</v>
      </c>
    </row>
    <row r="152" ht="14.25" customHeight="1">
      <c r="A152" s="1" t="s">
        <v>33</v>
      </c>
      <c r="B152" s="1" t="s">
        <v>233</v>
      </c>
      <c r="C152" s="1" t="s">
        <v>238</v>
      </c>
      <c r="D152" s="1" t="s">
        <v>238</v>
      </c>
      <c r="E152" s="5">
        <v>31205.0</v>
      </c>
      <c r="F152" s="6">
        <v>2763.0</v>
      </c>
      <c r="G152" s="6">
        <v>2956.0</v>
      </c>
      <c r="H152" s="6">
        <v>3129.0</v>
      </c>
      <c r="I152" s="6">
        <v>135.0</v>
      </c>
      <c r="J152" s="6">
        <v>117.0</v>
      </c>
      <c r="K152" s="6">
        <v>140.0</v>
      </c>
      <c r="L152" s="7">
        <f t="shared" ref="L152:N152" si="342">(I152/F152)*100</f>
        <v>4.885993485</v>
      </c>
      <c r="M152" s="7">
        <f t="shared" si="342"/>
        <v>3.958051421</v>
      </c>
      <c r="N152" s="7">
        <f t="shared" si="342"/>
        <v>4.474272931</v>
      </c>
      <c r="O152" s="7">
        <f t="shared" si="8"/>
        <v>4.439439279</v>
      </c>
      <c r="P152" s="6">
        <v>3750.0</v>
      </c>
      <c r="Q152" s="6">
        <v>3803.0</v>
      </c>
      <c r="R152" s="6">
        <v>4002.0</v>
      </c>
      <c r="S152" s="6">
        <v>99.0</v>
      </c>
      <c r="T152" s="6">
        <v>69.0</v>
      </c>
      <c r="U152" s="6">
        <v>131.0</v>
      </c>
      <c r="V152" s="7">
        <f t="shared" ref="V152:X152" si="343">(S152/P152)*100</f>
        <v>2.64</v>
      </c>
      <c r="W152" s="7">
        <f t="shared" si="343"/>
        <v>1.814357087</v>
      </c>
      <c r="X152" s="7">
        <f t="shared" si="343"/>
        <v>3.273363318</v>
      </c>
      <c r="Y152" s="7">
        <f t="shared" si="10"/>
        <v>2.227178543</v>
      </c>
    </row>
    <row r="153" ht="14.25" customHeight="1">
      <c r="A153" s="1" t="s">
        <v>33</v>
      </c>
      <c r="B153" s="1" t="s">
        <v>233</v>
      </c>
      <c r="C153" s="1" t="s">
        <v>239</v>
      </c>
      <c r="D153" s="1" t="s">
        <v>239</v>
      </c>
      <c r="E153" s="5">
        <v>31206.0</v>
      </c>
      <c r="F153" s="6">
        <v>1751.0</v>
      </c>
      <c r="G153" s="6">
        <v>1924.0</v>
      </c>
      <c r="H153" s="6">
        <v>2015.0</v>
      </c>
      <c r="I153" s="6">
        <v>109.0</v>
      </c>
      <c r="J153" s="6">
        <v>79.0</v>
      </c>
      <c r="K153" s="6">
        <v>92.0</v>
      </c>
      <c r="L153" s="7">
        <f t="shared" ref="L153:N153" si="344">(I153/F153)*100</f>
        <v>6.225014278</v>
      </c>
      <c r="M153" s="7">
        <f t="shared" si="344"/>
        <v>4.106029106</v>
      </c>
      <c r="N153" s="7">
        <f t="shared" si="344"/>
        <v>4.565756824</v>
      </c>
      <c r="O153" s="7">
        <f t="shared" si="8"/>
        <v>4.965600069</v>
      </c>
      <c r="P153" s="6">
        <v>2674.0</v>
      </c>
      <c r="Q153" s="6">
        <v>2755.0</v>
      </c>
      <c r="R153" s="6">
        <v>2826.0</v>
      </c>
      <c r="S153" s="6">
        <v>74.0</v>
      </c>
      <c r="T153" s="6">
        <v>72.0</v>
      </c>
      <c r="U153" s="6">
        <v>74.0</v>
      </c>
      <c r="V153" s="7">
        <f t="shared" ref="V153:X153" si="345">(S153/P153)*100</f>
        <v>2.767389678</v>
      </c>
      <c r="W153" s="7">
        <f t="shared" si="345"/>
        <v>2.613430127</v>
      </c>
      <c r="X153" s="7">
        <f t="shared" si="345"/>
        <v>2.618542109</v>
      </c>
      <c r="Y153" s="7">
        <f t="shared" si="10"/>
        <v>2.690409903</v>
      </c>
    </row>
    <row r="154" ht="14.25" customHeight="1">
      <c r="A154" s="1" t="s">
        <v>33</v>
      </c>
      <c r="B154" s="1" t="s">
        <v>240</v>
      </c>
      <c r="C154" s="1" t="s">
        <v>240</v>
      </c>
      <c r="D154" s="1" t="s">
        <v>240</v>
      </c>
      <c r="E154" s="5">
        <v>31301.0</v>
      </c>
      <c r="F154" s="6">
        <v>993.0</v>
      </c>
      <c r="G154" s="6">
        <v>1046.0</v>
      </c>
      <c r="H154" s="6">
        <v>1073.0</v>
      </c>
      <c r="I154" s="6">
        <v>91.0</v>
      </c>
      <c r="J154" s="6">
        <v>137.0</v>
      </c>
      <c r="K154" s="6">
        <v>129.0</v>
      </c>
      <c r="L154" s="7">
        <f t="shared" ref="L154:N154" si="346">(I154/F154)*100</f>
        <v>9.164149043</v>
      </c>
      <c r="M154" s="7">
        <f t="shared" si="346"/>
        <v>13.09751434</v>
      </c>
      <c r="N154" s="7">
        <f t="shared" si="346"/>
        <v>12.02236719</v>
      </c>
      <c r="O154" s="7">
        <f t="shared" si="8"/>
        <v>11.42801019</v>
      </c>
      <c r="P154" s="6">
        <v>1483.0</v>
      </c>
      <c r="Q154" s="6">
        <v>1471.0</v>
      </c>
      <c r="R154" s="6">
        <v>1492.0</v>
      </c>
      <c r="S154" s="6">
        <v>73.0</v>
      </c>
      <c r="T154" s="6">
        <v>55.0</v>
      </c>
      <c r="U154" s="6">
        <v>101.0</v>
      </c>
      <c r="V154" s="7">
        <f t="shared" ref="V154:X154" si="347">(S154/P154)*100</f>
        <v>4.922454484</v>
      </c>
      <c r="W154" s="7">
        <f t="shared" si="347"/>
        <v>3.738953093</v>
      </c>
      <c r="X154" s="7">
        <f t="shared" si="347"/>
        <v>6.769436997</v>
      </c>
      <c r="Y154" s="7">
        <f t="shared" si="10"/>
        <v>4.330703789</v>
      </c>
    </row>
    <row r="155" ht="14.25" customHeight="1">
      <c r="A155" s="1" t="s">
        <v>33</v>
      </c>
      <c r="B155" s="1" t="s">
        <v>240</v>
      </c>
      <c r="C155" s="1" t="s">
        <v>241</v>
      </c>
      <c r="D155" s="1" t="s">
        <v>241</v>
      </c>
      <c r="E155" s="5">
        <v>31302.0</v>
      </c>
      <c r="F155" s="6">
        <v>97.0</v>
      </c>
      <c r="G155" s="6">
        <v>110.0</v>
      </c>
      <c r="H155" s="6">
        <v>109.0</v>
      </c>
      <c r="I155" s="6">
        <v>23.0</v>
      </c>
      <c r="J155" s="6">
        <v>10.0</v>
      </c>
      <c r="K155" s="6">
        <v>6.0</v>
      </c>
      <c r="L155" s="7">
        <f t="shared" ref="L155:N155" si="348">(I155/F155)*100</f>
        <v>23.71134021</v>
      </c>
      <c r="M155" s="7">
        <f t="shared" si="348"/>
        <v>9.090909091</v>
      </c>
      <c r="N155" s="7">
        <f t="shared" si="348"/>
        <v>5.504587156</v>
      </c>
      <c r="O155" s="7">
        <f t="shared" si="8"/>
        <v>12.76894548</v>
      </c>
      <c r="P155" s="6">
        <v>151.0</v>
      </c>
      <c r="Q155" s="6">
        <v>162.0</v>
      </c>
      <c r="R155" s="6">
        <v>171.0</v>
      </c>
      <c r="S155" s="6">
        <v>5.0</v>
      </c>
      <c r="T155" s="6">
        <v>15.0</v>
      </c>
      <c r="U155" s="6">
        <v>6.0</v>
      </c>
      <c r="V155" s="7">
        <f t="shared" ref="V155:X155" si="349">(S155/P155)*100</f>
        <v>3.311258278</v>
      </c>
      <c r="W155" s="7">
        <f t="shared" si="349"/>
        <v>9.259259259</v>
      </c>
      <c r="X155" s="7">
        <f t="shared" si="349"/>
        <v>3.50877193</v>
      </c>
      <c r="Y155" s="7">
        <f t="shared" si="10"/>
        <v>6.285258769</v>
      </c>
    </row>
    <row r="156" ht="14.25" customHeight="1">
      <c r="A156" s="1" t="s">
        <v>33</v>
      </c>
      <c r="B156" s="1" t="s">
        <v>240</v>
      </c>
      <c r="C156" s="1" t="s">
        <v>242</v>
      </c>
      <c r="D156" s="1" t="s">
        <v>242</v>
      </c>
      <c r="E156" s="5">
        <v>31303.0</v>
      </c>
      <c r="F156" s="6">
        <v>53.0</v>
      </c>
      <c r="G156" s="6">
        <v>57.0</v>
      </c>
      <c r="H156" s="6">
        <v>55.0</v>
      </c>
      <c r="I156" s="6">
        <v>15.0</v>
      </c>
      <c r="J156" s="6">
        <v>14.0</v>
      </c>
      <c r="K156" s="6">
        <v>8.0</v>
      </c>
      <c r="L156" s="7">
        <f t="shared" ref="L156:N156" si="350">(I156/F156)*100</f>
        <v>28.30188679</v>
      </c>
      <c r="M156" s="7">
        <f t="shared" si="350"/>
        <v>24.56140351</v>
      </c>
      <c r="N156" s="7">
        <f t="shared" si="350"/>
        <v>14.54545455</v>
      </c>
      <c r="O156" s="7">
        <f t="shared" si="8"/>
        <v>22.46958162</v>
      </c>
      <c r="P156" s="6">
        <v>48.0</v>
      </c>
      <c r="Q156" s="6">
        <v>42.0</v>
      </c>
      <c r="R156" s="6">
        <v>38.0</v>
      </c>
      <c r="S156" s="6">
        <v>4.0</v>
      </c>
      <c r="T156" s="6">
        <v>3.0</v>
      </c>
      <c r="U156" s="6">
        <v>3.0</v>
      </c>
      <c r="V156" s="7">
        <f t="shared" ref="V156:X156" si="351">(S156/P156)*100</f>
        <v>8.333333333</v>
      </c>
      <c r="W156" s="7">
        <f t="shared" si="351"/>
        <v>7.142857143</v>
      </c>
      <c r="X156" s="7">
        <f t="shared" si="351"/>
        <v>7.894736842</v>
      </c>
      <c r="Y156" s="7">
        <f t="shared" si="10"/>
        <v>7.738095238</v>
      </c>
    </row>
    <row r="157" ht="14.25" customHeight="1">
      <c r="A157" s="1" t="s">
        <v>33</v>
      </c>
      <c r="B157" s="1" t="s">
        <v>240</v>
      </c>
      <c r="C157" s="1" t="s">
        <v>243</v>
      </c>
      <c r="D157" s="1" t="s">
        <v>244</v>
      </c>
      <c r="E157" s="5">
        <v>31304.0</v>
      </c>
      <c r="F157" s="6">
        <v>993.0</v>
      </c>
      <c r="G157" s="6">
        <v>1046.0</v>
      </c>
      <c r="H157" s="6">
        <v>1073.0</v>
      </c>
      <c r="I157" s="6">
        <v>91.0</v>
      </c>
      <c r="J157" s="6">
        <v>137.0</v>
      </c>
      <c r="K157" s="6">
        <v>129.0</v>
      </c>
      <c r="L157" s="7">
        <f t="shared" ref="L157:N157" si="352">(I157/F157)*100</f>
        <v>9.164149043</v>
      </c>
      <c r="M157" s="7">
        <f t="shared" si="352"/>
        <v>13.09751434</v>
      </c>
      <c r="N157" s="7">
        <f t="shared" si="352"/>
        <v>12.02236719</v>
      </c>
      <c r="O157" s="7">
        <f t="shared" si="8"/>
        <v>11.42801019</v>
      </c>
      <c r="P157" s="6">
        <v>1483.0</v>
      </c>
      <c r="Q157" s="6">
        <v>1471.0</v>
      </c>
      <c r="R157" s="6"/>
      <c r="S157" s="6">
        <v>73.0</v>
      </c>
      <c r="T157" s="6">
        <v>55.0</v>
      </c>
      <c r="U157" s="6"/>
      <c r="V157" s="7">
        <f t="shared" ref="V157:W157" si="353">(S157/P157)*100</f>
        <v>4.922454484</v>
      </c>
      <c r="W157" s="7">
        <f t="shared" si="353"/>
        <v>3.738953093</v>
      </c>
      <c r="X157" s="7"/>
      <c r="Y157" s="7">
        <f t="shared" si="10"/>
        <v>4.330703789</v>
      </c>
    </row>
    <row r="158" ht="14.25" customHeight="1">
      <c r="A158" s="1" t="s">
        <v>33</v>
      </c>
      <c r="B158" s="1" t="s">
        <v>245</v>
      </c>
      <c r="C158" s="1" t="s">
        <v>245</v>
      </c>
      <c r="D158" s="1" t="s">
        <v>246</v>
      </c>
      <c r="E158" s="5">
        <v>31401.0</v>
      </c>
      <c r="F158" s="6">
        <v>2211.0</v>
      </c>
      <c r="G158" s="6">
        <v>2244.0</v>
      </c>
      <c r="H158" s="6">
        <v>2260.0</v>
      </c>
      <c r="I158" s="6">
        <v>118.0</v>
      </c>
      <c r="J158" s="6">
        <v>102.0</v>
      </c>
      <c r="K158" s="6">
        <v>102.0</v>
      </c>
      <c r="L158" s="7">
        <f t="shared" ref="L158:N158" si="354">(I158/F158)*100</f>
        <v>5.336951606</v>
      </c>
      <c r="M158" s="7">
        <f t="shared" si="354"/>
        <v>4.545454545</v>
      </c>
      <c r="N158" s="7">
        <f t="shared" si="354"/>
        <v>4.513274336</v>
      </c>
      <c r="O158" s="7">
        <f t="shared" si="8"/>
        <v>4.798560162</v>
      </c>
      <c r="P158" s="6">
        <v>2130.0</v>
      </c>
      <c r="Q158" s="6">
        <v>2238.0</v>
      </c>
      <c r="R158" s="6">
        <v>2240.0</v>
      </c>
      <c r="S158" s="6">
        <v>53.0</v>
      </c>
      <c r="T158" s="6">
        <v>47.0</v>
      </c>
      <c r="U158" s="6">
        <v>64.0</v>
      </c>
      <c r="V158" s="7">
        <f t="shared" ref="V158:X158" si="355">(S158/P158)*100</f>
        <v>2.488262911</v>
      </c>
      <c r="W158" s="7">
        <f t="shared" si="355"/>
        <v>2.100089366</v>
      </c>
      <c r="X158" s="7">
        <f t="shared" si="355"/>
        <v>2.857142857</v>
      </c>
      <c r="Y158" s="7">
        <f t="shared" si="10"/>
        <v>2.294176138</v>
      </c>
    </row>
    <row r="159" ht="14.25" customHeight="1">
      <c r="A159" s="1" t="s">
        <v>33</v>
      </c>
      <c r="B159" s="1" t="s">
        <v>245</v>
      </c>
      <c r="C159" s="1" t="s">
        <v>247</v>
      </c>
      <c r="D159" s="1" t="s">
        <v>247</v>
      </c>
      <c r="E159" s="5">
        <v>31402.0</v>
      </c>
      <c r="F159" s="6">
        <v>443.0</v>
      </c>
      <c r="G159" s="6">
        <v>443.0</v>
      </c>
      <c r="H159" s="6">
        <v>465.0</v>
      </c>
      <c r="I159" s="6">
        <v>24.0</v>
      </c>
      <c r="J159" s="6">
        <v>33.0</v>
      </c>
      <c r="K159" s="6">
        <v>48.0</v>
      </c>
      <c r="L159" s="7">
        <f t="shared" ref="L159:N159" si="356">(I159/F159)*100</f>
        <v>5.417607223</v>
      </c>
      <c r="M159" s="7">
        <f t="shared" si="356"/>
        <v>7.449209932</v>
      </c>
      <c r="N159" s="7">
        <f t="shared" si="356"/>
        <v>10.32258065</v>
      </c>
      <c r="O159" s="7">
        <f t="shared" si="8"/>
        <v>7.729799267</v>
      </c>
      <c r="P159" s="6">
        <v>375.0</v>
      </c>
      <c r="Q159" s="6">
        <v>390.0</v>
      </c>
      <c r="R159" s="6">
        <v>361.0</v>
      </c>
      <c r="S159" s="6">
        <v>18.0</v>
      </c>
      <c r="T159" s="6">
        <v>15.0</v>
      </c>
      <c r="U159" s="6">
        <v>17.0</v>
      </c>
      <c r="V159" s="7">
        <f t="shared" ref="V159:X159" si="357">(S159/P159)*100</f>
        <v>4.8</v>
      </c>
      <c r="W159" s="7">
        <f t="shared" si="357"/>
        <v>3.846153846</v>
      </c>
      <c r="X159" s="7">
        <f t="shared" si="357"/>
        <v>4.709141274</v>
      </c>
      <c r="Y159" s="7">
        <f t="shared" si="10"/>
        <v>4.323076923</v>
      </c>
    </row>
    <row r="160" ht="14.25" customHeight="1">
      <c r="A160" s="1" t="s">
        <v>33</v>
      </c>
      <c r="B160" s="1" t="s">
        <v>245</v>
      </c>
      <c r="C160" s="1" t="s">
        <v>248</v>
      </c>
      <c r="D160" s="1" t="s">
        <v>249</v>
      </c>
      <c r="E160" s="5">
        <v>31403.0</v>
      </c>
      <c r="F160" s="6">
        <v>618.0</v>
      </c>
      <c r="G160" s="6">
        <v>641.0</v>
      </c>
      <c r="H160" s="6">
        <v>660.0</v>
      </c>
      <c r="I160" s="6">
        <v>38.0</v>
      </c>
      <c r="J160" s="6">
        <v>32.0</v>
      </c>
      <c r="K160" s="6">
        <v>33.0</v>
      </c>
      <c r="L160" s="7">
        <f t="shared" ref="L160:N160" si="358">(I160/F160)*100</f>
        <v>6.148867314</v>
      </c>
      <c r="M160" s="7">
        <f t="shared" si="358"/>
        <v>4.992199688</v>
      </c>
      <c r="N160" s="7">
        <f t="shared" si="358"/>
        <v>5</v>
      </c>
      <c r="O160" s="7">
        <f t="shared" si="8"/>
        <v>5.380355667</v>
      </c>
      <c r="P160" s="6">
        <v>611.0</v>
      </c>
      <c r="Q160" s="6">
        <v>626.0</v>
      </c>
      <c r="R160" s="6">
        <v>609.0</v>
      </c>
      <c r="S160" s="6">
        <v>8.0</v>
      </c>
      <c r="T160" s="6">
        <v>11.0</v>
      </c>
      <c r="U160" s="6">
        <v>9.0</v>
      </c>
      <c r="V160" s="7">
        <f t="shared" ref="V160:X160" si="359">(S160/P160)*100</f>
        <v>1.309328969</v>
      </c>
      <c r="W160" s="7">
        <f t="shared" si="359"/>
        <v>1.757188498</v>
      </c>
      <c r="X160" s="7">
        <f t="shared" si="359"/>
        <v>1.477832512</v>
      </c>
      <c r="Y160" s="7">
        <f t="shared" si="10"/>
        <v>1.533258734</v>
      </c>
    </row>
    <row r="161" ht="14.25" customHeight="1">
      <c r="A161" s="1" t="s">
        <v>33</v>
      </c>
      <c r="B161" s="1" t="s">
        <v>245</v>
      </c>
      <c r="C161" s="1" t="s">
        <v>250</v>
      </c>
      <c r="D161" s="1" t="s">
        <v>250</v>
      </c>
      <c r="E161" s="5">
        <v>31404.0</v>
      </c>
      <c r="F161" s="10"/>
      <c r="G161" s="10"/>
      <c r="H161" s="10"/>
      <c r="I161" s="11">
        <v>0.0</v>
      </c>
      <c r="J161" s="11">
        <v>0.0</v>
      </c>
      <c r="K161" s="11">
        <v>1.0</v>
      </c>
      <c r="L161" s="7"/>
      <c r="M161" s="7"/>
      <c r="N161" s="7"/>
      <c r="O161" s="7"/>
      <c r="P161" s="1"/>
      <c r="Q161" s="1"/>
      <c r="R161" s="1"/>
      <c r="S161" s="1"/>
      <c r="T161" s="1"/>
      <c r="U161" s="1"/>
      <c r="V161" s="7"/>
      <c r="W161" s="7"/>
      <c r="X161" s="7"/>
      <c r="Y161" s="7"/>
    </row>
    <row r="162" ht="14.25" customHeight="1">
      <c r="A162" s="1" t="s">
        <v>33</v>
      </c>
      <c r="B162" s="1" t="s">
        <v>245</v>
      </c>
      <c r="C162" s="1" t="s">
        <v>251</v>
      </c>
      <c r="D162" s="1" t="s">
        <v>251</v>
      </c>
      <c r="E162" s="5">
        <v>31405.0</v>
      </c>
      <c r="F162" s="6">
        <v>5.0</v>
      </c>
      <c r="G162" s="6">
        <v>9.0</v>
      </c>
      <c r="H162" s="6">
        <v>8.0</v>
      </c>
      <c r="I162" s="6">
        <v>7.0</v>
      </c>
      <c r="J162" s="6">
        <v>5.0</v>
      </c>
      <c r="K162" s="6">
        <v>3.0</v>
      </c>
      <c r="L162" s="7">
        <f t="shared" ref="L162:N162" si="360">(I162/F162)*100</f>
        <v>140</v>
      </c>
      <c r="M162" s="7">
        <f t="shared" si="360"/>
        <v>55.55555556</v>
      </c>
      <c r="N162" s="7">
        <f t="shared" si="360"/>
        <v>37.5</v>
      </c>
      <c r="O162" s="7">
        <f t="shared" ref="O162:O177" si="362">AVERAGE(L162:N162)</f>
        <v>77.68518519</v>
      </c>
      <c r="P162" s="1"/>
      <c r="Q162" s="1"/>
      <c r="R162" s="1">
        <v>7.0</v>
      </c>
      <c r="S162" s="1"/>
      <c r="T162" s="1"/>
      <c r="U162" s="1"/>
      <c r="V162" s="7"/>
      <c r="W162" s="7"/>
      <c r="X162" s="7">
        <f>(U162/R162)*100</f>
        <v>0</v>
      </c>
      <c r="Y162" s="7"/>
    </row>
    <row r="163" ht="14.25" customHeight="1">
      <c r="A163" s="1" t="s">
        <v>33</v>
      </c>
      <c r="B163" s="1" t="s">
        <v>252</v>
      </c>
      <c r="C163" s="1" t="s">
        <v>253</v>
      </c>
      <c r="D163" s="1" t="s">
        <v>252</v>
      </c>
      <c r="E163" s="5">
        <v>31501.0</v>
      </c>
      <c r="F163" s="6">
        <v>161.0</v>
      </c>
      <c r="G163" s="6">
        <v>147.0</v>
      </c>
      <c r="H163" s="6">
        <v>149.0</v>
      </c>
      <c r="I163" s="6">
        <v>35.0</v>
      </c>
      <c r="J163" s="6">
        <v>26.0</v>
      </c>
      <c r="K163" s="6">
        <v>28.0</v>
      </c>
      <c r="L163" s="7">
        <f t="shared" ref="L163:N163" si="361">(I163/F163)*100</f>
        <v>21.73913043</v>
      </c>
      <c r="M163" s="7">
        <f t="shared" si="361"/>
        <v>17.68707483</v>
      </c>
      <c r="N163" s="7">
        <f t="shared" si="361"/>
        <v>18.79194631</v>
      </c>
      <c r="O163" s="7">
        <f t="shared" si="362"/>
        <v>19.40605052</v>
      </c>
      <c r="P163" s="6">
        <v>184.0</v>
      </c>
      <c r="Q163" s="6">
        <v>171.0</v>
      </c>
      <c r="R163" s="6">
        <v>163.0</v>
      </c>
      <c r="S163" s="6">
        <v>8.0</v>
      </c>
      <c r="T163" s="6">
        <v>6.0</v>
      </c>
      <c r="U163" s="6">
        <v>12.0</v>
      </c>
      <c r="V163" s="7">
        <f t="shared" ref="V163:X163" si="363">(S163/P163)*100</f>
        <v>4.347826087</v>
      </c>
      <c r="W163" s="7">
        <f t="shared" si="363"/>
        <v>3.50877193</v>
      </c>
      <c r="X163" s="7">
        <f t="shared" si="363"/>
        <v>7.36196319</v>
      </c>
      <c r="Y163" s="7">
        <f t="shared" ref="Y163:Y177" si="366">AVERAGE(V163:W163)</f>
        <v>3.928299008</v>
      </c>
    </row>
    <row r="164" ht="14.25" customHeight="1">
      <c r="A164" s="1" t="s">
        <v>33</v>
      </c>
      <c r="B164" s="1" t="s">
        <v>254</v>
      </c>
      <c r="C164" s="1" t="s">
        <v>254</v>
      </c>
      <c r="D164" s="1" t="s">
        <v>254</v>
      </c>
      <c r="E164" s="5">
        <v>31601.0</v>
      </c>
      <c r="F164" s="6">
        <v>2132.0</v>
      </c>
      <c r="G164" s="6">
        <v>2276.0</v>
      </c>
      <c r="H164" s="6">
        <v>1159.0</v>
      </c>
      <c r="I164" s="6">
        <v>152.0</v>
      </c>
      <c r="J164" s="6">
        <v>142.0</v>
      </c>
      <c r="K164" s="6">
        <v>69.0</v>
      </c>
      <c r="L164" s="7">
        <f t="shared" ref="L164:N164" si="364">(I164/F164)*100</f>
        <v>7.12945591</v>
      </c>
      <c r="M164" s="7">
        <f t="shared" si="364"/>
        <v>6.239015817</v>
      </c>
      <c r="N164" s="7">
        <f t="shared" si="364"/>
        <v>5.95340811</v>
      </c>
      <c r="O164" s="7">
        <f t="shared" si="362"/>
        <v>6.440626613</v>
      </c>
      <c r="P164" s="1">
        <v>1079.0</v>
      </c>
      <c r="Q164" s="1">
        <v>1064.0</v>
      </c>
      <c r="R164" s="1">
        <v>1053.0</v>
      </c>
      <c r="S164" s="1">
        <v>41.0</v>
      </c>
      <c r="T164" s="1">
        <v>33.0</v>
      </c>
      <c r="U164" s="1">
        <v>35.0</v>
      </c>
      <c r="V164" s="7">
        <f t="shared" ref="V164:X164" si="365">(S164/P164)*100</f>
        <v>3.799814643</v>
      </c>
      <c r="W164" s="7">
        <f t="shared" si="365"/>
        <v>3.101503759</v>
      </c>
      <c r="X164" s="7">
        <f t="shared" si="365"/>
        <v>3.323836657</v>
      </c>
      <c r="Y164" s="7">
        <f t="shared" si="366"/>
        <v>3.450659201</v>
      </c>
    </row>
    <row r="165" ht="14.25" customHeight="1">
      <c r="A165" s="1" t="s">
        <v>33</v>
      </c>
      <c r="B165" s="1" t="s">
        <v>254</v>
      </c>
      <c r="C165" s="1" t="s">
        <v>255</v>
      </c>
      <c r="D165" s="1" t="s">
        <v>255</v>
      </c>
      <c r="E165" s="5">
        <v>31602.0</v>
      </c>
      <c r="F165" s="6">
        <v>0.0</v>
      </c>
      <c r="G165" s="6">
        <v>0.0</v>
      </c>
      <c r="H165" s="6">
        <v>1193.0</v>
      </c>
      <c r="I165" s="6">
        <v>0.0</v>
      </c>
      <c r="J165" s="6">
        <v>0.0</v>
      </c>
      <c r="K165" s="6">
        <v>57.0</v>
      </c>
      <c r="L165" s="7"/>
      <c r="M165" s="7"/>
      <c r="N165" s="7">
        <f>(K165/H165)*100</f>
        <v>4.777870914</v>
      </c>
      <c r="O165" s="7">
        <f t="shared" si="362"/>
        <v>4.777870914</v>
      </c>
      <c r="P165" s="1">
        <v>1621.0</v>
      </c>
      <c r="Q165" s="1">
        <v>1676.0</v>
      </c>
      <c r="R165" s="1">
        <v>1697.0</v>
      </c>
      <c r="S165" s="1">
        <v>52.0</v>
      </c>
      <c r="T165" s="1">
        <v>44.0</v>
      </c>
      <c r="U165" s="1">
        <v>42.0</v>
      </c>
      <c r="V165" s="7">
        <f t="shared" ref="V165:X165" si="367">(S165/P165)*100</f>
        <v>3.20789636</v>
      </c>
      <c r="W165" s="7">
        <f t="shared" si="367"/>
        <v>2.625298329</v>
      </c>
      <c r="X165" s="7">
        <f t="shared" si="367"/>
        <v>2.474955804</v>
      </c>
      <c r="Y165" s="7">
        <f t="shared" si="366"/>
        <v>2.916597345</v>
      </c>
    </row>
    <row r="166" ht="14.25" customHeight="1">
      <c r="A166" s="1" t="s">
        <v>36</v>
      </c>
      <c r="B166" s="1" t="s">
        <v>195</v>
      </c>
      <c r="C166" s="1" t="s">
        <v>36</v>
      </c>
      <c r="D166" s="1" t="s">
        <v>36</v>
      </c>
      <c r="E166" s="5">
        <v>40101.0</v>
      </c>
      <c r="F166" s="6">
        <v>17369.0</v>
      </c>
      <c r="G166" s="6">
        <v>17890.0</v>
      </c>
      <c r="H166" s="6">
        <v>18136.0</v>
      </c>
      <c r="I166" s="6">
        <v>511.0</v>
      </c>
      <c r="J166" s="6">
        <v>778.0</v>
      </c>
      <c r="K166" s="6">
        <v>658.0</v>
      </c>
      <c r="L166" s="7">
        <f t="shared" ref="L166:N166" si="368">(I166/F166)*100</f>
        <v>2.942023145</v>
      </c>
      <c r="M166" s="7">
        <f t="shared" si="368"/>
        <v>4.348798211</v>
      </c>
      <c r="N166" s="7">
        <f t="shared" si="368"/>
        <v>3.62814292</v>
      </c>
      <c r="O166" s="7">
        <f t="shared" si="362"/>
        <v>3.639654759</v>
      </c>
      <c r="P166" s="6">
        <v>20634.0</v>
      </c>
      <c r="Q166" s="6">
        <v>21294.0</v>
      </c>
      <c r="R166" s="6">
        <v>21915.0</v>
      </c>
      <c r="S166" s="6">
        <v>445.0</v>
      </c>
      <c r="T166" s="6">
        <v>307.0</v>
      </c>
      <c r="U166" s="6">
        <v>325.0</v>
      </c>
      <c r="V166" s="7">
        <f t="shared" ref="V166:X166" si="369">(S166/P166)*100</f>
        <v>2.156634681</v>
      </c>
      <c r="W166" s="7">
        <f t="shared" si="369"/>
        <v>1.441720672</v>
      </c>
      <c r="X166" s="7">
        <f t="shared" si="369"/>
        <v>1.48300251</v>
      </c>
      <c r="Y166" s="7">
        <f t="shared" si="366"/>
        <v>1.799177677</v>
      </c>
    </row>
    <row r="167" ht="14.25" customHeight="1">
      <c r="A167" s="1" t="s">
        <v>36</v>
      </c>
      <c r="B167" s="1" t="s">
        <v>195</v>
      </c>
      <c r="C167" s="1" t="s">
        <v>256</v>
      </c>
      <c r="D167" s="1" t="s">
        <v>256</v>
      </c>
      <c r="E167" s="5">
        <v>40102.0</v>
      </c>
      <c r="F167" s="6">
        <v>1052.0</v>
      </c>
      <c r="G167" s="6">
        <v>1083.0</v>
      </c>
      <c r="H167" s="6">
        <v>1097.0</v>
      </c>
      <c r="I167" s="6">
        <v>65.0</v>
      </c>
      <c r="J167" s="6">
        <v>69.0</v>
      </c>
      <c r="K167" s="6">
        <v>84.0</v>
      </c>
      <c r="L167" s="7">
        <f t="shared" ref="L167:N167" si="370">(I167/F167)*100</f>
        <v>6.178707224</v>
      </c>
      <c r="M167" s="7">
        <f t="shared" si="370"/>
        <v>6.371191136</v>
      </c>
      <c r="N167" s="7">
        <f t="shared" si="370"/>
        <v>7.657247037</v>
      </c>
      <c r="O167" s="7">
        <f t="shared" si="362"/>
        <v>6.735715132</v>
      </c>
      <c r="P167" s="6">
        <v>1111.0</v>
      </c>
      <c r="Q167" s="6">
        <v>1091.0</v>
      </c>
      <c r="R167" s="6">
        <v>1066.0</v>
      </c>
      <c r="S167" s="6">
        <v>18.0</v>
      </c>
      <c r="T167" s="6">
        <v>19.0</v>
      </c>
      <c r="U167" s="6">
        <v>24.0</v>
      </c>
      <c r="V167" s="7">
        <f t="shared" ref="V167:X167" si="371">(S167/P167)*100</f>
        <v>1.620162016</v>
      </c>
      <c r="W167" s="7">
        <f t="shared" si="371"/>
        <v>1.74152154</v>
      </c>
      <c r="X167" s="7">
        <f t="shared" si="371"/>
        <v>2.251407129</v>
      </c>
      <c r="Y167" s="7">
        <f t="shared" si="366"/>
        <v>1.680841778</v>
      </c>
    </row>
    <row r="168" ht="14.25" customHeight="1">
      <c r="A168" s="1" t="s">
        <v>36</v>
      </c>
      <c r="B168" s="1" t="s">
        <v>195</v>
      </c>
      <c r="C168" s="1" t="s">
        <v>257</v>
      </c>
      <c r="D168" s="1" t="s">
        <v>257</v>
      </c>
      <c r="E168" s="5">
        <v>40103.0</v>
      </c>
      <c r="F168" s="6">
        <v>55.0</v>
      </c>
      <c r="G168" s="6">
        <v>57.0</v>
      </c>
      <c r="H168" s="6">
        <v>80.0</v>
      </c>
      <c r="I168" s="6">
        <v>7.0</v>
      </c>
      <c r="J168" s="6">
        <v>7.0</v>
      </c>
      <c r="K168" s="6">
        <v>20.0</v>
      </c>
      <c r="L168" s="7">
        <f t="shared" ref="L168:N168" si="372">(I168/F168)*100</f>
        <v>12.72727273</v>
      </c>
      <c r="M168" s="7">
        <f t="shared" si="372"/>
        <v>12.28070175</v>
      </c>
      <c r="N168" s="7">
        <f t="shared" si="372"/>
        <v>25</v>
      </c>
      <c r="O168" s="7">
        <f t="shared" si="362"/>
        <v>16.66932483</v>
      </c>
      <c r="P168" s="6">
        <v>119.0</v>
      </c>
      <c r="Q168" s="6">
        <v>126.0</v>
      </c>
      <c r="R168" s="6">
        <v>134.0</v>
      </c>
      <c r="S168" s="6">
        <v>7.0</v>
      </c>
      <c r="T168" s="6">
        <v>3.0</v>
      </c>
      <c r="U168" s="6">
        <v>6.0</v>
      </c>
      <c r="V168" s="7">
        <f t="shared" ref="V168:X168" si="373">(S168/P168)*100</f>
        <v>5.882352941</v>
      </c>
      <c r="W168" s="7">
        <f t="shared" si="373"/>
        <v>2.380952381</v>
      </c>
      <c r="X168" s="7">
        <f t="shared" si="373"/>
        <v>4.47761194</v>
      </c>
      <c r="Y168" s="7">
        <f t="shared" si="366"/>
        <v>4.131652661</v>
      </c>
    </row>
    <row r="169" ht="14.25" customHeight="1">
      <c r="A169" s="1" t="s">
        <v>36</v>
      </c>
      <c r="B169" s="1" t="s">
        <v>195</v>
      </c>
      <c r="C169" s="1" t="s">
        <v>258</v>
      </c>
      <c r="D169" s="1" t="s">
        <v>259</v>
      </c>
      <c r="E169" s="5">
        <v>40104.0</v>
      </c>
      <c r="F169" s="6">
        <v>441.0</v>
      </c>
      <c r="G169" s="6">
        <v>463.0</v>
      </c>
      <c r="H169" s="6">
        <v>446.0</v>
      </c>
      <c r="I169" s="6">
        <v>43.0</v>
      </c>
      <c r="J169" s="6">
        <v>56.0</v>
      </c>
      <c r="K169" s="6">
        <v>44.0</v>
      </c>
      <c r="L169" s="7">
        <f t="shared" ref="L169:N169" si="374">(I169/F169)*100</f>
        <v>9.750566893</v>
      </c>
      <c r="M169" s="7">
        <f t="shared" si="374"/>
        <v>12.0950324</v>
      </c>
      <c r="N169" s="7">
        <f t="shared" si="374"/>
        <v>9.865470852</v>
      </c>
      <c r="O169" s="7">
        <f t="shared" si="362"/>
        <v>10.57035671</v>
      </c>
      <c r="P169" s="6">
        <v>517.0</v>
      </c>
      <c r="Q169" s="6">
        <v>525.0</v>
      </c>
      <c r="R169" s="6">
        <v>535.0</v>
      </c>
      <c r="S169" s="6">
        <v>14.0</v>
      </c>
      <c r="T169" s="6">
        <v>27.0</v>
      </c>
      <c r="U169" s="6">
        <v>38.0</v>
      </c>
      <c r="V169" s="7">
        <f t="shared" ref="V169:X169" si="375">(S169/P169)*100</f>
        <v>2.707930368</v>
      </c>
      <c r="W169" s="7">
        <f t="shared" si="375"/>
        <v>5.142857143</v>
      </c>
      <c r="X169" s="7">
        <f t="shared" si="375"/>
        <v>7.102803738</v>
      </c>
      <c r="Y169" s="7">
        <f t="shared" si="366"/>
        <v>3.925393755</v>
      </c>
    </row>
    <row r="170" ht="14.25" customHeight="1">
      <c r="A170" s="1" t="s">
        <v>36</v>
      </c>
      <c r="B170" s="1" t="s">
        <v>260</v>
      </c>
      <c r="C170" s="1" t="s">
        <v>261</v>
      </c>
      <c r="D170" s="1" t="s">
        <v>261</v>
      </c>
      <c r="E170" s="5">
        <v>40201.0</v>
      </c>
      <c r="F170" s="6">
        <v>1545.0</v>
      </c>
      <c r="G170" s="6">
        <v>1640.0</v>
      </c>
      <c r="H170" s="6">
        <v>1739.0</v>
      </c>
      <c r="I170" s="6">
        <v>102.0</v>
      </c>
      <c r="J170" s="6">
        <v>89.0</v>
      </c>
      <c r="K170" s="6">
        <v>126.0</v>
      </c>
      <c r="L170" s="7">
        <f t="shared" ref="L170:N170" si="376">(I170/F170)*100</f>
        <v>6.601941748</v>
      </c>
      <c r="M170" s="7">
        <f t="shared" si="376"/>
        <v>5.426829268</v>
      </c>
      <c r="N170" s="7">
        <f t="shared" si="376"/>
        <v>7.245543416</v>
      </c>
      <c r="O170" s="7">
        <f t="shared" si="362"/>
        <v>6.424771477</v>
      </c>
      <c r="P170" s="6">
        <v>1916.0</v>
      </c>
      <c r="Q170" s="6">
        <v>1938.0</v>
      </c>
      <c r="R170" s="6">
        <v>1969.0</v>
      </c>
      <c r="S170" s="6">
        <v>46.0</v>
      </c>
      <c r="T170" s="6">
        <v>55.0</v>
      </c>
      <c r="U170" s="6">
        <v>45.0</v>
      </c>
      <c r="V170" s="7">
        <f t="shared" ref="V170:X170" si="377">(S170/P170)*100</f>
        <v>2.400835073</v>
      </c>
      <c r="W170" s="7">
        <f t="shared" si="377"/>
        <v>2.837977296</v>
      </c>
      <c r="X170" s="7">
        <f t="shared" si="377"/>
        <v>2.285424073</v>
      </c>
      <c r="Y170" s="7">
        <f t="shared" si="366"/>
        <v>2.619406185</v>
      </c>
    </row>
    <row r="171" ht="14.25" customHeight="1">
      <c r="A171" s="1" t="s">
        <v>36</v>
      </c>
      <c r="B171" s="1" t="s">
        <v>260</v>
      </c>
      <c r="C171" s="1" t="s">
        <v>262</v>
      </c>
      <c r="D171" s="1" t="s">
        <v>262</v>
      </c>
      <c r="E171" s="5">
        <v>40202.0</v>
      </c>
      <c r="F171" s="6">
        <v>109.0</v>
      </c>
      <c r="G171" s="6">
        <v>113.0</v>
      </c>
      <c r="H171" s="6">
        <v>118.0</v>
      </c>
      <c r="I171" s="6">
        <v>9.0</v>
      </c>
      <c r="J171" s="6">
        <v>12.0</v>
      </c>
      <c r="K171" s="6">
        <v>5.0</v>
      </c>
      <c r="L171" s="7">
        <f t="shared" ref="L171:N171" si="378">(I171/F171)*100</f>
        <v>8.256880734</v>
      </c>
      <c r="M171" s="7">
        <f t="shared" si="378"/>
        <v>10.61946903</v>
      </c>
      <c r="N171" s="7">
        <f t="shared" si="378"/>
        <v>4.237288136</v>
      </c>
      <c r="O171" s="7">
        <f t="shared" si="362"/>
        <v>7.704545965</v>
      </c>
      <c r="P171" s="6">
        <v>141.0</v>
      </c>
      <c r="Q171" s="6">
        <v>135.0</v>
      </c>
      <c r="R171" s="6">
        <v>131.0</v>
      </c>
      <c r="S171" s="6">
        <v>5.0</v>
      </c>
      <c r="T171" s="6">
        <v>2.0</v>
      </c>
      <c r="U171" s="6">
        <v>2.0</v>
      </c>
      <c r="V171" s="7">
        <f t="shared" ref="V171:X171" si="379">(S171/P171)*100</f>
        <v>3.546099291</v>
      </c>
      <c r="W171" s="7">
        <f t="shared" si="379"/>
        <v>1.481481481</v>
      </c>
      <c r="X171" s="7">
        <f t="shared" si="379"/>
        <v>1.526717557</v>
      </c>
      <c r="Y171" s="7">
        <f t="shared" si="366"/>
        <v>2.513790386</v>
      </c>
    </row>
    <row r="172" ht="14.25" customHeight="1">
      <c r="A172" s="1" t="s">
        <v>36</v>
      </c>
      <c r="B172" s="1" t="s">
        <v>263</v>
      </c>
      <c r="C172" s="1" t="s">
        <v>264</v>
      </c>
      <c r="D172" s="1" t="s">
        <v>264</v>
      </c>
      <c r="E172" s="5">
        <v>40301.0</v>
      </c>
      <c r="F172" s="6">
        <v>209.0</v>
      </c>
      <c r="G172" s="6">
        <v>213.0</v>
      </c>
      <c r="H172" s="6">
        <v>213.0</v>
      </c>
      <c r="I172" s="6">
        <v>33.0</v>
      </c>
      <c r="J172" s="6">
        <v>51.0</v>
      </c>
      <c r="K172" s="6">
        <v>30.0</v>
      </c>
      <c r="L172" s="7">
        <f t="shared" ref="L172:N172" si="380">(I172/F172)*100</f>
        <v>15.78947368</v>
      </c>
      <c r="M172" s="7">
        <f t="shared" si="380"/>
        <v>23.94366197</v>
      </c>
      <c r="N172" s="7">
        <f t="shared" si="380"/>
        <v>14.08450704</v>
      </c>
      <c r="O172" s="7">
        <f t="shared" si="362"/>
        <v>17.93921423</v>
      </c>
      <c r="P172" s="6">
        <v>263.0</v>
      </c>
      <c r="Q172" s="6">
        <v>256.0</v>
      </c>
      <c r="R172" s="6">
        <v>268.0</v>
      </c>
      <c r="S172" s="6">
        <v>10.0</v>
      </c>
      <c r="T172" s="6">
        <v>12.0</v>
      </c>
      <c r="U172" s="6">
        <v>22.0</v>
      </c>
      <c r="V172" s="7">
        <f t="shared" ref="V172:X172" si="381">(S172/P172)*100</f>
        <v>3.802281369</v>
      </c>
      <c r="W172" s="7">
        <f t="shared" si="381"/>
        <v>4.6875</v>
      </c>
      <c r="X172" s="7">
        <f t="shared" si="381"/>
        <v>8.208955224</v>
      </c>
      <c r="Y172" s="7">
        <f t="shared" si="366"/>
        <v>4.244890684</v>
      </c>
    </row>
    <row r="173" ht="14.25" customHeight="1">
      <c r="A173" s="1" t="s">
        <v>36</v>
      </c>
      <c r="B173" s="1" t="s">
        <v>263</v>
      </c>
      <c r="C173" s="1" t="s">
        <v>265</v>
      </c>
      <c r="D173" s="1" t="s">
        <v>265</v>
      </c>
      <c r="E173" s="5">
        <v>40302.0</v>
      </c>
      <c r="F173" s="6">
        <v>51.0</v>
      </c>
      <c r="G173" s="6">
        <v>51.0</v>
      </c>
      <c r="H173" s="6">
        <v>56.0</v>
      </c>
      <c r="I173" s="6">
        <v>6.0</v>
      </c>
      <c r="J173" s="6">
        <v>6.0</v>
      </c>
      <c r="K173" s="6">
        <v>5.0</v>
      </c>
      <c r="L173" s="7">
        <f t="shared" ref="L173:N173" si="382">(I173/F173)*100</f>
        <v>11.76470588</v>
      </c>
      <c r="M173" s="7">
        <f t="shared" si="382"/>
        <v>11.76470588</v>
      </c>
      <c r="N173" s="7">
        <f t="shared" si="382"/>
        <v>8.928571429</v>
      </c>
      <c r="O173" s="7">
        <f t="shared" si="362"/>
        <v>10.81932773</v>
      </c>
      <c r="P173" s="6">
        <v>34.0</v>
      </c>
      <c r="Q173" s="6">
        <v>27.0</v>
      </c>
      <c r="R173" s="6">
        <v>28.0</v>
      </c>
      <c r="S173" s="6">
        <v>0.0</v>
      </c>
      <c r="T173" s="6">
        <v>0.0</v>
      </c>
      <c r="U173" s="6"/>
      <c r="V173" s="7">
        <f t="shared" ref="V173:X173" si="383">(S173/P173)*100</f>
        <v>0</v>
      </c>
      <c r="W173" s="7">
        <f t="shared" si="383"/>
        <v>0</v>
      </c>
      <c r="X173" s="7">
        <f t="shared" si="383"/>
        <v>0</v>
      </c>
      <c r="Y173" s="7">
        <f t="shared" si="366"/>
        <v>0</v>
      </c>
    </row>
    <row r="174" ht="14.25" customHeight="1">
      <c r="A174" s="1" t="s">
        <v>36</v>
      </c>
      <c r="B174" s="1" t="s">
        <v>266</v>
      </c>
      <c r="C174" s="1" t="s">
        <v>267</v>
      </c>
      <c r="D174" s="1" t="s">
        <v>267</v>
      </c>
      <c r="E174" s="5">
        <v>40401.0</v>
      </c>
      <c r="F174" s="6">
        <v>212.0</v>
      </c>
      <c r="G174" s="6">
        <v>204.0</v>
      </c>
      <c r="H174" s="6">
        <v>197.0</v>
      </c>
      <c r="I174" s="6">
        <v>14.0</v>
      </c>
      <c r="J174" s="6">
        <v>9.0</v>
      </c>
      <c r="K174" s="6">
        <v>12.0</v>
      </c>
      <c r="L174" s="7">
        <f t="shared" ref="L174:N174" si="384">(I174/F174)*100</f>
        <v>6.603773585</v>
      </c>
      <c r="M174" s="7">
        <f t="shared" si="384"/>
        <v>4.411764706</v>
      </c>
      <c r="N174" s="7">
        <f t="shared" si="384"/>
        <v>6.091370558</v>
      </c>
      <c r="O174" s="7">
        <f t="shared" si="362"/>
        <v>5.70230295</v>
      </c>
      <c r="P174" s="6">
        <v>134.0</v>
      </c>
      <c r="Q174" s="6">
        <v>140.0</v>
      </c>
      <c r="R174" s="6">
        <v>125.0</v>
      </c>
      <c r="S174" s="6">
        <v>3.0</v>
      </c>
      <c r="T174" s="6">
        <v>1.0</v>
      </c>
      <c r="U174" s="6">
        <v>1.0</v>
      </c>
      <c r="V174" s="7">
        <f t="shared" ref="V174:X174" si="385">(S174/P174)*100</f>
        <v>2.23880597</v>
      </c>
      <c r="W174" s="7">
        <f t="shared" si="385"/>
        <v>0.7142857143</v>
      </c>
      <c r="X174" s="7">
        <f t="shared" si="385"/>
        <v>0.8</v>
      </c>
      <c r="Y174" s="7">
        <f t="shared" si="366"/>
        <v>1.476545842</v>
      </c>
    </row>
    <row r="175" ht="14.25" customHeight="1">
      <c r="A175" s="1" t="s">
        <v>36</v>
      </c>
      <c r="B175" s="1" t="s">
        <v>266</v>
      </c>
      <c r="C175" s="1" t="s">
        <v>268</v>
      </c>
      <c r="D175" s="1" t="s">
        <v>268</v>
      </c>
      <c r="E175" s="5">
        <v>40402.0</v>
      </c>
      <c r="F175" s="6">
        <v>168.0</v>
      </c>
      <c r="G175" s="6">
        <v>163.0</v>
      </c>
      <c r="H175" s="6">
        <v>158.0</v>
      </c>
      <c r="I175" s="6">
        <v>8.0</v>
      </c>
      <c r="J175" s="6">
        <v>7.0</v>
      </c>
      <c r="K175" s="6">
        <v>10.0</v>
      </c>
      <c r="L175" s="7">
        <f t="shared" ref="L175:N175" si="386">(I175/F175)*100</f>
        <v>4.761904762</v>
      </c>
      <c r="M175" s="7">
        <f t="shared" si="386"/>
        <v>4.294478528</v>
      </c>
      <c r="N175" s="7">
        <f t="shared" si="386"/>
        <v>6.329113924</v>
      </c>
      <c r="O175" s="7">
        <f t="shared" si="362"/>
        <v>5.128499071</v>
      </c>
      <c r="P175" s="6">
        <v>143.0</v>
      </c>
      <c r="Q175" s="6">
        <v>135.0</v>
      </c>
      <c r="R175" s="6">
        <v>133.0</v>
      </c>
      <c r="S175" s="6">
        <v>2.0</v>
      </c>
      <c r="T175" s="6">
        <v>6.0</v>
      </c>
      <c r="U175" s="6">
        <v>5.0</v>
      </c>
      <c r="V175" s="7">
        <f t="shared" ref="V175:X175" si="387">(S175/P175)*100</f>
        <v>1.398601399</v>
      </c>
      <c r="W175" s="7">
        <f t="shared" si="387"/>
        <v>4.444444444</v>
      </c>
      <c r="X175" s="7">
        <f t="shared" si="387"/>
        <v>3.759398496</v>
      </c>
      <c r="Y175" s="7">
        <f t="shared" si="366"/>
        <v>2.921522922</v>
      </c>
    </row>
    <row r="176" ht="14.25" customHeight="1">
      <c r="A176" s="1" t="s">
        <v>36</v>
      </c>
      <c r="B176" s="1" t="s">
        <v>269</v>
      </c>
      <c r="C176" s="1" t="s">
        <v>270</v>
      </c>
      <c r="D176" s="1" t="s">
        <v>270</v>
      </c>
      <c r="E176" s="5">
        <v>40501.0</v>
      </c>
      <c r="F176" s="6">
        <v>45.0</v>
      </c>
      <c r="G176" s="6">
        <v>46.0</v>
      </c>
      <c r="H176" s="6">
        <v>40.0</v>
      </c>
      <c r="I176" s="6">
        <v>5.0</v>
      </c>
      <c r="J176" s="6">
        <v>2.0</v>
      </c>
      <c r="K176" s="6">
        <v>2.0</v>
      </c>
      <c r="L176" s="7">
        <f t="shared" ref="L176:N176" si="388">(I176/F176)*100</f>
        <v>11.11111111</v>
      </c>
      <c r="M176" s="7">
        <f t="shared" si="388"/>
        <v>4.347826087</v>
      </c>
      <c r="N176" s="7">
        <f t="shared" si="388"/>
        <v>5</v>
      </c>
      <c r="O176" s="7">
        <f t="shared" si="362"/>
        <v>6.819645733</v>
      </c>
      <c r="P176" s="6">
        <v>27.0</v>
      </c>
      <c r="Q176" s="6">
        <v>25.0</v>
      </c>
      <c r="R176" s="6">
        <v>35.0</v>
      </c>
      <c r="S176" s="6">
        <v>0.0</v>
      </c>
      <c r="T176" s="6">
        <v>0.0</v>
      </c>
      <c r="U176" s="6">
        <v>1.0</v>
      </c>
      <c r="V176" s="7">
        <f t="shared" ref="V176:X176" si="389">(S176/P176)*100</f>
        <v>0</v>
      </c>
      <c r="W176" s="7">
        <f t="shared" si="389"/>
        <v>0</v>
      </c>
      <c r="X176" s="7">
        <f t="shared" si="389"/>
        <v>2.857142857</v>
      </c>
      <c r="Y176" s="7">
        <f t="shared" si="366"/>
        <v>0</v>
      </c>
    </row>
    <row r="177" ht="14.25" customHeight="1">
      <c r="A177" s="1" t="s">
        <v>36</v>
      </c>
      <c r="B177" s="1" t="s">
        <v>269</v>
      </c>
      <c r="C177" s="1" t="s">
        <v>271</v>
      </c>
      <c r="D177" s="1" t="s">
        <v>271</v>
      </c>
      <c r="E177" s="5">
        <v>40502.0</v>
      </c>
      <c r="F177" s="6">
        <v>17.0</v>
      </c>
      <c r="G177" s="6">
        <v>15.0</v>
      </c>
      <c r="H177" s="6">
        <v>17.0</v>
      </c>
      <c r="I177" s="6">
        <v>3.0</v>
      </c>
      <c r="J177" s="6">
        <v>0.0</v>
      </c>
      <c r="K177" s="6">
        <v>0.0</v>
      </c>
      <c r="L177" s="7">
        <f t="shared" ref="L177:N177" si="390">(I177/F177)*100</f>
        <v>17.64705882</v>
      </c>
      <c r="M177" s="7">
        <f t="shared" si="390"/>
        <v>0</v>
      </c>
      <c r="N177" s="7">
        <f t="shared" si="390"/>
        <v>0</v>
      </c>
      <c r="O177" s="7">
        <f t="shared" si="362"/>
        <v>5.882352941</v>
      </c>
      <c r="P177" s="6">
        <v>18.0</v>
      </c>
      <c r="Q177" s="6">
        <v>18.0</v>
      </c>
      <c r="R177" s="6">
        <v>25.0</v>
      </c>
      <c r="S177" s="6">
        <v>1.0</v>
      </c>
      <c r="T177" s="6">
        <v>0.0</v>
      </c>
      <c r="U177" s="6"/>
      <c r="V177" s="7">
        <f t="shared" ref="V177:X177" si="391">(S177/P177)*100</f>
        <v>5.555555556</v>
      </c>
      <c r="W177" s="7">
        <f t="shared" si="391"/>
        <v>0</v>
      </c>
      <c r="X177" s="7">
        <f t="shared" si="391"/>
        <v>0</v>
      </c>
      <c r="Y177" s="7">
        <f t="shared" si="366"/>
        <v>2.777777778</v>
      </c>
    </row>
    <row r="178" ht="14.25" customHeight="1">
      <c r="A178" s="1" t="s">
        <v>36</v>
      </c>
      <c r="B178" s="1" t="s">
        <v>269</v>
      </c>
      <c r="C178" s="1" t="s">
        <v>272</v>
      </c>
      <c r="D178" s="1" t="s">
        <v>272</v>
      </c>
      <c r="E178" s="5">
        <v>40503.0</v>
      </c>
      <c r="F178" s="10"/>
      <c r="G178" s="10"/>
      <c r="H178" s="10"/>
      <c r="I178" s="11">
        <v>0.0</v>
      </c>
      <c r="J178" s="11">
        <v>0.0</v>
      </c>
      <c r="K178" s="11">
        <v>1.0</v>
      </c>
      <c r="L178" s="7"/>
      <c r="M178" s="7"/>
      <c r="N178" s="7"/>
      <c r="O178" s="7"/>
      <c r="P178" s="1"/>
      <c r="Q178" s="1"/>
      <c r="R178" s="1"/>
      <c r="S178" s="1"/>
      <c r="T178" s="1"/>
      <c r="U178" s="1"/>
      <c r="V178" s="7"/>
      <c r="W178" s="7"/>
      <c r="X178" s="7"/>
      <c r="Y178" s="7"/>
    </row>
    <row r="179" ht="14.25" customHeight="1">
      <c r="A179" s="1" t="s">
        <v>36</v>
      </c>
      <c r="B179" s="1" t="s">
        <v>269</v>
      </c>
      <c r="C179" s="1" t="s">
        <v>273</v>
      </c>
      <c r="D179" s="1" t="s">
        <v>273</v>
      </c>
      <c r="E179" s="5">
        <v>40504.0</v>
      </c>
      <c r="F179" s="10"/>
      <c r="G179" s="10"/>
      <c r="H179" s="10"/>
      <c r="I179" s="11">
        <v>0.0</v>
      </c>
      <c r="J179" s="11">
        <v>0.0</v>
      </c>
      <c r="K179" s="11">
        <v>1.0</v>
      </c>
      <c r="L179" s="7"/>
      <c r="M179" s="7"/>
      <c r="N179" s="7"/>
      <c r="O179" s="7"/>
      <c r="P179" s="1"/>
      <c r="Q179" s="1"/>
      <c r="R179" s="1"/>
      <c r="S179" s="1"/>
      <c r="T179" s="1"/>
      <c r="U179" s="1"/>
      <c r="V179" s="7"/>
      <c r="W179" s="7"/>
      <c r="X179" s="7"/>
      <c r="Y179" s="7"/>
    </row>
    <row r="180" ht="14.25" customHeight="1">
      <c r="A180" s="1" t="s">
        <v>36</v>
      </c>
      <c r="B180" s="1" t="s">
        <v>269</v>
      </c>
      <c r="C180" s="1" t="s">
        <v>274</v>
      </c>
      <c r="D180" s="1" t="s">
        <v>274</v>
      </c>
      <c r="E180" s="5">
        <v>40505.0</v>
      </c>
      <c r="F180" s="10"/>
      <c r="G180" s="10"/>
      <c r="H180" s="10"/>
      <c r="I180" s="11">
        <v>0.0</v>
      </c>
      <c r="J180" s="11">
        <v>1.0</v>
      </c>
      <c r="K180" s="11">
        <v>0.0</v>
      </c>
      <c r="L180" s="7"/>
      <c r="M180" s="7"/>
      <c r="N180" s="7"/>
      <c r="O180" s="7"/>
      <c r="P180" s="1"/>
      <c r="Q180" s="1"/>
      <c r="R180" s="1"/>
      <c r="S180" s="1"/>
      <c r="T180" s="1"/>
      <c r="U180" s="1"/>
      <c r="V180" s="7"/>
      <c r="W180" s="7"/>
      <c r="X180" s="7"/>
      <c r="Y180" s="7"/>
    </row>
    <row r="181" ht="14.25" customHeight="1">
      <c r="A181" s="1" t="s">
        <v>36</v>
      </c>
      <c r="B181" s="1" t="s">
        <v>275</v>
      </c>
      <c r="C181" s="1" t="s">
        <v>275</v>
      </c>
      <c r="D181" s="1" t="s">
        <v>276</v>
      </c>
      <c r="E181" s="5">
        <v>40601.0</v>
      </c>
      <c r="F181" s="6">
        <v>219.0</v>
      </c>
      <c r="G181" s="6">
        <v>219.0</v>
      </c>
      <c r="H181" s="6">
        <v>222.0</v>
      </c>
      <c r="I181" s="6">
        <v>12.0</v>
      </c>
      <c r="J181" s="6">
        <v>8.0</v>
      </c>
      <c r="K181" s="6">
        <v>14.0</v>
      </c>
      <c r="L181" s="7">
        <f t="shared" ref="L181:N181" si="392">(I181/F181)*100</f>
        <v>5.479452055</v>
      </c>
      <c r="M181" s="7">
        <f t="shared" si="392"/>
        <v>3.652968037</v>
      </c>
      <c r="N181" s="7">
        <f t="shared" si="392"/>
        <v>6.306306306</v>
      </c>
      <c r="O181" s="7">
        <f t="shared" ref="O181:O344" si="395">AVERAGE(L181:N181)</f>
        <v>5.146242133</v>
      </c>
      <c r="P181" s="6">
        <v>255.0</v>
      </c>
      <c r="Q181" s="6">
        <v>281.0</v>
      </c>
      <c r="R181" s="6">
        <v>303.0</v>
      </c>
      <c r="S181" s="6">
        <v>7.0</v>
      </c>
      <c r="T181" s="6">
        <v>10.0</v>
      </c>
      <c r="U181" s="6">
        <v>9.0</v>
      </c>
      <c r="V181" s="7">
        <f t="shared" ref="V181:X181" si="393">(S181/P181)*100</f>
        <v>2.745098039</v>
      </c>
      <c r="W181" s="7">
        <f t="shared" si="393"/>
        <v>3.558718861</v>
      </c>
      <c r="X181" s="7">
        <f t="shared" si="393"/>
        <v>2.97029703</v>
      </c>
      <c r="Y181" s="7">
        <f t="shared" ref="Y181:Y344" si="397">AVERAGE(V181:W181)</f>
        <v>3.15190845</v>
      </c>
    </row>
    <row r="182" ht="14.25" customHeight="1">
      <c r="A182" s="1" t="s">
        <v>36</v>
      </c>
      <c r="B182" s="1" t="s">
        <v>275</v>
      </c>
      <c r="C182" s="1" t="s">
        <v>277</v>
      </c>
      <c r="D182" s="1" t="s">
        <v>277</v>
      </c>
      <c r="E182" s="5">
        <v>40602.0</v>
      </c>
      <c r="F182" s="6">
        <v>255.0</v>
      </c>
      <c r="G182" s="6">
        <v>268.0</v>
      </c>
      <c r="H182" s="6">
        <v>270.0</v>
      </c>
      <c r="I182" s="6">
        <v>12.0</v>
      </c>
      <c r="J182" s="6">
        <v>14.0</v>
      </c>
      <c r="K182" s="6">
        <v>8.0</v>
      </c>
      <c r="L182" s="7">
        <f t="shared" ref="L182:N182" si="394">(I182/F182)*100</f>
        <v>4.705882353</v>
      </c>
      <c r="M182" s="7">
        <f t="shared" si="394"/>
        <v>5.223880597</v>
      </c>
      <c r="N182" s="7">
        <f t="shared" si="394"/>
        <v>2.962962963</v>
      </c>
      <c r="O182" s="7">
        <f t="shared" si="395"/>
        <v>4.297575304</v>
      </c>
      <c r="P182" s="6">
        <v>267.0</v>
      </c>
      <c r="Q182" s="6">
        <v>253.0</v>
      </c>
      <c r="R182" s="6">
        <v>247.0</v>
      </c>
      <c r="S182" s="6">
        <v>8.0</v>
      </c>
      <c r="T182" s="6">
        <v>5.0</v>
      </c>
      <c r="U182" s="6">
        <v>4.0</v>
      </c>
      <c r="V182" s="7">
        <f t="shared" ref="V182:X182" si="396">(S182/P182)*100</f>
        <v>2.996254682</v>
      </c>
      <c r="W182" s="7">
        <f t="shared" si="396"/>
        <v>1.976284585</v>
      </c>
      <c r="X182" s="7">
        <f t="shared" si="396"/>
        <v>1.619433198</v>
      </c>
      <c r="Y182" s="7">
        <f t="shared" si="397"/>
        <v>2.486269633</v>
      </c>
    </row>
    <row r="183" ht="14.25" customHeight="1">
      <c r="A183" s="1" t="s">
        <v>36</v>
      </c>
      <c r="B183" s="1" t="s">
        <v>275</v>
      </c>
      <c r="C183" s="1" t="s">
        <v>278</v>
      </c>
      <c r="D183" s="1" t="s">
        <v>278</v>
      </c>
      <c r="E183" s="5">
        <v>40603.0</v>
      </c>
      <c r="F183" s="6">
        <v>145.0</v>
      </c>
      <c r="G183" s="6">
        <v>145.0</v>
      </c>
      <c r="H183" s="6">
        <v>132.0</v>
      </c>
      <c r="I183" s="6">
        <v>5.0</v>
      </c>
      <c r="J183" s="6">
        <v>7.0</v>
      </c>
      <c r="K183" s="6">
        <v>5.0</v>
      </c>
      <c r="L183" s="7">
        <f t="shared" ref="L183:N183" si="398">(I183/F183)*100</f>
        <v>3.448275862</v>
      </c>
      <c r="M183" s="7">
        <f t="shared" si="398"/>
        <v>4.827586207</v>
      </c>
      <c r="N183" s="7">
        <f t="shared" si="398"/>
        <v>3.787878788</v>
      </c>
      <c r="O183" s="7">
        <f t="shared" si="395"/>
        <v>4.021246952</v>
      </c>
      <c r="P183" s="6">
        <v>124.0</v>
      </c>
      <c r="Q183" s="6">
        <v>113.0</v>
      </c>
      <c r="R183" s="6">
        <v>112.0</v>
      </c>
      <c r="S183" s="6">
        <v>2.0</v>
      </c>
      <c r="T183" s="6">
        <v>0.0</v>
      </c>
      <c r="U183" s="6">
        <v>1.0</v>
      </c>
      <c r="V183" s="7">
        <f t="shared" ref="V183:X183" si="399">(S183/P183)*100</f>
        <v>1.612903226</v>
      </c>
      <c r="W183" s="7">
        <f t="shared" si="399"/>
        <v>0</v>
      </c>
      <c r="X183" s="7">
        <f t="shared" si="399"/>
        <v>0.8928571429</v>
      </c>
      <c r="Y183" s="7">
        <f t="shared" si="397"/>
        <v>0.8064516129</v>
      </c>
    </row>
    <row r="184" ht="14.25" customHeight="1">
      <c r="A184" s="1" t="s">
        <v>36</v>
      </c>
      <c r="B184" s="1" t="s">
        <v>279</v>
      </c>
      <c r="C184" s="1" t="s">
        <v>280</v>
      </c>
      <c r="D184" s="1" t="s">
        <v>281</v>
      </c>
      <c r="E184" s="5">
        <v>40701.0</v>
      </c>
      <c r="F184" s="6">
        <v>1572.0</v>
      </c>
      <c r="G184" s="6">
        <v>1611.0</v>
      </c>
      <c r="H184" s="6">
        <v>1629.0</v>
      </c>
      <c r="I184" s="6">
        <v>71.0</v>
      </c>
      <c r="J184" s="6">
        <v>103.0</v>
      </c>
      <c r="K184" s="6">
        <v>126.0</v>
      </c>
      <c r="L184" s="7">
        <f t="shared" ref="L184:N184" si="400">(I184/F184)*100</f>
        <v>4.51653944</v>
      </c>
      <c r="M184" s="7">
        <f t="shared" si="400"/>
        <v>6.393544382</v>
      </c>
      <c r="N184" s="7">
        <f t="shared" si="400"/>
        <v>7.73480663</v>
      </c>
      <c r="O184" s="7">
        <f t="shared" si="395"/>
        <v>6.214963484</v>
      </c>
      <c r="P184" s="1">
        <v>1439.0</v>
      </c>
      <c r="Q184" s="1">
        <v>1457.0</v>
      </c>
      <c r="R184" s="1">
        <v>1413.0</v>
      </c>
      <c r="S184" s="1">
        <v>14.0</v>
      </c>
      <c r="T184" s="1">
        <v>22.0</v>
      </c>
      <c r="U184" s="1">
        <v>19.0</v>
      </c>
      <c r="V184" s="7">
        <f t="shared" ref="V184:X184" si="401">(S184/P184)*100</f>
        <v>0.9728978457</v>
      </c>
      <c r="W184" s="7">
        <f t="shared" si="401"/>
        <v>1.509951956</v>
      </c>
      <c r="X184" s="7">
        <f t="shared" si="401"/>
        <v>1.344656759</v>
      </c>
      <c r="Y184" s="7">
        <f t="shared" si="397"/>
        <v>1.241424901</v>
      </c>
    </row>
    <row r="185" ht="14.25" customHeight="1">
      <c r="A185" s="1" t="s">
        <v>36</v>
      </c>
      <c r="B185" s="1" t="s">
        <v>279</v>
      </c>
      <c r="C185" s="1" t="s">
        <v>282</v>
      </c>
      <c r="D185" s="1" t="s">
        <v>282</v>
      </c>
      <c r="E185" s="5">
        <v>40702.0</v>
      </c>
      <c r="F185" s="6">
        <v>178.0</v>
      </c>
      <c r="G185" s="6">
        <v>184.0</v>
      </c>
      <c r="H185" s="6">
        <v>187.0</v>
      </c>
      <c r="I185" s="6">
        <v>13.0</v>
      </c>
      <c r="J185" s="6">
        <v>3.0</v>
      </c>
      <c r="K185" s="6">
        <v>16.0</v>
      </c>
      <c r="L185" s="7">
        <f t="shared" ref="L185:N185" si="402">(I185/F185)*100</f>
        <v>7.303370787</v>
      </c>
      <c r="M185" s="7">
        <f t="shared" si="402"/>
        <v>1.630434783</v>
      </c>
      <c r="N185" s="7">
        <f t="shared" si="402"/>
        <v>8.556149733</v>
      </c>
      <c r="O185" s="7">
        <f t="shared" si="395"/>
        <v>5.829985101</v>
      </c>
      <c r="P185" s="1">
        <v>222.0</v>
      </c>
      <c r="Q185" s="1">
        <v>213.0</v>
      </c>
      <c r="R185" s="1">
        <v>237.0</v>
      </c>
      <c r="S185" s="1">
        <v>10.0</v>
      </c>
      <c r="T185" s="1">
        <v>9.0</v>
      </c>
      <c r="U185" s="1">
        <v>16.0</v>
      </c>
      <c r="V185" s="7">
        <f t="shared" ref="V185:X185" si="403">(S185/P185)*100</f>
        <v>4.504504505</v>
      </c>
      <c r="W185" s="7">
        <f t="shared" si="403"/>
        <v>4.225352113</v>
      </c>
      <c r="X185" s="7">
        <f t="shared" si="403"/>
        <v>6.751054852</v>
      </c>
      <c r="Y185" s="7">
        <f t="shared" si="397"/>
        <v>4.364928309</v>
      </c>
    </row>
    <row r="186" ht="14.25" customHeight="1">
      <c r="A186" s="1" t="s">
        <v>36</v>
      </c>
      <c r="B186" s="1" t="s">
        <v>283</v>
      </c>
      <c r="C186" s="1" t="s">
        <v>284</v>
      </c>
      <c r="D186" s="1" t="s">
        <v>285</v>
      </c>
      <c r="E186" s="5">
        <v>40801.0</v>
      </c>
      <c r="F186" s="6">
        <v>239.0</v>
      </c>
      <c r="G186" s="6">
        <v>266.0</v>
      </c>
      <c r="H186" s="6">
        <v>291.0</v>
      </c>
      <c r="I186" s="6">
        <v>19.0</v>
      </c>
      <c r="J186" s="6">
        <v>9.0</v>
      </c>
      <c r="K186" s="6">
        <v>34.0</v>
      </c>
      <c r="L186" s="7">
        <f t="shared" ref="L186:N186" si="404">(I186/F186)*100</f>
        <v>7.949790795</v>
      </c>
      <c r="M186" s="7">
        <f t="shared" si="404"/>
        <v>3.383458647</v>
      </c>
      <c r="N186" s="7">
        <f t="shared" si="404"/>
        <v>11.6838488</v>
      </c>
      <c r="O186" s="7">
        <f t="shared" si="395"/>
        <v>7.67236608</v>
      </c>
      <c r="P186" s="1">
        <v>266.0</v>
      </c>
      <c r="Q186" s="1">
        <v>266.0</v>
      </c>
      <c r="R186" s="1">
        <v>257.0</v>
      </c>
      <c r="S186" s="1">
        <v>10.0</v>
      </c>
      <c r="T186" s="1">
        <v>7.0</v>
      </c>
      <c r="U186" s="1">
        <v>5.0</v>
      </c>
      <c r="V186" s="7">
        <f t="shared" ref="V186:X186" si="405">(S186/P186)*100</f>
        <v>3.759398496</v>
      </c>
      <c r="W186" s="7">
        <f t="shared" si="405"/>
        <v>2.631578947</v>
      </c>
      <c r="X186" s="7">
        <f t="shared" si="405"/>
        <v>1.945525292</v>
      </c>
      <c r="Y186" s="7">
        <f t="shared" si="397"/>
        <v>3.195488722</v>
      </c>
    </row>
    <row r="187" ht="14.25" customHeight="1">
      <c r="A187" s="1" t="s">
        <v>36</v>
      </c>
      <c r="B187" s="1" t="s">
        <v>283</v>
      </c>
      <c r="C187" s="1" t="s">
        <v>286</v>
      </c>
      <c r="D187" s="1" t="s">
        <v>286</v>
      </c>
      <c r="E187" s="5">
        <v>40802.0</v>
      </c>
      <c r="F187" s="6">
        <v>85.0</v>
      </c>
      <c r="G187" s="6">
        <v>95.0</v>
      </c>
      <c r="H187" s="6">
        <v>92.0</v>
      </c>
      <c r="I187" s="6">
        <v>5.0</v>
      </c>
      <c r="J187" s="6">
        <v>6.0</v>
      </c>
      <c r="K187" s="6">
        <v>5.0</v>
      </c>
      <c r="L187" s="7">
        <f t="shared" ref="L187:N187" si="406">(I187/F187)*100</f>
        <v>5.882352941</v>
      </c>
      <c r="M187" s="7">
        <f t="shared" si="406"/>
        <v>6.315789474</v>
      </c>
      <c r="N187" s="7">
        <f t="shared" si="406"/>
        <v>5.434782609</v>
      </c>
      <c r="O187" s="7">
        <f t="shared" si="395"/>
        <v>5.877641675</v>
      </c>
      <c r="P187" s="6">
        <v>101.0</v>
      </c>
      <c r="Q187" s="6">
        <v>108.0</v>
      </c>
      <c r="R187" s="6">
        <v>110.0</v>
      </c>
      <c r="S187" s="6">
        <v>4.0</v>
      </c>
      <c r="T187" s="6">
        <v>1.0</v>
      </c>
      <c r="U187" s="6">
        <v>2.0</v>
      </c>
      <c r="V187" s="7">
        <f t="shared" ref="V187:X187" si="407">(S187/P187)*100</f>
        <v>3.96039604</v>
      </c>
      <c r="W187" s="7">
        <f t="shared" si="407"/>
        <v>0.9259259259</v>
      </c>
      <c r="X187" s="7">
        <f t="shared" si="407"/>
        <v>1.818181818</v>
      </c>
      <c r="Y187" s="7">
        <f t="shared" si="397"/>
        <v>2.443160983</v>
      </c>
    </row>
    <row r="188" ht="14.25" customHeight="1">
      <c r="A188" s="1" t="s">
        <v>36</v>
      </c>
      <c r="B188" s="1" t="s">
        <v>287</v>
      </c>
      <c r="C188" s="1" t="s">
        <v>287</v>
      </c>
      <c r="D188" s="1" t="s">
        <v>287</v>
      </c>
      <c r="E188" s="5">
        <v>40901.0</v>
      </c>
      <c r="F188" s="6">
        <v>74.0</v>
      </c>
      <c r="G188" s="6">
        <v>79.0</v>
      </c>
      <c r="H188" s="6">
        <v>73.0</v>
      </c>
      <c r="I188" s="6">
        <v>10.0</v>
      </c>
      <c r="J188" s="6">
        <v>5.0</v>
      </c>
      <c r="K188" s="6">
        <v>7.0</v>
      </c>
      <c r="L188" s="7">
        <f t="shared" ref="L188:N188" si="408">(I188/F188)*100</f>
        <v>13.51351351</v>
      </c>
      <c r="M188" s="7">
        <f t="shared" si="408"/>
        <v>6.329113924</v>
      </c>
      <c r="N188" s="7">
        <f t="shared" si="408"/>
        <v>9.589041096</v>
      </c>
      <c r="O188" s="7">
        <f t="shared" si="395"/>
        <v>9.810556178</v>
      </c>
      <c r="P188" s="6">
        <v>120.0</v>
      </c>
      <c r="Q188" s="6">
        <v>132.0</v>
      </c>
      <c r="R188" s="6">
        <v>120.0</v>
      </c>
      <c r="S188" s="6">
        <v>1.0</v>
      </c>
      <c r="T188" s="6">
        <v>4.0</v>
      </c>
      <c r="U188" s="6">
        <v>5.0</v>
      </c>
      <c r="V188" s="7">
        <f t="shared" ref="V188:X188" si="409">(S188/P188)*100</f>
        <v>0.8333333333</v>
      </c>
      <c r="W188" s="7">
        <f t="shared" si="409"/>
        <v>3.03030303</v>
      </c>
      <c r="X188" s="7">
        <f t="shared" si="409"/>
        <v>4.166666667</v>
      </c>
      <c r="Y188" s="7">
        <f t="shared" si="397"/>
        <v>1.931818182</v>
      </c>
    </row>
    <row r="189" ht="14.25" customHeight="1">
      <c r="A189" s="1" t="s">
        <v>36</v>
      </c>
      <c r="B189" s="1" t="s">
        <v>287</v>
      </c>
      <c r="C189" s="1" t="s">
        <v>288</v>
      </c>
      <c r="D189" s="1" t="s">
        <v>288</v>
      </c>
      <c r="E189" s="5">
        <v>40902.0</v>
      </c>
      <c r="F189" s="6">
        <v>35.0</v>
      </c>
      <c r="G189" s="6">
        <v>38.0</v>
      </c>
      <c r="H189" s="6">
        <v>35.0</v>
      </c>
      <c r="I189" s="6">
        <v>1.0</v>
      </c>
      <c r="J189" s="6">
        <v>1.0</v>
      </c>
      <c r="K189" s="6">
        <v>7.0</v>
      </c>
      <c r="L189" s="7">
        <f t="shared" ref="L189:N189" si="410">(I189/F189)*100</f>
        <v>2.857142857</v>
      </c>
      <c r="M189" s="7">
        <f t="shared" si="410"/>
        <v>2.631578947</v>
      </c>
      <c r="N189" s="7">
        <f t="shared" si="410"/>
        <v>20</v>
      </c>
      <c r="O189" s="7">
        <f t="shared" si="395"/>
        <v>8.496240602</v>
      </c>
      <c r="P189" s="6">
        <v>37.0</v>
      </c>
      <c r="Q189" s="6">
        <v>37.0</v>
      </c>
      <c r="R189" s="6">
        <v>32.0</v>
      </c>
      <c r="S189" s="6">
        <v>2.0</v>
      </c>
      <c r="T189" s="6">
        <v>0.0</v>
      </c>
      <c r="U189" s="6"/>
      <c r="V189" s="7">
        <f t="shared" ref="V189:X189" si="411">(S189/P189)*100</f>
        <v>5.405405405</v>
      </c>
      <c r="W189" s="7">
        <f t="shared" si="411"/>
        <v>0</v>
      </c>
      <c r="X189" s="7">
        <f t="shared" si="411"/>
        <v>0</v>
      </c>
      <c r="Y189" s="7">
        <f t="shared" si="397"/>
        <v>2.702702703</v>
      </c>
    </row>
    <row r="190" ht="14.25" customHeight="1">
      <c r="A190" s="1" t="s">
        <v>36</v>
      </c>
      <c r="B190" s="1" t="s">
        <v>287</v>
      </c>
      <c r="C190" s="1" t="s">
        <v>289</v>
      </c>
      <c r="D190" s="1" t="s">
        <v>290</v>
      </c>
      <c r="E190" s="5">
        <v>40903.0</v>
      </c>
      <c r="F190" s="6">
        <v>70.0</v>
      </c>
      <c r="G190" s="6">
        <v>69.0</v>
      </c>
      <c r="H190" s="6">
        <v>79.0</v>
      </c>
      <c r="I190" s="6">
        <v>11.0</v>
      </c>
      <c r="J190" s="6">
        <v>6.0</v>
      </c>
      <c r="K190" s="6">
        <v>22.0</v>
      </c>
      <c r="L190" s="7">
        <f t="shared" ref="L190:N190" si="412">(I190/F190)*100</f>
        <v>15.71428571</v>
      </c>
      <c r="M190" s="7">
        <f t="shared" si="412"/>
        <v>8.695652174</v>
      </c>
      <c r="N190" s="7">
        <f t="shared" si="412"/>
        <v>27.84810127</v>
      </c>
      <c r="O190" s="7">
        <f t="shared" si="395"/>
        <v>17.41934638</v>
      </c>
      <c r="P190" s="6">
        <v>76.0</v>
      </c>
      <c r="Q190" s="6">
        <v>79.0</v>
      </c>
      <c r="R190" s="6">
        <v>75.0</v>
      </c>
      <c r="S190" s="6">
        <v>6.0</v>
      </c>
      <c r="T190" s="6">
        <v>5.0</v>
      </c>
      <c r="U190" s="6">
        <v>6.0</v>
      </c>
      <c r="V190" s="7">
        <f t="shared" ref="V190:X190" si="413">(S190/P190)*100</f>
        <v>7.894736842</v>
      </c>
      <c r="W190" s="7">
        <f t="shared" si="413"/>
        <v>6.329113924</v>
      </c>
      <c r="X190" s="7">
        <f t="shared" si="413"/>
        <v>8</v>
      </c>
      <c r="Y190" s="7">
        <f t="shared" si="397"/>
        <v>7.111925383</v>
      </c>
    </row>
    <row r="191" ht="14.25" customHeight="1">
      <c r="A191" s="1" t="s">
        <v>36</v>
      </c>
      <c r="B191" s="1" t="s">
        <v>291</v>
      </c>
      <c r="C191" s="1" t="s">
        <v>292</v>
      </c>
      <c r="D191" s="1" t="s">
        <v>292</v>
      </c>
      <c r="E191" s="5">
        <v>41001.0</v>
      </c>
      <c r="F191" s="6">
        <v>144.0</v>
      </c>
      <c r="G191" s="6">
        <v>135.0</v>
      </c>
      <c r="H191" s="6">
        <v>141.0</v>
      </c>
      <c r="I191" s="6">
        <v>36.0</v>
      </c>
      <c r="J191" s="6">
        <v>31.0</v>
      </c>
      <c r="K191" s="6">
        <v>22.0</v>
      </c>
      <c r="L191" s="7">
        <f t="shared" ref="L191:N191" si="414">(I191/F191)*100</f>
        <v>25</v>
      </c>
      <c r="M191" s="7">
        <f t="shared" si="414"/>
        <v>22.96296296</v>
      </c>
      <c r="N191" s="7">
        <f t="shared" si="414"/>
        <v>15.60283688</v>
      </c>
      <c r="O191" s="7">
        <f t="shared" si="395"/>
        <v>21.18859995</v>
      </c>
      <c r="P191" s="6">
        <v>148.0</v>
      </c>
      <c r="Q191" s="6">
        <v>141.0</v>
      </c>
      <c r="R191" s="6">
        <v>148.0</v>
      </c>
      <c r="S191" s="6">
        <v>5.0</v>
      </c>
      <c r="T191" s="6">
        <v>4.0</v>
      </c>
      <c r="U191" s="6">
        <v>6.0</v>
      </c>
      <c r="V191" s="7">
        <f t="shared" ref="V191:X191" si="415">(S191/P191)*100</f>
        <v>3.378378378</v>
      </c>
      <c r="W191" s="7">
        <f t="shared" si="415"/>
        <v>2.836879433</v>
      </c>
      <c r="X191" s="7">
        <f t="shared" si="415"/>
        <v>4.054054054</v>
      </c>
      <c r="Y191" s="7">
        <f t="shared" si="397"/>
        <v>3.107628906</v>
      </c>
    </row>
    <row r="192" ht="14.25" customHeight="1">
      <c r="A192" s="1" t="s">
        <v>36</v>
      </c>
      <c r="B192" s="1" t="s">
        <v>293</v>
      </c>
      <c r="C192" s="1" t="s">
        <v>294</v>
      </c>
      <c r="D192" s="1" t="s">
        <v>294</v>
      </c>
      <c r="E192" s="5">
        <v>41101.0</v>
      </c>
      <c r="F192" s="6">
        <v>301.0</v>
      </c>
      <c r="G192" s="6">
        <v>314.0</v>
      </c>
      <c r="H192" s="6">
        <v>295.0</v>
      </c>
      <c r="I192" s="6">
        <v>7.0</v>
      </c>
      <c r="J192" s="6">
        <v>20.0</v>
      </c>
      <c r="K192" s="6">
        <v>4.0</v>
      </c>
      <c r="L192" s="7">
        <f t="shared" ref="L192:N192" si="416">(I192/F192)*100</f>
        <v>2.325581395</v>
      </c>
      <c r="M192" s="7">
        <f t="shared" si="416"/>
        <v>6.369426752</v>
      </c>
      <c r="N192" s="7">
        <f t="shared" si="416"/>
        <v>1.355932203</v>
      </c>
      <c r="O192" s="7">
        <f t="shared" si="395"/>
        <v>3.35031345</v>
      </c>
      <c r="P192" s="6">
        <v>213.0</v>
      </c>
      <c r="Q192" s="6">
        <v>220.0</v>
      </c>
      <c r="R192" s="6">
        <v>216.0</v>
      </c>
      <c r="S192" s="6">
        <v>7.0</v>
      </c>
      <c r="T192" s="6">
        <v>14.0</v>
      </c>
      <c r="U192" s="6">
        <v>11.0</v>
      </c>
      <c r="V192" s="7">
        <f t="shared" ref="V192:X192" si="417">(S192/P192)*100</f>
        <v>3.286384977</v>
      </c>
      <c r="W192" s="7">
        <f t="shared" si="417"/>
        <v>6.363636364</v>
      </c>
      <c r="X192" s="7">
        <f t="shared" si="417"/>
        <v>5.092592593</v>
      </c>
      <c r="Y192" s="7">
        <f t="shared" si="397"/>
        <v>4.82501067</v>
      </c>
    </row>
    <row r="193" ht="14.25" customHeight="1">
      <c r="A193" s="1" t="s">
        <v>36</v>
      </c>
      <c r="B193" s="1" t="s">
        <v>295</v>
      </c>
      <c r="C193" s="1" t="s">
        <v>296</v>
      </c>
      <c r="D193" s="1" t="s">
        <v>297</v>
      </c>
      <c r="E193" s="5">
        <v>41201.0</v>
      </c>
      <c r="F193" s="6">
        <v>133.0</v>
      </c>
      <c r="G193" s="6">
        <v>119.0</v>
      </c>
      <c r="H193" s="6">
        <v>129.0</v>
      </c>
      <c r="I193" s="6">
        <v>11.0</v>
      </c>
      <c r="J193" s="6">
        <v>12.0</v>
      </c>
      <c r="K193" s="6">
        <v>11.0</v>
      </c>
      <c r="L193" s="7">
        <f t="shared" ref="L193:N193" si="418">(I193/F193)*100</f>
        <v>8.270676692</v>
      </c>
      <c r="M193" s="7">
        <f t="shared" si="418"/>
        <v>10.08403361</v>
      </c>
      <c r="N193" s="7">
        <f t="shared" si="418"/>
        <v>8.527131783</v>
      </c>
      <c r="O193" s="7">
        <f t="shared" si="395"/>
        <v>8.960614029</v>
      </c>
      <c r="P193" s="6">
        <v>121.0</v>
      </c>
      <c r="Q193" s="6">
        <v>122.0</v>
      </c>
      <c r="R193" s="6">
        <v>113.0</v>
      </c>
      <c r="S193" s="6">
        <v>3.0</v>
      </c>
      <c r="T193" s="6">
        <v>3.0</v>
      </c>
      <c r="U193" s="6">
        <v>2.0</v>
      </c>
      <c r="V193" s="7">
        <f t="shared" ref="V193:X193" si="419">(S193/P193)*100</f>
        <v>2.479338843</v>
      </c>
      <c r="W193" s="7">
        <f t="shared" si="419"/>
        <v>2.459016393</v>
      </c>
      <c r="X193" s="7">
        <f t="shared" si="419"/>
        <v>1.769911504</v>
      </c>
      <c r="Y193" s="7">
        <f t="shared" si="397"/>
        <v>2.469177618</v>
      </c>
    </row>
    <row r="194" ht="14.25" customHeight="1">
      <c r="A194" s="1" t="s">
        <v>36</v>
      </c>
      <c r="B194" s="1" t="s">
        <v>295</v>
      </c>
      <c r="C194" s="1" t="s">
        <v>298</v>
      </c>
      <c r="D194" s="1" t="s">
        <v>298</v>
      </c>
      <c r="E194" s="5">
        <v>41202.0</v>
      </c>
      <c r="F194" s="6">
        <v>47.0</v>
      </c>
      <c r="G194" s="6">
        <v>43.0</v>
      </c>
      <c r="H194" s="6">
        <v>42.0</v>
      </c>
      <c r="I194" s="6">
        <v>2.0</v>
      </c>
      <c r="J194" s="6">
        <v>2.0</v>
      </c>
      <c r="K194" s="6">
        <v>3.0</v>
      </c>
      <c r="L194" s="7">
        <f t="shared" ref="L194:N194" si="420">(I194/F194)*100</f>
        <v>4.255319149</v>
      </c>
      <c r="M194" s="7">
        <f t="shared" si="420"/>
        <v>4.651162791</v>
      </c>
      <c r="N194" s="7">
        <f t="shared" si="420"/>
        <v>7.142857143</v>
      </c>
      <c r="O194" s="7">
        <f t="shared" si="395"/>
        <v>5.349779694</v>
      </c>
      <c r="P194" s="6">
        <v>45.0</v>
      </c>
      <c r="Q194" s="6">
        <v>46.0</v>
      </c>
      <c r="R194" s="6">
        <v>44.0</v>
      </c>
      <c r="S194" s="6">
        <v>0.0</v>
      </c>
      <c r="T194" s="6">
        <v>5.0</v>
      </c>
      <c r="U194" s="6">
        <v>6.0</v>
      </c>
      <c r="V194" s="7">
        <f t="shared" ref="V194:X194" si="421">(S194/P194)*100</f>
        <v>0</v>
      </c>
      <c r="W194" s="7">
        <f t="shared" si="421"/>
        <v>10.86956522</v>
      </c>
      <c r="X194" s="7">
        <f t="shared" si="421"/>
        <v>13.63636364</v>
      </c>
      <c r="Y194" s="7">
        <f t="shared" si="397"/>
        <v>5.434782609</v>
      </c>
    </row>
    <row r="195" ht="14.25" customHeight="1">
      <c r="A195" s="1" t="s">
        <v>36</v>
      </c>
      <c r="B195" s="1" t="s">
        <v>299</v>
      </c>
      <c r="C195" s="1" t="s">
        <v>234</v>
      </c>
      <c r="D195" s="1" t="s">
        <v>234</v>
      </c>
      <c r="E195" s="5">
        <v>41301.0</v>
      </c>
      <c r="F195" s="6">
        <v>228.0</v>
      </c>
      <c r="G195" s="6">
        <v>211.0</v>
      </c>
      <c r="H195" s="6">
        <v>206.0</v>
      </c>
      <c r="I195" s="6">
        <v>19.0</v>
      </c>
      <c r="J195" s="6">
        <v>15.0</v>
      </c>
      <c r="K195" s="6">
        <v>10.0</v>
      </c>
      <c r="L195" s="7">
        <f t="shared" ref="L195:N195" si="422">(I195/F195)*100</f>
        <v>8.333333333</v>
      </c>
      <c r="M195" s="7">
        <f t="shared" si="422"/>
        <v>7.109004739</v>
      </c>
      <c r="N195" s="7">
        <f t="shared" si="422"/>
        <v>4.854368932</v>
      </c>
      <c r="O195" s="7">
        <f t="shared" si="395"/>
        <v>6.765569002</v>
      </c>
      <c r="P195" s="6">
        <v>201.0</v>
      </c>
      <c r="Q195" s="6">
        <v>184.0</v>
      </c>
      <c r="R195" s="6">
        <v>181.0</v>
      </c>
      <c r="S195" s="6">
        <v>13.0</v>
      </c>
      <c r="T195" s="6">
        <v>5.0</v>
      </c>
      <c r="U195" s="6">
        <v>6.0</v>
      </c>
      <c r="V195" s="7">
        <f t="shared" ref="V195:X195" si="423">(S195/P195)*100</f>
        <v>6.467661692</v>
      </c>
      <c r="W195" s="7">
        <f t="shared" si="423"/>
        <v>2.717391304</v>
      </c>
      <c r="X195" s="7">
        <f t="shared" si="423"/>
        <v>3.314917127</v>
      </c>
      <c r="Y195" s="7">
        <f t="shared" si="397"/>
        <v>4.592526498</v>
      </c>
    </row>
    <row r="196" ht="14.25" customHeight="1">
      <c r="A196" s="1" t="s">
        <v>36</v>
      </c>
      <c r="B196" s="1" t="s">
        <v>300</v>
      </c>
      <c r="C196" s="1" t="s">
        <v>301</v>
      </c>
      <c r="D196" s="1" t="s">
        <v>301</v>
      </c>
      <c r="E196" s="5">
        <v>41401.0</v>
      </c>
      <c r="F196" s="6">
        <v>238.0</v>
      </c>
      <c r="G196" s="6">
        <v>227.0</v>
      </c>
      <c r="H196" s="6">
        <v>259.0</v>
      </c>
      <c r="I196" s="6">
        <v>36.0</v>
      </c>
      <c r="J196" s="6">
        <v>31.0</v>
      </c>
      <c r="K196" s="6">
        <v>19.0</v>
      </c>
      <c r="L196" s="7">
        <f t="shared" ref="L196:N196" si="424">(I196/F196)*100</f>
        <v>15.12605042</v>
      </c>
      <c r="M196" s="7">
        <f t="shared" si="424"/>
        <v>13.65638767</v>
      </c>
      <c r="N196" s="7">
        <f t="shared" si="424"/>
        <v>7.335907336</v>
      </c>
      <c r="O196" s="7">
        <f t="shared" si="395"/>
        <v>12.03944847</v>
      </c>
      <c r="P196" s="6">
        <v>273.0</v>
      </c>
      <c r="Q196" s="6">
        <v>257.0</v>
      </c>
      <c r="R196" s="6">
        <v>282.0</v>
      </c>
      <c r="S196" s="6">
        <v>5.0</v>
      </c>
      <c r="T196" s="6">
        <v>2.0</v>
      </c>
      <c r="U196" s="6">
        <v>6.0</v>
      </c>
      <c r="V196" s="7">
        <f t="shared" ref="V196:X196" si="425">(S196/P196)*100</f>
        <v>1.831501832</v>
      </c>
      <c r="W196" s="7">
        <f t="shared" si="425"/>
        <v>0.7782101167</v>
      </c>
      <c r="X196" s="7">
        <f t="shared" si="425"/>
        <v>2.127659574</v>
      </c>
      <c r="Y196" s="7">
        <f t="shared" si="397"/>
        <v>1.304855974</v>
      </c>
    </row>
    <row r="197" ht="14.25" customHeight="1">
      <c r="A197" s="1" t="s">
        <v>36</v>
      </c>
      <c r="B197" s="1" t="s">
        <v>302</v>
      </c>
      <c r="C197" s="1" t="s">
        <v>303</v>
      </c>
      <c r="D197" s="1" t="s">
        <v>303</v>
      </c>
      <c r="E197" s="5">
        <v>41501.0</v>
      </c>
      <c r="F197" s="6">
        <v>9.0</v>
      </c>
      <c r="G197" s="6">
        <v>6.0</v>
      </c>
      <c r="H197" s="6">
        <v>5.0</v>
      </c>
      <c r="I197" s="6">
        <v>2.0</v>
      </c>
      <c r="J197" s="6">
        <v>0.0</v>
      </c>
      <c r="K197" s="6">
        <v>0.0</v>
      </c>
      <c r="L197" s="7">
        <f t="shared" ref="L197:N197" si="426">(I197/F197)*100</f>
        <v>22.22222222</v>
      </c>
      <c r="M197" s="7">
        <f t="shared" si="426"/>
        <v>0</v>
      </c>
      <c r="N197" s="7">
        <f t="shared" si="426"/>
        <v>0</v>
      </c>
      <c r="O197" s="7">
        <f t="shared" si="395"/>
        <v>7.407407407</v>
      </c>
      <c r="P197" s="6">
        <v>22.0</v>
      </c>
      <c r="Q197" s="6">
        <v>22.0</v>
      </c>
      <c r="R197" s="6">
        <v>19.0</v>
      </c>
      <c r="S197" s="6">
        <v>1.0</v>
      </c>
      <c r="T197" s="6">
        <v>0.0</v>
      </c>
      <c r="U197" s="6">
        <v>2.0</v>
      </c>
      <c r="V197" s="7">
        <f t="shared" ref="V197:X197" si="427">(S197/P197)*100</f>
        <v>4.545454545</v>
      </c>
      <c r="W197" s="7">
        <f t="shared" si="427"/>
        <v>0</v>
      </c>
      <c r="X197" s="7">
        <f t="shared" si="427"/>
        <v>10.52631579</v>
      </c>
      <c r="Y197" s="7">
        <f t="shared" si="397"/>
        <v>2.272727273</v>
      </c>
    </row>
    <row r="198" ht="14.25" customHeight="1">
      <c r="A198" s="1" t="s">
        <v>36</v>
      </c>
      <c r="B198" s="1" t="s">
        <v>302</v>
      </c>
      <c r="C198" s="1" t="s">
        <v>304</v>
      </c>
      <c r="D198" s="1" t="s">
        <v>304</v>
      </c>
      <c r="E198" s="5">
        <v>41502.0</v>
      </c>
      <c r="F198" s="6">
        <v>4.0</v>
      </c>
      <c r="G198" s="6">
        <v>8.0</v>
      </c>
      <c r="H198" s="6">
        <v>8.0</v>
      </c>
      <c r="I198" s="6">
        <v>0.0</v>
      </c>
      <c r="J198" s="6">
        <v>1.0</v>
      </c>
      <c r="K198" s="6">
        <v>0.0</v>
      </c>
      <c r="L198" s="7">
        <f t="shared" ref="L198:N198" si="428">(I198/F198)*100</f>
        <v>0</v>
      </c>
      <c r="M198" s="7">
        <f t="shared" si="428"/>
        <v>12.5</v>
      </c>
      <c r="N198" s="7">
        <f t="shared" si="428"/>
        <v>0</v>
      </c>
      <c r="O198" s="7">
        <f t="shared" si="395"/>
        <v>4.166666667</v>
      </c>
      <c r="P198" s="6">
        <v>6.0</v>
      </c>
      <c r="Q198" s="6">
        <v>6.0</v>
      </c>
      <c r="R198" s="6">
        <v>8.0</v>
      </c>
      <c r="S198" s="1"/>
      <c r="T198" s="1"/>
      <c r="U198" s="1">
        <v>1.0</v>
      </c>
      <c r="V198" s="7">
        <f t="shared" ref="V198:X198" si="429">(S198/P198)*100</f>
        <v>0</v>
      </c>
      <c r="W198" s="7">
        <f t="shared" si="429"/>
        <v>0</v>
      </c>
      <c r="X198" s="7">
        <f t="shared" si="429"/>
        <v>12.5</v>
      </c>
      <c r="Y198" s="7">
        <f t="shared" si="397"/>
        <v>0</v>
      </c>
    </row>
    <row r="199" ht="14.25" customHeight="1">
      <c r="A199" s="1" t="s">
        <v>36</v>
      </c>
      <c r="B199" s="1" t="s">
        <v>302</v>
      </c>
      <c r="C199" s="1" t="s">
        <v>263</v>
      </c>
      <c r="D199" s="1" t="s">
        <v>263</v>
      </c>
      <c r="E199" s="5">
        <v>41503.0</v>
      </c>
      <c r="F199" s="6">
        <v>1.0</v>
      </c>
      <c r="G199" s="6">
        <v>1.0</v>
      </c>
      <c r="H199" s="6">
        <v>1.0</v>
      </c>
      <c r="I199" s="6">
        <v>2.0</v>
      </c>
      <c r="J199" s="6">
        <v>0.0</v>
      </c>
      <c r="K199" s="6">
        <v>0.0</v>
      </c>
      <c r="L199" s="7">
        <f t="shared" ref="L199:N199" si="430">(I199/F199)*100</f>
        <v>200</v>
      </c>
      <c r="M199" s="7">
        <f t="shared" si="430"/>
        <v>0</v>
      </c>
      <c r="N199" s="7">
        <f t="shared" si="430"/>
        <v>0</v>
      </c>
      <c r="O199" s="7">
        <f t="shared" si="395"/>
        <v>66.66666667</v>
      </c>
      <c r="P199" s="6">
        <v>6.0</v>
      </c>
      <c r="Q199" s="6">
        <v>5.0</v>
      </c>
      <c r="R199" s="6">
        <v>7.0</v>
      </c>
      <c r="S199" s="6">
        <v>0.0</v>
      </c>
      <c r="T199" s="6">
        <v>0.0</v>
      </c>
      <c r="U199" s="6"/>
      <c r="V199" s="7">
        <f t="shared" ref="V199:X199" si="431">(S199/P199)*100</f>
        <v>0</v>
      </c>
      <c r="W199" s="7">
        <f t="shared" si="431"/>
        <v>0</v>
      </c>
      <c r="X199" s="7">
        <f t="shared" si="431"/>
        <v>0</v>
      </c>
      <c r="Y199" s="7">
        <f t="shared" si="397"/>
        <v>0</v>
      </c>
    </row>
    <row r="200" ht="14.25" customHeight="1">
      <c r="A200" s="1" t="s">
        <v>36</v>
      </c>
      <c r="B200" s="1" t="s">
        <v>305</v>
      </c>
      <c r="C200" s="1" t="s">
        <v>306</v>
      </c>
      <c r="D200" s="1" t="s">
        <v>306</v>
      </c>
      <c r="E200" s="5">
        <v>41601.0</v>
      </c>
      <c r="F200" s="6">
        <v>140.0</v>
      </c>
      <c r="G200" s="6">
        <v>137.0</v>
      </c>
      <c r="H200" s="6">
        <v>134.0</v>
      </c>
      <c r="I200" s="6">
        <v>20.0</v>
      </c>
      <c r="J200" s="6">
        <v>13.0</v>
      </c>
      <c r="K200" s="6">
        <v>13.0</v>
      </c>
      <c r="L200" s="7">
        <f t="shared" ref="L200:N200" si="432">(I200/F200)*100</f>
        <v>14.28571429</v>
      </c>
      <c r="M200" s="7">
        <f t="shared" si="432"/>
        <v>9.489051095</v>
      </c>
      <c r="N200" s="7">
        <f t="shared" si="432"/>
        <v>9.701492537</v>
      </c>
      <c r="O200" s="7">
        <f t="shared" si="395"/>
        <v>11.15875264</v>
      </c>
      <c r="P200" s="6">
        <v>121.0</v>
      </c>
      <c r="Q200" s="6">
        <v>119.0</v>
      </c>
      <c r="R200" s="6">
        <v>107.0</v>
      </c>
      <c r="S200" s="6">
        <v>4.0</v>
      </c>
      <c r="T200" s="6">
        <v>3.0</v>
      </c>
      <c r="U200" s="6">
        <v>2.0</v>
      </c>
      <c r="V200" s="7">
        <f t="shared" ref="V200:X200" si="433">(S200/P200)*100</f>
        <v>3.305785124</v>
      </c>
      <c r="W200" s="7">
        <f t="shared" si="433"/>
        <v>2.521008403</v>
      </c>
      <c r="X200" s="7">
        <f t="shared" si="433"/>
        <v>1.869158879</v>
      </c>
      <c r="Y200" s="7">
        <f t="shared" si="397"/>
        <v>2.913396764</v>
      </c>
    </row>
    <row r="201" ht="14.25" customHeight="1">
      <c r="A201" s="1" t="s">
        <v>307</v>
      </c>
      <c r="B201" s="1" t="s">
        <v>308</v>
      </c>
      <c r="C201" s="1" t="s">
        <v>307</v>
      </c>
      <c r="D201" s="1" t="s">
        <v>307</v>
      </c>
      <c r="E201" s="5">
        <v>50101.0</v>
      </c>
      <c r="F201" s="6">
        <v>12337.0</v>
      </c>
      <c r="G201" s="6">
        <v>12664.0</v>
      </c>
      <c r="H201" s="6">
        <v>13042.0</v>
      </c>
      <c r="I201" s="6">
        <v>687.0</v>
      </c>
      <c r="J201" s="6">
        <v>721.0</v>
      </c>
      <c r="K201" s="6">
        <v>733.0</v>
      </c>
      <c r="L201" s="7">
        <f t="shared" ref="L201:N201" si="434">(I201/F201)*100</f>
        <v>5.568614736</v>
      </c>
      <c r="M201" s="7">
        <f t="shared" si="434"/>
        <v>5.693303853</v>
      </c>
      <c r="N201" s="7">
        <f t="shared" si="434"/>
        <v>5.620303634</v>
      </c>
      <c r="O201" s="7">
        <f t="shared" si="395"/>
        <v>5.627407408</v>
      </c>
      <c r="P201" s="6">
        <v>14594.0</v>
      </c>
      <c r="Q201" s="6">
        <v>15160.0</v>
      </c>
      <c r="R201" s="6">
        <v>15677.0</v>
      </c>
      <c r="S201" s="6">
        <v>393.0</v>
      </c>
      <c r="T201" s="6">
        <v>331.0</v>
      </c>
      <c r="U201" s="6">
        <v>302.0</v>
      </c>
      <c r="V201" s="7">
        <f t="shared" ref="V201:X201" si="435">(S201/P201)*100</f>
        <v>2.692887488</v>
      </c>
      <c r="W201" s="7">
        <f t="shared" si="435"/>
        <v>2.183377309</v>
      </c>
      <c r="X201" s="7">
        <f t="shared" si="435"/>
        <v>1.926388977</v>
      </c>
      <c r="Y201" s="7">
        <f t="shared" si="397"/>
        <v>2.438132398</v>
      </c>
    </row>
    <row r="202" ht="14.25" customHeight="1">
      <c r="A202" s="1" t="s">
        <v>307</v>
      </c>
      <c r="B202" s="1" t="s">
        <v>308</v>
      </c>
      <c r="C202" s="1" t="s">
        <v>309</v>
      </c>
      <c r="D202" s="1" t="s">
        <v>309</v>
      </c>
      <c r="E202" s="5">
        <v>50102.0</v>
      </c>
      <c r="F202" s="6">
        <v>245.0</v>
      </c>
      <c r="G202" s="6">
        <v>267.0</v>
      </c>
      <c r="H202" s="6">
        <v>312.0</v>
      </c>
      <c r="I202" s="6">
        <v>107.0</v>
      </c>
      <c r="J202" s="6">
        <v>117.0</v>
      </c>
      <c r="K202" s="6">
        <v>161.0</v>
      </c>
      <c r="L202" s="7">
        <f t="shared" ref="L202:N202" si="436">(I202/F202)*100</f>
        <v>43.67346939</v>
      </c>
      <c r="M202" s="7">
        <f t="shared" si="436"/>
        <v>43.82022472</v>
      </c>
      <c r="N202" s="7">
        <f t="shared" si="436"/>
        <v>51.6025641</v>
      </c>
      <c r="O202" s="7">
        <f t="shared" si="395"/>
        <v>46.3654194</v>
      </c>
      <c r="P202" s="6">
        <v>360.0</v>
      </c>
      <c r="Q202" s="6">
        <v>342.0</v>
      </c>
      <c r="R202" s="6">
        <v>374.0</v>
      </c>
      <c r="S202" s="6">
        <v>35.0</v>
      </c>
      <c r="T202" s="6">
        <v>20.0</v>
      </c>
      <c r="U202" s="6">
        <v>34.0</v>
      </c>
      <c r="V202" s="7">
        <f t="shared" ref="V202:X202" si="437">(S202/P202)*100</f>
        <v>9.722222222</v>
      </c>
      <c r="W202" s="7">
        <f t="shared" si="437"/>
        <v>5.847953216</v>
      </c>
      <c r="X202" s="7">
        <f t="shared" si="437"/>
        <v>9.090909091</v>
      </c>
      <c r="Y202" s="7">
        <f t="shared" si="397"/>
        <v>7.785087719</v>
      </c>
    </row>
    <row r="203" ht="14.25" customHeight="1">
      <c r="A203" s="1" t="s">
        <v>307</v>
      </c>
      <c r="B203" s="1" t="s">
        <v>308</v>
      </c>
      <c r="C203" s="1" t="s">
        <v>310</v>
      </c>
      <c r="D203" s="1" t="s">
        <v>311</v>
      </c>
      <c r="E203" s="5">
        <v>50103.0</v>
      </c>
      <c r="F203" s="6">
        <v>286.0</v>
      </c>
      <c r="G203" s="6">
        <v>317.0</v>
      </c>
      <c r="H203" s="6">
        <v>323.0</v>
      </c>
      <c r="I203" s="6">
        <v>20.0</v>
      </c>
      <c r="J203" s="6">
        <v>29.0</v>
      </c>
      <c r="K203" s="6">
        <v>21.0</v>
      </c>
      <c r="L203" s="7">
        <f t="shared" ref="L203:N203" si="438">(I203/F203)*100</f>
        <v>6.993006993</v>
      </c>
      <c r="M203" s="7">
        <f t="shared" si="438"/>
        <v>9.148264984</v>
      </c>
      <c r="N203" s="7">
        <f t="shared" si="438"/>
        <v>6.501547988</v>
      </c>
      <c r="O203" s="7">
        <f t="shared" si="395"/>
        <v>7.547606655</v>
      </c>
      <c r="P203" s="6">
        <v>321.0</v>
      </c>
      <c r="Q203" s="6">
        <v>313.0</v>
      </c>
      <c r="R203" s="6">
        <v>291.0</v>
      </c>
      <c r="S203" s="6">
        <v>6.0</v>
      </c>
      <c r="T203" s="6">
        <v>14.0</v>
      </c>
      <c r="U203" s="6">
        <v>14.0</v>
      </c>
      <c r="V203" s="7">
        <f t="shared" ref="V203:X203" si="439">(S203/P203)*100</f>
        <v>1.869158879</v>
      </c>
      <c r="W203" s="7">
        <f t="shared" si="439"/>
        <v>4.47284345</v>
      </c>
      <c r="X203" s="7">
        <f t="shared" si="439"/>
        <v>4.810996564</v>
      </c>
      <c r="Y203" s="7">
        <f t="shared" si="397"/>
        <v>3.171001164</v>
      </c>
    </row>
    <row r="204" ht="14.25" customHeight="1">
      <c r="A204" s="1" t="s">
        <v>307</v>
      </c>
      <c r="B204" s="1" t="s">
        <v>308</v>
      </c>
      <c r="C204" s="1" t="s">
        <v>312</v>
      </c>
      <c r="D204" s="1" t="s">
        <v>313</v>
      </c>
      <c r="E204" s="5">
        <v>50104.0</v>
      </c>
      <c r="F204" s="6">
        <v>32.0</v>
      </c>
      <c r="G204" s="6">
        <v>26.0</v>
      </c>
      <c r="H204" s="6">
        <v>25.0</v>
      </c>
      <c r="I204" s="6">
        <v>4.0</v>
      </c>
      <c r="J204" s="6">
        <v>6.0</v>
      </c>
      <c r="K204" s="6">
        <v>1.0</v>
      </c>
      <c r="L204" s="7">
        <f t="shared" ref="L204:N204" si="440">(I204/F204)*100</f>
        <v>12.5</v>
      </c>
      <c r="M204" s="7">
        <f t="shared" si="440"/>
        <v>23.07692308</v>
      </c>
      <c r="N204" s="7">
        <f t="shared" si="440"/>
        <v>4</v>
      </c>
      <c r="O204" s="7">
        <f t="shared" si="395"/>
        <v>13.19230769</v>
      </c>
      <c r="P204" s="6">
        <v>32.0</v>
      </c>
      <c r="Q204" s="6">
        <v>34.0</v>
      </c>
      <c r="R204" s="6">
        <v>44.0</v>
      </c>
      <c r="S204" s="1">
        <v>0.0</v>
      </c>
      <c r="T204" s="1">
        <v>0.0</v>
      </c>
      <c r="U204" s="1">
        <v>0.0</v>
      </c>
      <c r="V204" s="7">
        <f t="shared" ref="V204:X204" si="441">(S204/P204)*100</f>
        <v>0</v>
      </c>
      <c r="W204" s="7">
        <f t="shared" si="441"/>
        <v>0</v>
      </c>
      <c r="X204" s="7">
        <f t="shared" si="441"/>
        <v>0</v>
      </c>
      <c r="Y204" s="7">
        <f t="shared" si="397"/>
        <v>0</v>
      </c>
    </row>
    <row r="205" ht="14.25" customHeight="1">
      <c r="A205" s="1" t="s">
        <v>307</v>
      </c>
      <c r="B205" s="1" t="s">
        <v>314</v>
      </c>
      <c r="C205" s="1" t="s">
        <v>315</v>
      </c>
      <c r="D205" s="1" t="s">
        <v>315</v>
      </c>
      <c r="E205" s="5">
        <v>50201.0</v>
      </c>
      <c r="F205" s="6">
        <v>1411.0</v>
      </c>
      <c r="G205" s="6">
        <v>1449.0</v>
      </c>
      <c r="H205" s="6">
        <v>1200.0</v>
      </c>
      <c r="I205" s="6">
        <v>136.0</v>
      </c>
      <c r="J205" s="6">
        <v>118.0</v>
      </c>
      <c r="K205" s="6">
        <v>73.0</v>
      </c>
      <c r="L205" s="7">
        <f t="shared" ref="L205:N205" si="442">(I205/F205)*100</f>
        <v>9.638554217</v>
      </c>
      <c r="M205" s="7">
        <f t="shared" si="442"/>
        <v>8.143547274</v>
      </c>
      <c r="N205" s="7">
        <f t="shared" si="442"/>
        <v>6.083333333</v>
      </c>
      <c r="O205" s="7">
        <f t="shared" si="395"/>
        <v>7.955144941</v>
      </c>
      <c r="P205" s="6">
        <v>1163.0</v>
      </c>
      <c r="Q205" s="6">
        <v>1182.0</v>
      </c>
      <c r="R205" s="6">
        <v>1220.0</v>
      </c>
      <c r="S205" s="6">
        <v>31.0</v>
      </c>
      <c r="T205" s="6">
        <v>35.0</v>
      </c>
      <c r="U205" s="6">
        <v>29.0</v>
      </c>
      <c r="V205" s="7">
        <f t="shared" ref="V205:X205" si="443">(S205/P205)*100</f>
        <v>2.665520206</v>
      </c>
      <c r="W205" s="7">
        <f t="shared" si="443"/>
        <v>2.96108291</v>
      </c>
      <c r="X205" s="7">
        <f t="shared" si="443"/>
        <v>2.37704918</v>
      </c>
      <c r="Y205" s="7">
        <f t="shared" si="397"/>
        <v>2.813301558</v>
      </c>
    </row>
    <row r="206" ht="14.25" customHeight="1">
      <c r="A206" s="1" t="s">
        <v>307</v>
      </c>
      <c r="B206" s="1" t="s">
        <v>314</v>
      </c>
      <c r="C206" s="1" t="s">
        <v>316</v>
      </c>
      <c r="D206" s="1" t="s">
        <v>316</v>
      </c>
      <c r="E206" s="5">
        <v>50202.0</v>
      </c>
      <c r="F206" s="6">
        <v>731.0</v>
      </c>
      <c r="G206" s="6">
        <v>747.0</v>
      </c>
      <c r="H206" s="6">
        <v>768.0</v>
      </c>
      <c r="I206" s="6">
        <v>63.0</v>
      </c>
      <c r="J206" s="6">
        <v>74.0</v>
      </c>
      <c r="K206" s="6">
        <v>84.0</v>
      </c>
      <c r="L206" s="7">
        <f t="shared" ref="L206:N206" si="444">(I206/F206)*100</f>
        <v>8.618331053</v>
      </c>
      <c r="M206" s="7">
        <f t="shared" si="444"/>
        <v>9.906291834</v>
      </c>
      <c r="N206" s="7">
        <f t="shared" si="444"/>
        <v>10.9375</v>
      </c>
      <c r="O206" s="7">
        <f t="shared" si="395"/>
        <v>9.820707629</v>
      </c>
      <c r="P206" s="6">
        <v>753.0</v>
      </c>
      <c r="Q206" s="6">
        <v>731.0</v>
      </c>
      <c r="R206" s="6">
        <v>709.0</v>
      </c>
      <c r="S206" s="6">
        <v>40.0</v>
      </c>
      <c r="T206" s="6">
        <v>34.0</v>
      </c>
      <c r="U206" s="6">
        <v>28.0</v>
      </c>
      <c r="V206" s="7">
        <f t="shared" ref="V206:X206" si="445">(S206/P206)*100</f>
        <v>5.312084993</v>
      </c>
      <c r="W206" s="7">
        <f t="shared" si="445"/>
        <v>4.651162791</v>
      </c>
      <c r="X206" s="7">
        <f t="shared" si="445"/>
        <v>3.94922426</v>
      </c>
      <c r="Y206" s="7">
        <f t="shared" si="397"/>
        <v>4.981623892</v>
      </c>
    </row>
    <row r="207" ht="14.25" customHeight="1">
      <c r="A207" s="1" t="s">
        <v>307</v>
      </c>
      <c r="B207" s="1" t="s">
        <v>314</v>
      </c>
      <c r="C207" s="1" t="s">
        <v>317</v>
      </c>
      <c r="D207" s="1" t="s">
        <v>317</v>
      </c>
      <c r="E207" s="5">
        <v>50203.0</v>
      </c>
      <c r="F207" s="6">
        <v>2641.0</v>
      </c>
      <c r="G207" s="6">
        <v>2705.0</v>
      </c>
      <c r="H207" s="6">
        <v>2810.0</v>
      </c>
      <c r="I207" s="6">
        <v>133.0</v>
      </c>
      <c r="J207" s="6">
        <v>114.0</v>
      </c>
      <c r="K207" s="6">
        <v>132.0</v>
      </c>
      <c r="L207" s="7">
        <f t="shared" ref="L207:N207" si="446">(I207/F207)*100</f>
        <v>5.035971223</v>
      </c>
      <c r="M207" s="7">
        <f t="shared" si="446"/>
        <v>4.214417745</v>
      </c>
      <c r="N207" s="7">
        <f t="shared" si="446"/>
        <v>4.697508897</v>
      </c>
      <c r="O207" s="7">
        <f t="shared" si="395"/>
        <v>4.649299288</v>
      </c>
      <c r="P207" s="6">
        <v>2870.0</v>
      </c>
      <c r="Q207" s="6">
        <v>2952.0</v>
      </c>
      <c r="R207" s="6">
        <v>2910.0</v>
      </c>
      <c r="S207" s="6">
        <v>58.0</v>
      </c>
      <c r="T207" s="6">
        <v>58.0</v>
      </c>
      <c r="U207" s="6">
        <v>52.0</v>
      </c>
      <c r="V207" s="7">
        <f t="shared" ref="V207:X207" si="447">(S207/P207)*100</f>
        <v>2.020905923</v>
      </c>
      <c r="W207" s="7">
        <f t="shared" si="447"/>
        <v>1.964769648</v>
      </c>
      <c r="X207" s="7">
        <f t="shared" si="447"/>
        <v>1.786941581</v>
      </c>
      <c r="Y207" s="7">
        <f t="shared" si="397"/>
        <v>1.992837786</v>
      </c>
    </row>
    <row r="208" ht="14.25" customHeight="1">
      <c r="A208" s="1" t="s">
        <v>307</v>
      </c>
      <c r="B208" s="1" t="s">
        <v>314</v>
      </c>
      <c r="C208" s="1" t="s">
        <v>318</v>
      </c>
      <c r="D208" s="1" t="s">
        <v>318</v>
      </c>
      <c r="E208" s="5">
        <v>50204.0</v>
      </c>
      <c r="F208" s="6">
        <v>0.0</v>
      </c>
      <c r="G208" s="6">
        <v>0.0</v>
      </c>
      <c r="H208" s="6">
        <v>271.0</v>
      </c>
      <c r="I208" s="6">
        <v>0.0</v>
      </c>
      <c r="J208" s="6">
        <v>0.0</v>
      </c>
      <c r="K208" s="6">
        <v>35.0</v>
      </c>
      <c r="L208" s="7"/>
      <c r="M208" s="7"/>
      <c r="N208" s="7">
        <f>(K208/H208)*100</f>
        <v>12.91512915</v>
      </c>
      <c r="O208" s="7">
        <f t="shared" si="395"/>
        <v>12.91512915</v>
      </c>
      <c r="P208" s="6">
        <v>373.0</v>
      </c>
      <c r="Q208" s="6">
        <v>383.0</v>
      </c>
      <c r="R208" s="6">
        <v>351.0</v>
      </c>
      <c r="S208" s="6">
        <v>14.0</v>
      </c>
      <c r="T208" s="6">
        <v>8.0</v>
      </c>
      <c r="U208" s="6">
        <v>7.0</v>
      </c>
      <c r="V208" s="7">
        <f t="shared" ref="V208:X208" si="448">(S208/P208)*100</f>
        <v>3.753351206</v>
      </c>
      <c r="W208" s="7">
        <f t="shared" si="448"/>
        <v>2.088772846</v>
      </c>
      <c r="X208" s="7">
        <f t="shared" si="448"/>
        <v>1.994301994</v>
      </c>
      <c r="Y208" s="7">
        <f t="shared" si="397"/>
        <v>2.921062026</v>
      </c>
    </row>
    <row r="209" ht="14.25" customHeight="1">
      <c r="A209" s="1" t="s">
        <v>307</v>
      </c>
      <c r="B209" s="1" t="s">
        <v>319</v>
      </c>
      <c r="C209" s="1" t="s">
        <v>320</v>
      </c>
      <c r="D209" s="1" t="s">
        <v>321</v>
      </c>
      <c r="E209" s="5">
        <v>50301.0</v>
      </c>
      <c r="F209" s="6">
        <v>1371.0</v>
      </c>
      <c r="G209" s="6">
        <v>1442.0</v>
      </c>
      <c r="H209" s="6">
        <v>1472.0</v>
      </c>
      <c r="I209" s="6">
        <v>174.0</v>
      </c>
      <c r="J209" s="6">
        <v>171.0</v>
      </c>
      <c r="K209" s="6">
        <v>169.0</v>
      </c>
      <c r="L209" s="7">
        <f t="shared" ref="L209:N209" si="449">(I209/F209)*100</f>
        <v>12.69146608</v>
      </c>
      <c r="M209" s="7">
        <f t="shared" si="449"/>
        <v>11.85852982</v>
      </c>
      <c r="N209" s="7">
        <f t="shared" si="449"/>
        <v>11.48097826</v>
      </c>
      <c r="O209" s="7">
        <f t="shared" si="395"/>
        <v>12.01032472</v>
      </c>
      <c r="P209" s="6">
        <v>1322.0</v>
      </c>
      <c r="Q209" s="6">
        <v>1338.0</v>
      </c>
      <c r="R209" s="6">
        <v>1372.0</v>
      </c>
      <c r="S209" s="6">
        <v>52.0</v>
      </c>
      <c r="T209" s="6">
        <v>48.0</v>
      </c>
      <c r="U209" s="6">
        <v>44.0</v>
      </c>
      <c r="V209" s="7">
        <f t="shared" ref="V209:X209" si="450">(S209/P209)*100</f>
        <v>3.933434191</v>
      </c>
      <c r="W209" s="7">
        <f t="shared" si="450"/>
        <v>3.587443946</v>
      </c>
      <c r="X209" s="7">
        <f t="shared" si="450"/>
        <v>3.206997085</v>
      </c>
      <c r="Y209" s="7">
        <f t="shared" si="397"/>
        <v>3.760439068</v>
      </c>
    </row>
    <row r="210" ht="14.25" customHeight="1">
      <c r="A210" s="1" t="s">
        <v>307</v>
      </c>
      <c r="B210" s="1" t="s">
        <v>319</v>
      </c>
      <c r="C210" s="1" t="s">
        <v>322</v>
      </c>
      <c r="D210" s="1" t="s">
        <v>322</v>
      </c>
      <c r="E210" s="5">
        <v>50302.0</v>
      </c>
      <c r="F210" s="6">
        <v>432.0</v>
      </c>
      <c r="G210" s="6">
        <v>431.0</v>
      </c>
      <c r="H210" s="6">
        <v>434.0</v>
      </c>
      <c r="I210" s="6">
        <v>28.0</v>
      </c>
      <c r="J210" s="6">
        <v>29.0</v>
      </c>
      <c r="K210" s="6">
        <v>25.0</v>
      </c>
      <c r="L210" s="7">
        <f t="shared" ref="L210:N210" si="451">(I210/F210)*100</f>
        <v>6.481481481</v>
      </c>
      <c r="M210" s="7">
        <f t="shared" si="451"/>
        <v>6.728538283</v>
      </c>
      <c r="N210" s="7">
        <f t="shared" si="451"/>
        <v>5.760368664</v>
      </c>
      <c r="O210" s="7">
        <f t="shared" si="395"/>
        <v>6.323462809</v>
      </c>
      <c r="P210" s="6">
        <v>424.0</v>
      </c>
      <c r="Q210" s="6">
        <v>404.0</v>
      </c>
      <c r="R210" s="6">
        <v>377.0</v>
      </c>
      <c r="S210" s="6">
        <v>14.0</v>
      </c>
      <c r="T210" s="6">
        <v>10.0</v>
      </c>
      <c r="U210" s="6">
        <v>14.0</v>
      </c>
      <c r="V210" s="7">
        <f t="shared" ref="V210:X210" si="452">(S210/P210)*100</f>
        <v>3.301886792</v>
      </c>
      <c r="W210" s="7">
        <f t="shared" si="452"/>
        <v>2.475247525</v>
      </c>
      <c r="X210" s="7">
        <f t="shared" si="452"/>
        <v>3.713527851</v>
      </c>
      <c r="Y210" s="7">
        <f t="shared" si="397"/>
        <v>2.888567159</v>
      </c>
    </row>
    <row r="211" ht="14.25" customHeight="1">
      <c r="A211" s="1" t="s">
        <v>307</v>
      </c>
      <c r="B211" s="1" t="s">
        <v>319</v>
      </c>
      <c r="C211" s="1" t="s">
        <v>323</v>
      </c>
      <c r="D211" s="1" t="s">
        <v>323</v>
      </c>
      <c r="E211" s="5">
        <v>50303.0</v>
      </c>
      <c r="F211" s="6">
        <v>216.0</v>
      </c>
      <c r="G211" s="6">
        <v>239.0</v>
      </c>
      <c r="H211" s="6">
        <v>250.0</v>
      </c>
      <c r="I211" s="6">
        <v>74.0</v>
      </c>
      <c r="J211" s="6">
        <v>76.0</v>
      </c>
      <c r="K211" s="6">
        <v>55.0</v>
      </c>
      <c r="L211" s="7">
        <f t="shared" ref="L211:N211" si="453">(I211/F211)*100</f>
        <v>34.25925926</v>
      </c>
      <c r="M211" s="7">
        <f t="shared" si="453"/>
        <v>31.79916318</v>
      </c>
      <c r="N211" s="7">
        <f t="shared" si="453"/>
        <v>22</v>
      </c>
      <c r="O211" s="7">
        <f t="shared" si="395"/>
        <v>29.35280748</v>
      </c>
      <c r="P211" s="6">
        <v>316.0</v>
      </c>
      <c r="Q211" s="6">
        <v>303.0</v>
      </c>
      <c r="R211" s="6">
        <v>305.0</v>
      </c>
      <c r="S211" s="6">
        <v>22.0</v>
      </c>
      <c r="T211" s="6">
        <v>14.0</v>
      </c>
      <c r="U211" s="6">
        <v>16.0</v>
      </c>
      <c r="V211" s="7">
        <f t="shared" ref="V211:X211" si="454">(S211/P211)*100</f>
        <v>6.962025316</v>
      </c>
      <c r="W211" s="7">
        <f t="shared" si="454"/>
        <v>4.620462046</v>
      </c>
      <c r="X211" s="7">
        <f t="shared" si="454"/>
        <v>5.245901639</v>
      </c>
      <c r="Y211" s="7">
        <f t="shared" si="397"/>
        <v>5.791243681</v>
      </c>
    </row>
    <row r="212" ht="14.25" customHeight="1">
      <c r="A212" s="1" t="s">
        <v>307</v>
      </c>
      <c r="B212" s="1" t="s">
        <v>316</v>
      </c>
      <c r="C212" s="1" t="s">
        <v>324</v>
      </c>
      <c r="D212" s="1" t="s">
        <v>324</v>
      </c>
      <c r="E212" s="5">
        <v>50401.0</v>
      </c>
      <c r="F212" s="6">
        <v>594.0</v>
      </c>
      <c r="G212" s="6">
        <v>620.0</v>
      </c>
      <c r="H212" s="6">
        <v>650.0</v>
      </c>
      <c r="I212" s="6">
        <v>291.0</v>
      </c>
      <c r="J212" s="6">
        <v>236.0</v>
      </c>
      <c r="K212" s="6">
        <v>198.0</v>
      </c>
      <c r="L212" s="7">
        <f t="shared" ref="L212:N212" si="455">(I212/F212)*100</f>
        <v>48.98989899</v>
      </c>
      <c r="M212" s="7">
        <f t="shared" si="455"/>
        <v>38.06451613</v>
      </c>
      <c r="N212" s="7">
        <f t="shared" si="455"/>
        <v>30.46153846</v>
      </c>
      <c r="O212" s="7">
        <f t="shared" si="395"/>
        <v>39.17198453</v>
      </c>
      <c r="P212" s="6">
        <v>1152.0</v>
      </c>
      <c r="Q212" s="6">
        <v>1140.0</v>
      </c>
      <c r="R212" s="6">
        <v>1172.0</v>
      </c>
      <c r="S212" s="6">
        <v>87.0</v>
      </c>
      <c r="T212" s="6">
        <v>62.0</v>
      </c>
      <c r="U212" s="6">
        <v>67.0</v>
      </c>
      <c r="V212" s="7">
        <f t="shared" ref="V212:X212" si="456">(S212/P212)*100</f>
        <v>7.552083333</v>
      </c>
      <c r="W212" s="7">
        <f t="shared" si="456"/>
        <v>5.438596491</v>
      </c>
      <c r="X212" s="7">
        <f t="shared" si="456"/>
        <v>5.716723549</v>
      </c>
      <c r="Y212" s="7">
        <f t="shared" si="397"/>
        <v>6.495339912</v>
      </c>
    </row>
    <row r="213" ht="14.25" customHeight="1">
      <c r="A213" s="1" t="s">
        <v>307</v>
      </c>
      <c r="B213" s="1" t="s">
        <v>316</v>
      </c>
      <c r="C213" s="1" t="s">
        <v>325</v>
      </c>
      <c r="D213" s="1" t="s">
        <v>325</v>
      </c>
      <c r="E213" s="5">
        <v>50402.0</v>
      </c>
      <c r="F213" s="6">
        <v>396.0</v>
      </c>
      <c r="G213" s="6">
        <v>425.0</v>
      </c>
      <c r="H213" s="6">
        <v>434.0</v>
      </c>
      <c r="I213" s="6">
        <v>133.0</v>
      </c>
      <c r="J213" s="6">
        <v>117.0</v>
      </c>
      <c r="K213" s="6">
        <v>148.0</v>
      </c>
      <c r="L213" s="7">
        <f t="shared" ref="L213:N213" si="457">(I213/F213)*100</f>
        <v>33.58585859</v>
      </c>
      <c r="M213" s="7">
        <f t="shared" si="457"/>
        <v>27.52941176</v>
      </c>
      <c r="N213" s="7">
        <f t="shared" si="457"/>
        <v>34.10138249</v>
      </c>
      <c r="O213" s="7">
        <f t="shared" si="395"/>
        <v>31.73888428</v>
      </c>
      <c r="P213" s="6">
        <v>489.0</v>
      </c>
      <c r="Q213" s="6">
        <v>470.0</v>
      </c>
      <c r="R213" s="6">
        <v>449.0</v>
      </c>
      <c r="S213" s="6">
        <v>27.0</v>
      </c>
      <c r="T213" s="6">
        <v>20.0</v>
      </c>
      <c r="U213" s="6">
        <v>21.0</v>
      </c>
      <c r="V213" s="7">
        <f t="shared" ref="V213:X213" si="458">(S213/P213)*100</f>
        <v>5.521472393</v>
      </c>
      <c r="W213" s="7">
        <f t="shared" si="458"/>
        <v>4.255319149</v>
      </c>
      <c r="X213" s="7">
        <f t="shared" si="458"/>
        <v>4.677060134</v>
      </c>
      <c r="Y213" s="7">
        <f t="shared" si="397"/>
        <v>4.888395771</v>
      </c>
    </row>
    <row r="214" ht="14.25" customHeight="1">
      <c r="A214" s="1" t="s">
        <v>307</v>
      </c>
      <c r="B214" s="1" t="s">
        <v>316</v>
      </c>
      <c r="C214" s="1" t="s">
        <v>326</v>
      </c>
      <c r="D214" s="1" t="s">
        <v>326</v>
      </c>
      <c r="E214" s="5">
        <v>50403.0</v>
      </c>
      <c r="F214" s="6">
        <v>807.0</v>
      </c>
      <c r="G214" s="6">
        <v>830.0</v>
      </c>
      <c r="H214" s="6">
        <v>872.0</v>
      </c>
      <c r="I214" s="6">
        <v>156.0</v>
      </c>
      <c r="J214" s="6">
        <v>173.0</v>
      </c>
      <c r="K214" s="6">
        <v>183.0</v>
      </c>
      <c r="L214" s="7">
        <f t="shared" ref="L214:N214" si="459">(I214/F214)*100</f>
        <v>19.33085502</v>
      </c>
      <c r="M214" s="7">
        <f t="shared" si="459"/>
        <v>20.84337349</v>
      </c>
      <c r="N214" s="7">
        <f t="shared" si="459"/>
        <v>20.98623853</v>
      </c>
      <c r="O214" s="7">
        <f t="shared" si="395"/>
        <v>20.38682235</v>
      </c>
      <c r="P214" s="6">
        <v>985.0</v>
      </c>
      <c r="Q214" s="6">
        <v>949.0</v>
      </c>
      <c r="R214" s="6">
        <v>928.0</v>
      </c>
      <c r="S214" s="6">
        <v>55.0</v>
      </c>
      <c r="T214" s="6">
        <v>67.0</v>
      </c>
      <c r="U214" s="6">
        <v>60.0</v>
      </c>
      <c r="V214" s="7">
        <f t="shared" ref="V214:X214" si="460">(S214/P214)*100</f>
        <v>5.583756345</v>
      </c>
      <c r="W214" s="7">
        <f t="shared" si="460"/>
        <v>7.060063224</v>
      </c>
      <c r="X214" s="7">
        <f t="shared" si="460"/>
        <v>6.465517241</v>
      </c>
      <c r="Y214" s="7">
        <f t="shared" si="397"/>
        <v>6.321909785</v>
      </c>
    </row>
    <row r="215" ht="14.25" customHeight="1">
      <c r="A215" s="1" t="s">
        <v>307</v>
      </c>
      <c r="B215" s="1" t="s">
        <v>316</v>
      </c>
      <c r="C215" s="1" t="s">
        <v>327</v>
      </c>
      <c r="D215" s="1" t="s">
        <v>327</v>
      </c>
      <c r="E215" s="5">
        <v>50404.0</v>
      </c>
      <c r="F215" s="6">
        <v>353.0</v>
      </c>
      <c r="G215" s="6">
        <v>418.0</v>
      </c>
      <c r="H215" s="6">
        <v>439.0</v>
      </c>
      <c r="I215" s="6">
        <v>92.0</v>
      </c>
      <c r="J215" s="6">
        <v>113.0</v>
      </c>
      <c r="K215" s="6">
        <v>98.0</v>
      </c>
      <c r="L215" s="7">
        <f t="shared" ref="L215:N215" si="461">(I215/F215)*100</f>
        <v>26.06232295</v>
      </c>
      <c r="M215" s="7">
        <f t="shared" si="461"/>
        <v>27.03349282</v>
      </c>
      <c r="N215" s="7">
        <f t="shared" si="461"/>
        <v>22.32346241</v>
      </c>
      <c r="O215" s="7">
        <f t="shared" si="395"/>
        <v>25.13975939</v>
      </c>
      <c r="P215" s="6">
        <v>420.0</v>
      </c>
      <c r="Q215" s="6">
        <v>372.0</v>
      </c>
      <c r="R215" s="6">
        <v>374.0</v>
      </c>
      <c r="S215" s="6">
        <v>29.0</v>
      </c>
      <c r="T215" s="6">
        <v>14.0</v>
      </c>
      <c r="U215" s="6">
        <v>9.0</v>
      </c>
      <c r="V215" s="7">
        <f t="shared" ref="V215:X215" si="462">(S215/P215)*100</f>
        <v>6.904761905</v>
      </c>
      <c r="W215" s="7">
        <f t="shared" si="462"/>
        <v>3.76344086</v>
      </c>
      <c r="X215" s="7">
        <f t="shared" si="462"/>
        <v>2.406417112</v>
      </c>
      <c r="Y215" s="7">
        <f t="shared" si="397"/>
        <v>5.334101382</v>
      </c>
    </row>
    <row r="216" ht="14.25" customHeight="1">
      <c r="A216" s="1" t="s">
        <v>307</v>
      </c>
      <c r="B216" s="1" t="s">
        <v>316</v>
      </c>
      <c r="C216" s="1" t="s">
        <v>328</v>
      </c>
      <c r="D216" s="1" t="s">
        <v>328</v>
      </c>
      <c r="E216" s="5">
        <v>50405.0</v>
      </c>
      <c r="F216" s="6">
        <v>594.0</v>
      </c>
      <c r="G216" s="6">
        <v>620.0</v>
      </c>
      <c r="H216" s="6">
        <v>650.0</v>
      </c>
      <c r="I216" s="6">
        <v>291.0</v>
      </c>
      <c r="J216" s="6">
        <v>236.0</v>
      </c>
      <c r="K216" s="6">
        <v>198.0</v>
      </c>
      <c r="L216" s="7">
        <f t="shared" ref="L216:N216" si="463">(I216/F216)*100</f>
        <v>48.98989899</v>
      </c>
      <c r="M216" s="7">
        <f t="shared" si="463"/>
        <v>38.06451613</v>
      </c>
      <c r="N216" s="7">
        <f t="shared" si="463"/>
        <v>30.46153846</v>
      </c>
      <c r="O216" s="7">
        <f t="shared" si="395"/>
        <v>39.17198453</v>
      </c>
      <c r="P216" s="12">
        <v>1152.0</v>
      </c>
      <c r="Q216" s="12">
        <v>1140.0</v>
      </c>
      <c r="R216" s="6">
        <v>1172.0</v>
      </c>
      <c r="S216" s="12">
        <v>87.0</v>
      </c>
      <c r="T216" s="12">
        <v>62.0</v>
      </c>
      <c r="U216" s="12">
        <v>67.0</v>
      </c>
      <c r="V216" s="7">
        <f t="shared" ref="V216:X216" si="464">(S216/P216)*100</f>
        <v>7.552083333</v>
      </c>
      <c r="W216" s="7">
        <f t="shared" si="464"/>
        <v>5.438596491</v>
      </c>
      <c r="X216" s="7">
        <f t="shared" si="464"/>
        <v>5.716723549</v>
      </c>
      <c r="Y216" s="7">
        <f t="shared" si="397"/>
        <v>6.495339912</v>
      </c>
    </row>
    <row r="217" ht="14.25" customHeight="1">
      <c r="A217" s="1" t="s">
        <v>307</v>
      </c>
      <c r="B217" s="1" t="s">
        <v>329</v>
      </c>
      <c r="C217" s="1" t="s">
        <v>330</v>
      </c>
      <c r="D217" s="1" t="s">
        <v>330</v>
      </c>
      <c r="E217" s="5">
        <v>50501.0</v>
      </c>
      <c r="F217" s="6">
        <v>708.0</v>
      </c>
      <c r="G217" s="6">
        <v>767.0</v>
      </c>
      <c r="H217" s="6">
        <v>841.0</v>
      </c>
      <c r="I217" s="6">
        <v>190.0</v>
      </c>
      <c r="J217" s="6">
        <v>211.0</v>
      </c>
      <c r="K217" s="6">
        <v>264.0</v>
      </c>
      <c r="L217" s="7">
        <f t="shared" ref="L217:N217" si="465">(I217/F217)*100</f>
        <v>26.83615819</v>
      </c>
      <c r="M217" s="7">
        <f t="shared" si="465"/>
        <v>27.50977836</v>
      </c>
      <c r="N217" s="7">
        <f t="shared" si="465"/>
        <v>31.39120095</v>
      </c>
      <c r="O217" s="7">
        <f t="shared" si="395"/>
        <v>28.57904583</v>
      </c>
      <c r="P217" s="6">
        <v>978.0</v>
      </c>
      <c r="Q217" s="6">
        <v>986.0</v>
      </c>
      <c r="R217" s="6">
        <v>999.0</v>
      </c>
      <c r="S217" s="6">
        <v>90.0</v>
      </c>
      <c r="T217" s="6">
        <v>113.0</v>
      </c>
      <c r="U217" s="6">
        <v>83.0</v>
      </c>
      <c r="V217" s="7">
        <f t="shared" ref="V217:X217" si="466">(S217/P217)*100</f>
        <v>9.202453988</v>
      </c>
      <c r="W217" s="7">
        <f t="shared" si="466"/>
        <v>11.46044625</v>
      </c>
      <c r="X217" s="7">
        <f t="shared" si="466"/>
        <v>8.308308308</v>
      </c>
      <c r="Y217" s="7">
        <f t="shared" si="397"/>
        <v>10.33145012</v>
      </c>
    </row>
    <row r="218" ht="14.25" customHeight="1">
      <c r="A218" s="1" t="s">
        <v>307</v>
      </c>
      <c r="B218" s="1" t="s">
        <v>329</v>
      </c>
      <c r="C218" s="1" t="s">
        <v>331</v>
      </c>
      <c r="D218" s="1" t="s">
        <v>331</v>
      </c>
      <c r="E218" s="5">
        <v>50502.0</v>
      </c>
      <c r="F218" s="6">
        <v>342.0</v>
      </c>
      <c r="G218" s="6">
        <v>357.0</v>
      </c>
      <c r="H218" s="6">
        <v>397.0</v>
      </c>
      <c r="I218" s="6">
        <v>70.0</v>
      </c>
      <c r="J218" s="6">
        <v>70.0</v>
      </c>
      <c r="K218" s="6">
        <v>78.0</v>
      </c>
      <c r="L218" s="7">
        <f t="shared" ref="L218:N218" si="467">(I218/F218)*100</f>
        <v>20.46783626</v>
      </c>
      <c r="M218" s="7">
        <f t="shared" si="467"/>
        <v>19.60784314</v>
      </c>
      <c r="N218" s="7">
        <f t="shared" si="467"/>
        <v>19.64735516</v>
      </c>
      <c r="O218" s="7">
        <f t="shared" si="395"/>
        <v>19.90767819</v>
      </c>
      <c r="P218" s="6">
        <v>531.0</v>
      </c>
      <c r="Q218" s="6">
        <v>518.0</v>
      </c>
      <c r="R218" s="6">
        <v>498.0</v>
      </c>
      <c r="S218" s="6">
        <v>46.0</v>
      </c>
      <c r="T218" s="6">
        <v>20.0</v>
      </c>
      <c r="U218" s="6">
        <v>36.0</v>
      </c>
      <c r="V218" s="7">
        <f t="shared" ref="V218:X218" si="468">(S218/P218)*100</f>
        <v>8.662900188</v>
      </c>
      <c r="W218" s="7">
        <f t="shared" si="468"/>
        <v>3.861003861</v>
      </c>
      <c r="X218" s="7">
        <f t="shared" si="468"/>
        <v>7.228915663</v>
      </c>
      <c r="Y218" s="7">
        <f t="shared" si="397"/>
        <v>6.261952025</v>
      </c>
    </row>
    <row r="219" ht="14.25" customHeight="1">
      <c r="A219" s="1" t="s">
        <v>307</v>
      </c>
      <c r="B219" s="1" t="s">
        <v>332</v>
      </c>
      <c r="C219" s="1" t="s">
        <v>333</v>
      </c>
      <c r="D219" s="1" t="s">
        <v>333</v>
      </c>
      <c r="E219" s="5">
        <v>50601.0</v>
      </c>
      <c r="F219" s="6">
        <v>1077.0</v>
      </c>
      <c r="G219" s="6">
        <v>1187.0</v>
      </c>
      <c r="H219" s="6">
        <v>1133.0</v>
      </c>
      <c r="I219" s="6">
        <v>153.0</v>
      </c>
      <c r="J219" s="6">
        <v>174.0</v>
      </c>
      <c r="K219" s="6">
        <v>118.0</v>
      </c>
      <c r="L219" s="7">
        <f t="shared" ref="L219:N219" si="469">(I219/F219)*100</f>
        <v>14.20612813</v>
      </c>
      <c r="M219" s="7">
        <f t="shared" si="469"/>
        <v>14.65880371</v>
      </c>
      <c r="N219" s="7">
        <f t="shared" si="469"/>
        <v>10.41482789</v>
      </c>
      <c r="O219" s="7">
        <f t="shared" si="395"/>
        <v>13.09325324</v>
      </c>
      <c r="P219" s="6">
        <v>1129.0</v>
      </c>
      <c r="Q219" s="6">
        <v>1114.0</v>
      </c>
      <c r="R219" s="6">
        <v>1093.0</v>
      </c>
      <c r="S219" s="6">
        <v>43.0</v>
      </c>
      <c r="T219" s="6">
        <v>42.0</v>
      </c>
      <c r="U219" s="6">
        <v>31.0</v>
      </c>
      <c r="V219" s="7">
        <f t="shared" ref="V219:X219" si="470">(S219/P219)*100</f>
        <v>3.808680248</v>
      </c>
      <c r="W219" s="7">
        <f t="shared" si="470"/>
        <v>3.770197487</v>
      </c>
      <c r="X219" s="7">
        <f t="shared" si="470"/>
        <v>2.836230558</v>
      </c>
      <c r="Y219" s="7">
        <f t="shared" si="397"/>
        <v>3.789438867</v>
      </c>
    </row>
    <row r="220" ht="14.25" customHeight="1">
      <c r="A220" s="1" t="s">
        <v>307</v>
      </c>
      <c r="B220" s="1" t="s">
        <v>332</v>
      </c>
      <c r="C220" s="1" t="s">
        <v>334</v>
      </c>
      <c r="D220" s="1" t="s">
        <v>335</v>
      </c>
      <c r="E220" s="5">
        <v>50602.0</v>
      </c>
      <c r="F220" s="6">
        <v>417.0</v>
      </c>
      <c r="G220" s="6">
        <v>444.0</v>
      </c>
      <c r="H220" s="6">
        <v>458.0</v>
      </c>
      <c r="I220" s="6">
        <v>27.0</v>
      </c>
      <c r="J220" s="6">
        <v>46.0</v>
      </c>
      <c r="K220" s="6">
        <v>34.0</v>
      </c>
      <c r="L220" s="7">
        <f t="shared" ref="L220:N220" si="471">(I220/F220)*100</f>
        <v>6.474820144</v>
      </c>
      <c r="M220" s="7">
        <f t="shared" si="471"/>
        <v>10.36036036</v>
      </c>
      <c r="N220" s="7">
        <f t="shared" si="471"/>
        <v>7.423580786</v>
      </c>
      <c r="O220" s="7">
        <f t="shared" si="395"/>
        <v>8.086253763</v>
      </c>
      <c r="P220" s="6">
        <v>415.0</v>
      </c>
      <c r="Q220" s="6">
        <v>395.0</v>
      </c>
      <c r="R220" s="6">
        <v>378.0</v>
      </c>
      <c r="S220" s="6">
        <v>10.0</v>
      </c>
      <c r="T220" s="6">
        <v>10.0</v>
      </c>
      <c r="U220" s="6">
        <v>18.0</v>
      </c>
      <c r="V220" s="7">
        <f t="shared" ref="V220:X220" si="472">(S220/P220)*100</f>
        <v>2.409638554</v>
      </c>
      <c r="W220" s="7">
        <f t="shared" si="472"/>
        <v>2.53164557</v>
      </c>
      <c r="X220" s="7">
        <f t="shared" si="472"/>
        <v>4.761904762</v>
      </c>
      <c r="Y220" s="7">
        <f t="shared" si="397"/>
        <v>2.470642062</v>
      </c>
    </row>
    <row r="221" ht="14.25" customHeight="1">
      <c r="A221" s="1" t="s">
        <v>307</v>
      </c>
      <c r="B221" s="1" t="s">
        <v>336</v>
      </c>
      <c r="C221" s="1" t="s">
        <v>337</v>
      </c>
      <c r="D221" s="1" t="s">
        <v>338</v>
      </c>
      <c r="E221" s="5">
        <v>50701.0</v>
      </c>
      <c r="F221" s="6">
        <v>442.0</v>
      </c>
      <c r="G221" s="6">
        <v>517.0</v>
      </c>
      <c r="H221" s="6">
        <v>547.0</v>
      </c>
      <c r="I221" s="6">
        <v>140.0</v>
      </c>
      <c r="J221" s="6">
        <v>122.0</v>
      </c>
      <c r="K221" s="6">
        <v>120.0</v>
      </c>
      <c r="L221" s="7">
        <f t="shared" ref="L221:N221" si="473">(I221/F221)*100</f>
        <v>31.67420814</v>
      </c>
      <c r="M221" s="7">
        <f t="shared" si="473"/>
        <v>23.59767892</v>
      </c>
      <c r="N221" s="7">
        <f t="shared" si="473"/>
        <v>21.93784278</v>
      </c>
      <c r="O221" s="7">
        <f t="shared" si="395"/>
        <v>25.73657661</v>
      </c>
      <c r="P221" s="6">
        <v>694.0</v>
      </c>
      <c r="Q221" s="6">
        <v>677.0</v>
      </c>
      <c r="R221" s="6">
        <v>673.0</v>
      </c>
      <c r="S221" s="6">
        <v>55.0</v>
      </c>
      <c r="T221" s="6">
        <v>35.0</v>
      </c>
      <c r="U221" s="6">
        <v>26.0</v>
      </c>
      <c r="V221" s="7">
        <f t="shared" ref="V221:X221" si="474">(S221/P221)*100</f>
        <v>7.925072046</v>
      </c>
      <c r="W221" s="7">
        <f t="shared" si="474"/>
        <v>5.169867061</v>
      </c>
      <c r="X221" s="7">
        <f t="shared" si="474"/>
        <v>3.863298663</v>
      </c>
      <c r="Y221" s="7">
        <f t="shared" si="397"/>
        <v>6.547469553</v>
      </c>
    </row>
    <row r="222" ht="14.25" customHeight="1">
      <c r="A222" s="1" t="s">
        <v>307</v>
      </c>
      <c r="B222" s="1" t="s">
        <v>336</v>
      </c>
      <c r="C222" s="1" t="s">
        <v>339</v>
      </c>
      <c r="D222" s="1" t="s">
        <v>339</v>
      </c>
      <c r="E222" s="5">
        <v>50702.0</v>
      </c>
      <c r="F222" s="6">
        <v>329.0</v>
      </c>
      <c r="G222" s="6">
        <v>318.0</v>
      </c>
      <c r="H222" s="6">
        <v>300.0</v>
      </c>
      <c r="I222" s="6">
        <v>39.0</v>
      </c>
      <c r="J222" s="6">
        <v>53.0</v>
      </c>
      <c r="K222" s="6">
        <v>44.0</v>
      </c>
      <c r="L222" s="7">
        <f t="shared" ref="L222:N222" si="475">(I222/F222)*100</f>
        <v>11.85410334</v>
      </c>
      <c r="M222" s="7">
        <f t="shared" si="475"/>
        <v>16.66666667</v>
      </c>
      <c r="N222" s="7">
        <f t="shared" si="475"/>
        <v>14.66666667</v>
      </c>
      <c r="O222" s="7">
        <f t="shared" si="395"/>
        <v>14.39581223</v>
      </c>
      <c r="P222" s="6">
        <v>272.0</v>
      </c>
      <c r="Q222" s="6">
        <v>265.0</v>
      </c>
      <c r="R222" s="6">
        <v>264.0</v>
      </c>
      <c r="S222" s="6">
        <v>20.0</v>
      </c>
      <c r="T222" s="6">
        <v>19.0</v>
      </c>
      <c r="U222" s="6">
        <v>22.0</v>
      </c>
      <c r="V222" s="7">
        <f t="shared" ref="V222:X222" si="476">(S222/P222)*100</f>
        <v>7.352941176</v>
      </c>
      <c r="W222" s="7">
        <f t="shared" si="476"/>
        <v>7.169811321</v>
      </c>
      <c r="X222" s="7">
        <f t="shared" si="476"/>
        <v>8.333333333</v>
      </c>
      <c r="Y222" s="7">
        <f t="shared" si="397"/>
        <v>7.261376249</v>
      </c>
    </row>
    <row r="223" ht="14.25" customHeight="1">
      <c r="A223" s="1" t="s">
        <v>307</v>
      </c>
      <c r="B223" s="1" t="s">
        <v>340</v>
      </c>
      <c r="C223" s="1" t="s">
        <v>341</v>
      </c>
      <c r="D223" s="1" t="s">
        <v>341</v>
      </c>
      <c r="E223" s="5">
        <v>50801.0</v>
      </c>
      <c r="F223" s="6">
        <v>2522.0</v>
      </c>
      <c r="G223" s="6">
        <v>2552.0</v>
      </c>
      <c r="H223" s="6">
        <v>2554.0</v>
      </c>
      <c r="I223" s="6">
        <v>150.0</v>
      </c>
      <c r="J223" s="6">
        <v>129.0</v>
      </c>
      <c r="K223" s="6">
        <v>129.0</v>
      </c>
      <c r="L223" s="7">
        <f t="shared" ref="L223:N223" si="477">(I223/F223)*100</f>
        <v>5.947660587</v>
      </c>
      <c r="M223" s="7">
        <f t="shared" si="477"/>
        <v>5.054858934</v>
      </c>
      <c r="N223" s="7">
        <f t="shared" si="477"/>
        <v>5.050900548</v>
      </c>
      <c r="O223" s="7">
        <f t="shared" si="395"/>
        <v>5.351140023</v>
      </c>
      <c r="P223" s="6">
        <v>2531.0</v>
      </c>
      <c r="Q223" s="6">
        <v>2575.0</v>
      </c>
      <c r="R223" s="6">
        <v>2641.0</v>
      </c>
      <c r="S223" s="6">
        <v>64.0</v>
      </c>
      <c r="T223" s="6">
        <v>39.0</v>
      </c>
      <c r="U223" s="6">
        <v>32.0</v>
      </c>
      <c r="V223" s="7">
        <f t="shared" ref="V223:X223" si="478">(S223/P223)*100</f>
        <v>2.528644804</v>
      </c>
      <c r="W223" s="7">
        <f t="shared" si="478"/>
        <v>1.514563107</v>
      </c>
      <c r="X223" s="7">
        <f t="shared" si="478"/>
        <v>1.211662249</v>
      </c>
      <c r="Y223" s="7">
        <f t="shared" si="397"/>
        <v>2.021603956</v>
      </c>
    </row>
    <row r="224" ht="14.25" customHeight="1">
      <c r="A224" s="1" t="s">
        <v>307</v>
      </c>
      <c r="B224" s="1" t="s">
        <v>340</v>
      </c>
      <c r="C224" s="1" t="s">
        <v>342</v>
      </c>
      <c r="D224" s="1" t="s">
        <v>342</v>
      </c>
      <c r="E224" s="5">
        <v>50802.0</v>
      </c>
      <c r="F224" s="6">
        <v>726.0</v>
      </c>
      <c r="G224" s="6">
        <v>719.0</v>
      </c>
      <c r="H224" s="6">
        <v>726.0</v>
      </c>
      <c r="I224" s="6">
        <v>38.0</v>
      </c>
      <c r="J224" s="6">
        <v>26.0</v>
      </c>
      <c r="K224" s="6">
        <v>36.0</v>
      </c>
      <c r="L224" s="7">
        <f t="shared" ref="L224:N224" si="479">(I224/F224)*100</f>
        <v>5.23415978</v>
      </c>
      <c r="M224" s="7">
        <f t="shared" si="479"/>
        <v>3.616133519</v>
      </c>
      <c r="N224" s="7">
        <f t="shared" si="479"/>
        <v>4.958677686</v>
      </c>
      <c r="O224" s="7">
        <f t="shared" si="395"/>
        <v>4.602990328</v>
      </c>
      <c r="P224" s="6">
        <v>672.0</v>
      </c>
      <c r="Q224" s="6">
        <v>659.0</v>
      </c>
      <c r="R224" s="6">
        <v>661.0</v>
      </c>
      <c r="S224" s="6">
        <v>9.0</v>
      </c>
      <c r="T224" s="6">
        <v>10.0</v>
      </c>
      <c r="U224" s="6">
        <v>4.0</v>
      </c>
      <c r="V224" s="7">
        <f t="shared" ref="V224:X224" si="480">(S224/P224)*100</f>
        <v>1.339285714</v>
      </c>
      <c r="W224" s="7">
        <f t="shared" si="480"/>
        <v>1.517450683</v>
      </c>
      <c r="X224" s="7">
        <f t="shared" si="480"/>
        <v>0.6051437216</v>
      </c>
      <c r="Y224" s="7">
        <f t="shared" si="397"/>
        <v>1.428368199</v>
      </c>
    </row>
    <row r="225" ht="14.25" customHeight="1">
      <c r="A225" s="1" t="s">
        <v>307</v>
      </c>
      <c r="B225" s="1" t="s">
        <v>343</v>
      </c>
      <c r="C225" s="1" t="s">
        <v>344</v>
      </c>
      <c r="D225" s="1" t="s">
        <v>345</v>
      </c>
      <c r="E225" s="5">
        <v>50901.0</v>
      </c>
      <c r="F225" s="6">
        <v>456.0</v>
      </c>
      <c r="G225" s="6">
        <v>506.0</v>
      </c>
      <c r="H225" s="6">
        <v>541.0</v>
      </c>
      <c r="I225" s="6">
        <v>21.0</v>
      </c>
      <c r="J225" s="6">
        <v>30.0</v>
      </c>
      <c r="K225" s="6">
        <v>34.0</v>
      </c>
      <c r="L225" s="7">
        <f t="shared" ref="L225:N225" si="481">(I225/F225)*100</f>
        <v>4.605263158</v>
      </c>
      <c r="M225" s="7">
        <f t="shared" si="481"/>
        <v>5.928853755</v>
      </c>
      <c r="N225" s="7">
        <f t="shared" si="481"/>
        <v>6.284658041</v>
      </c>
      <c r="O225" s="7">
        <f t="shared" si="395"/>
        <v>5.606258318</v>
      </c>
      <c r="P225" s="6">
        <v>693.0</v>
      </c>
      <c r="Q225" s="6">
        <v>704.0</v>
      </c>
      <c r="R225" s="6">
        <v>693.0</v>
      </c>
      <c r="S225" s="6">
        <v>13.0</v>
      </c>
      <c r="T225" s="6">
        <v>10.0</v>
      </c>
      <c r="U225" s="6">
        <v>10.0</v>
      </c>
      <c r="V225" s="7">
        <f t="shared" ref="V225:X225" si="482">(S225/P225)*100</f>
        <v>1.875901876</v>
      </c>
      <c r="W225" s="7">
        <f t="shared" si="482"/>
        <v>1.420454545</v>
      </c>
      <c r="X225" s="7">
        <f t="shared" si="482"/>
        <v>1.443001443</v>
      </c>
      <c r="Y225" s="7">
        <f t="shared" si="397"/>
        <v>1.648178211</v>
      </c>
    </row>
    <row r="226" ht="14.25" customHeight="1">
      <c r="A226" s="1" t="s">
        <v>307</v>
      </c>
      <c r="B226" s="1" t="s">
        <v>343</v>
      </c>
      <c r="C226" s="1" t="s">
        <v>346</v>
      </c>
      <c r="D226" s="1" t="s">
        <v>347</v>
      </c>
      <c r="E226" s="5">
        <v>50902.0</v>
      </c>
      <c r="F226" s="6">
        <v>19.0</v>
      </c>
      <c r="G226" s="6">
        <v>15.0</v>
      </c>
      <c r="H226" s="6">
        <v>15.0</v>
      </c>
      <c r="I226" s="6">
        <v>0.0</v>
      </c>
      <c r="J226" s="6">
        <v>1.0</v>
      </c>
      <c r="K226" s="6">
        <v>0.0</v>
      </c>
      <c r="L226" s="7">
        <f t="shared" ref="L226:N226" si="483">(I226/F226)*100</f>
        <v>0</v>
      </c>
      <c r="M226" s="7">
        <f t="shared" si="483"/>
        <v>6.666666667</v>
      </c>
      <c r="N226" s="7">
        <f t="shared" si="483"/>
        <v>0</v>
      </c>
      <c r="O226" s="7">
        <f t="shared" si="395"/>
        <v>2.222222222</v>
      </c>
      <c r="P226" s="6">
        <v>25.0</v>
      </c>
      <c r="Q226" s="6">
        <v>21.0</v>
      </c>
      <c r="R226" s="6">
        <v>23.0</v>
      </c>
      <c r="S226" s="6">
        <v>5.0</v>
      </c>
      <c r="T226" s="6">
        <v>2.0</v>
      </c>
      <c r="U226" s="6">
        <v>1.0</v>
      </c>
      <c r="V226" s="7">
        <f t="shared" ref="V226:X226" si="484">(S226/P226)*100</f>
        <v>20</v>
      </c>
      <c r="W226" s="7">
        <f t="shared" si="484"/>
        <v>9.523809524</v>
      </c>
      <c r="X226" s="7">
        <f t="shared" si="484"/>
        <v>4.347826087</v>
      </c>
      <c r="Y226" s="7">
        <f t="shared" si="397"/>
        <v>14.76190476</v>
      </c>
    </row>
    <row r="227" ht="14.25" customHeight="1">
      <c r="A227" s="1" t="s">
        <v>307</v>
      </c>
      <c r="B227" s="1" t="s">
        <v>348</v>
      </c>
      <c r="C227" s="1" t="s">
        <v>349</v>
      </c>
      <c r="D227" s="1" t="s">
        <v>350</v>
      </c>
      <c r="E227" s="5">
        <v>51001.0</v>
      </c>
      <c r="F227" s="6">
        <v>100.0</v>
      </c>
      <c r="G227" s="6">
        <v>111.0</v>
      </c>
      <c r="H227" s="6">
        <v>103.0</v>
      </c>
      <c r="I227" s="6">
        <v>5.0</v>
      </c>
      <c r="J227" s="6">
        <v>11.0</v>
      </c>
      <c r="K227" s="6">
        <v>8.0</v>
      </c>
      <c r="L227" s="7">
        <f t="shared" ref="L227:N227" si="485">(I227/F227)*100</f>
        <v>5</v>
      </c>
      <c r="M227" s="7">
        <f t="shared" si="485"/>
        <v>9.90990991</v>
      </c>
      <c r="N227" s="7">
        <f t="shared" si="485"/>
        <v>7.766990291</v>
      </c>
      <c r="O227" s="7">
        <f t="shared" si="395"/>
        <v>7.558966734</v>
      </c>
      <c r="P227" s="6">
        <v>116.0</v>
      </c>
      <c r="Q227" s="6">
        <v>107.0</v>
      </c>
      <c r="R227" s="6">
        <v>112.0</v>
      </c>
      <c r="S227" s="6">
        <v>1.0</v>
      </c>
      <c r="T227" s="6">
        <v>0.0</v>
      </c>
      <c r="U227" s="6">
        <v>4.0</v>
      </c>
      <c r="V227" s="7">
        <f t="shared" ref="V227:X227" si="486">(S227/P227)*100</f>
        <v>0.8620689655</v>
      </c>
      <c r="W227" s="7">
        <f t="shared" si="486"/>
        <v>0</v>
      </c>
      <c r="X227" s="7">
        <f t="shared" si="486"/>
        <v>3.571428571</v>
      </c>
      <c r="Y227" s="7">
        <f t="shared" si="397"/>
        <v>0.4310344828</v>
      </c>
    </row>
    <row r="228" ht="14.25" customHeight="1">
      <c r="A228" s="1" t="s">
        <v>307</v>
      </c>
      <c r="B228" s="1" t="s">
        <v>348</v>
      </c>
      <c r="C228" s="1" t="s">
        <v>351</v>
      </c>
      <c r="D228" s="1" t="s">
        <v>351</v>
      </c>
      <c r="E228" s="5">
        <v>51002.0</v>
      </c>
      <c r="F228" s="6">
        <v>17.0</v>
      </c>
      <c r="G228" s="6">
        <v>20.0</v>
      </c>
      <c r="H228" s="6">
        <v>18.0</v>
      </c>
      <c r="I228" s="6">
        <v>2.0</v>
      </c>
      <c r="J228" s="6">
        <v>1.0</v>
      </c>
      <c r="K228" s="6">
        <v>1.0</v>
      </c>
      <c r="L228" s="7">
        <f t="shared" ref="L228:N228" si="487">(I228/F228)*100</f>
        <v>11.76470588</v>
      </c>
      <c r="M228" s="7">
        <f t="shared" si="487"/>
        <v>5</v>
      </c>
      <c r="N228" s="7">
        <f t="shared" si="487"/>
        <v>5.555555556</v>
      </c>
      <c r="O228" s="7">
        <f t="shared" si="395"/>
        <v>7.440087146</v>
      </c>
      <c r="P228" s="6">
        <v>30.0</v>
      </c>
      <c r="Q228" s="6">
        <v>33.0</v>
      </c>
      <c r="R228" s="6">
        <v>33.0</v>
      </c>
      <c r="S228" s="6">
        <v>0.0</v>
      </c>
      <c r="T228" s="6">
        <v>0.0</v>
      </c>
      <c r="U228" s="6"/>
      <c r="V228" s="7">
        <f t="shared" ref="V228:X228" si="488">(S228/P228)*100</f>
        <v>0</v>
      </c>
      <c r="W228" s="7">
        <f t="shared" si="488"/>
        <v>0</v>
      </c>
      <c r="X228" s="7">
        <f t="shared" si="488"/>
        <v>0</v>
      </c>
      <c r="Y228" s="7">
        <f t="shared" si="397"/>
        <v>0</v>
      </c>
    </row>
    <row r="229" ht="14.25" customHeight="1">
      <c r="A229" s="1" t="s">
        <v>307</v>
      </c>
      <c r="B229" s="1" t="s">
        <v>348</v>
      </c>
      <c r="C229" s="1" t="s">
        <v>352</v>
      </c>
      <c r="D229" s="1" t="s">
        <v>352</v>
      </c>
      <c r="E229" s="5">
        <v>51003.0</v>
      </c>
      <c r="F229" s="6">
        <v>51.0</v>
      </c>
      <c r="G229" s="6">
        <v>44.0</v>
      </c>
      <c r="H229" s="6">
        <v>50.0</v>
      </c>
      <c r="I229" s="6">
        <v>3.0</v>
      </c>
      <c r="J229" s="6">
        <v>2.0</v>
      </c>
      <c r="K229" s="6">
        <v>4.0</v>
      </c>
      <c r="L229" s="7">
        <f t="shared" ref="L229:N229" si="489">(I229/F229)*100</f>
        <v>5.882352941</v>
      </c>
      <c r="M229" s="7">
        <f t="shared" si="489"/>
        <v>4.545454545</v>
      </c>
      <c r="N229" s="7">
        <f t="shared" si="489"/>
        <v>8</v>
      </c>
      <c r="O229" s="7">
        <f t="shared" si="395"/>
        <v>6.142602496</v>
      </c>
      <c r="P229" s="6">
        <v>81.0</v>
      </c>
      <c r="Q229" s="6">
        <v>96.0</v>
      </c>
      <c r="R229" s="6">
        <v>95.0</v>
      </c>
      <c r="S229" s="6">
        <v>2.0</v>
      </c>
      <c r="T229" s="6">
        <v>0.0</v>
      </c>
      <c r="U229" s="6">
        <v>4.0</v>
      </c>
      <c r="V229" s="7">
        <f t="shared" ref="V229:X229" si="490">(S229/P229)*100</f>
        <v>2.469135802</v>
      </c>
      <c r="W229" s="7">
        <f t="shared" si="490"/>
        <v>0</v>
      </c>
      <c r="X229" s="7">
        <f t="shared" si="490"/>
        <v>4.210526316</v>
      </c>
      <c r="Y229" s="7">
        <f t="shared" si="397"/>
        <v>1.234567901</v>
      </c>
    </row>
    <row r="230" ht="14.25" customHeight="1">
      <c r="A230" s="1" t="s">
        <v>307</v>
      </c>
      <c r="B230" s="1" t="s">
        <v>353</v>
      </c>
      <c r="C230" s="1" t="s">
        <v>354</v>
      </c>
      <c r="D230" s="1" t="s">
        <v>355</v>
      </c>
      <c r="E230" s="5">
        <v>51101.0</v>
      </c>
      <c r="F230" s="6">
        <v>1431.0</v>
      </c>
      <c r="G230" s="6">
        <v>1424.0</v>
      </c>
      <c r="H230" s="6">
        <v>945.0</v>
      </c>
      <c r="I230" s="6">
        <v>205.0</v>
      </c>
      <c r="J230" s="6">
        <v>227.0</v>
      </c>
      <c r="K230" s="6">
        <v>91.0</v>
      </c>
      <c r="L230" s="7">
        <f t="shared" ref="L230:N230" si="491">(I230/F230)*100</f>
        <v>14.3256464</v>
      </c>
      <c r="M230" s="7">
        <f t="shared" si="491"/>
        <v>15.94101124</v>
      </c>
      <c r="N230" s="7">
        <f t="shared" si="491"/>
        <v>9.62962963</v>
      </c>
      <c r="O230" s="7">
        <f t="shared" si="395"/>
        <v>13.29876242</v>
      </c>
      <c r="P230" s="6">
        <v>841.0</v>
      </c>
      <c r="Q230" s="6">
        <v>842.0</v>
      </c>
      <c r="R230" s="6">
        <v>844.0</v>
      </c>
      <c r="S230" s="6">
        <v>26.0</v>
      </c>
      <c r="T230" s="6">
        <v>33.0</v>
      </c>
      <c r="U230" s="6">
        <v>25.0</v>
      </c>
      <c r="V230" s="7">
        <f t="shared" ref="V230:X230" si="492">(S230/P230)*100</f>
        <v>3.091557669</v>
      </c>
      <c r="W230" s="7">
        <f t="shared" si="492"/>
        <v>3.919239905</v>
      </c>
      <c r="X230" s="7">
        <f t="shared" si="492"/>
        <v>2.962085308</v>
      </c>
      <c r="Y230" s="7">
        <f t="shared" si="397"/>
        <v>3.505398787</v>
      </c>
    </row>
    <row r="231" ht="14.25" customHeight="1">
      <c r="A231" s="1" t="s">
        <v>307</v>
      </c>
      <c r="B231" s="1" t="s">
        <v>353</v>
      </c>
      <c r="C231" s="1" t="s">
        <v>356</v>
      </c>
      <c r="D231" s="1" t="s">
        <v>356</v>
      </c>
      <c r="E231" s="5">
        <v>51102.0</v>
      </c>
      <c r="F231" s="6">
        <v>460.0</v>
      </c>
      <c r="G231" s="6">
        <v>488.0</v>
      </c>
      <c r="H231" s="6">
        <v>520.0</v>
      </c>
      <c r="I231" s="6">
        <v>38.0</v>
      </c>
      <c r="J231" s="6">
        <v>28.0</v>
      </c>
      <c r="K231" s="6">
        <v>28.0</v>
      </c>
      <c r="L231" s="7">
        <f t="shared" ref="L231:N231" si="493">(I231/F231)*100</f>
        <v>8.260869565</v>
      </c>
      <c r="M231" s="7">
        <f t="shared" si="493"/>
        <v>5.737704918</v>
      </c>
      <c r="N231" s="7">
        <f t="shared" si="493"/>
        <v>5.384615385</v>
      </c>
      <c r="O231" s="7">
        <f t="shared" si="395"/>
        <v>6.461063289</v>
      </c>
      <c r="P231" s="6">
        <v>541.0</v>
      </c>
      <c r="Q231" s="6">
        <v>558.0</v>
      </c>
      <c r="R231" s="6">
        <v>567.0</v>
      </c>
      <c r="S231" s="6">
        <v>22.0</v>
      </c>
      <c r="T231" s="6">
        <v>23.0</v>
      </c>
      <c r="U231" s="6">
        <v>21.0</v>
      </c>
      <c r="V231" s="7">
        <f t="shared" ref="V231:X231" si="494">(S231/P231)*100</f>
        <v>4.066543438</v>
      </c>
      <c r="W231" s="7">
        <f t="shared" si="494"/>
        <v>4.121863799</v>
      </c>
      <c r="X231" s="7">
        <f t="shared" si="494"/>
        <v>3.703703704</v>
      </c>
      <c r="Y231" s="7">
        <f t="shared" si="397"/>
        <v>4.094203619</v>
      </c>
    </row>
    <row r="232" ht="14.25" customHeight="1">
      <c r="A232" s="1" t="s">
        <v>307</v>
      </c>
      <c r="B232" s="1" t="s">
        <v>353</v>
      </c>
      <c r="C232" s="1" t="s">
        <v>357</v>
      </c>
      <c r="D232" s="1" t="s">
        <v>357</v>
      </c>
      <c r="E232" s="5">
        <v>51103.0</v>
      </c>
      <c r="F232" s="6">
        <v>0.0</v>
      </c>
      <c r="G232" s="6">
        <v>0.0</v>
      </c>
      <c r="H232" s="6">
        <v>440.0</v>
      </c>
      <c r="I232" s="6">
        <v>0.0</v>
      </c>
      <c r="J232" s="6">
        <v>0.0</v>
      </c>
      <c r="K232" s="6">
        <v>88.0</v>
      </c>
      <c r="L232" s="7"/>
      <c r="M232" s="7"/>
      <c r="N232" s="7">
        <f>(K232/H232)*100</f>
        <v>20</v>
      </c>
      <c r="O232" s="7">
        <f t="shared" si="395"/>
        <v>20</v>
      </c>
      <c r="P232" s="6">
        <v>503.0</v>
      </c>
      <c r="Q232" s="6">
        <v>481.0</v>
      </c>
      <c r="R232" s="6">
        <v>509.0</v>
      </c>
      <c r="S232" s="6">
        <v>26.0</v>
      </c>
      <c r="T232" s="6">
        <v>27.0</v>
      </c>
      <c r="U232" s="6">
        <v>22.0</v>
      </c>
      <c r="V232" s="7">
        <f t="shared" ref="V232:X232" si="495">(S232/P232)*100</f>
        <v>5.168986083</v>
      </c>
      <c r="W232" s="7">
        <f t="shared" si="495"/>
        <v>5.613305613</v>
      </c>
      <c r="X232" s="7">
        <f t="shared" si="495"/>
        <v>4.322200393</v>
      </c>
      <c r="Y232" s="7">
        <f t="shared" si="397"/>
        <v>5.391145848</v>
      </c>
    </row>
    <row r="233" ht="14.25" customHeight="1">
      <c r="A233" s="1" t="s">
        <v>307</v>
      </c>
      <c r="B233" s="1" t="s">
        <v>358</v>
      </c>
      <c r="C233" s="1" t="s">
        <v>359</v>
      </c>
      <c r="D233" s="1" t="s">
        <v>359</v>
      </c>
      <c r="E233" s="5">
        <v>51201.0</v>
      </c>
      <c r="F233" s="6">
        <v>1705.0</v>
      </c>
      <c r="G233" s="6">
        <v>1728.0</v>
      </c>
      <c r="H233" s="6">
        <v>1797.0</v>
      </c>
      <c r="I233" s="6">
        <v>98.0</v>
      </c>
      <c r="J233" s="6">
        <v>98.0</v>
      </c>
      <c r="K233" s="6">
        <v>122.0</v>
      </c>
      <c r="L233" s="7">
        <f t="shared" ref="L233:N233" si="496">(I233/F233)*100</f>
        <v>5.747800587</v>
      </c>
      <c r="M233" s="7">
        <f t="shared" si="496"/>
        <v>5.671296296</v>
      </c>
      <c r="N233" s="7">
        <f t="shared" si="496"/>
        <v>6.789092933</v>
      </c>
      <c r="O233" s="7">
        <f t="shared" si="395"/>
        <v>6.069396605</v>
      </c>
      <c r="P233" s="6">
        <v>2014.0</v>
      </c>
      <c r="Q233" s="6">
        <v>2054.0</v>
      </c>
      <c r="R233" s="6">
        <v>2152.0</v>
      </c>
      <c r="S233" s="6">
        <v>44.0</v>
      </c>
      <c r="T233" s="6">
        <v>42.0</v>
      </c>
      <c r="U233" s="6">
        <v>41.0</v>
      </c>
      <c r="V233" s="7">
        <f t="shared" ref="V233:X233" si="497">(S233/P233)*100</f>
        <v>2.184707051</v>
      </c>
      <c r="W233" s="7">
        <f t="shared" si="497"/>
        <v>2.044790652</v>
      </c>
      <c r="X233" s="7">
        <f t="shared" si="497"/>
        <v>1.905204461</v>
      </c>
      <c r="Y233" s="7">
        <f t="shared" si="397"/>
        <v>2.114748852</v>
      </c>
    </row>
    <row r="234" ht="14.25" customHeight="1">
      <c r="A234" s="1" t="s">
        <v>307</v>
      </c>
      <c r="B234" s="1" t="s">
        <v>358</v>
      </c>
      <c r="C234" s="1" t="s">
        <v>360</v>
      </c>
      <c r="D234" s="1" t="s">
        <v>360</v>
      </c>
      <c r="E234" s="5">
        <v>51202.0</v>
      </c>
      <c r="F234" s="6">
        <v>547.0</v>
      </c>
      <c r="G234" s="6">
        <v>583.0</v>
      </c>
      <c r="H234" s="6">
        <v>587.0</v>
      </c>
      <c r="I234" s="6">
        <v>38.0</v>
      </c>
      <c r="J234" s="6">
        <v>77.0</v>
      </c>
      <c r="K234" s="6">
        <v>57.0</v>
      </c>
      <c r="L234" s="7">
        <f t="shared" ref="L234:N234" si="498">(I234/F234)*100</f>
        <v>6.946983547</v>
      </c>
      <c r="M234" s="7">
        <f t="shared" si="498"/>
        <v>13.20754717</v>
      </c>
      <c r="N234" s="7">
        <f t="shared" si="498"/>
        <v>9.710391823</v>
      </c>
      <c r="O234" s="7">
        <f t="shared" si="395"/>
        <v>9.95497418</v>
      </c>
      <c r="P234" s="6">
        <v>534.0</v>
      </c>
      <c r="Q234" s="6">
        <v>505.0</v>
      </c>
      <c r="R234" s="6">
        <v>493.0</v>
      </c>
      <c r="S234" s="6">
        <v>14.0</v>
      </c>
      <c r="T234" s="6">
        <v>9.0</v>
      </c>
      <c r="U234" s="6">
        <v>6.0</v>
      </c>
      <c r="V234" s="7">
        <f t="shared" ref="V234:X234" si="499">(S234/P234)*100</f>
        <v>2.621722846</v>
      </c>
      <c r="W234" s="7">
        <f t="shared" si="499"/>
        <v>1.782178218</v>
      </c>
      <c r="X234" s="7">
        <f t="shared" si="499"/>
        <v>1.21703854</v>
      </c>
      <c r="Y234" s="7">
        <f t="shared" si="397"/>
        <v>2.201950532</v>
      </c>
    </row>
    <row r="235" ht="14.25" customHeight="1">
      <c r="A235" s="1" t="s">
        <v>307</v>
      </c>
      <c r="B235" s="1" t="s">
        <v>358</v>
      </c>
      <c r="C235" s="1" t="s">
        <v>361</v>
      </c>
      <c r="D235" s="1" t="s">
        <v>361</v>
      </c>
      <c r="E235" s="5">
        <v>51203.0</v>
      </c>
      <c r="F235" s="6">
        <v>450.0</v>
      </c>
      <c r="G235" s="6">
        <v>474.0</v>
      </c>
      <c r="H235" s="6">
        <v>469.0</v>
      </c>
      <c r="I235" s="6">
        <v>25.0</v>
      </c>
      <c r="J235" s="6">
        <v>27.0</v>
      </c>
      <c r="K235" s="6">
        <v>39.0</v>
      </c>
      <c r="L235" s="7">
        <f t="shared" ref="L235:N235" si="500">(I235/F235)*100</f>
        <v>5.555555556</v>
      </c>
      <c r="M235" s="7">
        <f t="shared" si="500"/>
        <v>5.696202532</v>
      </c>
      <c r="N235" s="7">
        <f t="shared" si="500"/>
        <v>8.315565032</v>
      </c>
      <c r="O235" s="7">
        <f t="shared" si="395"/>
        <v>6.52244104</v>
      </c>
      <c r="P235" s="6">
        <v>591.0</v>
      </c>
      <c r="Q235" s="6">
        <v>589.0</v>
      </c>
      <c r="R235" s="6">
        <v>601.0</v>
      </c>
      <c r="S235" s="6">
        <v>7.0</v>
      </c>
      <c r="T235" s="6">
        <v>6.0</v>
      </c>
      <c r="U235" s="6">
        <v>11.0</v>
      </c>
      <c r="V235" s="7">
        <f t="shared" ref="V235:X235" si="501">(S235/P235)*100</f>
        <v>1.184433164</v>
      </c>
      <c r="W235" s="7">
        <f t="shared" si="501"/>
        <v>1.018675722</v>
      </c>
      <c r="X235" s="7">
        <f t="shared" si="501"/>
        <v>1.830282862</v>
      </c>
      <c r="Y235" s="7">
        <f t="shared" si="397"/>
        <v>1.101554443</v>
      </c>
    </row>
    <row r="236" ht="14.25" customHeight="1">
      <c r="A236" s="1" t="s">
        <v>307</v>
      </c>
      <c r="B236" s="1" t="s">
        <v>360</v>
      </c>
      <c r="C236" s="1" t="s">
        <v>362</v>
      </c>
      <c r="D236" s="1" t="s">
        <v>363</v>
      </c>
      <c r="E236" s="5">
        <v>51204.0</v>
      </c>
      <c r="F236" s="6">
        <v>547.0</v>
      </c>
      <c r="G236" s="6">
        <v>583.0</v>
      </c>
      <c r="H236" s="6">
        <v>587.0</v>
      </c>
      <c r="I236" s="6">
        <v>38.0</v>
      </c>
      <c r="J236" s="6">
        <v>77.0</v>
      </c>
      <c r="K236" s="6">
        <v>57.0</v>
      </c>
      <c r="L236" s="7">
        <f t="shared" ref="L236:N236" si="502">(I236/F236)*100</f>
        <v>6.946983547</v>
      </c>
      <c r="M236" s="7">
        <f t="shared" si="502"/>
        <v>13.20754717</v>
      </c>
      <c r="N236" s="7">
        <f t="shared" si="502"/>
        <v>9.710391823</v>
      </c>
      <c r="O236" s="7">
        <f t="shared" si="395"/>
        <v>9.95497418</v>
      </c>
      <c r="P236" s="12">
        <v>534.0</v>
      </c>
      <c r="Q236" s="12">
        <v>505.0</v>
      </c>
      <c r="S236" s="12">
        <v>14.0</v>
      </c>
      <c r="T236" s="12">
        <v>9.0</v>
      </c>
      <c r="V236" s="7">
        <f t="shared" ref="V236:W236" si="503">(S236/P236)*100</f>
        <v>2.621722846</v>
      </c>
      <c r="W236" s="7">
        <f t="shared" si="503"/>
        <v>1.782178218</v>
      </c>
      <c r="X236" s="7"/>
      <c r="Y236" s="7">
        <f t="shared" si="397"/>
        <v>2.201950532</v>
      </c>
    </row>
    <row r="237" ht="14.25" customHeight="1">
      <c r="A237" s="1" t="s">
        <v>307</v>
      </c>
      <c r="B237" s="1" t="s">
        <v>364</v>
      </c>
      <c r="C237" s="1" t="s">
        <v>365</v>
      </c>
      <c r="D237" s="1" t="s">
        <v>365</v>
      </c>
      <c r="E237" s="5">
        <v>51301.0</v>
      </c>
      <c r="F237" s="6">
        <v>73.0</v>
      </c>
      <c r="G237" s="6">
        <v>86.0</v>
      </c>
      <c r="H237" s="6">
        <v>102.0</v>
      </c>
      <c r="I237" s="6">
        <v>29.0</v>
      </c>
      <c r="J237" s="6">
        <v>28.0</v>
      </c>
      <c r="K237" s="6">
        <v>34.0</v>
      </c>
      <c r="L237" s="7">
        <f t="shared" ref="L237:N237" si="504">(I237/F237)*100</f>
        <v>39.7260274</v>
      </c>
      <c r="M237" s="7">
        <f t="shared" si="504"/>
        <v>32.55813953</v>
      </c>
      <c r="N237" s="7">
        <f t="shared" si="504"/>
        <v>33.33333333</v>
      </c>
      <c r="O237" s="7">
        <f t="shared" si="395"/>
        <v>35.20583342</v>
      </c>
      <c r="P237" s="6">
        <v>153.0</v>
      </c>
      <c r="Q237" s="6">
        <v>156.0</v>
      </c>
      <c r="R237" s="6">
        <v>147.0</v>
      </c>
      <c r="S237" s="6">
        <v>24.0</v>
      </c>
      <c r="T237" s="6">
        <v>26.0</v>
      </c>
      <c r="U237" s="6"/>
      <c r="V237" s="7">
        <f t="shared" ref="V237:X237" si="505">(S237/P237)*100</f>
        <v>15.68627451</v>
      </c>
      <c r="W237" s="7">
        <f t="shared" si="505"/>
        <v>16.66666667</v>
      </c>
      <c r="X237" s="7">
        <f t="shared" si="505"/>
        <v>0</v>
      </c>
      <c r="Y237" s="7">
        <f t="shared" si="397"/>
        <v>16.17647059</v>
      </c>
    </row>
    <row r="238" ht="14.25" customHeight="1">
      <c r="A238" s="1" t="s">
        <v>307</v>
      </c>
      <c r="B238" s="1" t="s">
        <v>364</v>
      </c>
      <c r="C238" s="1" t="s">
        <v>366</v>
      </c>
      <c r="D238" s="1" t="s">
        <v>366</v>
      </c>
      <c r="E238" s="5">
        <v>51302.0</v>
      </c>
      <c r="F238" s="6">
        <v>175.0</v>
      </c>
      <c r="G238" s="6">
        <v>184.0</v>
      </c>
      <c r="H238" s="6">
        <v>184.0</v>
      </c>
      <c r="I238" s="6">
        <v>24.0</v>
      </c>
      <c r="J238" s="6">
        <v>12.0</v>
      </c>
      <c r="K238" s="6">
        <v>22.0</v>
      </c>
      <c r="L238" s="7">
        <f t="shared" ref="L238:N238" si="506">(I238/F238)*100</f>
        <v>13.71428571</v>
      </c>
      <c r="M238" s="7">
        <f t="shared" si="506"/>
        <v>6.52173913</v>
      </c>
      <c r="N238" s="7">
        <f t="shared" si="506"/>
        <v>11.95652174</v>
      </c>
      <c r="O238" s="7">
        <f t="shared" si="395"/>
        <v>10.73084886</v>
      </c>
      <c r="P238" s="6">
        <v>249.0</v>
      </c>
      <c r="Q238" s="6">
        <v>247.0</v>
      </c>
      <c r="R238" s="6">
        <v>228.0</v>
      </c>
      <c r="S238" s="6">
        <v>15.0</v>
      </c>
      <c r="T238" s="6">
        <v>16.0</v>
      </c>
      <c r="U238" s="6">
        <v>17.0</v>
      </c>
      <c r="V238" s="7">
        <f t="shared" ref="V238:X238" si="507">(S238/P238)*100</f>
        <v>6.024096386</v>
      </c>
      <c r="W238" s="7">
        <f t="shared" si="507"/>
        <v>6.477732794</v>
      </c>
      <c r="X238" s="7">
        <f t="shared" si="507"/>
        <v>7.456140351</v>
      </c>
      <c r="Y238" s="7">
        <f t="shared" si="397"/>
        <v>6.25091459</v>
      </c>
    </row>
    <row r="239" ht="14.25" customHeight="1">
      <c r="A239" s="1" t="s">
        <v>307</v>
      </c>
      <c r="B239" s="1" t="s">
        <v>367</v>
      </c>
      <c r="C239" s="1" t="s">
        <v>368</v>
      </c>
      <c r="D239" s="1" t="s">
        <v>368</v>
      </c>
      <c r="E239" s="5">
        <v>51401.0</v>
      </c>
      <c r="F239" s="6">
        <v>130.0</v>
      </c>
      <c r="G239" s="6">
        <v>126.0</v>
      </c>
      <c r="H239" s="6">
        <v>127.0</v>
      </c>
      <c r="I239" s="6">
        <v>13.0</v>
      </c>
      <c r="J239" s="6">
        <v>8.0</v>
      </c>
      <c r="K239" s="6">
        <v>14.0</v>
      </c>
      <c r="L239" s="7">
        <f t="shared" ref="L239:N239" si="508">(I239/F239)*100</f>
        <v>10</v>
      </c>
      <c r="M239" s="7">
        <f t="shared" si="508"/>
        <v>6.349206349</v>
      </c>
      <c r="N239" s="7">
        <f t="shared" si="508"/>
        <v>11.02362205</v>
      </c>
      <c r="O239" s="7">
        <f t="shared" si="395"/>
        <v>9.124276132</v>
      </c>
      <c r="P239" s="6">
        <v>163.0</v>
      </c>
      <c r="Q239" s="6">
        <v>171.0</v>
      </c>
      <c r="R239" s="6">
        <v>171.0</v>
      </c>
      <c r="S239" s="6">
        <v>6.0</v>
      </c>
      <c r="T239" s="6">
        <v>7.0</v>
      </c>
      <c r="U239" s="6">
        <v>11.0</v>
      </c>
      <c r="V239" s="7">
        <f t="shared" ref="V239:X239" si="509">(S239/P239)*100</f>
        <v>3.680981595</v>
      </c>
      <c r="W239" s="7">
        <f t="shared" si="509"/>
        <v>4.093567251</v>
      </c>
      <c r="X239" s="7">
        <f t="shared" si="509"/>
        <v>6.432748538</v>
      </c>
      <c r="Y239" s="7">
        <f t="shared" si="397"/>
        <v>3.887274423</v>
      </c>
    </row>
    <row r="240" ht="14.25" customHeight="1">
      <c r="A240" s="1" t="s">
        <v>307</v>
      </c>
      <c r="B240" s="1" t="s">
        <v>367</v>
      </c>
      <c r="C240" s="1" t="s">
        <v>369</v>
      </c>
      <c r="D240" s="1" t="s">
        <v>369</v>
      </c>
      <c r="E240" s="5">
        <v>51402.0</v>
      </c>
      <c r="F240" s="6">
        <v>36.0</v>
      </c>
      <c r="G240" s="6">
        <v>44.0</v>
      </c>
      <c r="H240" s="6">
        <v>52.0</v>
      </c>
      <c r="I240" s="6">
        <v>3.0</v>
      </c>
      <c r="J240" s="6">
        <v>6.0</v>
      </c>
      <c r="K240" s="6">
        <v>5.0</v>
      </c>
      <c r="L240" s="7">
        <f t="shared" ref="L240:N240" si="510">(I240/F240)*100</f>
        <v>8.333333333</v>
      </c>
      <c r="M240" s="7">
        <f t="shared" si="510"/>
        <v>13.63636364</v>
      </c>
      <c r="N240" s="7">
        <f t="shared" si="510"/>
        <v>9.615384615</v>
      </c>
      <c r="O240" s="7">
        <f t="shared" si="395"/>
        <v>10.52836053</v>
      </c>
      <c r="P240" s="6">
        <v>37.0</v>
      </c>
      <c r="Q240" s="6">
        <v>44.0</v>
      </c>
      <c r="R240" s="6">
        <v>44.0</v>
      </c>
      <c r="S240" s="6">
        <v>0.0</v>
      </c>
      <c r="T240" s="6">
        <v>0.0</v>
      </c>
      <c r="U240" s="6">
        <v>1.0</v>
      </c>
      <c r="V240" s="7">
        <f t="shared" ref="V240:X240" si="511">(S240/P240)*100</f>
        <v>0</v>
      </c>
      <c r="W240" s="7">
        <f t="shared" si="511"/>
        <v>0</v>
      </c>
      <c r="X240" s="7">
        <f t="shared" si="511"/>
        <v>2.272727273</v>
      </c>
      <c r="Y240" s="7">
        <f t="shared" si="397"/>
        <v>0</v>
      </c>
    </row>
    <row r="241" ht="14.25" customHeight="1">
      <c r="A241" s="1" t="s">
        <v>307</v>
      </c>
      <c r="B241" s="1" t="s">
        <v>370</v>
      </c>
      <c r="C241" s="1" t="s">
        <v>371</v>
      </c>
      <c r="D241" s="1" t="s">
        <v>371</v>
      </c>
      <c r="E241" s="5">
        <v>51501.0</v>
      </c>
      <c r="F241" s="6">
        <v>2574.0</v>
      </c>
      <c r="G241" s="6">
        <v>2584.0</v>
      </c>
      <c r="H241" s="6">
        <v>2538.0</v>
      </c>
      <c r="I241" s="6">
        <v>185.0</v>
      </c>
      <c r="J241" s="6">
        <v>200.0</v>
      </c>
      <c r="K241" s="6">
        <v>164.0</v>
      </c>
      <c r="L241" s="7">
        <f t="shared" ref="L241:N241" si="512">(I241/F241)*100</f>
        <v>7.187257187</v>
      </c>
      <c r="M241" s="7">
        <f t="shared" si="512"/>
        <v>7.73993808</v>
      </c>
      <c r="N241" s="7">
        <f t="shared" si="512"/>
        <v>6.46178093</v>
      </c>
      <c r="O241" s="7">
        <f t="shared" si="395"/>
        <v>7.129658733</v>
      </c>
      <c r="P241" s="6">
        <v>2344.0</v>
      </c>
      <c r="Q241" s="6">
        <v>2424.0</v>
      </c>
      <c r="R241" s="6">
        <v>2480.0</v>
      </c>
      <c r="S241" s="6">
        <v>77.0</v>
      </c>
      <c r="T241" s="6">
        <v>66.0</v>
      </c>
      <c r="U241" s="6">
        <v>58.0</v>
      </c>
      <c r="V241" s="7">
        <f t="shared" ref="V241:X241" si="513">(S241/P241)*100</f>
        <v>3.284982935</v>
      </c>
      <c r="W241" s="7">
        <f t="shared" si="513"/>
        <v>2.722772277</v>
      </c>
      <c r="X241" s="7">
        <f t="shared" si="513"/>
        <v>2.338709677</v>
      </c>
      <c r="Y241" s="7">
        <f t="shared" si="397"/>
        <v>3.003877606</v>
      </c>
    </row>
    <row r="242" ht="14.25" customHeight="1">
      <c r="A242" s="1" t="s">
        <v>307</v>
      </c>
      <c r="B242" s="1" t="s">
        <v>372</v>
      </c>
      <c r="C242" s="1" t="s">
        <v>373</v>
      </c>
      <c r="D242" s="1" t="s">
        <v>373</v>
      </c>
      <c r="E242" s="5">
        <v>51601.0</v>
      </c>
      <c r="F242" s="6">
        <v>77.0</v>
      </c>
      <c r="G242" s="6">
        <v>78.0</v>
      </c>
      <c r="H242" s="6">
        <v>69.0</v>
      </c>
      <c r="I242" s="6">
        <v>7.0</v>
      </c>
      <c r="J242" s="6">
        <v>4.0</v>
      </c>
      <c r="K242" s="6">
        <v>1.0</v>
      </c>
      <c r="L242" s="7">
        <f t="shared" ref="L242:N242" si="514">(I242/F242)*100</f>
        <v>9.090909091</v>
      </c>
      <c r="M242" s="7">
        <f t="shared" si="514"/>
        <v>5.128205128</v>
      </c>
      <c r="N242" s="7">
        <f t="shared" si="514"/>
        <v>1.449275362</v>
      </c>
      <c r="O242" s="7">
        <f t="shared" si="395"/>
        <v>5.222796527</v>
      </c>
      <c r="P242" s="6">
        <v>89.0</v>
      </c>
      <c r="Q242" s="6">
        <v>85.0</v>
      </c>
      <c r="R242" s="6">
        <v>84.0</v>
      </c>
      <c r="S242" s="6">
        <v>2.0</v>
      </c>
      <c r="T242" s="6">
        <v>2.0</v>
      </c>
      <c r="U242" s="6"/>
      <c r="V242" s="7">
        <f t="shared" ref="V242:X242" si="515">(S242/P242)*100</f>
        <v>2.247191011</v>
      </c>
      <c r="W242" s="7">
        <f t="shared" si="515"/>
        <v>2.352941176</v>
      </c>
      <c r="X242" s="7">
        <f t="shared" si="515"/>
        <v>0</v>
      </c>
      <c r="Y242" s="7">
        <f t="shared" si="397"/>
        <v>2.300066094</v>
      </c>
    </row>
    <row r="243" ht="14.25" customHeight="1">
      <c r="A243" s="1" t="s">
        <v>42</v>
      </c>
      <c r="B243" s="1" t="s">
        <v>195</v>
      </c>
      <c r="C243" s="1" t="s">
        <v>42</v>
      </c>
      <c r="D243" s="1" t="s">
        <v>42</v>
      </c>
      <c r="E243" s="5">
        <v>60101.0</v>
      </c>
      <c r="F243" s="6">
        <v>11382.0</v>
      </c>
      <c r="G243" s="6">
        <v>11539.0</v>
      </c>
      <c r="H243" s="6">
        <v>11594.0</v>
      </c>
      <c r="I243" s="6">
        <v>493.0</v>
      </c>
      <c r="J243" s="6">
        <v>498.0</v>
      </c>
      <c r="K243" s="6">
        <v>428.0</v>
      </c>
      <c r="L243" s="7">
        <f t="shared" ref="L243:N243" si="516">(I243/F243)*100</f>
        <v>4.331400457</v>
      </c>
      <c r="M243" s="7">
        <f t="shared" si="516"/>
        <v>4.315798596</v>
      </c>
      <c r="N243" s="7">
        <f t="shared" si="516"/>
        <v>3.691564602</v>
      </c>
      <c r="O243" s="7">
        <f t="shared" si="395"/>
        <v>4.112921218</v>
      </c>
      <c r="P243" s="6">
        <v>12349.0</v>
      </c>
      <c r="Q243" s="6">
        <v>12632.0</v>
      </c>
      <c r="R243" s="6">
        <v>13029.0</v>
      </c>
      <c r="S243" s="6">
        <v>197.0</v>
      </c>
      <c r="T243" s="6">
        <v>138.0</v>
      </c>
      <c r="U243" s="6">
        <v>204.0</v>
      </c>
      <c r="V243" s="7">
        <f t="shared" ref="V243:X243" si="517">(S243/P243)*100</f>
        <v>1.595270872</v>
      </c>
      <c r="W243" s="7">
        <f t="shared" si="517"/>
        <v>1.092463585</v>
      </c>
      <c r="X243" s="7">
        <f t="shared" si="517"/>
        <v>1.565737969</v>
      </c>
      <c r="Y243" s="7">
        <f t="shared" si="397"/>
        <v>1.343867228</v>
      </c>
    </row>
    <row r="244" ht="14.25" customHeight="1">
      <c r="A244" s="1" t="s">
        <v>42</v>
      </c>
      <c r="B244" s="1" t="s">
        <v>374</v>
      </c>
      <c r="C244" s="1" t="s">
        <v>375</v>
      </c>
      <c r="D244" s="1" t="s">
        <v>375</v>
      </c>
      <c r="E244" s="5">
        <v>60201.0</v>
      </c>
      <c r="F244" s="6">
        <v>759.0</v>
      </c>
      <c r="G244" s="6">
        <v>788.0</v>
      </c>
      <c r="H244" s="6">
        <v>780.0</v>
      </c>
      <c r="I244" s="6">
        <v>47.0</v>
      </c>
      <c r="J244" s="6">
        <v>57.0</v>
      </c>
      <c r="K244" s="6">
        <v>39.0</v>
      </c>
      <c r="L244" s="7">
        <f t="shared" ref="L244:N244" si="518">(I244/F244)*100</f>
        <v>6.192358366</v>
      </c>
      <c r="M244" s="7">
        <f t="shared" si="518"/>
        <v>7.233502538</v>
      </c>
      <c r="N244" s="7">
        <f t="shared" si="518"/>
        <v>5</v>
      </c>
      <c r="O244" s="7">
        <f t="shared" si="395"/>
        <v>6.141953635</v>
      </c>
      <c r="P244" s="6">
        <v>662.0</v>
      </c>
      <c r="Q244" s="6">
        <v>708.0</v>
      </c>
      <c r="R244" s="6">
        <v>717.0</v>
      </c>
      <c r="S244" s="6">
        <v>10.0</v>
      </c>
      <c r="T244" s="6">
        <v>11.0</v>
      </c>
      <c r="U244" s="6">
        <v>10.0</v>
      </c>
      <c r="V244" s="7">
        <f t="shared" ref="V244:X244" si="519">(S244/P244)*100</f>
        <v>1.510574018</v>
      </c>
      <c r="W244" s="7">
        <f t="shared" si="519"/>
        <v>1.553672316</v>
      </c>
      <c r="X244" s="7">
        <f t="shared" si="519"/>
        <v>1.394700139</v>
      </c>
      <c r="Y244" s="7">
        <f t="shared" si="397"/>
        <v>1.532123167</v>
      </c>
    </row>
    <row r="245" ht="14.25" customHeight="1">
      <c r="A245" s="1" t="s">
        <v>42</v>
      </c>
      <c r="B245" s="1" t="s">
        <v>374</v>
      </c>
      <c r="C245" s="1" t="s">
        <v>376</v>
      </c>
      <c r="D245" s="1" t="s">
        <v>376</v>
      </c>
      <c r="E245" s="5">
        <v>60202.0</v>
      </c>
      <c r="F245" s="6">
        <v>1968.0</v>
      </c>
      <c r="G245" s="6">
        <v>2008.0</v>
      </c>
      <c r="H245" s="6">
        <v>1997.0</v>
      </c>
      <c r="I245" s="6">
        <v>87.0</v>
      </c>
      <c r="J245" s="6">
        <v>125.0</v>
      </c>
      <c r="K245" s="6">
        <v>90.0</v>
      </c>
      <c r="L245" s="7">
        <f t="shared" ref="L245:N245" si="520">(I245/F245)*100</f>
        <v>4.420731707</v>
      </c>
      <c r="M245" s="7">
        <f t="shared" si="520"/>
        <v>6.225099602</v>
      </c>
      <c r="N245" s="7">
        <f t="shared" si="520"/>
        <v>4.50676014</v>
      </c>
      <c r="O245" s="7">
        <f t="shared" si="395"/>
        <v>5.050863816</v>
      </c>
      <c r="P245" s="6">
        <v>1861.0</v>
      </c>
      <c r="Q245" s="6">
        <v>1863.0</v>
      </c>
      <c r="R245" s="6">
        <v>1915.0</v>
      </c>
      <c r="S245" s="6">
        <v>60.0</v>
      </c>
      <c r="T245" s="6">
        <v>40.0</v>
      </c>
      <c r="U245" s="6">
        <v>49.0</v>
      </c>
      <c r="V245" s="7">
        <f t="shared" ref="V245:X245" si="521">(S245/P245)*100</f>
        <v>3.224073079</v>
      </c>
      <c r="W245" s="7">
        <f t="shared" si="521"/>
        <v>2.147074611</v>
      </c>
      <c r="X245" s="7">
        <f t="shared" si="521"/>
        <v>2.558746736</v>
      </c>
      <c r="Y245" s="7">
        <f t="shared" si="397"/>
        <v>2.685573845</v>
      </c>
    </row>
    <row r="246" ht="14.25" customHeight="1">
      <c r="A246" s="1" t="s">
        <v>42</v>
      </c>
      <c r="B246" s="1" t="s">
        <v>54</v>
      </c>
      <c r="C246" s="1" t="s">
        <v>377</v>
      </c>
      <c r="D246" s="1" t="s">
        <v>377</v>
      </c>
      <c r="E246" s="5">
        <v>60301.0</v>
      </c>
      <c r="F246" s="6">
        <v>5635.0</v>
      </c>
      <c r="G246" s="6">
        <v>5581.0</v>
      </c>
      <c r="H246" s="6">
        <v>5601.0</v>
      </c>
      <c r="I246" s="6">
        <v>333.0</v>
      </c>
      <c r="J246" s="6">
        <v>353.0</v>
      </c>
      <c r="K246" s="6">
        <v>285.0</v>
      </c>
      <c r="L246" s="7">
        <f t="shared" ref="L246:N246" si="522">(I246/F246)*100</f>
        <v>5.909494232</v>
      </c>
      <c r="M246" s="7">
        <f t="shared" si="522"/>
        <v>6.325031356</v>
      </c>
      <c r="N246" s="7">
        <f t="shared" si="522"/>
        <v>5.088377076</v>
      </c>
      <c r="O246" s="7">
        <f t="shared" si="395"/>
        <v>5.774300888</v>
      </c>
      <c r="P246" s="6">
        <v>5112.0</v>
      </c>
      <c r="Q246" s="6">
        <v>5282.0</v>
      </c>
      <c r="R246" s="6">
        <v>5307.0</v>
      </c>
      <c r="S246" s="6">
        <v>89.0</v>
      </c>
      <c r="T246" s="6">
        <v>76.0</v>
      </c>
      <c r="U246" s="6">
        <v>89.0</v>
      </c>
      <c r="V246" s="7">
        <f t="shared" ref="V246:X246" si="523">(S246/P246)*100</f>
        <v>1.741001565</v>
      </c>
      <c r="W246" s="7">
        <f t="shared" si="523"/>
        <v>1.438848921</v>
      </c>
      <c r="X246" s="7">
        <f t="shared" si="523"/>
        <v>1.677030337</v>
      </c>
      <c r="Y246" s="7">
        <f t="shared" si="397"/>
        <v>1.589925243</v>
      </c>
    </row>
    <row r="247" ht="14.25" customHeight="1">
      <c r="A247" s="1" t="s">
        <v>42</v>
      </c>
      <c r="B247" s="1" t="s">
        <v>54</v>
      </c>
      <c r="C247" s="1" t="s">
        <v>378</v>
      </c>
      <c r="D247" s="1" t="s">
        <v>378</v>
      </c>
      <c r="E247" s="5">
        <v>60302.0</v>
      </c>
      <c r="F247" s="6">
        <v>675.0</v>
      </c>
      <c r="G247" s="6">
        <v>750.0</v>
      </c>
      <c r="H247" s="6">
        <v>765.0</v>
      </c>
      <c r="I247" s="6">
        <v>43.0</v>
      </c>
      <c r="J247" s="6">
        <v>45.0</v>
      </c>
      <c r="K247" s="6">
        <v>34.0</v>
      </c>
      <c r="L247" s="7">
        <f t="shared" ref="L247:N247" si="524">(I247/F247)*100</f>
        <v>6.37037037</v>
      </c>
      <c r="M247" s="7">
        <f t="shared" si="524"/>
        <v>6</v>
      </c>
      <c r="N247" s="7">
        <f t="shared" si="524"/>
        <v>4.444444444</v>
      </c>
      <c r="O247" s="7">
        <f t="shared" si="395"/>
        <v>5.604938272</v>
      </c>
      <c r="P247" s="6">
        <v>831.0</v>
      </c>
      <c r="Q247" s="6">
        <v>843.0</v>
      </c>
      <c r="R247" s="6">
        <v>840.0</v>
      </c>
      <c r="S247" s="6">
        <v>15.0</v>
      </c>
      <c r="T247" s="6">
        <v>16.0</v>
      </c>
      <c r="U247" s="6">
        <v>12.0</v>
      </c>
      <c r="V247" s="7">
        <f t="shared" ref="V247:X247" si="525">(S247/P247)*100</f>
        <v>1.805054152</v>
      </c>
      <c r="W247" s="7">
        <f t="shared" si="525"/>
        <v>1.897983393</v>
      </c>
      <c r="X247" s="7">
        <f t="shared" si="525"/>
        <v>1.428571429</v>
      </c>
      <c r="Y247" s="7">
        <f t="shared" si="397"/>
        <v>1.851518772</v>
      </c>
    </row>
    <row r="248" ht="14.25" customHeight="1">
      <c r="A248" s="1" t="s">
        <v>42</v>
      </c>
      <c r="B248" s="1" t="s">
        <v>54</v>
      </c>
      <c r="C248" s="1" t="s">
        <v>379</v>
      </c>
      <c r="D248" s="1" t="s">
        <v>379</v>
      </c>
      <c r="E248" s="5">
        <v>60303.0</v>
      </c>
      <c r="F248" s="6">
        <v>2258.0</v>
      </c>
      <c r="G248" s="6">
        <v>2378.0</v>
      </c>
      <c r="H248" s="6">
        <v>2378.0</v>
      </c>
      <c r="I248" s="6">
        <v>141.0</v>
      </c>
      <c r="J248" s="6">
        <v>170.0</v>
      </c>
      <c r="K248" s="6">
        <v>178.0</v>
      </c>
      <c r="L248" s="7">
        <f t="shared" ref="L248:N248" si="526">(I248/F248)*100</f>
        <v>6.244464128</v>
      </c>
      <c r="M248" s="7">
        <f t="shared" si="526"/>
        <v>7.148864592</v>
      </c>
      <c r="N248" s="7">
        <f t="shared" si="526"/>
        <v>7.485281749</v>
      </c>
      <c r="O248" s="7">
        <f t="shared" si="395"/>
        <v>6.959536823</v>
      </c>
      <c r="P248" s="6">
        <v>2610.0</v>
      </c>
      <c r="Q248" s="6">
        <v>2679.0</v>
      </c>
      <c r="R248" s="6">
        <v>2731.0</v>
      </c>
      <c r="S248" s="6">
        <v>86.0</v>
      </c>
      <c r="T248" s="6">
        <v>65.0</v>
      </c>
      <c r="U248" s="6">
        <v>47.0</v>
      </c>
      <c r="V248" s="7">
        <f t="shared" ref="V248:X248" si="527">(S248/P248)*100</f>
        <v>3.295019157</v>
      </c>
      <c r="W248" s="7">
        <f t="shared" si="527"/>
        <v>2.426278462</v>
      </c>
      <c r="X248" s="7">
        <f t="shared" si="527"/>
        <v>1.720981326</v>
      </c>
      <c r="Y248" s="7">
        <f t="shared" si="397"/>
        <v>2.86064881</v>
      </c>
    </row>
    <row r="249" ht="14.25" customHeight="1">
      <c r="A249" s="1" t="s">
        <v>42</v>
      </c>
      <c r="B249" s="1" t="s">
        <v>380</v>
      </c>
      <c r="C249" s="1" t="s">
        <v>381</v>
      </c>
      <c r="D249" s="1" t="s">
        <v>382</v>
      </c>
      <c r="E249" s="5">
        <v>60401.0</v>
      </c>
      <c r="F249" s="6">
        <v>659.0</v>
      </c>
      <c r="G249" s="6">
        <v>694.0</v>
      </c>
      <c r="H249" s="6">
        <v>720.0</v>
      </c>
      <c r="I249" s="6">
        <v>59.0</v>
      </c>
      <c r="J249" s="6">
        <v>76.0</v>
      </c>
      <c r="K249" s="6">
        <v>65.0</v>
      </c>
      <c r="L249" s="7">
        <f t="shared" ref="L249:N249" si="528">(I249/F249)*100</f>
        <v>8.952959029</v>
      </c>
      <c r="M249" s="7">
        <f t="shared" si="528"/>
        <v>10.95100865</v>
      </c>
      <c r="N249" s="7">
        <f t="shared" si="528"/>
        <v>9.027777778</v>
      </c>
      <c r="O249" s="7">
        <f t="shared" si="395"/>
        <v>9.643915151</v>
      </c>
      <c r="P249" s="6">
        <v>705.0</v>
      </c>
      <c r="Q249" s="6">
        <v>689.0</v>
      </c>
      <c r="R249" s="6">
        <v>672.0</v>
      </c>
      <c r="S249" s="6">
        <v>12.0</v>
      </c>
      <c r="T249" s="6">
        <v>8.0</v>
      </c>
      <c r="U249" s="6">
        <v>7.0</v>
      </c>
      <c r="V249" s="7">
        <f t="shared" ref="V249:X249" si="529">(S249/P249)*100</f>
        <v>1.70212766</v>
      </c>
      <c r="W249" s="7">
        <f t="shared" si="529"/>
        <v>1.161103048</v>
      </c>
      <c r="X249" s="7">
        <f t="shared" si="529"/>
        <v>1.041666667</v>
      </c>
      <c r="Y249" s="7">
        <f t="shared" si="397"/>
        <v>1.431615354</v>
      </c>
    </row>
    <row r="250" ht="14.25" customHeight="1">
      <c r="A250" s="1" t="s">
        <v>42</v>
      </c>
      <c r="B250" s="1" t="s">
        <v>380</v>
      </c>
      <c r="C250" s="1" t="s">
        <v>383</v>
      </c>
      <c r="D250" s="1" t="s">
        <v>383</v>
      </c>
      <c r="E250" s="5">
        <v>60402.0</v>
      </c>
      <c r="F250" s="6">
        <v>129.0</v>
      </c>
      <c r="G250" s="6">
        <v>143.0</v>
      </c>
      <c r="H250" s="6">
        <v>168.0</v>
      </c>
      <c r="I250" s="6">
        <v>11.0</v>
      </c>
      <c r="J250" s="6">
        <v>6.0</v>
      </c>
      <c r="K250" s="6">
        <v>8.0</v>
      </c>
      <c r="L250" s="7">
        <f t="shared" ref="L250:N250" si="530">(I250/F250)*100</f>
        <v>8.527131783</v>
      </c>
      <c r="M250" s="7">
        <f t="shared" si="530"/>
        <v>4.195804196</v>
      </c>
      <c r="N250" s="7">
        <f t="shared" si="530"/>
        <v>4.761904762</v>
      </c>
      <c r="O250" s="7">
        <f t="shared" si="395"/>
        <v>5.828280247</v>
      </c>
      <c r="P250" s="6">
        <v>147.0</v>
      </c>
      <c r="Q250" s="6">
        <v>144.0</v>
      </c>
      <c r="R250" s="6">
        <v>143.0</v>
      </c>
      <c r="S250" s="6">
        <v>7.0</v>
      </c>
      <c r="T250" s="6">
        <v>3.0</v>
      </c>
      <c r="U250" s="6">
        <v>5.0</v>
      </c>
      <c r="V250" s="7">
        <f t="shared" ref="V250:X250" si="531">(S250/P250)*100</f>
        <v>4.761904762</v>
      </c>
      <c r="W250" s="7">
        <f t="shared" si="531"/>
        <v>2.083333333</v>
      </c>
      <c r="X250" s="7">
        <f t="shared" si="531"/>
        <v>3.496503497</v>
      </c>
      <c r="Y250" s="7">
        <f t="shared" si="397"/>
        <v>3.422619048</v>
      </c>
    </row>
    <row r="251" ht="14.25" customHeight="1">
      <c r="A251" s="1" t="s">
        <v>42</v>
      </c>
      <c r="B251" s="1" t="s">
        <v>384</v>
      </c>
      <c r="C251" s="1" t="s">
        <v>385</v>
      </c>
      <c r="D251" s="1" t="s">
        <v>386</v>
      </c>
      <c r="E251" s="5">
        <v>60501.0</v>
      </c>
      <c r="F251" s="6">
        <v>902.0</v>
      </c>
      <c r="G251" s="6">
        <v>890.0</v>
      </c>
      <c r="H251" s="6">
        <v>865.0</v>
      </c>
      <c r="I251" s="6">
        <v>95.0</v>
      </c>
      <c r="J251" s="6">
        <v>122.0</v>
      </c>
      <c r="K251" s="6">
        <v>86.0</v>
      </c>
      <c r="L251" s="7">
        <f t="shared" ref="L251:N251" si="532">(I251/F251)*100</f>
        <v>10.53215078</v>
      </c>
      <c r="M251" s="7">
        <f t="shared" si="532"/>
        <v>13.70786517</v>
      </c>
      <c r="N251" s="7">
        <f t="shared" si="532"/>
        <v>9.942196532</v>
      </c>
      <c r="O251" s="7">
        <f t="shared" si="395"/>
        <v>11.39407083</v>
      </c>
      <c r="P251" s="6">
        <v>969.0</v>
      </c>
      <c r="Q251" s="6">
        <v>993.0</v>
      </c>
      <c r="R251" s="6">
        <v>1033.0</v>
      </c>
      <c r="S251" s="6">
        <v>30.0</v>
      </c>
      <c r="T251" s="6">
        <v>23.0</v>
      </c>
      <c r="U251" s="6">
        <v>24.0</v>
      </c>
      <c r="V251" s="7">
        <f t="shared" ref="V251:X251" si="533">(S251/P251)*100</f>
        <v>3.095975232</v>
      </c>
      <c r="W251" s="7">
        <f t="shared" si="533"/>
        <v>2.316213494</v>
      </c>
      <c r="X251" s="7">
        <f t="shared" si="533"/>
        <v>2.323330106</v>
      </c>
      <c r="Y251" s="7">
        <f t="shared" si="397"/>
        <v>2.706094363</v>
      </c>
    </row>
    <row r="252" ht="14.25" customHeight="1">
      <c r="A252" s="1" t="s">
        <v>42</v>
      </c>
      <c r="B252" s="1" t="s">
        <v>384</v>
      </c>
      <c r="C252" s="1" t="s">
        <v>387</v>
      </c>
      <c r="D252" s="1" t="s">
        <v>387</v>
      </c>
      <c r="E252" s="5">
        <v>60502.0</v>
      </c>
      <c r="F252" s="6">
        <v>475.0</v>
      </c>
      <c r="G252" s="6">
        <v>490.0</v>
      </c>
      <c r="H252" s="6">
        <v>467.0</v>
      </c>
      <c r="I252" s="6">
        <v>70.0</v>
      </c>
      <c r="J252" s="6">
        <v>61.0</v>
      </c>
      <c r="K252" s="6">
        <v>24.0</v>
      </c>
      <c r="L252" s="7">
        <f t="shared" ref="L252:N252" si="534">(I252/F252)*100</f>
        <v>14.73684211</v>
      </c>
      <c r="M252" s="7">
        <f t="shared" si="534"/>
        <v>12.44897959</v>
      </c>
      <c r="N252" s="7">
        <f t="shared" si="534"/>
        <v>5.139186296</v>
      </c>
      <c r="O252" s="7">
        <f t="shared" si="395"/>
        <v>10.77500266</v>
      </c>
      <c r="P252" s="6">
        <v>422.0</v>
      </c>
      <c r="Q252" s="6">
        <v>422.0</v>
      </c>
      <c r="R252" s="6">
        <v>405.0</v>
      </c>
      <c r="S252" s="6">
        <v>14.0</v>
      </c>
      <c r="T252" s="6">
        <v>12.0</v>
      </c>
      <c r="U252" s="6">
        <v>5.0</v>
      </c>
      <c r="V252" s="7">
        <f t="shared" ref="V252:X252" si="535">(S252/P252)*100</f>
        <v>3.317535545</v>
      </c>
      <c r="W252" s="7">
        <f t="shared" si="535"/>
        <v>2.843601896</v>
      </c>
      <c r="X252" s="7">
        <f t="shared" si="535"/>
        <v>1.234567901</v>
      </c>
      <c r="Y252" s="7">
        <f t="shared" si="397"/>
        <v>3.08056872</v>
      </c>
    </row>
    <row r="253" ht="14.25" customHeight="1">
      <c r="A253" s="1" t="s">
        <v>42</v>
      </c>
      <c r="B253" s="1" t="s">
        <v>388</v>
      </c>
      <c r="C253" s="1" t="s">
        <v>239</v>
      </c>
      <c r="D253" s="1" t="s">
        <v>239</v>
      </c>
      <c r="E253" s="5">
        <v>60601.0</v>
      </c>
      <c r="F253" s="6">
        <v>945.0</v>
      </c>
      <c r="G253" s="6">
        <v>949.0</v>
      </c>
      <c r="H253" s="6">
        <v>947.0</v>
      </c>
      <c r="I253" s="6">
        <v>93.0</v>
      </c>
      <c r="J253" s="6">
        <v>101.0</v>
      </c>
      <c r="K253" s="6">
        <v>86.0</v>
      </c>
      <c r="L253" s="7">
        <f t="shared" ref="L253:N253" si="536">(I253/F253)*100</f>
        <v>9.841269841</v>
      </c>
      <c r="M253" s="7">
        <f t="shared" si="536"/>
        <v>10.64278188</v>
      </c>
      <c r="N253" s="7">
        <f t="shared" si="536"/>
        <v>9.081309398</v>
      </c>
      <c r="O253" s="7">
        <f t="shared" si="395"/>
        <v>9.855120372</v>
      </c>
      <c r="P253" s="6">
        <v>1064.0</v>
      </c>
      <c r="Q253" s="6">
        <v>1049.0</v>
      </c>
      <c r="R253" s="6">
        <v>1078.0</v>
      </c>
      <c r="S253" s="6">
        <v>31.0</v>
      </c>
      <c r="T253" s="6">
        <v>20.0</v>
      </c>
      <c r="U253" s="6">
        <v>18.0</v>
      </c>
      <c r="V253" s="7">
        <f t="shared" ref="V253:X253" si="537">(S253/P253)*100</f>
        <v>2.913533835</v>
      </c>
      <c r="W253" s="7">
        <f t="shared" si="537"/>
        <v>1.906577693</v>
      </c>
      <c r="X253" s="7">
        <f t="shared" si="537"/>
        <v>1.669758813</v>
      </c>
      <c r="Y253" s="7">
        <f t="shared" si="397"/>
        <v>2.410055764</v>
      </c>
    </row>
    <row r="254" ht="14.25" customHeight="1">
      <c r="A254" s="1" t="s">
        <v>44</v>
      </c>
      <c r="B254" s="1" t="s">
        <v>389</v>
      </c>
      <c r="C254" s="1" t="s">
        <v>390</v>
      </c>
      <c r="D254" s="1" t="s">
        <v>390</v>
      </c>
      <c r="E254" s="5">
        <v>70101.0</v>
      </c>
      <c r="F254" s="6">
        <v>79300.0</v>
      </c>
      <c r="G254" s="6">
        <v>80401.0</v>
      </c>
      <c r="H254" s="6">
        <v>80832.0</v>
      </c>
      <c r="I254" s="6">
        <v>3741.0</v>
      </c>
      <c r="J254" s="6">
        <v>4494.0</v>
      </c>
      <c r="K254" s="6">
        <v>4767.0</v>
      </c>
      <c r="L254" s="7">
        <f t="shared" ref="L254:N254" si="538">(I254/F254)*100</f>
        <v>4.717528373</v>
      </c>
      <c r="M254" s="7">
        <f t="shared" si="538"/>
        <v>5.589482718</v>
      </c>
      <c r="N254" s="7">
        <f t="shared" si="538"/>
        <v>5.897416865</v>
      </c>
      <c r="O254" s="7">
        <f t="shared" si="395"/>
        <v>5.401475985</v>
      </c>
      <c r="P254" s="6">
        <v>84370.0</v>
      </c>
      <c r="Q254" s="6">
        <v>86336.0</v>
      </c>
      <c r="R254" s="6">
        <v>88365.0</v>
      </c>
      <c r="S254" s="6">
        <v>1391.0</v>
      </c>
      <c r="T254" s="6">
        <v>1140.0</v>
      </c>
      <c r="U254" s="6">
        <v>1565.0</v>
      </c>
      <c r="V254" s="7">
        <f t="shared" ref="V254:X254" si="539">(S254/P254)*100</f>
        <v>1.648690293</v>
      </c>
      <c r="W254" s="7">
        <f t="shared" si="539"/>
        <v>1.320422535</v>
      </c>
      <c r="X254" s="7">
        <f t="shared" si="539"/>
        <v>1.771063204</v>
      </c>
      <c r="Y254" s="7">
        <f t="shared" si="397"/>
        <v>1.484556414</v>
      </c>
    </row>
    <row r="255" ht="14.25" customHeight="1">
      <c r="A255" s="1" t="s">
        <v>44</v>
      </c>
      <c r="B255" s="1" t="s">
        <v>389</v>
      </c>
      <c r="C255" s="1" t="s">
        <v>391</v>
      </c>
      <c r="D255" s="1" t="s">
        <v>391</v>
      </c>
      <c r="E255" s="5">
        <v>70102.0</v>
      </c>
      <c r="F255" s="6">
        <v>2805.0</v>
      </c>
      <c r="G255" s="6">
        <v>3029.0</v>
      </c>
      <c r="H255" s="6">
        <v>3271.0</v>
      </c>
      <c r="I255" s="6">
        <v>207.0</v>
      </c>
      <c r="J255" s="6">
        <v>303.0</v>
      </c>
      <c r="K255" s="6">
        <v>306.0</v>
      </c>
      <c r="L255" s="7">
        <f t="shared" ref="L255:N255" si="540">(I255/F255)*100</f>
        <v>7.379679144</v>
      </c>
      <c r="M255" s="7">
        <f t="shared" si="540"/>
        <v>10.00330142</v>
      </c>
      <c r="N255" s="7">
        <f t="shared" si="540"/>
        <v>9.354937328</v>
      </c>
      <c r="O255" s="7">
        <f t="shared" si="395"/>
        <v>8.912639297</v>
      </c>
      <c r="P255" s="6">
        <v>4410.0</v>
      </c>
      <c r="Q255" s="6">
        <v>4673.0</v>
      </c>
      <c r="R255" s="6">
        <v>4899.0</v>
      </c>
      <c r="S255" s="6">
        <v>117.0</v>
      </c>
      <c r="T255" s="6">
        <v>81.0</v>
      </c>
      <c r="U255" s="6">
        <v>137.0</v>
      </c>
      <c r="V255" s="7">
        <f t="shared" ref="V255:X255" si="541">(S255/P255)*100</f>
        <v>2.653061224</v>
      </c>
      <c r="W255" s="7">
        <f t="shared" si="541"/>
        <v>1.733361866</v>
      </c>
      <c r="X255" s="7">
        <f t="shared" si="541"/>
        <v>2.796489079</v>
      </c>
      <c r="Y255" s="7">
        <f t="shared" si="397"/>
        <v>2.193211545</v>
      </c>
    </row>
    <row r="256" ht="14.25" customHeight="1">
      <c r="A256" s="1" t="s">
        <v>44</v>
      </c>
      <c r="B256" s="1" t="s">
        <v>389</v>
      </c>
      <c r="C256" s="1" t="s">
        <v>392</v>
      </c>
      <c r="D256" s="1" t="s">
        <v>393</v>
      </c>
      <c r="E256" s="5">
        <v>70103.0</v>
      </c>
      <c r="F256" s="6">
        <v>360.0</v>
      </c>
      <c r="G256" s="6">
        <v>380.0</v>
      </c>
      <c r="H256" s="6">
        <v>389.0</v>
      </c>
      <c r="I256" s="6">
        <v>59.0</v>
      </c>
      <c r="J256" s="6">
        <v>77.0</v>
      </c>
      <c r="K256" s="6">
        <v>64.0</v>
      </c>
      <c r="L256" s="7">
        <f t="shared" ref="L256:N256" si="542">(I256/F256)*100</f>
        <v>16.38888889</v>
      </c>
      <c r="M256" s="7">
        <f t="shared" si="542"/>
        <v>20.26315789</v>
      </c>
      <c r="N256" s="7">
        <f t="shared" si="542"/>
        <v>16.45244216</v>
      </c>
      <c r="O256" s="7">
        <f t="shared" si="395"/>
        <v>17.70149631</v>
      </c>
      <c r="P256" s="6">
        <v>509.0</v>
      </c>
      <c r="Q256" s="6">
        <v>552.0</v>
      </c>
      <c r="R256" s="6">
        <v>727.0</v>
      </c>
      <c r="S256" s="6">
        <v>20.0</v>
      </c>
      <c r="T256" s="6">
        <v>22.0</v>
      </c>
      <c r="U256" s="6">
        <v>10.0</v>
      </c>
      <c r="V256" s="7">
        <f t="shared" ref="V256:X256" si="543">(S256/P256)*100</f>
        <v>3.929273084</v>
      </c>
      <c r="W256" s="7">
        <f t="shared" si="543"/>
        <v>3.985507246</v>
      </c>
      <c r="X256" s="7">
        <f t="shared" si="543"/>
        <v>1.375515818</v>
      </c>
      <c r="Y256" s="7">
        <f t="shared" si="397"/>
        <v>3.957390165</v>
      </c>
    </row>
    <row r="257" ht="14.25" customHeight="1">
      <c r="A257" s="1" t="s">
        <v>44</v>
      </c>
      <c r="B257" s="1" t="s">
        <v>389</v>
      </c>
      <c r="C257" s="1" t="s">
        <v>394</v>
      </c>
      <c r="D257" s="1" t="s">
        <v>394</v>
      </c>
      <c r="E257" s="5">
        <v>70104.0</v>
      </c>
      <c r="F257" s="6">
        <v>3910.0</v>
      </c>
      <c r="G257" s="6">
        <v>4271.0</v>
      </c>
      <c r="H257" s="6">
        <v>4510.0</v>
      </c>
      <c r="I257" s="6">
        <v>157.0</v>
      </c>
      <c r="J257" s="6">
        <v>252.0</v>
      </c>
      <c r="K257" s="6">
        <v>275.0</v>
      </c>
      <c r="L257" s="7">
        <f t="shared" ref="L257:N257" si="544">(I257/F257)*100</f>
        <v>4.015345269</v>
      </c>
      <c r="M257" s="7">
        <f t="shared" si="544"/>
        <v>5.900257551</v>
      </c>
      <c r="N257" s="7">
        <f t="shared" si="544"/>
        <v>6.097560976</v>
      </c>
      <c r="O257" s="7">
        <f t="shared" si="395"/>
        <v>5.337721265</v>
      </c>
      <c r="P257" s="6">
        <v>6010.0</v>
      </c>
      <c r="Q257" s="6">
        <v>6446.0</v>
      </c>
      <c r="R257" s="6">
        <v>6816.0</v>
      </c>
      <c r="S257" s="6">
        <v>104.0</v>
      </c>
      <c r="T257" s="6">
        <v>102.0</v>
      </c>
      <c r="U257" s="6">
        <v>104.0</v>
      </c>
      <c r="V257" s="7">
        <f t="shared" ref="V257:X257" si="545">(S257/P257)*100</f>
        <v>1.730449251</v>
      </c>
      <c r="W257" s="7">
        <f t="shared" si="545"/>
        <v>1.582376668</v>
      </c>
      <c r="X257" s="7">
        <f t="shared" si="545"/>
        <v>1.525821596</v>
      </c>
      <c r="Y257" s="7">
        <f t="shared" si="397"/>
        <v>1.656412959</v>
      </c>
    </row>
    <row r="258" ht="14.25" customHeight="1">
      <c r="A258" s="1" t="s">
        <v>44</v>
      </c>
      <c r="B258" s="1" t="s">
        <v>389</v>
      </c>
      <c r="C258" s="1" t="s">
        <v>395</v>
      </c>
      <c r="D258" s="1" t="s">
        <v>395</v>
      </c>
      <c r="E258" s="5">
        <v>70105.0</v>
      </c>
      <c r="F258" s="6">
        <v>3082.0</v>
      </c>
      <c r="G258" s="6">
        <v>3161.0</v>
      </c>
      <c r="H258" s="6">
        <v>3128.0</v>
      </c>
      <c r="I258" s="6">
        <v>183.0</v>
      </c>
      <c r="J258" s="6">
        <v>179.0</v>
      </c>
      <c r="K258" s="6">
        <v>189.0</v>
      </c>
      <c r="L258" s="7">
        <f t="shared" ref="L258:N258" si="546">(I258/F258)*100</f>
        <v>5.93770279</v>
      </c>
      <c r="M258" s="7">
        <f t="shared" si="546"/>
        <v>5.662764948</v>
      </c>
      <c r="N258" s="7">
        <f t="shared" si="546"/>
        <v>6.042199488</v>
      </c>
      <c r="O258" s="7">
        <f t="shared" si="395"/>
        <v>5.880889076</v>
      </c>
      <c r="P258" s="6">
        <v>3061.0</v>
      </c>
      <c r="Q258" s="6">
        <v>3099.0</v>
      </c>
      <c r="R258" s="6">
        <v>3194.0</v>
      </c>
      <c r="S258" s="6">
        <v>69.0</v>
      </c>
      <c r="T258" s="6">
        <v>66.0</v>
      </c>
      <c r="U258" s="6">
        <v>92.0</v>
      </c>
      <c r="V258" s="7">
        <f t="shared" ref="V258:X258" si="547">(S258/P258)*100</f>
        <v>2.254165305</v>
      </c>
      <c r="W258" s="7">
        <f t="shared" si="547"/>
        <v>2.129719264</v>
      </c>
      <c r="X258" s="7">
        <f t="shared" si="547"/>
        <v>2.880400751</v>
      </c>
      <c r="Y258" s="7">
        <f t="shared" si="397"/>
        <v>2.191942285</v>
      </c>
    </row>
    <row r="259" ht="14.25" customHeight="1">
      <c r="A259" s="1" t="s">
        <v>44</v>
      </c>
      <c r="B259" s="1" t="s">
        <v>396</v>
      </c>
      <c r="C259" s="1" t="s">
        <v>396</v>
      </c>
      <c r="D259" s="1" t="s">
        <v>396</v>
      </c>
      <c r="E259" s="5">
        <v>70201.0</v>
      </c>
      <c r="F259" s="6">
        <v>4480.0</v>
      </c>
      <c r="G259" s="6">
        <v>4919.0</v>
      </c>
      <c r="H259" s="6">
        <v>5368.0</v>
      </c>
      <c r="I259" s="6">
        <v>349.0</v>
      </c>
      <c r="J259" s="6">
        <v>406.0</v>
      </c>
      <c r="K259" s="6">
        <v>377.0</v>
      </c>
      <c r="L259" s="7">
        <f t="shared" ref="L259:N259" si="548">(I259/F259)*100</f>
        <v>7.790178571</v>
      </c>
      <c r="M259" s="7">
        <f t="shared" si="548"/>
        <v>8.253710104</v>
      </c>
      <c r="N259" s="7">
        <f t="shared" si="548"/>
        <v>7.023099851</v>
      </c>
      <c r="O259" s="7">
        <f t="shared" si="395"/>
        <v>7.688996175</v>
      </c>
      <c r="P259" s="6">
        <v>8243.0</v>
      </c>
      <c r="Q259" s="6">
        <v>8610.0</v>
      </c>
      <c r="R259" s="6">
        <v>9070.0</v>
      </c>
      <c r="S259" s="6">
        <v>199.0</v>
      </c>
      <c r="T259" s="6">
        <v>152.0</v>
      </c>
      <c r="U259" s="6">
        <v>268.0</v>
      </c>
      <c r="V259" s="7">
        <f t="shared" ref="V259:X259" si="549">(S259/P259)*100</f>
        <v>2.414169598</v>
      </c>
      <c r="W259" s="7">
        <f t="shared" si="549"/>
        <v>1.765389082</v>
      </c>
      <c r="X259" s="7">
        <f t="shared" si="549"/>
        <v>2.954796031</v>
      </c>
      <c r="Y259" s="7">
        <f t="shared" si="397"/>
        <v>2.08977934</v>
      </c>
    </row>
    <row r="260" ht="14.25" customHeight="1">
      <c r="A260" s="1" t="s">
        <v>44</v>
      </c>
      <c r="B260" s="1" t="s">
        <v>396</v>
      </c>
      <c r="C260" s="1" t="s">
        <v>397</v>
      </c>
      <c r="D260" s="1" t="s">
        <v>397</v>
      </c>
      <c r="E260" s="5">
        <v>70202.0</v>
      </c>
      <c r="F260" s="6">
        <v>649.0</v>
      </c>
      <c r="G260" s="6">
        <v>697.0</v>
      </c>
      <c r="H260" s="6">
        <v>690.0</v>
      </c>
      <c r="I260" s="6">
        <v>51.0</v>
      </c>
      <c r="J260" s="6">
        <v>51.0</v>
      </c>
      <c r="K260" s="6">
        <v>68.0</v>
      </c>
      <c r="L260" s="7">
        <f t="shared" ref="L260:N260" si="550">(I260/F260)*100</f>
        <v>7.858243451</v>
      </c>
      <c r="M260" s="7">
        <f t="shared" si="550"/>
        <v>7.317073171</v>
      </c>
      <c r="N260" s="7">
        <f t="shared" si="550"/>
        <v>9.855072464</v>
      </c>
      <c r="O260" s="7">
        <f t="shared" si="395"/>
        <v>8.343463029</v>
      </c>
      <c r="P260" s="6">
        <v>657.0</v>
      </c>
      <c r="Q260" s="6">
        <v>681.0</v>
      </c>
      <c r="R260" s="6">
        <v>673.0</v>
      </c>
      <c r="S260" s="6">
        <v>10.0</v>
      </c>
      <c r="T260" s="6">
        <v>12.0</v>
      </c>
      <c r="U260" s="6">
        <v>27.0</v>
      </c>
      <c r="V260" s="7">
        <f t="shared" ref="V260:X260" si="551">(S260/P260)*100</f>
        <v>1.522070015</v>
      </c>
      <c r="W260" s="7">
        <f t="shared" si="551"/>
        <v>1.762114537</v>
      </c>
      <c r="X260" s="7">
        <f t="shared" si="551"/>
        <v>4.011887073</v>
      </c>
      <c r="Y260" s="7">
        <f t="shared" si="397"/>
        <v>1.642092276</v>
      </c>
    </row>
    <row r="261" ht="14.25" customHeight="1">
      <c r="A261" s="1" t="s">
        <v>44</v>
      </c>
      <c r="B261" s="1" t="s">
        <v>398</v>
      </c>
      <c r="C261" s="1" t="s">
        <v>399</v>
      </c>
      <c r="D261" s="1" t="s">
        <v>399</v>
      </c>
      <c r="E261" s="5">
        <v>70301.0</v>
      </c>
      <c r="F261" s="6">
        <v>2555.0</v>
      </c>
      <c r="G261" s="6">
        <v>2675.0</v>
      </c>
      <c r="H261" s="6">
        <v>2804.0</v>
      </c>
      <c r="I261" s="6">
        <v>208.0</v>
      </c>
      <c r="J261" s="6">
        <v>207.0</v>
      </c>
      <c r="K261" s="6">
        <v>235.0</v>
      </c>
      <c r="L261" s="7">
        <f t="shared" ref="L261:N261" si="552">(I261/F261)*100</f>
        <v>8.140900196</v>
      </c>
      <c r="M261" s="7">
        <f t="shared" si="552"/>
        <v>7.738317757</v>
      </c>
      <c r="N261" s="7">
        <f t="shared" si="552"/>
        <v>8.380884451</v>
      </c>
      <c r="O261" s="7">
        <f t="shared" si="395"/>
        <v>8.086700801</v>
      </c>
      <c r="P261" s="6">
        <v>3351.0</v>
      </c>
      <c r="Q261" s="6">
        <v>3427.0</v>
      </c>
      <c r="R261" s="6">
        <v>3520.0</v>
      </c>
      <c r="S261" s="6">
        <v>91.0</v>
      </c>
      <c r="T261" s="6">
        <v>90.0</v>
      </c>
      <c r="U261" s="6">
        <v>99.0</v>
      </c>
      <c r="V261" s="7">
        <f t="shared" ref="V261:X261" si="553">(S261/P261)*100</f>
        <v>2.715607281</v>
      </c>
      <c r="W261" s="7">
        <f t="shared" si="553"/>
        <v>2.626203677</v>
      </c>
      <c r="X261" s="7">
        <f t="shared" si="553"/>
        <v>2.8125</v>
      </c>
      <c r="Y261" s="7">
        <f t="shared" si="397"/>
        <v>2.670905479</v>
      </c>
    </row>
    <row r="262" ht="14.25" customHeight="1">
      <c r="A262" s="1" t="s">
        <v>44</v>
      </c>
      <c r="B262" s="1" t="s">
        <v>398</v>
      </c>
      <c r="C262" s="1" t="s">
        <v>400</v>
      </c>
      <c r="D262" s="1" t="s">
        <v>400</v>
      </c>
      <c r="E262" s="5">
        <v>70302.0</v>
      </c>
      <c r="F262" s="6">
        <v>643.0</v>
      </c>
      <c r="G262" s="6">
        <v>675.0</v>
      </c>
      <c r="H262" s="6">
        <v>675.0</v>
      </c>
      <c r="I262" s="6">
        <v>33.0</v>
      </c>
      <c r="J262" s="6">
        <v>40.0</v>
      </c>
      <c r="K262" s="6">
        <v>30.0</v>
      </c>
      <c r="L262" s="7">
        <f t="shared" ref="L262:N262" si="554">(I262/F262)*100</f>
        <v>5.132192846</v>
      </c>
      <c r="M262" s="7">
        <f t="shared" si="554"/>
        <v>5.925925926</v>
      </c>
      <c r="N262" s="7">
        <f t="shared" si="554"/>
        <v>4.444444444</v>
      </c>
      <c r="O262" s="7">
        <f t="shared" si="395"/>
        <v>5.167521072</v>
      </c>
      <c r="P262" s="6">
        <v>639.0</v>
      </c>
      <c r="Q262" s="6">
        <v>659.0</v>
      </c>
      <c r="R262" s="6">
        <v>684.0</v>
      </c>
      <c r="S262" s="6">
        <v>15.0</v>
      </c>
      <c r="T262" s="6">
        <v>7.0</v>
      </c>
      <c r="U262" s="6">
        <v>16.0</v>
      </c>
      <c r="V262" s="7">
        <f t="shared" ref="V262:X262" si="555">(S262/P262)*100</f>
        <v>2.34741784</v>
      </c>
      <c r="W262" s="7">
        <f t="shared" si="555"/>
        <v>1.062215478</v>
      </c>
      <c r="X262" s="7">
        <f t="shared" si="555"/>
        <v>2.339181287</v>
      </c>
      <c r="Y262" s="7">
        <f t="shared" si="397"/>
        <v>1.704816659</v>
      </c>
    </row>
    <row r="263" ht="14.25" customHeight="1">
      <c r="A263" s="1" t="s">
        <v>44</v>
      </c>
      <c r="B263" s="1" t="s">
        <v>398</v>
      </c>
      <c r="C263" s="1" t="s">
        <v>401</v>
      </c>
      <c r="D263" s="1" t="s">
        <v>401</v>
      </c>
      <c r="E263" s="5">
        <v>70303.0</v>
      </c>
      <c r="F263" s="6">
        <v>212.0</v>
      </c>
      <c r="G263" s="6">
        <v>214.0</v>
      </c>
      <c r="H263" s="6">
        <v>223.0</v>
      </c>
      <c r="I263" s="6">
        <v>37.0</v>
      </c>
      <c r="J263" s="6">
        <v>19.0</v>
      </c>
      <c r="K263" s="6">
        <v>20.0</v>
      </c>
      <c r="L263" s="7">
        <f t="shared" ref="L263:N263" si="556">(I263/F263)*100</f>
        <v>17.45283019</v>
      </c>
      <c r="M263" s="7">
        <f t="shared" si="556"/>
        <v>8.878504673</v>
      </c>
      <c r="N263" s="7">
        <f t="shared" si="556"/>
        <v>8.968609865</v>
      </c>
      <c r="O263" s="7">
        <f t="shared" si="395"/>
        <v>11.76664824</v>
      </c>
      <c r="P263" s="6">
        <v>310.0</v>
      </c>
      <c r="Q263" s="6">
        <v>322.0</v>
      </c>
      <c r="R263" s="6">
        <v>339.0</v>
      </c>
      <c r="S263" s="6">
        <v>6.0</v>
      </c>
      <c r="T263" s="6">
        <v>6.0</v>
      </c>
      <c r="U263" s="6">
        <v>9.0</v>
      </c>
      <c r="V263" s="7">
        <f t="shared" ref="V263:X263" si="557">(S263/P263)*100</f>
        <v>1.935483871</v>
      </c>
      <c r="W263" s="7">
        <f t="shared" si="557"/>
        <v>1.863354037</v>
      </c>
      <c r="X263" s="7">
        <f t="shared" si="557"/>
        <v>2.654867257</v>
      </c>
      <c r="Y263" s="7">
        <f t="shared" si="397"/>
        <v>1.899418954</v>
      </c>
    </row>
    <row r="264" ht="14.25" customHeight="1">
      <c r="A264" s="1" t="s">
        <v>44</v>
      </c>
      <c r="B264" s="1" t="s">
        <v>402</v>
      </c>
      <c r="C264" s="1" t="s">
        <v>403</v>
      </c>
      <c r="D264" s="1" t="s">
        <v>403</v>
      </c>
      <c r="E264" s="5">
        <v>70401.0</v>
      </c>
      <c r="F264" s="6">
        <v>728.0</v>
      </c>
      <c r="G264" s="6">
        <v>739.0</v>
      </c>
      <c r="H264" s="6">
        <v>697.0</v>
      </c>
      <c r="I264" s="6">
        <v>41.0</v>
      </c>
      <c r="J264" s="6">
        <v>63.0</v>
      </c>
      <c r="K264" s="6">
        <v>54.0</v>
      </c>
      <c r="L264" s="7">
        <f t="shared" ref="L264:N264" si="558">(I264/F264)*100</f>
        <v>5.631868132</v>
      </c>
      <c r="M264" s="7">
        <f t="shared" si="558"/>
        <v>8.525033829</v>
      </c>
      <c r="N264" s="7">
        <f t="shared" si="558"/>
        <v>7.74748924</v>
      </c>
      <c r="O264" s="7">
        <f t="shared" si="395"/>
        <v>7.301463734</v>
      </c>
      <c r="P264" s="6">
        <v>703.0</v>
      </c>
      <c r="Q264" s="6">
        <v>702.0</v>
      </c>
      <c r="R264" s="6">
        <v>728.0</v>
      </c>
      <c r="S264" s="6">
        <v>19.0</v>
      </c>
      <c r="T264" s="6">
        <v>22.0</v>
      </c>
      <c r="U264" s="6">
        <v>22.0</v>
      </c>
      <c r="V264" s="7">
        <f t="shared" ref="V264:X264" si="559">(S264/P264)*100</f>
        <v>2.702702703</v>
      </c>
      <c r="W264" s="7">
        <f t="shared" si="559"/>
        <v>3.133903134</v>
      </c>
      <c r="X264" s="7">
        <f t="shared" si="559"/>
        <v>3.021978022</v>
      </c>
      <c r="Y264" s="7">
        <f t="shared" si="397"/>
        <v>2.918302918</v>
      </c>
    </row>
    <row r="265" ht="14.25" customHeight="1">
      <c r="A265" s="1" t="s">
        <v>44</v>
      </c>
      <c r="B265" s="1" t="s">
        <v>402</v>
      </c>
      <c r="C265" s="1" t="s">
        <v>404</v>
      </c>
      <c r="D265" s="1" t="s">
        <v>404</v>
      </c>
      <c r="E265" s="5">
        <v>70402.0</v>
      </c>
      <c r="F265" s="6">
        <v>1101.0</v>
      </c>
      <c r="G265" s="6">
        <v>1096.0</v>
      </c>
      <c r="H265" s="6">
        <v>1044.0</v>
      </c>
      <c r="I265" s="6">
        <v>65.0</v>
      </c>
      <c r="J265" s="6">
        <v>105.0</v>
      </c>
      <c r="K265" s="6">
        <v>99.0</v>
      </c>
      <c r="L265" s="7">
        <f t="shared" ref="L265:N265" si="560">(I265/F265)*100</f>
        <v>5.903723887</v>
      </c>
      <c r="M265" s="7">
        <f t="shared" si="560"/>
        <v>9.580291971</v>
      </c>
      <c r="N265" s="7">
        <f t="shared" si="560"/>
        <v>9.482758621</v>
      </c>
      <c r="O265" s="7">
        <f t="shared" si="395"/>
        <v>8.32225816</v>
      </c>
      <c r="P265" s="6">
        <v>1101.0</v>
      </c>
      <c r="Q265" s="6">
        <v>1102.0</v>
      </c>
      <c r="R265" s="6">
        <v>1136.0</v>
      </c>
      <c r="S265" s="6">
        <v>27.0</v>
      </c>
      <c r="T265" s="6">
        <v>24.0</v>
      </c>
      <c r="U265" s="6">
        <v>29.0</v>
      </c>
      <c r="V265" s="7">
        <f t="shared" ref="V265:X265" si="561">(S265/P265)*100</f>
        <v>2.452316076</v>
      </c>
      <c r="W265" s="7">
        <f t="shared" si="561"/>
        <v>2.177858439</v>
      </c>
      <c r="X265" s="7">
        <f t="shared" si="561"/>
        <v>2.552816901</v>
      </c>
      <c r="Y265" s="7">
        <f t="shared" si="397"/>
        <v>2.315087258</v>
      </c>
    </row>
    <row r="266" ht="14.25" customHeight="1">
      <c r="A266" s="1" t="s">
        <v>44</v>
      </c>
      <c r="B266" s="1" t="s">
        <v>402</v>
      </c>
      <c r="C266" s="1" t="s">
        <v>405</v>
      </c>
      <c r="D266" s="1" t="s">
        <v>405</v>
      </c>
      <c r="E266" s="5">
        <v>70403.0</v>
      </c>
      <c r="F266" s="6">
        <v>2560.0</v>
      </c>
      <c r="G266" s="6">
        <v>2705.0</v>
      </c>
      <c r="H266" s="6">
        <v>2723.0</v>
      </c>
      <c r="I266" s="6">
        <v>49.0</v>
      </c>
      <c r="J266" s="6">
        <v>169.0</v>
      </c>
      <c r="K266" s="6">
        <v>184.0</v>
      </c>
      <c r="L266" s="7">
        <f t="shared" ref="L266:N266" si="562">(I266/F266)*100</f>
        <v>1.9140625</v>
      </c>
      <c r="M266" s="7">
        <f t="shared" si="562"/>
        <v>6.247689464</v>
      </c>
      <c r="N266" s="7">
        <f t="shared" si="562"/>
        <v>6.75725303</v>
      </c>
      <c r="O266" s="7">
        <f t="shared" si="395"/>
        <v>4.973001665</v>
      </c>
      <c r="P266" s="6">
        <v>3130.0</v>
      </c>
      <c r="Q266" s="6">
        <v>3192.0</v>
      </c>
      <c r="R266" s="6">
        <v>3256.0</v>
      </c>
      <c r="S266" s="6">
        <v>95.0</v>
      </c>
      <c r="T266" s="6">
        <v>79.0</v>
      </c>
      <c r="U266" s="6">
        <v>122.0</v>
      </c>
      <c r="V266" s="7">
        <f t="shared" ref="V266:X266" si="563">(S266/P266)*100</f>
        <v>3.03514377</v>
      </c>
      <c r="W266" s="7">
        <f t="shared" si="563"/>
        <v>2.474937343</v>
      </c>
      <c r="X266" s="7">
        <f t="shared" si="563"/>
        <v>3.746928747</v>
      </c>
      <c r="Y266" s="7">
        <f t="shared" si="397"/>
        <v>2.755040557</v>
      </c>
    </row>
    <row r="267" ht="14.25" customHeight="1">
      <c r="A267" s="1" t="s">
        <v>44</v>
      </c>
      <c r="B267" s="1" t="s">
        <v>402</v>
      </c>
      <c r="C267" s="1" t="s">
        <v>406</v>
      </c>
      <c r="D267" s="1" t="s">
        <v>406</v>
      </c>
      <c r="E267" s="5">
        <v>70404.0</v>
      </c>
      <c r="F267" s="6">
        <v>417.0</v>
      </c>
      <c r="G267" s="6">
        <v>440.0</v>
      </c>
      <c r="H267" s="6">
        <v>447.0</v>
      </c>
      <c r="I267" s="6">
        <v>28.0</v>
      </c>
      <c r="J267" s="6">
        <v>30.0</v>
      </c>
      <c r="K267" s="6">
        <v>23.0</v>
      </c>
      <c r="L267" s="7">
        <f t="shared" ref="L267:N267" si="564">(I267/F267)*100</f>
        <v>6.714628297</v>
      </c>
      <c r="M267" s="7">
        <f t="shared" si="564"/>
        <v>6.818181818</v>
      </c>
      <c r="N267" s="7">
        <f t="shared" si="564"/>
        <v>5.14541387</v>
      </c>
      <c r="O267" s="7">
        <f t="shared" si="395"/>
        <v>6.226074662</v>
      </c>
      <c r="P267" s="6">
        <v>467.0</v>
      </c>
      <c r="Q267" s="6">
        <v>458.0</v>
      </c>
      <c r="R267" s="6">
        <v>465.0</v>
      </c>
      <c r="S267" s="6">
        <v>13.0</v>
      </c>
      <c r="T267" s="6">
        <v>16.0</v>
      </c>
      <c r="U267" s="6">
        <v>12.0</v>
      </c>
      <c r="V267" s="7">
        <f t="shared" ref="V267:X267" si="565">(S267/P267)*100</f>
        <v>2.78372591</v>
      </c>
      <c r="W267" s="7">
        <f t="shared" si="565"/>
        <v>3.493449782</v>
      </c>
      <c r="X267" s="7">
        <f t="shared" si="565"/>
        <v>2.580645161</v>
      </c>
      <c r="Y267" s="7">
        <f t="shared" si="397"/>
        <v>3.138587846</v>
      </c>
    </row>
    <row r="268" ht="14.25" customHeight="1">
      <c r="A268" s="1" t="s">
        <v>44</v>
      </c>
      <c r="B268" s="1" t="s">
        <v>407</v>
      </c>
      <c r="C268" s="1" t="s">
        <v>408</v>
      </c>
      <c r="D268" s="1" t="s">
        <v>408</v>
      </c>
      <c r="E268" s="5">
        <v>70501.0</v>
      </c>
      <c r="F268" s="6">
        <v>890.0</v>
      </c>
      <c r="G268" s="6">
        <v>943.0</v>
      </c>
      <c r="H268" s="6">
        <v>945.0</v>
      </c>
      <c r="I268" s="6">
        <v>57.0</v>
      </c>
      <c r="J268" s="6">
        <v>47.0</v>
      </c>
      <c r="K268" s="6">
        <v>51.0</v>
      </c>
      <c r="L268" s="7">
        <f t="shared" ref="L268:N268" si="566">(I268/F268)*100</f>
        <v>6.404494382</v>
      </c>
      <c r="M268" s="7">
        <f t="shared" si="566"/>
        <v>4.984093319</v>
      </c>
      <c r="N268" s="7">
        <f t="shared" si="566"/>
        <v>5.396825397</v>
      </c>
      <c r="O268" s="7">
        <f t="shared" si="395"/>
        <v>5.595137699</v>
      </c>
      <c r="P268" s="6">
        <v>1188.0</v>
      </c>
      <c r="Q268" s="6">
        <v>1189.0</v>
      </c>
      <c r="R268" s="6">
        <v>1214.0</v>
      </c>
      <c r="S268" s="6">
        <v>25.0</v>
      </c>
      <c r="T268" s="6">
        <v>39.0</v>
      </c>
      <c r="U268" s="6">
        <v>58.0</v>
      </c>
      <c r="V268" s="7">
        <f t="shared" ref="V268:X268" si="567">(S268/P268)*100</f>
        <v>2.104377104</v>
      </c>
      <c r="W268" s="7">
        <f t="shared" si="567"/>
        <v>3.280067283</v>
      </c>
      <c r="X268" s="7">
        <f t="shared" si="567"/>
        <v>4.777594728</v>
      </c>
      <c r="Y268" s="7">
        <f t="shared" si="397"/>
        <v>2.692222194</v>
      </c>
    </row>
    <row r="269" ht="14.25" customHeight="1">
      <c r="A269" s="1" t="s">
        <v>44</v>
      </c>
      <c r="B269" s="1" t="s">
        <v>407</v>
      </c>
      <c r="C269" s="1" t="s">
        <v>409</v>
      </c>
      <c r="D269" s="1" t="s">
        <v>409</v>
      </c>
      <c r="E269" s="5">
        <v>70502.0</v>
      </c>
      <c r="F269" s="6">
        <v>1084.0</v>
      </c>
      <c r="G269" s="6">
        <v>1109.0</v>
      </c>
      <c r="H269" s="6">
        <v>1161.0</v>
      </c>
      <c r="I269" s="6">
        <v>100.0</v>
      </c>
      <c r="J269" s="6">
        <v>90.0</v>
      </c>
      <c r="K269" s="6">
        <v>104.0</v>
      </c>
      <c r="L269" s="7">
        <f t="shared" ref="L269:N269" si="568">(I269/F269)*100</f>
        <v>9.225092251</v>
      </c>
      <c r="M269" s="7">
        <f t="shared" si="568"/>
        <v>8.115419297</v>
      </c>
      <c r="N269" s="7">
        <f t="shared" si="568"/>
        <v>8.957795004</v>
      </c>
      <c r="O269" s="7">
        <f t="shared" si="395"/>
        <v>8.766102184</v>
      </c>
      <c r="P269" s="6">
        <v>1437.0</v>
      </c>
      <c r="Q269" s="6">
        <v>1479.0</v>
      </c>
      <c r="R269" s="6">
        <v>1543.0</v>
      </c>
      <c r="S269" s="6">
        <v>63.0</v>
      </c>
      <c r="T269" s="6">
        <v>48.0</v>
      </c>
      <c r="U269" s="6">
        <v>48.0</v>
      </c>
      <c r="V269" s="7">
        <f t="shared" ref="V269:X269" si="569">(S269/P269)*100</f>
        <v>4.384133612</v>
      </c>
      <c r="W269" s="7">
        <f t="shared" si="569"/>
        <v>3.245436105</v>
      </c>
      <c r="X269" s="7">
        <f t="shared" si="569"/>
        <v>3.110823072</v>
      </c>
      <c r="Y269" s="7">
        <f t="shared" si="397"/>
        <v>3.814784859</v>
      </c>
    </row>
    <row r="270" ht="14.25" customHeight="1">
      <c r="A270" s="1" t="s">
        <v>44</v>
      </c>
      <c r="B270" s="1" t="s">
        <v>407</v>
      </c>
      <c r="C270" s="1" t="s">
        <v>410</v>
      </c>
      <c r="D270" s="1" t="s">
        <v>410</v>
      </c>
      <c r="E270" s="5">
        <v>70503.0</v>
      </c>
      <c r="F270" s="6">
        <v>1106.0</v>
      </c>
      <c r="G270" s="6">
        <v>1083.0</v>
      </c>
      <c r="H270" s="6">
        <v>1053.0</v>
      </c>
      <c r="I270" s="6">
        <v>80.0</v>
      </c>
      <c r="J270" s="6">
        <v>75.0</v>
      </c>
      <c r="K270" s="6">
        <v>49.0</v>
      </c>
      <c r="L270" s="7">
        <f t="shared" ref="L270:N270" si="570">(I270/F270)*100</f>
        <v>7.233273056</v>
      </c>
      <c r="M270" s="7">
        <f t="shared" si="570"/>
        <v>6.925207756</v>
      </c>
      <c r="N270" s="7">
        <f t="shared" si="570"/>
        <v>4.65337132</v>
      </c>
      <c r="O270" s="7">
        <f t="shared" si="395"/>
        <v>6.270617377</v>
      </c>
      <c r="P270" s="6">
        <v>923.0</v>
      </c>
      <c r="Q270" s="6">
        <v>961.0</v>
      </c>
      <c r="R270" s="6">
        <v>960.0</v>
      </c>
      <c r="S270" s="6">
        <v>20.0</v>
      </c>
      <c r="T270" s="6">
        <v>12.0</v>
      </c>
      <c r="U270" s="6">
        <v>23.0</v>
      </c>
      <c r="V270" s="7">
        <f t="shared" ref="V270:X270" si="571">(S270/P270)*100</f>
        <v>2.166847237</v>
      </c>
      <c r="W270" s="7">
        <f t="shared" si="571"/>
        <v>1.248699272</v>
      </c>
      <c r="X270" s="7">
        <f t="shared" si="571"/>
        <v>2.395833333</v>
      </c>
      <c r="Y270" s="7">
        <f t="shared" si="397"/>
        <v>1.707773254</v>
      </c>
    </row>
    <row r="271" ht="14.25" customHeight="1">
      <c r="A271" s="1" t="s">
        <v>44</v>
      </c>
      <c r="B271" s="1" t="s">
        <v>411</v>
      </c>
      <c r="C271" s="1" t="s">
        <v>412</v>
      </c>
      <c r="D271" s="1" t="s">
        <v>412</v>
      </c>
      <c r="E271" s="5">
        <v>70601.0</v>
      </c>
      <c r="F271" s="6">
        <v>1067.0</v>
      </c>
      <c r="G271" s="6">
        <v>1088.0</v>
      </c>
      <c r="H271" s="6">
        <v>1080.0</v>
      </c>
      <c r="I271" s="6">
        <v>75.0</v>
      </c>
      <c r="J271" s="6">
        <v>84.0</v>
      </c>
      <c r="K271" s="6">
        <v>84.0</v>
      </c>
      <c r="L271" s="7">
        <f t="shared" ref="L271:N271" si="572">(I271/F271)*100</f>
        <v>7.029053421</v>
      </c>
      <c r="M271" s="7">
        <f t="shared" si="572"/>
        <v>7.720588235</v>
      </c>
      <c r="N271" s="7">
        <f t="shared" si="572"/>
        <v>7.777777778</v>
      </c>
      <c r="O271" s="7">
        <f t="shared" si="395"/>
        <v>7.509139811</v>
      </c>
      <c r="P271" s="6">
        <v>1120.0</v>
      </c>
      <c r="Q271" s="6">
        <v>1162.0</v>
      </c>
      <c r="R271" s="6">
        <v>1186.0</v>
      </c>
      <c r="S271" s="6">
        <v>33.0</v>
      </c>
      <c r="T271" s="6">
        <v>42.0</v>
      </c>
      <c r="U271" s="6">
        <v>22.0</v>
      </c>
      <c r="V271" s="7">
        <f t="shared" ref="V271:X271" si="573">(S271/P271)*100</f>
        <v>2.946428571</v>
      </c>
      <c r="W271" s="7">
        <f t="shared" si="573"/>
        <v>3.614457831</v>
      </c>
      <c r="X271" s="7">
        <f t="shared" si="573"/>
        <v>1.854974705</v>
      </c>
      <c r="Y271" s="7">
        <f t="shared" si="397"/>
        <v>3.280443201</v>
      </c>
    </row>
    <row r="272" ht="14.25" customHeight="1">
      <c r="A272" s="1" t="s">
        <v>44</v>
      </c>
      <c r="B272" s="1" t="s">
        <v>411</v>
      </c>
      <c r="C272" s="1" t="s">
        <v>413</v>
      </c>
      <c r="D272" s="1" t="s">
        <v>413</v>
      </c>
      <c r="E272" s="5">
        <v>70602.0</v>
      </c>
      <c r="F272" s="6">
        <v>661.0</v>
      </c>
      <c r="G272" s="6">
        <v>700.0</v>
      </c>
      <c r="H272" s="6">
        <v>740.0</v>
      </c>
      <c r="I272" s="6">
        <v>54.0</v>
      </c>
      <c r="J272" s="6">
        <v>109.0</v>
      </c>
      <c r="K272" s="6">
        <v>81.0</v>
      </c>
      <c r="L272" s="7">
        <f t="shared" ref="L272:N272" si="574">(I272/F272)*100</f>
        <v>8.169440242</v>
      </c>
      <c r="M272" s="7">
        <f t="shared" si="574"/>
        <v>15.57142857</v>
      </c>
      <c r="N272" s="7">
        <f t="shared" si="574"/>
        <v>10.94594595</v>
      </c>
      <c r="O272" s="7">
        <f t="shared" si="395"/>
        <v>11.56227159</v>
      </c>
      <c r="P272" s="6">
        <v>852.0</v>
      </c>
      <c r="Q272" s="6">
        <v>867.0</v>
      </c>
      <c r="R272" s="6">
        <v>853.0</v>
      </c>
      <c r="S272" s="6">
        <v>34.0</v>
      </c>
      <c r="T272" s="6">
        <v>37.0</v>
      </c>
      <c r="U272" s="6">
        <v>27.0</v>
      </c>
      <c r="V272" s="7">
        <f t="shared" ref="V272:X272" si="575">(S272/P272)*100</f>
        <v>3.990610329</v>
      </c>
      <c r="W272" s="7">
        <f t="shared" si="575"/>
        <v>4.267589389</v>
      </c>
      <c r="X272" s="7">
        <f t="shared" si="575"/>
        <v>3.165298945</v>
      </c>
      <c r="Y272" s="7">
        <f t="shared" si="397"/>
        <v>4.129099859</v>
      </c>
    </row>
    <row r="273" ht="14.25" customHeight="1">
      <c r="A273" s="1" t="s">
        <v>44</v>
      </c>
      <c r="B273" s="1" t="s">
        <v>411</v>
      </c>
      <c r="C273" s="1" t="s">
        <v>414</v>
      </c>
      <c r="D273" s="1" t="s">
        <v>414</v>
      </c>
      <c r="E273" s="5">
        <v>70603.0</v>
      </c>
      <c r="F273" s="6">
        <v>289.0</v>
      </c>
      <c r="G273" s="6">
        <v>274.0</v>
      </c>
      <c r="H273" s="6">
        <v>283.0</v>
      </c>
      <c r="I273" s="6">
        <v>36.0</v>
      </c>
      <c r="J273" s="6">
        <v>45.0</v>
      </c>
      <c r="K273" s="6">
        <v>37.0</v>
      </c>
      <c r="L273" s="7">
        <f t="shared" ref="L273:N273" si="576">(I273/F273)*100</f>
        <v>12.4567474</v>
      </c>
      <c r="M273" s="7">
        <f t="shared" si="576"/>
        <v>16.42335766</v>
      </c>
      <c r="N273" s="7">
        <f t="shared" si="576"/>
        <v>13.07420495</v>
      </c>
      <c r="O273" s="7">
        <f t="shared" si="395"/>
        <v>13.98477001</v>
      </c>
      <c r="P273" s="6">
        <v>343.0</v>
      </c>
      <c r="Q273" s="6">
        <v>350.0</v>
      </c>
      <c r="R273" s="6">
        <v>339.0</v>
      </c>
      <c r="S273" s="6">
        <v>11.0</v>
      </c>
      <c r="T273" s="6">
        <v>9.0</v>
      </c>
      <c r="U273" s="6">
        <v>6.0</v>
      </c>
      <c r="V273" s="7">
        <f t="shared" ref="V273:X273" si="577">(S273/P273)*100</f>
        <v>3.206997085</v>
      </c>
      <c r="W273" s="7">
        <f t="shared" si="577"/>
        <v>2.571428571</v>
      </c>
      <c r="X273" s="7">
        <f t="shared" si="577"/>
        <v>1.769911504</v>
      </c>
      <c r="Y273" s="7">
        <f t="shared" si="397"/>
        <v>2.889212828</v>
      </c>
    </row>
    <row r="274" ht="14.25" customHeight="1">
      <c r="A274" s="1" t="s">
        <v>44</v>
      </c>
      <c r="B274" s="1" t="s">
        <v>415</v>
      </c>
      <c r="C274" s="1" t="s">
        <v>416</v>
      </c>
      <c r="D274" s="1" t="s">
        <v>416</v>
      </c>
      <c r="E274" s="5">
        <v>70701.0</v>
      </c>
      <c r="F274" s="6">
        <v>260.0</v>
      </c>
      <c r="G274" s="6">
        <v>282.0</v>
      </c>
      <c r="H274" s="6">
        <v>287.0</v>
      </c>
      <c r="I274" s="6">
        <v>11.0</v>
      </c>
      <c r="J274" s="6">
        <v>35.0</v>
      </c>
      <c r="K274" s="6">
        <v>27.0</v>
      </c>
      <c r="L274" s="7">
        <f t="shared" ref="L274:N274" si="578">(I274/F274)*100</f>
        <v>4.230769231</v>
      </c>
      <c r="M274" s="7">
        <f t="shared" si="578"/>
        <v>12.41134752</v>
      </c>
      <c r="N274" s="7">
        <f t="shared" si="578"/>
        <v>9.407665505</v>
      </c>
      <c r="O274" s="7">
        <f t="shared" si="395"/>
        <v>8.683260751</v>
      </c>
      <c r="P274" s="6">
        <v>339.0</v>
      </c>
      <c r="Q274" s="6">
        <v>303.0</v>
      </c>
      <c r="R274" s="6">
        <v>310.0</v>
      </c>
      <c r="S274" s="6">
        <v>11.0</v>
      </c>
      <c r="T274" s="6">
        <v>6.0</v>
      </c>
      <c r="U274" s="6">
        <v>8.0</v>
      </c>
      <c r="V274" s="7">
        <f t="shared" ref="V274:X274" si="579">(S274/P274)*100</f>
        <v>3.244837758</v>
      </c>
      <c r="W274" s="7">
        <f t="shared" si="579"/>
        <v>1.98019802</v>
      </c>
      <c r="X274" s="7">
        <f t="shared" si="579"/>
        <v>2.580645161</v>
      </c>
      <c r="Y274" s="7">
        <f t="shared" si="397"/>
        <v>2.612517889</v>
      </c>
    </row>
    <row r="275" ht="14.25" customHeight="1">
      <c r="A275" s="1" t="s">
        <v>44</v>
      </c>
      <c r="B275" s="1" t="s">
        <v>415</v>
      </c>
      <c r="C275" s="1" t="s">
        <v>417</v>
      </c>
      <c r="D275" s="1" t="s">
        <v>418</v>
      </c>
      <c r="E275" s="5">
        <v>70702.0</v>
      </c>
      <c r="F275" s="6">
        <v>1048.0</v>
      </c>
      <c r="G275" s="6">
        <v>1122.0</v>
      </c>
      <c r="H275" s="6">
        <v>1142.0</v>
      </c>
      <c r="I275" s="6">
        <v>102.0</v>
      </c>
      <c r="J275" s="6">
        <v>127.0</v>
      </c>
      <c r="K275" s="6">
        <v>130.0</v>
      </c>
      <c r="L275" s="7">
        <f t="shared" ref="L275:N275" si="580">(I275/F275)*100</f>
        <v>9.732824427</v>
      </c>
      <c r="M275" s="7">
        <f t="shared" si="580"/>
        <v>11.31907308</v>
      </c>
      <c r="N275" s="7">
        <f t="shared" si="580"/>
        <v>11.38353765</v>
      </c>
      <c r="O275" s="7">
        <f t="shared" si="395"/>
        <v>10.81181172</v>
      </c>
      <c r="P275" s="6">
        <v>1360.0</v>
      </c>
      <c r="Q275" s="6">
        <v>1372.0</v>
      </c>
      <c r="R275" s="6">
        <v>1418.0</v>
      </c>
      <c r="S275" s="6">
        <v>48.0</v>
      </c>
      <c r="T275" s="6">
        <v>40.0</v>
      </c>
      <c r="U275" s="6">
        <v>38.0</v>
      </c>
      <c r="V275" s="7">
        <f t="shared" ref="V275:X275" si="581">(S275/P275)*100</f>
        <v>3.529411765</v>
      </c>
      <c r="W275" s="7">
        <f t="shared" si="581"/>
        <v>2.915451895</v>
      </c>
      <c r="X275" s="7">
        <f t="shared" si="581"/>
        <v>2.679830748</v>
      </c>
      <c r="Y275" s="7">
        <f t="shared" si="397"/>
        <v>3.22243183</v>
      </c>
    </row>
    <row r="276" ht="14.25" customHeight="1">
      <c r="A276" s="1" t="s">
        <v>44</v>
      </c>
      <c r="B276" s="1" t="s">
        <v>415</v>
      </c>
      <c r="C276" s="1" t="s">
        <v>419</v>
      </c>
      <c r="D276" s="1" t="s">
        <v>419</v>
      </c>
      <c r="E276" s="5">
        <v>70703.0</v>
      </c>
      <c r="F276" s="6">
        <v>864.0</v>
      </c>
      <c r="G276" s="6">
        <v>947.0</v>
      </c>
      <c r="H276" s="6">
        <v>961.0</v>
      </c>
      <c r="I276" s="6">
        <v>44.0</v>
      </c>
      <c r="J276" s="6">
        <v>67.0</v>
      </c>
      <c r="K276" s="6">
        <v>64.0</v>
      </c>
      <c r="L276" s="7">
        <f t="shared" ref="L276:N276" si="582">(I276/F276)*100</f>
        <v>5.092592593</v>
      </c>
      <c r="M276" s="7">
        <f t="shared" si="582"/>
        <v>7.074973601</v>
      </c>
      <c r="N276" s="7">
        <f t="shared" si="582"/>
        <v>6.659729448</v>
      </c>
      <c r="O276" s="7">
        <f t="shared" si="395"/>
        <v>6.275765214</v>
      </c>
      <c r="P276" s="6">
        <v>1160.0</v>
      </c>
      <c r="Q276" s="6">
        <v>1222.0</v>
      </c>
      <c r="R276" s="6">
        <v>1287.0</v>
      </c>
      <c r="S276" s="6">
        <v>37.0</v>
      </c>
      <c r="T276" s="6">
        <v>49.0</v>
      </c>
      <c r="U276" s="6">
        <v>57.0</v>
      </c>
      <c r="V276" s="7">
        <f t="shared" ref="V276:X276" si="583">(S276/P276)*100</f>
        <v>3.189655172</v>
      </c>
      <c r="W276" s="7">
        <f t="shared" si="583"/>
        <v>4.009819967</v>
      </c>
      <c r="X276" s="7">
        <f t="shared" si="583"/>
        <v>4.428904429</v>
      </c>
      <c r="Y276" s="7">
        <f t="shared" si="397"/>
        <v>3.59973757</v>
      </c>
    </row>
    <row r="277" ht="14.25" customHeight="1">
      <c r="A277" s="1" t="s">
        <v>44</v>
      </c>
      <c r="B277" s="1" t="s">
        <v>415</v>
      </c>
      <c r="C277" s="1" t="s">
        <v>420</v>
      </c>
      <c r="D277" s="1" t="s">
        <v>420</v>
      </c>
      <c r="E277" s="5">
        <v>70704.0</v>
      </c>
      <c r="F277" s="6">
        <v>208.0</v>
      </c>
      <c r="G277" s="6">
        <v>233.0</v>
      </c>
      <c r="H277" s="6">
        <v>228.0</v>
      </c>
      <c r="I277" s="6">
        <v>7.0</v>
      </c>
      <c r="J277" s="6">
        <v>14.0</v>
      </c>
      <c r="K277" s="6">
        <v>17.0</v>
      </c>
      <c r="L277" s="7">
        <f t="shared" ref="L277:N277" si="584">(I277/F277)*100</f>
        <v>3.365384615</v>
      </c>
      <c r="M277" s="7">
        <f t="shared" si="584"/>
        <v>6.008583691</v>
      </c>
      <c r="N277" s="7">
        <f t="shared" si="584"/>
        <v>7.456140351</v>
      </c>
      <c r="O277" s="7">
        <f t="shared" si="395"/>
        <v>5.610036219</v>
      </c>
      <c r="P277" s="6">
        <v>236.0</v>
      </c>
      <c r="Q277" s="6">
        <v>212.0</v>
      </c>
      <c r="R277" s="6">
        <v>221.0</v>
      </c>
      <c r="S277" s="6">
        <v>8.0</v>
      </c>
      <c r="T277" s="6">
        <v>2.0</v>
      </c>
      <c r="U277" s="6">
        <v>5.0</v>
      </c>
      <c r="V277" s="7">
        <f t="shared" ref="V277:X277" si="585">(S277/P277)*100</f>
        <v>3.389830508</v>
      </c>
      <c r="W277" s="7">
        <f t="shared" si="585"/>
        <v>0.9433962264</v>
      </c>
      <c r="X277" s="7">
        <f t="shared" si="585"/>
        <v>2.262443439</v>
      </c>
      <c r="Y277" s="7">
        <f t="shared" si="397"/>
        <v>2.166613367</v>
      </c>
    </row>
    <row r="278" ht="14.25" customHeight="1">
      <c r="A278" s="1" t="s">
        <v>44</v>
      </c>
      <c r="B278" s="1" t="s">
        <v>415</v>
      </c>
      <c r="C278" s="1" t="s">
        <v>421</v>
      </c>
      <c r="D278" s="1" t="s">
        <v>422</v>
      </c>
      <c r="E278" s="5">
        <v>70705.0</v>
      </c>
      <c r="F278" s="6">
        <v>705.0</v>
      </c>
      <c r="G278" s="6">
        <v>724.0</v>
      </c>
      <c r="H278" s="6">
        <v>737.0</v>
      </c>
      <c r="I278" s="6">
        <v>47.0</v>
      </c>
      <c r="J278" s="6">
        <v>70.0</v>
      </c>
      <c r="K278" s="6">
        <v>51.0</v>
      </c>
      <c r="L278" s="7">
        <f t="shared" ref="L278:N278" si="586">(I278/F278)*100</f>
        <v>6.666666667</v>
      </c>
      <c r="M278" s="7">
        <f t="shared" si="586"/>
        <v>9.668508287</v>
      </c>
      <c r="N278" s="7">
        <f t="shared" si="586"/>
        <v>6.919945726</v>
      </c>
      <c r="O278" s="7">
        <f t="shared" si="395"/>
        <v>7.751706893</v>
      </c>
      <c r="P278" s="6">
        <v>836.0</v>
      </c>
      <c r="Q278" s="6">
        <v>834.0</v>
      </c>
      <c r="R278" s="6">
        <v>867.0</v>
      </c>
      <c r="S278" s="6">
        <v>23.0</v>
      </c>
      <c r="T278" s="6">
        <v>25.0</v>
      </c>
      <c r="U278" s="6">
        <v>42.0</v>
      </c>
      <c r="V278" s="7">
        <f t="shared" ref="V278:X278" si="587">(S278/P278)*100</f>
        <v>2.751196172</v>
      </c>
      <c r="W278" s="7">
        <f t="shared" si="587"/>
        <v>2.997601918</v>
      </c>
      <c r="X278" s="7">
        <f t="shared" si="587"/>
        <v>4.844290657</v>
      </c>
      <c r="Y278" s="7">
        <f t="shared" si="397"/>
        <v>2.874399045</v>
      </c>
    </row>
    <row r="279" ht="14.25" customHeight="1">
      <c r="A279" s="1" t="s">
        <v>44</v>
      </c>
      <c r="B279" s="1" t="s">
        <v>415</v>
      </c>
      <c r="C279" s="1" t="s">
        <v>423</v>
      </c>
      <c r="D279" s="1" t="s">
        <v>423</v>
      </c>
      <c r="E279" s="5">
        <v>70706.0</v>
      </c>
      <c r="F279" s="6">
        <v>2443.0</v>
      </c>
      <c r="G279" s="6">
        <v>2483.0</v>
      </c>
      <c r="H279" s="6">
        <v>2437.0</v>
      </c>
      <c r="I279" s="6">
        <v>104.0</v>
      </c>
      <c r="J279" s="6">
        <v>106.0</v>
      </c>
      <c r="K279" s="6">
        <v>103.0</v>
      </c>
      <c r="L279" s="7">
        <f t="shared" ref="L279:N279" si="588">(I279/F279)*100</f>
        <v>4.257060991</v>
      </c>
      <c r="M279" s="7">
        <f t="shared" si="588"/>
        <v>4.2690294</v>
      </c>
      <c r="N279" s="7">
        <f t="shared" si="588"/>
        <v>4.226508002</v>
      </c>
      <c r="O279" s="7">
        <f t="shared" si="395"/>
        <v>4.250866131</v>
      </c>
      <c r="P279" s="6">
        <v>1981.0</v>
      </c>
      <c r="Q279" s="6">
        <v>1898.0</v>
      </c>
      <c r="R279" s="6">
        <v>1923.0</v>
      </c>
      <c r="S279" s="6">
        <v>38.0</v>
      </c>
      <c r="T279" s="6">
        <v>33.0</v>
      </c>
      <c r="U279" s="6">
        <v>49.0</v>
      </c>
      <c r="V279" s="7">
        <f t="shared" ref="V279:X279" si="589">(S279/P279)*100</f>
        <v>1.91822312</v>
      </c>
      <c r="W279" s="7">
        <f t="shared" si="589"/>
        <v>1.738672287</v>
      </c>
      <c r="X279" s="7">
        <f t="shared" si="589"/>
        <v>2.548101924</v>
      </c>
      <c r="Y279" s="7">
        <f t="shared" si="397"/>
        <v>1.828447703</v>
      </c>
    </row>
    <row r="280" ht="14.25" customHeight="1">
      <c r="A280" s="1" t="s">
        <v>44</v>
      </c>
      <c r="B280" s="1" t="s">
        <v>415</v>
      </c>
      <c r="C280" s="1" t="s">
        <v>424</v>
      </c>
      <c r="D280" s="1" t="s">
        <v>424</v>
      </c>
      <c r="E280" s="5">
        <v>70707.0</v>
      </c>
      <c r="F280" s="6">
        <v>256.0</v>
      </c>
      <c r="G280" s="6">
        <v>251.0</v>
      </c>
      <c r="H280" s="6">
        <v>262.0</v>
      </c>
      <c r="I280" s="6">
        <v>20.0</v>
      </c>
      <c r="J280" s="6">
        <v>11.0</v>
      </c>
      <c r="K280" s="6">
        <v>27.0</v>
      </c>
      <c r="L280" s="7">
        <f t="shared" ref="L280:N280" si="590">(I280/F280)*100</f>
        <v>7.8125</v>
      </c>
      <c r="M280" s="7">
        <f t="shared" si="590"/>
        <v>4.38247012</v>
      </c>
      <c r="N280" s="7">
        <f t="shared" si="590"/>
        <v>10.30534351</v>
      </c>
      <c r="O280" s="7">
        <f t="shared" si="395"/>
        <v>7.500104544</v>
      </c>
      <c r="P280" s="6">
        <v>256.0</v>
      </c>
      <c r="Q280" s="6">
        <v>251.0</v>
      </c>
      <c r="R280" s="6">
        <v>256.0</v>
      </c>
      <c r="S280" s="6">
        <v>3.0</v>
      </c>
      <c r="T280" s="6">
        <v>3.0</v>
      </c>
      <c r="U280" s="6">
        <v>7.0</v>
      </c>
      <c r="V280" s="7">
        <f t="shared" ref="V280:X280" si="591">(S280/P280)*100</f>
        <v>1.171875</v>
      </c>
      <c r="W280" s="7">
        <f t="shared" si="591"/>
        <v>1.195219124</v>
      </c>
      <c r="X280" s="7">
        <f t="shared" si="591"/>
        <v>2.734375</v>
      </c>
      <c r="Y280" s="7">
        <f t="shared" si="397"/>
        <v>1.183547062</v>
      </c>
    </row>
    <row r="281" ht="14.25" customHeight="1">
      <c r="A281" s="1" t="s">
        <v>44</v>
      </c>
      <c r="B281" s="1" t="s">
        <v>425</v>
      </c>
      <c r="C281" s="1" t="s">
        <v>425</v>
      </c>
      <c r="D281" s="1" t="s">
        <v>425</v>
      </c>
      <c r="E281" s="5">
        <v>70801.0</v>
      </c>
      <c r="F281" s="6">
        <v>942.0</v>
      </c>
      <c r="G281" s="6">
        <v>935.0</v>
      </c>
      <c r="H281" s="6">
        <v>986.0</v>
      </c>
      <c r="I281" s="6">
        <v>54.0</v>
      </c>
      <c r="J281" s="6">
        <v>57.0</v>
      </c>
      <c r="K281" s="6">
        <v>69.0</v>
      </c>
      <c r="L281" s="7">
        <f t="shared" ref="L281:N281" si="592">(I281/F281)*100</f>
        <v>5.732484076</v>
      </c>
      <c r="M281" s="7">
        <f t="shared" si="592"/>
        <v>6.096256684</v>
      </c>
      <c r="N281" s="7">
        <f t="shared" si="592"/>
        <v>6.997971602</v>
      </c>
      <c r="O281" s="7">
        <f t="shared" si="395"/>
        <v>6.275570788</v>
      </c>
      <c r="P281" s="6">
        <v>763.0</v>
      </c>
      <c r="Q281" s="6">
        <v>848.0</v>
      </c>
      <c r="R281" s="6">
        <v>917.0</v>
      </c>
      <c r="S281" s="6">
        <v>11.0</v>
      </c>
      <c r="T281" s="6">
        <v>10.0</v>
      </c>
      <c r="U281" s="6">
        <v>8.0</v>
      </c>
      <c r="V281" s="7">
        <f t="shared" ref="V281:X281" si="593">(S281/P281)*100</f>
        <v>1.441677588</v>
      </c>
      <c r="W281" s="7">
        <f t="shared" si="593"/>
        <v>1.179245283</v>
      </c>
      <c r="X281" s="7">
        <f t="shared" si="593"/>
        <v>0.8724100327</v>
      </c>
      <c r="Y281" s="7">
        <f t="shared" si="397"/>
        <v>1.310461436</v>
      </c>
    </row>
    <row r="282" ht="14.25" customHeight="1">
      <c r="A282" s="1" t="s">
        <v>44</v>
      </c>
      <c r="B282" s="1" t="s">
        <v>425</v>
      </c>
      <c r="C282" s="1" t="s">
        <v>426</v>
      </c>
      <c r="D282" s="1" t="s">
        <v>426</v>
      </c>
      <c r="E282" s="5">
        <v>70802.0</v>
      </c>
      <c r="F282" s="6">
        <v>86.0</v>
      </c>
      <c r="G282" s="6">
        <v>76.0</v>
      </c>
      <c r="H282" s="6">
        <v>73.0</v>
      </c>
      <c r="I282" s="6">
        <v>5.0</v>
      </c>
      <c r="J282" s="6">
        <v>11.0</v>
      </c>
      <c r="K282" s="6">
        <v>3.0</v>
      </c>
      <c r="L282" s="7">
        <f t="shared" ref="L282:N282" si="594">(I282/F282)*100</f>
        <v>5.813953488</v>
      </c>
      <c r="M282" s="7">
        <f t="shared" si="594"/>
        <v>14.47368421</v>
      </c>
      <c r="N282" s="7">
        <f t="shared" si="594"/>
        <v>4.109589041</v>
      </c>
      <c r="O282" s="7">
        <f t="shared" si="395"/>
        <v>8.132408913</v>
      </c>
      <c r="P282" s="6">
        <v>74.0</v>
      </c>
      <c r="Q282" s="6">
        <v>82.0</v>
      </c>
      <c r="R282" s="6">
        <v>84.0</v>
      </c>
      <c r="S282" s="6">
        <v>1.0</v>
      </c>
      <c r="T282" s="6">
        <v>0.0</v>
      </c>
      <c r="U282" s="6"/>
      <c r="V282" s="7">
        <f t="shared" ref="V282:X282" si="595">(S282/P282)*100</f>
        <v>1.351351351</v>
      </c>
      <c r="W282" s="7">
        <f t="shared" si="595"/>
        <v>0</v>
      </c>
      <c r="X282" s="7">
        <f t="shared" si="595"/>
        <v>0</v>
      </c>
      <c r="Y282" s="7">
        <f t="shared" si="397"/>
        <v>0.6756756757</v>
      </c>
    </row>
    <row r="283" ht="14.25" customHeight="1">
      <c r="A283" s="1" t="s">
        <v>44</v>
      </c>
      <c r="B283" s="1" t="s">
        <v>425</v>
      </c>
      <c r="C283" s="1" t="s">
        <v>427</v>
      </c>
      <c r="D283" s="1" t="s">
        <v>427</v>
      </c>
      <c r="E283" s="5">
        <v>70803.0</v>
      </c>
      <c r="F283" s="6">
        <v>121.0</v>
      </c>
      <c r="G283" s="6">
        <v>127.0</v>
      </c>
      <c r="H283" s="6">
        <v>113.0</v>
      </c>
      <c r="I283" s="6">
        <v>10.0</v>
      </c>
      <c r="J283" s="6">
        <v>6.0</v>
      </c>
      <c r="K283" s="6">
        <v>14.0</v>
      </c>
      <c r="L283" s="7">
        <f t="shared" ref="L283:N283" si="596">(I283/F283)*100</f>
        <v>8.26446281</v>
      </c>
      <c r="M283" s="7">
        <f t="shared" si="596"/>
        <v>4.724409449</v>
      </c>
      <c r="N283" s="7">
        <f t="shared" si="596"/>
        <v>12.38938053</v>
      </c>
      <c r="O283" s="7">
        <f t="shared" si="395"/>
        <v>8.459417597</v>
      </c>
      <c r="P283" s="6">
        <v>103.0</v>
      </c>
      <c r="Q283" s="6">
        <v>112.0</v>
      </c>
      <c r="R283" s="6">
        <v>102.0</v>
      </c>
      <c r="S283" s="6">
        <v>7.0</v>
      </c>
      <c r="T283" s="6">
        <v>5.0</v>
      </c>
      <c r="U283" s="6">
        <v>2.0</v>
      </c>
      <c r="V283" s="7">
        <f t="shared" ref="V283:X283" si="597">(S283/P283)*100</f>
        <v>6.796116505</v>
      </c>
      <c r="W283" s="7">
        <f t="shared" si="597"/>
        <v>4.464285714</v>
      </c>
      <c r="X283" s="7">
        <f t="shared" si="597"/>
        <v>1.960784314</v>
      </c>
      <c r="Y283" s="7">
        <f t="shared" si="397"/>
        <v>5.63020111</v>
      </c>
    </row>
    <row r="284" ht="14.25" customHeight="1">
      <c r="A284" s="1" t="s">
        <v>44</v>
      </c>
      <c r="B284" s="1" t="s">
        <v>425</v>
      </c>
      <c r="C284" s="1" t="s">
        <v>428</v>
      </c>
      <c r="D284" s="1" t="s">
        <v>428</v>
      </c>
      <c r="E284" s="5">
        <v>70804.0</v>
      </c>
      <c r="F284" s="6">
        <v>47.0</v>
      </c>
      <c r="G284" s="6">
        <v>55.0</v>
      </c>
      <c r="H284" s="6">
        <v>56.0</v>
      </c>
      <c r="I284" s="6">
        <v>2.0</v>
      </c>
      <c r="J284" s="6">
        <v>14.0</v>
      </c>
      <c r="K284" s="6">
        <v>9.0</v>
      </c>
      <c r="L284" s="7">
        <f t="shared" ref="L284:N284" si="598">(I284/F284)*100</f>
        <v>4.255319149</v>
      </c>
      <c r="M284" s="7">
        <f t="shared" si="598"/>
        <v>25.45454545</v>
      </c>
      <c r="N284" s="7">
        <f t="shared" si="598"/>
        <v>16.07142857</v>
      </c>
      <c r="O284" s="7">
        <f t="shared" si="395"/>
        <v>15.26043106</v>
      </c>
      <c r="P284" s="6">
        <v>67.0</v>
      </c>
      <c r="Q284" s="6">
        <v>67.0</v>
      </c>
      <c r="R284" s="6">
        <v>66.0</v>
      </c>
      <c r="S284" s="6">
        <v>0.0</v>
      </c>
      <c r="T284" s="6">
        <v>1.0</v>
      </c>
      <c r="U284" s="6">
        <v>1.0</v>
      </c>
      <c r="V284" s="7">
        <f t="shared" ref="V284:X284" si="599">(S284/P284)*100</f>
        <v>0</v>
      </c>
      <c r="W284" s="7">
        <f t="shared" si="599"/>
        <v>1.492537313</v>
      </c>
      <c r="X284" s="7">
        <f t="shared" si="599"/>
        <v>1.515151515</v>
      </c>
      <c r="Y284" s="7">
        <f t="shared" si="397"/>
        <v>0.7462686567</v>
      </c>
    </row>
    <row r="285" ht="14.25" customHeight="1">
      <c r="A285" s="1" t="s">
        <v>44</v>
      </c>
      <c r="B285" s="1" t="s">
        <v>425</v>
      </c>
      <c r="C285" s="1" t="s">
        <v>429</v>
      </c>
      <c r="D285" s="1" t="s">
        <v>429</v>
      </c>
      <c r="E285" s="5">
        <v>70805.0</v>
      </c>
      <c r="F285" s="6">
        <v>46.0</v>
      </c>
      <c r="G285" s="6">
        <v>45.0</v>
      </c>
      <c r="H285" s="6">
        <v>47.0</v>
      </c>
      <c r="I285" s="6">
        <v>11.0</v>
      </c>
      <c r="J285" s="6">
        <v>1.0</v>
      </c>
      <c r="K285" s="6">
        <v>7.0</v>
      </c>
      <c r="L285" s="7">
        <f t="shared" ref="L285:N285" si="600">(I285/F285)*100</f>
        <v>23.91304348</v>
      </c>
      <c r="M285" s="7">
        <f t="shared" si="600"/>
        <v>2.222222222</v>
      </c>
      <c r="N285" s="7">
        <f t="shared" si="600"/>
        <v>14.89361702</v>
      </c>
      <c r="O285" s="7">
        <f t="shared" si="395"/>
        <v>13.67629424</v>
      </c>
      <c r="P285" s="6">
        <v>36.0</v>
      </c>
      <c r="Q285" s="6">
        <v>41.0</v>
      </c>
      <c r="R285" s="6">
        <v>36.0</v>
      </c>
      <c r="S285" s="6">
        <v>0.0</v>
      </c>
      <c r="T285" s="6">
        <v>0.0</v>
      </c>
      <c r="U285" s="6">
        <v>0.0</v>
      </c>
      <c r="V285" s="7">
        <f t="shared" ref="V285:X285" si="601">(S285/P285)*100</f>
        <v>0</v>
      </c>
      <c r="W285" s="7">
        <f t="shared" si="601"/>
        <v>0</v>
      </c>
      <c r="X285" s="7">
        <f t="shared" si="601"/>
        <v>0</v>
      </c>
      <c r="Y285" s="7">
        <f t="shared" si="397"/>
        <v>0</v>
      </c>
    </row>
    <row r="286" ht="14.25" customHeight="1">
      <c r="A286" s="1" t="s">
        <v>44</v>
      </c>
      <c r="B286" s="1" t="s">
        <v>430</v>
      </c>
      <c r="C286" s="1" t="s">
        <v>431</v>
      </c>
      <c r="D286" s="1" t="s">
        <v>431</v>
      </c>
      <c r="E286" s="5">
        <v>70901.0</v>
      </c>
      <c r="F286" s="6">
        <v>503.0</v>
      </c>
      <c r="G286" s="6">
        <v>512.0</v>
      </c>
      <c r="H286" s="6">
        <v>490.0</v>
      </c>
      <c r="I286" s="6">
        <v>39.0</v>
      </c>
      <c r="J286" s="6">
        <v>36.0</v>
      </c>
      <c r="K286" s="6">
        <v>26.0</v>
      </c>
      <c r="L286" s="7">
        <f t="shared" ref="L286:N286" si="602">(I286/F286)*100</f>
        <v>7.753479125</v>
      </c>
      <c r="M286" s="7">
        <f t="shared" si="602"/>
        <v>7.03125</v>
      </c>
      <c r="N286" s="7">
        <f t="shared" si="602"/>
        <v>5.306122449</v>
      </c>
      <c r="O286" s="7">
        <f t="shared" si="395"/>
        <v>6.696950525</v>
      </c>
      <c r="P286" s="6">
        <v>515.0</v>
      </c>
      <c r="Q286" s="6">
        <v>534.0</v>
      </c>
      <c r="R286" s="6">
        <v>584.0</v>
      </c>
      <c r="S286" s="6">
        <v>8.0</v>
      </c>
      <c r="T286" s="6">
        <v>12.0</v>
      </c>
      <c r="U286" s="6">
        <v>14.0</v>
      </c>
      <c r="V286" s="7">
        <f t="shared" ref="V286:X286" si="603">(S286/P286)*100</f>
        <v>1.553398058</v>
      </c>
      <c r="W286" s="7">
        <f t="shared" si="603"/>
        <v>2.247191011</v>
      </c>
      <c r="X286" s="7">
        <f t="shared" si="603"/>
        <v>2.397260274</v>
      </c>
      <c r="Y286" s="7">
        <f t="shared" si="397"/>
        <v>1.900294535</v>
      </c>
    </row>
    <row r="287" ht="14.25" customHeight="1">
      <c r="A287" s="1" t="s">
        <v>44</v>
      </c>
      <c r="B287" s="1" t="s">
        <v>430</v>
      </c>
      <c r="C287" s="1" t="s">
        <v>432</v>
      </c>
      <c r="D287" s="1" t="s">
        <v>433</v>
      </c>
      <c r="E287" s="5">
        <v>70902.0</v>
      </c>
      <c r="F287" s="6">
        <v>370.0</v>
      </c>
      <c r="G287" s="6">
        <v>401.0</v>
      </c>
      <c r="H287" s="6">
        <v>440.0</v>
      </c>
      <c r="I287" s="6">
        <v>20.0</v>
      </c>
      <c r="J287" s="6">
        <v>18.0</v>
      </c>
      <c r="K287" s="6">
        <v>20.0</v>
      </c>
      <c r="L287" s="7">
        <f t="shared" ref="L287:N287" si="604">(I287/F287)*100</f>
        <v>5.405405405</v>
      </c>
      <c r="M287" s="7">
        <f t="shared" si="604"/>
        <v>4.488778055</v>
      </c>
      <c r="N287" s="7">
        <f t="shared" si="604"/>
        <v>4.545454545</v>
      </c>
      <c r="O287" s="7">
        <f t="shared" si="395"/>
        <v>4.813212669</v>
      </c>
      <c r="P287" s="6">
        <v>495.0</v>
      </c>
      <c r="Q287" s="6">
        <v>545.0</v>
      </c>
      <c r="R287" s="6">
        <v>541.0</v>
      </c>
      <c r="S287" s="6">
        <v>10.0</v>
      </c>
      <c r="T287" s="6">
        <v>7.0</v>
      </c>
      <c r="U287" s="6">
        <v>9.0</v>
      </c>
      <c r="V287" s="7">
        <f t="shared" ref="V287:X287" si="605">(S287/P287)*100</f>
        <v>2.02020202</v>
      </c>
      <c r="W287" s="7">
        <f t="shared" si="605"/>
        <v>1.28440367</v>
      </c>
      <c r="X287" s="7">
        <f t="shared" si="605"/>
        <v>1.663585952</v>
      </c>
      <c r="Y287" s="7">
        <f t="shared" si="397"/>
        <v>1.652302845</v>
      </c>
    </row>
    <row r="288" ht="14.25" customHeight="1">
      <c r="A288" s="1" t="s">
        <v>44</v>
      </c>
      <c r="B288" s="1" t="s">
        <v>430</v>
      </c>
      <c r="C288" s="1" t="s">
        <v>434</v>
      </c>
      <c r="D288" s="1" t="s">
        <v>434</v>
      </c>
      <c r="E288" s="5">
        <v>70903.0</v>
      </c>
      <c r="F288" s="6">
        <v>594.0</v>
      </c>
      <c r="G288" s="6">
        <v>594.0</v>
      </c>
      <c r="H288" s="6">
        <v>611.0</v>
      </c>
      <c r="I288" s="6">
        <v>41.0</v>
      </c>
      <c r="J288" s="6">
        <v>47.0</v>
      </c>
      <c r="K288" s="6">
        <v>39.0</v>
      </c>
      <c r="L288" s="7">
        <f t="shared" ref="L288:N288" si="606">(I288/F288)*100</f>
        <v>6.902356902</v>
      </c>
      <c r="M288" s="7">
        <f t="shared" si="606"/>
        <v>7.912457912</v>
      </c>
      <c r="N288" s="7">
        <f t="shared" si="606"/>
        <v>6.382978723</v>
      </c>
      <c r="O288" s="7">
        <f t="shared" si="395"/>
        <v>7.065931179</v>
      </c>
      <c r="P288" s="6">
        <v>698.0</v>
      </c>
      <c r="Q288" s="6">
        <v>729.0</v>
      </c>
      <c r="R288" s="6">
        <v>738.0</v>
      </c>
      <c r="S288" s="6">
        <v>27.0</v>
      </c>
      <c r="T288" s="6">
        <v>37.0</v>
      </c>
      <c r="U288" s="6">
        <v>18.0</v>
      </c>
      <c r="V288" s="7">
        <f t="shared" ref="V288:X288" si="607">(S288/P288)*100</f>
        <v>3.868194842</v>
      </c>
      <c r="W288" s="7">
        <f t="shared" si="607"/>
        <v>5.075445816</v>
      </c>
      <c r="X288" s="7">
        <f t="shared" si="607"/>
        <v>2.43902439</v>
      </c>
      <c r="Y288" s="7">
        <f t="shared" si="397"/>
        <v>4.471820329</v>
      </c>
    </row>
    <row r="289" ht="14.25" customHeight="1">
      <c r="A289" s="1" t="s">
        <v>44</v>
      </c>
      <c r="B289" s="1" t="s">
        <v>430</v>
      </c>
      <c r="C289" s="1" t="s">
        <v>435</v>
      </c>
      <c r="D289" s="1" t="s">
        <v>435</v>
      </c>
      <c r="E289" s="5">
        <v>70904.0</v>
      </c>
      <c r="F289" s="6">
        <v>64.0</v>
      </c>
      <c r="G289" s="6">
        <v>67.0</v>
      </c>
      <c r="H289" s="6">
        <v>69.0</v>
      </c>
      <c r="I289" s="6">
        <v>6.0</v>
      </c>
      <c r="J289" s="6">
        <v>2.0</v>
      </c>
      <c r="K289" s="6">
        <v>9.0</v>
      </c>
      <c r="L289" s="7">
        <f t="shared" ref="L289:N289" si="608">(I289/F289)*100</f>
        <v>9.375</v>
      </c>
      <c r="M289" s="7">
        <f t="shared" si="608"/>
        <v>2.985074627</v>
      </c>
      <c r="N289" s="7">
        <f t="shared" si="608"/>
        <v>13.04347826</v>
      </c>
      <c r="O289" s="7">
        <f t="shared" si="395"/>
        <v>8.467850963</v>
      </c>
      <c r="P289" s="6">
        <v>56.0</v>
      </c>
      <c r="Q289" s="6">
        <v>54.0</v>
      </c>
      <c r="R289" s="6">
        <v>60.0</v>
      </c>
      <c r="S289" s="6">
        <v>0.0</v>
      </c>
      <c r="T289" s="6">
        <v>1.0</v>
      </c>
      <c r="U289" s="6">
        <v>1.0</v>
      </c>
      <c r="V289" s="7">
        <f t="shared" ref="V289:X289" si="609">(S289/P289)*100</f>
        <v>0</v>
      </c>
      <c r="W289" s="7">
        <f t="shared" si="609"/>
        <v>1.851851852</v>
      </c>
      <c r="X289" s="7">
        <f t="shared" si="609"/>
        <v>1.666666667</v>
      </c>
      <c r="Y289" s="7">
        <f t="shared" si="397"/>
        <v>0.9259259259</v>
      </c>
    </row>
    <row r="290" ht="14.25" customHeight="1">
      <c r="A290" s="1" t="s">
        <v>44</v>
      </c>
      <c r="B290" s="1" t="s">
        <v>436</v>
      </c>
      <c r="C290" s="1" t="s">
        <v>437</v>
      </c>
      <c r="D290" s="1" t="s">
        <v>437</v>
      </c>
      <c r="E290" s="5">
        <v>71001.0</v>
      </c>
      <c r="F290" s="6">
        <v>7177.0</v>
      </c>
      <c r="G290" s="6">
        <v>7453.0</v>
      </c>
      <c r="H290" s="6">
        <v>7571.0</v>
      </c>
      <c r="I290" s="6">
        <v>335.0</v>
      </c>
      <c r="J290" s="6">
        <v>468.0</v>
      </c>
      <c r="K290" s="6">
        <v>493.0</v>
      </c>
      <c r="L290" s="7">
        <f t="shared" ref="L290:N290" si="610">(I290/F290)*100</f>
        <v>4.667688449</v>
      </c>
      <c r="M290" s="7">
        <f t="shared" si="610"/>
        <v>6.279350597</v>
      </c>
      <c r="N290" s="7">
        <f t="shared" si="610"/>
        <v>6.511689341</v>
      </c>
      <c r="O290" s="7">
        <f t="shared" si="395"/>
        <v>5.819576129</v>
      </c>
      <c r="P290" s="6">
        <v>7754.0</v>
      </c>
      <c r="Q290" s="6">
        <v>7983.0</v>
      </c>
      <c r="R290" s="6">
        <v>8221.0</v>
      </c>
      <c r="S290" s="6">
        <v>243.0</v>
      </c>
      <c r="T290" s="6">
        <v>233.0</v>
      </c>
      <c r="U290" s="6">
        <v>265.0</v>
      </c>
      <c r="V290" s="7">
        <f t="shared" ref="V290:X290" si="611">(S290/P290)*100</f>
        <v>3.133866392</v>
      </c>
      <c r="W290" s="7">
        <f t="shared" si="611"/>
        <v>2.918702242</v>
      </c>
      <c r="X290" s="7">
        <f t="shared" si="611"/>
        <v>3.223452135</v>
      </c>
      <c r="Y290" s="7">
        <f t="shared" si="397"/>
        <v>3.026284317</v>
      </c>
    </row>
    <row r="291" ht="14.25" customHeight="1">
      <c r="A291" s="1" t="s">
        <v>44</v>
      </c>
      <c r="B291" s="1" t="s">
        <v>436</v>
      </c>
      <c r="C291" s="1" t="s">
        <v>438</v>
      </c>
      <c r="D291" s="1" t="s">
        <v>438</v>
      </c>
      <c r="E291" s="5">
        <v>71002.0</v>
      </c>
      <c r="F291" s="6">
        <v>850.0</v>
      </c>
      <c r="G291" s="6">
        <v>868.0</v>
      </c>
      <c r="H291" s="6">
        <v>861.0</v>
      </c>
      <c r="I291" s="6">
        <v>64.0</v>
      </c>
      <c r="J291" s="6">
        <v>75.0</v>
      </c>
      <c r="K291" s="6">
        <v>65.0</v>
      </c>
      <c r="L291" s="7">
        <f t="shared" ref="L291:N291" si="612">(I291/F291)*100</f>
        <v>7.529411765</v>
      </c>
      <c r="M291" s="7">
        <f t="shared" si="612"/>
        <v>8.640552995</v>
      </c>
      <c r="N291" s="7">
        <f t="shared" si="612"/>
        <v>7.549361208</v>
      </c>
      <c r="O291" s="7">
        <f t="shared" si="395"/>
        <v>7.906441989</v>
      </c>
      <c r="P291" s="6">
        <v>852.0</v>
      </c>
      <c r="Q291" s="6">
        <v>827.0</v>
      </c>
      <c r="R291" s="6">
        <v>845.0</v>
      </c>
      <c r="S291" s="6">
        <v>41.0</v>
      </c>
      <c r="T291" s="6">
        <v>23.0</v>
      </c>
      <c r="U291" s="6">
        <v>31.0</v>
      </c>
      <c r="V291" s="7">
        <f t="shared" ref="V291:X291" si="613">(S291/P291)*100</f>
        <v>4.812206573</v>
      </c>
      <c r="W291" s="7">
        <f t="shared" si="613"/>
        <v>2.781136638</v>
      </c>
      <c r="X291" s="7">
        <f t="shared" si="613"/>
        <v>3.668639053</v>
      </c>
      <c r="Y291" s="7">
        <f t="shared" si="397"/>
        <v>3.796671606</v>
      </c>
    </row>
    <row r="292" ht="14.25" customHeight="1">
      <c r="A292" s="1" t="s">
        <v>44</v>
      </c>
      <c r="B292" s="1" t="s">
        <v>436</v>
      </c>
      <c r="C292" s="1" t="s">
        <v>439</v>
      </c>
      <c r="D292" s="1" t="s">
        <v>439</v>
      </c>
      <c r="E292" s="5">
        <v>71003.0</v>
      </c>
      <c r="F292" s="6">
        <v>1178.0</v>
      </c>
      <c r="G292" s="6">
        <v>1227.0</v>
      </c>
      <c r="H292" s="6">
        <v>1288.0</v>
      </c>
      <c r="I292" s="6">
        <v>83.0</v>
      </c>
      <c r="J292" s="6">
        <v>85.0</v>
      </c>
      <c r="K292" s="6">
        <v>125.0</v>
      </c>
      <c r="L292" s="7">
        <f t="shared" ref="L292:N292" si="614">(I292/F292)*100</f>
        <v>7.045840407</v>
      </c>
      <c r="M292" s="7">
        <f t="shared" si="614"/>
        <v>6.927465363</v>
      </c>
      <c r="N292" s="7">
        <f t="shared" si="614"/>
        <v>9.704968944</v>
      </c>
      <c r="O292" s="7">
        <f t="shared" si="395"/>
        <v>7.892758238</v>
      </c>
      <c r="P292" s="6">
        <v>1364.0</v>
      </c>
      <c r="Q292" s="6">
        <v>1415.0</v>
      </c>
      <c r="R292" s="6">
        <v>1471.0</v>
      </c>
      <c r="S292" s="6">
        <v>37.0</v>
      </c>
      <c r="T292" s="6">
        <v>34.0</v>
      </c>
      <c r="U292" s="6">
        <v>74.0</v>
      </c>
      <c r="V292" s="7">
        <f t="shared" ref="V292:X292" si="615">(S292/P292)*100</f>
        <v>2.712609971</v>
      </c>
      <c r="W292" s="7">
        <f t="shared" si="615"/>
        <v>2.402826855</v>
      </c>
      <c r="X292" s="7">
        <f t="shared" si="615"/>
        <v>5.030591434</v>
      </c>
      <c r="Y292" s="7">
        <f t="shared" si="397"/>
        <v>2.557718413</v>
      </c>
    </row>
    <row r="293" ht="14.25" customHeight="1">
      <c r="A293" s="1" t="s">
        <v>44</v>
      </c>
      <c r="B293" s="1" t="s">
        <v>436</v>
      </c>
      <c r="C293" s="1" t="s">
        <v>440</v>
      </c>
      <c r="D293" s="1" t="s">
        <v>440</v>
      </c>
      <c r="E293" s="5">
        <v>71004.0</v>
      </c>
      <c r="F293" s="6">
        <v>671.0</v>
      </c>
      <c r="G293" s="6">
        <v>691.0</v>
      </c>
      <c r="H293" s="6">
        <v>686.0</v>
      </c>
      <c r="I293" s="6">
        <v>41.0</v>
      </c>
      <c r="J293" s="6">
        <v>39.0</v>
      </c>
      <c r="K293" s="6">
        <v>60.0</v>
      </c>
      <c r="L293" s="7">
        <f t="shared" ref="L293:N293" si="616">(I293/F293)*100</f>
        <v>6.110283159</v>
      </c>
      <c r="M293" s="7">
        <f t="shared" si="616"/>
        <v>5.643994211</v>
      </c>
      <c r="N293" s="7">
        <f t="shared" si="616"/>
        <v>8.746355685</v>
      </c>
      <c r="O293" s="7">
        <f t="shared" si="395"/>
        <v>6.833544352</v>
      </c>
      <c r="P293" s="6">
        <v>648.0</v>
      </c>
      <c r="Q293" s="6">
        <v>653.0</v>
      </c>
      <c r="R293" s="6">
        <v>677.0</v>
      </c>
      <c r="S293" s="6">
        <v>14.0</v>
      </c>
      <c r="T293" s="6">
        <v>16.0</v>
      </c>
      <c r="U293" s="6">
        <v>15.0</v>
      </c>
      <c r="V293" s="7">
        <f t="shared" ref="V293:X293" si="617">(S293/P293)*100</f>
        <v>2.160493827</v>
      </c>
      <c r="W293" s="7">
        <f t="shared" si="617"/>
        <v>2.450229709</v>
      </c>
      <c r="X293" s="7">
        <f t="shared" si="617"/>
        <v>2.215657312</v>
      </c>
      <c r="Y293" s="7">
        <f t="shared" si="397"/>
        <v>2.305361768</v>
      </c>
    </row>
    <row r="294" ht="14.25" customHeight="1">
      <c r="A294" s="1" t="s">
        <v>44</v>
      </c>
      <c r="B294" s="1" t="s">
        <v>436</v>
      </c>
      <c r="C294" s="1" t="s">
        <v>330</v>
      </c>
      <c r="D294" s="1" t="s">
        <v>330</v>
      </c>
      <c r="E294" s="5">
        <v>71005.0</v>
      </c>
      <c r="F294" s="6">
        <v>763.0</v>
      </c>
      <c r="G294" s="6">
        <v>797.0</v>
      </c>
      <c r="H294" s="6">
        <v>796.0</v>
      </c>
      <c r="I294" s="6">
        <v>41.0</v>
      </c>
      <c r="J294" s="6">
        <v>53.0</v>
      </c>
      <c r="K294" s="6">
        <v>44.0</v>
      </c>
      <c r="L294" s="7">
        <f t="shared" ref="L294:N294" si="618">(I294/F294)*100</f>
        <v>5.373525557</v>
      </c>
      <c r="M294" s="7">
        <f t="shared" si="618"/>
        <v>6.649937265</v>
      </c>
      <c r="N294" s="7">
        <f t="shared" si="618"/>
        <v>5.527638191</v>
      </c>
      <c r="O294" s="7">
        <f t="shared" si="395"/>
        <v>5.850367004</v>
      </c>
      <c r="P294" s="6">
        <v>822.0</v>
      </c>
      <c r="Q294" s="6">
        <v>805.0</v>
      </c>
      <c r="R294" s="6">
        <v>805.0</v>
      </c>
      <c r="S294" s="6">
        <v>25.0</v>
      </c>
      <c r="T294" s="6">
        <v>13.0</v>
      </c>
      <c r="U294" s="6">
        <v>23.0</v>
      </c>
      <c r="V294" s="7">
        <f t="shared" ref="V294:X294" si="619">(S294/P294)*100</f>
        <v>3.04136253</v>
      </c>
      <c r="W294" s="7">
        <f t="shared" si="619"/>
        <v>1.614906832</v>
      </c>
      <c r="X294" s="7">
        <f t="shared" si="619"/>
        <v>2.857142857</v>
      </c>
      <c r="Y294" s="7">
        <f t="shared" si="397"/>
        <v>2.328134681</v>
      </c>
    </row>
    <row r="295" ht="14.25" customHeight="1">
      <c r="A295" s="1" t="s">
        <v>44</v>
      </c>
      <c r="B295" s="1" t="s">
        <v>441</v>
      </c>
      <c r="C295" s="1" t="s">
        <v>382</v>
      </c>
      <c r="D295" s="1" t="s">
        <v>382</v>
      </c>
      <c r="E295" s="5">
        <v>71101.0</v>
      </c>
      <c r="F295" s="6">
        <v>956.0</v>
      </c>
      <c r="G295" s="6">
        <v>991.0</v>
      </c>
      <c r="H295" s="6">
        <v>1085.0</v>
      </c>
      <c r="I295" s="6">
        <v>69.0</v>
      </c>
      <c r="J295" s="6">
        <v>59.0</v>
      </c>
      <c r="K295" s="6">
        <v>69.0</v>
      </c>
      <c r="L295" s="7">
        <f t="shared" ref="L295:N295" si="620">(I295/F295)*100</f>
        <v>7.217573222</v>
      </c>
      <c r="M295" s="7">
        <f t="shared" si="620"/>
        <v>5.95358224</v>
      </c>
      <c r="N295" s="7">
        <f t="shared" si="620"/>
        <v>6.359447005</v>
      </c>
      <c r="O295" s="7">
        <f t="shared" si="395"/>
        <v>6.510200822</v>
      </c>
      <c r="P295" s="6">
        <v>1475.0</v>
      </c>
      <c r="Q295" s="6">
        <v>1502.0</v>
      </c>
      <c r="R295" s="6">
        <v>1612.0</v>
      </c>
      <c r="S295" s="6">
        <v>25.0</v>
      </c>
      <c r="T295" s="6">
        <v>35.0</v>
      </c>
      <c r="U295" s="6">
        <v>49.0</v>
      </c>
      <c r="V295" s="7">
        <f t="shared" ref="V295:X295" si="621">(S295/P295)*100</f>
        <v>1.694915254</v>
      </c>
      <c r="W295" s="7">
        <f t="shared" si="621"/>
        <v>2.330226365</v>
      </c>
      <c r="X295" s="7">
        <f t="shared" si="621"/>
        <v>3.039702233</v>
      </c>
      <c r="Y295" s="7">
        <f t="shared" si="397"/>
        <v>2.01257081</v>
      </c>
    </row>
    <row r="296" ht="14.25" customHeight="1">
      <c r="A296" s="1" t="s">
        <v>44</v>
      </c>
      <c r="B296" s="1" t="s">
        <v>441</v>
      </c>
      <c r="C296" s="1" t="s">
        <v>442</v>
      </c>
      <c r="D296" s="1" t="s">
        <v>442</v>
      </c>
      <c r="E296" s="5">
        <v>71102.0</v>
      </c>
      <c r="F296" s="6">
        <v>753.0</v>
      </c>
      <c r="G296" s="6">
        <v>795.0</v>
      </c>
      <c r="H296" s="6">
        <v>829.0</v>
      </c>
      <c r="I296" s="6">
        <v>54.0</v>
      </c>
      <c r="J296" s="6">
        <v>54.0</v>
      </c>
      <c r="K296" s="6">
        <v>61.0</v>
      </c>
      <c r="L296" s="7">
        <f t="shared" ref="L296:N296" si="622">(I296/F296)*100</f>
        <v>7.171314741</v>
      </c>
      <c r="M296" s="7">
        <f t="shared" si="622"/>
        <v>6.79245283</v>
      </c>
      <c r="N296" s="7">
        <f t="shared" si="622"/>
        <v>7.358262967</v>
      </c>
      <c r="O296" s="7">
        <f t="shared" si="395"/>
        <v>7.107343513</v>
      </c>
      <c r="P296" s="6">
        <v>770.0</v>
      </c>
      <c r="Q296" s="6">
        <v>791.0</v>
      </c>
      <c r="R296" s="6">
        <v>804.0</v>
      </c>
      <c r="S296" s="6">
        <v>22.0</v>
      </c>
      <c r="T296" s="6">
        <v>11.0</v>
      </c>
      <c r="U296" s="6">
        <v>21.0</v>
      </c>
      <c r="V296" s="7">
        <f t="shared" ref="V296:X296" si="623">(S296/P296)*100</f>
        <v>2.857142857</v>
      </c>
      <c r="W296" s="7">
        <f t="shared" si="623"/>
        <v>1.390644753</v>
      </c>
      <c r="X296" s="7">
        <f t="shared" si="623"/>
        <v>2.611940299</v>
      </c>
      <c r="Y296" s="7">
        <f t="shared" si="397"/>
        <v>2.123893805</v>
      </c>
    </row>
    <row r="297" ht="14.25" customHeight="1">
      <c r="A297" s="1" t="s">
        <v>44</v>
      </c>
      <c r="B297" s="1" t="s">
        <v>441</v>
      </c>
      <c r="C297" s="1" t="s">
        <v>443</v>
      </c>
      <c r="D297" s="1" t="s">
        <v>443</v>
      </c>
      <c r="E297" s="5">
        <v>71103.0</v>
      </c>
      <c r="F297" s="6">
        <v>428.0</v>
      </c>
      <c r="G297" s="6">
        <v>464.0</v>
      </c>
      <c r="H297" s="6">
        <v>447.0</v>
      </c>
      <c r="I297" s="6">
        <v>36.0</v>
      </c>
      <c r="J297" s="6">
        <v>46.0</v>
      </c>
      <c r="K297" s="6">
        <v>43.0</v>
      </c>
      <c r="L297" s="7">
        <f t="shared" ref="L297:N297" si="624">(I297/F297)*100</f>
        <v>8.411214953</v>
      </c>
      <c r="M297" s="7">
        <f t="shared" si="624"/>
        <v>9.913793103</v>
      </c>
      <c r="N297" s="7">
        <f t="shared" si="624"/>
        <v>9.619686801</v>
      </c>
      <c r="O297" s="7">
        <f t="shared" si="395"/>
        <v>9.314898286</v>
      </c>
      <c r="P297" s="6">
        <v>460.0</v>
      </c>
      <c r="Q297" s="6">
        <v>473.0</v>
      </c>
      <c r="R297" s="6">
        <v>486.0</v>
      </c>
      <c r="S297" s="6">
        <v>14.0</v>
      </c>
      <c r="T297" s="6">
        <v>23.0</v>
      </c>
      <c r="U297" s="6">
        <v>17.0</v>
      </c>
      <c r="V297" s="7">
        <f t="shared" ref="V297:X297" si="625">(S297/P297)*100</f>
        <v>3.043478261</v>
      </c>
      <c r="W297" s="7">
        <f t="shared" si="625"/>
        <v>4.862579281</v>
      </c>
      <c r="X297" s="7">
        <f t="shared" si="625"/>
        <v>3.497942387</v>
      </c>
      <c r="Y297" s="7">
        <f t="shared" si="397"/>
        <v>3.953028771</v>
      </c>
    </row>
    <row r="298" ht="14.25" customHeight="1">
      <c r="A298" s="1" t="s">
        <v>44</v>
      </c>
      <c r="B298" s="1" t="s">
        <v>441</v>
      </c>
      <c r="C298" s="1" t="s">
        <v>444</v>
      </c>
      <c r="D298" s="1" t="s">
        <v>444</v>
      </c>
      <c r="E298" s="5">
        <v>71104.0</v>
      </c>
      <c r="F298" s="6">
        <v>2737.0</v>
      </c>
      <c r="G298" s="6">
        <v>2794.0</v>
      </c>
      <c r="H298" s="6">
        <v>2878.0</v>
      </c>
      <c r="I298" s="6">
        <v>214.0</v>
      </c>
      <c r="J298" s="6">
        <v>212.0</v>
      </c>
      <c r="K298" s="6">
        <v>203.0</v>
      </c>
      <c r="L298" s="7">
        <f t="shared" ref="L298:N298" si="626">(I298/F298)*100</f>
        <v>7.818779686</v>
      </c>
      <c r="M298" s="7">
        <f t="shared" si="626"/>
        <v>7.587687903</v>
      </c>
      <c r="N298" s="7">
        <f t="shared" si="626"/>
        <v>7.053509382</v>
      </c>
      <c r="O298" s="7">
        <f t="shared" si="395"/>
        <v>7.48665899</v>
      </c>
      <c r="P298" s="6">
        <v>2822.0</v>
      </c>
      <c r="Q298" s="6">
        <v>2889.0</v>
      </c>
      <c r="R298" s="6">
        <v>2983.0</v>
      </c>
      <c r="S298" s="6">
        <v>63.0</v>
      </c>
      <c r="T298" s="6">
        <v>57.0</v>
      </c>
      <c r="U298" s="6">
        <v>74.0</v>
      </c>
      <c r="V298" s="7">
        <f t="shared" ref="V298:X298" si="627">(S298/P298)*100</f>
        <v>2.232459249</v>
      </c>
      <c r="W298" s="7">
        <f t="shared" si="627"/>
        <v>1.973001038</v>
      </c>
      <c r="X298" s="7">
        <f t="shared" si="627"/>
        <v>2.480724103</v>
      </c>
      <c r="Y298" s="7">
        <f t="shared" si="397"/>
        <v>2.102730144</v>
      </c>
    </row>
    <row r="299" ht="14.25" customHeight="1">
      <c r="A299" s="1" t="s">
        <v>44</v>
      </c>
      <c r="B299" s="1" t="s">
        <v>441</v>
      </c>
      <c r="C299" s="1" t="s">
        <v>445</v>
      </c>
      <c r="D299" s="1" t="s">
        <v>445</v>
      </c>
      <c r="E299" s="5">
        <v>71105.0</v>
      </c>
      <c r="F299" s="6">
        <v>355.0</v>
      </c>
      <c r="G299" s="6">
        <v>371.0</v>
      </c>
      <c r="H299" s="6">
        <v>395.0</v>
      </c>
      <c r="I299" s="6">
        <v>22.0</v>
      </c>
      <c r="J299" s="6">
        <v>19.0</v>
      </c>
      <c r="K299" s="6">
        <v>11.0</v>
      </c>
      <c r="L299" s="7">
        <f t="shared" ref="L299:N299" si="628">(I299/F299)*100</f>
        <v>6.197183099</v>
      </c>
      <c r="M299" s="7">
        <f t="shared" si="628"/>
        <v>5.121293801</v>
      </c>
      <c r="N299" s="7">
        <f t="shared" si="628"/>
        <v>2.784810127</v>
      </c>
      <c r="O299" s="7">
        <f t="shared" si="395"/>
        <v>4.701095675</v>
      </c>
      <c r="P299" s="6">
        <v>377.0</v>
      </c>
      <c r="Q299" s="6">
        <v>347.0</v>
      </c>
      <c r="R299" s="6">
        <v>347.0</v>
      </c>
      <c r="S299" s="6">
        <v>7.0</v>
      </c>
      <c r="T299" s="6">
        <v>9.0</v>
      </c>
      <c r="U299" s="6">
        <v>7.0</v>
      </c>
      <c r="V299" s="7">
        <f t="shared" ref="V299:X299" si="629">(S299/P299)*100</f>
        <v>1.856763926</v>
      </c>
      <c r="W299" s="7">
        <f t="shared" si="629"/>
        <v>2.593659942</v>
      </c>
      <c r="X299" s="7">
        <f t="shared" si="629"/>
        <v>2.017291066</v>
      </c>
      <c r="Y299" s="7">
        <f t="shared" si="397"/>
        <v>2.225211934</v>
      </c>
    </row>
    <row r="300" ht="14.25" customHeight="1">
      <c r="A300" s="1" t="s">
        <v>44</v>
      </c>
      <c r="B300" s="1" t="s">
        <v>441</v>
      </c>
      <c r="C300" s="1" t="s">
        <v>446</v>
      </c>
      <c r="D300" s="1" t="s">
        <v>446</v>
      </c>
      <c r="E300" s="5">
        <v>71106.0</v>
      </c>
      <c r="F300" s="6">
        <v>1010.0</v>
      </c>
      <c r="G300" s="6">
        <v>1070.0</v>
      </c>
      <c r="H300" s="6">
        <v>1107.0</v>
      </c>
      <c r="I300" s="6">
        <v>62.0</v>
      </c>
      <c r="J300" s="6">
        <v>66.0</v>
      </c>
      <c r="K300" s="6">
        <v>84.0</v>
      </c>
      <c r="L300" s="7">
        <f t="shared" ref="L300:N300" si="630">(I300/F300)*100</f>
        <v>6.138613861</v>
      </c>
      <c r="M300" s="7">
        <f t="shared" si="630"/>
        <v>6.168224299</v>
      </c>
      <c r="N300" s="7">
        <f t="shared" si="630"/>
        <v>7.588075881</v>
      </c>
      <c r="O300" s="7">
        <f t="shared" si="395"/>
        <v>6.631638014</v>
      </c>
      <c r="P300" s="6">
        <v>1162.0</v>
      </c>
      <c r="Q300" s="6">
        <v>1183.0</v>
      </c>
      <c r="R300" s="6">
        <v>1138.0</v>
      </c>
      <c r="S300" s="6">
        <v>22.0</v>
      </c>
      <c r="T300" s="6">
        <v>24.0</v>
      </c>
      <c r="U300" s="6">
        <v>22.0</v>
      </c>
      <c r="V300" s="7">
        <f t="shared" ref="V300:X300" si="631">(S300/P300)*100</f>
        <v>1.893287435</v>
      </c>
      <c r="W300" s="7">
        <f t="shared" si="631"/>
        <v>2.02874049</v>
      </c>
      <c r="X300" s="7">
        <f t="shared" si="631"/>
        <v>1.933216169</v>
      </c>
      <c r="Y300" s="7">
        <f t="shared" si="397"/>
        <v>1.961013963</v>
      </c>
    </row>
    <row r="301" ht="14.25" customHeight="1">
      <c r="A301" s="1" t="s">
        <v>44</v>
      </c>
      <c r="B301" s="1" t="s">
        <v>447</v>
      </c>
      <c r="C301" s="1" t="s">
        <v>448</v>
      </c>
      <c r="D301" s="1" t="s">
        <v>448</v>
      </c>
      <c r="E301" s="5">
        <v>71201.0</v>
      </c>
      <c r="F301" s="6">
        <v>749.0</v>
      </c>
      <c r="G301" s="6">
        <v>767.0</v>
      </c>
      <c r="H301" s="6">
        <v>792.0</v>
      </c>
      <c r="I301" s="6">
        <v>83.0</v>
      </c>
      <c r="J301" s="6">
        <v>84.0</v>
      </c>
      <c r="K301" s="6">
        <v>65.0</v>
      </c>
      <c r="L301" s="7">
        <f t="shared" ref="L301:N301" si="632">(I301/F301)*100</f>
        <v>11.08144192</v>
      </c>
      <c r="M301" s="7">
        <f t="shared" si="632"/>
        <v>10.9517601</v>
      </c>
      <c r="N301" s="7">
        <f t="shared" si="632"/>
        <v>8.207070707</v>
      </c>
      <c r="O301" s="7">
        <f t="shared" si="395"/>
        <v>10.08009091</v>
      </c>
      <c r="P301" s="6">
        <v>899.0</v>
      </c>
      <c r="Q301" s="6">
        <v>867.0</v>
      </c>
      <c r="R301" s="6">
        <v>870.0</v>
      </c>
      <c r="S301" s="6">
        <v>28.0</v>
      </c>
      <c r="T301" s="6">
        <v>20.0</v>
      </c>
      <c r="U301" s="6">
        <v>39.0</v>
      </c>
      <c r="V301" s="7">
        <f t="shared" ref="V301:X301" si="633">(S301/P301)*100</f>
        <v>3.114571746</v>
      </c>
      <c r="W301" s="7">
        <f t="shared" si="633"/>
        <v>2.306805075</v>
      </c>
      <c r="X301" s="7">
        <f t="shared" si="633"/>
        <v>4.482758621</v>
      </c>
      <c r="Y301" s="7">
        <f t="shared" si="397"/>
        <v>2.710688411</v>
      </c>
    </row>
    <row r="302" ht="14.25" customHeight="1">
      <c r="A302" s="1" t="s">
        <v>44</v>
      </c>
      <c r="B302" s="1" t="s">
        <v>449</v>
      </c>
      <c r="C302" s="1" t="s">
        <v>450</v>
      </c>
      <c r="D302" s="1" t="s">
        <v>450</v>
      </c>
      <c r="E302" s="5">
        <v>71301.0</v>
      </c>
      <c r="F302" s="6">
        <v>899.0</v>
      </c>
      <c r="G302" s="6">
        <v>930.0</v>
      </c>
      <c r="H302" s="6">
        <v>962.0</v>
      </c>
      <c r="I302" s="6">
        <v>44.0</v>
      </c>
      <c r="J302" s="6">
        <v>54.0</v>
      </c>
      <c r="K302" s="6">
        <v>48.0</v>
      </c>
      <c r="L302" s="7">
        <f t="shared" ref="L302:N302" si="634">(I302/F302)*100</f>
        <v>4.89432703</v>
      </c>
      <c r="M302" s="7">
        <f t="shared" si="634"/>
        <v>5.806451613</v>
      </c>
      <c r="N302" s="7">
        <f t="shared" si="634"/>
        <v>4.98960499</v>
      </c>
      <c r="O302" s="7">
        <f t="shared" si="395"/>
        <v>5.230127878</v>
      </c>
      <c r="P302" s="6">
        <v>994.0</v>
      </c>
      <c r="Q302" s="6">
        <v>1014.0</v>
      </c>
      <c r="R302" s="6">
        <v>1017.0</v>
      </c>
      <c r="S302" s="6">
        <v>29.0</v>
      </c>
      <c r="T302" s="6">
        <v>39.0</v>
      </c>
      <c r="U302" s="6">
        <v>41.0</v>
      </c>
      <c r="V302" s="7">
        <f t="shared" ref="V302:X302" si="635">(S302/P302)*100</f>
        <v>2.91750503</v>
      </c>
      <c r="W302" s="7">
        <f t="shared" si="635"/>
        <v>3.846153846</v>
      </c>
      <c r="X302" s="7">
        <f t="shared" si="635"/>
        <v>4.031465093</v>
      </c>
      <c r="Y302" s="7">
        <f t="shared" si="397"/>
        <v>3.381829438</v>
      </c>
    </row>
    <row r="303" ht="14.25" customHeight="1">
      <c r="A303" s="1" t="s">
        <v>44</v>
      </c>
      <c r="B303" s="1" t="s">
        <v>449</v>
      </c>
      <c r="C303" s="1" t="s">
        <v>451</v>
      </c>
      <c r="D303" s="1" t="s">
        <v>451</v>
      </c>
      <c r="E303" s="5">
        <v>71302.0</v>
      </c>
      <c r="F303" s="6">
        <v>269.0</v>
      </c>
      <c r="G303" s="6">
        <v>286.0</v>
      </c>
      <c r="H303" s="6">
        <v>291.0</v>
      </c>
      <c r="I303" s="6">
        <v>19.0</v>
      </c>
      <c r="J303" s="6">
        <v>21.0</v>
      </c>
      <c r="K303" s="6">
        <v>19.0</v>
      </c>
      <c r="L303" s="7">
        <f t="shared" ref="L303:N303" si="636">(I303/F303)*100</f>
        <v>7.063197026</v>
      </c>
      <c r="M303" s="7">
        <f t="shared" si="636"/>
        <v>7.342657343</v>
      </c>
      <c r="N303" s="7">
        <f t="shared" si="636"/>
        <v>6.529209622</v>
      </c>
      <c r="O303" s="7">
        <f t="shared" si="395"/>
        <v>6.978354664</v>
      </c>
      <c r="P303" s="6">
        <v>340.0</v>
      </c>
      <c r="Q303" s="6">
        <v>360.0</v>
      </c>
      <c r="R303" s="6">
        <v>359.0</v>
      </c>
      <c r="S303" s="6">
        <v>6.0</v>
      </c>
      <c r="T303" s="6">
        <v>7.0</v>
      </c>
      <c r="U303" s="6">
        <v>8.0</v>
      </c>
      <c r="V303" s="7">
        <f t="shared" ref="V303:X303" si="637">(S303/P303)*100</f>
        <v>1.764705882</v>
      </c>
      <c r="W303" s="7">
        <f t="shared" si="637"/>
        <v>1.944444444</v>
      </c>
      <c r="X303" s="7">
        <f t="shared" si="637"/>
        <v>2.228412256</v>
      </c>
      <c r="Y303" s="7">
        <f t="shared" si="397"/>
        <v>1.854575163</v>
      </c>
    </row>
    <row r="304" ht="14.25" customHeight="1">
      <c r="A304" s="1" t="s">
        <v>44</v>
      </c>
      <c r="B304" s="1" t="s">
        <v>452</v>
      </c>
      <c r="C304" s="1" t="s">
        <v>453</v>
      </c>
      <c r="D304" s="1" t="s">
        <v>454</v>
      </c>
      <c r="E304" s="5">
        <v>71401.0</v>
      </c>
      <c r="F304" s="6">
        <v>1002.0</v>
      </c>
      <c r="G304" s="6">
        <v>965.0</v>
      </c>
      <c r="H304" s="6">
        <v>944.0</v>
      </c>
      <c r="I304" s="6">
        <v>53.0</v>
      </c>
      <c r="J304" s="6">
        <v>53.0</v>
      </c>
      <c r="K304" s="6">
        <v>47.0</v>
      </c>
      <c r="L304" s="7">
        <f t="shared" ref="L304:N304" si="638">(I304/F304)*100</f>
        <v>5.289421158</v>
      </c>
      <c r="M304" s="7">
        <f t="shared" si="638"/>
        <v>5.492227979</v>
      </c>
      <c r="N304" s="7">
        <f t="shared" si="638"/>
        <v>4.978813559</v>
      </c>
      <c r="O304" s="7">
        <f t="shared" si="395"/>
        <v>5.253487565</v>
      </c>
      <c r="P304" s="6">
        <v>894.0</v>
      </c>
      <c r="Q304" s="6">
        <v>917.0</v>
      </c>
      <c r="R304" s="6">
        <v>919.0</v>
      </c>
      <c r="S304" s="6">
        <v>23.0</v>
      </c>
      <c r="T304" s="6">
        <v>30.0</v>
      </c>
      <c r="U304" s="6">
        <v>40.0</v>
      </c>
      <c r="V304" s="7">
        <f t="shared" ref="V304:X304" si="639">(S304/P304)*100</f>
        <v>2.572706935</v>
      </c>
      <c r="W304" s="7">
        <f t="shared" si="639"/>
        <v>3.271537623</v>
      </c>
      <c r="X304" s="7">
        <f t="shared" si="639"/>
        <v>4.352557127</v>
      </c>
      <c r="Y304" s="7">
        <f t="shared" si="397"/>
        <v>2.922122279</v>
      </c>
    </row>
    <row r="305" ht="14.25" customHeight="1">
      <c r="A305" s="1" t="s">
        <v>44</v>
      </c>
      <c r="B305" s="1" t="s">
        <v>452</v>
      </c>
      <c r="C305" s="1" t="s">
        <v>455</v>
      </c>
      <c r="D305" s="1" t="s">
        <v>455</v>
      </c>
      <c r="E305" s="5">
        <v>71402.0</v>
      </c>
      <c r="F305" s="6">
        <v>859.0</v>
      </c>
      <c r="G305" s="6">
        <v>897.0</v>
      </c>
      <c r="H305" s="6">
        <v>952.0</v>
      </c>
      <c r="I305" s="6">
        <v>53.0</v>
      </c>
      <c r="J305" s="6">
        <v>57.0</v>
      </c>
      <c r="K305" s="6">
        <v>76.0</v>
      </c>
      <c r="L305" s="7">
        <f t="shared" ref="L305:N305" si="640">(I305/F305)*100</f>
        <v>6.169965076</v>
      </c>
      <c r="M305" s="7">
        <f t="shared" si="640"/>
        <v>6.35451505</v>
      </c>
      <c r="N305" s="7">
        <f t="shared" si="640"/>
        <v>7.983193277</v>
      </c>
      <c r="O305" s="7">
        <f t="shared" si="395"/>
        <v>6.835891134</v>
      </c>
      <c r="P305" s="6">
        <v>954.0</v>
      </c>
      <c r="Q305" s="6">
        <v>930.0</v>
      </c>
      <c r="R305" s="6">
        <v>956.0</v>
      </c>
      <c r="S305" s="6">
        <v>38.0</v>
      </c>
      <c r="T305" s="6">
        <v>24.0</v>
      </c>
      <c r="U305" s="6">
        <v>29.0</v>
      </c>
      <c r="V305" s="7">
        <f t="shared" ref="V305:X305" si="641">(S305/P305)*100</f>
        <v>3.983228512</v>
      </c>
      <c r="W305" s="7">
        <f t="shared" si="641"/>
        <v>2.580645161</v>
      </c>
      <c r="X305" s="7">
        <f t="shared" si="641"/>
        <v>3.033472803</v>
      </c>
      <c r="Y305" s="7">
        <f t="shared" si="397"/>
        <v>3.281936836</v>
      </c>
    </row>
    <row r="306" ht="14.25" customHeight="1">
      <c r="A306" s="1" t="s">
        <v>44</v>
      </c>
      <c r="B306" s="1" t="s">
        <v>452</v>
      </c>
      <c r="C306" s="1" t="s">
        <v>456</v>
      </c>
      <c r="D306" s="1" t="s">
        <v>456</v>
      </c>
      <c r="E306" s="5">
        <v>71403.0</v>
      </c>
      <c r="F306" s="6">
        <v>257.0</v>
      </c>
      <c r="G306" s="6">
        <v>261.0</v>
      </c>
      <c r="H306" s="6">
        <v>264.0</v>
      </c>
      <c r="I306" s="6">
        <v>30.0</v>
      </c>
      <c r="J306" s="6">
        <v>26.0</v>
      </c>
      <c r="K306" s="6">
        <v>23.0</v>
      </c>
      <c r="L306" s="7">
        <f t="shared" ref="L306:N306" si="642">(I306/F306)*100</f>
        <v>11.67315175</v>
      </c>
      <c r="M306" s="7">
        <f t="shared" si="642"/>
        <v>9.961685824</v>
      </c>
      <c r="N306" s="7">
        <f t="shared" si="642"/>
        <v>8.712121212</v>
      </c>
      <c r="O306" s="7">
        <f t="shared" si="395"/>
        <v>10.11565293</v>
      </c>
      <c r="P306" s="6">
        <v>316.0</v>
      </c>
      <c r="Q306" s="6">
        <v>330.0</v>
      </c>
      <c r="R306" s="6">
        <v>344.0</v>
      </c>
      <c r="S306" s="6">
        <v>16.0</v>
      </c>
      <c r="T306" s="6">
        <v>14.0</v>
      </c>
      <c r="U306" s="6">
        <v>12.0</v>
      </c>
      <c r="V306" s="7">
        <f t="shared" ref="V306:X306" si="643">(S306/P306)*100</f>
        <v>5.063291139</v>
      </c>
      <c r="W306" s="7">
        <f t="shared" si="643"/>
        <v>4.242424242</v>
      </c>
      <c r="X306" s="7">
        <f t="shared" si="643"/>
        <v>3.488372093</v>
      </c>
      <c r="Y306" s="7">
        <f t="shared" si="397"/>
        <v>4.652857691</v>
      </c>
    </row>
    <row r="307" ht="14.25" customHeight="1">
      <c r="A307" s="1" t="s">
        <v>44</v>
      </c>
      <c r="B307" s="1" t="s">
        <v>457</v>
      </c>
      <c r="C307" s="1" t="s">
        <v>458</v>
      </c>
      <c r="D307" s="1" t="s">
        <v>458</v>
      </c>
      <c r="E307" s="5">
        <v>71501.0</v>
      </c>
      <c r="F307" s="6">
        <v>1388.0</v>
      </c>
      <c r="G307" s="6">
        <v>1425.0</v>
      </c>
      <c r="H307" s="6">
        <v>1461.0</v>
      </c>
      <c r="I307" s="6">
        <v>154.0</v>
      </c>
      <c r="J307" s="6">
        <v>150.0</v>
      </c>
      <c r="K307" s="6">
        <v>127.0</v>
      </c>
      <c r="L307" s="7">
        <f t="shared" ref="L307:N307" si="644">(I307/F307)*100</f>
        <v>11.09510086</v>
      </c>
      <c r="M307" s="7">
        <f t="shared" si="644"/>
        <v>10.52631579</v>
      </c>
      <c r="N307" s="7">
        <f t="shared" si="644"/>
        <v>8.692676249</v>
      </c>
      <c r="O307" s="7">
        <f t="shared" si="395"/>
        <v>10.10469763</v>
      </c>
      <c r="P307" s="6">
        <v>1903.0</v>
      </c>
      <c r="Q307" s="6">
        <v>1956.0</v>
      </c>
      <c r="R307" s="6">
        <v>1954.0</v>
      </c>
      <c r="S307" s="6">
        <v>113.0</v>
      </c>
      <c r="T307" s="6">
        <v>99.0</v>
      </c>
      <c r="U307" s="6">
        <v>89.0</v>
      </c>
      <c r="V307" s="7">
        <f t="shared" ref="V307:X307" si="645">(S307/P307)*100</f>
        <v>5.937992643</v>
      </c>
      <c r="W307" s="7">
        <f t="shared" si="645"/>
        <v>5.061349693</v>
      </c>
      <c r="X307" s="7">
        <f t="shared" si="645"/>
        <v>4.554759468</v>
      </c>
      <c r="Y307" s="7">
        <f t="shared" si="397"/>
        <v>5.499671168</v>
      </c>
    </row>
    <row r="308" ht="14.25" customHeight="1">
      <c r="A308" s="1" t="s">
        <v>44</v>
      </c>
      <c r="B308" s="1" t="s">
        <v>457</v>
      </c>
      <c r="C308" s="1" t="s">
        <v>459</v>
      </c>
      <c r="D308" s="1" t="s">
        <v>460</v>
      </c>
      <c r="E308" s="5">
        <v>71502.0</v>
      </c>
      <c r="F308" s="6">
        <v>417.0</v>
      </c>
      <c r="G308" s="6">
        <v>426.0</v>
      </c>
      <c r="H308" s="6">
        <v>426.0</v>
      </c>
      <c r="I308" s="6">
        <v>13.0</v>
      </c>
      <c r="J308" s="6">
        <v>20.0</v>
      </c>
      <c r="K308" s="6">
        <v>29.0</v>
      </c>
      <c r="L308" s="7">
        <f t="shared" ref="L308:N308" si="646">(I308/F308)*100</f>
        <v>3.117505995</v>
      </c>
      <c r="M308" s="7">
        <f t="shared" si="646"/>
        <v>4.694835681</v>
      </c>
      <c r="N308" s="7">
        <f t="shared" si="646"/>
        <v>6.807511737</v>
      </c>
      <c r="O308" s="7">
        <f t="shared" si="395"/>
        <v>4.873284471</v>
      </c>
      <c r="P308" s="6">
        <v>423.0</v>
      </c>
      <c r="Q308" s="6">
        <v>403.0</v>
      </c>
      <c r="R308" s="6">
        <v>409.0</v>
      </c>
      <c r="S308" s="6">
        <v>17.0</v>
      </c>
      <c r="T308" s="6">
        <v>18.0</v>
      </c>
      <c r="U308" s="6">
        <v>20.0</v>
      </c>
      <c r="V308" s="7">
        <f t="shared" ref="V308:X308" si="647">(S308/P308)*100</f>
        <v>4.01891253</v>
      </c>
      <c r="W308" s="7">
        <f t="shared" si="647"/>
        <v>4.466501241</v>
      </c>
      <c r="X308" s="7">
        <f t="shared" si="647"/>
        <v>4.88997555</v>
      </c>
      <c r="Y308" s="7">
        <f t="shared" si="397"/>
        <v>4.242706885</v>
      </c>
    </row>
    <row r="309" ht="14.25" customHeight="1">
      <c r="A309" s="1" t="s">
        <v>44</v>
      </c>
      <c r="B309" s="1" t="s">
        <v>457</v>
      </c>
      <c r="C309" s="1" t="s">
        <v>387</v>
      </c>
      <c r="D309" s="1" t="s">
        <v>387</v>
      </c>
      <c r="E309" s="5">
        <v>71503.0</v>
      </c>
      <c r="F309" s="6">
        <v>524.0</v>
      </c>
      <c r="G309" s="6">
        <v>517.0</v>
      </c>
      <c r="H309" s="6">
        <v>540.0</v>
      </c>
      <c r="I309" s="6">
        <v>32.0</v>
      </c>
      <c r="J309" s="6">
        <v>49.0</v>
      </c>
      <c r="K309" s="6">
        <v>29.0</v>
      </c>
      <c r="L309" s="7">
        <f t="shared" ref="L309:N309" si="648">(I309/F309)*100</f>
        <v>6.106870229</v>
      </c>
      <c r="M309" s="7">
        <f t="shared" si="648"/>
        <v>9.477756286</v>
      </c>
      <c r="N309" s="7">
        <f t="shared" si="648"/>
        <v>5.37037037</v>
      </c>
      <c r="O309" s="7">
        <f t="shared" si="395"/>
        <v>6.984998962</v>
      </c>
      <c r="P309" s="6">
        <v>624.0</v>
      </c>
      <c r="Q309" s="6">
        <v>650.0</v>
      </c>
      <c r="R309" s="6">
        <v>662.0</v>
      </c>
      <c r="S309" s="6">
        <v>17.0</v>
      </c>
      <c r="T309" s="6">
        <v>21.0</v>
      </c>
      <c r="U309" s="6">
        <v>25.0</v>
      </c>
      <c r="V309" s="7">
        <f t="shared" ref="V309:X309" si="649">(S309/P309)*100</f>
        <v>2.724358974</v>
      </c>
      <c r="W309" s="7">
        <f t="shared" si="649"/>
        <v>3.230769231</v>
      </c>
      <c r="X309" s="7">
        <f t="shared" si="649"/>
        <v>3.776435045</v>
      </c>
      <c r="Y309" s="7">
        <f t="shared" si="397"/>
        <v>2.977564103</v>
      </c>
    </row>
    <row r="310" ht="14.25" customHeight="1">
      <c r="A310" s="1" t="s">
        <v>47</v>
      </c>
      <c r="B310" s="1" t="s">
        <v>195</v>
      </c>
      <c r="C310" s="1" t="s">
        <v>461</v>
      </c>
      <c r="D310" s="1" t="s">
        <v>461</v>
      </c>
      <c r="E310" s="5">
        <v>80101.0</v>
      </c>
      <c r="F310" s="6">
        <v>6292.0</v>
      </c>
      <c r="G310" s="6">
        <v>6375.0</v>
      </c>
      <c r="H310" s="6">
        <v>6364.0</v>
      </c>
      <c r="I310" s="6">
        <v>412.0</v>
      </c>
      <c r="J310" s="6">
        <v>596.0</v>
      </c>
      <c r="K310" s="6">
        <v>545.0</v>
      </c>
      <c r="L310" s="7">
        <f t="shared" ref="L310:N310" si="650">(I310/F310)*100</f>
        <v>6.547997457</v>
      </c>
      <c r="M310" s="7">
        <f t="shared" si="650"/>
        <v>9.349019608</v>
      </c>
      <c r="N310" s="7">
        <f t="shared" si="650"/>
        <v>8.563796354</v>
      </c>
      <c r="O310" s="7">
        <f t="shared" si="395"/>
        <v>8.153604473</v>
      </c>
      <c r="P310" s="6">
        <v>7709.0</v>
      </c>
      <c r="Q310" s="6">
        <v>8018.0</v>
      </c>
      <c r="R310" s="6">
        <v>8296.0</v>
      </c>
      <c r="S310" s="6">
        <v>165.0</v>
      </c>
      <c r="T310" s="6">
        <v>206.0</v>
      </c>
      <c r="U310" s="6">
        <v>226.0</v>
      </c>
      <c r="V310" s="7">
        <f t="shared" ref="V310:X310" si="651">(S310/P310)*100</f>
        <v>2.140355429</v>
      </c>
      <c r="W310" s="7">
        <f t="shared" si="651"/>
        <v>2.569219257</v>
      </c>
      <c r="X310" s="7">
        <f t="shared" si="651"/>
        <v>2.724204436</v>
      </c>
      <c r="Y310" s="7">
        <f t="shared" si="397"/>
        <v>2.354787343</v>
      </c>
    </row>
    <row r="311" ht="14.25" customHeight="1">
      <c r="A311" s="1" t="s">
        <v>47</v>
      </c>
      <c r="B311" s="1" t="s">
        <v>195</v>
      </c>
      <c r="C311" s="1" t="s">
        <v>442</v>
      </c>
      <c r="D311" s="1" t="s">
        <v>442</v>
      </c>
      <c r="E311" s="5">
        <v>80102.0</v>
      </c>
      <c r="F311" s="6">
        <v>128.0</v>
      </c>
      <c r="G311" s="6">
        <v>136.0</v>
      </c>
      <c r="H311" s="6">
        <v>121.0</v>
      </c>
      <c r="I311" s="6">
        <v>14.0</v>
      </c>
      <c r="J311" s="6">
        <v>34.0</v>
      </c>
      <c r="K311" s="6">
        <v>35.0</v>
      </c>
      <c r="L311" s="7">
        <f t="shared" ref="L311:N311" si="652">(I311/F311)*100</f>
        <v>10.9375</v>
      </c>
      <c r="M311" s="7">
        <f t="shared" si="652"/>
        <v>25</v>
      </c>
      <c r="N311" s="7">
        <f t="shared" si="652"/>
        <v>28.92561983</v>
      </c>
      <c r="O311" s="7">
        <f t="shared" si="395"/>
        <v>21.62103994</v>
      </c>
      <c r="P311" s="6">
        <v>209.0</v>
      </c>
      <c r="Q311" s="6">
        <v>232.0</v>
      </c>
      <c r="R311" s="6">
        <v>225.0</v>
      </c>
      <c r="S311" s="6">
        <v>4.0</v>
      </c>
      <c r="T311" s="6">
        <v>12.0</v>
      </c>
      <c r="U311" s="6">
        <v>16.0</v>
      </c>
      <c r="V311" s="7">
        <f t="shared" ref="V311:X311" si="653">(S311/P311)*100</f>
        <v>1.913875598</v>
      </c>
      <c r="W311" s="7">
        <f t="shared" si="653"/>
        <v>5.172413793</v>
      </c>
      <c r="X311" s="7">
        <f t="shared" si="653"/>
        <v>7.111111111</v>
      </c>
      <c r="Y311" s="7">
        <f t="shared" si="397"/>
        <v>3.543144696</v>
      </c>
    </row>
    <row r="312" ht="14.25" customHeight="1">
      <c r="A312" s="1" t="s">
        <v>47</v>
      </c>
      <c r="B312" s="1" t="s">
        <v>462</v>
      </c>
      <c r="C312" s="1" t="s">
        <v>463</v>
      </c>
      <c r="D312" s="1" t="s">
        <v>463</v>
      </c>
      <c r="E312" s="5">
        <v>80201.0</v>
      </c>
      <c r="F312" s="6">
        <v>5345.0</v>
      </c>
      <c r="G312" s="6">
        <v>5581.0</v>
      </c>
      <c r="H312" s="6">
        <v>5820.0</v>
      </c>
      <c r="I312" s="6">
        <v>633.0</v>
      </c>
      <c r="J312" s="6">
        <v>706.0</v>
      </c>
      <c r="K312" s="6">
        <v>757.0</v>
      </c>
      <c r="L312" s="7">
        <f t="shared" ref="L312:N312" si="654">(I312/F312)*100</f>
        <v>11.84284378</v>
      </c>
      <c r="M312" s="7">
        <f t="shared" si="654"/>
        <v>12.65006271</v>
      </c>
      <c r="N312" s="7">
        <f t="shared" si="654"/>
        <v>13.00687285</v>
      </c>
      <c r="O312" s="7">
        <f t="shared" si="395"/>
        <v>12.49992645</v>
      </c>
      <c r="P312" s="6">
        <v>6969.0</v>
      </c>
      <c r="Q312" s="6">
        <v>7258.0</v>
      </c>
      <c r="R312" s="6">
        <v>7525.0</v>
      </c>
      <c r="S312" s="6">
        <v>384.0</v>
      </c>
      <c r="T312" s="6">
        <v>407.0</v>
      </c>
      <c r="U312" s="6">
        <v>463.0</v>
      </c>
      <c r="V312" s="7">
        <f t="shared" ref="V312:X312" si="655">(S312/P312)*100</f>
        <v>5.510116229</v>
      </c>
      <c r="W312" s="7">
        <f t="shared" si="655"/>
        <v>5.607605401</v>
      </c>
      <c r="X312" s="7">
        <f t="shared" si="655"/>
        <v>6.15282392</v>
      </c>
      <c r="Y312" s="7">
        <f t="shared" si="397"/>
        <v>5.558860815</v>
      </c>
    </row>
    <row r="313" ht="14.25" customHeight="1">
      <c r="A313" s="1" t="s">
        <v>47</v>
      </c>
      <c r="B313" s="1" t="s">
        <v>462</v>
      </c>
      <c r="C313" s="1" t="s">
        <v>464</v>
      </c>
      <c r="D313" s="1" t="s">
        <v>464</v>
      </c>
      <c r="E313" s="5">
        <v>80202.0</v>
      </c>
      <c r="F313" s="6">
        <v>2683.0</v>
      </c>
      <c r="G313" s="6">
        <v>2651.0</v>
      </c>
      <c r="H313" s="6">
        <v>2658.0</v>
      </c>
      <c r="I313" s="6">
        <v>96.0</v>
      </c>
      <c r="J313" s="6">
        <v>153.0</v>
      </c>
      <c r="K313" s="6">
        <v>234.0</v>
      </c>
      <c r="L313" s="7">
        <f t="shared" ref="L313:N313" si="656">(I313/F313)*100</f>
        <v>3.578084234</v>
      </c>
      <c r="M313" s="7">
        <f t="shared" si="656"/>
        <v>5.771407016</v>
      </c>
      <c r="N313" s="7">
        <f t="shared" si="656"/>
        <v>8.803611738</v>
      </c>
      <c r="O313" s="7">
        <f t="shared" si="395"/>
        <v>6.051034329</v>
      </c>
      <c r="P313" s="6">
        <v>2579.0</v>
      </c>
      <c r="Q313" s="6">
        <v>2686.0</v>
      </c>
      <c r="R313" s="6">
        <v>2792.0</v>
      </c>
      <c r="S313" s="6">
        <v>100.0</v>
      </c>
      <c r="T313" s="6">
        <v>113.0</v>
      </c>
      <c r="U313" s="6">
        <v>133.0</v>
      </c>
      <c r="V313" s="7">
        <f t="shared" ref="V313:X313" si="657">(S313/P313)*100</f>
        <v>3.877471888</v>
      </c>
      <c r="W313" s="7">
        <f t="shared" si="657"/>
        <v>4.206999255</v>
      </c>
      <c r="X313" s="7">
        <f t="shared" si="657"/>
        <v>4.763610315</v>
      </c>
      <c r="Y313" s="7">
        <f t="shared" si="397"/>
        <v>4.042235572</v>
      </c>
    </row>
    <row r="314" ht="14.25" customHeight="1">
      <c r="A314" s="1" t="s">
        <v>47</v>
      </c>
      <c r="B314" s="1" t="s">
        <v>465</v>
      </c>
      <c r="C314" s="1" t="s">
        <v>466</v>
      </c>
      <c r="D314" s="1" t="s">
        <v>466</v>
      </c>
      <c r="E314" s="5">
        <v>80301.0</v>
      </c>
      <c r="F314" s="6">
        <v>545.0</v>
      </c>
      <c r="G314" s="6">
        <v>562.0</v>
      </c>
      <c r="H314" s="6">
        <v>534.0</v>
      </c>
      <c r="I314" s="6">
        <v>65.0</v>
      </c>
      <c r="J314" s="6">
        <v>78.0</v>
      </c>
      <c r="K314" s="6">
        <v>61.0</v>
      </c>
      <c r="L314" s="7">
        <f t="shared" ref="L314:N314" si="658">(I314/F314)*100</f>
        <v>11.9266055</v>
      </c>
      <c r="M314" s="7">
        <f t="shared" si="658"/>
        <v>13.87900356</v>
      </c>
      <c r="N314" s="7">
        <f t="shared" si="658"/>
        <v>11.42322097</v>
      </c>
      <c r="O314" s="7">
        <f t="shared" si="395"/>
        <v>12.40961001</v>
      </c>
      <c r="P314" s="6">
        <v>840.0</v>
      </c>
      <c r="Q314" s="6">
        <v>811.0</v>
      </c>
      <c r="R314" s="6">
        <v>820.0</v>
      </c>
      <c r="S314" s="6">
        <v>41.0</v>
      </c>
      <c r="T314" s="6">
        <v>31.0</v>
      </c>
      <c r="U314" s="6">
        <v>32.0</v>
      </c>
      <c r="V314" s="7">
        <f t="shared" ref="V314:X314" si="659">(S314/P314)*100</f>
        <v>4.880952381</v>
      </c>
      <c r="W314" s="7">
        <f t="shared" si="659"/>
        <v>3.82244143</v>
      </c>
      <c r="X314" s="7">
        <f t="shared" si="659"/>
        <v>3.902439024</v>
      </c>
      <c r="Y314" s="7">
        <f t="shared" si="397"/>
        <v>4.351696906</v>
      </c>
    </row>
    <row r="315" ht="14.25" customHeight="1">
      <c r="A315" s="1" t="s">
        <v>47</v>
      </c>
      <c r="B315" s="1" t="s">
        <v>465</v>
      </c>
      <c r="C315" s="1" t="s">
        <v>467</v>
      </c>
      <c r="D315" s="1" t="s">
        <v>467</v>
      </c>
      <c r="E315" s="5">
        <v>80302.0</v>
      </c>
      <c r="F315" s="6">
        <v>2008.0</v>
      </c>
      <c r="G315" s="6">
        <v>2121.0</v>
      </c>
      <c r="H315" s="6">
        <v>2230.0</v>
      </c>
      <c r="I315" s="6">
        <v>308.0</v>
      </c>
      <c r="J315" s="6">
        <v>300.0</v>
      </c>
      <c r="K315" s="6">
        <v>271.0</v>
      </c>
      <c r="L315" s="7">
        <f t="shared" ref="L315:N315" si="660">(I315/F315)*100</f>
        <v>15.33864542</v>
      </c>
      <c r="M315" s="7">
        <f t="shared" si="660"/>
        <v>14.14427157</v>
      </c>
      <c r="N315" s="7">
        <f t="shared" si="660"/>
        <v>12.15246637</v>
      </c>
      <c r="O315" s="7">
        <f t="shared" si="395"/>
        <v>13.87846112</v>
      </c>
      <c r="P315" s="6">
        <v>2599.0</v>
      </c>
      <c r="Q315" s="6">
        <v>2628.0</v>
      </c>
      <c r="R315" s="6">
        <v>2656.0</v>
      </c>
      <c r="S315" s="6">
        <v>123.0</v>
      </c>
      <c r="T315" s="6">
        <v>131.0</v>
      </c>
      <c r="U315" s="6">
        <v>132.0</v>
      </c>
      <c r="V315" s="7">
        <f t="shared" ref="V315:X315" si="661">(S315/P315)*100</f>
        <v>4.732589457</v>
      </c>
      <c r="W315" s="7">
        <f t="shared" si="661"/>
        <v>4.9847793</v>
      </c>
      <c r="X315" s="7">
        <f t="shared" si="661"/>
        <v>4.969879518</v>
      </c>
      <c r="Y315" s="7">
        <f t="shared" si="397"/>
        <v>4.858684379</v>
      </c>
    </row>
    <row r="316" ht="14.25" customHeight="1">
      <c r="A316" s="1" t="s">
        <v>47</v>
      </c>
      <c r="B316" s="1" t="s">
        <v>465</v>
      </c>
      <c r="C316" s="1" t="s">
        <v>413</v>
      </c>
      <c r="D316" s="1" t="s">
        <v>413</v>
      </c>
      <c r="E316" s="5">
        <v>80303.0</v>
      </c>
      <c r="F316" s="6">
        <v>411.0</v>
      </c>
      <c r="G316" s="6">
        <v>407.0</v>
      </c>
      <c r="H316" s="6">
        <v>419.0</v>
      </c>
      <c r="I316" s="6">
        <v>21.0</v>
      </c>
      <c r="J316" s="6">
        <v>46.0</v>
      </c>
      <c r="K316" s="6">
        <v>43.0</v>
      </c>
      <c r="L316" s="7">
        <f t="shared" ref="L316:N316" si="662">(I316/F316)*100</f>
        <v>5.109489051</v>
      </c>
      <c r="M316" s="7">
        <f t="shared" si="662"/>
        <v>11.3022113</v>
      </c>
      <c r="N316" s="7">
        <f t="shared" si="662"/>
        <v>10.26252983</v>
      </c>
      <c r="O316" s="7">
        <f t="shared" si="395"/>
        <v>8.891410062</v>
      </c>
      <c r="P316" s="6">
        <v>625.0</v>
      </c>
      <c r="Q316" s="6">
        <v>667.0</v>
      </c>
      <c r="R316" s="6">
        <v>708.0</v>
      </c>
      <c r="S316" s="6">
        <v>27.0</v>
      </c>
      <c r="T316" s="6">
        <v>18.0</v>
      </c>
      <c r="U316" s="6">
        <v>26.0</v>
      </c>
      <c r="V316" s="7">
        <f t="shared" ref="V316:X316" si="663">(S316/P316)*100</f>
        <v>4.32</v>
      </c>
      <c r="W316" s="7">
        <f t="shared" si="663"/>
        <v>2.698650675</v>
      </c>
      <c r="X316" s="7">
        <f t="shared" si="663"/>
        <v>3.672316384</v>
      </c>
      <c r="Y316" s="7">
        <f t="shared" si="397"/>
        <v>3.509325337</v>
      </c>
    </row>
    <row r="317" ht="14.25" customHeight="1">
      <c r="A317" s="1" t="s">
        <v>47</v>
      </c>
      <c r="B317" s="1" t="s">
        <v>465</v>
      </c>
      <c r="C317" s="1" t="s">
        <v>468</v>
      </c>
      <c r="D317" s="1" t="s">
        <v>469</v>
      </c>
      <c r="E317" s="5">
        <v>80304.0</v>
      </c>
      <c r="F317" s="6">
        <v>999.0</v>
      </c>
      <c r="G317" s="6">
        <v>1002.0</v>
      </c>
      <c r="H317" s="6">
        <v>987.0</v>
      </c>
      <c r="I317" s="6">
        <v>99.0</v>
      </c>
      <c r="J317" s="6">
        <v>120.0</v>
      </c>
      <c r="K317" s="6">
        <v>100.0</v>
      </c>
      <c r="L317" s="7">
        <f t="shared" ref="L317:N317" si="664">(I317/F317)*100</f>
        <v>9.90990991</v>
      </c>
      <c r="M317" s="7">
        <f t="shared" si="664"/>
        <v>11.9760479</v>
      </c>
      <c r="N317" s="7">
        <f t="shared" si="664"/>
        <v>10.13171226</v>
      </c>
      <c r="O317" s="7">
        <f t="shared" si="395"/>
        <v>10.67255669</v>
      </c>
      <c r="P317" s="6">
        <v>1183.0</v>
      </c>
      <c r="Q317" s="6">
        <v>1289.0</v>
      </c>
      <c r="R317" s="6">
        <v>1334.0</v>
      </c>
      <c r="S317" s="6">
        <v>36.0</v>
      </c>
      <c r="T317" s="6">
        <v>39.0</v>
      </c>
      <c r="U317" s="6">
        <v>58.0</v>
      </c>
      <c r="V317" s="7">
        <f t="shared" ref="V317:X317" si="665">(S317/P317)*100</f>
        <v>3.043110735</v>
      </c>
      <c r="W317" s="7">
        <f t="shared" si="665"/>
        <v>3.025601241</v>
      </c>
      <c r="X317" s="7">
        <f t="shared" si="665"/>
        <v>4.347826087</v>
      </c>
      <c r="Y317" s="7">
        <f t="shared" si="397"/>
        <v>3.034355988</v>
      </c>
    </row>
    <row r="318" ht="14.25" customHeight="1">
      <c r="A318" s="1" t="s">
        <v>47</v>
      </c>
      <c r="B318" s="1" t="s">
        <v>470</v>
      </c>
      <c r="C318" s="1" t="s">
        <v>471</v>
      </c>
      <c r="D318" s="1" t="s">
        <v>472</v>
      </c>
      <c r="E318" s="5">
        <v>80401.0</v>
      </c>
      <c r="F318" s="6">
        <v>947.0</v>
      </c>
      <c r="G318" s="6">
        <v>937.0</v>
      </c>
      <c r="H318" s="6">
        <v>901.0</v>
      </c>
      <c r="I318" s="6">
        <v>143.0</v>
      </c>
      <c r="J318" s="6">
        <v>147.0</v>
      </c>
      <c r="K318" s="6">
        <v>135.0</v>
      </c>
      <c r="L318" s="7">
        <f t="shared" ref="L318:N318" si="666">(I318/F318)*100</f>
        <v>15.10031679</v>
      </c>
      <c r="M318" s="7">
        <f t="shared" si="666"/>
        <v>15.68836713</v>
      </c>
      <c r="N318" s="7">
        <f t="shared" si="666"/>
        <v>14.98335183</v>
      </c>
      <c r="O318" s="7">
        <f t="shared" si="395"/>
        <v>15.25734525</v>
      </c>
      <c r="P318" s="6">
        <v>1030.0</v>
      </c>
      <c r="Q318" s="6">
        <v>1027.0</v>
      </c>
      <c r="R318" s="6">
        <v>1055.0</v>
      </c>
      <c r="S318" s="6">
        <v>58.0</v>
      </c>
      <c r="T318" s="6">
        <v>57.0</v>
      </c>
      <c r="U318" s="6">
        <v>48.0</v>
      </c>
      <c r="V318" s="7">
        <f t="shared" ref="V318:X318" si="667">(S318/P318)*100</f>
        <v>5.631067961</v>
      </c>
      <c r="W318" s="7">
        <f t="shared" si="667"/>
        <v>5.550146056</v>
      </c>
      <c r="X318" s="7">
        <f t="shared" si="667"/>
        <v>4.549763033</v>
      </c>
      <c r="Y318" s="7">
        <f t="shared" si="397"/>
        <v>5.590607009</v>
      </c>
    </row>
    <row r="319" ht="14.25" customHeight="1">
      <c r="A319" s="1" t="s">
        <v>47</v>
      </c>
      <c r="B319" s="1" t="s">
        <v>470</v>
      </c>
      <c r="C319" s="1" t="s">
        <v>473</v>
      </c>
      <c r="D319" s="1" t="s">
        <v>473</v>
      </c>
      <c r="E319" s="5">
        <v>80402.0</v>
      </c>
      <c r="F319" s="6">
        <v>116.0</v>
      </c>
      <c r="G319" s="6">
        <v>118.0</v>
      </c>
      <c r="H319" s="6">
        <v>121.0</v>
      </c>
      <c r="I319" s="6">
        <v>45.0</v>
      </c>
      <c r="J319" s="6">
        <v>36.0</v>
      </c>
      <c r="K319" s="6">
        <v>32.0</v>
      </c>
      <c r="L319" s="7">
        <f t="shared" ref="L319:N319" si="668">(I319/F319)*100</f>
        <v>38.79310345</v>
      </c>
      <c r="M319" s="7">
        <f t="shared" si="668"/>
        <v>30.50847458</v>
      </c>
      <c r="N319" s="7">
        <f t="shared" si="668"/>
        <v>26.44628099</v>
      </c>
      <c r="O319" s="7">
        <f t="shared" si="395"/>
        <v>31.91595301</v>
      </c>
      <c r="P319" s="6">
        <v>149.0</v>
      </c>
      <c r="Q319" s="6">
        <v>164.0</v>
      </c>
      <c r="R319" s="6">
        <v>163.0</v>
      </c>
      <c r="S319" s="6">
        <v>2.0</v>
      </c>
      <c r="T319" s="6">
        <v>13.0</v>
      </c>
      <c r="U319" s="6">
        <v>14.0</v>
      </c>
      <c r="V319" s="7">
        <f t="shared" ref="V319:X319" si="669">(S319/P319)*100</f>
        <v>1.342281879</v>
      </c>
      <c r="W319" s="7">
        <f t="shared" si="669"/>
        <v>7.926829268</v>
      </c>
      <c r="X319" s="7">
        <f t="shared" si="669"/>
        <v>8.588957055</v>
      </c>
      <c r="Y319" s="7">
        <f t="shared" si="397"/>
        <v>4.634555574</v>
      </c>
    </row>
    <row r="320" ht="14.25" customHeight="1">
      <c r="A320" s="1" t="s">
        <v>47</v>
      </c>
      <c r="B320" s="1" t="s">
        <v>474</v>
      </c>
      <c r="C320" s="1" t="s">
        <v>399</v>
      </c>
      <c r="D320" s="1" t="s">
        <v>399</v>
      </c>
      <c r="E320" s="5">
        <v>80501.0</v>
      </c>
      <c r="F320" s="6">
        <v>1136.0</v>
      </c>
      <c r="G320" s="6">
        <v>1209.0</v>
      </c>
      <c r="H320" s="6">
        <v>1177.0</v>
      </c>
      <c r="I320" s="6">
        <v>145.0</v>
      </c>
      <c r="J320" s="6">
        <v>208.0</v>
      </c>
      <c r="K320" s="6">
        <v>151.0</v>
      </c>
      <c r="L320" s="7">
        <f t="shared" ref="L320:N320" si="670">(I320/F320)*100</f>
        <v>12.76408451</v>
      </c>
      <c r="M320" s="7">
        <f t="shared" si="670"/>
        <v>17.20430108</v>
      </c>
      <c r="N320" s="7">
        <f t="shared" si="670"/>
        <v>12.82922685</v>
      </c>
      <c r="O320" s="7">
        <f t="shared" si="395"/>
        <v>14.26587081</v>
      </c>
      <c r="P320" s="6">
        <v>1443.0</v>
      </c>
      <c r="Q320" s="6">
        <v>1454.0</v>
      </c>
      <c r="R320" s="6">
        <v>1493.0</v>
      </c>
      <c r="S320" s="6">
        <v>65.0</v>
      </c>
      <c r="T320" s="6">
        <v>56.0</v>
      </c>
      <c r="U320" s="6">
        <v>70.0</v>
      </c>
      <c r="V320" s="7">
        <f t="shared" ref="V320:X320" si="671">(S320/P320)*100</f>
        <v>4.504504505</v>
      </c>
      <c r="W320" s="7">
        <f t="shared" si="671"/>
        <v>3.851444292</v>
      </c>
      <c r="X320" s="7">
        <f t="shared" si="671"/>
        <v>4.688546551</v>
      </c>
      <c r="Y320" s="7">
        <f t="shared" si="397"/>
        <v>4.177974398</v>
      </c>
    </row>
    <row r="321" ht="14.25" customHeight="1">
      <c r="A321" s="1" t="s">
        <v>47</v>
      </c>
      <c r="B321" s="1" t="s">
        <v>475</v>
      </c>
      <c r="C321" s="1" t="s">
        <v>476</v>
      </c>
      <c r="D321" s="1" t="s">
        <v>476</v>
      </c>
      <c r="E321" s="5">
        <v>80601.0</v>
      </c>
      <c r="F321" s="6">
        <v>104.0</v>
      </c>
      <c r="G321" s="6">
        <v>119.0</v>
      </c>
      <c r="H321" s="6">
        <v>109.0</v>
      </c>
      <c r="I321" s="6">
        <v>20.0</v>
      </c>
      <c r="J321" s="6">
        <v>12.0</v>
      </c>
      <c r="K321" s="6">
        <v>13.0</v>
      </c>
      <c r="L321" s="7">
        <f t="shared" ref="L321:N321" si="672">(I321/F321)*100</f>
        <v>19.23076923</v>
      </c>
      <c r="M321" s="7">
        <f t="shared" si="672"/>
        <v>10.08403361</v>
      </c>
      <c r="N321" s="7">
        <f t="shared" si="672"/>
        <v>11.9266055</v>
      </c>
      <c r="O321" s="7">
        <f t="shared" si="395"/>
        <v>13.74713612</v>
      </c>
      <c r="P321" s="6">
        <v>207.0</v>
      </c>
      <c r="Q321" s="6">
        <v>217.0</v>
      </c>
      <c r="R321" s="6">
        <v>214.0</v>
      </c>
      <c r="S321" s="6">
        <v>8.0</v>
      </c>
      <c r="T321" s="6">
        <v>5.0</v>
      </c>
      <c r="U321" s="6">
        <v>10.0</v>
      </c>
      <c r="V321" s="7">
        <f t="shared" ref="V321:X321" si="673">(S321/P321)*100</f>
        <v>3.8647343</v>
      </c>
      <c r="W321" s="7">
        <f t="shared" si="673"/>
        <v>2.304147465</v>
      </c>
      <c r="X321" s="7">
        <f t="shared" si="673"/>
        <v>4.672897196</v>
      </c>
      <c r="Y321" s="7">
        <f t="shared" si="397"/>
        <v>3.084440882</v>
      </c>
    </row>
    <row r="322" ht="14.25" customHeight="1">
      <c r="A322" s="1" t="s">
        <v>47</v>
      </c>
      <c r="B322" s="1" t="s">
        <v>475</v>
      </c>
      <c r="C322" s="1" t="s">
        <v>477</v>
      </c>
      <c r="D322" s="1" t="s">
        <v>477</v>
      </c>
      <c r="E322" s="5">
        <v>80602.0</v>
      </c>
      <c r="F322" s="6">
        <v>504.0</v>
      </c>
      <c r="G322" s="6">
        <v>544.0</v>
      </c>
      <c r="H322" s="6">
        <v>583.0</v>
      </c>
      <c r="I322" s="6">
        <v>65.0</v>
      </c>
      <c r="J322" s="6">
        <v>51.0</v>
      </c>
      <c r="K322" s="6">
        <v>71.0</v>
      </c>
      <c r="L322" s="7">
        <f t="shared" ref="L322:N322" si="674">(I322/F322)*100</f>
        <v>12.8968254</v>
      </c>
      <c r="M322" s="7">
        <f t="shared" si="674"/>
        <v>9.375</v>
      </c>
      <c r="N322" s="7">
        <f t="shared" si="674"/>
        <v>12.17838765</v>
      </c>
      <c r="O322" s="7">
        <f t="shared" si="395"/>
        <v>11.48340435</v>
      </c>
      <c r="P322" s="6">
        <v>754.0</v>
      </c>
      <c r="Q322" s="6">
        <v>768.0</v>
      </c>
      <c r="R322" s="6">
        <v>792.0</v>
      </c>
      <c r="S322" s="6">
        <v>29.0</v>
      </c>
      <c r="T322" s="6">
        <v>29.0</v>
      </c>
      <c r="U322" s="6">
        <v>44.0</v>
      </c>
      <c r="V322" s="7">
        <f t="shared" ref="V322:X322" si="675">(S322/P322)*100</f>
        <v>3.846153846</v>
      </c>
      <c r="W322" s="7">
        <f t="shared" si="675"/>
        <v>3.776041667</v>
      </c>
      <c r="X322" s="7">
        <f t="shared" si="675"/>
        <v>5.555555556</v>
      </c>
      <c r="Y322" s="7">
        <f t="shared" si="397"/>
        <v>3.811097756</v>
      </c>
    </row>
    <row r="323" ht="14.25" customHeight="1">
      <c r="A323" s="1" t="s">
        <v>47</v>
      </c>
      <c r="B323" s="1" t="s">
        <v>478</v>
      </c>
      <c r="C323" s="1" t="s">
        <v>479</v>
      </c>
      <c r="D323" s="1" t="s">
        <v>479</v>
      </c>
      <c r="E323" s="5">
        <v>80701.0</v>
      </c>
      <c r="F323" s="6">
        <v>264.0</v>
      </c>
      <c r="G323" s="6">
        <v>265.0</v>
      </c>
      <c r="H323" s="6">
        <v>252.0</v>
      </c>
      <c r="I323" s="6">
        <v>30.0</v>
      </c>
      <c r="J323" s="6">
        <v>40.0</v>
      </c>
      <c r="K323" s="6">
        <v>38.0</v>
      </c>
      <c r="L323" s="7">
        <f t="shared" ref="L323:N323" si="676">(I323/F323)*100</f>
        <v>11.36363636</v>
      </c>
      <c r="M323" s="7">
        <f t="shared" si="676"/>
        <v>15.09433962</v>
      </c>
      <c r="N323" s="7">
        <f t="shared" si="676"/>
        <v>15.07936508</v>
      </c>
      <c r="O323" s="7">
        <f t="shared" si="395"/>
        <v>13.84578036</v>
      </c>
      <c r="P323" s="6">
        <v>319.0</v>
      </c>
      <c r="Q323" s="6">
        <v>309.0</v>
      </c>
      <c r="R323" s="6">
        <v>326.0</v>
      </c>
      <c r="S323" s="6">
        <v>23.0</v>
      </c>
      <c r="T323" s="6">
        <v>9.0</v>
      </c>
      <c r="U323" s="6">
        <v>14.0</v>
      </c>
      <c r="V323" s="7">
        <f t="shared" ref="V323:X323" si="677">(S323/P323)*100</f>
        <v>7.210031348</v>
      </c>
      <c r="W323" s="7">
        <f t="shared" si="677"/>
        <v>2.912621359</v>
      </c>
      <c r="X323" s="7">
        <f t="shared" si="677"/>
        <v>4.294478528</v>
      </c>
      <c r="Y323" s="7">
        <f t="shared" si="397"/>
        <v>5.061326354</v>
      </c>
    </row>
    <row r="324" ht="14.25" customHeight="1">
      <c r="A324" s="1" t="s">
        <v>47</v>
      </c>
      <c r="B324" s="1" t="s">
        <v>478</v>
      </c>
      <c r="C324" s="1" t="s">
        <v>443</v>
      </c>
      <c r="D324" s="1" t="s">
        <v>443</v>
      </c>
      <c r="E324" s="5">
        <v>80702.0</v>
      </c>
      <c r="F324" s="6">
        <v>225.0</v>
      </c>
      <c r="G324" s="6">
        <v>213.0</v>
      </c>
      <c r="H324" s="6">
        <v>214.0</v>
      </c>
      <c r="I324" s="6">
        <v>16.0</v>
      </c>
      <c r="J324" s="6">
        <v>34.0</v>
      </c>
      <c r="K324" s="6">
        <v>17.0</v>
      </c>
      <c r="L324" s="7">
        <f t="shared" ref="L324:N324" si="678">(I324/F324)*100</f>
        <v>7.111111111</v>
      </c>
      <c r="M324" s="7">
        <f t="shared" si="678"/>
        <v>15.96244131</v>
      </c>
      <c r="N324" s="7">
        <f t="shared" si="678"/>
        <v>7.943925234</v>
      </c>
      <c r="O324" s="7">
        <f t="shared" si="395"/>
        <v>10.33915922</v>
      </c>
      <c r="P324" s="6">
        <v>297.0</v>
      </c>
      <c r="Q324" s="6">
        <v>281.0</v>
      </c>
      <c r="R324" s="6">
        <v>296.0</v>
      </c>
      <c r="S324" s="6">
        <v>9.0</v>
      </c>
      <c r="T324" s="6">
        <v>10.0</v>
      </c>
      <c r="U324" s="6">
        <v>13.0</v>
      </c>
      <c r="V324" s="7">
        <f t="shared" ref="V324:X324" si="679">(S324/P324)*100</f>
        <v>3.03030303</v>
      </c>
      <c r="W324" s="7">
        <f t="shared" si="679"/>
        <v>3.558718861</v>
      </c>
      <c r="X324" s="7">
        <f t="shared" si="679"/>
        <v>4.391891892</v>
      </c>
      <c r="Y324" s="7">
        <f t="shared" si="397"/>
        <v>3.294510946</v>
      </c>
    </row>
    <row r="325" ht="14.25" customHeight="1">
      <c r="A325" s="1" t="s">
        <v>47</v>
      </c>
      <c r="B325" s="1" t="s">
        <v>478</v>
      </c>
      <c r="C325" s="1" t="s">
        <v>480</v>
      </c>
      <c r="D325" s="1" t="s">
        <v>480</v>
      </c>
      <c r="E325" s="5">
        <v>80703.0</v>
      </c>
      <c r="F325" s="6">
        <v>33.0</v>
      </c>
      <c r="G325" s="6">
        <v>28.0</v>
      </c>
      <c r="H325" s="6">
        <v>44.0</v>
      </c>
      <c r="I325" s="6">
        <v>5.0</v>
      </c>
      <c r="J325" s="6">
        <v>4.0</v>
      </c>
      <c r="K325" s="6">
        <v>5.0</v>
      </c>
      <c r="L325" s="7">
        <f t="shared" ref="L325:N325" si="680">(I325/F325)*100</f>
        <v>15.15151515</v>
      </c>
      <c r="M325" s="7">
        <f t="shared" si="680"/>
        <v>14.28571429</v>
      </c>
      <c r="N325" s="7">
        <f t="shared" si="680"/>
        <v>11.36363636</v>
      </c>
      <c r="O325" s="7">
        <f t="shared" si="395"/>
        <v>13.6002886</v>
      </c>
      <c r="P325" s="6">
        <v>73.0</v>
      </c>
      <c r="Q325" s="6">
        <v>78.0</v>
      </c>
      <c r="R325" s="6">
        <v>84.0</v>
      </c>
      <c r="S325" s="6">
        <v>0.0</v>
      </c>
      <c r="T325" s="6">
        <v>7.0</v>
      </c>
      <c r="U325" s="6">
        <v>5.0</v>
      </c>
      <c r="V325" s="7">
        <f t="shared" ref="V325:X325" si="681">(S325/P325)*100</f>
        <v>0</v>
      </c>
      <c r="W325" s="7">
        <f t="shared" si="681"/>
        <v>8.974358974</v>
      </c>
      <c r="X325" s="7">
        <f t="shared" si="681"/>
        <v>5.952380952</v>
      </c>
      <c r="Y325" s="7">
        <f t="shared" si="397"/>
        <v>4.487179487</v>
      </c>
    </row>
    <row r="326" ht="14.25" customHeight="1">
      <c r="A326" s="1" t="s">
        <v>47</v>
      </c>
      <c r="B326" s="1" t="s">
        <v>481</v>
      </c>
      <c r="C326" s="1" t="s">
        <v>482</v>
      </c>
      <c r="D326" s="1" t="s">
        <v>482</v>
      </c>
      <c r="E326" s="5">
        <v>80801.0</v>
      </c>
      <c r="F326" s="6">
        <v>710.0</v>
      </c>
      <c r="G326" s="6">
        <v>690.0</v>
      </c>
      <c r="H326" s="6">
        <v>668.0</v>
      </c>
      <c r="I326" s="6">
        <v>54.0</v>
      </c>
      <c r="J326" s="6">
        <v>71.0</v>
      </c>
      <c r="K326" s="6">
        <v>49.0</v>
      </c>
      <c r="L326" s="7">
        <f t="shared" ref="L326:N326" si="682">(I326/F326)*100</f>
        <v>7.605633803</v>
      </c>
      <c r="M326" s="7">
        <f t="shared" si="682"/>
        <v>10.28985507</v>
      </c>
      <c r="N326" s="7">
        <f t="shared" si="682"/>
        <v>7.335329341</v>
      </c>
      <c r="O326" s="7">
        <f t="shared" si="395"/>
        <v>8.410272739</v>
      </c>
      <c r="P326" s="6">
        <v>750.0</v>
      </c>
      <c r="Q326" s="6">
        <v>779.0</v>
      </c>
      <c r="R326" s="6">
        <v>804.0</v>
      </c>
      <c r="S326" s="6">
        <v>37.0</v>
      </c>
      <c r="T326" s="6">
        <v>39.0</v>
      </c>
      <c r="U326" s="6">
        <v>38.0</v>
      </c>
      <c r="V326" s="7">
        <f t="shared" ref="V326:X326" si="683">(S326/P326)*100</f>
        <v>4.933333333</v>
      </c>
      <c r="W326" s="7">
        <f t="shared" si="683"/>
        <v>5.006418485</v>
      </c>
      <c r="X326" s="7">
        <f t="shared" si="683"/>
        <v>4.726368159</v>
      </c>
      <c r="Y326" s="7">
        <f t="shared" si="397"/>
        <v>4.969875909</v>
      </c>
    </row>
    <row r="327" ht="14.25" customHeight="1">
      <c r="A327" s="1" t="s">
        <v>47</v>
      </c>
      <c r="B327" s="1" t="s">
        <v>481</v>
      </c>
      <c r="C327" s="1" t="s">
        <v>483</v>
      </c>
      <c r="D327" s="1" t="s">
        <v>483</v>
      </c>
      <c r="E327" s="5">
        <v>80802.0</v>
      </c>
      <c r="F327" s="6">
        <v>271.0</v>
      </c>
      <c r="G327" s="6">
        <v>253.0</v>
      </c>
      <c r="H327" s="6">
        <v>264.0</v>
      </c>
      <c r="I327" s="6">
        <v>11.0</v>
      </c>
      <c r="J327" s="6">
        <v>17.0</v>
      </c>
      <c r="K327" s="6">
        <v>14.0</v>
      </c>
      <c r="L327" s="7">
        <f t="shared" ref="L327:N327" si="684">(I327/F327)*100</f>
        <v>4.05904059</v>
      </c>
      <c r="M327" s="7">
        <f t="shared" si="684"/>
        <v>6.719367589</v>
      </c>
      <c r="N327" s="7">
        <f t="shared" si="684"/>
        <v>5.303030303</v>
      </c>
      <c r="O327" s="7">
        <f t="shared" si="395"/>
        <v>5.360479494</v>
      </c>
      <c r="P327" s="6">
        <v>254.0</v>
      </c>
      <c r="Q327" s="6">
        <v>268.0</v>
      </c>
      <c r="R327" s="6">
        <v>280.0</v>
      </c>
      <c r="S327" s="6">
        <v>6.0</v>
      </c>
      <c r="T327" s="6">
        <v>15.0</v>
      </c>
      <c r="U327" s="6">
        <v>8.0</v>
      </c>
      <c r="V327" s="7">
        <f t="shared" ref="V327:X327" si="685">(S327/P327)*100</f>
        <v>2.362204724</v>
      </c>
      <c r="W327" s="7">
        <f t="shared" si="685"/>
        <v>5.597014925</v>
      </c>
      <c r="X327" s="7">
        <f t="shared" si="685"/>
        <v>2.857142857</v>
      </c>
      <c r="Y327" s="7">
        <f t="shared" si="397"/>
        <v>3.979609825</v>
      </c>
    </row>
    <row r="328" ht="14.25" customHeight="1">
      <c r="A328" s="1" t="s">
        <v>47</v>
      </c>
      <c r="B328" s="1" t="s">
        <v>481</v>
      </c>
      <c r="C328" s="1" t="s">
        <v>484</v>
      </c>
      <c r="D328" s="1" t="s">
        <v>484</v>
      </c>
      <c r="E328" s="5">
        <v>80803.0</v>
      </c>
      <c r="F328" s="6">
        <v>180.0</v>
      </c>
      <c r="G328" s="6">
        <v>176.0</v>
      </c>
      <c r="H328" s="6">
        <v>163.0</v>
      </c>
      <c r="I328" s="6">
        <v>13.0</v>
      </c>
      <c r="J328" s="6">
        <v>20.0</v>
      </c>
      <c r="K328" s="6">
        <v>16.0</v>
      </c>
      <c r="L328" s="7">
        <f t="shared" ref="L328:N328" si="686">(I328/F328)*100</f>
        <v>7.222222222</v>
      </c>
      <c r="M328" s="7">
        <f t="shared" si="686"/>
        <v>11.36363636</v>
      </c>
      <c r="N328" s="7">
        <f t="shared" si="686"/>
        <v>9.81595092</v>
      </c>
      <c r="O328" s="7">
        <f t="shared" si="395"/>
        <v>9.467269835</v>
      </c>
      <c r="P328" s="6">
        <v>155.0</v>
      </c>
      <c r="Q328" s="6">
        <v>155.0</v>
      </c>
      <c r="R328" s="6">
        <v>176.0</v>
      </c>
      <c r="S328" s="6">
        <v>5.0</v>
      </c>
      <c r="T328" s="6">
        <v>5.0</v>
      </c>
      <c r="U328" s="6">
        <v>6.0</v>
      </c>
      <c r="V328" s="7">
        <f t="shared" ref="V328:X328" si="687">(S328/P328)*100</f>
        <v>3.225806452</v>
      </c>
      <c r="W328" s="7">
        <f t="shared" si="687"/>
        <v>3.225806452</v>
      </c>
      <c r="X328" s="7">
        <f t="shared" si="687"/>
        <v>3.409090909</v>
      </c>
      <c r="Y328" s="7">
        <f t="shared" si="397"/>
        <v>3.225806452</v>
      </c>
    </row>
    <row r="329" ht="14.25" customHeight="1">
      <c r="A329" s="1" t="s">
        <v>47</v>
      </c>
      <c r="B329" s="1" t="s">
        <v>474</v>
      </c>
      <c r="C329" s="1" t="s">
        <v>485</v>
      </c>
      <c r="D329" s="1" t="s">
        <v>486</v>
      </c>
      <c r="E329" s="5">
        <v>80901.0</v>
      </c>
      <c r="F329" s="6">
        <f t="shared" ref="F329:K329" si="688">AVERAGE(F320,F318)</f>
        <v>1041.5</v>
      </c>
      <c r="G329" s="6">
        <f t="shared" si="688"/>
        <v>1073</v>
      </c>
      <c r="H329" s="6">
        <f t="shared" si="688"/>
        <v>1039</v>
      </c>
      <c r="I329" s="6">
        <f t="shared" si="688"/>
        <v>144</v>
      </c>
      <c r="J329" s="6">
        <f t="shared" si="688"/>
        <v>177.5</v>
      </c>
      <c r="K329" s="6">
        <f t="shared" si="688"/>
        <v>143</v>
      </c>
      <c r="L329" s="7">
        <f t="shared" ref="L329:N329" si="689">(I329/F329)*100</f>
        <v>13.82621219</v>
      </c>
      <c r="M329" s="7">
        <f t="shared" si="689"/>
        <v>16.54240447</v>
      </c>
      <c r="N329" s="7">
        <f t="shared" si="689"/>
        <v>13.76323388</v>
      </c>
      <c r="O329" s="7">
        <f t="shared" si="395"/>
        <v>14.71061685</v>
      </c>
      <c r="P329" s="13">
        <f t="shared" ref="P329:U329" si="690">AVERAGE(P318,P320)</f>
        <v>1236.5</v>
      </c>
      <c r="Q329" s="13">
        <f t="shared" si="690"/>
        <v>1240.5</v>
      </c>
      <c r="R329" s="13">
        <f t="shared" si="690"/>
        <v>1274</v>
      </c>
      <c r="S329" s="13">
        <f t="shared" si="690"/>
        <v>61.5</v>
      </c>
      <c r="T329" s="13">
        <f t="shared" si="690"/>
        <v>56.5</v>
      </c>
      <c r="U329" s="13">
        <f t="shared" si="690"/>
        <v>59</v>
      </c>
      <c r="V329" s="7">
        <f t="shared" ref="V329:X329" si="691">(S329/P329)*100</f>
        <v>4.973716134</v>
      </c>
      <c r="W329" s="7">
        <f t="shared" si="691"/>
        <v>4.554615075</v>
      </c>
      <c r="X329" s="7">
        <f t="shared" si="691"/>
        <v>4.631083203</v>
      </c>
      <c r="Y329" s="7">
        <f t="shared" si="397"/>
        <v>4.764165604</v>
      </c>
    </row>
    <row r="330" ht="14.25" customHeight="1">
      <c r="A330" s="1" t="s">
        <v>49</v>
      </c>
      <c r="B330" s="1" t="s">
        <v>487</v>
      </c>
      <c r="C330" s="1" t="s">
        <v>488</v>
      </c>
      <c r="D330" s="1" t="s">
        <v>488</v>
      </c>
      <c r="E330" s="5">
        <v>90101.0</v>
      </c>
      <c r="F330" s="6">
        <v>2309.0</v>
      </c>
      <c r="G330" s="6">
        <v>2399.0</v>
      </c>
      <c r="H330" s="6">
        <v>2647.0</v>
      </c>
      <c r="I330" s="6">
        <v>220.0</v>
      </c>
      <c r="J330" s="6">
        <v>209.0</v>
      </c>
      <c r="K330" s="6">
        <v>217.0</v>
      </c>
      <c r="L330" s="7">
        <f t="shared" ref="L330:N330" si="692">(I330/F330)*100</f>
        <v>9.527934171</v>
      </c>
      <c r="M330" s="7">
        <f t="shared" si="692"/>
        <v>8.711963318</v>
      </c>
      <c r="N330" s="7">
        <f t="shared" si="692"/>
        <v>8.197959955</v>
      </c>
      <c r="O330" s="7">
        <f t="shared" si="395"/>
        <v>8.812619148</v>
      </c>
      <c r="P330" s="6">
        <v>3325.0</v>
      </c>
      <c r="Q330" s="6">
        <v>3502.0</v>
      </c>
      <c r="R330" s="6">
        <v>3623.0</v>
      </c>
      <c r="S330" s="6">
        <v>117.0</v>
      </c>
      <c r="T330" s="6">
        <v>108.0</v>
      </c>
      <c r="U330" s="6">
        <v>147.0</v>
      </c>
      <c r="V330" s="7">
        <f t="shared" ref="V330:X330" si="693">(S330/P330)*100</f>
        <v>3.518796992</v>
      </c>
      <c r="W330" s="7">
        <f t="shared" si="693"/>
        <v>3.083952027</v>
      </c>
      <c r="X330" s="7">
        <f t="shared" si="693"/>
        <v>4.057410985</v>
      </c>
      <c r="Y330" s="7">
        <f t="shared" si="397"/>
        <v>3.30137451</v>
      </c>
    </row>
    <row r="331" ht="14.25" customHeight="1">
      <c r="A331" s="1" t="s">
        <v>49</v>
      </c>
      <c r="B331" s="1" t="s">
        <v>487</v>
      </c>
      <c r="C331" s="1" t="s">
        <v>489</v>
      </c>
      <c r="D331" s="1" t="s">
        <v>489</v>
      </c>
      <c r="E331" s="5">
        <v>90102.0</v>
      </c>
      <c r="F331" s="6">
        <v>188.0</v>
      </c>
      <c r="G331" s="6">
        <v>195.0</v>
      </c>
      <c r="H331" s="6">
        <v>207.0</v>
      </c>
      <c r="I331" s="6">
        <v>18.0</v>
      </c>
      <c r="J331" s="6">
        <v>26.0</v>
      </c>
      <c r="K331" s="6">
        <v>23.0</v>
      </c>
      <c r="L331" s="7">
        <f t="shared" ref="L331:N331" si="694">(I331/F331)*100</f>
        <v>9.574468085</v>
      </c>
      <c r="M331" s="7">
        <f t="shared" si="694"/>
        <v>13.33333333</v>
      </c>
      <c r="N331" s="7">
        <f t="shared" si="694"/>
        <v>11.11111111</v>
      </c>
      <c r="O331" s="7">
        <f t="shared" si="395"/>
        <v>11.33963751</v>
      </c>
      <c r="P331" s="6">
        <v>321.0</v>
      </c>
      <c r="Q331" s="6">
        <v>352.0</v>
      </c>
      <c r="R331" s="6">
        <v>399.0</v>
      </c>
      <c r="S331" s="6">
        <v>10.0</v>
      </c>
      <c r="T331" s="6">
        <v>10.0</v>
      </c>
      <c r="U331" s="6">
        <v>18.0</v>
      </c>
      <c r="V331" s="7">
        <f t="shared" ref="V331:X331" si="695">(S331/P331)*100</f>
        <v>3.115264798</v>
      </c>
      <c r="W331" s="7">
        <f t="shared" si="695"/>
        <v>2.840909091</v>
      </c>
      <c r="X331" s="7">
        <f t="shared" si="695"/>
        <v>4.511278195</v>
      </c>
      <c r="Y331" s="7">
        <f t="shared" si="397"/>
        <v>2.978086944</v>
      </c>
    </row>
    <row r="332" ht="14.25" customHeight="1">
      <c r="A332" s="1" t="s">
        <v>49</v>
      </c>
      <c r="B332" s="1" t="s">
        <v>487</v>
      </c>
      <c r="C332" s="1" t="s">
        <v>490</v>
      </c>
      <c r="D332" s="1" t="s">
        <v>490</v>
      </c>
      <c r="E332" s="5">
        <v>90103.0</v>
      </c>
      <c r="F332" s="6">
        <v>46.0</v>
      </c>
      <c r="G332" s="6">
        <v>43.0</v>
      </c>
      <c r="H332" s="6">
        <v>47.0</v>
      </c>
      <c r="I332" s="6">
        <v>25.0</v>
      </c>
      <c r="J332" s="6">
        <v>20.0</v>
      </c>
      <c r="K332" s="6">
        <v>13.0</v>
      </c>
      <c r="L332" s="7">
        <f t="shared" ref="L332:N332" si="696">(I332/F332)*100</f>
        <v>54.34782609</v>
      </c>
      <c r="M332" s="7">
        <f t="shared" si="696"/>
        <v>46.51162791</v>
      </c>
      <c r="N332" s="7">
        <f t="shared" si="696"/>
        <v>27.65957447</v>
      </c>
      <c r="O332" s="7">
        <f t="shared" si="395"/>
        <v>42.83967615</v>
      </c>
      <c r="P332" s="6">
        <v>75.0</v>
      </c>
      <c r="Q332" s="6">
        <v>93.0</v>
      </c>
      <c r="R332" s="6">
        <v>90.0</v>
      </c>
      <c r="S332" s="6">
        <v>6.0</v>
      </c>
      <c r="T332" s="6">
        <v>4.0</v>
      </c>
      <c r="U332" s="6">
        <v>11.0</v>
      </c>
      <c r="V332" s="7">
        <f t="shared" ref="V332:X332" si="697">(S332/P332)*100</f>
        <v>8</v>
      </c>
      <c r="W332" s="7">
        <f t="shared" si="697"/>
        <v>4.301075269</v>
      </c>
      <c r="X332" s="7">
        <f t="shared" si="697"/>
        <v>12.22222222</v>
      </c>
      <c r="Y332" s="7">
        <f t="shared" si="397"/>
        <v>6.150537634</v>
      </c>
    </row>
    <row r="333" ht="14.25" customHeight="1">
      <c r="A333" s="1" t="s">
        <v>49</v>
      </c>
      <c r="B333" s="1" t="s">
        <v>487</v>
      </c>
      <c r="C333" s="1" t="s">
        <v>491</v>
      </c>
      <c r="D333" s="1" t="s">
        <v>491</v>
      </c>
      <c r="E333" s="5">
        <v>90104.0</v>
      </c>
      <c r="F333" s="6">
        <v>64.0</v>
      </c>
      <c r="G333" s="6">
        <v>87.0</v>
      </c>
      <c r="H333" s="6">
        <v>95.0</v>
      </c>
      <c r="I333" s="6">
        <v>18.0</v>
      </c>
      <c r="J333" s="6">
        <v>32.0</v>
      </c>
      <c r="K333" s="6">
        <v>23.0</v>
      </c>
      <c r="L333" s="7">
        <f t="shared" ref="L333:N333" si="698">(I333/F333)*100</f>
        <v>28.125</v>
      </c>
      <c r="M333" s="7">
        <f t="shared" si="698"/>
        <v>36.7816092</v>
      </c>
      <c r="N333" s="7">
        <f t="shared" si="698"/>
        <v>24.21052632</v>
      </c>
      <c r="O333" s="7">
        <f t="shared" si="395"/>
        <v>29.70571184</v>
      </c>
      <c r="P333" s="6">
        <v>160.0</v>
      </c>
      <c r="Q333" s="6">
        <v>173.0</v>
      </c>
      <c r="R333" s="6">
        <v>147.0</v>
      </c>
      <c r="S333" s="6">
        <v>9.0</v>
      </c>
      <c r="T333" s="6">
        <v>18.0</v>
      </c>
      <c r="U333" s="6">
        <v>16.0</v>
      </c>
      <c r="V333" s="7">
        <f t="shared" ref="V333:X333" si="699">(S333/P333)*100</f>
        <v>5.625</v>
      </c>
      <c r="W333" s="7">
        <f t="shared" si="699"/>
        <v>10.40462428</v>
      </c>
      <c r="X333" s="7">
        <f t="shared" si="699"/>
        <v>10.88435374</v>
      </c>
      <c r="Y333" s="7">
        <f t="shared" si="397"/>
        <v>8.014812139</v>
      </c>
    </row>
    <row r="334" ht="14.25" customHeight="1">
      <c r="A334" s="1" t="s">
        <v>49</v>
      </c>
      <c r="B334" s="1" t="s">
        <v>492</v>
      </c>
      <c r="C334" s="1" t="s">
        <v>493</v>
      </c>
      <c r="D334" s="1" t="s">
        <v>493</v>
      </c>
      <c r="E334" s="5">
        <v>90201.0</v>
      </c>
      <c r="F334" s="6">
        <v>282.0</v>
      </c>
      <c r="G334" s="6">
        <v>282.0</v>
      </c>
      <c r="H334" s="6">
        <v>317.0</v>
      </c>
      <c r="I334" s="6">
        <v>44.0</v>
      </c>
      <c r="J334" s="6">
        <v>73.0</v>
      </c>
      <c r="K334" s="6">
        <v>54.0</v>
      </c>
      <c r="L334" s="7">
        <f t="shared" ref="L334:N334" si="700">(I334/F334)*100</f>
        <v>15.60283688</v>
      </c>
      <c r="M334" s="7">
        <f t="shared" si="700"/>
        <v>25.88652482</v>
      </c>
      <c r="N334" s="7">
        <f t="shared" si="700"/>
        <v>17.03470032</v>
      </c>
      <c r="O334" s="7">
        <f t="shared" si="395"/>
        <v>19.50802067</v>
      </c>
      <c r="P334" s="6">
        <v>419.0</v>
      </c>
      <c r="Q334" s="6">
        <v>407.0</v>
      </c>
      <c r="R334" s="6">
        <v>409.0</v>
      </c>
      <c r="S334" s="6">
        <v>20.0</v>
      </c>
      <c r="T334" s="6">
        <v>27.0</v>
      </c>
      <c r="U334" s="6">
        <v>20.0</v>
      </c>
      <c r="V334" s="7">
        <f t="shared" ref="V334:X334" si="701">(S334/P334)*100</f>
        <v>4.77326969</v>
      </c>
      <c r="W334" s="7">
        <f t="shared" si="701"/>
        <v>6.633906634</v>
      </c>
      <c r="X334" s="7">
        <f t="shared" si="701"/>
        <v>4.88997555</v>
      </c>
      <c r="Y334" s="7">
        <f t="shared" si="397"/>
        <v>5.703588162</v>
      </c>
    </row>
    <row r="335" ht="14.25" customHeight="1">
      <c r="A335" s="1" t="s">
        <v>49</v>
      </c>
      <c r="B335" s="1" t="s">
        <v>492</v>
      </c>
      <c r="C335" s="1" t="s">
        <v>330</v>
      </c>
      <c r="D335" s="1" t="s">
        <v>330</v>
      </c>
      <c r="E335" s="5">
        <v>90202.0</v>
      </c>
      <c r="F335" s="6">
        <v>37.0</v>
      </c>
      <c r="G335" s="6">
        <v>37.0</v>
      </c>
      <c r="H335" s="6">
        <v>41.0</v>
      </c>
      <c r="I335" s="6">
        <v>5.0</v>
      </c>
      <c r="J335" s="6">
        <v>8.0</v>
      </c>
      <c r="K335" s="6">
        <v>2.0</v>
      </c>
      <c r="L335" s="7">
        <f t="shared" ref="L335:N335" si="702">(I335/F335)*100</f>
        <v>13.51351351</v>
      </c>
      <c r="M335" s="7">
        <f t="shared" si="702"/>
        <v>21.62162162</v>
      </c>
      <c r="N335" s="7">
        <f t="shared" si="702"/>
        <v>4.87804878</v>
      </c>
      <c r="O335" s="7">
        <f t="shared" si="395"/>
        <v>13.33772797</v>
      </c>
      <c r="P335" s="6">
        <v>67.0</v>
      </c>
      <c r="Q335" s="6">
        <v>64.0</v>
      </c>
      <c r="R335" s="6">
        <v>69.0</v>
      </c>
      <c r="S335" s="6">
        <v>7.0</v>
      </c>
      <c r="T335" s="6">
        <v>6.0</v>
      </c>
      <c r="U335" s="6">
        <v>7.0</v>
      </c>
      <c r="V335" s="7">
        <f t="shared" ref="V335:X335" si="703">(S335/P335)*100</f>
        <v>10.44776119</v>
      </c>
      <c r="W335" s="7">
        <f t="shared" si="703"/>
        <v>9.375</v>
      </c>
      <c r="X335" s="7">
        <f t="shared" si="703"/>
        <v>10.14492754</v>
      </c>
      <c r="Y335" s="7">
        <f t="shared" si="397"/>
        <v>9.911380597</v>
      </c>
    </row>
    <row r="336" ht="14.25" customHeight="1">
      <c r="A336" s="1" t="s">
        <v>49</v>
      </c>
      <c r="B336" s="1" t="s">
        <v>492</v>
      </c>
      <c r="C336" s="1" t="s">
        <v>494</v>
      </c>
      <c r="D336" s="1" t="s">
        <v>494</v>
      </c>
      <c r="E336" s="5">
        <v>90203.0</v>
      </c>
      <c r="F336" s="6">
        <v>142.0</v>
      </c>
      <c r="G336" s="6">
        <v>170.0</v>
      </c>
      <c r="H336" s="6">
        <v>213.0</v>
      </c>
      <c r="I336" s="6">
        <v>29.0</v>
      </c>
      <c r="J336" s="6">
        <v>20.0</v>
      </c>
      <c r="K336" s="6">
        <v>42.0</v>
      </c>
      <c r="L336" s="7">
        <f t="shared" ref="L336:N336" si="704">(I336/F336)*100</f>
        <v>20.42253521</v>
      </c>
      <c r="M336" s="7">
        <f t="shared" si="704"/>
        <v>11.76470588</v>
      </c>
      <c r="N336" s="7">
        <f t="shared" si="704"/>
        <v>19.71830986</v>
      </c>
      <c r="O336" s="7">
        <f t="shared" si="395"/>
        <v>17.30185032</v>
      </c>
      <c r="P336" s="6">
        <v>407.0</v>
      </c>
      <c r="Q336" s="6">
        <v>407.0</v>
      </c>
      <c r="R336" s="6">
        <v>441.0</v>
      </c>
      <c r="S336" s="6">
        <v>17.0</v>
      </c>
      <c r="T336" s="6">
        <v>20.0</v>
      </c>
      <c r="U336" s="6">
        <v>23.0</v>
      </c>
      <c r="V336" s="7">
        <f t="shared" ref="V336:X336" si="705">(S336/P336)*100</f>
        <v>4.176904177</v>
      </c>
      <c r="W336" s="7">
        <f t="shared" si="705"/>
        <v>4.914004914</v>
      </c>
      <c r="X336" s="7">
        <f t="shared" si="705"/>
        <v>5.215419501</v>
      </c>
      <c r="Y336" s="7">
        <f t="shared" si="397"/>
        <v>4.545454545</v>
      </c>
    </row>
    <row r="337" ht="14.25" customHeight="1">
      <c r="A337" s="1" t="s">
        <v>49</v>
      </c>
      <c r="B337" s="1" t="s">
        <v>495</v>
      </c>
      <c r="C337" s="1" t="s">
        <v>496</v>
      </c>
      <c r="D337" s="1" t="s">
        <v>496</v>
      </c>
      <c r="E337" s="5">
        <v>90301.0</v>
      </c>
      <c r="F337" s="6">
        <v>209.0</v>
      </c>
      <c r="G337" s="6">
        <v>238.0</v>
      </c>
      <c r="H337" s="6">
        <v>265.0</v>
      </c>
      <c r="I337" s="6">
        <v>37.0</v>
      </c>
      <c r="J337" s="6">
        <v>51.0</v>
      </c>
      <c r="K337" s="6">
        <v>32.0</v>
      </c>
      <c r="L337" s="7">
        <f t="shared" ref="L337:N337" si="706">(I337/F337)*100</f>
        <v>17.70334928</v>
      </c>
      <c r="M337" s="7">
        <f t="shared" si="706"/>
        <v>21.42857143</v>
      </c>
      <c r="N337" s="7">
        <f t="shared" si="706"/>
        <v>12.0754717</v>
      </c>
      <c r="O337" s="7">
        <f t="shared" si="395"/>
        <v>17.0691308</v>
      </c>
      <c r="P337" s="6">
        <v>297.0</v>
      </c>
      <c r="Q337" s="6">
        <v>298.0</v>
      </c>
      <c r="R337" s="6">
        <v>304.0</v>
      </c>
      <c r="S337" s="6">
        <v>17.0</v>
      </c>
      <c r="T337" s="6">
        <v>10.0</v>
      </c>
      <c r="U337" s="6">
        <v>17.0</v>
      </c>
      <c r="V337" s="7">
        <f t="shared" ref="V337:X337" si="707">(S337/P337)*100</f>
        <v>5.723905724</v>
      </c>
      <c r="W337" s="7">
        <f t="shared" si="707"/>
        <v>3.355704698</v>
      </c>
      <c r="X337" s="7">
        <f t="shared" si="707"/>
        <v>5.592105263</v>
      </c>
      <c r="Y337" s="7">
        <f t="shared" si="397"/>
        <v>4.539805211</v>
      </c>
    </row>
    <row r="338" ht="14.25" customHeight="1">
      <c r="A338" s="1" t="s">
        <v>49</v>
      </c>
      <c r="B338" s="1" t="s">
        <v>495</v>
      </c>
      <c r="C338" s="1" t="s">
        <v>385</v>
      </c>
      <c r="D338" s="1" t="s">
        <v>385</v>
      </c>
      <c r="E338" s="5">
        <v>90302.0</v>
      </c>
      <c r="F338" s="6">
        <v>180.0</v>
      </c>
      <c r="G338" s="6">
        <v>209.0</v>
      </c>
      <c r="H338" s="6">
        <v>253.0</v>
      </c>
      <c r="I338" s="6">
        <v>47.0</v>
      </c>
      <c r="J338" s="6">
        <v>48.0</v>
      </c>
      <c r="K338" s="6">
        <v>45.0</v>
      </c>
      <c r="L338" s="7">
        <f t="shared" ref="L338:N338" si="708">(I338/F338)*100</f>
        <v>26.11111111</v>
      </c>
      <c r="M338" s="7">
        <f t="shared" si="708"/>
        <v>22.96650718</v>
      </c>
      <c r="N338" s="7">
        <f t="shared" si="708"/>
        <v>17.78656126</v>
      </c>
      <c r="O338" s="7">
        <f t="shared" si="395"/>
        <v>22.28805985</v>
      </c>
      <c r="P338" s="6">
        <v>422.0</v>
      </c>
      <c r="Q338" s="6">
        <v>422.0</v>
      </c>
      <c r="R338" s="6">
        <v>432.0</v>
      </c>
      <c r="S338" s="6">
        <v>33.0</v>
      </c>
      <c r="T338" s="6">
        <v>26.0</v>
      </c>
      <c r="U338" s="6">
        <v>31.0</v>
      </c>
      <c r="V338" s="7">
        <f t="shared" ref="V338:X338" si="709">(S338/P338)*100</f>
        <v>7.819905213</v>
      </c>
      <c r="W338" s="7">
        <f t="shared" si="709"/>
        <v>6.161137441</v>
      </c>
      <c r="X338" s="7">
        <f t="shared" si="709"/>
        <v>7.175925926</v>
      </c>
      <c r="Y338" s="7">
        <f t="shared" si="397"/>
        <v>6.990521327</v>
      </c>
    </row>
    <row r="339" ht="14.25" customHeight="1">
      <c r="A339" s="1" t="s">
        <v>49</v>
      </c>
      <c r="B339" s="1" t="s">
        <v>495</v>
      </c>
      <c r="C339" s="1" t="s">
        <v>497</v>
      </c>
      <c r="D339" s="1" t="s">
        <v>497</v>
      </c>
      <c r="E339" s="5">
        <v>90303.0</v>
      </c>
      <c r="F339" s="6">
        <v>85.0</v>
      </c>
      <c r="G339" s="6">
        <v>125.0</v>
      </c>
      <c r="H339" s="6">
        <v>155.0</v>
      </c>
      <c r="I339" s="6">
        <v>15.0</v>
      </c>
      <c r="J339" s="6">
        <v>22.0</v>
      </c>
      <c r="K339" s="6">
        <v>27.0</v>
      </c>
      <c r="L339" s="7">
        <f t="shared" ref="L339:N339" si="710">(I339/F339)*100</f>
        <v>17.64705882</v>
      </c>
      <c r="M339" s="7">
        <f t="shared" si="710"/>
        <v>17.6</v>
      </c>
      <c r="N339" s="7">
        <f t="shared" si="710"/>
        <v>17.41935484</v>
      </c>
      <c r="O339" s="7">
        <f t="shared" si="395"/>
        <v>17.55547122</v>
      </c>
      <c r="P339" s="6">
        <v>482.0</v>
      </c>
      <c r="Q339" s="6">
        <v>560.0</v>
      </c>
      <c r="R339" s="6">
        <v>637.0</v>
      </c>
      <c r="S339" s="6">
        <v>34.0</v>
      </c>
      <c r="T339" s="6">
        <v>39.0</v>
      </c>
      <c r="U339" s="6">
        <v>50.0</v>
      </c>
      <c r="V339" s="7">
        <f t="shared" ref="V339:X339" si="711">(S339/P339)*100</f>
        <v>7.053941909</v>
      </c>
      <c r="W339" s="7">
        <f t="shared" si="711"/>
        <v>6.964285714</v>
      </c>
      <c r="X339" s="7">
        <f t="shared" si="711"/>
        <v>7.849293564</v>
      </c>
      <c r="Y339" s="7">
        <f t="shared" si="397"/>
        <v>7.009113811</v>
      </c>
    </row>
    <row r="340" ht="14.25" customHeight="1">
      <c r="A340" s="1" t="s">
        <v>49</v>
      </c>
      <c r="B340" s="1" t="s">
        <v>498</v>
      </c>
      <c r="C340" s="1" t="s">
        <v>413</v>
      </c>
      <c r="D340" s="1" t="s">
        <v>413</v>
      </c>
      <c r="E340" s="5">
        <v>90401.0</v>
      </c>
      <c r="F340" s="6">
        <v>51.0</v>
      </c>
      <c r="G340" s="6">
        <v>78.0</v>
      </c>
      <c r="H340" s="6">
        <v>91.0</v>
      </c>
      <c r="I340" s="6">
        <v>9.0</v>
      </c>
      <c r="J340" s="6">
        <v>15.0</v>
      </c>
      <c r="K340" s="6">
        <v>21.0</v>
      </c>
      <c r="L340" s="7">
        <f t="shared" ref="L340:N340" si="712">(I340/F340)*100</f>
        <v>17.64705882</v>
      </c>
      <c r="M340" s="7">
        <f t="shared" si="712"/>
        <v>19.23076923</v>
      </c>
      <c r="N340" s="7">
        <f t="shared" si="712"/>
        <v>23.07692308</v>
      </c>
      <c r="O340" s="7">
        <f t="shared" si="395"/>
        <v>19.98491704</v>
      </c>
      <c r="P340" s="6">
        <v>116.0</v>
      </c>
      <c r="Q340" s="6">
        <v>126.0</v>
      </c>
      <c r="R340" s="6">
        <v>140.0</v>
      </c>
      <c r="S340" s="6">
        <v>6.0</v>
      </c>
      <c r="T340" s="6">
        <v>13.0</v>
      </c>
      <c r="U340" s="6">
        <v>2.0</v>
      </c>
      <c r="V340" s="7">
        <f t="shared" ref="V340:X340" si="713">(S340/P340)*100</f>
        <v>5.172413793</v>
      </c>
      <c r="W340" s="7">
        <f t="shared" si="713"/>
        <v>10.31746032</v>
      </c>
      <c r="X340" s="7">
        <f t="shared" si="713"/>
        <v>1.428571429</v>
      </c>
      <c r="Y340" s="7">
        <f t="shared" si="397"/>
        <v>7.744937055</v>
      </c>
    </row>
    <row r="341" ht="14.25" customHeight="1">
      <c r="A341" s="1" t="s">
        <v>49</v>
      </c>
      <c r="B341" s="1" t="s">
        <v>498</v>
      </c>
      <c r="C341" s="1" t="s">
        <v>128</v>
      </c>
      <c r="D341" s="1" t="s">
        <v>128</v>
      </c>
      <c r="E341" s="5">
        <v>90402.0</v>
      </c>
      <c r="F341" s="6">
        <v>18.0</v>
      </c>
      <c r="G341" s="6">
        <v>29.0</v>
      </c>
      <c r="H341" s="6">
        <v>24.0</v>
      </c>
      <c r="I341" s="6">
        <v>0.0</v>
      </c>
      <c r="J341" s="6">
        <v>11.0</v>
      </c>
      <c r="K341" s="6">
        <v>6.0</v>
      </c>
      <c r="L341" s="7">
        <f t="shared" ref="L341:N341" si="714">(I341/F341)*100</f>
        <v>0</v>
      </c>
      <c r="M341" s="7">
        <f t="shared" si="714"/>
        <v>37.93103448</v>
      </c>
      <c r="N341" s="7">
        <f t="shared" si="714"/>
        <v>25</v>
      </c>
      <c r="O341" s="7">
        <f t="shared" si="395"/>
        <v>20.97701149</v>
      </c>
      <c r="P341" s="6">
        <v>137.0</v>
      </c>
      <c r="Q341" s="6">
        <v>133.0</v>
      </c>
      <c r="R341" s="6">
        <v>138.0</v>
      </c>
      <c r="S341" s="6">
        <v>23.0</v>
      </c>
      <c r="T341" s="6">
        <v>16.0</v>
      </c>
      <c r="U341" s="6">
        <v>27.0</v>
      </c>
      <c r="V341" s="7">
        <f t="shared" ref="V341:X341" si="715">(S341/P341)*100</f>
        <v>16.78832117</v>
      </c>
      <c r="W341" s="7">
        <f t="shared" si="715"/>
        <v>12.03007519</v>
      </c>
      <c r="X341" s="7">
        <f t="shared" si="715"/>
        <v>19.56521739</v>
      </c>
      <c r="Y341" s="7">
        <f t="shared" si="397"/>
        <v>14.40919818</v>
      </c>
    </row>
    <row r="342" ht="14.25" customHeight="1">
      <c r="A342" s="1" t="s">
        <v>49</v>
      </c>
      <c r="B342" s="1" t="s">
        <v>499</v>
      </c>
      <c r="C342" s="1" t="s">
        <v>500</v>
      </c>
      <c r="D342" s="1" t="s">
        <v>500</v>
      </c>
      <c r="E342" s="5">
        <v>90501.0</v>
      </c>
      <c r="F342" s="6">
        <v>23.0</v>
      </c>
      <c r="G342" s="6">
        <v>24.0</v>
      </c>
      <c r="H342" s="6">
        <v>23.0</v>
      </c>
      <c r="I342" s="6">
        <v>1.0</v>
      </c>
      <c r="J342" s="6">
        <v>15.0</v>
      </c>
      <c r="K342" s="6">
        <v>9.0</v>
      </c>
      <c r="L342" s="7">
        <f t="shared" ref="L342:N342" si="716">(I342/F342)*100</f>
        <v>4.347826087</v>
      </c>
      <c r="M342" s="7">
        <f t="shared" si="716"/>
        <v>62.5</v>
      </c>
      <c r="N342" s="7">
        <f t="shared" si="716"/>
        <v>39.13043478</v>
      </c>
      <c r="O342" s="7">
        <f t="shared" si="395"/>
        <v>35.32608696</v>
      </c>
      <c r="P342" s="6">
        <v>117.0</v>
      </c>
      <c r="Q342" s="6">
        <v>112.0</v>
      </c>
      <c r="R342" s="6">
        <v>105.0</v>
      </c>
      <c r="S342" s="6">
        <v>8.0</v>
      </c>
      <c r="T342" s="6">
        <v>16.0</v>
      </c>
      <c r="U342" s="6">
        <v>17.0</v>
      </c>
      <c r="V342" s="7">
        <f t="shared" ref="V342:X342" si="717">(S342/P342)*100</f>
        <v>6.837606838</v>
      </c>
      <c r="W342" s="7">
        <f t="shared" si="717"/>
        <v>14.28571429</v>
      </c>
      <c r="X342" s="7">
        <f t="shared" si="717"/>
        <v>16.19047619</v>
      </c>
      <c r="Y342" s="7">
        <f t="shared" si="397"/>
        <v>10.56166056</v>
      </c>
    </row>
    <row r="343" ht="14.25" customHeight="1">
      <c r="A343" s="1" t="s">
        <v>49</v>
      </c>
      <c r="B343" s="1" t="s">
        <v>499</v>
      </c>
      <c r="C343" s="1" t="s">
        <v>501</v>
      </c>
      <c r="D343" s="1" t="s">
        <v>502</v>
      </c>
      <c r="E343" s="5">
        <v>90502.0</v>
      </c>
      <c r="F343" s="6">
        <v>58.0</v>
      </c>
      <c r="G343" s="6">
        <v>75.0</v>
      </c>
      <c r="H343" s="6">
        <v>70.0</v>
      </c>
      <c r="I343" s="6">
        <v>13.0</v>
      </c>
      <c r="J343" s="6">
        <v>34.0</v>
      </c>
      <c r="K343" s="6">
        <v>16.0</v>
      </c>
      <c r="L343" s="7">
        <f t="shared" ref="L343:N343" si="718">(I343/F343)*100</f>
        <v>22.4137931</v>
      </c>
      <c r="M343" s="7">
        <f t="shared" si="718"/>
        <v>45.33333333</v>
      </c>
      <c r="N343" s="7">
        <f t="shared" si="718"/>
        <v>22.85714286</v>
      </c>
      <c r="O343" s="7">
        <f t="shared" si="395"/>
        <v>30.2014231</v>
      </c>
      <c r="P343" s="6">
        <v>142.0</v>
      </c>
      <c r="Q343" s="6">
        <v>162.0</v>
      </c>
      <c r="R343" s="6">
        <v>175.0</v>
      </c>
      <c r="S343" s="6">
        <v>8.0</v>
      </c>
      <c r="T343" s="6">
        <v>18.0</v>
      </c>
      <c r="U343" s="6">
        <v>16.0</v>
      </c>
      <c r="V343" s="7">
        <f t="shared" ref="V343:X343" si="719">(S343/P343)*100</f>
        <v>5.633802817</v>
      </c>
      <c r="W343" s="7">
        <f t="shared" si="719"/>
        <v>11.11111111</v>
      </c>
      <c r="X343" s="7">
        <f t="shared" si="719"/>
        <v>9.142857143</v>
      </c>
      <c r="Y343" s="7">
        <f t="shared" si="397"/>
        <v>8.372456964</v>
      </c>
    </row>
    <row r="344" ht="14.25" customHeight="1">
      <c r="A344" s="1" t="s">
        <v>49</v>
      </c>
      <c r="B344" s="1" t="s">
        <v>499</v>
      </c>
      <c r="C344" s="1" t="s">
        <v>503</v>
      </c>
      <c r="D344" s="1" t="s">
        <v>503</v>
      </c>
      <c r="E344" s="5">
        <v>90503.0</v>
      </c>
      <c r="F344" s="6">
        <v>20.0</v>
      </c>
      <c r="G344" s="6">
        <v>30.0</v>
      </c>
      <c r="H344" s="6">
        <v>35.0</v>
      </c>
      <c r="I344" s="6">
        <v>1.0</v>
      </c>
      <c r="J344" s="6">
        <v>6.0</v>
      </c>
      <c r="K344" s="6">
        <v>13.0</v>
      </c>
      <c r="L344" s="7">
        <f t="shared" ref="L344:N344" si="720">(I344/F344)*100</f>
        <v>5</v>
      </c>
      <c r="M344" s="7">
        <f t="shared" si="720"/>
        <v>20</v>
      </c>
      <c r="N344" s="7">
        <f t="shared" si="720"/>
        <v>37.14285714</v>
      </c>
      <c r="O344" s="7">
        <f t="shared" si="395"/>
        <v>20.71428571</v>
      </c>
      <c r="P344" s="6">
        <v>149.0</v>
      </c>
      <c r="Q344" s="6">
        <v>107.0</v>
      </c>
      <c r="R344" s="6">
        <v>105.0</v>
      </c>
      <c r="S344" s="6">
        <v>15.0</v>
      </c>
      <c r="T344" s="6">
        <v>16.0</v>
      </c>
      <c r="U344" s="6">
        <v>14.0</v>
      </c>
      <c r="V344" s="7">
        <f t="shared" ref="V344:X344" si="721">(S344/P344)*100</f>
        <v>10.06711409</v>
      </c>
      <c r="W344" s="7">
        <f t="shared" si="721"/>
        <v>14.95327103</v>
      </c>
      <c r="X344" s="7">
        <f t="shared" si="721"/>
        <v>13.33333333</v>
      </c>
      <c r="Y344" s="7">
        <f t="shared" si="397"/>
        <v>12.51019256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504</v>
      </c>
      <c r="B1" s="1" t="s">
        <v>2</v>
      </c>
      <c r="C1" s="14" t="s">
        <v>505</v>
      </c>
      <c r="D1" s="14" t="s">
        <v>506</v>
      </c>
    </row>
    <row r="2" ht="14.25" customHeight="1">
      <c r="A2" s="1">
        <v>10101.0</v>
      </c>
      <c r="B2" s="1" t="s">
        <v>29</v>
      </c>
      <c r="C2" s="15">
        <v>4.404096738292965</v>
      </c>
      <c r="D2" s="15">
        <v>2.1343796343408212</v>
      </c>
    </row>
    <row r="3" ht="14.25" customHeight="1">
      <c r="A3" s="1">
        <v>10102.0</v>
      </c>
      <c r="B3" s="1" t="s">
        <v>30</v>
      </c>
      <c r="C3" s="15">
        <v>4.6423780984439995</v>
      </c>
      <c r="D3" s="15">
        <v>2.513971288571658</v>
      </c>
    </row>
    <row r="4" ht="14.25" customHeight="1">
      <c r="A4" s="1">
        <v>10103.0</v>
      </c>
      <c r="B4" s="1" t="s">
        <v>32</v>
      </c>
      <c r="C4" s="15">
        <v>9.881182494053101</v>
      </c>
      <c r="D4" s="15">
        <v>5.706663196251952</v>
      </c>
    </row>
    <row r="5" ht="14.25" customHeight="1">
      <c r="A5" s="1">
        <v>10201.0</v>
      </c>
      <c r="B5" s="1" t="s">
        <v>34</v>
      </c>
      <c r="C5" s="15">
        <v>15.900526877417633</v>
      </c>
      <c r="D5" s="15">
        <v>3.7692440010320807</v>
      </c>
    </row>
    <row r="6" ht="14.25" customHeight="1">
      <c r="A6" s="1">
        <v>10202.0</v>
      </c>
      <c r="B6" s="1" t="s">
        <v>37</v>
      </c>
      <c r="C6" s="15">
        <v>8.53374536509119</v>
      </c>
      <c r="D6" s="15">
        <v>7.095076467946855</v>
      </c>
    </row>
    <row r="7" ht="14.25" customHeight="1">
      <c r="A7" s="1">
        <v>10301.0</v>
      </c>
      <c r="B7" s="1" t="s">
        <v>40</v>
      </c>
      <c r="C7" s="15">
        <v>7.335472486741192</v>
      </c>
      <c r="D7" s="15">
        <v>3.160193906327761</v>
      </c>
    </row>
    <row r="8" ht="14.25" customHeight="1">
      <c r="A8" s="1">
        <v>10302.0</v>
      </c>
      <c r="B8" s="1" t="s">
        <v>43</v>
      </c>
      <c r="C8" s="15">
        <v>13.072395459772077</v>
      </c>
      <c r="D8" s="15">
        <v>3.216930158094857</v>
      </c>
    </row>
    <row r="9" ht="14.25" customHeight="1">
      <c r="A9" s="1">
        <v>10303.0</v>
      </c>
      <c r="B9" s="1" t="s">
        <v>45</v>
      </c>
      <c r="C9" s="15">
        <v>5.81760551329398</v>
      </c>
      <c r="D9" s="15">
        <v>4.38140267927502</v>
      </c>
    </row>
    <row r="10" ht="14.25" customHeight="1">
      <c r="A10" s="1">
        <v>10304.0</v>
      </c>
      <c r="B10" s="1" t="s">
        <v>48</v>
      </c>
      <c r="C10" s="15">
        <v>8.324611480489843</v>
      </c>
      <c r="D10" s="15">
        <v>4.980948869223205</v>
      </c>
    </row>
    <row r="11" ht="14.25" customHeight="1">
      <c r="A11" s="1">
        <v>10401.0</v>
      </c>
      <c r="B11" s="1" t="s">
        <v>51</v>
      </c>
      <c r="C11" s="15">
        <v>2.6289861683680225</v>
      </c>
      <c r="D11" s="15">
        <v>2.147662646423332</v>
      </c>
    </row>
    <row r="12" ht="14.25" customHeight="1">
      <c r="A12" s="1">
        <v>10402.0</v>
      </c>
      <c r="B12" s="1" t="s">
        <v>50</v>
      </c>
      <c r="C12" s="15">
        <v>4.297047406055799</v>
      </c>
      <c r="D12" s="15">
        <v>3.007132772246365</v>
      </c>
    </row>
    <row r="13" ht="14.25" customHeight="1">
      <c r="A13" s="1">
        <v>10403.0</v>
      </c>
      <c r="B13" s="1" t="s">
        <v>55</v>
      </c>
      <c r="C13" s="15">
        <v>9.572700985046401</v>
      </c>
      <c r="D13" s="15">
        <v>2.8830885271933306</v>
      </c>
    </row>
    <row r="14" ht="14.25" customHeight="1">
      <c r="A14" s="1">
        <v>10404.0</v>
      </c>
      <c r="B14" s="1" t="s">
        <v>57</v>
      </c>
      <c r="C14" s="15">
        <v>6.041975209809337</v>
      </c>
      <c r="D14" s="15">
        <v>1.9261494763003728</v>
      </c>
    </row>
    <row r="15" ht="14.25" customHeight="1">
      <c r="A15" s="1">
        <v>10405.0</v>
      </c>
      <c r="B15" s="1" t="s">
        <v>58</v>
      </c>
      <c r="C15" s="15">
        <v>1.9979591821443317</v>
      </c>
      <c r="D15" s="15">
        <v>1.064887493458922</v>
      </c>
    </row>
    <row r="16" ht="14.25" customHeight="1">
      <c r="A16" s="1">
        <v>10501.0</v>
      </c>
      <c r="B16" s="1" t="s">
        <v>60</v>
      </c>
      <c r="C16" s="15">
        <v>4.353964665176262</v>
      </c>
      <c r="D16" s="15">
        <v>2.133016610458852</v>
      </c>
    </row>
    <row r="17" ht="14.25" customHeight="1">
      <c r="A17" s="1">
        <v>10502.0</v>
      </c>
      <c r="B17" s="1" t="s">
        <v>61</v>
      </c>
      <c r="C17" s="15">
        <v>13.774806163872958</v>
      </c>
      <c r="D17" s="15">
        <v>3.3601849779965685</v>
      </c>
    </row>
    <row r="18" ht="14.25" customHeight="1">
      <c r="A18" s="1">
        <v>10601.0</v>
      </c>
      <c r="B18" s="1" t="s">
        <v>64</v>
      </c>
      <c r="C18" s="15">
        <v>7.705276453635217</v>
      </c>
      <c r="D18" s="15">
        <v>4.514260426161508</v>
      </c>
    </row>
    <row r="19" ht="14.25" customHeight="1">
      <c r="A19" s="1">
        <v>10602.0</v>
      </c>
      <c r="B19" s="1" t="s">
        <v>63</v>
      </c>
      <c r="C19" s="15">
        <v>7.008038864867551</v>
      </c>
      <c r="D19" s="15">
        <v>3.3007021210287997</v>
      </c>
    </row>
    <row r="20" ht="14.25" customHeight="1">
      <c r="A20" s="1">
        <v>10701.0</v>
      </c>
      <c r="B20" s="1" t="s">
        <v>66</v>
      </c>
      <c r="C20" s="15">
        <v>5.797113986377148</v>
      </c>
      <c r="D20" s="15">
        <v>3.4990217657128886</v>
      </c>
    </row>
    <row r="21" ht="14.25" customHeight="1">
      <c r="A21" s="1">
        <v>10702.0</v>
      </c>
      <c r="B21" s="1" t="s">
        <v>67</v>
      </c>
      <c r="C21" s="15">
        <v>12.376433769923205</v>
      </c>
      <c r="D21" s="15">
        <v>5.586685095600092</v>
      </c>
    </row>
    <row r="22" ht="14.25" customHeight="1">
      <c r="A22" s="1">
        <v>10703.0</v>
      </c>
      <c r="B22" s="1" t="s">
        <v>68</v>
      </c>
      <c r="C22" s="15">
        <v>16.23805402070795</v>
      </c>
      <c r="D22" s="15">
        <v>6.029357116313639</v>
      </c>
    </row>
    <row r="23" ht="14.25" customHeight="1">
      <c r="A23" s="1">
        <v>10704.0</v>
      </c>
      <c r="B23" s="1" t="s">
        <v>69</v>
      </c>
      <c r="C23" s="15">
        <v>14.508928571428573</v>
      </c>
      <c r="D23" s="15">
        <v>6.466619279046958</v>
      </c>
    </row>
    <row r="24" ht="14.25" customHeight="1">
      <c r="A24" s="1">
        <v>10801.0</v>
      </c>
      <c r="B24" s="1" t="s">
        <v>71</v>
      </c>
      <c r="C24" s="15">
        <v>4.438156296760597</v>
      </c>
      <c r="D24" s="15">
        <v>1.1076733051650658</v>
      </c>
    </row>
    <row r="25" ht="14.25" customHeight="1">
      <c r="A25" s="1">
        <v>10901.0</v>
      </c>
      <c r="B25" s="1" t="s">
        <v>73</v>
      </c>
      <c r="C25" s="15">
        <v>3.6098555753397554</v>
      </c>
      <c r="D25" s="15">
        <v>1.5151515151515151</v>
      </c>
    </row>
    <row r="26" ht="14.25" customHeight="1">
      <c r="A26" s="1">
        <v>10902.0</v>
      </c>
      <c r="B26" s="1" t="s">
        <v>74</v>
      </c>
      <c r="C26" s="15">
        <v>12.667223005979684</v>
      </c>
      <c r="D26" s="15">
        <v>4.716174626695543</v>
      </c>
    </row>
    <row r="27" ht="14.25" customHeight="1">
      <c r="A27" s="1">
        <v>10903.0</v>
      </c>
      <c r="B27" s="1" t="s">
        <v>75</v>
      </c>
      <c r="C27" s="15">
        <v>5.442271053850628</v>
      </c>
      <c r="D27" s="15">
        <v>1.2987012987012987</v>
      </c>
    </row>
    <row r="28" ht="14.25" customHeight="1">
      <c r="A28" s="1">
        <v>11001.0</v>
      </c>
      <c r="B28" s="1" t="s">
        <v>77</v>
      </c>
      <c r="C28" s="15">
        <v>3.297130598015554</v>
      </c>
      <c r="D28" s="15">
        <v>3.9611204013377925</v>
      </c>
    </row>
    <row r="29" ht="14.25" customHeight="1">
      <c r="A29" s="1">
        <v>11002.0</v>
      </c>
      <c r="B29" s="1" t="s">
        <v>78</v>
      </c>
      <c r="C29" s="15">
        <v>9.141188992524386</v>
      </c>
      <c r="D29" s="15">
        <v>1.5625</v>
      </c>
    </row>
    <row r="30" ht="14.25" customHeight="1">
      <c r="A30" s="1">
        <v>11003.0</v>
      </c>
      <c r="B30" s="1" t="s">
        <v>80</v>
      </c>
      <c r="C30" s="15">
        <v>8.500566444643502</v>
      </c>
      <c r="D30" s="15">
        <v>2.234660033167496</v>
      </c>
    </row>
    <row r="31" ht="14.25" customHeight="1">
      <c r="A31" s="1">
        <v>20101.0</v>
      </c>
      <c r="B31" s="1" t="s">
        <v>83</v>
      </c>
      <c r="C31" s="15">
        <v>3.0998759939732863</v>
      </c>
      <c r="D31" s="15">
        <v>1.1911483087842196</v>
      </c>
    </row>
    <row r="32" ht="14.25" customHeight="1">
      <c r="A32" s="1">
        <v>20102.0</v>
      </c>
      <c r="B32" s="1" t="s">
        <v>84</v>
      </c>
      <c r="C32" s="15">
        <v>6.581187179113702</v>
      </c>
      <c r="D32" s="15">
        <v>3.2781292374210422</v>
      </c>
    </row>
    <row r="33" ht="14.25" customHeight="1">
      <c r="A33" s="1">
        <v>20103.0</v>
      </c>
      <c r="B33" s="1" t="s">
        <v>85</v>
      </c>
      <c r="C33" s="15">
        <v>4.47024144725044</v>
      </c>
      <c r="D33" s="15">
        <v>2.894235800244172</v>
      </c>
    </row>
    <row r="34" ht="14.25" customHeight="1">
      <c r="A34" s="1">
        <v>20104.0</v>
      </c>
      <c r="B34" s="1" t="s">
        <v>86</v>
      </c>
      <c r="C34" s="15">
        <v>5.250441110512962</v>
      </c>
      <c r="D34" s="15">
        <v>1.7500981134191123</v>
      </c>
    </row>
    <row r="35" ht="14.25" customHeight="1">
      <c r="A35" s="1">
        <v>20105.0</v>
      </c>
      <c r="B35" s="1" t="s">
        <v>87</v>
      </c>
      <c r="C35" s="15">
        <v>3.2547840463891995</v>
      </c>
      <c r="D35" s="15">
        <v>1.283382943833034</v>
      </c>
    </row>
    <row r="36" ht="14.25" customHeight="1">
      <c r="A36" s="1">
        <v>20201.0</v>
      </c>
      <c r="B36" s="1" t="s">
        <v>89</v>
      </c>
      <c r="C36" s="15">
        <v>5.354678082916085</v>
      </c>
      <c r="D36" s="15">
        <v>1.8284755256948872</v>
      </c>
    </row>
    <row r="37" ht="14.25" customHeight="1">
      <c r="A37" s="1">
        <v>20202.0</v>
      </c>
      <c r="B37" s="1" t="s">
        <v>90</v>
      </c>
      <c r="C37" s="15">
        <v>8.407580564292518</v>
      </c>
      <c r="D37" s="15">
        <v>3.4813303539622398</v>
      </c>
    </row>
    <row r="38" ht="14.25" customHeight="1">
      <c r="A38" s="1">
        <v>20203.0</v>
      </c>
      <c r="B38" s="1" t="s">
        <v>91</v>
      </c>
      <c r="C38" s="15">
        <v>8.235294117647058</v>
      </c>
      <c r="D38" s="15">
        <v>1.3191557403261913</v>
      </c>
    </row>
    <row r="39" ht="14.25" customHeight="1">
      <c r="A39" s="1">
        <v>20204.0</v>
      </c>
      <c r="B39" s="1" t="s">
        <v>92</v>
      </c>
      <c r="C39" s="15">
        <v>8.524590163934425</v>
      </c>
      <c r="D39" s="15">
        <v>1.4507471347744088</v>
      </c>
    </row>
    <row r="40" ht="14.25" customHeight="1">
      <c r="A40" s="1">
        <v>20205.0</v>
      </c>
      <c r="B40" s="1" t="s">
        <v>93</v>
      </c>
      <c r="C40" s="15">
        <v>4.848484848484849</v>
      </c>
      <c r="D40" s="15">
        <v>1.5151515151515151</v>
      </c>
    </row>
    <row r="41" ht="14.25" customHeight="1">
      <c r="A41" s="1">
        <v>20206.0</v>
      </c>
      <c r="B41" s="1" t="s">
        <v>94</v>
      </c>
      <c r="C41" s="15">
        <v>1.2987012987012987</v>
      </c>
      <c r="D41" s="15">
        <v>1.3888888888888888</v>
      </c>
    </row>
    <row r="42" ht="14.25" customHeight="1">
      <c r="A42" s="1">
        <v>20301.0</v>
      </c>
      <c r="B42" s="1" t="s">
        <v>96</v>
      </c>
      <c r="C42" s="15">
        <v>10.52705169695461</v>
      </c>
      <c r="D42" s="15">
        <v>3.9970821086056336</v>
      </c>
    </row>
    <row r="43" ht="14.25" customHeight="1">
      <c r="A43" s="1">
        <v>20302.0</v>
      </c>
      <c r="B43" s="1" t="s">
        <v>97</v>
      </c>
      <c r="C43" s="15">
        <v>8.053034610932704</v>
      </c>
      <c r="D43" s="15">
        <v>3.713408777717459</v>
      </c>
    </row>
    <row r="44" ht="14.25" customHeight="1">
      <c r="A44" s="1">
        <v>20303.0</v>
      </c>
      <c r="B44" s="1" t="s">
        <v>98</v>
      </c>
      <c r="C44" s="15">
        <v>9.578544061302681</v>
      </c>
      <c r="D44" s="15">
        <v>3.4571175950486297</v>
      </c>
    </row>
    <row r="45" ht="14.25" customHeight="1">
      <c r="A45" s="1">
        <v>20304.0</v>
      </c>
      <c r="B45" s="1" t="s">
        <v>99</v>
      </c>
      <c r="C45" s="15">
        <v>10.399053107453632</v>
      </c>
      <c r="D45" s="15">
        <v>2.079591643822668</v>
      </c>
    </row>
    <row r="46" ht="14.25" customHeight="1">
      <c r="A46" s="1">
        <v>20305.0</v>
      </c>
      <c r="B46" s="1" t="s">
        <v>100</v>
      </c>
      <c r="C46" s="15">
        <v>7.870768789443488</v>
      </c>
      <c r="D46" s="15">
        <v>2.818627450980392</v>
      </c>
    </row>
    <row r="47" ht="14.25" customHeight="1">
      <c r="A47" s="1">
        <v>20306.0</v>
      </c>
      <c r="B47" s="1" t="s">
        <v>101</v>
      </c>
      <c r="C47" s="15">
        <v>4.458764184324118</v>
      </c>
      <c r="D47" s="15">
        <v>3.4653465346534658</v>
      </c>
    </row>
    <row r="48" ht="14.25" customHeight="1">
      <c r="A48" s="1">
        <v>20307.0</v>
      </c>
      <c r="B48" s="1" t="s">
        <v>103</v>
      </c>
      <c r="C48" s="15">
        <v>23.769063180827885</v>
      </c>
      <c r="D48" s="15">
        <v>6.089743589743589</v>
      </c>
    </row>
    <row r="49" ht="14.25" customHeight="1">
      <c r="A49" s="1">
        <v>20308.0</v>
      </c>
      <c r="B49" s="1" t="s">
        <v>104</v>
      </c>
      <c r="C49" s="15">
        <v>13.625822957129948</v>
      </c>
      <c r="D49" s="15">
        <v>4.5571945130000575</v>
      </c>
    </row>
    <row r="50" ht="14.25" customHeight="1">
      <c r="A50" s="1">
        <v>20401.0</v>
      </c>
      <c r="B50" s="1" t="s">
        <v>106</v>
      </c>
      <c r="C50" s="15">
        <v>8.935789826732316</v>
      </c>
      <c r="D50" s="15">
        <v>3.5594029754099688</v>
      </c>
    </row>
    <row r="51" ht="14.25" customHeight="1">
      <c r="A51" s="1">
        <v>20402.0</v>
      </c>
      <c r="B51" s="1" t="s">
        <v>107</v>
      </c>
      <c r="C51" s="15">
        <v>9.04564255167039</v>
      </c>
      <c r="D51" s="15">
        <v>4.692995695868509</v>
      </c>
    </row>
    <row r="52" ht="14.25" customHeight="1">
      <c r="A52" s="1">
        <v>20403.0</v>
      </c>
      <c r="B52" s="1" t="s">
        <v>108</v>
      </c>
      <c r="C52" s="15">
        <v>9.458441244052624</v>
      </c>
      <c r="D52" s="15">
        <v>2.832244008714597</v>
      </c>
    </row>
    <row r="53" ht="14.25" customHeight="1">
      <c r="A53" s="1">
        <v>20404.0</v>
      </c>
      <c r="B53" s="1" t="s">
        <v>110</v>
      </c>
      <c r="C53" s="15">
        <v>12.5</v>
      </c>
      <c r="D53" s="15">
        <v>8.147295742232451</v>
      </c>
    </row>
    <row r="54" ht="14.25" customHeight="1">
      <c r="A54" s="1">
        <v>20405.0</v>
      </c>
      <c r="B54" s="1" t="s">
        <v>111</v>
      </c>
      <c r="C54" s="15">
        <v>7.26643598615917</v>
      </c>
      <c r="D54" s="15">
        <v>2.0356442119032048</v>
      </c>
    </row>
    <row r="55" ht="14.25" customHeight="1">
      <c r="A55" s="1">
        <v>20501.0</v>
      </c>
      <c r="B55" s="1" t="s">
        <v>113</v>
      </c>
      <c r="C55" s="15">
        <v>9.104260251379074</v>
      </c>
      <c r="D55" s="15">
        <v>2.7777777777777777</v>
      </c>
    </row>
    <row r="56" ht="14.25" customHeight="1">
      <c r="A56" s="1">
        <v>20502.0</v>
      </c>
      <c r="B56" s="1" t="s">
        <v>114</v>
      </c>
      <c r="C56" s="15">
        <v>12.042809809099012</v>
      </c>
      <c r="D56" s="15">
        <v>3.1796034946236555</v>
      </c>
    </row>
    <row r="57" ht="14.25" customHeight="1">
      <c r="A57" s="1">
        <v>20503.0</v>
      </c>
      <c r="B57" s="1" t="s">
        <v>115</v>
      </c>
      <c r="C57" s="15">
        <v>6.150537634408603</v>
      </c>
      <c r="D57" s="15">
        <v>3.9133738601823707</v>
      </c>
    </row>
    <row r="58" ht="14.25" customHeight="1">
      <c r="A58" s="1">
        <v>20601.0</v>
      </c>
      <c r="B58" s="1" t="s">
        <v>117</v>
      </c>
      <c r="C58" s="15">
        <v>8.115958897567834</v>
      </c>
      <c r="D58" s="15">
        <v>3.4733658441837716</v>
      </c>
    </row>
    <row r="59" ht="14.25" customHeight="1">
      <c r="A59" s="1">
        <v>20602.0</v>
      </c>
      <c r="B59" s="1" t="s">
        <v>118</v>
      </c>
      <c r="C59" s="15">
        <v>9.454583675202509</v>
      </c>
      <c r="D59" s="15">
        <v>4.984817813765182</v>
      </c>
    </row>
    <row r="60" ht="14.25" customHeight="1">
      <c r="A60" s="1">
        <v>20603.0</v>
      </c>
      <c r="B60" s="1" t="s">
        <v>119</v>
      </c>
      <c r="C60" s="15">
        <v>9.936904887554864</v>
      </c>
      <c r="D60" s="15">
        <v>1.9786155202821867</v>
      </c>
    </row>
    <row r="61" ht="14.25" customHeight="1">
      <c r="A61" s="1">
        <v>20604.0</v>
      </c>
      <c r="B61" s="1" t="s">
        <v>120</v>
      </c>
      <c r="C61" s="15">
        <v>5.554744447504533</v>
      </c>
      <c r="D61" s="15">
        <v>4.80188679245283</v>
      </c>
    </row>
    <row r="62" ht="14.25" customHeight="1">
      <c r="A62" s="1">
        <v>20605.0</v>
      </c>
      <c r="B62" s="1" t="s">
        <v>121</v>
      </c>
      <c r="C62" s="15">
        <v>4.0941584967320255</v>
      </c>
      <c r="D62" s="15">
        <v>9.981916817359856</v>
      </c>
    </row>
    <row r="63" ht="14.25" customHeight="1">
      <c r="A63" s="1">
        <v>20606.0</v>
      </c>
      <c r="B63" s="1" t="s">
        <v>122</v>
      </c>
      <c r="C63" s="15">
        <v>5.284298089251649</v>
      </c>
      <c r="D63" s="15">
        <v>1.703042328042328</v>
      </c>
    </row>
    <row r="64" ht="14.25" customHeight="1">
      <c r="A64" s="1">
        <v>20607.0</v>
      </c>
      <c r="B64" s="1" t="s">
        <v>123</v>
      </c>
      <c r="C64" s="15">
        <v>8.520410207702092</v>
      </c>
      <c r="D64" s="15">
        <v>5.360824742268042</v>
      </c>
    </row>
    <row r="65" ht="14.25" customHeight="1">
      <c r="A65" s="1">
        <v>20608.0</v>
      </c>
      <c r="B65" s="1" t="s">
        <v>124</v>
      </c>
      <c r="C65" s="15">
        <v>10.19189953915862</v>
      </c>
      <c r="D65" s="15">
        <v>3.78386795390844</v>
      </c>
    </row>
    <row r="66" ht="14.25" customHeight="1">
      <c r="A66" s="1">
        <v>20701.0</v>
      </c>
      <c r="B66" s="1" t="s">
        <v>126</v>
      </c>
      <c r="C66" s="15">
        <v>9.875157243215398</v>
      </c>
      <c r="D66" s="15">
        <v>4.404204185933317</v>
      </c>
    </row>
    <row r="67" ht="14.25" customHeight="1">
      <c r="A67" s="1">
        <v>20702.0</v>
      </c>
      <c r="B67" s="1" t="s">
        <v>127</v>
      </c>
      <c r="C67" s="15">
        <v>8.330475646154822</v>
      </c>
      <c r="D67" s="15">
        <v>1.1266342705079255</v>
      </c>
    </row>
    <row r="68" ht="14.25" customHeight="1">
      <c r="A68" s="1">
        <v>20801.0</v>
      </c>
      <c r="B68" s="1" t="s">
        <v>129</v>
      </c>
      <c r="C68" s="15">
        <v>3.7416665836173877</v>
      </c>
      <c r="D68" s="15">
        <v>1.37550528765669</v>
      </c>
    </row>
    <row r="69" ht="14.25" customHeight="1">
      <c r="A69" s="1">
        <v>20802.0</v>
      </c>
      <c r="B69" s="1" t="s">
        <v>130</v>
      </c>
      <c r="C69" s="15">
        <v>8.087387623033402</v>
      </c>
      <c r="D69" s="15">
        <v>1.2179408516382377</v>
      </c>
    </row>
    <row r="70" ht="14.25" customHeight="1">
      <c r="A70" s="1">
        <v>20803.0</v>
      </c>
      <c r="B70" s="1" t="s">
        <v>132</v>
      </c>
      <c r="C70" s="15">
        <v>5.382432701213273</v>
      </c>
      <c r="D70" s="15">
        <v>2.7090398100022983</v>
      </c>
    </row>
    <row r="71" ht="14.25" customHeight="1">
      <c r="A71" s="1">
        <v>20804.0</v>
      </c>
      <c r="B71" s="1" t="s">
        <v>133</v>
      </c>
      <c r="C71" s="15">
        <v>3.4069052409663763</v>
      </c>
      <c r="D71" s="15">
        <v>1.4566167815705398</v>
      </c>
    </row>
    <row r="72" ht="14.25" customHeight="1">
      <c r="A72" s="1">
        <v>20805.0</v>
      </c>
      <c r="B72" s="1" t="s">
        <v>134</v>
      </c>
      <c r="C72" s="15">
        <v>7.551345011425428</v>
      </c>
      <c r="D72" s="15">
        <v>2.1143537820131026</v>
      </c>
    </row>
    <row r="73" ht="14.25" customHeight="1">
      <c r="A73" s="1">
        <v>20806.0</v>
      </c>
      <c r="B73" s="1" t="s">
        <v>135</v>
      </c>
      <c r="C73" s="15">
        <v>7.337543193292529</v>
      </c>
      <c r="D73" s="15">
        <v>3.5551506495415928</v>
      </c>
    </row>
    <row r="74" ht="14.25" customHeight="1">
      <c r="A74" s="1">
        <v>20807.0</v>
      </c>
      <c r="B74" s="1" t="s">
        <v>136</v>
      </c>
      <c r="C74" s="15">
        <v>8.488864793981705</v>
      </c>
      <c r="D74" s="15">
        <v>3.002104796720948</v>
      </c>
    </row>
    <row r="75" ht="14.25" customHeight="1">
      <c r="A75" s="1">
        <v>20901.0</v>
      </c>
      <c r="B75" s="1" t="s">
        <v>138</v>
      </c>
      <c r="C75" s="15">
        <v>6.792597358825873</v>
      </c>
      <c r="D75" s="15">
        <v>3.164770130151322</v>
      </c>
    </row>
    <row r="76" ht="14.25" customHeight="1">
      <c r="A76" s="1">
        <v>20902.0</v>
      </c>
      <c r="B76" s="1" t="s">
        <v>139</v>
      </c>
      <c r="C76" s="15">
        <v>6.217196052333713</v>
      </c>
      <c r="D76" s="15">
        <v>3.332362135121655</v>
      </c>
    </row>
    <row r="77" ht="14.25" customHeight="1">
      <c r="A77" s="1">
        <v>20903.0</v>
      </c>
      <c r="B77" s="1" t="s">
        <v>140</v>
      </c>
      <c r="C77" s="15">
        <v>9.196242837740593</v>
      </c>
      <c r="D77" s="15">
        <v>3.784558783747227</v>
      </c>
    </row>
    <row r="78" ht="14.25" customHeight="1">
      <c r="A78" s="1">
        <v>20904.0</v>
      </c>
      <c r="B78" s="1" t="s">
        <v>141</v>
      </c>
      <c r="C78" s="15">
        <v>5.698421975452952</v>
      </c>
      <c r="D78" s="15">
        <v>0.847457627118644</v>
      </c>
    </row>
    <row r="79" ht="14.25" customHeight="1">
      <c r="A79" s="1">
        <v>20905.0</v>
      </c>
      <c r="B79" s="1" t="s">
        <v>142</v>
      </c>
      <c r="C79" s="15">
        <v>8.302797243704992</v>
      </c>
      <c r="D79" s="15">
        <v>4.680759275237273</v>
      </c>
    </row>
    <row r="80" ht="14.25" customHeight="1">
      <c r="A80" s="1">
        <v>21001.0</v>
      </c>
      <c r="B80" s="1" t="s">
        <v>143</v>
      </c>
      <c r="C80" s="15">
        <v>9.59012463807498</v>
      </c>
      <c r="D80" s="15">
        <v>5.003741219302459</v>
      </c>
    </row>
    <row r="81" ht="14.25" customHeight="1">
      <c r="A81" s="1">
        <v>21002.0</v>
      </c>
      <c r="B81" s="1" t="s">
        <v>144</v>
      </c>
      <c r="C81" s="15">
        <v>4.675328918718534</v>
      </c>
      <c r="D81" s="15">
        <v>1.3654637031560464</v>
      </c>
    </row>
    <row r="82" ht="14.25" customHeight="1">
      <c r="A82" s="1">
        <v>21003.0</v>
      </c>
      <c r="B82" s="1" t="s">
        <v>145</v>
      </c>
      <c r="C82" s="15">
        <v>6.678830849518602</v>
      </c>
      <c r="D82" s="15">
        <v>4.2251461988304095</v>
      </c>
    </row>
    <row r="83" ht="14.25" customHeight="1">
      <c r="A83" s="1">
        <v>21004.0</v>
      </c>
      <c r="B83" s="1" t="s">
        <v>146</v>
      </c>
      <c r="C83" s="15">
        <v>9.130231071597526</v>
      </c>
      <c r="D83" s="15">
        <v>3.2237940764343436</v>
      </c>
    </row>
    <row r="84" ht="14.25" customHeight="1">
      <c r="A84" s="1">
        <v>21005.0</v>
      </c>
      <c r="B84" s="1" t="s">
        <v>147</v>
      </c>
      <c r="C84" s="15">
        <v>12.096113624203511</v>
      </c>
      <c r="D84" s="15">
        <v>7.409883558972645</v>
      </c>
    </row>
    <row r="85" ht="14.25" customHeight="1">
      <c r="A85" s="1">
        <v>21006.0</v>
      </c>
      <c r="B85" s="1" t="s">
        <v>148</v>
      </c>
      <c r="C85" s="15">
        <v>8.603097765687366</v>
      </c>
      <c r="D85" s="15">
        <v>2.529761904761904</v>
      </c>
    </row>
    <row r="86" ht="14.25" customHeight="1">
      <c r="A86" s="1">
        <v>21101.0</v>
      </c>
      <c r="B86" s="1" t="s">
        <v>150</v>
      </c>
      <c r="C86" s="15">
        <v>7.162559041824335</v>
      </c>
      <c r="D86" s="15">
        <v>2.3281840644195935</v>
      </c>
    </row>
    <row r="87" ht="14.25" customHeight="1">
      <c r="A87" s="1">
        <v>21102.0</v>
      </c>
      <c r="B87" s="1" t="s">
        <v>152</v>
      </c>
      <c r="C87" s="15">
        <v>8.768827706521204</v>
      </c>
      <c r="D87" s="15">
        <v>3.3291103603603607</v>
      </c>
    </row>
    <row r="88" ht="14.25" customHeight="1">
      <c r="A88" s="1">
        <v>21103.0</v>
      </c>
      <c r="B88" s="1" t="s">
        <v>154</v>
      </c>
      <c r="C88" s="15">
        <v>4.40804159047702</v>
      </c>
      <c r="D88" s="15">
        <v>2.214082214082214</v>
      </c>
    </row>
    <row r="89" ht="14.25" customHeight="1">
      <c r="A89" s="1">
        <v>21104.0</v>
      </c>
      <c r="B89" s="1" t="s">
        <v>155</v>
      </c>
      <c r="C89" s="15">
        <v>7.868781989004791</v>
      </c>
      <c r="D89" s="15">
        <v>3.4007013658176444</v>
      </c>
    </row>
    <row r="90" ht="14.25" customHeight="1">
      <c r="A90" s="1">
        <v>21105.0</v>
      </c>
      <c r="B90" s="1" t="s">
        <v>156</v>
      </c>
      <c r="C90" s="15">
        <v>9.361013517696366</v>
      </c>
      <c r="D90" s="15">
        <v>2.9241366812209995</v>
      </c>
    </row>
    <row r="91" ht="14.25" customHeight="1">
      <c r="A91" s="1">
        <v>21201.0</v>
      </c>
      <c r="B91" s="1" t="s">
        <v>158</v>
      </c>
      <c r="C91" s="15">
        <v>7.303287666773561</v>
      </c>
      <c r="D91" s="15">
        <v>2.2595345160808353</v>
      </c>
    </row>
    <row r="92" ht="14.25" customHeight="1">
      <c r="A92" s="1">
        <v>21202.0</v>
      </c>
      <c r="B92" s="1" t="s">
        <v>159</v>
      </c>
      <c r="C92" s="15">
        <v>6.0710125764832705</v>
      </c>
      <c r="D92" s="15">
        <v>3.312840151688408</v>
      </c>
    </row>
    <row r="93" ht="14.25" customHeight="1">
      <c r="A93" s="1">
        <v>21203.0</v>
      </c>
      <c r="B93" s="1" t="s">
        <v>160</v>
      </c>
      <c r="C93" s="15">
        <v>7.379089127957339</v>
      </c>
      <c r="D93" s="15">
        <v>2.315112005454757</v>
      </c>
    </row>
    <row r="94" ht="14.25" customHeight="1">
      <c r="A94" s="1">
        <v>21204.0</v>
      </c>
      <c r="B94" s="1" t="s">
        <v>161</v>
      </c>
      <c r="C94" s="15">
        <v>7.216810814704627</v>
      </c>
      <c r="D94" s="15">
        <v>1.7930427985147548</v>
      </c>
    </row>
    <row r="95" ht="14.25" customHeight="1">
      <c r="A95" s="1">
        <v>21301.0</v>
      </c>
      <c r="B95" s="1" t="s">
        <v>163</v>
      </c>
      <c r="C95" s="15">
        <v>6.024575808579623</v>
      </c>
      <c r="D95" s="15">
        <v>1.9639425704102431</v>
      </c>
    </row>
    <row r="96" ht="14.25" customHeight="1">
      <c r="A96" s="1">
        <v>21302.0</v>
      </c>
      <c r="B96" s="1" t="s">
        <v>165</v>
      </c>
      <c r="C96" s="15">
        <v>14.761247581337537</v>
      </c>
      <c r="D96" s="15">
        <v>3.4603867431355635</v>
      </c>
    </row>
    <row r="97" ht="14.25" customHeight="1">
      <c r="A97" s="1">
        <v>21303.0</v>
      </c>
      <c r="B97" s="1" t="s">
        <v>166</v>
      </c>
      <c r="C97" s="15">
        <v>7.8696870400533</v>
      </c>
      <c r="D97" s="15">
        <v>2.9686324115735037</v>
      </c>
    </row>
    <row r="98" ht="14.25" customHeight="1">
      <c r="A98" s="1">
        <v>21304.0</v>
      </c>
      <c r="B98" s="1" t="s">
        <v>167</v>
      </c>
      <c r="C98" s="15">
        <v>9.178568998284218</v>
      </c>
      <c r="D98" s="15">
        <v>3.624659028914348</v>
      </c>
    </row>
    <row r="99" ht="14.25" customHeight="1">
      <c r="A99" s="1">
        <v>21305.0</v>
      </c>
      <c r="B99" s="1" t="s">
        <v>168</v>
      </c>
      <c r="C99" s="15">
        <v>6.264782954626203</v>
      </c>
      <c r="D99" s="15">
        <v>1.491512384285345</v>
      </c>
    </row>
    <row r="100" ht="14.25" customHeight="1">
      <c r="A100" s="1">
        <v>21306.0</v>
      </c>
      <c r="B100" s="1" t="s">
        <v>169</v>
      </c>
      <c r="C100" s="15">
        <v>6.34692969447585</v>
      </c>
      <c r="D100" s="15">
        <v>3.1574040503444345</v>
      </c>
    </row>
    <row r="101" ht="14.25" customHeight="1">
      <c r="A101" s="1">
        <v>21307.0</v>
      </c>
      <c r="B101" s="1" t="s">
        <v>170</v>
      </c>
      <c r="C101" s="15">
        <v>3.2514586862412944</v>
      </c>
      <c r="D101" s="15">
        <v>1.9939450882138012</v>
      </c>
    </row>
    <row r="102" ht="14.25" customHeight="1">
      <c r="A102" s="1">
        <v>21401.0</v>
      </c>
      <c r="B102" s="1" t="s">
        <v>172</v>
      </c>
      <c r="C102" s="15">
        <v>7.22959038987823</v>
      </c>
      <c r="D102" s="15">
        <v>1.9089358197541033</v>
      </c>
    </row>
    <row r="103" ht="14.25" customHeight="1">
      <c r="A103" s="1">
        <v>21402.0</v>
      </c>
      <c r="B103" s="1" t="s">
        <v>173</v>
      </c>
      <c r="C103" s="15">
        <v>4.446039785545959</v>
      </c>
      <c r="D103" s="15">
        <v>2.1165257351519045</v>
      </c>
    </row>
    <row r="104" ht="14.25" customHeight="1">
      <c r="A104" s="1">
        <v>21501.0</v>
      </c>
      <c r="B104" s="1" t="s">
        <v>175</v>
      </c>
      <c r="C104" s="15">
        <v>11.957461406336678</v>
      </c>
      <c r="D104" s="15">
        <v>3.7236462548157903</v>
      </c>
    </row>
    <row r="105" ht="14.25" customHeight="1">
      <c r="A105" s="1">
        <v>21502.0</v>
      </c>
      <c r="B105" s="1" t="s">
        <v>176</v>
      </c>
      <c r="C105" s="15">
        <v>6.595319892345159</v>
      </c>
      <c r="D105" s="15">
        <v>3.920338859802211</v>
      </c>
    </row>
    <row r="106" ht="14.25" customHeight="1">
      <c r="A106" s="1">
        <v>21601.0</v>
      </c>
      <c r="B106" s="1" t="s">
        <v>178</v>
      </c>
      <c r="C106" s="15">
        <v>10.397270029327522</v>
      </c>
      <c r="D106" s="15">
        <v>3.258838944575147</v>
      </c>
    </row>
    <row r="107" ht="14.25" customHeight="1">
      <c r="A107" s="1">
        <v>21602.0</v>
      </c>
      <c r="B107" s="1" t="s">
        <v>180</v>
      </c>
      <c r="C107" s="15">
        <v>5.791005291005291</v>
      </c>
      <c r="D107" s="15">
        <v>1.899335232668566</v>
      </c>
    </row>
    <row r="108" ht="14.25" customHeight="1">
      <c r="A108" s="1">
        <v>21701.0</v>
      </c>
      <c r="B108" s="1" t="s">
        <v>182</v>
      </c>
      <c r="C108" s="15">
        <v>5.462237995620039</v>
      </c>
      <c r="D108" s="15">
        <v>1.525791839908055</v>
      </c>
    </row>
    <row r="109" ht="14.25" customHeight="1">
      <c r="A109" s="1">
        <v>21702.0</v>
      </c>
      <c r="B109" s="1" t="s">
        <v>183</v>
      </c>
      <c r="C109" s="15">
        <v>5.237500647950799</v>
      </c>
      <c r="D109" s="15">
        <v>0.4716981132075472</v>
      </c>
    </row>
    <row r="110" ht="14.25" customHeight="1">
      <c r="A110" s="1">
        <v>21703.0</v>
      </c>
      <c r="B110" s="1" t="s">
        <v>184</v>
      </c>
      <c r="C110" s="15">
        <v>2.1900161030595813</v>
      </c>
      <c r="D110" s="15">
        <v>0.0</v>
      </c>
    </row>
    <row r="111" ht="14.25" customHeight="1">
      <c r="A111" s="1">
        <v>21801.0</v>
      </c>
      <c r="B111" s="1" t="s">
        <v>186</v>
      </c>
      <c r="C111" s="15">
        <v>5.066341112181544</v>
      </c>
      <c r="D111" s="15">
        <v>3.8034188034188032</v>
      </c>
    </row>
    <row r="112" ht="14.25" customHeight="1">
      <c r="A112" s="1">
        <v>21802.0</v>
      </c>
      <c r="B112" s="1" t="s">
        <v>188</v>
      </c>
      <c r="C112" s="15">
        <v>8.514782836211408</v>
      </c>
      <c r="D112" s="15">
        <v>2.156238291494942</v>
      </c>
    </row>
    <row r="113" ht="14.25" customHeight="1">
      <c r="A113" s="1">
        <v>21803.0</v>
      </c>
      <c r="B113" s="1" t="s">
        <v>189</v>
      </c>
      <c r="C113" s="15">
        <v>8.085606420481534</v>
      </c>
      <c r="D113" s="15">
        <v>2.631578947368421</v>
      </c>
    </row>
    <row r="114" ht="14.25" customHeight="1">
      <c r="A114" s="1">
        <v>21901.0</v>
      </c>
      <c r="B114" s="1" t="s">
        <v>191</v>
      </c>
      <c r="C114" s="15">
        <v>8.937416331994646</v>
      </c>
      <c r="D114" s="15">
        <v>4.6994426751592355</v>
      </c>
    </row>
    <row r="115" ht="14.25" customHeight="1">
      <c r="A115" s="1">
        <v>21902.0</v>
      </c>
      <c r="B115" s="1" t="s">
        <v>192</v>
      </c>
      <c r="C115" s="15">
        <v>2.4437822528433113</v>
      </c>
      <c r="D115" s="15">
        <v>1.4705882352941175</v>
      </c>
    </row>
    <row r="116" ht="14.25" customHeight="1">
      <c r="A116" s="1">
        <v>22001.0</v>
      </c>
      <c r="B116" s="1" t="s">
        <v>193</v>
      </c>
      <c r="C116" s="15">
        <v>7.139406373078539</v>
      </c>
      <c r="D116" s="15">
        <v>3.558654011584562</v>
      </c>
    </row>
    <row r="117" ht="14.25" customHeight="1">
      <c r="A117" s="1">
        <v>22002.0</v>
      </c>
      <c r="B117" s="1" t="s">
        <v>194</v>
      </c>
      <c r="C117" s="15">
        <v>5.167173252279635</v>
      </c>
      <c r="D117" s="15">
        <v>2.4661499844262442</v>
      </c>
    </row>
    <row r="118" ht="14.25" customHeight="1">
      <c r="A118" s="1">
        <v>30101.0</v>
      </c>
      <c r="B118" s="1" t="s">
        <v>33</v>
      </c>
      <c r="C118" s="15">
        <v>3.596780181762212</v>
      </c>
      <c r="D118" s="15">
        <v>1.5219179948825905</v>
      </c>
    </row>
    <row r="119" ht="14.25" customHeight="1">
      <c r="A119" s="1">
        <v>30201.0</v>
      </c>
      <c r="B119" s="1" t="s">
        <v>197</v>
      </c>
      <c r="C119" s="15">
        <v>5.613836165471915</v>
      </c>
      <c r="D119" s="15">
        <v>2.101596254567178</v>
      </c>
    </row>
    <row r="120" ht="14.25" customHeight="1">
      <c r="A120" s="1">
        <v>30202.0</v>
      </c>
      <c r="B120" s="1" t="s">
        <v>198</v>
      </c>
      <c r="C120" s="15">
        <v>5.250624161632252</v>
      </c>
      <c r="D120" s="15">
        <v>1.3636363636363635</v>
      </c>
    </row>
    <row r="121" ht="14.25" customHeight="1">
      <c r="A121" s="1">
        <v>30203.0</v>
      </c>
      <c r="B121" s="1" t="s">
        <v>199</v>
      </c>
      <c r="C121" s="15">
        <v>8.901247478592884</v>
      </c>
      <c r="D121" s="15">
        <v>1.6728624535315983</v>
      </c>
    </row>
    <row r="122" ht="14.25" customHeight="1">
      <c r="A122" s="1">
        <v>30301.0</v>
      </c>
      <c r="B122" s="1" t="s">
        <v>200</v>
      </c>
      <c r="C122" s="15">
        <v>13.596447148514917</v>
      </c>
      <c r="D122" s="15">
        <v>3.9111046717537588</v>
      </c>
    </row>
    <row r="123" ht="14.25" customHeight="1">
      <c r="A123" s="1">
        <v>30302.0</v>
      </c>
      <c r="B123" s="1" t="s">
        <v>202</v>
      </c>
      <c r="C123" s="15">
        <v>14.086033535781459</v>
      </c>
      <c r="D123" s="15">
        <v>3.2026487041899756</v>
      </c>
    </row>
    <row r="124" ht="14.25" customHeight="1">
      <c r="A124" s="1">
        <v>30303.0</v>
      </c>
      <c r="B124" s="1" t="s">
        <v>203</v>
      </c>
      <c r="C124" s="15">
        <v>14.492753623188406</v>
      </c>
      <c r="D124" s="15">
        <v>5.334823988074762</v>
      </c>
    </row>
    <row r="125" ht="14.25" customHeight="1">
      <c r="A125" s="1">
        <v>30401.0</v>
      </c>
      <c r="B125" s="1" t="s">
        <v>205</v>
      </c>
      <c r="C125" s="15">
        <v>4.959316265019413</v>
      </c>
      <c r="D125" s="15">
        <v>2.6851249257236636</v>
      </c>
    </row>
    <row r="126" ht="14.25" customHeight="1">
      <c r="A126" s="1">
        <v>30402.0</v>
      </c>
      <c r="B126" s="1" t="s">
        <v>206</v>
      </c>
      <c r="C126" s="15">
        <v>10.957405641885934</v>
      </c>
      <c r="D126" s="15">
        <v>3.845577211394303</v>
      </c>
    </row>
    <row r="127" ht="14.25" customHeight="1">
      <c r="A127" s="1">
        <v>30403.0</v>
      </c>
      <c r="B127" s="1" t="s">
        <v>208</v>
      </c>
      <c r="C127" s="15">
        <v>6.678423805447654</v>
      </c>
      <c r="D127" s="15">
        <v>2.37734153396804</v>
      </c>
    </row>
    <row r="128" ht="14.25" customHeight="1">
      <c r="A128" s="1">
        <v>30404.0</v>
      </c>
      <c r="B128" s="1" t="s">
        <v>209</v>
      </c>
      <c r="C128" s="15">
        <v>10.747552189450568</v>
      </c>
      <c r="D128" s="15">
        <v>5.437943088634062</v>
      </c>
    </row>
    <row r="129" ht="14.25" customHeight="1">
      <c r="A129" s="1">
        <v>30501.0</v>
      </c>
      <c r="B129" s="1" t="s">
        <v>210</v>
      </c>
      <c r="C129" s="15">
        <v>5.28876822206663</v>
      </c>
      <c r="D129" s="15">
        <v>1.2566241469554789</v>
      </c>
    </row>
    <row r="130" ht="14.25" customHeight="1">
      <c r="A130" s="1">
        <v>30502.0</v>
      </c>
      <c r="B130" s="1" t="s">
        <v>211</v>
      </c>
      <c r="C130" s="15">
        <v>8.840266618602884</v>
      </c>
      <c r="D130" s="15">
        <v>3.9441660128416567</v>
      </c>
    </row>
    <row r="131" ht="14.25" customHeight="1">
      <c r="A131" s="1">
        <v>30601.0</v>
      </c>
      <c r="B131" s="1" t="s">
        <v>212</v>
      </c>
      <c r="C131" s="15">
        <v>17.522086138671643</v>
      </c>
      <c r="D131" s="15">
        <v>7.532571926181465</v>
      </c>
    </row>
    <row r="132" ht="14.25" customHeight="1">
      <c r="A132" s="1">
        <v>30602.0</v>
      </c>
      <c r="B132" s="1" t="s">
        <v>214</v>
      </c>
      <c r="C132" s="15">
        <v>16.31922828618201</v>
      </c>
      <c r="D132" s="15">
        <v>4.757987110928287</v>
      </c>
    </row>
    <row r="133" ht="14.25" customHeight="1">
      <c r="A133" s="1">
        <v>30701.0</v>
      </c>
      <c r="B133" s="1" t="s">
        <v>215</v>
      </c>
      <c r="C133" s="15">
        <v>6.843427260635761</v>
      </c>
      <c r="D133" s="15">
        <v>2.4975492968367075</v>
      </c>
    </row>
    <row r="134" ht="14.25" customHeight="1">
      <c r="A134" s="1">
        <v>30702.0</v>
      </c>
      <c r="B134" s="1" t="s">
        <v>216</v>
      </c>
      <c r="C134" s="15">
        <v>5.106642647701041</v>
      </c>
      <c r="D134" s="15">
        <v>1.349726775956284</v>
      </c>
    </row>
    <row r="135" ht="14.25" customHeight="1">
      <c r="A135" s="1">
        <v>30703.0</v>
      </c>
      <c r="B135" s="1" t="s">
        <v>218</v>
      </c>
      <c r="C135" s="15">
        <v>12.472701685737945</v>
      </c>
      <c r="D135" s="15">
        <v>2.5021621196634958</v>
      </c>
    </row>
    <row r="136" ht="14.25" customHeight="1">
      <c r="A136" s="1">
        <v>30801.0</v>
      </c>
      <c r="B136" s="1" t="s">
        <v>220</v>
      </c>
      <c r="C136" s="15">
        <v>4.777917058673981</v>
      </c>
      <c r="D136" s="15">
        <v>3.444844497401095</v>
      </c>
    </row>
    <row r="137" ht="14.25" customHeight="1">
      <c r="A137" s="1">
        <v>30802.0</v>
      </c>
      <c r="B137" s="1" t="s">
        <v>221</v>
      </c>
      <c r="C137" s="15">
        <v>8.850094970651327</v>
      </c>
      <c r="D137" s="15">
        <v>8.73741610738255</v>
      </c>
    </row>
    <row r="138" ht="14.25" customHeight="1">
      <c r="A138" s="1">
        <v>30803.0</v>
      </c>
      <c r="B138" s="1" t="s">
        <v>222</v>
      </c>
      <c r="C138" s="15">
        <v>2.711422423585271</v>
      </c>
      <c r="D138" s="15">
        <v>4.189660180075515</v>
      </c>
    </row>
    <row r="139" ht="14.25" customHeight="1">
      <c r="A139" s="1">
        <v>30901.0</v>
      </c>
      <c r="B139" s="1" t="s">
        <v>223</v>
      </c>
      <c r="C139" s="15">
        <v>4.658652920314063</v>
      </c>
      <c r="D139" s="15">
        <v>1.6435186792741647</v>
      </c>
    </row>
    <row r="140" ht="14.25" customHeight="1">
      <c r="A140" s="1">
        <v>30902.0</v>
      </c>
      <c r="B140" s="1" t="s">
        <v>224</v>
      </c>
      <c r="C140" s="15">
        <v>4.460739487341286</v>
      </c>
      <c r="D140" s="15">
        <v>2.0180936266258698</v>
      </c>
    </row>
    <row r="141" ht="14.25" customHeight="1">
      <c r="A141" s="1">
        <v>30903.0</v>
      </c>
      <c r="B141" s="1" t="s">
        <v>225</v>
      </c>
      <c r="C141" s="15">
        <v>4.227250778380866</v>
      </c>
      <c r="D141" s="15">
        <v>1.4780805598484361</v>
      </c>
    </row>
    <row r="142" ht="14.25" customHeight="1">
      <c r="A142" s="1">
        <v>30904.0</v>
      </c>
      <c r="B142" s="1" t="s">
        <v>226</v>
      </c>
      <c r="C142" s="15">
        <v>4.854353337255567</v>
      </c>
      <c r="D142" s="15">
        <v>1.181094083763229</v>
      </c>
    </row>
    <row r="143" ht="14.25" customHeight="1">
      <c r="A143" s="1">
        <v>30905.0</v>
      </c>
      <c r="B143" s="1" t="s">
        <v>227</v>
      </c>
      <c r="C143" s="15">
        <v>2.8216428117667784</v>
      </c>
      <c r="D143" s="15">
        <v>1.5437456844605104</v>
      </c>
    </row>
    <row r="144" ht="14.25" customHeight="1">
      <c r="A144" s="1">
        <v>31001.0</v>
      </c>
      <c r="B144" s="1" t="s">
        <v>229</v>
      </c>
      <c r="C144" s="15">
        <v>5.006105403453704</v>
      </c>
      <c r="D144" s="15">
        <v>1.656183191191007</v>
      </c>
    </row>
    <row r="145" ht="14.25" customHeight="1">
      <c r="A145" s="1">
        <v>31002.0</v>
      </c>
      <c r="B145" s="1" t="s">
        <v>230</v>
      </c>
      <c r="C145" s="15">
        <v>7.532478659848329</v>
      </c>
      <c r="D145" s="15">
        <v>3.0259942304049585</v>
      </c>
    </row>
    <row r="146" ht="14.25" customHeight="1">
      <c r="A146" s="1">
        <v>31003.0</v>
      </c>
      <c r="B146" s="1" t="s">
        <v>231</v>
      </c>
      <c r="C146" s="15">
        <v>7.474593775530885</v>
      </c>
      <c r="D146" s="15">
        <v>2.3653759201925806</v>
      </c>
    </row>
    <row r="147" ht="14.25" customHeight="1">
      <c r="A147" s="1">
        <v>31101.0</v>
      </c>
      <c r="B147" s="1" t="s">
        <v>232</v>
      </c>
      <c r="C147" s="15">
        <v>15.232333236498908</v>
      </c>
      <c r="D147" s="15">
        <v>7.332301637339753</v>
      </c>
    </row>
    <row r="148" ht="14.25" customHeight="1">
      <c r="A148" s="1">
        <v>31201.0</v>
      </c>
      <c r="B148" s="1" t="s">
        <v>234</v>
      </c>
      <c r="C148" s="15">
        <v>8.659164258423436</v>
      </c>
      <c r="D148" s="15">
        <v>5.021431419457736</v>
      </c>
    </row>
    <row r="149" ht="14.25" customHeight="1">
      <c r="A149" s="1">
        <v>31202.0</v>
      </c>
      <c r="B149" s="1" t="s">
        <v>235</v>
      </c>
      <c r="C149" s="15">
        <v>8.869472913370487</v>
      </c>
      <c r="D149" s="15">
        <v>3.0472636815920398</v>
      </c>
    </row>
    <row r="150" ht="14.25" customHeight="1">
      <c r="A150" s="1">
        <v>31203.0</v>
      </c>
      <c r="B150" s="1" t="s">
        <v>236</v>
      </c>
      <c r="C150" s="15">
        <v>10.620227778721858</v>
      </c>
      <c r="D150" s="15">
        <v>2.7031956807237707</v>
      </c>
    </row>
    <row r="151" ht="14.25" customHeight="1">
      <c r="A151" s="1">
        <v>31204.0</v>
      </c>
      <c r="B151" s="1" t="s">
        <v>237</v>
      </c>
      <c r="C151" s="15">
        <v>6.606264921598549</v>
      </c>
      <c r="D151" s="15">
        <v>2.005275919630564</v>
      </c>
    </row>
    <row r="152" ht="14.25" customHeight="1">
      <c r="A152" s="1">
        <v>31205.0</v>
      </c>
      <c r="B152" s="1" t="s">
        <v>238</v>
      </c>
      <c r="C152" s="15">
        <v>4.4394392789432535</v>
      </c>
      <c r="D152" s="15">
        <v>2.2271785432553246</v>
      </c>
    </row>
    <row r="153" ht="14.25" customHeight="1">
      <c r="A153" s="1">
        <v>31206.0</v>
      </c>
      <c r="B153" s="1" t="s">
        <v>239</v>
      </c>
      <c r="C153" s="15">
        <v>4.965600069135376</v>
      </c>
      <c r="D153" s="15">
        <v>2.6904099027130925</v>
      </c>
    </row>
    <row r="154" ht="14.25" customHeight="1">
      <c r="A154" s="1">
        <v>31301.0</v>
      </c>
      <c r="B154" s="1" t="s">
        <v>240</v>
      </c>
      <c r="C154" s="15">
        <v>11.428010192809424</v>
      </c>
      <c r="D154" s="15">
        <v>4.330703788643833</v>
      </c>
    </row>
    <row r="155" ht="14.25" customHeight="1">
      <c r="A155" s="1">
        <v>31302.0</v>
      </c>
      <c r="B155" s="1" t="s">
        <v>241</v>
      </c>
      <c r="C155" s="15">
        <v>12.76894548435265</v>
      </c>
      <c r="D155" s="15">
        <v>6.2852587687024775</v>
      </c>
    </row>
    <row r="156" ht="14.25" customHeight="1">
      <c r="A156" s="1">
        <v>31303.0</v>
      </c>
      <c r="B156" s="1" t="s">
        <v>242</v>
      </c>
      <c r="C156" s="15">
        <v>22.469581615559765</v>
      </c>
      <c r="D156" s="15">
        <v>7.738095238095237</v>
      </c>
    </row>
    <row r="157" ht="14.25" customHeight="1">
      <c r="A157" s="1">
        <v>31304.0</v>
      </c>
      <c r="B157" s="1" t="s">
        <v>243</v>
      </c>
      <c r="C157" s="15">
        <v>11.428010192809424</v>
      </c>
      <c r="D157" s="15">
        <v>4.330703788643833</v>
      </c>
    </row>
    <row r="158" ht="14.25" customHeight="1">
      <c r="A158" s="1">
        <v>31401.0</v>
      </c>
      <c r="B158" s="1" t="s">
        <v>245</v>
      </c>
      <c r="C158" s="15">
        <v>4.798560162448684</v>
      </c>
      <c r="D158" s="15">
        <v>2.2941761381515184</v>
      </c>
    </row>
    <row r="159" ht="14.25" customHeight="1">
      <c r="A159" s="1">
        <v>31402.0</v>
      </c>
      <c r="B159" s="1" t="s">
        <v>247</v>
      </c>
      <c r="C159" s="15">
        <v>7.729799266972499</v>
      </c>
      <c r="D159" s="15">
        <v>4.323076923076923</v>
      </c>
    </row>
    <row r="160" ht="14.25" customHeight="1">
      <c r="A160" s="1">
        <v>31403.0</v>
      </c>
      <c r="B160" s="1" t="s">
        <v>248</v>
      </c>
      <c r="C160" s="15">
        <v>5.380355667301125</v>
      </c>
      <c r="D160" s="15">
        <v>1.5332587336529966</v>
      </c>
    </row>
    <row r="161" ht="14.25" customHeight="1">
      <c r="A161" s="1">
        <v>31404.0</v>
      </c>
      <c r="B161" s="1" t="s">
        <v>250</v>
      </c>
      <c r="C161" s="15"/>
      <c r="D161" s="15"/>
    </row>
    <row r="162" ht="14.25" customHeight="1">
      <c r="A162" s="1">
        <v>31405.0</v>
      </c>
      <c r="B162" s="1" t="s">
        <v>251</v>
      </c>
      <c r="C162" s="15">
        <v>77.68518518518518</v>
      </c>
      <c r="D162" s="15"/>
    </row>
    <row r="163" ht="14.25" customHeight="1">
      <c r="A163" s="1">
        <v>31501.0</v>
      </c>
      <c r="B163" s="1" t="s">
        <v>253</v>
      </c>
      <c r="C163" s="15">
        <v>19.406050524479806</v>
      </c>
      <c r="D163" s="15">
        <v>3.9282990083905416</v>
      </c>
    </row>
    <row r="164" ht="14.25" customHeight="1">
      <c r="A164" s="1">
        <v>31601.0</v>
      </c>
      <c r="B164" s="1" t="s">
        <v>254</v>
      </c>
      <c r="C164" s="15">
        <v>6.440626612535649</v>
      </c>
      <c r="D164" s="15">
        <v>3.450659201293317</v>
      </c>
    </row>
    <row r="165" ht="14.25" customHeight="1">
      <c r="A165" s="1">
        <v>31602.0</v>
      </c>
      <c r="B165" s="1" t="s">
        <v>255</v>
      </c>
      <c r="C165" s="15">
        <v>4.777870913663034</v>
      </c>
      <c r="D165" s="15">
        <v>2.916597344813523</v>
      </c>
    </row>
    <row r="166" ht="14.25" customHeight="1">
      <c r="A166" s="1">
        <v>40101.0</v>
      </c>
      <c r="B166" s="1" t="s">
        <v>36</v>
      </c>
      <c r="C166" s="15">
        <v>3.639654758711027</v>
      </c>
      <c r="D166" s="15">
        <v>1.799177676557058</v>
      </c>
    </row>
    <row r="167" ht="14.25" customHeight="1">
      <c r="A167" s="1">
        <v>40102.0</v>
      </c>
      <c r="B167" s="1" t="s">
        <v>256</v>
      </c>
      <c r="C167" s="15">
        <v>6.735715132481111</v>
      </c>
      <c r="D167" s="15">
        <v>1.6808417780366487</v>
      </c>
    </row>
    <row r="168" ht="14.25" customHeight="1">
      <c r="A168" s="1">
        <v>40103.0</v>
      </c>
      <c r="B168" s="1" t="s">
        <v>257</v>
      </c>
      <c r="C168" s="15">
        <v>16.669324827219565</v>
      </c>
      <c r="D168" s="15">
        <v>4.131652661064425</v>
      </c>
    </row>
    <row r="169" ht="14.25" customHeight="1">
      <c r="A169" s="1">
        <v>40104.0</v>
      </c>
      <c r="B169" s="1" t="s">
        <v>258</v>
      </c>
      <c r="C169" s="15">
        <v>10.570356714283394</v>
      </c>
      <c r="D169" s="15">
        <v>3.925393755180989</v>
      </c>
    </row>
    <row r="170" ht="14.25" customHeight="1">
      <c r="A170" s="1">
        <v>40201.0</v>
      </c>
      <c r="B170" s="1" t="s">
        <v>261</v>
      </c>
      <c r="C170" s="15">
        <v>6.424771477207226</v>
      </c>
      <c r="D170" s="15">
        <v>2.619406184625262</v>
      </c>
    </row>
    <row r="171" ht="14.25" customHeight="1">
      <c r="A171" s="1">
        <v>40202.0</v>
      </c>
      <c r="B171" s="1" t="s">
        <v>262</v>
      </c>
      <c r="C171" s="15">
        <v>7.704545965362283</v>
      </c>
      <c r="D171" s="15">
        <v>2.513790386130812</v>
      </c>
    </row>
    <row r="172" ht="14.25" customHeight="1">
      <c r="A172" s="1">
        <v>40301.0</v>
      </c>
      <c r="B172" s="1" t="s">
        <v>264</v>
      </c>
      <c r="C172" s="15">
        <v>17.93921423276501</v>
      </c>
      <c r="D172" s="15">
        <v>4.244890684410646</v>
      </c>
    </row>
    <row r="173" ht="14.25" customHeight="1">
      <c r="A173" s="1">
        <v>40302.0</v>
      </c>
      <c r="B173" s="1" t="s">
        <v>265</v>
      </c>
      <c r="C173" s="15">
        <v>10.819327731092436</v>
      </c>
      <c r="D173" s="15">
        <v>0.0</v>
      </c>
    </row>
    <row r="174" ht="14.25" customHeight="1">
      <c r="A174" s="1">
        <v>40401.0</v>
      </c>
      <c r="B174" s="1" t="s">
        <v>267</v>
      </c>
      <c r="C174" s="15">
        <v>5.702302949721216</v>
      </c>
      <c r="D174" s="15">
        <v>1.476545842217484</v>
      </c>
    </row>
    <row r="175" ht="14.25" customHeight="1">
      <c r="A175" s="1">
        <v>40402.0</v>
      </c>
      <c r="B175" s="1" t="s">
        <v>268</v>
      </c>
      <c r="C175" s="15">
        <v>5.128499071187585</v>
      </c>
      <c r="D175" s="15">
        <v>2.9215229215229215</v>
      </c>
    </row>
    <row r="176" ht="14.25" customHeight="1">
      <c r="A176" s="1">
        <v>40501.0</v>
      </c>
      <c r="B176" s="1" t="s">
        <v>270</v>
      </c>
      <c r="C176" s="15">
        <v>6.81964573268921</v>
      </c>
      <c r="D176" s="15">
        <v>0.0</v>
      </c>
    </row>
    <row r="177" ht="14.25" customHeight="1">
      <c r="A177" s="1">
        <v>40502.0</v>
      </c>
      <c r="B177" s="1" t="s">
        <v>271</v>
      </c>
      <c r="C177" s="15">
        <v>5.882352941176471</v>
      </c>
      <c r="D177" s="15">
        <v>2.7777777777777777</v>
      </c>
    </row>
    <row r="178" ht="14.25" customHeight="1">
      <c r="A178" s="1">
        <v>40503.0</v>
      </c>
      <c r="B178" s="1" t="s">
        <v>272</v>
      </c>
      <c r="C178" s="15"/>
      <c r="D178" s="15"/>
    </row>
    <row r="179" ht="14.25" customHeight="1">
      <c r="A179" s="1">
        <v>40504.0</v>
      </c>
      <c r="B179" s="1" t="s">
        <v>273</v>
      </c>
      <c r="C179" s="15"/>
      <c r="D179" s="15"/>
    </row>
    <row r="180" ht="14.25" customHeight="1">
      <c r="A180" s="1">
        <v>40505.0</v>
      </c>
      <c r="B180" s="1" t="s">
        <v>274</v>
      </c>
      <c r="C180" s="15"/>
      <c r="D180" s="15"/>
    </row>
    <row r="181" ht="14.25" customHeight="1">
      <c r="A181" s="1">
        <v>40601.0</v>
      </c>
      <c r="B181" s="1" t="s">
        <v>275</v>
      </c>
      <c r="C181" s="15">
        <v>5.1462421325435015</v>
      </c>
      <c r="D181" s="15">
        <v>3.151908450212826</v>
      </c>
    </row>
    <row r="182" ht="14.25" customHeight="1">
      <c r="A182" s="1">
        <v>40602.0</v>
      </c>
      <c r="B182" s="1" t="s">
        <v>277</v>
      </c>
      <c r="C182" s="15">
        <v>4.297575304306355</v>
      </c>
      <c r="D182" s="15">
        <v>2.486269633314089</v>
      </c>
    </row>
    <row r="183" ht="14.25" customHeight="1">
      <c r="A183" s="1">
        <v>40603.0</v>
      </c>
      <c r="B183" s="1" t="s">
        <v>278</v>
      </c>
      <c r="C183" s="15">
        <v>4.021246952281435</v>
      </c>
      <c r="D183" s="15">
        <v>0.8064516129032258</v>
      </c>
    </row>
    <row r="184" ht="14.25" customHeight="1">
      <c r="A184" s="1">
        <v>40701.0</v>
      </c>
      <c r="B184" s="1" t="s">
        <v>280</v>
      </c>
      <c r="C184" s="15">
        <v>6.214963484136338</v>
      </c>
      <c r="D184" s="15">
        <v>1.2414249009001619</v>
      </c>
    </row>
    <row r="185" ht="14.25" customHeight="1">
      <c r="A185" s="1">
        <v>40702.0</v>
      </c>
      <c r="B185" s="1" t="s">
        <v>282</v>
      </c>
      <c r="C185" s="15">
        <v>5.829985100581957</v>
      </c>
      <c r="D185" s="15">
        <v>4.36492830859028</v>
      </c>
    </row>
    <row r="186" ht="14.25" customHeight="1">
      <c r="A186" s="1">
        <v>40801.0</v>
      </c>
      <c r="B186" s="1" t="s">
        <v>284</v>
      </c>
      <c r="C186" s="15">
        <v>7.672366079615493</v>
      </c>
      <c r="D186" s="15">
        <v>3.1954887218045114</v>
      </c>
    </row>
    <row r="187" ht="14.25" customHeight="1">
      <c r="A187" s="1">
        <v>40802.0</v>
      </c>
      <c r="B187" s="1" t="s">
        <v>286</v>
      </c>
      <c r="C187" s="15">
        <v>5.877641674518777</v>
      </c>
      <c r="D187" s="15">
        <v>2.443160982764943</v>
      </c>
    </row>
    <row r="188" ht="14.25" customHeight="1">
      <c r="A188" s="1">
        <v>40901.0</v>
      </c>
      <c r="B188" s="1" t="s">
        <v>287</v>
      </c>
      <c r="C188" s="15">
        <v>9.810556177818185</v>
      </c>
      <c r="D188" s="15">
        <v>1.9318181818181819</v>
      </c>
    </row>
    <row r="189" ht="14.25" customHeight="1">
      <c r="A189" s="1">
        <v>40902.0</v>
      </c>
      <c r="B189" s="1" t="s">
        <v>288</v>
      </c>
      <c r="C189" s="15">
        <v>8.496240601503759</v>
      </c>
      <c r="D189" s="15">
        <v>2.7027027027027026</v>
      </c>
    </row>
    <row r="190" ht="14.25" customHeight="1">
      <c r="A190" s="1">
        <v>40903.0</v>
      </c>
      <c r="B190" s="1" t="s">
        <v>289</v>
      </c>
      <c r="C190" s="15">
        <v>17.419346384673847</v>
      </c>
      <c r="D190" s="15">
        <v>7.111925383077947</v>
      </c>
    </row>
    <row r="191" ht="14.25" customHeight="1">
      <c r="A191" s="1">
        <v>41001.0</v>
      </c>
      <c r="B191" s="1" t="s">
        <v>292</v>
      </c>
      <c r="C191" s="15">
        <v>21.188599947465196</v>
      </c>
      <c r="D191" s="15">
        <v>3.107628905501246</v>
      </c>
    </row>
    <row r="192" ht="14.25" customHeight="1">
      <c r="A192" s="1">
        <v>41101.0</v>
      </c>
      <c r="B192" s="1" t="s">
        <v>294</v>
      </c>
      <c r="C192" s="15">
        <v>3.3503134501103418</v>
      </c>
      <c r="D192" s="15">
        <v>4.825010670081093</v>
      </c>
    </row>
    <row r="193" ht="14.25" customHeight="1">
      <c r="A193" s="1">
        <v>41201.0</v>
      </c>
      <c r="B193" s="1" t="s">
        <v>296</v>
      </c>
      <c r="C193" s="15">
        <v>8.96061402937348</v>
      </c>
      <c r="D193" s="15">
        <v>2.469177618208915</v>
      </c>
    </row>
    <row r="194" ht="14.25" customHeight="1">
      <c r="A194" s="1">
        <v>41202.0</v>
      </c>
      <c r="B194" s="1" t="s">
        <v>298</v>
      </c>
      <c r="C194" s="15">
        <v>5.349779694163662</v>
      </c>
      <c r="D194" s="15">
        <v>5.434782608695652</v>
      </c>
    </row>
    <row r="195" ht="14.25" customHeight="1">
      <c r="A195" s="1">
        <v>41301.0</v>
      </c>
      <c r="B195" s="1" t="s">
        <v>234</v>
      </c>
      <c r="C195" s="15">
        <v>6.765569001569553</v>
      </c>
      <c r="D195" s="15">
        <v>4.592526497945057</v>
      </c>
    </row>
    <row r="196" ht="14.25" customHeight="1">
      <c r="A196" s="1">
        <v>41401.0</v>
      </c>
      <c r="B196" s="1" t="s">
        <v>301</v>
      </c>
      <c r="C196" s="15">
        <v>12.039448473757881</v>
      </c>
      <c r="D196" s="15">
        <v>1.3048559741166745</v>
      </c>
    </row>
    <row r="197" ht="14.25" customHeight="1">
      <c r="A197" s="1">
        <v>41501.0</v>
      </c>
      <c r="B197" s="1" t="s">
        <v>303</v>
      </c>
      <c r="C197" s="15">
        <v>7.407407407407407</v>
      </c>
      <c r="D197" s="15">
        <v>2.272727272727273</v>
      </c>
    </row>
    <row r="198" ht="14.25" customHeight="1">
      <c r="A198" s="1">
        <v>41502.0</v>
      </c>
      <c r="B198" s="1" t="s">
        <v>304</v>
      </c>
      <c r="C198" s="15">
        <v>4.166666666666667</v>
      </c>
      <c r="D198" s="15">
        <v>0.0</v>
      </c>
    </row>
    <row r="199" ht="14.25" customHeight="1">
      <c r="A199" s="1">
        <v>41503.0</v>
      </c>
      <c r="B199" s="1" t="s">
        <v>263</v>
      </c>
      <c r="C199" s="15">
        <v>66.66666666666667</v>
      </c>
      <c r="D199" s="15">
        <v>0.0</v>
      </c>
    </row>
    <row r="200" ht="14.25" customHeight="1">
      <c r="A200" s="1">
        <v>41601.0</v>
      </c>
      <c r="B200" s="1" t="s">
        <v>306</v>
      </c>
      <c r="C200" s="15">
        <v>11.158752639306075</v>
      </c>
      <c r="D200" s="15">
        <v>2.913396763664143</v>
      </c>
    </row>
    <row r="201" ht="14.25" customHeight="1">
      <c r="A201" s="1">
        <v>50101.0</v>
      </c>
      <c r="B201" s="1" t="s">
        <v>307</v>
      </c>
      <c r="C201" s="15">
        <v>5.62740740800475</v>
      </c>
      <c r="D201" s="15">
        <v>2.438132398357947</v>
      </c>
    </row>
    <row r="202" ht="14.25" customHeight="1">
      <c r="A202" s="1">
        <v>50102.0</v>
      </c>
      <c r="B202" s="1" t="s">
        <v>309</v>
      </c>
      <c r="C202" s="15">
        <v>46.365419403140116</v>
      </c>
      <c r="D202" s="15">
        <v>7.785087719298246</v>
      </c>
    </row>
    <row r="203" ht="14.25" customHeight="1">
      <c r="A203" s="1">
        <v>50103.0</v>
      </c>
      <c r="B203" s="1" t="s">
        <v>310</v>
      </c>
      <c r="C203" s="15">
        <v>7.547606654950074</v>
      </c>
      <c r="D203" s="15">
        <v>3.171001164491953</v>
      </c>
    </row>
    <row r="204" ht="14.25" customHeight="1">
      <c r="A204" s="1">
        <v>50104.0</v>
      </c>
      <c r="B204" s="1" t="s">
        <v>312</v>
      </c>
      <c r="C204" s="15">
        <v>13.192307692307693</v>
      </c>
      <c r="D204" s="15">
        <v>0.0</v>
      </c>
    </row>
    <row r="205" ht="14.25" customHeight="1">
      <c r="A205" s="1">
        <v>50201.0</v>
      </c>
      <c r="B205" s="1" t="s">
        <v>315</v>
      </c>
      <c r="C205" s="15">
        <v>7.955144941394288</v>
      </c>
      <c r="D205" s="15">
        <v>2.8133015583421717</v>
      </c>
    </row>
    <row r="206" ht="14.25" customHeight="1">
      <c r="A206" s="1">
        <v>50202.0</v>
      </c>
      <c r="B206" s="1" t="s">
        <v>316</v>
      </c>
      <c r="C206" s="15">
        <v>9.820707629118083</v>
      </c>
      <c r="D206" s="15">
        <v>4.981623892028784</v>
      </c>
    </row>
    <row r="207" ht="14.25" customHeight="1">
      <c r="A207" s="1">
        <v>50203.0</v>
      </c>
      <c r="B207" s="1" t="s">
        <v>317</v>
      </c>
      <c r="C207" s="15">
        <v>4.649299288245185</v>
      </c>
      <c r="D207" s="15">
        <v>1.9928377855207122</v>
      </c>
    </row>
    <row r="208" ht="14.25" customHeight="1">
      <c r="A208" s="1">
        <v>50204.0</v>
      </c>
      <c r="B208" s="1" t="s">
        <v>318</v>
      </c>
      <c r="C208" s="15">
        <v>12.915129151291513</v>
      </c>
      <c r="D208" s="15">
        <v>2.9210620261936597</v>
      </c>
    </row>
    <row r="209" ht="14.25" customHeight="1">
      <c r="A209" s="1">
        <v>50301.0</v>
      </c>
      <c r="B209" s="1" t="s">
        <v>320</v>
      </c>
      <c r="C209" s="15">
        <v>12.010324721238474</v>
      </c>
      <c r="D209" s="15">
        <v>3.760439068404307</v>
      </c>
    </row>
    <row r="210" ht="14.25" customHeight="1">
      <c r="A210" s="1">
        <v>50302.0</v>
      </c>
      <c r="B210" s="1" t="s">
        <v>322</v>
      </c>
      <c r="C210" s="15">
        <v>6.3234628093795315</v>
      </c>
      <c r="D210" s="15">
        <v>2.888567158602653</v>
      </c>
    </row>
    <row r="211" ht="14.25" customHeight="1">
      <c r="A211" s="1">
        <v>50303.0</v>
      </c>
      <c r="B211" s="1" t="s">
        <v>323</v>
      </c>
      <c r="C211" s="15">
        <v>29.35280747972519</v>
      </c>
      <c r="D211" s="15">
        <v>5.791243681330158</v>
      </c>
    </row>
    <row r="212" ht="14.25" customHeight="1">
      <c r="A212" s="1">
        <v>50401.0</v>
      </c>
      <c r="B212" s="1" t="s">
        <v>324</v>
      </c>
      <c r="C212" s="15">
        <v>39.17198452682324</v>
      </c>
      <c r="D212" s="15">
        <v>6.495339912280702</v>
      </c>
    </row>
    <row r="213" ht="14.25" customHeight="1">
      <c r="A213" s="1">
        <v>50402.0</v>
      </c>
      <c r="B213" s="1" t="s">
        <v>325</v>
      </c>
      <c r="C213" s="15">
        <v>31.738884279681248</v>
      </c>
      <c r="D213" s="15">
        <v>4.8883957707871035</v>
      </c>
    </row>
    <row r="214" ht="14.25" customHeight="1">
      <c r="A214" s="1">
        <v>50403.0</v>
      </c>
      <c r="B214" s="1" t="s">
        <v>326</v>
      </c>
      <c r="C214" s="15">
        <v>20.386822348224452</v>
      </c>
      <c r="D214" s="15">
        <v>6.321909784812226</v>
      </c>
    </row>
    <row r="215" ht="14.25" customHeight="1">
      <c r="A215" s="1">
        <v>50404.0</v>
      </c>
      <c r="B215" s="1" t="s">
        <v>327</v>
      </c>
      <c r="C215" s="15">
        <v>25.139759394573577</v>
      </c>
      <c r="D215" s="15">
        <v>5.3341013824884795</v>
      </c>
    </row>
    <row r="216" ht="14.25" customHeight="1">
      <c r="A216" s="1">
        <v>50405.0</v>
      </c>
      <c r="B216" s="1" t="s">
        <v>328</v>
      </c>
      <c r="C216" s="15">
        <v>39.17198452682324</v>
      </c>
      <c r="D216" s="15">
        <v>6.495339912280702</v>
      </c>
    </row>
    <row r="217" ht="14.25" customHeight="1">
      <c r="A217" s="1">
        <v>50501.0</v>
      </c>
      <c r="B217" s="1" t="s">
        <v>330</v>
      </c>
      <c r="C217" s="15">
        <v>28.57904583352497</v>
      </c>
      <c r="D217" s="15">
        <v>10.331450117597281</v>
      </c>
    </row>
    <row r="218" ht="14.25" customHeight="1">
      <c r="A218" s="1">
        <v>50502.0</v>
      </c>
      <c r="B218" s="1" t="s">
        <v>331</v>
      </c>
      <c r="C218" s="15">
        <v>19.907678186097602</v>
      </c>
      <c r="D218" s="15">
        <v>6.261952024663889</v>
      </c>
    </row>
    <row r="219" ht="14.25" customHeight="1">
      <c r="A219" s="1">
        <v>50601.0</v>
      </c>
      <c r="B219" s="1" t="s">
        <v>333</v>
      </c>
      <c r="C219" s="15">
        <v>13.093253243694901</v>
      </c>
      <c r="D219" s="15">
        <v>3.7894388672710475</v>
      </c>
    </row>
    <row r="220" ht="14.25" customHeight="1">
      <c r="A220" s="1">
        <v>50602.0</v>
      </c>
      <c r="B220" s="1" t="s">
        <v>334</v>
      </c>
      <c r="C220" s="15">
        <v>8.086253763423818</v>
      </c>
      <c r="D220" s="15">
        <v>2.4706420619185607</v>
      </c>
    </row>
    <row r="221" ht="14.25" customHeight="1">
      <c r="A221" s="1">
        <v>50701.0</v>
      </c>
      <c r="B221" s="1" t="s">
        <v>337</v>
      </c>
      <c r="C221" s="15">
        <v>25.73657661347255</v>
      </c>
      <c r="D221" s="15">
        <v>6.5474695533354055</v>
      </c>
    </row>
    <row r="222" ht="14.25" customHeight="1">
      <c r="A222" s="1">
        <v>50702.0</v>
      </c>
      <c r="B222" s="1" t="s">
        <v>339</v>
      </c>
      <c r="C222" s="15">
        <v>14.395812225599459</v>
      </c>
      <c r="D222" s="15">
        <v>7.2613762486126525</v>
      </c>
    </row>
    <row r="223" ht="14.25" customHeight="1">
      <c r="A223" s="1">
        <v>50801.0</v>
      </c>
      <c r="B223" s="1" t="s">
        <v>341</v>
      </c>
      <c r="C223" s="15">
        <v>5.351140023054957</v>
      </c>
      <c r="D223" s="15">
        <v>2.0216039556106224</v>
      </c>
    </row>
    <row r="224" ht="14.25" customHeight="1">
      <c r="A224" s="1">
        <v>50802.0</v>
      </c>
      <c r="B224" s="1" t="s">
        <v>342</v>
      </c>
      <c r="C224" s="15">
        <v>4.602990328113606</v>
      </c>
      <c r="D224" s="15">
        <v>1.428368198569261</v>
      </c>
    </row>
    <row r="225" ht="14.25" customHeight="1">
      <c r="A225" s="1">
        <v>50901.0</v>
      </c>
      <c r="B225" s="1" t="s">
        <v>344</v>
      </c>
      <c r="C225" s="15">
        <v>5.606258317833627</v>
      </c>
      <c r="D225" s="15">
        <v>1.6481782106782106</v>
      </c>
    </row>
    <row r="226" ht="14.25" customHeight="1">
      <c r="A226" s="1">
        <v>50902.0</v>
      </c>
      <c r="B226" s="1" t="s">
        <v>346</v>
      </c>
      <c r="C226" s="15">
        <v>2.2222222222222223</v>
      </c>
      <c r="D226" s="15">
        <v>14.761904761904763</v>
      </c>
    </row>
    <row r="227" ht="14.25" customHeight="1">
      <c r="A227" s="1">
        <v>51001.0</v>
      </c>
      <c r="B227" s="1" t="s">
        <v>349</v>
      </c>
      <c r="C227" s="15">
        <v>7.558966733724016</v>
      </c>
      <c r="D227" s="15">
        <v>0.43103448275862066</v>
      </c>
    </row>
    <row r="228" ht="14.25" customHeight="1">
      <c r="A228" s="1">
        <v>51002.0</v>
      </c>
      <c r="B228" s="1" t="s">
        <v>351</v>
      </c>
      <c r="C228" s="15">
        <v>7.4400871459695</v>
      </c>
      <c r="D228" s="15">
        <v>0.0</v>
      </c>
    </row>
    <row r="229" ht="14.25" customHeight="1">
      <c r="A229" s="1">
        <v>51003.0</v>
      </c>
      <c r="B229" s="1" t="s">
        <v>352</v>
      </c>
      <c r="C229" s="15">
        <v>6.142602495543673</v>
      </c>
      <c r="D229" s="15">
        <v>1.2345679012345678</v>
      </c>
    </row>
    <row r="230" ht="14.25" customHeight="1">
      <c r="A230" s="1">
        <v>51101.0</v>
      </c>
      <c r="B230" s="1" t="s">
        <v>354</v>
      </c>
      <c r="C230" s="15">
        <v>13.298762422234262</v>
      </c>
      <c r="D230" s="15">
        <v>3.5053987872146326</v>
      </c>
    </row>
    <row r="231" ht="14.25" customHeight="1">
      <c r="A231" s="1">
        <v>51102.0</v>
      </c>
      <c r="B231" s="1" t="s">
        <v>356</v>
      </c>
      <c r="C231" s="15">
        <v>6.4610632892885205</v>
      </c>
      <c r="D231" s="15">
        <v>4.094203618680394</v>
      </c>
    </row>
    <row r="232" ht="14.25" customHeight="1">
      <c r="A232" s="1">
        <v>51103.0</v>
      </c>
      <c r="B232" s="1" t="s">
        <v>357</v>
      </c>
      <c r="C232" s="15">
        <v>20.0</v>
      </c>
      <c r="D232" s="15">
        <v>5.39114584840231</v>
      </c>
    </row>
    <row r="233" ht="14.25" customHeight="1">
      <c r="A233" s="1">
        <v>51201.0</v>
      </c>
      <c r="B233" s="1" t="s">
        <v>359</v>
      </c>
      <c r="C233" s="15">
        <v>6.069396605157372</v>
      </c>
      <c r="D233" s="15">
        <v>2.114748851515535</v>
      </c>
    </row>
    <row r="234" ht="14.25" customHeight="1">
      <c r="A234" s="1">
        <v>51202.0</v>
      </c>
      <c r="B234" s="1" t="s">
        <v>360</v>
      </c>
      <c r="C234" s="15">
        <v>9.95497417975239</v>
      </c>
      <c r="D234" s="15">
        <v>2.201950532131865</v>
      </c>
    </row>
    <row r="235" ht="14.25" customHeight="1">
      <c r="A235" s="1">
        <v>51203.0</v>
      </c>
      <c r="B235" s="1" t="s">
        <v>361</v>
      </c>
      <c r="C235" s="15">
        <v>6.522441039728022</v>
      </c>
      <c r="D235" s="15">
        <v>1.1015544428452826</v>
      </c>
    </row>
    <row r="236" ht="14.25" customHeight="1">
      <c r="A236" s="1">
        <v>51204.0</v>
      </c>
      <c r="B236" s="1" t="s">
        <v>362</v>
      </c>
      <c r="C236" s="15">
        <v>9.95497417975239</v>
      </c>
      <c r="D236" s="15">
        <v>2.201950532131865</v>
      </c>
    </row>
    <row r="237" ht="14.25" customHeight="1">
      <c r="A237" s="1">
        <v>51301.0</v>
      </c>
      <c r="B237" s="1" t="s">
        <v>365</v>
      </c>
      <c r="C237" s="15">
        <v>35.20583342182577</v>
      </c>
      <c r="D237" s="15">
        <v>16.176470588235293</v>
      </c>
    </row>
    <row r="238" ht="14.25" customHeight="1">
      <c r="A238" s="1">
        <v>51302.0</v>
      </c>
      <c r="B238" s="1" t="s">
        <v>366</v>
      </c>
      <c r="C238" s="15">
        <v>10.730848861283645</v>
      </c>
      <c r="D238" s="15">
        <v>6.2509145895322185</v>
      </c>
    </row>
    <row r="239" ht="14.25" customHeight="1">
      <c r="A239" s="1">
        <v>51401.0</v>
      </c>
      <c r="B239" s="1" t="s">
        <v>368</v>
      </c>
      <c r="C239" s="15">
        <v>9.124276132150149</v>
      </c>
      <c r="D239" s="15">
        <v>3.8872744232770065</v>
      </c>
    </row>
    <row r="240" ht="14.25" customHeight="1">
      <c r="A240" s="1">
        <v>51402.0</v>
      </c>
      <c r="B240" s="1" t="s">
        <v>369</v>
      </c>
      <c r="C240" s="15">
        <v>10.528360528360528</v>
      </c>
      <c r="D240" s="15">
        <v>0.0</v>
      </c>
    </row>
    <row r="241" ht="14.25" customHeight="1">
      <c r="A241" s="1">
        <v>51501.0</v>
      </c>
      <c r="B241" s="1" t="s">
        <v>371</v>
      </c>
      <c r="C241" s="15">
        <v>7.129658732539528</v>
      </c>
      <c r="D241" s="15">
        <v>3.0038776061906534</v>
      </c>
    </row>
    <row r="242" ht="14.25" customHeight="1">
      <c r="A242" s="1">
        <v>51601.0</v>
      </c>
      <c r="B242" s="1" t="s">
        <v>373</v>
      </c>
      <c r="C242" s="15">
        <v>5.222796527144353</v>
      </c>
      <c r="D242" s="15">
        <v>2.300066093853272</v>
      </c>
    </row>
    <row r="243" ht="14.25" customHeight="1">
      <c r="A243" s="1">
        <v>60101.0</v>
      </c>
      <c r="B243" s="1" t="s">
        <v>42</v>
      </c>
      <c r="C243" s="15">
        <v>4.112921218435923</v>
      </c>
      <c r="D243" s="15">
        <v>1.3438672283412885</v>
      </c>
    </row>
    <row r="244" ht="14.25" customHeight="1">
      <c r="A244" s="1">
        <v>60201.0</v>
      </c>
      <c r="B244" s="1" t="s">
        <v>375</v>
      </c>
      <c r="C244" s="15">
        <v>6.141953634780825</v>
      </c>
      <c r="D244" s="15">
        <v>1.5321231672555347</v>
      </c>
    </row>
    <row r="245" ht="14.25" customHeight="1">
      <c r="A245" s="1">
        <v>60202.0</v>
      </c>
      <c r="B245" s="1" t="s">
        <v>376</v>
      </c>
      <c r="C245" s="15">
        <v>5.050863816373671</v>
      </c>
      <c r="D245" s="15">
        <v>2.6855738449162585</v>
      </c>
    </row>
    <row r="246" ht="14.25" customHeight="1">
      <c r="A246" s="1">
        <v>60301.0</v>
      </c>
      <c r="B246" s="1" t="s">
        <v>377</v>
      </c>
      <c r="C246" s="15">
        <v>5.774300888128525</v>
      </c>
      <c r="D246" s="15">
        <v>1.5899252429042683</v>
      </c>
    </row>
    <row r="247" ht="14.25" customHeight="1">
      <c r="A247" s="1">
        <v>60302.0</v>
      </c>
      <c r="B247" s="1" t="s">
        <v>378</v>
      </c>
      <c r="C247" s="15">
        <v>5.604938271604939</v>
      </c>
      <c r="D247" s="15">
        <v>1.8515187721349315</v>
      </c>
    </row>
    <row r="248" ht="14.25" customHeight="1">
      <c r="A248" s="1">
        <v>60303.0</v>
      </c>
      <c r="B248" s="1" t="s">
        <v>379</v>
      </c>
      <c r="C248" s="15">
        <v>6.959536823003305</v>
      </c>
      <c r="D248" s="15">
        <v>2.860648809600426</v>
      </c>
    </row>
    <row r="249" ht="14.25" customHeight="1">
      <c r="A249" s="1">
        <v>60401.0</v>
      </c>
      <c r="B249" s="1" t="s">
        <v>381</v>
      </c>
      <c r="C249" s="15">
        <v>9.64391515071416</v>
      </c>
      <c r="D249" s="15">
        <v>1.4316153537349843</v>
      </c>
    </row>
    <row r="250" ht="14.25" customHeight="1">
      <c r="A250" s="1">
        <v>60402.0</v>
      </c>
      <c r="B250" s="1" t="s">
        <v>383</v>
      </c>
      <c r="C250" s="15">
        <v>5.828280246884898</v>
      </c>
      <c r="D250" s="15">
        <v>3.4226190476190474</v>
      </c>
    </row>
    <row r="251" ht="14.25" customHeight="1">
      <c r="A251" s="1">
        <v>60501.0</v>
      </c>
      <c r="B251" s="1" t="s">
        <v>385</v>
      </c>
      <c r="C251" s="15">
        <v>11.394070825461483</v>
      </c>
      <c r="D251" s="15">
        <v>2.7060943633296857</v>
      </c>
    </row>
    <row r="252" ht="14.25" customHeight="1">
      <c r="A252" s="1">
        <v>60502.0</v>
      </c>
      <c r="B252" s="1" t="s">
        <v>387</v>
      </c>
      <c r="C252" s="15">
        <v>10.775002664201034</v>
      </c>
      <c r="D252" s="15">
        <v>3.080568720379147</v>
      </c>
    </row>
    <row r="253" ht="14.25" customHeight="1">
      <c r="A253" s="1">
        <v>60601.0</v>
      </c>
      <c r="B253" s="1" t="s">
        <v>239</v>
      </c>
      <c r="C253" s="15">
        <v>9.855120371675897</v>
      </c>
      <c r="D253" s="15">
        <v>2.4100557638137285</v>
      </c>
    </row>
    <row r="254" ht="14.25" customHeight="1">
      <c r="A254" s="1">
        <v>70101.0</v>
      </c>
      <c r="B254" s="1" t="s">
        <v>390</v>
      </c>
      <c r="C254" s="15">
        <v>5.401475985250266</v>
      </c>
      <c r="D254" s="15">
        <v>1.4845564139846785</v>
      </c>
    </row>
    <row r="255" ht="14.25" customHeight="1">
      <c r="A255" s="1">
        <v>70102.0</v>
      </c>
      <c r="B255" s="1" t="s">
        <v>391</v>
      </c>
      <c r="C255" s="15">
        <v>8.912639297343233</v>
      </c>
      <c r="D255" s="15">
        <v>2.1932115452643712</v>
      </c>
    </row>
    <row r="256" ht="14.25" customHeight="1">
      <c r="A256" s="1">
        <v>70103.0</v>
      </c>
      <c r="B256" s="1" t="s">
        <v>392</v>
      </c>
      <c r="C256" s="15">
        <v>17.701496314336257</v>
      </c>
      <c r="D256" s="15">
        <v>3.957390165428091</v>
      </c>
    </row>
    <row r="257" ht="14.25" customHeight="1">
      <c r="A257" s="1">
        <v>70104.0</v>
      </c>
      <c r="B257" s="1" t="s">
        <v>394</v>
      </c>
      <c r="C257" s="15">
        <v>5.3377212650256</v>
      </c>
      <c r="D257" s="15">
        <v>1.6564129594744101</v>
      </c>
    </row>
    <row r="258" ht="14.25" customHeight="1">
      <c r="A258" s="1">
        <v>70105.0</v>
      </c>
      <c r="B258" s="1" t="s">
        <v>395</v>
      </c>
      <c r="C258" s="15">
        <v>5.880889075562742</v>
      </c>
      <c r="D258" s="15">
        <v>2.1919422848672663</v>
      </c>
    </row>
    <row r="259" ht="14.25" customHeight="1">
      <c r="A259" s="1">
        <v>70201.0</v>
      </c>
      <c r="B259" s="1" t="s">
        <v>396</v>
      </c>
      <c r="C259" s="15">
        <v>7.68899617535896</v>
      </c>
      <c r="D259" s="15">
        <v>2.0897793404547103</v>
      </c>
    </row>
    <row r="260" ht="14.25" customHeight="1">
      <c r="A260" s="1">
        <v>70202.0</v>
      </c>
      <c r="B260" s="1" t="s">
        <v>397</v>
      </c>
      <c r="C260" s="15">
        <v>8.343463028654538</v>
      </c>
      <c r="D260" s="15">
        <v>1.642092276332817</v>
      </c>
    </row>
    <row r="261" ht="14.25" customHeight="1">
      <c r="A261" s="1">
        <v>70301.0</v>
      </c>
      <c r="B261" s="1" t="s">
        <v>399</v>
      </c>
      <c r="C261" s="15">
        <v>8.086700801162886</v>
      </c>
      <c r="D261" s="15">
        <v>2.6709054790468407</v>
      </c>
    </row>
    <row r="262" ht="14.25" customHeight="1">
      <c r="A262" s="1">
        <v>70302.0</v>
      </c>
      <c r="B262" s="1" t="s">
        <v>400</v>
      </c>
      <c r="C262" s="15">
        <v>5.167521072134862</v>
      </c>
      <c r="D262" s="15">
        <v>1.704816659186276</v>
      </c>
    </row>
    <row r="263" ht="14.25" customHeight="1">
      <c r="A263" s="1">
        <v>70303.0</v>
      </c>
      <c r="B263" s="1" t="s">
        <v>401</v>
      </c>
      <c r="C263" s="15">
        <v>11.766648242349097</v>
      </c>
      <c r="D263" s="15">
        <v>1.8994189541174114</v>
      </c>
    </row>
    <row r="264" ht="14.25" customHeight="1">
      <c r="A264" s="1">
        <v>70401.0</v>
      </c>
      <c r="B264" s="1" t="s">
        <v>403</v>
      </c>
      <c r="C264" s="15">
        <v>7.301463733655244</v>
      </c>
      <c r="D264" s="15">
        <v>2.9183029183029183</v>
      </c>
    </row>
    <row r="265" ht="14.25" customHeight="1">
      <c r="A265" s="1">
        <v>70402.0</v>
      </c>
      <c r="B265" s="1" t="s">
        <v>404</v>
      </c>
      <c r="C265" s="15">
        <v>8.322258159622562</v>
      </c>
      <c r="D265" s="15">
        <v>2.315087257747865</v>
      </c>
    </row>
    <row r="266" ht="14.25" customHeight="1">
      <c r="A266" s="1">
        <v>70403.0</v>
      </c>
      <c r="B266" s="1" t="s">
        <v>405</v>
      </c>
      <c r="C266" s="15">
        <v>4.9730016645674135</v>
      </c>
      <c r="D266" s="15">
        <v>2.7550405566632232</v>
      </c>
    </row>
    <row r="267" ht="14.25" customHeight="1">
      <c r="A267" s="1">
        <v>70404.0</v>
      </c>
      <c r="B267" s="1" t="s">
        <v>406</v>
      </c>
      <c r="C267" s="15">
        <v>6.226074661930004</v>
      </c>
      <c r="D267" s="15">
        <v>3.1385878458618137</v>
      </c>
    </row>
    <row r="268" ht="14.25" customHeight="1">
      <c r="A268" s="1">
        <v>70501.0</v>
      </c>
      <c r="B268" s="1" t="s">
        <v>408</v>
      </c>
      <c r="C268" s="15">
        <v>5.595137699347309</v>
      </c>
      <c r="D268" s="15">
        <v>2.69222219390428</v>
      </c>
    </row>
    <row r="269" ht="14.25" customHeight="1">
      <c r="A269" s="1">
        <v>70502.0</v>
      </c>
      <c r="B269" s="1" t="s">
        <v>409</v>
      </c>
      <c r="C269" s="15">
        <v>8.766102183964266</v>
      </c>
      <c r="D269" s="15">
        <v>3.8147848585838484</v>
      </c>
    </row>
    <row r="270" ht="14.25" customHeight="1">
      <c r="A270" s="1">
        <v>70503.0</v>
      </c>
      <c r="B270" s="1" t="s">
        <v>410</v>
      </c>
      <c r="C270" s="15">
        <v>6.270617377442846</v>
      </c>
      <c r="D270" s="15">
        <v>1.7077732544309319</v>
      </c>
    </row>
    <row r="271" ht="14.25" customHeight="1">
      <c r="A271" s="1">
        <v>70601.0</v>
      </c>
      <c r="B271" s="1" t="s">
        <v>412</v>
      </c>
      <c r="C271" s="15">
        <v>7.5091398112926315</v>
      </c>
      <c r="D271" s="15">
        <v>3.280443201376936</v>
      </c>
    </row>
    <row r="272" ht="14.25" customHeight="1">
      <c r="A272" s="1">
        <v>70602.0</v>
      </c>
      <c r="B272" s="1" t="s">
        <v>413</v>
      </c>
      <c r="C272" s="15">
        <v>11.562271586477337</v>
      </c>
      <c r="D272" s="15">
        <v>4.129099858667576</v>
      </c>
    </row>
    <row r="273" ht="14.25" customHeight="1">
      <c r="A273" s="1">
        <v>70603.0</v>
      </c>
      <c r="B273" s="1" t="s">
        <v>414</v>
      </c>
      <c r="C273" s="15">
        <v>13.98477000535811</v>
      </c>
      <c r="D273" s="15">
        <v>2.889212827988338</v>
      </c>
    </row>
    <row r="274" ht="14.25" customHeight="1">
      <c r="A274" s="1">
        <v>70701.0</v>
      </c>
      <c r="B274" s="1" t="s">
        <v>416</v>
      </c>
      <c r="C274" s="15">
        <v>8.683260751242068</v>
      </c>
      <c r="D274" s="15">
        <v>2.6125178889570373</v>
      </c>
    </row>
    <row r="275" ht="14.25" customHeight="1">
      <c r="A275" s="1">
        <v>70702.0</v>
      </c>
      <c r="B275" s="1" t="s">
        <v>417</v>
      </c>
      <c r="C275" s="15">
        <v>10.811811721499936</v>
      </c>
      <c r="D275" s="15">
        <v>3.222431829874807</v>
      </c>
    </row>
    <row r="276" ht="14.25" customHeight="1">
      <c r="A276" s="1">
        <v>70703.0</v>
      </c>
      <c r="B276" s="1" t="s">
        <v>419</v>
      </c>
      <c r="C276" s="15">
        <v>6.275765213976174</v>
      </c>
      <c r="D276" s="15">
        <v>3.5997375698402845</v>
      </c>
    </row>
    <row r="277" ht="14.25" customHeight="1">
      <c r="A277" s="1">
        <v>70704.0</v>
      </c>
      <c r="B277" s="1" t="s">
        <v>420</v>
      </c>
      <c r="C277" s="15">
        <v>5.610036219082978</v>
      </c>
      <c r="D277" s="15">
        <v>2.1666133674448353</v>
      </c>
    </row>
    <row r="278" ht="14.25" customHeight="1">
      <c r="A278" s="1">
        <v>70705.0</v>
      </c>
      <c r="B278" s="1" t="s">
        <v>421</v>
      </c>
      <c r="C278" s="15">
        <v>7.751706893291787</v>
      </c>
      <c r="D278" s="15">
        <v>2.874399045357016</v>
      </c>
    </row>
    <row r="279" ht="14.25" customHeight="1">
      <c r="A279" s="1">
        <v>70706.0</v>
      </c>
      <c r="B279" s="1" t="s">
        <v>423</v>
      </c>
      <c r="C279" s="15">
        <v>4.250866130715387</v>
      </c>
      <c r="D279" s="15">
        <v>1.8284477031270197</v>
      </c>
    </row>
    <row r="280" ht="14.25" customHeight="1">
      <c r="A280" s="1">
        <v>70707.0</v>
      </c>
      <c r="B280" s="1" t="s">
        <v>424</v>
      </c>
      <c r="C280" s="15">
        <v>7.500104543657431</v>
      </c>
      <c r="D280" s="15">
        <v>1.183547061752988</v>
      </c>
    </row>
    <row r="281" ht="14.25" customHeight="1">
      <c r="A281" s="1">
        <v>70801.0</v>
      </c>
      <c r="B281" s="1" t="s">
        <v>425</v>
      </c>
      <c r="C281" s="15">
        <v>6.275570787786393</v>
      </c>
      <c r="D281" s="15">
        <v>1.3104614357427238</v>
      </c>
    </row>
    <row r="282" ht="14.25" customHeight="1">
      <c r="A282" s="1">
        <v>70802.0</v>
      </c>
      <c r="B282" s="1" t="s">
        <v>426</v>
      </c>
      <c r="C282" s="15">
        <v>8.132408913331433</v>
      </c>
      <c r="D282" s="15">
        <v>0.6756756756756757</v>
      </c>
    </row>
    <row r="283" ht="14.25" customHeight="1">
      <c r="A283" s="1">
        <v>70803.0</v>
      </c>
      <c r="B283" s="1" t="s">
        <v>427</v>
      </c>
      <c r="C283" s="15">
        <v>8.459417596569901</v>
      </c>
      <c r="D283" s="15">
        <v>5.6302011095700415</v>
      </c>
    </row>
    <row r="284" ht="14.25" customHeight="1">
      <c r="A284" s="1">
        <v>70804.0</v>
      </c>
      <c r="B284" s="1" t="s">
        <v>428</v>
      </c>
      <c r="C284" s="15">
        <v>15.260431058303398</v>
      </c>
      <c r="D284" s="15">
        <v>0.7462686567164178</v>
      </c>
    </row>
    <row r="285" ht="14.25" customHeight="1">
      <c r="A285" s="1">
        <v>70805.0</v>
      </c>
      <c r="B285" s="1" t="s">
        <v>429</v>
      </c>
      <c r="C285" s="15">
        <v>13.676294240586563</v>
      </c>
      <c r="D285" s="15">
        <v>0.0</v>
      </c>
    </row>
    <row r="286" ht="14.25" customHeight="1">
      <c r="A286" s="1">
        <v>70901.0</v>
      </c>
      <c r="B286" s="1" t="s">
        <v>431</v>
      </c>
      <c r="C286" s="15">
        <v>6.696950524742701</v>
      </c>
      <c r="D286" s="15">
        <v>1.9002945347441913</v>
      </c>
    </row>
    <row r="287" ht="14.25" customHeight="1">
      <c r="A287" s="1">
        <v>70902.0</v>
      </c>
      <c r="B287" s="1" t="s">
        <v>432</v>
      </c>
      <c r="C287" s="15">
        <v>4.813212668574265</v>
      </c>
      <c r="D287" s="15">
        <v>1.6523028449633954</v>
      </c>
    </row>
    <row r="288" ht="14.25" customHeight="1">
      <c r="A288" s="1">
        <v>70903.0</v>
      </c>
      <c r="B288" s="1" t="s">
        <v>434</v>
      </c>
      <c r="C288" s="15">
        <v>7.065931179406358</v>
      </c>
      <c r="D288" s="15">
        <v>4.471820329296717</v>
      </c>
    </row>
    <row r="289" ht="14.25" customHeight="1">
      <c r="A289" s="1">
        <v>70904.0</v>
      </c>
      <c r="B289" s="1" t="s">
        <v>435</v>
      </c>
      <c r="C289" s="15">
        <v>8.467850962578412</v>
      </c>
      <c r="D289" s="15">
        <v>0.9259259259259258</v>
      </c>
    </row>
    <row r="290" ht="14.25" customHeight="1">
      <c r="A290" s="1">
        <v>71001.0</v>
      </c>
      <c r="B290" s="1" t="s">
        <v>437</v>
      </c>
      <c r="C290" s="15">
        <v>5.819576129064618</v>
      </c>
      <c r="D290" s="15">
        <v>3.0262843169023315</v>
      </c>
    </row>
    <row r="291" ht="14.25" customHeight="1">
      <c r="A291" s="1">
        <v>71002.0</v>
      </c>
      <c r="B291" s="1" t="s">
        <v>438</v>
      </c>
      <c r="C291" s="15">
        <v>7.9064419893317925</v>
      </c>
      <c r="D291" s="15">
        <v>3.796671605611095</v>
      </c>
    </row>
    <row r="292" ht="14.25" customHeight="1">
      <c r="A292" s="1">
        <v>71003.0</v>
      </c>
      <c r="B292" s="1" t="s">
        <v>439</v>
      </c>
      <c r="C292" s="15">
        <v>7.892758238080951</v>
      </c>
      <c r="D292" s="15">
        <v>2.5577184128990806</v>
      </c>
    </row>
    <row r="293" ht="14.25" customHeight="1">
      <c r="A293" s="1">
        <v>71004.0</v>
      </c>
      <c r="B293" s="1" t="s">
        <v>440</v>
      </c>
      <c r="C293" s="15">
        <v>6.833544351960891</v>
      </c>
      <c r="D293" s="15">
        <v>2.3053617680978578</v>
      </c>
    </row>
    <row r="294" ht="14.25" customHeight="1">
      <c r="A294" s="1">
        <v>71005.0</v>
      </c>
      <c r="B294" s="1" t="s">
        <v>330</v>
      </c>
      <c r="C294" s="15">
        <v>5.850367004236452</v>
      </c>
      <c r="D294" s="15">
        <v>2.328134681355881</v>
      </c>
    </row>
    <row r="295" ht="14.25" customHeight="1">
      <c r="A295" s="1">
        <v>71101.0</v>
      </c>
      <c r="B295" s="1" t="s">
        <v>382</v>
      </c>
      <c r="C295" s="15">
        <v>6.5102008221756895</v>
      </c>
      <c r="D295" s="15">
        <v>2.01257080954208</v>
      </c>
    </row>
    <row r="296" ht="14.25" customHeight="1">
      <c r="A296" s="1">
        <v>71102.0</v>
      </c>
      <c r="B296" s="1" t="s">
        <v>442</v>
      </c>
      <c r="C296" s="15">
        <v>7.107343512885059</v>
      </c>
      <c r="D296" s="15">
        <v>2.1238938053097347</v>
      </c>
    </row>
    <row r="297" ht="14.25" customHeight="1">
      <c r="A297" s="1">
        <v>71103.0</v>
      </c>
      <c r="B297" s="1" t="s">
        <v>443</v>
      </c>
      <c r="C297" s="15">
        <v>9.314898285871386</v>
      </c>
      <c r="D297" s="15">
        <v>3.953028771026749</v>
      </c>
    </row>
    <row r="298" ht="14.25" customHeight="1">
      <c r="A298" s="1">
        <v>71104.0</v>
      </c>
      <c r="B298" s="1" t="s">
        <v>444</v>
      </c>
      <c r="C298" s="15">
        <v>7.486658989983611</v>
      </c>
      <c r="D298" s="7">
        <v>2.102730143590672</v>
      </c>
    </row>
    <row r="299" ht="14.25" customHeight="1">
      <c r="A299" s="1">
        <v>71105.0</v>
      </c>
      <c r="B299" s="1" t="s">
        <v>445</v>
      </c>
      <c r="C299" s="15">
        <v>4.701095675237638</v>
      </c>
      <c r="D299" s="7">
        <v>2.2252119340462775</v>
      </c>
    </row>
    <row r="300" ht="14.25" customHeight="1">
      <c r="A300" s="1">
        <v>71106.0</v>
      </c>
      <c r="B300" s="1" t="s">
        <v>446</v>
      </c>
      <c r="C300" s="15">
        <v>6.631638013736789</v>
      </c>
      <c r="D300" s="15">
        <v>1.961013962867531</v>
      </c>
    </row>
    <row r="301" ht="14.25" customHeight="1">
      <c r="A301" s="1">
        <v>71201.0</v>
      </c>
      <c r="B301" s="1" t="s">
        <v>448</v>
      </c>
      <c r="C301" s="15">
        <v>10.0800909113122</v>
      </c>
      <c r="D301" s="15">
        <v>2.7106884106780185</v>
      </c>
    </row>
    <row r="302" ht="14.25" customHeight="1">
      <c r="A302" s="1">
        <v>71301.0</v>
      </c>
      <c r="B302" s="1" t="s">
        <v>450</v>
      </c>
      <c r="C302" s="15">
        <v>5.230127877513863</v>
      </c>
      <c r="D302" s="15">
        <v>3.3818294381674665</v>
      </c>
    </row>
    <row r="303" ht="14.25" customHeight="1">
      <c r="A303" s="1">
        <v>71302.0</v>
      </c>
      <c r="B303" s="1" t="s">
        <v>451</v>
      </c>
      <c r="C303" s="15">
        <v>6.978354663557592</v>
      </c>
      <c r="D303" s="15">
        <v>1.8545751633986929</v>
      </c>
    </row>
    <row r="304" ht="14.25" customHeight="1">
      <c r="A304" s="1">
        <v>71401.0</v>
      </c>
      <c r="B304" s="1" t="s">
        <v>453</v>
      </c>
      <c r="C304" s="15">
        <v>5.2534875654270925</v>
      </c>
      <c r="D304" s="15">
        <v>2.922122278902852</v>
      </c>
    </row>
    <row r="305" ht="14.25" customHeight="1">
      <c r="A305" s="1">
        <v>71402.0</v>
      </c>
      <c r="B305" s="1" t="s">
        <v>455</v>
      </c>
      <c r="C305" s="15">
        <v>6.835891134382511</v>
      </c>
      <c r="D305" s="15">
        <v>3.2819368364103605</v>
      </c>
    </row>
    <row r="306" ht="14.25" customHeight="1">
      <c r="A306" s="1">
        <v>71403.0</v>
      </c>
      <c r="B306" s="1" t="s">
        <v>456</v>
      </c>
      <c r="C306" s="15">
        <v>10.115652928949586</v>
      </c>
      <c r="D306" s="15">
        <v>4.652857690832375</v>
      </c>
    </row>
    <row r="307" ht="14.25" customHeight="1">
      <c r="A307" s="1">
        <v>71501.0</v>
      </c>
      <c r="B307" s="1" t="s">
        <v>458</v>
      </c>
      <c r="C307" s="15">
        <v>10.104697634390474</v>
      </c>
      <c r="D307" s="15">
        <v>5.499671168223244</v>
      </c>
    </row>
    <row r="308" ht="14.25" customHeight="1">
      <c r="A308" s="1">
        <v>71502.0</v>
      </c>
      <c r="B308" s="1" t="s">
        <v>459</v>
      </c>
      <c r="C308" s="15">
        <v>4.873284471014737</v>
      </c>
      <c r="D308" s="15">
        <v>4.242706885122808</v>
      </c>
    </row>
    <row r="309" ht="14.25" customHeight="1">
      <c r="A309" s="1">
        <v>71503.0</v>
      </c>
      <c r="B309" s="1" t="s">
        <v>387</v>
      </c>
      <c r="C309" s="15">
        <v>6.984998961881643</v>
      </c>
      <c r="D309" s="15">
        <v>2.9775641025641026</v>
      </c>
    </row>
    <row r="310" ht="14.25" customHeight="1">
      <c r="A310" s="1">
        <v>80101.0</v>
      </c>
      <c r="B310" s="1" t="s">
        <v>461</v>
      </c>
      <c r="C310" s="15">
        <v>8.153604473141845</v>
      </c>
      <c r="D310" s="15">
        <v>2.354787342696082</v>
      </c>
    </row>
    <row r="311" ht="14.25" customHeight="1">
      <c r="A311" s="1">
        <v>80102.0</v>
      </c>
      <c r="B311" s="1" t="s">
        <v>442</v>
      </c>
      <c r="C311" s="15">
        <v>21.621039944903583</v>
      </c>
      <c r="D311" s="15">
        <v>3.5431446955947865</v>
      </c>
    </row>
    <row r="312" ht="14.25" customHeight="1">
      <c r="A312" s="1">
        <v>80201.0</v>
      </c>
      <c r="B312" s="1" t="s">
        <v>463</v>
      </c>
      <c r="C312" s="15">
        <v>12.4999264480807</v>
      </c>
      <c r="D312" s="15">
        <v>5.558860814975551</v>
      </c>
    </row>
    <row r="313" ht="14.25" customHeight="1">
      <c r="A313" s="1">
        <v>80202.0</v>
      </c>
      <c r="B313" s="1" t="s">
        <v>464</v>
      </c>
      <c r="C313" s="15">
        <v>6.05103432947854</v>
      </c>
      <c r="D313" s="15">
        <v>4.042235571863586</v>
      </c>
    </row>
    <row r="314" ht="14.25" customHeight="1">
      <c r="A314" s="1">
        <v>80301.0</v>
      </c>
      <c r="B314" s="1" t="s">
        <v>466</v>
      </c>
      <c r="C314" s="15">
        <v>12.409610012362927</v>
      </c>
      <c r="D314" s="15">
        <v>4.351696905642652</v>
      </c>
    </row>
    <row r="315" ht="14.25" customHeight="1">
      <c r="A315" s="1">
        <v>80302.0</v>
      </c>
      <c r="B315" s="1" t="s">
        <v>467</v>
      </c>
      <c r="C315" s="15">
        <v>13.878461118684614</v>
      </c>
      <c r="D315" s="15">
        <v>4.8586843786657194</v>
      </c>
    </row>
    <row r="316" ht="14.25" customHeight="1">
      <c r="A316" s="1">
        <v>80303.0</v>
      </c>
      <c r="B316" s="1" t="s">
        <v>413</v>
      </c>
      <c r="C316" s="15">
        <v>8.891410062080585</v>
      </c>
      <c r="D316" s="15">
        <v>3.5093253373313344</v>
      </c>
    </row>
    <row r="317" ht="14.25" customHeight="1">
      <c r="A317" s="1">
        <v>80304.0</v>
      </c>
      <c r="B317" s="1" t="s">
        <v>468</v>
      </c>
      <c r="C317" s="15">
        <v>10.672556691157787</v>
      </c>
      <c r="D317" s="15">
        <v>3.034355988345366</v>
      </c>
    </row>
    <row r="318" ht="14.25" customHeight="1">
      <c r="A318" s="1">
        <v>80401.0</v>
      </c>
      <c r="B318" s="1" t="s">
        <v>471</v>
      </c>
      <c r="C318" s="15">
        <v>15.257345250098941</v>
      </c>
      <c r="D318" s="15">
        <v>5.590607008820109</v>
      </c>
    </row>
    <row r="319" ht="14.25" customHeight="1">
      <c r="A319" s="1">
        <v>80402.0</v>
      </c>
      <c r="B319" s="1" t="s">
        <v>473</v>
      </c>
      <c r="C319" s="15">
        <v>31.91595300542753</v>
      </c>
      <c r="D319" s="15">
        <v>4.634555573743657</v>
      </c>
    </row>
    <row r="320" ht="14.25" customHeight="1">
      <c r="A320" s="1">
        <v>80501.0</v>
      </c>
      <c r="B320" s="1" t="s">
        <v>399</v>
      </c>
      <c r="C320" s="15">
        <v>14.265870810076501</v>
      </c>
      <c r="D320" s="15">
        <v>4.1779743980569295</v>
      </c>
    </row>
    <row r="321" ht="14.25" customHeight="1">
      <c r="A321" s="1">
        <v>80601.0</v>
      </c>
      <c r="B321" s="1" t="s">
        <v>476</v>
      </c>
      <c r="C321" s="15">
        <v>13.747136116267257</v>
      </c>
      <c r="D321" s="15">
        <v>3.084440882477348</v>
      </c>
    </row>
    <row r="322" ht="14.25" customHeight="1">
      <c r="A322" s="1">
        <v>80602.0</v>
      </c>
      <c r="B322" s="1" t="s">
        <v>477</v>
      </c>
      <c r="C322" s="15">
        <v>11.483404348970387</v>
      </c>
      <c r="D322" s="15">
        <v>3.8110977564102564</v>
      </c>
    </row>
    <row r="323" ht="14.25" customHeight="1">
      <c r="A323" s="1">
        <v>80701.0</v>
      </c>
      <c r="B323" s="1" t="s">
        <v>479</v>
      </c>
      <c r="C323" s="15">
        <v>13.845780355214316</v>
      </c>
      <c r="D323" s="15">
        <v>5.061326353592841</v>
      </c>
    </row>
    <row r="324" ht="14.25" customHeight="1">
      <c r="A324" s="1">
        <v>80702.0</v>
      </c>
      <c r="B324" s="1" t="s">
        <v>443</v>
      </c>
      <c r="C324" s="15">
        <v>10.339159219769986</v>
      </c>
      <c r="D324" s="15">
        <v>3.294510945756498</v>
      </c>
    </row>
    <row r="325" ht="14.25" customHeight="1">
      <c r="A325" s="1">
        <v>80703.0</v>
      </c>
      <c r="B325" s="1" t="s">
        <v>480</v>
      </c>
      <c r="C325" s="15">
        <v>13.6002886002886</v>
      </c>
      <c r="D325" s="15">
        <v>4.487179487179487</v>
      </c>
    </row>
    <row r="326" ht="14.25" customHeight="1">
      <c r="A326" s="1">
        <v>80801.0</v>
      </c>
      <c r="B326" s="1" t="s">
        <v>482</v>
      </c>
      <c r="C326" s="15">
        <v>8.410272738866011</v>
      </c>
      <c r="D326" s="15">
        <v>4.969875909285409</v>
      </c>
    </row>
    <row r="327" ht="14.25" customHeight="1">
      <c r="A327" s="1">
        <v>80802.0</v>
      </c>
      <c r="B327" s="1" t="s">
        <v>483</v>
      </c>
      <c r="C327" s="15">
        <v>5.360479494123005</v>
      </c>
      <c r="D327" s="15">
        <v>3.9796098248912912</v>
      </c>
    </row>
    <row r="328" ht="14.25" customHeight="1">
      <c r="A328" s="1">
        <v>80803.0</v>
      </c>
      <c r="B328" s="1" t="s">
        <v>484</v>
      </c>
      <c r="C328" s="15">
        <v>9.467269835367995</v>
      </c>
      <c r="D328" s="15">
        <v>3.225806451612903</v>
      </c>
    </row>
    <row r="329" ht="14.25" customHeight="1">
      <c r="A329" s="1">
        <v>80901.0</v>
      </c>
      <c r="B329" s="1" t="s">
        <v>485</v>
      </c>
      <c r="C329" s="15">
        <v>14.710616848706513</v>
      </c>
      <c r="D329" s="15">
        <v>4.764165604408303</v>
      </c>
    </row>
    <row r="330" ht="14.25" customHeight="1">
      <c r="A330" s="1">
        <v>90101.0</v>
      </c>
      <c r="B330" s="1" t="s">
        <v>488</v>
      </c>
      <c r="C330" s="15">
        <v>8.81261914778383</v>
      </c>
      <c r="D330" s="15">
        <v>3.3013745099470553</v>
      </c>
    </row>
    <row r="331" ht="14.25" customHeight="1">
      <c r="A331" s="1">
        <v>90102.0</v>
      </c>
      <c r="B331" s="1" t="s">
        <v>489</v>
      </c>
      <c r="C331" s="15">
        <v>11.339637509850277</v>
      </c>
      <c r="D331" s="15">
        <v>2.9780869442084397</v>
      </c>
    </row>
    <row r="332" ht="14.25" customHeight="1">
      <c r="A332" s="1">
        <v>90103.0</v>
      </c>
      <c r="B332" s="1" t="s">
        <v>490</v>
      </c>
      <c r="C332" s="15">
        <v>42.83967615400612</v>
      </c>
      <c r="D332" s="15">
        <v>6.150537634408602</v>
      </c>
    </row>
    <row r="333" ht="14.25" customHeight="1">
      <c r="A333" s="1">
        <v>90104.0</v>
      </c>
      <c r="B333" s="1" t="s">
        <v>491</v>
      </c>
      <c r="C333" s="15">
        <v>29.705711837063927</v>
      </c>
      <c r="D333" s="15">
        <v>8.014812138728324</v>
      </c>
    </row>
    <row r="334" ht="14.25" customHeight="1">
      <c r="A334" s="1">
        <v>90201.0</v>
      </c>
      <c r="B334" s="1" t="s">
        <v>493</v>
      </c>
      <c r="C334" s="15">
        <v>19.508020672528357</v>
      </c>
      <c r="D334" s="15">
        <v>5.703588161822052</v>
      </c>
    </row>
    <row r="335" ht="14.25" customHeight="1">
      <c r="A335" s="1">
        <v>90202.0</v>
      </c>
      <c r="B335" s="1" t="s">
        <v>330</v>
      </c>
      <c r="C335" s="15">
        <v>13.337727971874314</v>
      </c>
      <c r="D335" s="15">
        <v>9.911380597014926</v>
      </c>
    </row>
    <row r="336" ht="14.25" customHeight="1">
      <c r="A336" s="1">
        <v>90203.0</v>
      </c>
      <c r="B336" s="1" t="s">
        <v>494</v>
      </c>
      <c r="C336" s="15">
        <v>17.301850317591825</v>
      </c>
      <c r="D336" s="15">
        <v>4.545454545454545</v>
      </c>
    </row>
    <row r="337" ht="14.25" customHeight="1">
      <c r="A337" s="1">
        <v>90301.0</v>
      </c>
      <c r="B337" s="1" t="s">
        <v>496</v>
      </c>
      <c r="C337" s="15">
        <v>17.069130802993765</v>
      </c>
      <c r="D337" s="15">
        <v>4.539805210946151</v>
      </c>
    </row>
    <row r="338" ht="14.25" customHeight="1">
      <c r="A338" s="1">
        <v>90302.0</v>
      </c>
      <c r="B338" s="1" t="s">
        <v>385</v>
      </c>
      <c r="C338" s="15">
        <v>22.288059850988912</v>
      </c>
      <c r="D338" s="15">
        <v>6.990521327014218</v>
      </c>
    </row>
    <row r="339" ht="14.25" customHeight="1">
      <c r="A339" s="1">
        <v>90303.0</v>
      </c>
      <c r="B339" s="1" t="s">
        <v>497</v>
      </c>
      <c r="C339" s="15">
        <v>17.555471220746366</v>
      </c>
      <c r="D339" s="15">
        <v>7.009113811499704</v>
      </c>
    </row>
    <row r="340" ht="14.25" customHeight="1">
      <c r="A340" s="1">
        <v>90401.0</v>
      </c>
      <c r="B340" s="1" t="s">
        <v>413</v>
      </c>
      <c r="C340" s="15">
        <v>19.984917043740577</v>
      </c>
      <c r="D340" s="15">
        <v>7.744937055281882</v>
      </c>
    </row>
    <row r="341" ht="14.25" customHeight="1">
      <c r="A341" s="1">
        <v>90402.0</v>
      </c>
      <c r="B341" s="1" t="s">
        <v>128</v>
      </c>
      <c r="C341" s="15">
        <v>20.977011494252874</v>
      </c>
      <c r="D341" s="15">
        <v>14.409198177926568</v>
      </c>
    </row>
    <row r="342" ht="14.25" customHeight="1">
      <c r="A342" s="1">
        <v>90501.0</v>
      </c>
      <c r="B342" s="1" t="s">
        <v>500</v>
      </c>
      <c r="C342" s="15">
        <v>35.32608695652174</v>
      </c>
      <c r="D342" s="15">
        <v>10.561660561660561</v>
      </c>
    </row>
    <row r="343" ht="14.25" customHeight="1">
      <c r="A343" s="1">
        <v>90502.0</v>
      </c>
      <c r="B343" s="1" t="s">
        <v>501</v>
      </c>
      <c r="C343" s="15">
        <v>30.20142309797482</v>
      </c>
      <c r="D343" s="15">
        <v>8.37245696400626</v>
      </c>
    </row>
    <row r="344" ht="14.25" customHeight="1">
      <c r="A344" s="1">
        <v>90503.0</v>
      </c>
      <c r="B344" s="1" t="s">
        <v>503</v>
      </c>
      <c r="C344" s="15">
        <v>20.714285714285715</v>
      </c>
      <c r="D344" s="15">
        <v>12.510192560998556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43"/>
    <col customWidth="1" min="4" max="4" width="13.43"/>
    <col customWidth="1" min="5" max="26" width="10.71"/>
  </cols>
  <sheetData>
    <row r="1" ht="14.25" customHeight="1">
      <c r="A1" s="1" t="s">
        <v>504</v>
      </c>
      <c r="B1" s="1" t="s">
        <v>2</v>
      </c>
      <c r="C1" s="14" t="s">
        <v>507</v>
      </c>
      <c r="D1" s="14" t="s">
        <v>508</v>
      </c>
    </row>
    <row r="2" ht="14.25" customHeight="1">
      <c r="A2" s="1">
        <v>10101.0</v>
      </c>
      <c r="B2" s="1" t="s">
        <v>29</v>
      </c>
      <c r="C2" s="16">
        <v>741.6666666666666</v>
      </c>
      <c r="D2" s="16">
        <v>371.0</v>
      </c>
    </row>
    <row r="3" ht="14.25" customHeight="1">
      <c r="A3" s="1">
        <v>10102.0</v>
      </c>
      <c r="B3" s="1" t="s">
        <v>30</v>
      </c>
      <c r="C3" s="16">
        <v>21.0</v>
      </c>
      <c r="D3" s="16">
        <v>10.666666666666666</v>
      </c>
    </row>
    <row r="4" ht="14.25" customHeight="1">
      <c r="A4" s="1">
        <v>10103.0</v>
      </c>
      <c r="B4" s="1" t="s">
        <v>32</v>
      </c>
      <c r="C4" s="16">
        <v>89.66666666666667</v>
      </c>
      <c r="D4" s="16">
        <v>30.0</v>
      </c>
    </row>
    <row r="5" ht="14.25" customHeight="1">
      <c r="A5" s="1">
        <v>10201.0</v>
      </c>
      <c r="B5" s="1" t="s">
        <v>34</v>
      </c>
      <c r="C5" s="16">
        <v>51.0</v>
      </c>
      <c r="D5" s="16">
        <v>13.0</v>
      </c>
    </row>
    <row r="6" ht="14.25" customHeight="1">
      <c r="A6" s="1">
        <v>10202.0</v>
      </c>
      <c r="B6" s="1" t="s">
        <v>37</v>
      </c>
      <c r="C6" s="16">
        <v>46.333333333333336</v>
      </c>
      <c r="D6" s="16">
        <v>34.0</v>
      </c>
    </row>
    <row r="7" ht="14.25" customHeight="1">
      <c r="A7" s="1">
        <v>10301.0</v>
      </c>
      <c r="B7" s="1" t="s">
        <v>40</v>
      </c>
      <c r="C7" s="16">
        <v>16.333333333333332</v>
      </c>
      <c r="D7" s="16">
        <v>6.0</v>
      </c>
    </row>
    <row r="8" ht="14.25" customHeight="1">
      <c r="A8" s="1">
        <v>10302.0</v>
      </c>
      <c r="B8" s="1" t="s">
        <v>43</v>
      </c>
      <c r="C8" s="16">
        <v>28.0</v>
      </c>
      <c r="D8" s="16">
        <v>11.333333333333334</v>
      </c>
    </row>
    <row r="9" ht="14.25" customHeight="1">
      <c r="A9" s="1">
        <v>10303.0</v>
      </c>
      <c r="B9" s="1" t="s">
        <v>45</v>
      </c>
      <c r="C9" s="16">
        <v>21.333333333333332</v>
      </c>
      <c r="D9" s="16">
        <v>9.666666666666666</v>
      </c>
    </row>
    <row r="10" ht="14.25" customHeight="1">
      <c r="A10" s="1">
        <v>10304.0</v>
      </c>
      <c r="B10" s="1" t="s">
        <v>48</v>
      </c>
      <c r="C10" s="16">
        <v>28.333333333333332</v>
      </c>
      <c r="D10" s="16">
        <v>12.666666666666666</v>
      </c>
    </row>
    <row r="11" ht="14.25" customHeight="1">
      <c r="A11" s="1">
        <v>10401.0</v>
      </c>
      <c r="B11" s="1" t="s">
        <v>51</v>
      </c>
      <c r="C11" s="16">
        <v>10.666666666666666</v>
      </c>
      <c r="D11" s="16">
        <v>8.666666666666666</v>
      </c>
    </row>
    <row r="12" ht="14.25" customHeight="1">
      <c r="A12" s="1">
        <v>10402.0</v>
      </c>
      <c r="B12" s="1" t="s">
        <v>50</v>
      </c>
      <c r="C12" s="16">
        <v>13.333333333333334</v>
      </c>
      <c r="D12" s="16">
        <v>10.0</v>
      </c>
    </row>
    <row r="13" ht="14.25" customHeight="1">
      <c r="A13" s="1">
        <v>10403.0</v>
      </c>
      <c r="B13" s="1" t="s">
        <v>55</v>
      </c>
      <c r="C13" s="16">
        <v>22.333333333333332</v>
      </c>
      <c r="D13" s="16">
        <v>8.0</v>
      </c>
    </row>
    <row r="14" ht="14.25" customHeight="1">
      <c r="A14" s="1">
        <v>10404.0</v>
      </c>
      <c r="B14" s="1" t="s">
        <v>57</v>
      </c>
      <c r="C14" s="16">
        <v>10.333333333333334</v>
      </c>
      <c r="D14" s="16">
        <v>1.6666666666666667</v>
      </c>
    </row>
    <row r="15" ht="14.25" customHeight="1">
      <c r="A15" s="1">
        <v>10405.0</v>
      </c>
      <c r="B15" s="1" t="s">
        <v>58</v>
      </c>
      <c r="C15" s="16">
        <v>3.6666666666666665</v>
      </c>
      <c r="D15" s="16">
        <v>1.0</v>
      </c>
    </row>
    <row r="16" ht="14.25" customHeight="1">
      <c r="A16" s="1">
        <v>10501.0</v>
      </c>
      <c r="B16" s="1" t="s">
        <v>60</v>
      </c>
      <c r="C16" s="16">
        <v>67.0</v>
      </c>
      <c r="D16" s="16">
        <v>22.0</v>
      </c>
    </row>
    <row r="17" ht="14.25" customHeight="1">
      <c r="A17" s="1">
        <v>10502.0</v>
      </c>
      <c r="B17" s="1" t="s">
        <v>61</v>
      </c>
      <c r="C17" s="16">
        <v>45.666666666666664</v>
      </c>
      <c r="D17" s="16">
        <v>13.333333333333334</v>
      </c>
    </row>
    <row r="18" ht="14.25" customHeight="1">
      <c r="A18" s="1">
        <v>10601.0</v>
      </c>
      <c r="B18" s="1" t="s">
        <v>64</v>
      </c>
      <c r="C18" s="16">
        <v>47.666666666666664</v>
      </c>
      <c r="D18" s="16">
        <v>30.0</v>
      </c>
    </row>
    <row r="19" ht="14.25" customHeight="1">
      <c r="A19" s="1">
        <v>10602.0</v>
      </c>
      <c r="B19" s="1" t="s">
        <v>63</v>
      </c>
      <c r="C19" s="16">
        <v>23.0</v>
      </c>
      <c r="D19" s="16">
        <v>11.0</v>
      </c>
    </row>
    <row r="20" ht="14.25" customHeight="1">
      <c r="A20" s="1">
        <v>10701.0</v>
      </c>
      <c r="B20" s="1" t="s">
        <v>66</v>
      </c>
      <c r="C20" s="16">
        <v>46.0</v>
      </c>
      <c r="D20" s="16">
        <v>21.333333333333332</v>
      </c>
    </row>
    <row r="21" ht="14.25" customHeight="1">
      <c r="A21" s="1">
        <v>10702.0</v>
      </c>
      <c r="B21" s="1" t="s">
        <v>67</v>
      </c>
      <c r="C21" s="16">
        <v>154.66666666666666</v>
      </c>
      <c r="D21" s="16">
        <v>77.0</v>
      </c>
    </row>
    <row r="22" ht="14.25" customHeight="1">
      <c r="A22" s="1">
        <v>10703.0</v>
      </c>
      <c r="B22" s="1" t="s">
        <v>68</v>
      </c>
      <c r="C22" s="16">
        <v>96.0</v>
      </c>
      <c r="D22" s="16">
        <v>30.333333333333332</v>
      </c>
    </row>
    <row r="23" ht="14.25" customHeight="1">
      <c r="A23" s="1">
        <v>10704.0</v>
      </c>
      <c r="B23" s="1" t="s">
        <v>69</v>
      </c>
      <c r="C23" s="16">
        <v>21.666666666666668</v>
      </c>
      <c r="D23" s="16">
        <v>36.333333333333336</v>
      </c>
    </row>
    <row r="24" ht="14.25" customHeight="1">
      <c r="A24" s="1">
        <v>10801.0</v>
      </c>
      <c r="B24" s="1" t="s">
        <v>71</v>
      </c>
      <c r="C24" s="16">
        <v>24.0</v>
      </c>
      <c r="D24" s="16">
        <v>5.333333333333333</v>
      </c>
    </row>
    <row r="25" ht="14.25" customHeight="1">
      <c r="A25" s="1">
        <v>10901.0</v>
      </c>
      <c r="B25" s="1" t="s">
        <v>73</v>
      </c>
      <c r="C25" s="16">
        <v>5.333333333333333</v>
      </c>
      <c r="D25" s="16">
        <v>2.3333333333333335</v>
      </c>
    </row>
    <row r="26" ht="14.25" customHeight="1">
      <c r="A26" s="1">
        <v>10902.0</v>
      </c>
      <c r="B26" s="1" t="s">
        <v>74</v>
      </c>
      <c r="C26" s="16">
        <v>65.0</v>
      </c>
      <c r="D26" s="16">
        <v>26.333333333333332</v>
      </c>
    </row>
    <row r="27" ht="14.25" customHeight="1">
      <c r="A27" s="1">
        <v>10903.0</v>
      </c>
      <c r="B27" s="1" t="s">
        <v>75</v>
      </c>
      <c r="C27" s="16">
        <v>4.0</v>
      </c>
      <c r="D27" s="16">
        <v>1.0</v>
      </c>
    </row>
    <row r="28" ht="14.25" customHeight="1">
      <c r="A28" s="1">
        <v>11001.0</v>
      </c>
      <c r="B28" s="1" t="s">
        <v>77</v>
      </c>
      <c r="C28" s="16">
        <v>14.666666666666666</v>
      </c>
      <c r="D28" s="16">
        <v>11.666666666666666</v>
      </c>
    </row>
    <row r="29" ht="14.25" customHeight="1">
      <c r="A29" s="1">
        <v>11002.0</v>
      </c>
      <c r="B29" s="1" t="s">
        <v>78</v>
      </c>
      <c r="C29" s="16">
        <v>9.0</v>
      </c>
      <c r="D29" s="16">
        <v>1.6666666666666667</v>
      </c>
    </row>
    <row r="30" ht="14.25" customHeight="1">
      <c r="A30" s="1">
        <v>11003.0</v>
      </c>
      <c r="B30" s="1" t="s">
        <v>80</v>
      </c>
      <c r="C30" s="16">
        <v>25.666666666666668</v>
      </c>
      <c r="D30" s="16">
        <v>8.333333333333334</v>
      </c>
    </row>
    <row r="31" ht="14.25" customHeight="1">
      <c r="A31" s="1">
        <v>20101.0</v>
      </c>
      <c r="B31" s="1" t="s">
        <v>83</v>
      </c>
      <c r="C31" s="16">
        <v>1431.6666666666667</v>
      </c>
      <c r="D31" s="16">
        <v>495.6666666666667</v>
      </c>
    </row>
    <row r="32" ht="14.25" customHeight="1">
      <c r="A32" s="1">
        <v>20102.0</v>
      </c>
      <c r="B32" s="1" t="s">
        <v>84</v>
      </c>
      <c r="C32" s="16">
        <v>54.666666666666664</v>
      </c>
      <c r="D32" s="16">
        <v>34.666666666666664</v>
      </c>
    </row>
    <row r="33" ht="14.25" customHeight="1">
      <c r="A33" s="1">
        <v>20103.0</v>
      </c>
      <c r="B33" s="1" t="s">
        <v>85</v>
      </c>
      <c r="C33" s="16">
        <v>36.666666666666664</v>
      </c>
      <c r="D33" s="16">
        <v>18.666666666666668</v>
      </c>
    </row>
    <row r="34" ht="14.25" customHeight="1">
      <c r="A34" s="1">
        <v>20104.0</v>
      </c>
      <c r="B34" s="1" t="s">
        <v>86</v>
      </c>
      <c r="C34" s="16">
        <v>57.0</v>
      </c>
      <c r="D34" s="16">
        <v>28.333333333333332</v>
      </c>
    </row>
    <row r="35" ht="14.25" customHeight="1">
      <c r="A35" s="1">
        <v>20105.0</v>
      </c>
      <c r="B35" s="1" t="s">
        <v>87</v>
      </c>
      <c r="C35" s="16">
        <v>2002.0</v>
      </c>
      <c r="D35" s="16">
        <v>809.6666666666666</v>
      </c>
    </row>
    <row r="36" ht="14.25" customHeight="1">
      <c r="A36" s="1">
        <v>20201.0</v>
      </c>
      <c r="B36" s="1" t="s">
        <v>89</v>
      </c>
      <c r="C36" s="16">
        <v>169.0</v>
      </c>
      <c r="D36" s="16">
        <v>34.0</v>
      </c>
    </row>
    <row r="37" ht="14.25" customHeight="1">
      <c r="A37" s="1">
        <v>20202.0</v>
      </c>
      <c r="B37" s="1" t="s">
        <v>90</v>
      </c>
      <c r="C37" s="16">
        <v>48.0</v>
      </c>
      <c r="D37" s="16">
        <v>12.333333333333334</v>
      </c>
    </row>
    <row r="38" ht="14.25" customHeight="1">
      <c r="A38" s="1">
        <v>20203.0</v>
      </c>
      <c r="B38" s="1" t="s">
        <v>91</v>
      </c>
      <c r="C38" s="16">
        <v>4.666666666666667</v>
      </c>
      <c r="D38" s="16">
        <v>1.6666666666666667</v>
      </c>
    </row>
    <row r="39" ht="14.25" customHeight="1">
      <c r="A39" s="1">
        <v>20204.0</v>
      </c>
      <c r="B39" s="1" t="s">
        <v>92</v>
      </c>
      <c r="C39" s="16">
        <v>8.666666666666666</v>
      </c>
      <c r="D39" s="16">
        <v>4.0</v>
      </c>
    </row>
    <row r="40" ht="14.25" customHeight="1">
      <c r="A40" s="1">
        <v>20205.0</v>
      </c>
      <c r="B40" s="1" t="s">
        <v>93</v>
      </c>
      <c r="C40" s="16">
        <v>5.333333333333333</v>
      </c>
      <c r="D40" s="16">
        <v>3.0</v>
      </c>
    </row>
    <row r="41" ht="14.25" customHeight="1">
      <c r="A41" s="1">
        <v>20206.0</v>
      </c>
      <c r="B41" s="1" t="s">
        <v>94</v>
      </c>
      <c r="C41" s="16">
        <v>0.3333333333333333</v>
      </c>
      <c r="D41" s="16">
        <v>0.6666666666666666</v>
      </c>
    </row>
    <row r="42" ht="14.25" customHeight="1">
      <c r="A42" s="1">
        <v>20301.0</v>
      </c>
      <c r="B42" s="1" t="s">
        <v>96</v>
      </c>
      <c r="C42" s="16">
        <v>42.333333333333336</v>
      </c>
      <c r="D42" s="16">
        <v>15.666666666666666</v>
      </c>
    </row>
    <row r="43" ht="14.25" customHeight="1">
      <c r="A43" s="1">
        <v>20302.0</v>
      </c>
      <c r="B43" s="1" t="s">
        <v>97</v>
      </c>
      <c r="C43" s="16">
        <v>33.0</v>
      </c>
      <c r="D43" s="16">
        <v>11.0</v>
      </c>
    </row>
    <row r="44" ht="14.25" customHeight="1">
      <c r="A44" s="1">
        <v>20303.0</v>
      </c>
      <c r="B44" s="1" t="s">
        <v>98</v>
      </c>
      <c r="C44" s="16">
        <v>24.666666666666668</v>
      </c>
      <c r="D44" s="16">
        <v>5.666666666666667</v>
      </c>
    </row>
    <row r="45" ht="14.25" customHeight="1">
      <c r="A45" s="1">
        <v>20304.0</v>
      </c>
      <c r="B45" s="1" t="s">
        <v>99</v>
      </c>
      <c r="C45" s="16">
        <v>16.0</v>
      </c>
      <c r="D45" s="16">
        <v>3.0</v>
      </c>
    </row>
    <row r="46" ht="14.25" customHeight="1">
      <c r="A46" s="1">
        <v>20305.0</v>
      </c>
      <c r="B46" s="1" t="s">
        <v>100</v>
      </c>
      <c r="C46" s="16">
        <v>6.0</v>
      </c>
      <c r="D46" s="16">
        <v>2.6666666666666665</v>
      </c>
    </row>
    <row r="47" ht="14.25" customHeight="1">
      <c r="A47" s="1">
        <v>20306.0</v>
      </c>
      <c r="B47" s="1" t="s">
        <v>101</v>
      </c>
      <c r="C47" s="16">
        <v>4.333333333333333</v>
      </c>
      <c r="D47" s="16">
        <v>3.6666666666666665</v>
      </c>
    </row>
    <row r="48" ht="14.25" customHeight="1">
      <c r="A48" s="1">
        <v>20307.0</v>
      </c>
      <c r="B48" s="1" t="s">
        <v>103</v>
      </c>
      <c r="C48" s="16">
        <v>4.0</v>
      </c>
      <c r="D48" s="16">
        <v>1.3333333333333333</v>
      </c>
    </row>
    <row r="49" ht="14.25" customHeight="1">
      <c r="A49" s="1">
        <v>20308.0</v>
      </c>
      <c r="B49" s="1" t="s">
        <v>104</v>
      </c>
      <c r="C49" s="16">
        <v>25.666666666666668</v>
      </c>
      <c r="D49" s="16">
        <v>5.666666666666667</v>
      </c>
    </row>
    <row r="50" ht="14.25" customHeight="1">
      <c r="A50" s="1">
        <v>20401.0</v>
      </c>
      <c r="B50" s="1" t="s">
        <v>106</v>
      </c>
      <c r="C50" s="16">
        <v>67.66666666666667</v>
      </c>
      <c r="D50" s="16">
        <v>10.333333333333334</v>
      </c>
    </row>
    <row r="51" ht="14.25" customHeight="1">
      <c r="A51" s="1">
        <v>20402.0</v>
      </c>
      <c r="B51" s="1" t="s">
        <v>107</v>
      </c>
      <c r="C51" s="16">
        <v>58.0</v>
      </c>
      <c r="D51" s="16">
        <v>24.0</v>
      </c>
    </row>
    <row r="52" ht="14.25" customHeight="1">
      <c r="A52" s="1">
        <v>20403.0</v>
      </c>
      <c r="B52" s="1" t="s">
        <v>108</v>
      </c>
      <c r="C52" s="16">
        <v>52.333333333333336</v>
      </c>
      <c r="D52" s="16">
        <v>14.0</v>
      </c>
    </row>
    <row r="53" ht="14.25" customHeight="1">
      <c r="A53" s="1">
        <v>20404.0</v>
      </c>
      <c r="B53" s="1" t="s">
        <v>110</v>
      </c>
      <c r="C53" s="16">
        <v>11.333333333333334</v>
      </c>
      <c r="D53" s="16">
        <v>12.666666666666666</v>
      </c>
    </row>
    <row r="54" ht="14.25" customHeight="1">
      <c r="A54" s="1">
        <v>20405.0</v>
      </c>
      <c r="B54" s="1" t="s">
        <v>111</v>
      </c>
      <c r="C54" s="16">
        <v>7.0</v>
      </c>
      <c r="D54" s="16">
        <v>6.333333333333333</v>
      </c>
    </row>
    <row r="55" ht="14.25" customHeight="1">
      <c r="A55" s="1">
        <v>20501.0</v>
      </c>
      <c r="B55" s="1" t="s">
        <v>113</v>
      </c>
      <c r="C55" s="16">
        <v>48.333333333333336</v>
      </c>
      <c r="D55" s="16">
        <v>11.333333333333334</v>
      </c>
    </row>
    <row r="56" ht="14.25" customHeight="1">
      <c r="A56" s="1">
        <v>20502.0</v>
      </c>
      <c r="B56" s="1" t="s">
        <v>114</v>
      </c>
      <c r="C56" s="16">
        <v>40.0</v>
      </c>
      <c r="D56" s="16">
        <v>10.333333333333334</v>
      </c>
    </row>
    <row r="57" ht="14.25" customHeight="1">
      <c r="A57" s="1">
        <v>20503.0</v>
      </c>
      <c r="B57" s="1" t="s">
        <v>115</v>
      </c>
      <c r="C57" s="16">
        <v>11.666666666666666</v>
      </c>
      <c r="D57" s="16">
        <v>9.333333333333334</v>
      </c>
    </row>
    <row r="58" ht="14.25" customHeight="1">
      <c r="A58" s="1">
        <v>20601.0</v>
      </c>
      <c r="B58" s="1" t="s">
        <v>117</v>
      </c>
      <c r="C58" s="16">
        <v>64.0</v>
      </c>
      <c r="D58" s="16">
        <v>26.666666666666668</v>
      </c>
    </row>
    <row r="59" ht="14.25" customHeight="1">
      <c r="A59" s="1">
        <v>20602.0</v>
      </c>
      <c r="B59" s="1" t="s">
        <v>118</v>
      </c>
      <c r="C59" s="16">
        <v>57.0</v>
      </c>
      <c r="D59" s="16">
        <v>34.666666666666664</v>
      </c>
    </row>
    <row r="60" ht="14.25" customHeight="1">
      <c r="A60" s="1">
        <v>20603.0</v>
      </c>
      <c r="B60" s="1" t="s">
        <v>119</v>
      </c>
      <c r="C60" s="16">
        <v>28.0</v>
      </c>
      <c r="D60" s="16">
        <v>7.333333333333333</v>
      </c>
    </row>
    <row r="61" ht="14.25" customHeight="1">
      <c r="A61" s="1">
        <v>20604.0</v>
      </c>
      <c r="B61" s="1" t="s">
        <v>120</v>
      </c>
      <c r="C61" s="16">
        <v>7.0</v>
      </c>
      <c r="D61" s="16">
        <v>5.0</v>
      </c>
    </row>
    <row r="62" ht="14.25" customHeight="1">
      <c r="A62" s="1">
        <v>20605.0</v>
      </c>
      <c r="B62" s="1" t="s">
        <v>121</v>
      </c>
      <c r="C62" s="16">
        <v>5.333333333333333</v>
      </c>
      <c r="D62" s="16">
        <v>7.333333333333333</v>
      </c>
    </row>
    <row r="63" ht="14.25" customHeight="1">
      <c r="A63" s="1">
        <v>20606.0</v>
      </c>
      <c r="B63" s="1" t="s">
        <v>122</v>
      </c>
      <c r="C63" s="16">
        <v>30.0</v>
      </c>
      <c r="D63" s="16">
        <v>7.0</v>
      </c>
    </row>
    <row r="64" ht="14.25" customHeight="1">
      <c r="A64" s="1">
        <v>20607.0</v>
      </c>
      <c r="B64" s="1" t="s">
        <v>123</v>
      </c>
      <c r="C64" s="16">
        <v>62.333333333333336</v>
      </c>
      <c r="D64" s="16">
        <v>47.0</v>
      </c>
    </row>
    <row r="65" ht="14.25" customHeight="1">
      <c r="A65" s="1">
        <v>20608.0</v>
      </c>
      <c r="B65" s="1" t="s">
        <v>124</v>
      </c>
      <c r="C65" s="16">
        <v>41.666666666666664</v>
      </c>
      <c r="D65" s="16">
        <v>18.333333333333332</v>
      </c>
    </row>
    <row r="66" ht="14.25" customHeight="1">
      <c r="A66" s="1">
        <v>20701.0</v>
      </c>
      <c r="B66" s="1" t="s">
        <v>126</v>
      </c>
      <c r="C66" s="16">
        <v>79.0</v>
      </c>
      <c r="D66" s="16">
        <v>53.333333333333336</v>
      </c>
    </row>
    <row r="67" ht="14.25" customHeight="1">
      <c r="A67" s="1">
        <v>20702.0</v>
      </c>
      <c r="B67" s="1" t="s">
        <v>127</v>
      </c>
      <c r="C67" s="16">
        <v>14.333333333333334</v>
      </c>
      <c r="D67" s="16">
        <v>4.333333333333333</v>
      </c>
    </row>
    <row r="68" ht="14.25" customHeight="1">
      <c r="A68" s="1">
        <v>20801.0</v>
      </c>
      <c r="B68" s="1" t="s">
        <v>129</v>
      </c>
      <c r="C68" s="16">
        <v>138.66666666666666</v>
      </c>
      <c r="D68" s="16">
        <v>67.33333333333333</v>
      </c>
    </row>
    <row r="69" ht="14.25" customHeight="1">
      <c r="A69" s="1">
        <v>20802.0</v>
      </c>
      <c r="B69" s="1" t="s">
        <v>130</v>
      </c>
      <c r="C69" s="16">
        <v>30.333333333333332</v>
      </c>
      <c r="D69" s="16">
        <v>3.6666666666666665</v>
      </c>
    </row>
    <row r="70" ht="14.25" customHeight="1">
      <c r="A70" s="1">
        <v>20803.0</v>
      </c>
      <c r="B70" s="1" t="s">
        <v>132</v>
      </c>
      <c r="C70" s="16">
        <v>35.666666666666664</v>
      </c>
      <c r="D70" s="16">
        <v>11.0</v>
      </c>
    </row>
    <row r="71" ht="14.25" customHeight="1">
      <c r="A71" s="1">
        <v>20804.0</v>
      </c>
      <c r="B71" s="1" t="s">
        <v>133</v>
      </c>
      <c r="C71" s="16">
        <v>7.666666666666667</v>
      </c>
      <c r="D71" s="16">
        <v>4.333333333333333</v>
      </c>
    </row>
    <row r="72" ht="14.25" customHeight="1">
      <c r="A72" s="1">
        <v>20805.0</v>
      </c>
      <c r="B72" s="1" t="s">
        <v>134</v>
      </c>
      <c r="C72" s="16">
        <v>15.333333333333334</v>
      </c>
      <c r="D72" s="16">
        <v>5.0</v>
      </c>
    </row>
    <row r="73" ht="14.25" customHeight="1">
      <c r="A73" s="1">
        <v>20806.0</v>
      </c>
      <c r="B73" s="1" t="s">
        <v>135</v>
      </c>
      <c r="C73" s="16">
        <v>42.666666666666664</v>
      </c>
      <c r="D73" s="16">
        <v>14.333333333333334</v>
      </c>
    </row>
    <row r="74" ht="14.25" customHeight="1">
      <c r="A74" s="1">
        <v>20807.0</v>
      </c>
      <c r="B74" s="1" t="s">
        <v>136</v>
      </c>
      <c r="C74" s="16">
        <v>17.666666666666668</v>
      </c>
      <c r="D74" s="16">
        <v>3.6666666666666665</v>
      </c>
    </row>
    <row r="75" ht="14.25" customHeight="1">
      <c r="A75" s="1">
        <v>20901.0</v>
      </c>
      <c r="B75" s="1" t="s">
        <v>138</v>
      </c>
      <c r="C75" s="16">
        <v>32.0</v>
      </c>
      <c r="D75" s="16">
        <v>12.666666666666666</v>
      </c>
    </row>
    <row r="76" ht="14.25" customHeight="1">
      <c r="A76" s="1">
        <v>20902.0</v>
      </c>
      <c r="B76" s="1" t="s">
        <v>139</v>
      </c>
      <c r="C76" s="16">
        <v>31.333333333333332</v>
      </c>
      <c r="D76" s="16">
        <v>14.666666666666666</v>
      </c>
    </row>
    <row r="77" ht="14.25" customHeight="1">
      <c r="A77" s="1">
        <v>20903.0</v>
      </c>
      <c r="B77" s="1" t="s">
        <v>140</v>
      </c>
      <c r="C77" s="16">
        <v>27.0</v>
      </c>
      <c r="D77" s="16">
        <v>10.0</v>
      </c>
    </row>
    <row r="78" ht="14.25" customHeight="1">
      <c r="A78" s="1">
        <v>20904.0</v>
      </c>
      <c r="B78" s="1" t="s">
        <v>141</v>
      </c>
      <c r="C78" s="16">
        <v>3.3333333333333335</v>
      </c>
      <c r="D78" s="16">
        <v>0.3333333333333333</v>
      </c>
    </row>
    <row r="79" ht="14.25" customHeight="1">
      <c r="A79" s="1">
        <v>20905.0</v>
      </c>
      <c r="B79" s="1" t="s">
        <v>142</v>
      </c>
      <c r="C79" s="16">
        <v>42.0</v>
      </c>
      <c r="D79" s="16">
        <v>25.0</v>
      </c>
    </row>
    <row r="80" ht="14.25" customHeight="1">
      <c r="A80" s="1">
        <v>21001.0</v>
      </c>
      <c r="B80" s="1" t="s">
        <v>143</v>
      </c>
      <c r="C80" s="16">
        <v>59.0</v>
      </c>
      <c r="D80" s="16">
        <v>26.666666666666668</v>
      </c>
    </row>
    <row r="81" ht="14.25" customHeight="1">
      <c r="A81" s="1">
        <v>21002.0</v>
      </c>
      <c r="B81" s="1" t="s">
        <v>144</v>
      </c>
      <c r="C81" s="16">
        <v>13.666666666666666</v>
      </c>
      <c r="D81" s="16">
        <v>5.666666666666667</v>
      </c>
    </row>
    <row r="82" ht="14.25" customHeight="1">
      <c r="A82" s="1">
        <v>21003.0</v>
      </c>
      <c r="B82" s="1" t="s">
        <v>145</v>
      </c>
      <c r="C82" s="16">
        <v>32.0</v>
      </c>
      <c r="D82" s="16">
        <v>25.333333333333332</v>
      </c>
    </row>
    <row r="83" ht="14.25" customHeight="1">
      <c r="A83" s="1">
        <v>21004.0</v>
      </c>
      <c r="B83" s="1" t="s">
        <v>146</v>
      </c>
      <c r="C83" s="16">
        <v>75.33333333333333</v>
      </c>
      <c r="D83" s="16">
        <v>28.666666666666668</v>
      </c>
    </row>
    <row r="84" ht="14.25" customHeight="1">
      <c r="A84" s="1">
        <v>21005.0</v>
      </c>
      <c r="B84" s="1" t="s">
        <v>147</v>
      </c>
      <c r="C84" s="16">
        <v>21.333333333333332</v>
      </c>
      <c r="D84" s="16">
        <v>10.333333333333334</v>
      </c>
    </row>
    <row r="85" ht="14.25" customHeight="1">
      <c r="A85" s="1">
        <v>21006.0</v>
      </c>
      <c r="B85" s="1" t="s">
        <v>148</v>
      </c>
      <c r="C85" s="16">
        <v>9.333333333333334</v>
      </c>
      <c r="D85" s="16">
        <v>2.6666666666666665</v>
      </c>
    </row>
    <row r="86" ht="14.25" customHeight="1">
      <c r="A86" s="1">
        <v>21101.0</v>
      </c>
      <c r="B86" s="1" t="s">
        <v>150</v>
      </c>
      <c r="C86" s="16">
        <v>56.0</v>
      </c>
      <c r="D86" s="16">
        <v>21.666666666666668</v>
      </c>
    </row>
    <row r="87" ht="14.25" customHeight="1">
      <c r="A87" s="1">
        <v>21102.0</v>
      </c>
      <c r="B87" s="1" t="s">
        <v>152</v>
      </c>
      <c r="C87" s="16">
        <v>49.0</v>
      </c>
      <c r="D87" s="16">
        <v>26.0</v>
      </c>
    </row>
    <row r="88" ht="14.25" customHeight="1">
      <c r="A88" s="1">
        <v>21103.0</v>
      </c>
      <c r="B88" s="1" t="s">
        <v>154</v>
      </c>
      <c r="C88" s="16">
        <v>10.0</v>
      </c>
      <c r="D88" s="16">
        <v>5.0</v>
      </c>
    </row>
    <row r="89" ht="14.25" customHeight="1">
      <c r="A89" s="1">
        <v>21104.0</v>
      </c>
      <c r="B89" s="1" t="s">
        <v>155</v>
      </c>
      <c r="C89" s="16">
        <v>107.66666666666667</v>
      </c>
      <c r="D89" s="16">
        <v>52.666666666666664</v>
      </c>
    </row>
    <row r="90" ht="14.25" customHeight="1">
      <c r="A90" s="1">
        <v>21105.0</v>
      </c>
      <c r="B90" s="1" t="s">
        <v>156</v>
      </c>
      <c r="C90" s="16">
        <v>142.66666666666666</v>
      </c>
      <c r="D90" s="16">
        <v>89.0</v>
      </c>
    </row>
    <row r="91" ht="14.25" customHeight="1">
      <c r="A91" s="1">
        <v>21201.0</v>
      </c>
      <c r="B91" s="1" t="s">
        <v>158</v>
      </c>
      <c r="C91" s="16">
        <v>118.0</v>
      </c>
      <c r="D91" s="16">
        <v>33.666666666666664</v>
      </c>
    </row>
    <row r="92" ht="14.25" customHeight="1">
      <c r="A92" s="1">
        <v>21202.0</v>
      </c>
      <c r="B92" s="1" t="s">
        <v>159</v>
      </c>
      <c r="C92" s="16">
        <v>45.0</v>
      </c>
      <c r="D92" s="16">
        <v>26.333333333333332</v>
      </c>
    </row>
    <row r="93" ht="14.25" customHeight="1">
      <c r="A93" s="1">
        <v>21203.0</v>
      </c>
      <c r="B93" s="1" t="s">
        <v>160</v>
      </c>
      <c r="C93" s="16">
        <v>77.0</v>
      </c>
      <c r="D93" s="16">
        <v>20.0</v>
      </c>
    </row>
    <row r="94" ht="14.25" customHeight="1">
      <c r="A94" s="1">
        <v>21204.0</v>
      </c>
      <c r="B94" s="1" t="s">
        <v>161</v>
      </c>
      <c r="C94" s="16">
        <v>21.333333333333332</v>
      </c>
      <c r="D94" s="16">
        <v>4.333333333333333</v>
      </c>
    </row>
    <row r="95" ht="14.25" customHeight="1">
      <c r="A95" s="1">
        <v>21301.0</v>
      </c>
      <c r="B95" s="1" t="s">
        <v>163</v>
      </c>
      <c r="C95" s="16">
        <v>61.666666666666664</v>
      </c>
      <c r="D95" s="16">
        <v>18.333333333333332</v>
      </c>
    </row>
    <row r="96" ht="14.25" customHeight="1">
      <c r="A96" s="1">
        <v>21302.0</v>
      </c>
      <c r="B96" s="1" t="s">
        <v>165</v>
      </c>
      <c r="C96" s="16">
        <v>42.0</v>
      </c>
      <c r="D96" s="16">
        <v>14.0</v>
      </c>
    </row>
    <row r="97" ht="14.25" customHeight="1">
      <c r="A97" s="1">
        <v>21303.0</v>
      </c>
      <c r="B97" s="1" t="s">
        <v>166</v>
      </c>
      <c r="C97" s="16">
        <v>30.666666666666668</v>
      </c>
      <c r="D97" s="16">
        <v>12.666666666666666</v>
      </c>
    </row>
    <row r="98" ht="14.25" customHeight="1">
      <c r="A98" s="1">
        <v>21304.0</v>
      </c>
      <c r="B98" s="1" t="s">
        <v>167</v>
      </c>
      <c r="C98" s="16">
        <v>53.333333333333336</v>
      </c>
      <c r="D98" s="16">
        <v>29.333333333333332</v>
      </c>
    </row>
    <row r="99" ht="14.25" customHeight="1">
      <c r="A99" s="1">
        <v>21305.0</v>
      </c>
      <c r="B99" s="1" t="s">
        <v>168</v>
      </c>
      <c r="C99" s="16">
        <v>91.66666666666667</v>
      </c>
      <c r="D99" s="16">
        <v>26.666666666666668</v>
      </c>
    </row>
    <row r="100" ht="14.25" customHeight="1">
      <c r="A100" s="1">
        <v>21306.0</v>
      </c>
      <c r="B100" s="1" t="s">
        <v>169</v>
      </c>
      <c r="C100" s="16">
        <v>30.333333333333332</v>
      </c>
      <c r="D100" s="16">
        <v>13.333333333333334</v>
      </c>
    </row>
    <row r="101" ht="14.25" customHeight="1">
      <c r="A101" s="1">
        <v>21307.0</v>
      </c>
      <c r="B101" s="1" t="s">
        <v>170</v>
      </c>
      <c r="C101" s="16">
        <v>2.6666666666666665</v>
      </c>
      <c r="D101" s="16">
        <v>1.6666666666666667</v>
      </c>
    </row>
    <row r="102" ht="14.25" customHeight="1">
      <c r="A102" s="1">
        <v>21401.0</v>
      </c>
      <c r="B102" s="1" t="s">
        <v>172</v>
      </c>
      <c r="C102" s="16">
        <v>58.0</v>
      </c>
      <c r="D102" s="16">
        <v>22.333333333333332</v>
      </c>
    </row>
    <row r="103" ht="14.25" customHeight="1">
      <c r="A103" s="1">
        <v>21402.0</v>
      </c>
      <c r="B103" s="1" t="s">
        <v>173</v>
      </c>
      <c r="C103" s="16">
        <v>32.0</v>
      </c>
      <c r="D103" s="16">
        <v>16.333333333333332</v>
      </c>
    </row>
    <row r="104" ht="14.25" customHeight="1">
      <c r="A104" s="1">
        <v>21501.0</v>
      </c>
      <c r="B104" s="1" t="s">
        <v>175</v>
      </c>
      <c r="C104" s="16">
        <v>48.0</v>
      </c>
      <c r="D104" s="16">
        <v>28.666666666666668</v>
      </c>
    </row>
    <row r="105" ht="14.25" customHeight="1">
      <c r="A105" s="1">
        <v>21502.0</v>
      </c>
      <c r="B105" s="1" t="s">
        <v>176</v>
      </c>
      <c r="C105" s="16">
        <v>27.333333333333332</v>
      </c>
      <c r="D105" s="16">
        <v>21.0</v>
      </c>
    </row>
    <row r="106" ht="14.25" customHeight="1">
      <c r="A106" s="1">
        <v>21601.0</v>
      </c>
      <c r="B106" s="1" t="s">
        <v>178</v>
      </c>
      <c r="C106" s="16">
        <v>43.333333333333336</v>
      </c>
      <c r="D106" s="16">
        <v>16.666666666666668</v>
      </c>
    </row>
    <row r="107" ht="14.25" customHeight="1">
      <c r="A107" s="1">
        <v>21602.0</v>
      </c>
      <c r="B107" s="1" t="s">
        <v>180</v>
      </c>
      <c r="C107" s="16">
        <v>3.0</v>
      </c>
      <c r="D107" s="16">
        <v>1.6666666666666667</v>
      </c>
    </row>
    <row r="108" ht="14.25" customHeight="1">
      <c r="A108" s="1">
        <v>21701.0</v>
      </c>
      <c r="B108" s="1" t="s">
        <v>182</v>
      </c>
      <c r="C108" s="16">
        <v>44.0</v>
      </c>
      <c r="D108" s="16">
        <v>11.666666666666666</v>
      </c>
    </row>
    <row r="109" ht="14.25" customHeight="1">
      <c r="A109" s="1">
        <v>21702.0</v>
      </c>
      <c r="B109" s="1" t="s">
        <v>183</v>
      </c>
      <c r="C109" s="16">
        <v>10.0</v>
      </c>
      <c r="D109" s="16">
        <v>2.0</v>
      </c>
    </row>
    <row r="110" ht="14.25" customHeight="1">
      <c r="A110" s="1">
        <v>21703.0</v>
      </c>
      <c r="B110" s="1" t="s">
        <v>184</v>
      </c>
      <c r="C110" s="16">
        <v>1.0</v>
      </c>
      <c r="D110" s="16">
        <v>0.6666666666666666</v>
      </c>
    </row>
    <row r="111" ht="14.25" customHeight="1">
      <c r="A111" s="1">
        <v>21801.0</v>
      </c>
      <c r="B111" s="1" t="s">
        <v>186</v>
      </c>
      <c r="C111" s="16">
        <v>14.666666666666666</v>
      </c>
      <c r="D111" s="16">
        <v>7.666666666666667</v>
      </c>
    </row>
    <row r="112" ht="14.25" customHeight="1">
      <c r="A112" s="1">
        <v>21802.0</v>
      </c>
      <c r="B112" s="1" t="s">
        <v>188</v>
      </c>
      <c r="C112" s="16">
        <v>17.333333333333332</v>
      </c>
      <c r="D112" s="16">
        <v>4.0</v>
      </c>
    </row>
    <row r="113" ht="14.25" customHeight="1">
      <c r="A113" s="1">
        <v>21803.0</v>
      </c>
      <c r="B113" s="1" t="s">
        <v>189</v>
      </c>
      <c r="C113" s="16">
        <v>3.6666666666666665</v>
      </c>
      <c r="D113" s="16">
        <v>1.3333333333333333</v>
      </c>
    </row>
    <row r="114" ht="14.25" customHeight="1">
      <c r="A114" s="1">
        <v>21901.0</v>
      </c>
      <c r="B114" s="1" t="s">
        <v>191</v>
      </c>
      <c r="C114" s="16">
        <v>14.666666666666666</v>
      </c>
      <c r="D114" s="16">
        <v>6.333333333333333</v>
      </c>
    </row>
    <row r="115" ht="14.25" customHeight="1">
      <c r="A115" s="1">
        <v>21902.0</v>
      </c>
      <c r="B115" s="1" t="s">
        <v>192</v>
      </c>
      <c r="C115" s="16">
        <v>1.3333333333333333</v>
      </c>
      <c r="D115" s="16">
        <v>0.3333333333333333</v>
      </c>
    </row>
    <row r="116" ht="14.25" customHeight="1">
      <c r="A116" s="1">
        <v>22001.0</v>
      </c>
      <c r="B116" s="1" t="s">
        <v>193</v>
      </c>
      <c r="C116" s="16">
        <v>212.0</v>
      </c>
      <c r="D116" s="16">
        <v>94.66666666666667</v>
      </c>
    </row>
    <row r="117" ht="14.25" customHeight="1">
      <c r="A117" s="1">
        <v>22002.0</v>
      </c>
      <c r="B117" s="1" t="s">
        <v>194</v>
      </c>
      <c r="C117" s="16">
        <v>5.666666666666667</v>
      </c>
      <c r="D117" s="16">
        <v>13.666666666666666</v>
      </c>
    </row>
    <row r="118" ht="14.25" customHeight="1">
      <c r="A118" s="1">
        <v>30101.0</v>
      </c>
      <c r="B118" s="1" t="s">
        <v>33</v>
      </c>
      <c r="C118" s="16">
        <v>1521.6666666666667</v>
      </c>
      <c r="D118" s="16">
        <v>649.6666666666666</v>
      </c>
    </row>
    <row r="119" ht="14.25" customHeight="1">
      <c r="A119" s="1">
        <v>30201.0</v>
      </c>
      <c r="B119" s="1" t="s">
        <v>197</v>
      </c>
      <c r="C119" s="16">
        <v>74.0</v>
      </c>
      <c r="D119" s="16">
        <v>30.666666666666668</v>
      </c>
    </row>
    <row r="120" ht="14.25" customHeight="1">
      <c r="A120" s="1">
        <v>30202.0</v>
      </c>
      <c r="B120" s="1" t="s">
        <v>198</v>
      </c>
      <c r="C120" s="16">
        <v>10.0</v>
      </c>
      <c r="D120" s="16">
        <v>1.6666666666666667</v>
      </c>
    </row>
    <row r="121" ht="14.25" customHeight="1">
      <c r="A121" s="1">
        <v>30203.0</v>
      </c>
      <c r="B121" s="1" t="s">
        <v>199</v>
      </c>
      <c r="C121" s="16">
        <v>16.666666666666668</v>
      </c>
      <c r="D121" s="16">
        <v>4.333333333333333</v>
      </c>
    </row>
    <row r="122" ht="14.25" customHeight="1">
      <c r="A122" s="1">
        <v>30301.0</v>
      </c>
      <c r="B122" s="1" t="s">
        <v>200</v>
      </c>
      <c r="C122" s="16">
        <v>129.66666666666666</v>
      </c>
      <c r="D122" s="16">
        <v>39.333333333333336</v>
      </c>
    </row>
    <row r="123" ht="14.25" customHeight="1">
      <c r="A123" s="1">
        <v>30302.0</v>
      </c>
      <c r="B123" s="1" t="s">
        <v>202</v>
      </c>
      <c r="C123" s="16">
        <v>78.0</v>
      </c>
      <c r="D123" s="16">
        <v>14.666666666666666</v>
      </c>
    </row>
    <row r="124" ht="14.25" customHeight="1">
      <c r="A124" s="1">
        <v>30303.0</v>
      </c>
      <c r="B124" s="1" t="s">
        <v>203</v>
      </c>
      <c r="C124" s="16">
        <v>16.666666666666668</v>
      </c>
      <c r="D124" s="16">
        <v>33.0</v>
      </c>
    </row>
    <row r="125" ht="14.25" customHeight="1">
      <c r="A125" s="1">
        <v>30401.0</v>
      </c>
      <c r="B125" s="1" t="s">
        <v>205</v>
      </c>
      <c r="C125" s="16">
        <v>31.666666666666668</v>
      </c>
      <c r="D125" s="16">
        <v>14.333333333333334</v>
      </c>
    </row>
    <row r="126" ht="14.25" customHeight="1">
      <c r="A126" s="1">
        <v>30402.0</v>
      </c>
      <c r="B126" s="1" t="s">
        <v>206</v>
      </c>
      <c r="C126" s="16">
        <v>29.666666666666668</v>
      </c>
      <c r="D126" s="16">
        <v>9.666666666666666</v>
      </c>
    </row>
    <row r="127" ht="14.25" customHeight="1">
      <c r="A127" s="1">
        <v>30403.0</v>
      </c>
      <c r="B127" s="1" t="s">
        <v>208</v>
      </c>
      <c r="C127" s="16">
        <v>31.0</v>
      </c>
      <c r="D127" s="16">
        <v>22.333333333333332</v>
      </c>
    </row>
    <row r="128" ht="14.25" customHeight="1">
      <c r="A128" s="1">
        <v>30404.0</v>
      </c>
      <c r="B128" s="1" t="s">
        <v>209</v>
      </c>
      <c r="C128" s="16">
        <v>19.666666666666668</v>
      </c>
      <c r="D128" s="16">
        <v>6.666666666666667</v>
      </c>
    </row>
    <row r="129" ht="14.25" customHeight="1">
      <c r="A129" s="1">
        <v>30501.0</v>
      </c>
      <c r="B129" s="1" t="s">
        <v>210</v>
      </c>
      <c r="C129" s="16">
        <v>28.666666666666668</v>
      </c>
      <c r="D129" s="16">
        <v>7.666666666666667</v>
      </c>
    </row>
    <row r="130" ht="14.25" customHeight="1">
      <c r="A130" s="1">
        <v>30502.0</v>
      </c>
      <c r="B130" s="1" t="s">
        <v>211</v>
      </c>
      <c r="C130" s="16">
        <v>44.666666666666664</v>
      </c>
      <c r="D130" s="16">
        <v>14.666666666666666</v>
      </c>
    </row>
    <row r="131" ht="14.25" customHeight="1">
      <c r="A131" s="1">
        <v>30601.0</v>
      </c>
      <c r="B131" s="1" t="s">
        <v>212</v>
      </c>
      <c r="C131" s="16">
        <v>51.666666666666664</v>
      </c>
      <c r="D131" s="16">
        <v>28.333333333333332</v>
      </c>
    </row>
    <row r="132" ht="14.25" customHeight="1">
      <c r="A132" s="1">
        <v>30602.0</v>
      </c>
      <c r="B132" s="1" t="s">
        <v>214</v>
      </c>
      <c r="C132" s="16">
        <v>47.333333333333336</v>
      </c>
      <c r="D132" s="16">
        <v>14.333333333333334</v>
      </c>
    </row>
    <row r="133" ht="14.25" customHeight="1">
      <c r="A133" s="1">
        <v>30701.0</v>
      </c>
      <c r="B133" s="1" t="s">
        <v>215</v>
      </c>
      <c r="C133" s="16">
        <v>79.66666666666667</v>
      </c>
      <c r="D133" s="16">
        <v>32.0</v>
      </c>
    </row>
    <row r="134" ht="14.25" customHeight="1">
      <c r="A134" s="1">
        <v>30702.0</v>
      </c>
      <c r="B134" s="1" t="s">
        <v>216</v>
      </c>
      <c r="C134" s="16">
        <v>15.666666666666666</v>
      </c>
      <c r="D134" s="16">
        <v>5.333333333333333</v>
      </c>
    </row>
    <row r="135" ht="14.25" customHeight="1">
      <c r="A135" s="1">
        <v>30703.0</v>
      </c>
      <c r="B135" s="1" t="s">
        <v>218</v>
      </c>
      <c r="C135" s="16">
        <v>10.666666666666666</v>
      </c>
      <c r="D135" s="16">
        <v>6.0</v>
      </c>
    </row>
    <row r="136" ht="14.25" customHeight="1">
      <c r="A136" s="1">
        <v>30801.0</v>
      </c>
      <c r="B136" s="1" t="s">
        <v>220</v>
      </c>
      <c r="C136" s="16">
        <v>59.333333333333336</v>
      </c>
      <c r="D136" s="16">
        <v>41.666666666666664</v>
      </c>
    </row>
    <row r="137" ht="14.25" customHeight="1">
      <c r="A137" s="1">
        <v>30802.0</v>
      </c>
      <c r="B137" s="1" t="s">
        <v>221</v>
      </c>
      <c r="C137" s="16">
        <v>17.333333333333332</v>
      </c>
      <c r="D137" s="16">
        <v>14.0</v>
      </c>
    </row>
    <row r="138" ht="14.25" customHeight="1">
      <c r="A138" s="1">
        <v>30803.0</v>
      </c>
      <c r="B138" s="1" t="s">
        <v>222</v>
      </c>
      <c r="C138" s="16">
        <v>9.333333333333334</v>
      </c>
      <c r="D138" s="16">
        <v>12.333333333333334</v>
      </c>
    </row>
    <row r="139" ht="14.25" customHeight="1">
      <c r="A139" s="1">
        <v>30901.0</v>
      </c>
      <c r="B139" s="1" t="s">
        <v>223</v>
      </c>
      <c r="C139" s="16">
        <v>439.6666666666667</v>
      </c>
      <c r="D139" s="16">
        <v>164.66666666666666</v>
      </c>
    </row>
    <row r="140" ht="14.25" customHeight="1">
      <c r="A140" s="1">
        <v>30902.0</v>
      </c>
      <c r="B140" s="1" t="s">
        <v>224</v>
      </c>
      <c r="C140" s="16">
        <v>101.0</v>
      </c>
      <c r="D140" s="16">
        <v>70.0</v>
      </c>
    </row>
    <row r="141" ht="14.25" customHeight="1">
      <c r="A141" s="1">
        <v>30903.0</v>
      </c>
      <c r="B141" s="1" t="s">
        <v>225</v>
      </c>
      <c r="C141" s="16">
        <v>137.66666666666666</v>
      </c>
      <c r="D141" s="16">
        <v>58.0</v>
      </c>
    </row>
    <row r="142" ht="14.25" customHeight="1">
      <c r="A142" s="1">
        <v>30904.0</v>
      </c>
      <c r="B142" s="1" t="s">
        <v>226</v>
      </c>
      <c r="C142" s="16">
        <v>159.66666666666666</v>
      </c>
      <c r="D142" s="16">
        <v>58.333333333333336</v>
      </c>
    </row>
    <row r="143" ht="14.25" customHeight="1">
      <c r="A143" s="1">
        <v>30905.0</v>
      </c>
      <c r="B143" s="1" t="s">
        <v>227</v>
      </c>
      <c r="C143" s="16">
        <v>64.0</v>
      </c>
      <c r="D143" s="16">
        <v>33.666666666666664</v>
      </c>
    </row>
    <row r="144" ht="14.25" customHeight="1">
      <c r="A144" s="1">
        <v>31001.0</v>
      </c>
      <c r="B144" s="1" t="s">
        <v>229</v>
      </c>
      <c r="C144" s="16">
        <v>374.6666666666667</v>
      </c>
      <c r="D144" s="16">
        <v>151.33333333333334</v>
      </c>
    </row>
    <row r="145" ht="14.25" customHeight="1">
      <c r="A145" s="1">
        <v>31002.0</v>
      </c>
      <c r="B145" s="1" t="s">
        <v>230</v>
      </c>
      <c r="C145" s="16">
        <v>94.33333333333333</v>
      </c>
      <c r="D145" s="16">
        <v>35.666666666666664</v>
      </c>
    </row>
    <row r="146" ht="14.25" customHeight="1">
      <c r="A146" s="1">
        <v>31003.0</v>
      </c>
      <c r="B146" s="1" t="s">
        <v>231</v>
      </c>
      <c r="C146" s="16">
        <v>254.66666666666666</v>
      </c>
      <c r="D146" s="16">
        <v>131.33333333333334</v>
      </c>
    </row>
    <row r="147" ht="14.25" customHeight="1">
      <c r="A147" s="1">
        <v>31101.0</v>
      </c>
      <c r="B147" s="1" t="s">
        <v>232</v>
      </c>
      <c r="C147" s="16">
        <v>90.0</v>
      </c>
      <c r="D147" s="16">
        <v>49.0</v>
      </c>
    </row>
    <row r="148" ht="14.25" customHeight="1">
      <c r="A148" s="1">
        <v>31201.0</v>
      </c>
      <c r="B148" s="1" t="s">
        <v>234</v>
      </c>
      <c r="C148" s="16">
        <v>36.666666666666664</v>
      </c>
      <c r="D148" s="16">
        <v>30.666666666666668</v>
      </c>
    </row>
    <row r="149" ht="14.25" customHeight="1">
      <c r="A149" s="1">
        <v>31202.0</v>
      </c>
      <c r="B149" s="1" t="s">
        <v>235</v>
      </c>
      <c r="C149" s="16">
        <v>35.666666666666664</v>
      </c>
      <c r="D149" s="16">
        <v>23.333333333333332</v>
      </c>
    </row>
    <row r="150" ht="14.25" customHeight="1">
      <c r="A150" s="1">
        <v>31203.0</v>
      </c>
      <c r="B150" s="1" t="s">
        <v>236</v>
      </c>
      <c r="C150" s="16">
        <v>47.666666666666664</v>
      </c>
      <c r="D150" s="16">
        <v>14.666666666666666</v>
      </c>
    </row>
    <row r="151" ht="14.25" customHeight="1">
      <c r="A151" s="1">
        <v>31204.0</v>
      </c>
      <c r="B151" s="1" t="s">
        <v>237</v>
      </c>
      <c r="C151" s="16">
        <v>69.0</v>
      </c>
      <c r="D151" s="16">
        <v>36.0</v>
      </c>
    </row>
    <row r="152" ht="14.25" customHeight="1">
      <c r="A152" s="1">
        <v>31205.0</v>
      </c>
      <c r="B152" s="1" t="s">
        <v>238</v>
      </c>
      <c r="C152" s="16">
        <v>130.66666666666666</v>
      </c>
      <c r="D152" s="16">
        <v>99.66666666666667</v>
      </c>
    </row>
    <row r="153" ht="14.25" customHeight="1">
      <c r="A153" s="1">
        <v>31206.0</v>
      </c>
      <c r="B153" s="1" t="s">
        <v>239</v>
      </c>
      <c r="C153" s="16">
        <v>93.33333333333333</v>
      </c>
      <c r="D153" s="16">
        <v>73.33333333333333</v>
      </c>
    </row>
    <row r="154" ht="14.25" customHeight="1">
      <c r="A154" s="1">
        <v>31301.0</v>
      </c>
      <c r="B154" s="1" t="s">
        <v>240</v>
      </c>
      <c r="C154" s="16">
        <v>119.0</v>
      </c>
      <c r="D154" s="16">
        <v>76.33333333333333</v>
      </c>
    </row>
    <row r="155" ht="14.25" customHeight="1">
      <c r="A155" s="1">
        <v>31302.0</v>
      </c>
      <c r="B155" s="1" t="s">
        <v>241</v>
      </c>
      <c r="C155" s="16">
        <v>13.0</v>
      </c>
      <c r="D155" s="16">
        <v>8.666666666666666</v>
      </c>
    </row>
    <row r="156" ht="14.25" customHeight="1">
      <c r="A156" s="1">
        <v>31303.0</v>
      </c>
      <c r="B156" s="1" t="s">
        <v>242</v>
      </c>
      <c r="C156" s="16">
        <v>12.333333333333334</v>
      </c>
      <c r="D156" s="16">
        <v>3.3333333333333335</v>
      </c>
    </row>
    <row r="157" ht="14.25" customHeight="1">
      <c r="A157" s="1">
        <v>31304.0</v>
      </c>
      <c r="B157" s="1" t="s">
        <v>243</v>
      </c>
      <c r="C157" s="16">
        <v>119.0</v>
      </c>
      <c r="D157" s="16">
        <v>64.0</v>
      </c>
    </row>
    <row r="158" ht="14.25" customHeight="1">
      <c r="A158" s="1">
        <v>31401.0</v>
      </c>
      <c r="B158" s="1" t="s">
        <v>245</v>
      </c>
      <c r="C158" s="16">
        <v>107.33333333333333</v>
      </c>
      <c r="D158" s="16">
        <v>54.666666666666664</v>
      </c>
    </row>
    <row r="159" ht="14.25" customHeight="1">
      <c r="A159" s="1">
        <v>31402.0</v>
      </c>
      <c r="B159" s="1" t="s">
        <v>247</v>
      </c>
      <c r="C159" s="16">
        <v>35.0</v>
      </c>
      <c r="D159" s="16">
        <v>16.666666666666668</v>
      </c>
    </row>
    <row r="160" ht="14.25" customHeight="1">
      <c r="A160" s="1">
        <v>31403.0</v>
      </c>
      <c r="B160" s="1" t="s">
        <v>248</v>
      </c>
      <c r="C160" s="16">
        <v>34.333333333333336</v>
      </c>
      <c r="D160" s="16">
        <v>9.333333333333334</v>
      </c>
    </row>
    <row r="161" ht="14.25" customHeight="1">
      <c r="A161" s="1">
        <v>31404.0</v>
      </c>
      <c r="B161" s="1" t="s">
        <v>250</v>
      </c>
      <c r="C161" s="16">
        <v>0.3333333333333333</v>
      </c>
      <c r="D161" s="16"/>
    </row>
    <row r="162" ht="14.25" customHeight="1">
      <c r="A162" s="1">
        <v>31405.0</v>
      </c>
      <c r="B162" s="1" t="s">
        <v>251</v>
      </c>
      <c r="C162" s="16">
        <v>5.0</v>
      </c>
      <c r="D162" s="16"/>
    </row>
    <row r="163" ht="14.25" customHeight="1">
      <c r="A163" s="1">
        <v>31501.0</v>
      </c>
      <c r="B163" s="1" t="s">
        <v>253</v>
      </c>
      <c r="C163" s="16">
        <v>29.666666666666668</v>
      </c>
      <c r="D163" s="16">
        <v>8.666666666666666</v>
      </c>
    </row>
    <row r="164" ht="14.25" customHeight="1">
      <c r="A164" s="1">
        <v>31601.0</v>
      </c>
      <c r="B164" s="1" t="s">
        <v>254</v>
      </c>
      <c r="C164" s="16">
        <v>121.0</v>
      </c>
      <c r="D164" s="16">
        <v>36.333333333333336</v>
      </c>
    </row>
    <row r="165" ht="14.25" customHeight="1">
      <c r="A165" s="1">
        <v>31602.0</v>
      </c>
      <c r="B165" s="1" t="s">
        <v>255</v>
      </c>
      <c r="C165" s="16">
        <v>19.0</v>
      </c>
      <c r="D165" s="16">
        <v>46.0</v>
      </c>
    </row>
    <row r="166" ht="14.25" customHeight="1">
      <c r="A166" s="1">
        <v>40101.0</v>
      </c>
      <c r="B166" s="1" t="s">
        <v>36</v>
      </c>
      <c r="C166" s="16">
        <v>649.0</v>
      </c>
      <c r="D166" s="16">
        <v>359.0</v>
      </c>
    </row>
    <row r="167" ht="14.25" customHeight="1">
      <c r="A167" s="1">
        <v>40102.0</v>
      </c>
      <c r="B167" s="1" t="s">
        <v>256</v>
      </c>
      <c r="C167" s="16">
        <v>72.66666666666667</v>
      </c>
      <c r="D167" s="16">
        <v>20.333333333333332</v>
      </c>
    </row>
    <row r="168" ht="14.25" customHeight="1">
      <c r="A168" s="1">
        <v>40103.0</v>
      </c>
      <c r="B168" s="1" t="s">
        <v>257</v>
      </c>
      <c r="C168" s="16">
        <v>11.333333333333334</v>
      </c>
      <c r="D168" s="16">
        <v>5.333333333333333</v>
      </c>
    </row>
    <row r="169" ht="14.25" customHeight="1">
      <c r="A169" s="1">
        <v>40104.0</v>
      </c>
      <c r="B169" s="1" t="s">
        <v>258</v>
      </c>
      <c r="C169" s="16">
        <v>47.666666666666664</v>
      </c>
      <c r="D169" s="16">
        <v>26.333333333333332</v>
      </c>
    </row>
    <row r="170" ht="14.25" customHeight="1">
      <c r="A170" s="1">
        <v>40201.0</v>
      </c>
      <c r="B170" s="1" t="s">
        <v>261</v>
      </c>
      <c r="C170" s="16">
        <v>105.66666666666667</v>
      </c>
      <c r="D170" s="16">
        <v>48.666666666666664</v>
      </c>
    </row>
    <row r="171" ht="14.25" customHeight="1">
      <c r="A171" s="1">
        <v>40202.0</v>
      </c>
      <c r="B171" s="1" t="s">
        <v>262</v>
      </c>
      <c r="C171" s="16">
        <v>8.666666666666666</v>
      </c>
      <c r="D171" s="16">
        <v>3.0</v>
      </c>
    </row>
    <row r="172" ht="14.25" customHeight="1">
      <c r="A172" s="1">
        <v>40301.0</v>
      </c>
      <c r="B172" s="1" t="s">
        <v>264</v>
      </c>
      <c r="C172" s="16">
        <v>38.0</v>
      </c>
      <c r="D172" s="16">
        <v>14.666666666666666</v>
      </c>
    </row>
    <row r="173" ht="14.25" customHeight="1">
      <c r="A173" s="1">
        <v>40302.0</v>
      </c>
      <c r="B173" s="1" t="s">
        <v>265</v>
      </c>
      <c r="C173" s="16">
        <v>5.666666666666667</v>
      </c>
      <c r="D173" s="16">
        <v>0.0</v>
      </c>
    </row>
    <row r="174" ht="14.25" customHeight="1">
      <c r="A174" s="1">
        <v>40401.0</v>
      </c>
      <c r="B174" s="1" t="s">
        <v>267</v>
      </c>
      <c r="C174" s="16">
        <v>11.666666666666666</v>
      </c>
      <c r="D174" s="16">
        <v>1.6666666666666667</v>
      </c>
    </row>
    <row r="175" ht="14.25" customHeight="1">
      <c r="A175" s="1">
        <v>40402.0</v>
      </c>
      <c r="B175" s="1" t="s">
        <v>268</v>
      </c>
      <c r="C175" s="16">
        <v>8.333333333333334</v>
      </c>
      <c r="D175" s="16">
        <v>4.333333333333333</v>
      </c>
    </row>
    <row r="176" ht="14.25" customHeight="1">
      <c r="A176" s="1">
        <v>40501.0</v>
      </c>
      <c r="B176" s="1" t="s">
        <v>270</v>
      </c>
      <c r="C176" s="16">
        <v>3.0</v>
      </c>
      <c r="D176" s="16">
        <v>0.3333333333333333</v>
      </c>
    </row>
    <row r="177" ht="14.25" customHeight="1">
      <c r="A177" s="1">
        <v>40502.0</v>
      </c>
      <c r="B177" s="1" t="s">
        <v>271</v>
      </c>
      <c r="C177" s="16">
        <v>1.0</v>
      </c>
      <c r="D177" s="16">
        <v>0.5</v>
      </c>
    </row>
    <row r="178" ht="14.25" customHeight="1">
      <c r="A178" s="1">
        <v>40503.0</v>
      </c>
      <c r="B178" s="1" t="s">
        <v>272</v>
      </c>
      <c r="C178" s="16">
        <v>0.3333333333333333</v>
      </c>
      <c r="D178" s="16"/>
    </row>
    <row r="179" ht="14.25" customHeight="1">
      <c r="A179" s="1">
        <v>40504.0</v>
      </c>
      <c r="B179" s="1" t="s">
        <v>273</v>
      </c>
      <c r="C179" s="16">
        <v>0.3333333333333333</v>
      </c>
      <c r="D179" s="16"/>
    </row>
    <row r="180" ht="14.25" customHeight="1">
      <c r="A180" s="1">
        <v>40505.0</v>
      </c>
      <c r="B180" s="1" t="s">
        <v>274</v>
      </c>
      <c r="C180" s="16">
        <v>0.3333333333333333</v>
      </c>
      <c r="D180" s="16"/>
    </row>
    <row r="181" ht="14.25" customHeight="1">
      <c r="A181" s="1">
        <v>40601.0</v>
      </c>
      <c r="B181" s="1" t="s">
        <v>275</v>
      </c>
      <c r="C181" s="16">
        <v>11.333333333333334</v>
      </c>
      <c r="D181" s="16">
        <v>8.666666666666666</v>
      </c>
    </row>
    <row r="182" ht="14.25" customHeight="1">
      <c r="A182" s="1">
        <v>40602.0</v>
      </c>
      <c r="B182" s="1" t="s">
        <v>277</v>
      </c>
      <c r="C182" s="16">
        <v>11.333333333333334</v>
      </c>
      <c r="D182" s="16">
        <v>5.666666666666667</v>
      </c>
    </row>
    <row r="183" ht="14.25" customHeight="1">
      <c r="A183" s="1">
        <v>40603.0</v>
      </c>
      <c r="B183" s="1" t="s">
        <v>278</v>
      </c>
      <c r="C183" s="16">
        <v>5.666666666666667</v>
      </c>
      <c r="D183" s="16">
        <v>1.0</v>
      </c>
    </row>
    <row r="184" ht="14.25" customHeight="1">
      <c r="A184" s="1">
        <v>40701.0</v>
      </c>
      <c r="B184" s="1" t="s">
        <v>280</v>
      </c>
      <c r="C184" s="16">
        <v>100.0</v>
      </c>
      <c r="D184" s="16">
        <v>18.333333333333332</v>
      </c>
    </row>
    <row r="185" ht="14.25" customHeight="1">
      <c r="A185" s="1">
        <v>40702.0</v>
      </c>
      <c r="B185" s="1" t="s">
        <v>282</v>
      </c>
      <c r="C185" s="16">
        <v>10.666666666666666</v>
      </c>
      <c r="D185" s="16">
        <v>11.666666666666666</v>
      </c>
    </row>
    <row r="186" ht="14.25" customHeight="1">
      <c r="A186" s="1">
        <v>40801.0</v>
      </c>
      <c r="B186" s="1" t="s">
        <v>284</v>
      </c>
      <c r="C186" s="16">
        <v>20.666666666666668</v>
      </c>
      <c r="D186" s="16">
        <v>7.333333333333333</v>
      </c>
    </row>
    <row r="187" ht="14.25" customHeight="1">
      <c r="A187" s="1">
        <v>40802.0</v>
      </c>
      <c r="B187" s="1" t="s">
        <v>286</v>
      </c>
      <c r="C187" s="16">
        <v>5.333333333333333</v>
      </c>
      <c r="D187" s="16">
        <v>2.3333333333333335</v>
      </c>
    </row>
    <row r="188" ht="14.25" customHeight="1">
      <c r="A188" s="1">
        <v>40901.0</v>
      </c>
      <c r="B188" s="1" t="s">
        <v>287</v>
      </c>
      <c r="C188" s="16">
        <v>7.333333333333333</v>
      </c>
      <c r="D188" s="16">
        <v>3.3333333333333335</v>
      </c>
    </row>
    <row r="189" ht="14.25" customHeight="1">
      <c r="A189" s="1">
        <v>40902.0</v>
      </c>
      <c r="B189" s="1" t="s">
        <v>288</v>
      </c>
      <c r="C189" s="16">
        <v>3.0</v>
      </c>
      <c r="D189" s="16">
        <v>1.0</v>
      </c>
    </row>
    <row r="190" ht="14.25" customHeight="1">
      <c r="A190" s="1">
        <v>40903.0</v>
      </c>
      <c r="B190" s="1" t="s">
        <v>289</v>
      </c>
      <c r="C190" s="16">
        <v>13.0</v>
      </c>
      <c r="D190" s="16">
        <v>5.666666666666667</v>
      </c>
    </row>
    <row r="191" ht="14.25" customHeight="1">
      <c r="A191" s="1">
        <v>41001.0</v>
      </c>
      <c r="B191" s="1" t="s">
        <v>292</v>
      </c>
      <c r="C191" s="16">
        <v>29.666666666666668</v>
      </c>
      <c r="D191" s="16">
        <v>5.0</v>
      </c>
    </row>
    <row r="192" ht="14.25" customHeight="1">
      <c r="A192" s="1">
        <v>41101.0</v>
      </c>
      <c r="B192" s="1" t="s">
        <v>294</v>
      </c>
      <c r="C192" s="16">
        <v>10.333333333333334</v>
      </c>
      <c r="D192" s="16">
        <v>10.666666666666666</v>
      </c>
    </row>
    <row r="193" ht="14.25" customHeight="1">
      <c r="A193" s="1">
        <v>41201.0</v>
      </c>
      <c r="B193" s="1" t="s">
        <v>296</v>
      </c>
      <c r="C193" s="16">
        <v>11.333333333333334</v>
      </c>
      <c r="D193" s="16">
        <v>2.6666666666666665</v>
      </c>
    </row>
    <row r="194" ht="14.25" customHeight="1">
      <c r="A194" s="1">
        <v>41202.0</v>
      </c>
      <c r="B194" s="1" t="s">
        <v>298</v>
      </c>
      <c r="C194" s="16">
        <v>2.3333333333333335</v>
      </c>
      <c r="D194" s="16">
        <v>3.6666666666666665</v>
      </c>
    </row>
    <row r="195" ht="14.25" customHeight="1">
      <c r="A195" s="1">
        <v>41301.0</v>
      </c>
      <c r="B195" s="1" t="s">
        <v>234</v>
      </c>
      <c r="C195" s="16">
        <v>14.666666666666666</v>
      </c>
      <c r="D195" s="16">
        <v>8.0</v>
      </c>
    </row>
    <row r="196" ht="14.25" customHeight="1">
      <c r="A196" s="1">
        <v>41401.0</v>
      </c>
      <c r="B196" s="1" t="s">
        <v>301</v>
      </c>
      <c r="C196" s="16">
        <v>28.666666666666668</v>
      </c>
      <c r="D196" s="16">
        <v>4.333333333333333</v>
      </c>
    </row>
    <row r="197" ht="14.25" customHeight="1">
      <c r="A197" s="1">
        <v>41501.0</v>
      </c>
      <c r="B197" s="1" t="s">
        <v>303</v>
      </c>
      <c r="C197" s="16">
        <v>0.6666666666666666</v>
      </c>
      <c r="D197" s="16">
        <v>1.0</v>
      </c>
    </row>
    <row r="198" ht="14.25" customHeight="1">
      <c r="A198" s="1">
        <v>41502.0</v>
      </c>
      <c r="B198" s="1" t="s">
        <v>304</v>
      </c>
      <c r="C198" s="16">
        <v>0.3333333333333333</v>
      </c>
      <c r="D198" s="16">
        <v>1.0</v>
      </c>
    </row>
    <row r="199" ht="14.25" customHeight="1">
      <c r="A199" s="1">
        <v>41503.0</v>
      </c>
      <c r="B199" s="1" t="s">
        <v>263</v>
      </c>
      <c r="C199" s="16">
        <v>0.6666666666666666</v>
      </c>
      <c r="D199" s="16">
        <v>0.0</v>
      </c>
    </row>
    <row r="200" ht="14.25" customHeight="1">
      <c r="A200" s="1">
        <v>41601.0</v>
      </c>
      <c r="B200" s="1" t="s">
        <v>306</v>
      </c>
      <c r="C200" s="16">
        <v>15.333333333333334</v>
      </c>
      <c r="D200" s="16">
        <v>3.0</v>
      </c>
    </row>
    <row r="201" ht="14.25" customHeight="1">
      <c r="A201" s="1">
        <v>50101.0</v>
      </c>
      <c r="B201" s="1" t="s">
        <v>307</v>
      </c>
      <c r="C201" s="16">
        <v>713.6666666666666</v>
      </c>
      <c r="D201" s="16">
        <v>342.0</v>
      </c>
    </row>
    <row r="202" ht="14.25" customHeight="1">
      <c r="A202" s="1">
        <v>50102.0</v>
      </c>
      <c r="B202" s="1" t="s">
        <v>309</v>
      </c>
      <c r="C202" s="16">
        <v>128.33333333333334</v>
      </c>
      <c r="D202" s="16">
        <v>29.666666666666668</v>
      </c>
    </row>
    <row r="203" ht="14.25" customHeight="1">
      <c r="A203" s="1">
        <v>50103.0</v>
      </c>
      <c r="B203" s="1" t="s">
        <v>310</v>
      </c>
      <c r="C203" s="16">
        <v>23.333333333333332</v>
      </c>
      <c r="D203" s="16">
        <v>11.333333333333334</v>
      </c>
    </row>
    <row r="204" ht="14.25" customHeight="1">
      <c r="A204" s="1">
        <v>50104.0</v>
      </c>
      <c r="B204" s="1" t="s">
        <v>312</v>
      </c>
      <c r="C204" s="16">
        <v>3.6666666666666665</v>
      </c>
      <c r="D204" s="16">
        <v>0.0</v>
      </c>
    </row>
    <row r="205" ht="14.25" customHeight="1">
      <c r="A205" s="1">
        <v>50201.0</v>
      </c>
      <c r="B205" s="1" t="s">
        <v>315</v>
      </c>
      <c r="C205" s="16">
        <v>109.0</v>
      </c>
      <c r="D205" s="16">
        <v>31.666666666666668</v>
      </c>
    </row>
    <row r="206" ht="14.25" customHeight="1">
      <c r="A206" s="1">
        <v>50202.0</v>
      </c>
      <c r="B206" s="1" t="s">
        <v>316</v>
      </c>
      <c r="C206" s="16">
        <v>73.66666666666667</v>
      </c>
      <c r="D206" s="16">
        <v>34.0</v>
      </c>
    </row>
    <row r="207" ht="14.25" customHeight="1">
      <c r="A207" s="1">
        <v>50203.0</v>
      </c>
      <c r="B207" s="1" t="s">
        <v>317</v>
      </c>
      <c r="C207" s="16">
        <v>126.33333333333333</v>
      </c>
      <c r="D207" s="16">
        <v>56.0</v>
      </c>
    </row>
    <row r="208" ht="14.25" customHeight="1">
      <c r="A208" s="1">
        <v>50204.0</v>
      </c>
      <c r="B208" s="1" t="s">
        <v>318</v>
      </c>
      <c r="C208" s="16">
        <v>11.666666666666666</v>
      </c>
      <c r="D208" s="16">
        <v>9.666666666666666</v>
      </c>
    </row>
    <row r="209" ht="14.25" customHeight="1">
      <c r="A209" s="1">
        <v>50301.0</v>
      </c>
      <c r="B209" s="1" t="s">
        <v>320</v>
      </c>
      <c r="C209" s="16">
        <v>171.33333333333334</v>
      </c>
      <c r="D209" s="16">
        <v>48.0</v>
      </c>
    </row>
    <row r="210" ht="14.25" customHeight="1">
      <c r="A210" s="1">
        <v>50302.0</v>
      </c>
      <c r="B210" s="1" t="s">
        <v>322</v>
      </c>
      <c r="C210" s="16">
        <v>27.333333333333332</v>
      </c>
      <c r="D210" s="16">
        <v>12.666666666666666</v>
      </c>
    </row>
    <row r="211" ht="14.25" customHeight="1">
      <c r="A211" s="1">
        <v>50303.0</v>
      </c>
      <c r="B211" s="1" t="s">
        <v>323</v>
      </c>
      <c r="C211" s="16">
        <v>68.33333333333333</v>
      </c>
      <c r="D211" s="16">
        <v>17.333333333333332</v>
      </c>
    </row>
    <row r="212" ht="14.25" customHeight="1">
      <c r="A212" s="1">
        <v>50401.0</v>
      </c>
      <c r="B212" s="1" t="s">
        <v>324</v>
      </c>
      <c r="C212" s="16">
        <v>241.66666666666666</v>
      </c>
      <c r="D212" s="16">
        <v>72.0</v>
      </c>
    </row>
    <row r="213" ht="14.25" customHeight="1">
      <c r="A213" s="1">
        <v>50402.0</v>
      </c>
      <c r="B213" s="1" t="s">
        <v>325</v>
      </c>
      <c r="C213" s="16">
        <v>132.66666666666666</v>
      </c>
      <c r="D213" s="16">
        <v>22.666666666666668</v>
      </c>
    </row>
    <row r="214" ht="14.25" customHeight="1">
      <c r="A214" s="1">
        <v>50403.0</v>
      </c>
      <c r="B214" s="1" t="s">
        <v>326</v>
      </c>
      <c r="C214" s="16">
        <v>170.66666666666666</v>
      </c>
      <c r="D214" s="16">
        <v>60.666666666666664</v>
      </c>
    </row>
    <row r="215" ht="14.25" customHeight="1">
      <c r="A215" s="1">
        <v>50404.0</v>
      </c>
      <c r="B215" s="1" t="s">
        <v>327</v>
      </c>
      <c r="C215" s="16">
        <v>101.0</v>
      </c>
      <c r="D215" s="16">
        <v>17.333333333333332</v>
      </c>
    </row>
    <row r="216" ht="14.25" customHeight="1">
      <c r="A216" s="1">
        <v>50405.0</v>
      </c>
      <c r="B216" s="1" t="s">
        <v>328</v>
      </c>
      <c r="C216" s="16">
        <v>241.66666666666666</v>
      </c>
      <c r="D216" s="16">
        <v>72.0</v>
      </c>
    </row>
    <row r="217" ht="14.25" customHeight="1">
      <c r="A217" s="1">
        <v>50501.0</v>
      </c>
      <c r="B217" s="1" t="s">
        <v>330</v>
      </c>
      <c r="C217" s="16">
        <v>221.66666666666666</v>
      </c>
      <c r="D217" s="16">
        <v>95.33333333333333</v>
      </c>
    </row>
    <row r="218" ht="14.25" customHeight="1">
      <c r="A218" s="1">
        <v>50502.0</v>
      </c>
      <c r="B218" s="1" t="s">
        <v>331</v>
      </c>
      <c r="C218" s="16">
        <v>72.66666666666667</v>
      </c>
      <c r="D218" s="16">
        <v>34.0</v>
      </c>
    </row>
    <row r="219" ht="14.25" customHeight="1">
      <c r="A219" s="1">
        <v>50601.0</v>
      </c>
      <c r="B219" s="1" t="s">
        <v>333</v>
      </c>
      <c r="C219" s="16">
        <v>148.33333333333334</v>
      </c>
      <c r="D219" s="16">
        <v>38.666666666666664</v>
      </c>
    </row>
    <row r="220" ht="14.25" customHeight="1">
      <c r="A220" s="1">
        <v>50602.0</v>
      </c>
      <c r="B220" s="1" t="s">
        <v>334</v>
      </c>
      <c r="C220" s="16">
        <v>35.666666666666664</v>
      </c>
      <c r="D220" s="16">
        <v>12.666666666666666</v>
      </c>
    </row>
    <row r="221" ht="14.25" customHeight="1">
      <c r="A221" s="1">
        <v>50701.0</v>
      </c>
      <c r="B221" s="1" t="s">
        <v>337</v>
      </c>
      <c r="C221" s="16">
        <v>127.33333333333333</v>
      </c>
      <c r="D221" s="16">
        <v>38.666666666666664</v>
      </c>
    </row>
    <row r="222" ht="14.25" customHeight="1">
      <c r="A222" s="1">
        <v>50702.0</v>
      </c>
      <c r="B222" s="1" t="s">
        <v>339</v>
      </c>
      <c r="C222" s="16">
        <v>45.333333333333336</v>
      </c>
      <c r="D222" s="16">
        <v>20.333333333333332</v>
      </c>
    </row>
    <row r="223" ht="14.25" customHeight="1">
      <c r="A223" s="1">
        <v>50801.0</v>
      </c>
      <c r="B223" s="1" t="s">
        <v>341</v>
      </c>
      <c r="C223" s="16">
        <v>136.0</v>
      </c>
      <c r="D223" s="16">
        <v>45.0</v>
      </c>
    </row>
    <row r="224" ht="14.25" customHeight="1">
      <c r="A224" s="1">
        <v>50802.0</v>
      </c>
      <c r="B224" s="1" t="s">
        <v>342</v>
      </c>
      <c r="C224" s="16">
        <v>33.333333333333336</v>
      </c>
      <c r="D224" s="16">
        <v>7.666666666666667</v>
      </c>
    </row>
    <row r="225" ht="14.25" customHeight="1">
      <c r="A225" s="1">
        <v>50901.0</v>
      </c>
      <c r="B225" s="1" t="s">
        <v>344</v>
      </c>
      <c r="C225" s="16">
        <v>28.333333333333332</v>
      </c>
      <c r="D225" s="16">
        <v>11.0</v>
      </c>
    </row>
    <row r="226" ht="14.25" customHeight="1">
      <c r="A226" s="1">
        <v>50902.0</v>
      </c>
      <c r="B226" s="1" t="s">
        <v>346</v>
      </c>
      <c r="C226" s="16">
        <v>0.3333333333333333</v>
      </c>
      <c r="D226" s="16">
        <v>2.6666666666666665</v>
      </c>
    </row>
    <row r="227" ht="14.25" customHeight="1">
      <c r="A227" s="1">
        <v>51001.0</v>
      </c>
      <c r="B227" s="1" t="s">
        <v>349</v>
      </c>
      <c r="C227" s="16">
        <v>8.0</v>
      </c>
      <c r="D227" s="16">
        <v>1.6666666666666667</v>
      </c>
    </row>
    <row r="228" ht="14.25" customHeight="1">
      <c r="A228" s="1">
        <v>51002.0</v>
      </c>
      <c r="B228" s="1" t="s">
        <v>351</v>
      </c>
      <c r="C228" s="16">
        <v>1.3333333333333333</v>
      </c>
      <c r="D228" s="16">
        <v>0.0</v>
      </c>
    </row>
    <row r="229" ht="14.25" customHeight="1">
      <c r="A229" s="1">
        <v>51003.0</v>
      </c>
      <c r="B229" s="1" t="s">
        <v>352</v>
      </c>
      <c r="C229" s="16">
        <v>3.0</v>
      </c>
      <c r="D229" s="16">
        <v>2.0</v>
      </c>
    </row>
    <row r="230" ht="14.25" customHeight="1">
      <c r="A230" s="1">
        <v>51101.0</v>
      </c>
      <c r="B230" s="1" t="s">
        <v>354</v>
      </c>
      <c r="C230" s="16">
        <v>174.33333333333334</v>
      </c>
      <c r="D230" s="16">
        <v>28.0</v>
      </c>
    </row>
    <row r="231" ht="14.25" customHeight="1">
      <c r="A231" s="1">
        <v>51102.0</v>
      </c>
      <c r="B231" s="1" t="s">
        <v>356</v>
      </c>
      <c r="C231" s="16">
        <v>31.333333333333332</v>
      </c>
      <c r="D231" s="16">
        <v>22.0</v>
      </c>
    </row>
    <row r="232" ht="14.25" customHeight="1">
      <c r="A232" s="1">
        <v>51103.0</v>
      </c>
      <c r="B232" s="1" t="s">
        <v>357</v>
      </c>
      <c r="C232" s="16">
        <v>29.333333333333332</v>
      </c>
      <c r="D232" s="16">
        <v>25.0</v>
      </c>
    </row>
    <row r="233" ht="14.25" customHeight="1">
      <c r="A233" s="1">
        <v>51201.0</v>
      </c>
      <c r="B233" s="1" t="s">
        <v>359</v>
      </c>
      <c r="C233" s="16">
        <v>106.0</v>
      </c>
      <c r="D233" s="16">
        <v>42.333333333333336</v>
      </c>
    </row>
    <row r="234" ht="14.25" customHeight="1">
      <c r="A234" s="1">
        <v>51202.0</v>
      </c>
      <c r="B234" s="1" t="s">
        <v>360</v>
      </c>
      <c r="C234" s="16">
        <v>57.333333333333336</v>
      </c>
      <c r="D234" s="16">
        <v>9.666666666666666</v>
      </c>
    </row>
    <row r="235" ht="14.25" customHeight="1">
      <c r="A235" s="1">
        <v>51203.0</v>
      </c>
      <c r="B235" s="1" t="s">
        <v>361</v>
      </c>
      <c r="C235" s="16">
        <v>30.333333333333332</v>
      </c>
      <c r="D235" s="16">
        <v>8.0</v>
      </c>
    </row>
    <row r="236" ht="14.25" customHeight="1">
      <c r="A236" s="1">
        <v>51204.0</v>
      </c>
      <c r="B236" s="1" t="s">
        <v>362</v>
      </c>
      <c r="C236" s="16">
        <v>57.333333333333336</v>
      </c>
      <c r="D236" s="16">
        <v>11.5</v>
      </c>
    </row>
    <row r="237" ht="14.25" customHeight="1">
      <c r="A237" s="1">
        <v>51301.0</v>
      </c>
      <c r="B237" s="1" t="s">
        <v>365</v>
      </c>
      <c r="C237" s="16">
        <v>30.333333333333332</v>
      </c>
      <c r="D237" s="16">
        <v>25.0</v>
      </c>
    </row>
    <row r="238" ht="14.25" customHeight="1">
      <c r="A238" s="1">
        <v>51302.0</v>
      </c>
      <c r="B238" s="1" t="s">
        <v>366</v>
      </c>
      <c r="C238" s="16">
        <v>19.333333333333332</v>
      </c>
      <c r="D238" s="16">
        <v>16.0</v>
      </c>
    </row>
    <row r="239" ht="14.25" customHeight="1">
      <c r="A239" s="1">
        <v>51401.0</v>
      </c>
      <c r="B239" s="1" t="s">
        <v>368</v>
      </c>
      <c r="C239" s="16">
        <v>11.666666666666666</v>
      </c>
      <c r="D239" s="16">
        <v>8.0</v>
      </c>
    </row>
    <row r="240" ht="14.25" customHeight="1">
      <c r="A240" s="1">
        <v>51402.0</v>
      </c>
      <c r="B240" s="1" t="s">
        <v>369</v>
      </c>
      <c r="C240" s="16">
        <v>4.666666666666667</v>
      </c>
      <c r="D240" s="16">
        <v>0.3333333333333333</v>
      </c>
    </row>
    <row r="241" ht="14.25" customHeight="1">
      <c r="A241" s="1">
        <v>51501.0</v>
      </c>
      <c r="B241" s="1" t="s">
        <v>371</v>
      </c>
      <c r="C241" s="16">
        <v>183.0</v>
      </c>
      <c r="D241" s="16">
        <v>67.0</v>
      </c>
    </row>
    <row r="242" ht="14.25" customHeight="1">
      <c r="A242" s="1">
        <v>51601.0</v>
      </c>
      <c r="B242" s="1" t="s">
        <v>373</v>
      </c>
      <c r="C242" s="16">
        <v>4.0</v>
      </c>
      <c r="D242" s="16">
        <v>2.0</v>
      </c>
    </row>
    <row r="243" ht="14.25" customHeight="1">
      <c r="A243" s="1">
        <v>60101.0</v>
      </c>
      <c r="B243" s="1" t="s">
        <v>42</v>
      </c>
      <c r="C243" s="16">
        <v>473.0</v>
      </c>
      <c r="D243" s="16">
        <v>179.66666666666666</v>
      </c>
    </row>
    <row r="244" ht="14.25" customHeight="1">
      <c r="A244" s="1">
        <v>60201.0</v>
      </c>
      <c r="B244" s="1" t="s">
        <v>375</v>
      </c>
      <c r="C244" s="16">
        <v>47.666666666666664</v>
      </c>
      <c r="D244" s="16">
        <v>10.333333333333334</v>
      </c>
    </row>
    <row r="245" ht="14.25" customHeight="1">
      <c r="A245" s="1">
        <v>60202.0</v>
      </c>
      <c r="B245" s="1" t="s">
        <v>376</v>
      </c>
      <c r="C245" s="16">
        <v>100.66666666666667</v>
      </c>
      <c r="D245" s="16">
        <v>49.666666666666664</v>
      </c>
    </row>
    <row r="246" ht="14.25" customHeight="1">
      <c r="A246" s="1">
        <v>60301.0</v>
      </c>
      <c r="B246" s="1" t="s">
        <v>377</v>
      </c>
      <c r="C246" s="16">
        <v>323.6666666666667</v>
      </c>
      <c r="D246" s="16">
        <v>84.66666666666667</v>
      </c>
    </row>
    <row r="247" ht="14.25" customHeight="1">
      <c r="A247" s="1">
        <v>60302.0</v>
      </c>
      <c r="B247" s="1" t="s">
        <v>378</v>
      </c>
      <c r="C247" s="16">
        <v>40.666666666666664</v>
      </c>
      <c r="D247" s="16">
        <v>14.333333333333334</v>
      </c>
    </row>
    <row r="248" ht="14.25" customHeight="1">
      <c r="A248" s="1">
        <v>60303.0</v>
      </c>
      <c r="B248" s="1" t="s">
        <v>379</v>
      </c>
      <c r="C248" s="16">
        <v>163.0</v>
      </c>
      <c r="D248" s="16">
        <v>66.0</v>
      </c>
    </row>
    <row r="249" ht="14.25" customHeight="1">
      <c r="A249" s="1">
        <v>60401.0</v>
      </c>
      <c r="B249" s="1" t="s">
        <v>381</v>
      </c>
      <c r="C249" s="16">
        <v>66.66666666666667</v>
      </c>
      <c r="D249" s="16">
        <v>9.0</v>
      </c>
    </row>
    <row r="250" ht="14.25" customHeight="1">
      <c r="A250" s="1">
        <v>60402.0</v>
      </c>
      <c r="B250" s="1" t="s">
        <v>383</v>
      </c>
      <c r="C250" s="16">
        <v>8.333333333333334</v>
      </c>
      <c r="D250" s="16">
        <v>5.0</v>
      </c>
    </row>
    <row r="251" ht="14.25" customHeight="1">
      <c r="A251" s="1">
        <v>60501.0</v>
      </c>
      <c r="B251" s="1" t="s">
        <v>385</v>
      </c>
      <c r="C251" s="16">
        <v>101.0</v>
      </c>
      <c r="D251" s="16">
        <v>25.666666666666668</v>
      </c>
    </row>
    <row r="252" ht="14.25" customHeight="1">
      <c r="A252" s="1">
        <v>60502.0</v>
      </c>
      <c r="B252" s="1" t="s">
        <v>387</v>
      </c>
      <c r="C252" s="16">
        <v>51.666666666666664</v>
      </c>
      <c r="D252" s="16">
        <v>10.333333333333334</v>
      </c>
    </row>
    <row r="253" ht="14.25" customHeight="1">
      <c r="A253" s="1">
        <v>60601.0</v>
      </c>
      <c r="B253" s="1" t="s">
        <v>239</v>
      </c>
      <c r="C253" s="16">
        <v>93.33333333333333</v>
      </c>
      <c r="D253" s="16">
        <v>23.0</v>
      </c>
    </row>
    <row r="254" ht="14.25" customHeight="1">
      <c r="A254" s="1">
        <v>70101.0</v>
      </c>
      <c r="B254" s="1" t="s">
        <v>390</v>
      </c>
      <c r="C254" s="16">
        <v>4334.0</v>
      </c>
      <c r="D254" s="16">
        <v>1365.3333333333333</v>
      </c>
    </row>
    <row r="255" ht="14.25" customHeight="1">
      <c r="A255" s="1">
        <v>70102.0</v>
      </c>
      <c r="B255" s="1" t="s">
        <v>391</v>
      </c>
      <c r="C255" s="16">
        <v>272.0</v>
      </c>
      <c r="D255" s="16">
        <v>111.66666666666667</v>
      </c>
    </row>
    <row r="256" ht="14.25" customHeight="1">
      <c r="A256" s="1">
        <v>70103.0</v>
      </c>
      <c r="B256" s="1" t="s">
        <v>392</v>
      </c>
      <c r="C256" s="16">
        <v>66.66666666666667</v>
      </c>
      <c r="D256" s="16">
        <v>17.333333333333332</v>
      </c>
    </row>
    <row r="257" ht="14.25" customHeight="1">
      <c r="A257" s="1">
        <v>70104.0</v>
      </c>
      <c r="B257" s="1" t="s">
        <v>394</v>
      </c>
      <c r="C257" s="16">
        <v>228.0</v>
      </c>
      <c r="D257" s="16">
        <v>103.33333333333333</v>
      </c>
    </row>
    <row r="258" ht="14.25" customHeight="1">
      <c r="A258" s="1">
        <v>70105.0</v>
      </c>
      <c r="B258" s="1" t="s">
        <v>395</v>
      </c>
      <c r="C258" s="16">
        <v>183.66666666666666</v>
      </c>
      <c r="D258" s="16">
        <v>75.66666666666667</v>
      </c>
    </row>
    <row r="259" ht="14.25" customHeight="1">
      <c r="A259" s="1">
        <v>70201.0</v>
      </c>
      <c r="B259" s="1" t="s">
        <v>396</v>
      </c>
      <c r="C259" s="16">
        <v>377.3333333333333</v>
      </c>
      <c r="D259" s="16">
        <v>206.33333333333334</v>
      </c>
    </row>
    <row r="260" ht="14.25" customHeight="1">
      <c r="A260" s="1">
        <v>70202.0</v>
      </c>
      <c r="B260" s="1" t="s">
        <v>397</v>
      </c>
      <c r="C260" s="16">
        <v>56.666666666666664</v>
      </c>
      <c r="D260" s="16">
        <v>16.333333333333332</v>
      </c>
    </row>
    <row r="261" ht="14.25" customHeight="1">
      <c r="A261" s="1">
        <v>70301.0</v>
      </c>
      <c r="B261" s="1" t="s">
        <v>399</v>
      </c>
      <c r="C261" s="16">
        <v>216.66666666666666</v>
      </c>
      <c r="D261" s="16">
        <v>93.33333333333333</v>
      </c>
    </row>
    <row r="262" ht="14.25" customHeight="1">
      <c r="A262" s="1">
        <v>70302.0</v>
      </c>
      <c r="B262" s="1" t="s">
        <v>400</v>
      </c>
      <c r="C262" s="16">
        <v>34.333333333333336</v>
      </c>
      <c r="D262" s="16">
        <v>12.666666666666666</v>
      </c>
    </row>
    <row r="263" ht="14.25" customHeight="1">
      <c r="A263" s="1">
        <v>70303.0</v>
      </c>
      <c r="B263" s="1" t="s">
        <v>401</v>
      </c>
      <c r="C263" s="16">
        <v>25.333333333333332</v>
      </c>
      <c r="D263" s="16">
        <v>7.0</v>
      </c>
    </row>
    <row r="264" ht="14.25" customHeight="1">
      <c r="A264" s="1">
        <v>70401.0</v>
      </c>
      <c r="B264" s="1" t="s">
        <v>403</v>
      </c>
      <c r="C264" s="16">
        <v>52.666666666666664</v>
      </c>
      <c r="D264" s="16">
        <v>21.0</v>
      </c>
    </row>
    <row r="265" ht="14.25" customHeight="1">
      <c r="A265" s="1">
        <v>70402.0</v>
      </c>
      <c r="B265" s="1" t="s">
        <v>404</v>
      </c>
      <c r="C265" s="16">
        <v>89.66666666666667</v>
      </c>
      <c r="D265" s="16">
        <v>26.666666666666668</v>
      </c>
    </row>
    <row r="266" ht="14.25" customHeight="1">
      <c r="A266" s="1">
        <v>70403.0</v>
      </c>
      <c r="B266" s="1" t="s">
        <v>405</v>
      </c>
      <c r="C266" s="16">
        <v>134.0</v>
      </c>
      <c r="D266" s="16">
        <v>98.66666666666667</v>
      </c>
    </row>
    <row r="267" ht="14.25" customHeight="1">
      <c r="A267" s="1">
        <v>70404.0</v>
      </c>
      <c r="B267" s="1" t="s">
        <v>406</v>
      </c>
      <c r="C267" s="16">
        <v>27.0</v>
      </c>
      <c r="D267" s="16">
        <v>13.666666666666666</v>
      </c>
    </row>
    <row r="268" ht="14.25" customHeight="1">
      <c r="A268" s="1">
        <v>70501.0</v>
      </c>
      <c r="B268" s="1" t="s">
        <v>408</v>
      </c>
      <c r="C268" s="16">
        <v>51.666666666666664</v>
      </c>
      <c r="D268" s="16">
        <v>40.666666666666664</v>
      </c>
    </row>
    <row r="269" ht="14.25" customHeight="1">
      <c r="A269" s="1">
        <v>70502.0</v>
      </c>
      <c r="B269" s="1" t="s">
        <v>409</v>
      </c>
      <c r="C269" s="16">
        <v>98.0</v>
      </c>
      <c r="D269" s="16">
        <v>53.0</v>
      </c>
    </row>
    <row r="270" ht="14.25" customHeight="1">
      <c r="A270" s="1">
        <v>70503.0</v>
      </c>
      <c r="B270" s="1" t="s">
        <v>410</v>
      </c>
      <c r="C270" s="16">
        <v>68.0</v>
      </c>
      <c r="D270" s="16">
        <v>18.333333333333332</v>
      </c>
    </row>
    <row r="271" ht="14.25" customHeight="1">
      <c r="A271" s="1">
        <v>70601.0</v>
      </c>
      <c r="B271" s="1" t="s">
        <v>412</v>
      </c>
      <c r="C271" s="16">
        <v>81.0</v>
      </c>
      <c r="D271" s="16">
        <v>32.333333333333336</v>
      </c>
    </row>
    <row r="272" ht="14.25" customHeight="1">
      <c r="A272" s="1">
        <v>70602.0</v>
      </c>
      <c r="B272" s="1" t="s">
        <v>413</v>
      </c>
      <c r="C272" s="16">
        <v>81.33333333333333</v>
      </c>
      <c r="D272" s="16">
        <v>32.666666666666664</v>
      </c>
    </row>
    <row r="273" ht="14.25" customHeight="1">
      <c r="A273" s="1">
        <v>70603.0</v>
      </c>
      <c r="B273" s="1" t="s">
        <v>414</v>
      </c>
      <c r="C273" s="16">
        <v>39.333333333333336</v>
      </c>
      <c r="D273" s="16">
        <v>8.666666666666666</v>
      </c>
    </row>
    <row r="274" ht="14.25" customHeight="1">
      <c r="A274" s="1">
        <v>70701.0</v>
      </c>
      <c r="B274" s="1" t="s">
        <v>416</v>
      </c>
      <c r="C274" s="16">
        <v>24.333333333333332</v>
      </c>
      <c r="D274" s="16">
        <v>8.333333333333334</v>
      </c>
    </row>
    <row r="275" ht="14.25" customHeight="1">
      <c r="A275" s="1">
        <v>70702.0</v>
      </c>
      <c r="B275" s="1" t="s">
        <v>417</v>
      </c>
      <c r="C275" s="16">
        <v>119.66666666666667</v>
      </c>
      <c r="D275" s="16">
        <v>42.0</v>
      </c>
    </row>
    <row r="276" ht="14.25" customHeight="1">
      <c r="A276" s="1">
        <v>70703.0</v>
      </c>
      <c r="B276" s="1" t="s">
        <v>419</v>
      </c>
      <c r="C276" s="16">
        <v>58.333333333333336</v>
      </c>
      <c r="D276" s="16">
        <v>47.666666666666664</v>
      </c>
    </row>
    <row r="277" ht="14.25" customHeight="1">
      <c r="A277" s="1">
        <v>70704.0</v>
      </c>
      <c r="B277" s="1" t="s">
        <v>420</v>
      </c>
      <c r="C277" s="16">
        <v>12.666666666666666</v>
      </c>
      <c r="D277" s="16">
        <v>5.0</v>
      </c>
    </row>
    <row r="278" ht="14.25" customHeight="1">
      <c r="A278" s="1">
        <v>70705.0</v>
      </c>
      <c r="B278" s="1" t="s">
        <v>421</v>
      </c>
      <c r="C278" s="16">
        <v>56.0</v>
      </c>
      <c r="D278" s="16">
        <v>30.0</v>
      </c>
    </row>
    <row r="279" ht="14.25" customHeight="1">
      <c r="A279" s="1">
        <v>70706.0</v>
      </c>
      <c r="B279" s="1" t="s">
        <v>423</v>
      </c>
      <c r="C279" s="16">
        <v>104.33333333333333</v>
      </c>
      <c r="D279" s="16">
        <v>40.0</v>
      </c>
    </row>
    <row r="280" ht="14.25" customHeight="1">
      <c r="A280" s="1">
        <v>70707.0</v>
      </c>
      <c r="B280" s="1" t="s">
        <v>424</v>
      </c>
      <c r="C280" s="16">
        <v>19.333333333333332</v>
      </c>
      <c r="D280" s="16">
        <v>4.333333333333333</v>
      </c>
    </row>
    <row r="281" ht="14.25" customHeight="1">
      <c r="A281" s="1">
        <v>70801.0</v>
      </c>
      <c r="B281" s="1" t="s">
        <v>425</v>
      </c>
      <c r="C281" s="16">
        <v>60.0</v>
      </c>
      <c r="D281" s="16">
        <v>9.666666666666666</v>
      </c>
    </row>
    <row r="282" ht="14.25" customHeight="1">
      <c r="A282" s="1">
        <v>70802.0</v>
      </c>
      <c r="B282" s="1" t="s">
        <v>426</v>
      </c>
      <c r="C282" s="16">
        <v>6.333333333333333</v>
      </c>
      <c r="D282" s="16">
        <v>0.5</v>
      </c>
    </row>
    <row r="283" ht="14.25" customHeight="1">
      <c r="A283" s="1">
        <v>70803.0</v>
      </c>
      <c r="B283" s="1" t="s">
        <v>427</v>
      </c>
      <c r="C283" s="16">
        <v>10.0</v>
      </c>
      <c r="D283" s="16">
        <v>4.666666666666667</v>
      </c>
    </row>
    <row r="284" ht="14.25" customHeight="1">
      <c r="A284" s="1">
        <v>70804.0</v>
      </c>
      <c r="B284" s="1" t="s">
        <v>428</v>
      </c>
      <c r="C284" s="16">
        <v>8.333333333333334</v>
      </c>
      <c r="D284" s="16">
        <v>0.6666666666666666</v>
      </c>
    </row>
    <row r="285" ht="14.25" customHeight="1">
      <c r="A285" s="1">
        <v>70805.0</v>
      </c>
      <c r="B285" s="1" t="s">
        <v>429</v>
      </c>
      <c r="C285" s="16">
        <v>6.333333333333333</v>
      </c>
      <c r="D285" s="16">
        <v>0.0</v>
      </c>
    </row>
    <row r="286" ht="14.25" customHeight="1">
      <c r="A286" s="1">
        <v>70901.0</v>
      </c>
      <c r="B286" s="1" t="s">
        <v>431</v>
      </c>
      <c r="C286" s="16">
        <v>33.666666666666664</v>
      </c>
      <c r="D286" s="16">
        <v>11.333333333333334</v>
      </c>
    </row>
    <row r="287" ht="14.25" customHeight="1">
      <c r="A287" s="1">
        <v>70902.0</v>
      </c>
      <c r="B287" s="1" t="s">
        <v>432</v>
      </c>
      <c r="C287" s="16">
        <v>19.333333333333332</v>
      </c>
      <c r="D287" s="16">
        <v>8.666666666666666</v>
      </c>
    </row>
    <row r="288" ht="14.25" customHeight="1">
      <c r="A288" s="1">
        <v>70903.0</v>
      </c>
      <c r="B288" s="1" t="s">
        <v>434</v>
      </c>
      <c r="C288" s="16">
        <v>42.333333333333336</v>
      </c>
      <c r="D288" s="16">
        <v>27.333333333333332</v>
      </c>
    </row>
    <row r="289" ht="14.25" customHeight="1">
      <c r="A289" s="1">
        <v>70904.0</v>
      </c>
      <c r="B289" s="1" t="s">
        <v>435</v>
      </c>
      <c r="C289" s="16">
        <v>5.666666666666667</v>
      </c>
      <c r="D289" s="16">
        <v>0.6666666666666666</v>
      </c>
    </row>
    <row r="290" ht="14.25" customHeight="1">
      <c r="A290" s="1">
        <v>71001.0</v>
      </c>
      <c r="B290" s="1" t="s">
        <v>437</v>
      </c>
      <c r="C290" s="16">
        <v>432.0</v>
      </c>
      <c r="D290" s="16">
        <v>247.0</v>
      </c>
    </row>
    <row r="291" ht="14.25" customHeight="1">
      <c r="A291" s="1">
        <v>71002.0</v>
      </c>
      <c r="B291" s="1" t="s">
        <v>438</v>
      </c>
      <c r="C291" s="16">
        <v>68.0</v>
      </c>
      <c r="D291" s="16">
        <v>31.666666666666668</v>
      </c>
    </row>
    <row r="292" ht="14.25" customHeight="1">
      <c r="A292" s="1">
        <v>71003.0</v>
      </c>
      <c r="B292" s="1" t="s">
        <v>439</v>
      </c>
      <c r="C292" s="16">
        <v>97.66666666666667</v>
      </c>
      <c r="D292" s="16">
        <v>48.333333333333336</v>
      </c>
    </row>
    <row r="293" ht="14.25" customHeight="1">
      <c r="A293" s="1">
        <v>71004.0</v>
      </c>
      <c r="B293" s="1" t="s">
        <v>440</v>
      </c>
      <c r="C293" s="16">
        <v>46.666666666666664</v>
      </c>
      <c r="D293" s="16">
        <v>15.0</v>
      </c>
    </row>
    <row r="294" ht="14.25" customHeight="1">
      <c r="A294" s="1">
        <v>71005.0</v>
      </c>
      <c r="B294" s="1" t="s">
        <v>330</v>
      </c>
      <c r="C294" s="16">
        <v>46.0</v>
      </c>
      <c r="D294" s="16">
        <v>20.333333333333332</v>
      </c>
    </row>
    <row r="295" ht="14.25" customHeight="1">
      <c r="A295" s="1">
        <v>71101.0</v>
      </c>
      <c r="B295" s="1" t="s">
        <v>382</v>
      </c>
      <c r="C295" s="16">
        <v>65.66666666666667</v>
      </c>
      <c r="D295" s="16">
        <v>36.333333333333336</v>
      </c>
    </row>
    <row r="296" ht="14.25" customHeight="1">
      <c r="A296" s="1">
        <v>71102.0</v>
      </c>
      <c r="B296" s="1" t="s">
        <v>442</v>
      </c>
      <c r="C296" s="16">
        <v>56.333333333333336</v>
      </c>
      <c r="D296" s="16">
        <v>18.0</v>
      </c>
    </row>
    <row r="297" ht="14.25" customHeight="1">
      <c r="A297" s="1">
        <v>71103.0</v>
      </c>
      <c r="B297" s="1" t="s">
        <v>443</v>
      </c>
      <c r="C297" s="16">
        <v>41.666666666666664</v>
      </c>
      <c r="D297" s="16">
        <v>18.0</v>
      </c>
    </row>
    <row r="298" ht="14.25" customHeight="1">
      <c r="A298" s="1">
        <v>71104.0</v>
      </c>
      <c r="B298" s="1" t="s">
        <v>444</v>
      </c>
      <c r="C298" s="5">
        <v>209.66666666666666</v>
      </c>
      <c r="D298" s="5">
        <v>64.66666666666667</v>
      </c>
    </row>
    <row r="299" ht="14.25" customHeight="1">
      <c r="A299" s="1">
        <v>71105.0</v>
      </c>
      <c r="B299" s="1" t="s">
        <v>445</v>
      </c>
      <c r="C299" s="5">
        <v>17.333333333333332</v>
      </c>
      <c r="D299" s="5">
        <v>7.666666666666667</v>
      </c>
    </row>
    <row r="300" ht="14.25" customHeight="1">
      <c r="A300" s="1">
        <v>71106.0</v>
      </c>
      <c r="B300" s="1" t="s">
        <v>446</v>
      </c>
      <c r="C300" s="16">
        <v>70.66666666666667</v>
      </c>
      <c r="D300" s="16">
        <v>22.666666666666668</v>
      </c>
    </row>
    <row r="301" ht="14.25" customHeight="1">
      <c r="A301" s="1">
        <v>71201.0</v>
      </c>
      <c r="B301" s="1" t="s">
        <v>448</v>
      </c>
      <c r="C301" s="16">
        <v>77.33333333333333</v>
      </c>
      <c r="D301" s="16">
        <v>29.0</v>
      </c>
    </row>
    <row r="302" ht="14.25" customHeight="1">
      <c r="A302" s="1">
        <v>71301.0</v>
      </c>
      <c r="B302" s="1" t="s">
        <v>450</v>
      </c>
      <c r="C302" s="16">
        <v>48.666666666666664</v>
      </c>
      <c r="D302" s="16">
        <v>36.333333333333336</v>
      </c>
    </row>
    <row r="303" ht="14.25" customHeight="1">
      <c r="A303" s="1">
        <v>71302.0</v>
      </c>
      <c r="B303" s="1" t="s">
        <v>451</v>
      </c>
      <c r="C303" s="16">
        <v>19.666666666666668</v>
      </c>
      <c r="D303" s="16">
        <v>7.0</v>
      </c>
    </row>
    <row r="304" ht="14.25" customHeight="1">
      <c r="A304" s="1">
        <v>71401.0</v>
      </c>
      <c r="B304" s="1" t="s">
        <v>453</v>
      </c>
      <c r="C304" s="16">
        <v>51.0</v>
      </c>
      <c r="D304" s="16">
        <v>31.0</v>
      </c>
    </row>
    <row r="305" ht="14.25" customHeight="1">
      <c r="A305" s="1">
        <v>71402.0</v>
      </c>
      <c r="B305" s="1" t="s">
        <v>455</v>
      </c>
      <c r="C305" s="16">
        <v>62.0</v>
      </c>
      <c r="D305" s="16">
        <v>30.333333333333332</v>
      </c>
    </row>
    <row r="306" ht="14.25" customHeight="1">
      <c r="A306" s="1">
        <v>71403.0</v>
      </c>
      <c r="B306" s="1" t="s">
        <v>456</v>
      </c>
      <c r="C306" s="16">
        <v>26.333333333333332</v>
      </c>
      <c r="D306" s="16">
        <v>14.0</v>
      </c>
    </row>
    <row r="307" ht="14.25" customHeight="1">
      <c r="A307" s="1">
        <v>71501.0</v>
      </c>
      <c r="B307" s="1" t="s">
        <v>458</v>
      </c>
      <c r="C307" s="16">
        <v>143.66666666666666</v>
      </c>
      <c r="D307" s="16">
        <v>100.33333333333333</v>
      </c>
    </row>
    <row r="308" ht="14.25" customHeight="1">
      <c r="A308" s="1">
        <v>71502.0</v>
      </c>
      <c r="B308" s="1" t="s">
        <v>459</v>
      </c>
      <c r="C308" s="16">
        <v>20.666666666666668</v>
      </c>
      <c r="D308" s="16">
        <v>18.333333333333332</v>
      </c>
    </row>
    <row r="309" ht="14.25" customHeight="1">
      <c r="A309" s="1">
        <v>71503.0</v>
      </c>
      <c r="B309" s="1" t="s">
        <v>387</v>
      </c>
      <c r="C309" s="16">
        <v>36.666666666666664</v>
      </c>
      <c r="D309" s="16">
        <v>21.0</v>
      </c>
    </row>
    <row r="310" ht="14.25" customHeight="1">
      <c r="A310" s="1">
        <v>80101.0</v>
      </c>
      <c r="B310" s="1" t="s">
        <v>461</v>
      </c>
      <c r="C310" s="16">
        <v>517.6666666666666</v>
      </c>
      <c r="D310" s="16">
        <v>199.0</v>
      </c>
    </row>
    <row r="311" ht="14.25" customHeight="1">
      <c r="A311" s="1">
        <v>80102.0</v>
      </c>
      <c r="B311" s="1" t="s">
        <v>442</v>
      </c>
      <c r="C311" s="16">
        <v>27.666666666666668</v>
      </c>
      <c r="D311" s="16">
        <v>10.666666666666666</v>
      </c>
    </row>
    <row r="312" ht="14.25" customHeight="1">
      <c r="A312" s="1">
        <v>80201.0</v>
      </c>
      <c r="B312" s="1" t="s">
        <v>463</v>
      </c>
      <c r="C312" s="16">
        <v>698.6666666666666</v>
      </c>
      <c r="D312" s="16">
        <v>418.0</v>
      </c>
    </row>
    <row r="313" ht="14.25" customHeight="1">
      <c r="A313" s="1">
        <v>80202.0</v>
      </c>
      <c r="B313" s="1" t="s">
        <v>464</v>
      </c>
      <c r="C313" s="16">
        <v>161.0</v>
      </c>
      <c r="D313" s="16">
        <v>115.33333333333333</v>
      </c>
    </row>
    <row r="314" ht="14.25" customHeight="1">
      <c r="A314" s="1">
        <v>80301.0</v>
      </c>
      <c r="B314" s="1" t="s">
        <v>466</v>
      </c>
      <c r="C314" s="16">
        <v>68.0</v>
      </c>
      <c r="D314" s="16">
        <v>34.666666666666664</v>
      </c>
    </row>
    <row r="315" ht="14.25" customHeight="1">
      <c r="A315" s="1">
        <v>80302.0</v>
      </c>
      <c r="B315" s="1" t="s">
        <v>467</v>
      </c>
      <c r="C315" s="16">
        <v>293.0</v>
      </c>
      <c r="D315" s="16">
        <v>128.66666666666666</v>
      </c>
    </row>
    <row r="316" ht="14.25" customHeight="1">
      <c r="A316" s="1">
        <v>80303.0</v>
      </c>
      <c r="B316" s="1" t="s">
        <v>413</v>
      </c>
      <c r="C316" s="16">
        <v>36.666666666666664</v>
      </c>
      <c r="D316" s="16">
        <v>23.666666666666668</v>
      </c>
    </row>
    <row r="317" ht="14.25" customHeight="1">
      <c r="A317" s="1">
        <v>80304.0</v>
      </c>
      <c r="B317" s="1" t="s">
        <v>468</v>
      </c>
      <c r="C317" s="16">
        <v>106.33333333333333</v>
      </c>
      <c r="D317" s="16">
        <v>44.333333333333336</v>
      </c>
    </row>
    <row r="318" ht="14.25" customHeight="1">
      <c r="A318" s="1">
        <v>80401.0</v>
      </c>
      <c r="B318" s="1" t="s">
        <v>471</v>
      </c>
      <c r="C318" s="16">
        <v>141.66666666666666</v>
      </c>
      <c r="D318" s="16">
        <v>54.333333333333336</v>
      </c>
    </row>
    <row r="319" ht="14.25" customHeight="1">
      <c r="A319" s="1">
        <v>80402.0</v>
      </c>
      <c r="B319" s="1" t="s">
        <v>473</v>
      </c>
      <c r="C319" s="16">
        <v>37.666666666666664</v>
      </c>
      <c r="D319" s="16">
        <v>9.666666666666666</v>
      </c>
    </row>
    <row r="320" ht="14.25" customHeight="1">
      <c r="A320" s="1">
        <v>80501.0</v>
      </c>
      <c r="B320" s="1" t="s">
        <v>399</v>
      </c>
      <c r="C320" s="16">
        <v>168.0</v>
      </c>
      <c r="D320" s="16">
        <v>63.666666666666664</v>
      </c>
    </row>
    <row r="321" ht="14.25" customHeight="1">
      <c r="A321" s="1">
        <v>80601.0</v>
      </c>
      <c r="B321" s="1" t="s">
        <v>476</v>
      </c>
      <c r="C321" s="16">
        <v>15.0</v>
      </c>
      <c r="D321" s="16">
        <v>7.666666666666667</v>
      </c>
    </row>
    <row r="322" ht="14.25" customHeight="1">
      <c r="A322" s="1">
        <v>80602.0</v>
      </c>
      <c r="B322" s="1" t="s">
        <v>477</v>
      </c>
      <c r="C322" s="16">
        <v>62.333333333333336</v>
      </c>
      <c r="D322" s="16">
        <v>34.0</v>
      </c>
    </row>
    <row r="323" ht="14.25" customHeight="1">
      <c r="A323" s="1">
        <v>80701.0</v>
      </c>
      <c r="B323" s="1" t="s">
        <v>479</v>
      </c>
      <c r="C323" s="16">
        <v>36.0</v>
      </c>
      <c r="D323" s="16">
        <v>15.333333333333334</v>
      </c>
    </row>
    <row r="324" ht="14.25" customHeight="1">
      <c r="A324" s="1">
        <v>80702.0</v>
      </c>
      <c r="B324" s="1" t="s">
        <v>443</v>
      </c>
      <c r="C324" s="16">
        <v>22.333333333333332</v>
      </c>
      <c r="D324" s="16">
        <v>10.666666666666666</v>
      </c>
    </row>
    <row r="325" ht="14.25" customHeight="1">
      <c r="A325" s="1">
        <v>80703.0</v>
      </c>
      <c r="B325" s="1" t="s">
        <v>480</v>
      </c>
      <c r="C325" s="16">
        <v>4.666666666666667</v>
      </c>
      <c r="D325" s="16">
        <v>4.0</v>
      </c>
    </row>
    <row r="326" ht="14.25" customHeight="1">
      <c r="A326" s="1">
        <v>80801.0</v>
      </c>
      <c r="B326" s="1" t="s">
        <v>482</v>
      </c>
      <c r="C326" s="16">
        <v>58.0</v>
      </c>
      <c r="D326" s="16">
        <v>38.0</v>
      </c>
    </row>
    <row r="327" ht="14.25" customHeight="1">
      <c r="A327" s="1">
        <v>80802.0</v>
      </c>
      <c r="B327" s="1" t="s">
        <v>483</v>
      </c>
      <c r="C327" s="16">
        <v>14.0</v>
      </c>
      <c r="D327" s="16">
        <v>9.666666666666666</v>
      </c>
    </row>
    <row r="328" ht="14.25" customHeight="1">
      <c r="A328" s="1">
        <v>80803.0</v>
      </c>
      <c r="B328" s="1" t="s">
        <v>484</v>
      </c>
      <c r="C328" s="16">
        <v>16.333333333333332</v>
      </c>
      <c r="D328" s="16">
        <v>5.333333333333333</v>
      </c>
    </row>
    <row r="329" ht="14.25" customHeight="1">
      <c r="A329" s="1">
        <v>80901.0</v>
      </c>
      <c r="B329" s="1" t="s">
        <v>485</v>
      </c>
      <c r="C329" s="16">
        <v>154.83333333333334</v>
      </c>
      <c r="D329" s="16">
        <v>59.0</v>
      </c>
    </row>
    <row r="330" ht="14.25" customHeight="1">
      <c r="A330" s="1">
        <v>90101.0</v>
      </c>
      <c r="B330" s="1" t="s">
        <v>488</v>
      </c>
      <c r="C330" s="16">
        <v>215.33333333333334</v>
      </c>
      <c r="D330" s="16">
        <v>124.0</v>
      </c>
    </row>
    <row r="331" ht="14.25" customHeight="1">
      <c r="A331" s="1">
        <v>90102.0</v>
      </c>
      <c r="B331" s="1" t="s">
        <v>489</v>
      </c>
      <c r="C331" s="16">
        <v>22.333333333333332</v>
      </c>
      <c r="D331" s="16">
        <v>12.666666666666666</v>
      </c>
    </row>
    <row r="332" ht="14.25" customHeight="1">
      <c r="A332" s="1">
        <v>90103.0</v>
      </c>
      <c r="B332" s="1" t="s">
        <v>490</v>
      </c>
      <c r="C332" s="16">
        <v>19.333333333333332</v>
      </c>
      <c r="D332" s="16">
        <v>7.0</v>
      </c>
    </row>
    <row r="333" ht="14.25" customHeight="1">
      <c r="A333" s="1">
        <v>90104.0</v>
      </c>
      <c r="B333" s="1" t="s">
        <v>491</v>
      </c>
      <c r="C333" s="16">
        <v>24.333333333333332</v>
      </c>
      <c r="D333" s="16">
        <v>14.333333333333334</v>
      </c>
    </row>
    <row r="334" ht="14.25" customHeight="1">
      <c r="A334" s="1">
        <v>90201.0</v>
      </c>
      <c r="B334" s="1" t="s">
        <v>493</v>
      </c>
      <c r="C334" s="16">
        <v>57.0</v>
      </c>
      <c r="D334" s="16">
        <v>22.333333333333332</v>
      </c>
    </row>
    <row r="335" ht="14.25" customHeight="1">
      <c r="A335" s="1">
        <v>90202.0</v>
      </c>
      <c r="B335" s="1" t="s">
        <v>330</v>
      </c>
      <c r="C335" s="16">
        <v>5.0</v>
      </c>
      <c r="D335" s="16">
        <v>6.666666666666667</v>
      </c>
    </row>
    <row r="336" ht="14.25" customHeight="1">
      <c r="A336" s="1">
        <v>90203.0</v>
      </c>
      <c r="B336" s="1" t="s">
        <v>494</v>
      </c>
      <c r="C336" s="16">
        <v>30.333333333333332</v>
      </c>
      <c r="D336" s="16">
        <v>20.0</v>
      </c>
    </row>
    <row r="337" ht="14.25" customHeight="1">
      <c r="A337" s="1">
        <v>90301.0</v>
      </c>
      <c r="B337" s="1" t="s">
        <v>496</v>
      </c>
      <c r="C337" s="16">
        <v>40.0</v>
      </c>
      <c r="D337" s="16">
        <v>14.666666666666666</v>
      </c>
    </row>
    <row r="338" ht="14.25" customHeight="1">
      <c r="A338" s="1">
        <v>90302.0</v>
      </c>
      <c r="B338" s="1" t="s">
        <v>385</v>
      </c>
      <c r="C338" s="16">
        <v>46.666666666666664</v>
      </c>
      <c r="D338" s="16">
        <v>30.0</v>
      </c>
    </row>
    <row r="339" ht="14.25" customHeight="1">
      <c r="A339" s="1">
        <v>90303.0</v>
      </c>
      <c r="B339" s="1" t="s">
        <v>497</v>
      </c>
      <c r="C339" s="16">
        <v>21.333333333333332</v>
      </c>
      <c r="D339" s="16">
        <v>41.0</v>
      </c>
    </row>
    <row r="340" ht="14.25" customHeight="1">
      <c r="A340" s="1">
        <v>90401.0</v>
      </c>
      <c r="B340" s="1" t="s">
        <v>413</v>
      </c>
      <c r="C340" s="16">
        <v>15.0</v>
      </c>
      <c r="D340" s="16">
        <v>7.0</v>
      </c>
    </row>
    <row r="341" ht="14.25" customHeight="1">
      <c r="A341" s="1">
        <v>90402.0</v>
      </c>
      <c r="B341" s="1" t="s">
        <v>128</v>
      </c>
      <c r="C341" s="16">
        <v>5.666666666666667</v>
      </c>
      <c r="D341" s="16">
        <v>22.0</v>
      </c>
    </row>
    <row r="342" ht="14.25" customHeight="1">
      <c r="A342" s="1">
        <v>90501.0</v>
      </c>
      <c r="B342" s="1" t="s">
        <v>500</v>
      </c>
      <c r="C342" s="16">
        <v>8.333333333333334</v>
      </c>
      <c r="D342" s="16">
        <v>13.666666666666666</v>
      </c>
    </row>
    <row r="343" ht="14.25" customHeight="1">
      <c r="A343" s="1">
        <v>90502.0</v>
      </c>
      <c r="B343" s="1" t="s">
        <v>501</v>
      </c>
      <c r="C343" s="16">
        <v>21.0</v>
      </c>
      <c r="D343" s="16">
        <v>14.0</v>
      </c>
    </row>
    <row r="344" ht="14.25" customHeight="1">
      <c r="A344" s="1">
        <v>90503.0</v>
      </c>
      <c r="B344" s="1" t="s">
        <v>503</v>
      </c>
      <c r="C344" s="16">
        <v>6.666666666666667</v>
      </c>
      <c r="D344" s="16">
        <v>15.0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509</v>
      </c>
      <c r="B1" s="1" t="s">
        <v>25</v>
      </c>
      <c r="C1" s="14" t="s">
        <v>505</v>
      </c>
      <c r="D1" s="14" t="s">
        <v>506</v>
      </c>
    </row>
    <row r="2" ht="14.25" customHeight="1">
      <c r="A2" s="1">
        <v>1.0</v>
      </c>
      <c r="B2" s="1" t="s">
        <v>27</v>
      </c>
      <c r="C2" s="7">
        <v>5.9995188354057625</v>
      </c>
      <c r="D2" s="7">
        <v>2.7639170417532877</v>
      </c>
    </row>
    <row r="3" ht="14.25" customHeight="1">
      <c r="A3" s="1">
        <v>2.0</v>
      </c>
      <c r="B3" s="1" t="s">
        <v>31</v>
      </c>
      <c r="C3" s="7">
        <v>4.383405259046506</v>
      </c>
      <c r="D3" s="7">
        <v>1.75069554924967</v>
      </c>
    </row>
    <row r="4" ht="14.25" customHeight="1">
      <c r="A4" s="1">
        <v>3.0</v>
      </c>
      <c r="B4" s="1" t="s">
        <v>33</v>
      </c>
      <c r="C4" s="7">
        <v>5.038366242983888</v>
      </c>
      <c r="D4" s="7">
        <v>1.9920562008459664</v>
      </c>
    </row>
    <row r="5" ht="14.25" customHeight="1">
      <c r="A5" s="1">
        <v>4.0</v>
      </c>
      <c r="B5" s="1" t="s">
        <v>36</v>
      </c>
      <c r="C5" s="7">
        <v>4.861767486809305</v>
      </c>
      <c r="D5" s="7">
        <v>2.6045846071311782</v>
      </c>
    </row>
    <row r="6" ht="14.25" customHeight="1">
      <c r="A6" s="1">
        <v>5.0</v>
      </c>
      <c r="B6" s="1" t="s">
        <v>307</v>
      </c>
      <c r="C6" s="7">
        <v>10.116122806519318</v>
      </c>
      <c r="D6" s="7">
        <v>2.6872569682514498</v>
      </c>
    </row>
    <row r="7" ht="14.25" customHeight="1">
      <c r="A7" s="1">
        <v>6.0</v>
      </c>
      <c r="B7" s="1" t="s">
        <v>42</v>
      </c>
      <c r="C7" s="7">
        <v>5.633373697611527</v>
      </c>
      <c r="D7" s="7">
        <v>1.7587591597732934</v>
      </c>
    </row>
    <row r="8" ht="14.25" customHeight="1">
      <c r="A8" s="1">
        <v>7.0</v>
      </c>
      <c r="B8" s="1" t="s">
        <v>44</v>
      </c>
      <c r="C8" s="7">
        <v>6.10953040706207</v>
      </c>
      <c r="D8" s="7">
        <v>3.3494553854881115</v>
      </c>
    </row>
    <row r="9" ht="14.25" customHeight="1">
      <c r="A9" s="1">
        <v>8.0</v>
      </c>
      <c r="B9" s="1" t="s">
        <v>47</v>
      </c>
      <c r="C9" s="7">
        <v>10.829976171357922</v>
      </c>
      <c r="D9" s="7">
        <v>4.501297784820564</v>
      </c>
    </row>
    <row r="10" ht="14.25" customHeight="1">
      <c r="A10" s="1">
        <v>9.0</v>
      </c>
      <c r="B10" s="1" t="s">
        <v>49</v>
      </c>
      <c r="C10" s="7">
        <v>13.256768477448839</v>
      </c>
      <c r="D10" s="7">
        <v>7.508748254339069</v>
      </c>
    </row>
    <row r="11" ht="14.25" customHeight="1">
      <c r="A11" s="1">
        <v>10.0</v>
      </c>
      <c r="B11" s="1" t="s">
        <v>54</v>
      </c>
      <c r="C11" s="7">
        <v>6.079988858597932</v>
      </c>
      <c r="D11" s="7">
        <v>1.8905884074494412</v>
      </c>
    </row>
    <row r="12" ht="14.25" customHeight="1">
      <c r="A12" s="1">
        <v>11.0</v>
      </c>
      <c r="B12" s="1" t="s">
        <v>52</v>
      </c>
      <c r="C12" s="7">
        <v>5.88556353911612</v>
      </c>
      <c r="D12" s="7">
        <v>2.2437195257106297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509</v>
      </c>
      <c r="B1" s="1" t="s">
        <v>25</v>
      </c>
      <c r="C1" s="14" t="s">
        <v>510</v>
      </c>
      <c r="D1" s="14" t="s">
        <v>511</v>
      </c>
    </row>
    <row r="2" ht="14.25" customHeight="1">
      <c r="A2" s="1">
        <v>1.0</v>
      </c>
      <c r="B2" s="1" t="s">
        <v>27</v>
      </c>
      <c r="C2" s="5">
        <v>1753.3333333333333</v>
      </c>
      <c r="D2" s="5">
        <v>825.3333333333334</v>
      </c>
    </row>
    <row r="3" ht="14.25" customHeight="1">
      <c r="A3" s="1">
        <v>2.0</v>
      </c>
      <c r="B3" s="1" t="s">
        <v>31</v>
      </c>
      <c r="C3" s="5">
        <v>6768.333333333333</v>
      </c>
      <c r="D3" s="5">
        <v>2715.6666666666665</v>
      </c>
    </row>
    <row r="4" ht="14.25" customHeight="1">
      <c r="A4" s="1">
        <v>3.0</v>
      </c>
      <c r="B4" s="1" t="s">
        <v>33</v>
      </c>
      <c r="C4" s="5">
        <v>5066.666666666667</v>
      </c>
      <c r="D4" s="5">
        <v>2719.6666666666665</v>
      </c>
    </row>
    <row r="5" ht="14.25" customHeight="1">
      <c r="A5" s="1">
        <v>4.0</v>
      </c>
      <c r="B5" s="1" t="s">
        <v>36</v>
      </c>
      <c r="C5" s="5">
        <v>1266.0</v>
      </c>
      <c r="D5" s="5">
        <v>651.3333333333334</v>
      </c>
    </row>
    <row r="6" ht="14.25" customHeight="1">
      <c r="A6" s="1">
        <v>5.0</v>
      </c>
      <c r="B6" s="1" t="s">
        <v>307</v>
      </c>
      <c r="C6" s="5">
        <v>3944.6666666666665</v>
      </c>
      <c r="D6" s="5">
        <v>1368.6666666666667</v>
      </c>
    </row>
    <row r="7" ht="14.25" customHeight="1">
      <c r="A7" s="1">
        <v>6.0</v>
      </c>
      <c r="B7" s="1" t="s">
        <v>42</v>
      </c>
      <c r="C7" s="5">
        <v>1469.6666666666667</v>
      </c>
      <c r="D7" s="5">
        <v>2048.3333333333335</v>
      </c>
    </row>
    <row r="8" ht="14.25" customHeight="1">
      <c r="A8" s="1">
        <v>7.0</v>
      </c>
      <c r="B8" s="1" t="s">
        <v>44</v>
      </c>
      <c r="C8" s="5">
        <v>8741.666666666666</v>
      </c>
      <c r="D8" s="5">
        <v>2397.3333333333335</v>
      </c>
    </row>
    <row r="9" ht="14.25" customHeight="1">
      <c r="A9" s="1">
        <v>8.0</v>
      </c>
      <c r="B9" s="1" t="s">
        <v>47</v>
      </c>
      <c r="C9" s="5">
        <v>2639.8333333333335</v>
      </c>
      <c r="D9" s="5">
        <v>563.0</v>
      </c>
    </row>
    <row r="10" ht="14.25" customHeight="1">
      <c r="A10" s="1">
        <v>9.0</v>
      </c>
      <c r="B10" s="1" t="s">
        <v>49</v>
      </c>
      <c r="C10" s="5">
        <v>538.3333333333334</v>
      </c>
      <c r="D10" s="5">
        <v>177.33333333333334</v>
      </c>
    </row>
    <row r="11" ht="14.25" customHeight="1">
      <c r="A11" s="1">
        <v>10.0</v>
      </c>
      <c r="B11" s="1" t="s">
        <v>54</v>
      </c>
      <c r="C11" s="5">
        <v>527.3333333333334</v>
      </c>
      <c r="D11" s="5">
        <v>165.0</v>
      </c>
    </row>
    <row r="12" ht="14.25" customHeight="1">
      <c r="A12" s="1">
        <v>11.0</v>
      </c>
      <c r="B12" s="1" t="s">
        <v>52</v>
      </c>
      <c r="C12" s="5">
        <v>32188.5</v>
      </c>
      <c r="D12" s="5">
        <v>13466.666666666666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4.43"/>
    <col customWidth="1" min="12" max="26" width="10.71"/>
  </cols>
  <sheetData>
    <row r="1" ht="14.25" customHeight="1">
      <c r="A1" s="17" t="s">
        <v>512</v>
      </c>
      <c r="B1" s="17" t="s">
        <v>513</v>
      </c>
      <c r="C1" s="18" t="s">
        <v>514</v>
      </c>
      <c r="D1" s="18" t="s">
        <v>515</v>
      </c>
      <c r="E1" s="19" t="s">
        <v>516</v>
      </c>
      <c r="F1" s="19" t="s">
        <v>517</v>
      </c>
      <c r="G1" s="20" t="s">
        <v>518</v>
      </c>
      <c r="H1" s="20" t="s">
        <v>519</v>
      </c>
      <c r="I1" s="21" t="s">
        <v>520</v>
      </c>
      <c r="J1" s="21" t="s">
        <v>521</v>
      </c>
      <c r="K1" s="22" t="s">
        <v>522</v>
      </c>
    </row>
    <row r="2" ht="14.25" customHeight="1">
      <c r="A2" s="1">
        <v>4.0</v>
      </c>
      <c r="B2" s="1" t="s">
        <v>523</v>
      </c>
      <c r="C2" s="1">
        <v>0.0</v>
      </c>
      <c r="D2" s="1">
        <v>3.0</v>
      </c>
      <c r="E2" s="1">
        <v>3.0</v>
      </c>
      <c r="F2" s="1">
        <v>4.5</v>
      </c>
      <c r="G2" s="1">
        <v>4.5</v>
      </c>
      <c r="H2" s="1">
        <v>6.0</v>
      </c>
      <c r="I2" s="1">
        <v>6.0</v>
      </c>
      <c r="J2" s="1">
        <v>100.0</v>
      </c>
      <c r="K2" s="23" t="s">
        <v>524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2026-02-11T19:05:39Z</dcterms:created>
  <dc:creator>Paolo</dc:creator>
</cp:coreProperties>
</file>