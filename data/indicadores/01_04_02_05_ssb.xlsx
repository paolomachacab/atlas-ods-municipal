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INDICADORES Y DEMAS 2026 EN ESCRITORIO\OFICIALES\"/>
    </mc:Choice>
  </mc:AlternateContent>
  <xr:revisionPtr revIDLastSave="0" documentId="13_ncr:1_{CCAC97C0-DC6F-4364-A2B7-399F9675D778}" xr6:coauthVersionLast="47" xr6:coauthVersionMax="47" xr10:uidLastSave="{00000000-0000-0000-0000-000000000000}"/>
  <bookViews>
    <workbookView xWindow="-120" yWindow="-120" windowWidth="20730" windowHeight="11160" tabRatio="802" xr2:uid="{00000000-000D-0000-FFFF-FFFF00000000}"/>
  </bookViews>
  <sheets>
    <sheet name="Datos procesados 2012" sheetId="12" r:id="rId1"/>
    <sheet name="Datos procesados 2024" sheetId="1" r:id="rId2"/>
    <sheet name="Indicador_MUN" sheetId="4" r:id="rId3"/>
    <sheet name="Absoluto_MUN" sheetId="5" r:id="rId4"/>
    <sheet name="Indicador_DEP" sheetId="9" r:id="rId5"/>
    <sheet name="Absoluto_DEP" sheetId="10" r:id="rId6"/>
    <sheet name="Umbral" sheetId="3" r:id="rId7"/>
    <sheet name="Graficos" sheetId="7" r:id="rId8"/>
    <sheet name="Mapas" sheetId="13" r:id="rId9"/>
    <sheet name="Clasificación" sheetId="11" r:id="rId10"/>
  </sheets>
  <definedNames>
    <definedName name="_xlnm._FilterDatabase" localSheetId="3" hidden="1">Absoluto_MUN!$A$1:$D$1</definedName>
    <definedName name="_xlnm._FilterDatabase" localSheetId="9" hidden="1">Clasificación!$A$1:$F$344</definedName>
    <definedName name="_xlnm._FilterDatabase" localSheetId="2" hidden="1">Indicador_MUN!$A$1:$D$1</definedName>
  </definedNames>
  <calcPr calcId="191029"/>
</workbook>
</file>

<file path=xl/calcChain.xml><?xml version="1.0" encoding="utf-8"?>
<calcChain xmlns="http://schemas.openxmlformats.org/spreadsheetml/2006/main">
  <c r="Q14" i="12" l="1"/>
  <c r="Q12" i="12"/>
  <c r="W4" i="12"/>
  <c r="W14" i="12"/>
  <c r="L347" i="12"/>
  <c r="K347" i="12"/>
  <c r="G347" i="12"/>
  <c r="H347" i="12"/>
  <c r="I347" i="12"/>
  <c r="J347" i="12"/>
  <c r="F347" i="12"/>
  <c r="K4" i="12" l="1"/>
  <c r="Q8" i="1" l="1"/>
  <c r="Q4" i="1"/>
  <c r="V4" i="1"/>
  <c r="K331" i="12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2" i="11"/>
  <c r="L347" i="1" l="1"/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2" i="11"/>
  <c r="K347" i="1"/>
  <c r="G347" i="1"/>
  <c r="H347" i="1"/>
  <c r="I347" i="1"/>
  <c r="J347" i="1"/>
  <c r="F347" i="1"/>
  <c r="U11" i="12"/>
  <c r="K238" i="12"/>
  <c r="K159" i="12"/>
  <c r="U4" i="1"/>
  <c r="W4" i="1"/>
  <c r="W14" i="1"/>
  <c r="V14" i="1"/>
  <c r="Q14" i="1"/>
  <c r="R14" i="1"/>
  <c r="S14" i="1"/>
  <c r="T14" i="1"/>
  <c r="U14" i="1"/>
  <c r="W5" i="1"/>
  <c r="W6" i="1"/>
  <c r="W7" i="1"/>
  <c r="W8" i="1"/>
  <c r="W9" i="1"/>
  <c r="W10" i="1"/>
  <c r="W11" i="1"/>
  <c r="W12" i="1"/>
  <c r="V5" i="1"/>
  <c r="V6" i="1"/>
  <c r="V7" i="1"/>
  <c r="V8" i="1"/>
  <c r="V9" i="1"/>
  <c r="V10" i="1"/>
  <c r="V11" i="1"/>
  <c r="V12" i="1"/>
  <c r="U12" i="1"/>
  <c r="U11" i="1"/>
  <c r="U10" i="1"/>
  <c r="U9" i="1"/>
  <c r="U8" i="1"/>
  <c r="U7" i="1"/>
  <c r="U6" i="1"/>
  <c r="U5" i="1"/>
  <c r="T12" i="1"/>
  <c r="S12" i="1"/>
  <c r="R12" i="1"/>
  <c r="Q12" i="1"/>
  <c r="T11" i="1"/>
  <c r="S11" i="1"/>
  <c r="R11" i="1"/>
  <c r="Q11" i="1"/>
  <c r="T10" i="1"/>
  <c r="S10" i="1"/>
  <c r="R10" i="1"/>
  <c r="Q10" i="1"/>
  <c r="T9" i="1"/>
  <c r="S9" i="1"/>
  <c r="R9" i="1"/>
  <c r="Q9" i="1"/>
  <c r="T8" i="1"/>
  <c r="S8" i="1"/>
  <c r="R8" i="1"/>
  <c r="T7" i="1"/>
  <c r="S7" i="1"/>
  <c r="R7" i="1"/>
  <c r="Q7" i="1"/>
  <c r="T6" i="1"/>
  <c r="S6" i="1"/>
  <c r="R6" i="1"/>
  <c r="Q6" i="1"/>
  <c r="T5" i="1"/>
  <c r="S5" i="1"/>
  <c r="R5" i="1"/>
  <c r="Q5" i="1"/>
  <c r="T4" i="1"/>
  <c r="S4" i="1"/>
  <c r="R4" i="1"/>
  <c r="R12" i="12"/>
  <c r="S12" i="12"/>
  <c r="T12" i="12"/>
  <c r="U12" i="12"/>
  <c r="V12" i="12" s="1"/>
  <c r="R11" i="12"/>
  <c r="S11" i="12"/>
  <c r="T11" i="12"/>
  <c r="R10" i="12"/>
  <c r="S10" i="12"/>
  <c r="T10" i="12"/>
  <c r="U10" i="12"/>
  <c r="V10" i="12" s="1"/>
  <c r="R9" i="12"/>
  <c r="S9" i="12"/>
  <c r="T9" i="12"/>
  <c r="U9" i="12"/>
  <c r="R8" i="12"/>
  <c r="S8" i="12"/>
  <c r="T8" i="12"/>
  <c r="U8" i="12"/>
  <c r="W8" i="12" s="1"/>
  <c r="R7" i="12"/>
  <c r="S7" i="12"/>
  <c r="T7" i="12"/>
  <c r="U7" i="12"/>
  <c r="W7" i="12" s="1"/>
  <c r="R6" i="12"/>
  <c r="S6" i="12"/>
  <c r="T6" i="12"/>
  <c r="U6" i="12"/>
  <c r="W6" i="12" s="1"/>
  <c r="R5" i="12"/>
  <c r="S5" i="12"/>
  <c r="T5" i="12"/>
  <c r="U5" i="12"/>
  <c r="W5" i="12" s="1"/>
  <c r="R4" i="12"/>
  <c r="S4" i="12"/>
  <c r="T4" i="12"/>
  <c r="U4" i="12"/>
  <c r="V4" i="12" s="1"/>
  <c r="Q11" i="12"/>
  <c r="Q10" i="12"/>
  <c r="Q9" i="12"/>
  <c r="Q8" i="12"/>
  <c r="Q7" i="12"/>
  <c r="Q6" i="12"/>
  <c r="Q5" i="12"/>
  <c r="Q4" i="12"/>
  <c r="V11" i="12" l="1"/>
  <c r="V7" i="12"/>
  <c r="W10" i="12"/>
  <c r="V5" i="12"/>
  <c r="W12" i="12"/>
  <c r="W11" i="12"/>
  <c r="V6" i="12"/>
  <c r="V8" i="12"/>
  <c r="W9" i="12"/>
  <c r="R14" i="12"/>
  <c r="V9" i="12"/>
  <c r="S14" i="12"/>
  <c r="U14" i="12"/>
  <c r="V14" i="12" s="1"/>
  <c r="T14" i="1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4" i="1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C5" i="7" l="1"/>
  <c r="B5" i="7"/>
  <c r="B2" i="7" l="1"/>
  <c r="B3" i="7"/>
  <c r="B4" i="7"/>
  <c r="C2" i="7"/>
  <c r="C3" i="7"/>
  <c r="C4" i="7"/>
</calcChain>
</file>

<file path=xl/sharedStrings.xml><?xml version="1.0" encoding="utf-8"?>
<sst xmlns="http://schemas.openxmlformats.org/spreadsheetml/2006/main" count="3901" uniqueCount="1201">
  <si>
    <t>Depart</t>
  </si>
  <si>
    <t>Oruro</t>
  </si>
  <si>
    <t>Potosí</t>
  </si>
  <si>
    <t>Cochabamba</t>
  </si>
  <si>
    <t>Potosí</t>
  </si>
  <si>
    <t>Oruro</t>
  </si>
  <si>
    <t>Cochabamba</t>
  </si>
  <si>
    <t>Oruro</t>
  </si>
  <si>
    <t>La Paz</t>
  </si>
  <si>
    <t>Cochabamba</t>
  </si>
  <si>
    <t>La Paz</t>
  </si>
  <si>
    <t>Oruro</t>
  </si>
  <si>
    <t>La Paz</t>
  </si>
  <si>
    <t>Cochabamba</t>
  </si>
  <si>
    <t>Santa Cruz</t>
  </si>
  <si>
    <t>Cochabamba</t>
  </si>
  <si>
    <t>La Paz</t>
  </si>
  <si>
    <t>Cochabamba</t>
  </si>
  <si>
    <t>La Paz</t>
  </si>
  <si>
    <t>Santa Cruz</t>
  </si>
  <si>
    <t>Chuquisaca</t>
  </si>
  <si>
    <t>Santa Cruz</t>
  </si>
  <si>
    <t>Potosí</t>
  </si>
  <si>
    <t>La Paz</t>
  </si>
  <si>
    <t>Potosí</t>
  </si>
  <si>
    <t>La Paz</t>
  </si>
  <si>
    <t>Oruro</t>
  </si>
  <si>
    <t>Beni</t>
  </si>
  <si>
    <t>Potosí</t>
  </si>
  <si>
    <t>Tarija</t>
  </si>
  <si>
    <t>Potosí</t>
  </si>
  <si>
    <t>La Paz</t>
  </si>
  <si>
    <t>Santa Cruz</t>
  </si>
  <si>
    <t>Cochabamba</t>
  </si>
  <si>
    <t>Santa Cruz</t>
  </si>
  <si>
    <t>Beni</t>
  </si>
  <si>
    <t>Santa Cruz</t>
  </si>
  <si>
    <t>La Paz</t>
  </si>
  <si>
    <t>Oruro</t>
  </si>
  <si>
    <t>Potosí</t>
  </si>
  <si>
    <t>Oruro</t>
  </si>
  <si>
    <t>Santa Cruz</t>
  </si>
  <si>
    <t>Beni</t>
  </si>
  <si>
    <t>Potosí</t>
  </si>
  <si>
    <t>Oruro</t>
  </si>
  <si>
    <t>Tarija</t>
  </si>
  <si>
    <t>Beni</t>
  </si>
  <si>
    <t>La Paz</t>
  </si>
  <si>
    <t>Potosí</t>
  </si>
  <si>
    <t>Cochabamba</t>
  </si>
  <si>
    <t>Santa Cruz</t>
  </si>
  <si>
    <t>Beni</t>
  </si>
  <si>
    <t>Santa Cruz</t>
  </si>
  <si>
    <t>Tarija</t>
  </si>
  <si>
    <t>Potosí</t>
  </si>
  <si>
    <t>Tarija</t>
  </si>
  <si>
    <t>Potosí</t>
  </si>
  <si>
    <t>Tarija</t>
  </si>
  <si>
    <t>Potosí</t>
  </si>
  <si>
    <t>Chuquisaca</t>
  </si>
  <si>
    <t>Cochabamba</t>
  </si>
  <si>
    <t>Oruro</t>
  </si>
  <si>
    <t>La Paz</t>
  </si>
  <si>
    <t>Oruro</t>
  </si>
  <si>
    <t>La Paz</t>
  </si>
  <si>
    <t>Oruro</t>
  </si>
  <si>
    <t>La Paz</t>
  </si>
  <si>
    <t>Oruro</t>
  </si>
  <si>
    <t>Potosí</t>
  </si>
  <si>
    <t>La Paz</t>
  </si>
  <si>
    <t>Chuquisaca</t>
  </si>
  <si>
    <t>Oruro</t>
  </si>
  <si>
    <t>Potosí</t>
  </si>
  <si>
    <t>Cochabamba</t>
  </si>
  <si>
    <t>Chuquisaca</t>
  </si>
  <si>
    <t>Cochabamba</t>
  </si>
  <si>
    <t>Oruro</t>
  </si>
  <si>
    <t>Cochabamba</t>
  </si>
  <si>
    <t>Santa Cruz</t>
  </si>
  <si>
    <t>Oruro</t>
  </si>
  <si>
    <t>La Paz</t>
  </si>
  <si>
    <t>Beni</t>
  </si>
  <si>
    <t>Cochabamba</t>
  </si>
  <si>
    <t>Pando</t>
  </si>
  <si>
    <t>Oruro</t>
  </si>
  <si>
    <t>La Paz</t>
  </si>
  <si>
    <t>Cochabamba</t>
  </si>
  <si>
    <t>Oruro</t>
  </si>
  <si>
    <t>La Paz</t>
  </si>
  <si>
    <t>Cochabamba</t>
  </si>
  <si>
    <t>La Paz</t>
  </si>
  <si>
    <t>Pando</t>
  </si>
  <si>
    <t>Beni</t>
  </si>
  <si>
    <t>La Paz</t>
  </si>
  <si>
    <t>Cochabamba</t>
  </si>
  <si>
    <t>La Paz</t>
  </si>
  <si>
    <t>Potosí</t>
  </si>
  <si>
    <t>La Paz</t>
  </si>
  <si>
    <t>Chuquisaca</t>
  </si>
  <si>
    <t>Potosí</t>
  </si>
  <si>
    <t>Chuquisaca</t>
  </si>
  <si>
    <t>La Paz</t>
  </si>
  <si>
    <t>Chuquisaca</t>
  </si>
  <si>
    <t>Potosí</t>
  </si>
  <si>
    <t>La Paz</t>
  </si>
  <si>
    <t>Santa Cruz</t>
  </si>
  <si>
    <t>Chuquisaca</t>
  </si>
  <si>
    <t>Potosí</t>
  </si>
  <si>
    <t>La Paz</t>
  </si>
  <si>
    <t>Beni</t>
  </si>
  <si>
    <t>La Paz</t>
  </si>
  <si>
    <t>Beni</t>
  </si>
  <si>
    <t>Pando</t>
  </si>
  <si>
    <t>Beni</t>
  </si>
  <si>
    <t>Pando</t>
  </si>
  <si>
    <t>Beni</t>
  </si>
  <si>
    <t>Pando</t>
  </si>
  <si>
    <t>La Paz</t>
  </si>
  <si>
    <t>Potosí</t>
  </si>
  <si>
    <t>Pando</t>
  </si>
  <si>
    <t>La Paz</t>
  </si>
  <si>
    <t>Chuquisaca</t>
  </si>
  <si>
    <t>La Paz</t>
  </si>
  <si>
    <t>Chuquisaca</t>
  </si>
  <si>
    <t>Santa Cruz</t>
  </si>
  <si>
    <t>Chuquisaca</t>
  </si>
  <si>
    <t>Santa Cruz</t>
  </si>
  <si>
    <t>Cochabamba</t>
  </si>
  <si>
    <t>Santa Cruz</t>
  </si>
  <si>
    <t>Chuquisaca</t>
  </si>
  <si>
    <t>Santa Cruz</t>
  </si>
  <si>
    <t>Cochabamba</t>
  </si>
  <si>
    <t>Santa Cruz</t>
  </si>
  <si>
    <t>Beni</t>
  </si>
  <si>
    <t>Cochabamba</t>
  </si>
  <si>
    <t>Santa Cruz</t>
  </si>
  <si>
    <t>Cochabamba</t>
  </si>
  <si>
    <t>Santa Cruz</t>
  </si>
  <si>
    <t>Cochabamba</t>
  </si>
  <si>
    <t>Santa Cruz</t>
  </si>
  <si>
    <t>Beni</t>
  </si>
  <si>
    <t>Santa Cruz</t>
  </si>
  <si>
    <t>Cochabamba</t>
  </si>
  <si>
    <t>Chuquisaca</t>
  </si>
  <si>
    <t>Cochabamba</t>
  </si>
  <si>
    <t>La Paz</t>
  </si>
  <si>
    <t>Potosí</t>
  </si>
  <si>
    <t>La Paz</t>
  </si>
  <si>
    <t>Oruro</t>
  </si>
  <si>
    <t>Potosí</t>
  </si>
  <si>
    <t>Oruro</t>
  </si>
  <si>
    <t>Potosí</t>
  </si>
  <si>
    <t>Santa Cruz</t>
  </si>
  <si>
    <t>Tarija</t>
  </si>
  <si>
    <t>Chuquisaca</t>
  </si>
  <si>
    <t>La Paz</t>
  </si>
  <si>
    <t>Potosí</t>
  </si>
  <si>
    <t>Oruro</t>
  </si>
  <si>
    <t>Potosí</t>
  </si>
  <si>
    <t>Cochabamba</t>
  </si>
  <si>
    <t>Potosí</t>
  </si>
  <si>
    <t>Chuquisaca</t>
  </si>
  <si>
    <t>Potosí</t>
  </si>
  <si>
    <t>Tarija</t>
  </si>
  <si>
    <t>Beni</t>
  </si>
  <si>
    <t>Cochabamba</t>
  </si>
  <si>
    <t>Potosí</t>
  </si>
  <si>
    <t>Provincia</t>
  </si>
  <si>
    <t>Litoral</t>
  </si>
  <si>
    <t>Abaroa</t>
  </si>
  <si>
    <t>Ladislao Cabrera</t>
  </si>
  <si>
    <t>Rafael Bustillo</t>
  </si>
  <si>
    <t>Alonso de Ibáñez</t>
  </si>
  <si>
    <t>Campero</t>
  </si>
  <si>
    <t>Alonso de Ibáñez</t>
  </si>
  <si>
    <t>General Bilbao</t>
  </si>
  <si>
    <t>Pantaleón Dalence</t>
  </si>
  <si>
    <t>Litoral</t>
  </si>
  <si>
    <t>Sebastián Pagador</t>
  </si>
  <si>
    <t>Poopó</t>
  </si>
  <si>
    <t>Punata</t>
  </si>
  <si>
    <t>Sur Carangas</t>
  </si>
  <si>
    <t>Gualberto Villarroe</t>
  </si>
  <si>
    <t>Esteban Arze</t>
  </si>
  <si>
    <t>Gualberto Villarroe</t>
  </si>
  <si>
    <t>Aroma</t>
  </si>
  <si>
    <t>Cercado</t>
  </si>
  <si>
    <t>Nor Carangas</t>
  </si>
  <si>
    <t>Gualberto Villarroel</t>
  </si>
  <si>
    <t>Capinota</t>
  </si>
  <si>
    <t>Germán Busch</t>
  </si>
  <si>
    <t>Capinota</t>
  </si>
  <si>
    <t>Arque</t>
  </si>
  <si>
    <t>Pacajes</t>
  </si>
  <si>
    <t>Punata</t>
  </si>
  <si>
    <t>Loayza</t>
  </si>
  <si>
    <t>Inquisivi</t>
  </si>
  <si>
    <t>Andrés Ibáñez</t>
  </si>
  <si>
    <t>Vallegrande</t>
  </si>
  <si>
    <t>Andrés Ibáñez</t>
  </si>
  <si>
    <t>Florida</t>
  </si>
  <si>
    <t>Nor Cinti</t>
  </si>
  <si>
    <t>Sur Cinti</t>
  </si>
  <si>
    <t>Nor Cinti</t>
  </si>
  <si>
    <t>Ichilo</t>
  </si>
  <si>
    <t>Tomás Frías</t>
  </si>
  <si>
    <t>Chárcas</t>
  </si>
  <si>
    <t>Omasuyos</t>
  </si>
  <si>
    <t>Nor Lipez</t>
  </si>
  <si>
    <t>Camacho</t>
  </si>
  <si>
    <t>Sabaya</t>
  </si>
  <si>
    <t>Marbán</t>
  </si>
  <si>
    <t>Antonio Quijarro</t>
  </si>
  <si>
    <t>Gran Chaco</t>
  </si>
  <si>
    <t>Tomás Frías</t>
  </si>
  <si>
    <t>Camacho</t>
  </si>
  <si>
    <t>Manuel María Caballero</t>
  </si>
  <si>
    <t>Campero</t>
  </si>
  <si>
    <t>Andrés Ibáñez</t>
  </si>
  <si>
    <t>Moxos</t>
  </si>
  <si>
    <t>Cercado</t>
  </si>
  <si>
    <t>Obispo Santistéban</t>
  </si>
  <si>
    <t>Inquisivi</t>
  </si>
  <si>
    <t>Sud Yungas</t>
  </si>
  <si>
    <t>Poopó</t>
  </si>
  <si>
    <t>San Pedro de Totora</t>
  </si>
  <si>
    <t>Cornelio Saavedra</t>
  </si>
  <si>
    <t>Sajama</t>
  </si>
  <si>
    <t>Mejillones</t>
  </si>
  <si>
    <t>Ñuflo De Chávez</t>
  </si>
  <si>
    <t>Sara</t>
  </si>
  <si>
    <t>Iténez</t>
  </si>
  <si>
    <t>Sur Lipez</t>
  </si>
  <si>
    <t>Mejillones</t>
  </si>
  <si>
    <t>O'Connor</t>
  </si>
  <si>
    <t>Mamoré</t>
  </si>
  <si>
    <t>Ingavi</t>
  </si>
  <si>
    <t>Chayanta</t>
  </si>
  <si>
    <t>Daniel Campos</t>
  </si>
  <si>
    <t>Quillacollo</t>
  </si>
  <si>
    <t>Chapare</t>
  </si>
  <si>
    <t>Quillacollo</t>
  </si>
  <si>
    <t>Esteban Arze</t>
  </si>
  <si>
    <t>Carrasco</t>
  </si>
  <si>
    <t>Ichilo</t>
  </si>
  <si>
    <t>Iténez</t>
  </si>
  <si>
    <t>Sara</t>
  </si>
  <si>
    <t>Avilés</t>
  </si>
  <si>
    <t>Sur Lipez</t>
  </si>
  <si>
    <t>Gran Chaco</t>
  </si>
  <si>
    <t>Avilés</t>
  </si>
  <si>
    <t>Gran Chaco</t>
  </si>
  <si>
    <t>Méndez</t>
  </si>
  <si>
    <t>Chárcas</t>
  </si>
  <si>
    <t>Enrique Baldivieso</t>
  </si>
  <si>
    <t>Cercado</t>
  </si>
  <si>
    <t>Daniel Campos</t>
  </si>
  <si>
    <t>Sur Lipez</t>
  </si>
  <si>
    <t>Sur Cinti</t>
  </si>
  <si>
    <t>Ayopaya</t>
  </si>
  <si>
    <t>Mejillones</t>
  </si>
  <si>
    <t>Litoral</t>
  </si>
  <si>
    <t>Manco Kapac</t>
  </si>
  <si>
    <t>Los Andes</t>
  </si>
  <si>
    <t>Litoral</t>
  </si>
  <si>
    <t>Larecaja</t>
  </si>
  <si>
    <t>Nor Yungas</t>
  </si>
  <si>
    <t>Poopó</t>
  </si>
  <si>
    <t>Pacajes</t>
  </si>
  <si>
    <t>Sur Carangas</t>
  </si>
  <si>
    <t>Carangas</t>
  </si>
  <si>
    <t>Nor Chichas</t>
  </si>
  <si>
    <t>Loayza</t>
  </si>
  <si>
    <t>Azurduy</t>
  </si>
  <si>
    <t>Pantaleón Dalence</t>
  </si>
  <si>
    <t>General Bilbao</t>
  </si>
  <si>
    <t>Esteban Arze</t>
  </si>
  <si>
    <t>Germán Jordán</t>
  </si>
  <si>
    <t>Yamparáez</t>
  </si>
  <si>
    <t>Zudáñez</t>
  </si>
  <si>
    <t>Punata</t>
  </si>
  <si>
    <t>Germán Jordán</t>
  </si>
  <si>
    <t>Arque</t>
  </si>
  <si>
    <t>Cercado</t>
  </si>
  <si>
    <t>Saucarí</t>
  </si>
  <si>
    <t>Bolivar</t>
  </si>
  <si>
    <t>Capinota</t>
  </si>
  <si>
    <t>Cordillera</t>
  </si>
  <si>
    <t>Cercado</t>
  </si>
  <si>
    <t>Aroma</t>
  </si>
  <si>
    <t>Iténez</t>
  </si>
  <si>
    <t>Germán Jordán</t>
  </si>
  <si>
    <t>Nicolás Suárez</t>
  </si>
  <si>
    <t>Tomás Barrón</t>
  </si>
  <si>
    <t>Pacajes</t>
  </si>
  <si>
    <t>Cercado</t>
  </si>
  <si>
    <t>General José Manuel Pando</t>
  </si>
  <si>
    <t>Loayza</t>
  </si>
  <si>
    <t>Pacajes</t>
  </si>
  <si>
    <t>Arani</t>
  </si>
  <si>
    <t>Punata</t>
  </si>
  <si>
    <t>Aroma</t>
  </si>
  <si>
    <t>General José Manuel Pando</t>
  </si>
  <si>
    <t>Madre de Dios</t>
  </si>
  <si>
    <t>General José Ballivián</t>
  </si>
  <si>
    <t>Loayza</t>
  </si>
  <si>
    <t>Pacajes</t>
  </si>
  <si>
    <t>Aroma</t>
  </si>
  <si>
    <t>Ingavi</t>
  </si>
  <si>
    <t>Inquisivi</t>
  </si>
  <si>
    <t>Omasuyos</t>
  </si>
  <si>
    <t>Los Andes</t>
  </si>
  <si>
    <t>Murillo</t>
  </si>
  <si>
    <t>Sud Yungas</t>
  </si>
  <si>
    <t>Tapacarí</t>
  </si>
  <si>
    <t>Ingavi</t>
  </si>
  <si>
    <t>Larecaja</t>
  </si>
  <si>
    <t>Muñecas</t>
  </si>
  <si>
    <t>Aroma</t>
  </si>
  <si>
    <t>Larecaja</t>
  </si>
  <si>
    <t>Murillo</t>
  </si>
  <si>
    <t>Larecaja</t>
  </si>
  <si>
    <t>Sud Yungas</t>
  </si>
  <si>
    <t>Muñecas</t>
  </si>
  <si>
    <t>Larecaja</t>
  </si>
  <si>
    <t>Bautista Saavedra</t>
  </si>
  <si>
    <t>José María Linares</t>
  </si>
  <si>
    <t>Manco Kapac</t>
  </si>
  <si>
    <t>Azurduy</t>
  </si>
  <si>
    <t>Cornelio Saavedra</t>
  </si>
  <si>
    <t>José María Linares</t>
  </si>
  <si>
    <t>Tomina</t>
  </si>
  <si>
    <t>Luis Calvo</t>
  </si>
  <si>
    <t>Larecaja</t>
  </si>
  <si>
    <t>Hernando Siles</t>
  </si>
  <si>
    <t>Tomás Frías</t>
  </si>
  <si>
    <t>Manco Kapac</t>
  </si>
  <si>
    <t>Cordillera</t>
  </si>
  <si>
    <t>Tomina</t>
  </si>
  <si>
    <t>Zudáñez</t>
  </si>
  <si>
    <t>Oropeza</t>
  </si>
  <si>
    <t>Yamparáez</t>
  </si>
  <si>
    <t>Tomina</t>
  </si>
  <si>
    <t>Chayanta</t>
  </si>
  <si>
    <t>Bautista Saavedra</t>
  </si>
  <si>
    <t>Franz Tamayo</t>
  </si>
  <si>
    <t>Sud Yungas</t>
  </si>
  <si>
    <t>Franz Tamayo</t>
  </si>
  <si>
    <t>General José Ballivián</t>
  </si>
  <si>
    <t>Abel Iturralde</t>
  </si>
  <si>
    <t>Yacuma</t>
  </si>
  <si>
    <t>General José Ballivián</t>
  </si>
  <si>
    <t>Madre de Dios</t>
  </si>
  <si>
    <t>Mamoré</t>
  </si>
  <si>
    <t>Yacuma</t>
  </si>
  <si>
    <t>Vaca Diez</t>
  </si>
  <si>
    <t>Nicolás Suárez</t>
  </si>
  <si>
    <t>Manuripi</t>
  </si>
  <si>
    <t>Abuná</t>
  </si>
  <si>
    <t>Vaca Diez</t>
  </si>
  <si>
    <t>Federico Román</t>
  </si>
  <si>
    <t>Omasuyos</t>
  </si>
  <si>
    <t>Los Andes</t>
  </si>
  <si>
    <t>Rafael Bustillo</t>
  </si>
  <si>
    <t>Nicolás Suárez</t>
  </si>
  <si>
    <t>Manuripi</t>
  </si>
  <si>
    <t>Caranavi</t>
  </si>
  <si>
    <t>Omasuyos</t>
  </si>
  <si>
    <t>Camacho</t>
  </si>
  <si>
    <t>Luis Calvo</t>
  </si>
  <si>
    <t>Los Andes</t>
  </si>
  <si>
    <t>Tomina</t>
  </si>
  <si>
    <t>Zudáñez</t>
  </si>
  <si>
    <t>Vallegrande</t>
  </si>
  <si>
    <t>Belisario Boeto</t>
  </si>
  <si>
    <t>Luis Calvo</t>
  </si>
  <si>
    <t>Cordillera</t>
  </si>
  <si>
    <t>Ayopaya</t>
  </si>
  <si>
    <t>Vallegrande</t>
  </si>
  <si>
    <t>Cordillera</t>
  </si>
  <si>
    <t>Oropeza</t>
  </si>
  <si>
    <t>Zudáñez</t>
  </si>
  <si>
    <t>Vallegrande</t>
  </si>
  <si>
    <t>Florida</t>
  </si>
  <si>
    <t>Andrés Ibáñez</t>
  </si>
  <si>
    <t>Ichilo</t>
  </si>
  <si>
    <t>Ñuflo De Chávez</t>
  </si>
  <si>
    <t>Velasco</t>
  </si>
  <si>
    <t>Chapare</t>
  </si>
  <si>
    <t>Carrasco</t>
  </si>
  <si>
    <t>Tiraque</t>
  </si>
  <si>
    <t>Obispo Santistéban</t>
  </si>
  <si>
    <t>Guarayos</t>
  </si>
  <si>
    <t>Marbán</t>
  </si>
  <si>
    <t>Arani</t>
  </si>
  <si>
    <t>Carrasco</t>
  </si>
  <si>
    <t>Warnes</t>
  </si>
  <si>
    <t>Obispo Santistéban</t>
  </si>
  <si>
    <t>Chiquitos</t>
  </si>
  <si>
    <t>Obispo Santistéban</t>
  </si>
  <si>
    <t>Florida</t>
  </si>
  <si>
    <t>Carrasco</t>
  </si>
  <si>
    <t>Sara</t>
  </si>
  <si>
    <t>Germán Busch</t>
  </si>
  <si>
    <t>Chiquitos</t>
  </si>
  <si>
    <t>Angel Sandoval</t>
  </si>
  <si>
    <t>Cordillera</t>
  </si>
  <si>
    <t>Chiquitos</t>
  </si>
  <si>
    <t>Velasco</t>
  </si>
  <si>
    <t>Ayopaya</t>
  </si>
  <si>
    <t>Velasco</t>
  </si>
  <si>
    <t>Guarayos</t>
  </si>
  <si>
    <t>Cercado</t>
  </si>
  <si>
    <t>Ñuflo De Chávez</t>
  </si>
  <si>
    <t>Carrasco</t>
  </si>
  <si>
    <t>Oropeza</t>
  </si>
  <si>
    <t>Chapare</t>
  </si>
  <si>
    <t>Mizque</t>
  </si>
  <si>
    <t>Abel Iturralde</t>
  </si>
  <si>
    <t>Muñecas</t>
  </si>
  <si>
    <t>Antonio Quijarro</t>
  </si>
  <si>
    <t>Pacajes</t>
  </si>
  <si>
    <t>Sajama</t>
  </si>
  <si>
    <t>Carangas</t>
  </si>
  <si>
    <t>Litoral</t>
  </si>
  <si>
    <t>Sabaya</t>
  </si>
  <si>
    <t>Rafael Bustillo</t>
  </si>
  <si>
    <t>Ladislao Cabrera</t>
  </si>
  <si>
    <t>Sur Chichas</t>
  </si>
  <si>
    <t>Nor Lipez</t>
  </si>
  <si>
    <t>Ñuflo De Chávez</t>
  </si>
  <si>
    <t>Guarayos</t>
  </si>
  <si>
    <t>Manuel María Caballero</t>
  </si>
  <si>
    <t>Arce</t>
  </si>
  <si>
    <t>Nor Cinti</t>
  </si>
  <si>
    <t>Camacho</t>
  </si>
  <si>
    <t>Pacajes</t>
  </si>
  <si>
    <t>Omasuyos</t>
  </si>
  <si>
    <t>Ingavi</t>
  </si>
  <si>
    <t>Cornelio Saavedra</t>
  </si>
  <si>
    <t>Abaroa</t>
  </si>
  <si>
    <t>Rafael Bustillo</t>
  </si>
  <si>
    <t>Chayanta</t>
  </si>
  <si>
    <t>Mizque</t>
  </si>
  <si>
    <t>Campero</t>
  </si>
  <si>
    <t>Nor Chichas</t>
  </si>
  <si>
    <t>Nor Cinti</t>
  </si>
  <si>
    <t>Modesto Omiste</t>
  </si>
  <si>
    <t>Arce</t>
  </si>
  <si>
    <t>Moxos</t>
  </si>
  <si>
    <t>Mizque</t>
  </si>
  <si>
    <t>Chayanta</t>
  </si>
  <si>
    <t>Tomave</t>
  </si>
  <si>
    <t>Municipio</t>
  </si>
  <si>
    <t>Esmeralda</t>
  </si>
  <si>
    <t>Santuario de Quillacas</t>
  </si>
  <si>
    <t>Pampa Aullagas</t>
  </si>
  <si>
    <t>Llallagua</t>
  </si>
  <si>
    <t>Caripuyo</t>
  </si>
  <si>
    <t>Aiquile</t>
  </si>
  <si>
    <t>Sacaca</t>
  </si>
  <si>
    <t>Acasio</t>
  </si>
  <si>
    <t>Huanuni</t>
  </si>
  <si>
    <t>Huachacalla</t>
  </si>
  <si>
    <t>Santiago de Huari</t>
  </si>
  <si>
    <t>Pazña</t>
  </si>
  <si>
    <t>Villa Rivero</t>
  </si>
  <si>
    <t>Andamarca</t>
  </si>
  <si>
    <t>Chacarilla</t>
  </si>
  <si>
    <t>Arbieto</t>
  </si>
  <si>
    <t>Papel Pampa</t>
  </si>
  <si>
    <t>Umala</t>
  </si>
  <si>
    <t>Oruro</t>
  </si>
  <si>
    <t>Huayllamarca</t>
  </si>
  <si>
    <t>San Pedro de Curahuara</t>
  </si>
  <si>
    <t>Sicaya</t>
  </si>
  <si>
    <t>Puerto Quijarro</t>
  </si>
  <si>
    <t>Capinota</t>
  </si>
  <si>
    <t>Arque</t>
  </si>
  <si>
    <t>Coro Coro</t>
  </si>
  <si>
    <t>San Benito</t>
  </si>
  <si>
    <t>Sapahaqui</t>
  </si>
  <si>
    <t>Cairoma</t>
  </si>
  <si>
    <t>Colquiri</t>
  </si>
  <si>
    <t>Ichoca</t>
  </si>
  <si>
    <t>La Guardia</t>
  </si>
  <si>
    <t>Moro Moro</t>
  </si>
  <si>
    <t>El Torno</t>
  </si>
  <si>
    <t>Samaipata</t>
  </si>
  <si>
    <t>San Lucas</t>
  </si>
  <si>
    <t>Culpina</t>
  </si>
  <si>
    <t>Incahuasi</t>
  </si>
  <si>
    <t>San Juan</t>
  </si>
  <si>
    <t>Tinguipaya</t>
  </si>
  <si>
    <t>San Pedro</t>
  </si>
  <si>
    <t>Ancoraimes</t>
  </si>
  <si>
    <t>Colcha "K"</t>
  </si>
  <si>
    <t>Puerto Mayor de Carabuco</t>
  </si>
  <si>
    <t>Sabaya</t>
  </si>
  <si>
    <t>Loreto</t>
  </si>
  <si>
    <t>Tomave</t>
  </si>
  <si>
    <t>Porco</t>
  </si>
  <si>
    <t>Villa Montes</t>
  </si>
  <si>
    <t>Yocalla</t>
  </si>
  <si>
    <t>Urmiri</t>
  </si>
  <si>
    <t>Mocomoco</t>
  </si>
  <si>
    <t>Saipina</t>
  </si>
  <si>
    <t>Omereque</t>
  </si>
  <si>
    <t>Porongo</t>
  </si>
  <si>
    <t>Santa Cruz de la Sierra</t>
  </si>
  <si>
    <t>San Ignacio</t>
  </si>
  <si>
    <t>San Javier</t>
  </si>
  <si>
    <t>San Pedro</t>
  </si>
  <si>
    <t>Cajuata</t>
  </si>
  <si>
    <t>Inquisivi</t>
  </si>
  <si>
    <t>Irupana</t>
  </si>
  <si>
    <t>Chulumani</t>
  </si>
  <si>
    <t>Poopó</t>
  </si>
  <si>
    <t>Totora</t>
  </si>
  <si>
    <t>Betanzos</t>
  </si>
  <si>
    <t>Turco</t>
  </si>
  <si>
    <t>Todos Santos</t>
  </si>
  <si>
    <t>Concepción</t>
  </si>
  <si>
    <t>Santa Rosa del Sara</t>
  </si>
  <si>
    <t>Huacaraje</t>
  </si>
  <si>
    <t>San Antonio de Esmoruco</t>
  </si>
  <si>
    <t>La Rivera</t>
  </si>
  <si>
    <t>Entre Ríos</t>
  </si>
  <si>
    <t>San Joaquín</t>
  </si>
  <si>
    <t>San Ramón</t>
  </si>
  <si>
    <t>Tiahuanacu</t>
  </si>
  <si>
    <t>Colquechaca</t>
  </si>
  <si>
    <t>Pocoata</t>
  </si>
  <si>
    <t>Llica</t>
  </si>
  <si>
    <t>Quillacollo</t>
  </si>
  <si>
    <t>Sacaba</t>
  </si>
  <si>
    <t>Tiquipaya</t>
  </si>
  <si>
    <t>Colcapirhua</t>
  </si>
  <si>
    <t>Sipesipe</t>
  </si>
  <si>
    <t>Vinto</t>
  </si>
  <si>
    <t>Tarata</t>
  </si>
  <si>
    <t>Totora</t>
  </si>
  <si>
    <t>Buena Vista</t>
  </si>
  <si>
    <t>San Carlos</t>
  </si>
  <si>
    <t>Magdalena</t>
  </si>
  <si>
    <t>Portachuelo</t>
  </si>
  <si>
    <t>Uriondo</t>
  </si>
  <si>
    <t>Mojinete</t>
  </si>
  <si>
    <t>Yacuiba</t>
  </si>
  <si>
    <t>Yunchará</t>
  </si>
  <si>
    <t>Caraparí</t>
  </si>
  <si>
    <t>San Lorenzo</t>
  </si>
  <si>
    <t>El Puente</t>
  </si>
  <si>
    <t>Toro Toro</t>
  </si>
  <si>
    <t>San Agustín</t>
  </si>
  <si>
    <t>Tarija</t>
  </si>
  <si>
    <t>Tahua</t>
  </si>
  <si>
    <t>San Pablo</t>
  </si>
  <si>
    <t>Las Carreras</t>
  </si>
  <si>
    <t>Villa Abecia</t>
  </si>
  <si>
    <t>Morochata</t>
  </si>
  <si>
    <t>Carangas</t>
  </si>
  <si>
    <t>Yunguyo del Litoral</t>
  </si>
  <si>
    <t>Tito Yupanqui</t>
  </si>
  <si>
    <t>Pucarani</t>
  </si>
  <si>
    <t>Cruz de Machacamarca</t>
  </si>
  <si>
    <t>Combaya</t>
  </si>
  <si>
    <t>Coroico</t>
  </si>
  <si>
    <t>Coripata</t>
  </si>
  <si>
    <t>Antequera</t>
  </si>
  <si>
    <t>Nazacara de Pacajes</t>
  </si>
  <si>
    <t>Caquiaviri</t>
  </si>
  <si>
    <t>Belén de Andamarca</t>
  </si>
  <si>
    <t>Corque</t>
  </si>
  <si>
    <t>Vitiche</t>
  </si>
  <si>
    <t>Luribay</t>
  </si>
  <si>
    <t>Villa Azurduy</t>
  </si>
  <si>
    <t>Machacamarca</t>
  </si>
  <si>
    <t>Arampampa</t>
  </si>
  <si>
    <t>Sacabamba</t>
  </si>
  <si>
    <t>Anzaldo</t>
  </si>
  <si>
    <t>Toco</t>
  </si>
  <si>
    <t>Tarabuco</t>
  </si>
  <si>
    <t>Zudañez</t>
  </si>
  <si>
    <t>Cuchumuela (Villa Gualberto Villarroel)</t>
  </si>
  <si>
    <t>Tacachi</t>
  </si>
  <si>
    <t>Cliza</t>
  </si>
  <si>
    <t>Tacopaya</t>
  </si>
  <si>
    <t>El Choro</t>
  </si>
  <si>
    <t>Toledo</t>
  </si>
  <si>
    <t>Bolivar</t>
  </si>
  <si>
    <t>Santivañez</t>
  </si>
  <si>
    <t>Cabezas</t>
  </si>
  <si>
    <t>Paria</t>
  </si>
  <si>
    <t>Collana</t>
  </si>
  <si>
    <t>Baures</t>
  </si>
  <si>
    <t>Tolata</t>
  </si>
  <si>
    <t>Cobija</t>
  </si>
  <si>
    <t>Eucaliptus</t>
  </si>
  <si>
    <t>Santiago de Callapa</t>
  </si>
  <si>
    <t>Cochabamba</t>
  </si>
  <si>
    <t>Caracollo</t>
  </si>
  <si>
    <t>Catacora</t>
  </si>
  <si>
    <t>Yaco</t>
  </si>
  <si>
    <t>Calacoto</t>
  </si>
  <si>
    <t>Arani</t>
  </si>
  <si>
    <t>Punata</t>
  </si>
  <si>
    <t>Sica Sica</t>
  </si>
  <si>
    <t>Patacamaya</t>
  </si>
  <si>
    <t>Colquencha</t>
  </si>
  <si>
    <t>Santiago de Machaca</t>
  </si>
  <si>
    <t>Sena</t>
  </si>
  <si>
    <t>San Lorenzo</t>
  </si>
  <si>
    <t>Santa Rosa</t>
  </si>
  <si>
    <t>Malla</t>
  </si>
  <si>
    <t>Comanche</t>
  </si>
  <si>
    <t>Calamarca</t>
  </si>
  <si>
    <t>Viacha</t>
  </si>
  <si>
    <t>Villa Libertad Licoma</t>
  </si>
  <si>
    <t>Quime</t>
  </si>
  <si>
    <t>Huatajata</t>
  </si>
  <si>
    <t>Laja</t>
  </si>
  <si>
    <t>Mecapaca</t>
  </si>
  <si>
    <t>Palca</t>
  </si>
  <si>
    <t>Achocalla</t>
  </si>
  <si>
    <t>El Alto</t>
  </si>
  <si>
    <t>Yanacachi</t>
  </si>
  <si>
    <t>Tapacarí</t>
  </si>
  <si>
    <t>Desaguadero</t>
  </si>
  <si>
    <t>Jesús de Machaca</t>
  </si>
  <si>
    <t>Puerto Mayor de Guaqui</t>
  </si>
  <si>
    <t>Quiabaya</t>
  </si>
  <si>
    <t>Aucapata</t>
  </si>
  <si>
    <t>Ayo Ayo</t>
  </si>
  <si>
    <t>Tipuani</t>
  </si>
  <si>
    <t>Nuestra Señora de La Paz</t>
  </si>
  <si>
    <t>Sorata</t>
  </si>
  <si>
    <t>La Asunta</t>
  </si>
  <si>
    <t>Chuma</t>
  </si>
  <si>
    <t>Guanay</t>
  </si>
  <si>
    <t>Teoponte</t>
  </si>
  <si>
    <t>Mapiri</t>
  </si>
  <si>
    <t>General Juan José Pérez (Charazani)</t>
  </si>
  <si>
    <t>Caiza "D"</t>
  </si>
  <si>
    <t>Copacabana</t>
  </si>
  <si>
    <t>Tarvita</t>
  </si>
  <si>
    <t>Chaquí</t>
  </si>
  <si>
    <t>Puna</t>
  </si>
  <si>
    <t>Ckochas</t>
  </si>
  <si>
    <t>El Villar</t>
  </si>
  <si>
    <t>Huacaya</t>
  </si>
  <si>
    <t>Tacacoma</t>
  </si>
  <si>
    <t>San Pablo de Huacareta</t>
  </si>
  <si>
    <t>Monteagudo</t>
  </si>
  <si>
    <t>Potosí</t>
  </si>
  <si>
    <t>San Pedro de Tiquina</t>
  </si>
  <si>
    <t>Lagunillas</t>
  </si>
  <si>
    <t>Villa Alcalá</t>
  </si>
  <si>
    <t>Sopachuy</t>
  </si>
  <si>
    <t>Icla</t>
  </si>
  <si>
    <t>Yotala</t>
  </si>
  <si>
    <t>Yamparáez</t>
  </si>
  <si>
    <t>Tomina</t>
  </si>
  <si>
    <t>Ocurí</t>
  </si>
  <si>
    <t>Curva</t>
  </si>
  <si>
    <t>Pelechuco</t>
  </si>
  <si>
    <t>Palos Blancos</t>
  </si>
  <si>
    <t>Apolo</t>
  </si>
  <si>
    <t>Puerto Menor de Rurrenabaque</t>
  </si>
  <si>
    <t>San Buenaventura</t>
  </si>
  <si>
    <t>Santa Ana</t>
  </si>
  <si>
    <t>San Borja</t>
  </si>
  <si>
    <t>Reyes</t>
  </si>
  <si>
    <t>Puerto Gonzalo Moreno</t>
  </si>
  <si>
    <t>Puerto Siles</t>
  </si>
  <si>
    <t>Exaltación</t>
  </si>
  <si>
    <t>Riberalta</t>
  </si>
  <si>
    <t>Porvenir</t>
  </si>
  <si>
    <t>Bella Flor</t>
  </si>
  <si>
    <t>San Pedro</t>
  </si>
  <si>
    <t>Puerto Rico</t>
  </si>
  <si>
    <t>Santa Rosa</t>
  </si>
  <si>
    <t>Ingavi</t>
  </si>
  <si>
    <t>Guayaramerín</t>
  </si>
  <si>
    <t>Villa Nueva</t>
  </si>
  <si>
    <t>Santos Mercado</t>
  </si>
  <si>
    <t>Nueva Esperanza</t>
  </si>
  <si>
    <t>Santiago de Huata</t>
  </si>
  <si>
    <t>Puerto Pérez</t>
  </si>
  <si>
    <t>Chuquihuta Ayllu Jucumani</t>
  </si>
  <si>
    <t>Bolpebra</t>
  </si>
  <si>
    <t>Filadelfia</t>
  </si>
  <si>
    <t>Alto Beni</t>
  </si>
  <si>
    <t>Caranavi</t>
  </si>
  <si>
    <t>Huarina</t>
  </si>
  <si>
    <t>Chua Cocani</t>
  </si>
  <si>
    <t>Humanata</t>
  </si>
  <si>
    <t>Villa Vaca Guzmán</t>
  </si>
  <si>
    <t>Batallas</t>
  </si>
  <si>
    <t>Padilla</t>
  </si>
  <si>
    <t>Villa Mojocoya</t>
  </si>
  <si>
    <t>Pucará</t>
  </si>
  <si>
    <t>Villa Serrano</t>
  </si>
  <si>
    <t>Macharetí</t>
  </si>
  <si>
    <t>Boyuibe</t>
  </si>
  <si>
    <t>Cuevo</t>
  </si>
  <si>
    <t>Camiri</t>
  </si>
  <si>
    <t>Cocapata</t>
  </si>
  <si>
    <t>Vallegrande</t>
  </si>
  <si>
    <t>Gutiérrez</t>
  </si>
  <si>
    <t>Sucre</t>
  </si>
  <si>
    <t>Presto</t>
  </si>
  <si>
    <t>Postrervalle</t>
  </si>
  <si>
    <t>Trigal</t>
  </si>
  <si>
    <t>Quirusillas</t>
  </si>
  <si>
    <t>Cotoca</t>
  </si>
  <si>
    <t>Yapacaní</t>
  </si>
  <si>
    <t>Cuatro Cañadas</t>
  </si>
  <si>
    <t>San Ramón</t>
  </si>
  <si>
    <t>San Javier</t>
  </si>
  <si>
    <t>San Miguel de Velasco</t>
  </si>
  <si>
    <t>Villa Tunari</t>
  </si>
  <si>
    <t>Chimoré</t>
  </si>
  <si>
    <t>Tiraque</t>
  </si>
  <si>
    <t>Shinahota</t>
  </si>
  <si>
    <t>Montero</t>
  </si>
  <si>
    <t>Ascención de Guarayos</t>
  </si>
  <si>
    <t>San Andrés</t>
  </si>
  <si>
    <t>Vacas</t>
  </si>
  <si>
    <t>Pocona</t>
  </si>
  <si>
    <t>Okinawa Uno</t>
  </si>
  <si>
    <t>Warnes</t>
  </si>
  <si>
    <t>General Saavedra</t>
  </si>
  <si>
    <t>Pailón</t>
  </si>
  <si>
    <t>Fernández Alonso</t>
  </si>
  <si>
    <t>Mineros</t>
  </si>
  <si>
    <t>Pampa Grande</t>
  </si>
  <si>
    <t>Mairana</t>
  </si>
  <si>
    <t>Puerto Villarroel</t>
  </si>
  <si>
    <t>Colpa Bélgica</t>
  </si>
  <si>
    <t>Puerto Suarez</t>
  </si>
  <si>
    <t>El Carmen Rivero Tórrez</t>
  </si>
  <si>
    <t>Roboré</t>
  </si>
  <si>
    <t>San Matías</t>
  </si>
  <si>
    <t>Charagua</t>
  </si>
  <si>
    <t>San José de Chiquitos</t>
  </si>
  <si>
    <t>San Rafael</t>
  </si>
  <si>
    <t>Ayopaya (Independencia)</t>
  </si>
  <si>
    <t>San Ignacio de Velasco</t>
  </si>
  <si>
    <t>Urubichá</t>
  </si>
  <si>
    <t>Trinidad</t>
  </si>
  <si>
    <t>San Antonio de Lomerio</t>
  </si>
  <si>
    <t>Pojo</t>
  </si>
  <si>
    <t>Entre Ríos</t>
  </si>
  <si>
    <t>Poroma</t>
  </si>
  <si>
    <t>Colomi</t>
  </si>
  <si>
    <t>Alalay</t>
  </si>
  <si>
    <t>Vila Vila</t>
  </si>
  <si>
    <t>Ixiamas</t>
  </si>
  <si>
    <t>Ayata</t>
  </si>
  <si>
    <t>Uyuni</t>
  </si>
  <si>
    <t>Waldo Ballivian</t>
  </si>
  <si>
    <t>Curahuara de Carangas</t>
  </si>
  <si>
    <t>Choquecota</t>
  </si>
  <si>
    <t>Escara</t>
  </si>
  <si>
    <t>Coipasa</t>
  </si>
  <si>
    <t>Chipaya</t>
  </si>
  <si>
    <t>Chayanta</t>
  </si>
  <si>
    <t>Salinas de Garcí Mendoza</t>
  </si>
  <si>
    <t>Tupiza</t>
  </si>
  <si>
    <t>Atocha</t>
  </si>
  <si>
    <t>San Pedro de Quemes</t>
  </si>
  <si>
    <t>San Julián</t>
  </si>
  <si>
    <t>El Puente</t>
  </si>
  <si>
    <t>Comarapa</t>
  </si>
  <si>
    <t>Bermejo</t>
  </si>
  <si>
    <t>Villa Charcas</t>
  </si>
  <si>
    <t>Puerto Acosta</t>
  </si>
  <si>
    <t>Escoma</t>
  </si>
  <si>
    <t>Charaña</t>
  </si>
  <si>
    <t>Achacachi</t>
  </si>
  <si>
    <t>Taraco</t>
  </si>
  <si>
    <t>San Andrés de Machaca</t>
  </si>
  <si>
    <t>Tacobamba</t>
  </si>
  <si>
    <t>Challapata</t>
  </si>
  <si>
    <t>Uncía</t>
  </si>
  <si>
    <t>Ravelo</t>
  </si>
  <si>
    <t>Mizque</t>
  </si>
  <si>
    <t>Pasorapa</t>
  </si>
  <si>
    <t>Cotagaita</t>
  </si>
  <si>
    <t>Camargo</t>
  </si>
  <si>
    <t>Villazón</t>
  </si>
  <si>
    <t>Padcaya</t>
  </si>
  <si>
    <t>Territorio Indigena Multiétnico</t>
  </si>
  <si>
    <t>TIOC-Raqaypampa</t>
  </si>
  <si>
    <t>San Pedro de Macha</t>
  </si>
  <si>
    <t>Jatun Ayllu Yura</t>
  </si>
  <si>
    <t>Capital</t>
  </si>
  <si>
    <t>Esmeralda</t>
  </si>
  <si>
    <t>Santuario de Quillacas</t>
  </si>
  <si>
    <t>Pampa Aullagas</t>
  </si>
  <si>
    <t>Llallagua</t>
  </si>
  <si>
    <t>Caripuyo</t>
  </si>
  <si>
    <t>Aiquile</t>
  </si>
  <si>
    <t>Villa de Sacaca</t>
  </si>
  <si>
    <t>Acasio</t>
  </si>
  <si>
    <t>Villa de Huanuni</t>
  </si>
  <si>
    <t>Huachacalla</t>
  </si>
  <si>
    <t>Santiago de Huari</t>
  </si>
  <si>
    <t>Pazña</t>
  </si>
  <si>
    <t>Villa Rivero</t>
  </si>
  <si>
    <t>Santiago de Andamarca</t>
  </si>
  <si>
    <t>Chacarilla</t>
  </si>
  <si>
    <t>Arbieto</t>
  </si>
  <si>
    <t>Papel Pampa</t>
  </si>
  <si>
    <t>Umala</t>
  </si>
  <si>
    <t>Oruro</t>
  </si>
  <si>
    <t>Santiago de Huayllamarca</t>
  </si>
  <si>
    <t>San Pedro de Curahuara</t>
  </si>
  <si>
    <t>Sicaya</t>
  </si>
  <si>
    <t>Puerto Quijarro</t>
  </si>
  <si>
    <t>Capinota</t>
  </si>
  <si>
    <t>Villa de Arque</t>
  </si>
  <si>
    <t>Corocoro</t>
  </si>
  <si>
    <t>Villa José Quintín Mendoza</t>
  </si>
  <si>
    <t>Sapahaqui</t>
  </si>
  <si>
    <t>Cairoma</t>
  </si>
  <si>
    <t>Colquiri</t>
  </si>
  <si>
    <t>Ichoca</t>
  </si>
  <si>
    <t>La Guardia</t>
  </si>
  <si>
    <t>Moromoro</t>
  </si>
  <si>
    <t>El Torno</t>
  </si>
  <si>
    <t>Samaipata</t>
  </si>
  <si>
    <t>San Lucas</t>
  </si>
  <si>
    <t>Culpina</t>
  </si>
  <si>
    <t>Incahuasi</t>
  </si>
  <si>
    <t>San Juan</t>
  </si>
  <si>
    <t>Tinguipaya</t>
  </si>
  <si>
    <t>San Pedro</t>
  </si>
  <si>
    <t>Villa Ancoraimes</t>
  </si>
  <si>
    <t>Villa Martín</t>
  </si>
  <si>
    <t>Carabuco</t>
  </si>
  <si>
    <t>Sabaya</t>
  </si>
  <si>
    <t>Loreto</t>
  </si>
  <si>
    <t>Tomave</t>
  </si>
  <si>
    <t>Porco</t>
  </si>
  <si>
    <t>Villa Montes</t>
  </si>
  <si>
    <t>Villa de Yocalla</t>
  </si>
  <si>
    <t>Belén de Urmiri</t>
  </si>
  <si>
    <t>Mocomoco</t>
  </si>
  <si>
    <t>Saipina</t>
  </si>
  <si>
    <t>Omereque</t>
  </si>
  <si>
    <t>Porongo (Ayacucho)</t>
  </si>
  <si>
    <t>Santa Cruz de la Sierra</t>
  </si>
  <si>
    <t>San Ignacio</t>
  </si>
  <si>
    <t>San Javier</t>
  </si>
  <si>
    <t>San Pedro</t>
  </si>
  <si>
    <t>Cajuata</t>
  </si>
  <si>
    <t>Inquisivi</t>
  </si>
  <si>
    <t>Villa de Lanza</t>
  </si>
  <si>
    <t>Villa de la Libertad</t>
  </si>
  <si>
    <t>Villa de Poopó</t>
  </si>
  <si>
    <t>Totora</t>
  </si>
  <si>
    <t>Villa de Betanzos</t>
  </si>
  <si>
    <t>Turco</t>
  </si>
  <si>
    <t>Todos Santos</t>
  </si>
  <si>
    <t>Concepción</t>
  </si>
  <si>
    <t>Santa Rosa</t>
  </si>
  <si>
    <t>Huacaraje</t>
  </si>
  <si>
    <t>San Antonio de Esmoruco</t>
  </si>
  <si>
    <t>La Rivera</t>
  </si>
  <si>
    <t>Entre Ríos</t>
  </si>
  <si>
    <t>San Joaquín</t>
  </si>
  <si>
    <t>San Ramón</t>
  </si>
  <si>
    <t>Tiahuanacu</t>
  </si>
  <si>
    <t>Colquechaca</t>
  </si>
  <si>
    <t>Pocoata</t>
  </si>
  <si>
    <t>Llica</t>
  </si>
  <si>
    <t>Quillacollo</t>
  </si>
  <si>
    <t>Sacaba</t>
  </si>
  <si>
    <t>Tiquipaya</t>
  </si>
  <si>
    <t>Colcapirhua</t>
  </si>
  <si>
    <t>Sipesipe</t>
  </si>
  <si>
    <t>Vinto</t>
  </si>
  <si>
    <t>Tarata</t>
  </si>
  <si>
    <t>Totora</t>
  </si>
  <si>
    <t>Buena Vista</t>
  </si>
  <si>
    <t>San Carlos</t>
  </si>
  <si>
    <t>Magdalena</t>
  </si>
  <si>
    <t>Portachuelo</t>
  </si>
  <si>
    <t>Concepción</t>
  </si>
  <si>
    <t>Mojinete</t>
  </si>
  <si>
    <t>Yacuiba</t>
  </si>
  <si>
    <t>Yunchará</t>
  </si>
  <si>
    <t>Caraparí</t>
  </si>
  <si>
    <t>Villa San Lorenzo</t>
  </si>
  <si>
    <t>El Puente</t>
  </si>
  <si>
    <t>Toro Toro</t>
  </si>
  <si>
    <t>San Agustín</t>
  </si>
  <si>
    <t>Tarija</t>
  </si>
  <si>
    <t>Tahua</t>
  </si>
  <si>
    <t>San Pablo de Lípez</t>
  </si>
  <si>
    <t>Las Carreras</t>
  </si>
  <si>
    <t>Villa Abecia</t>
  </si>
  <si>
    <t>Morochata</t>
  </si>
  <si>
    <t>Carangas</t>
  </si>
  <si>
    <t>Yunguyo del Litoral</t>
  </si>
  <si>
    <t>Tito Yupanqui</t>
  </si>
  <si>
    <t>Pucarani</t>
  </si>
  <si>
    <t>Cruz de Machacamarca</t>
  </si>
  <si>
    <t>Combaya</t>
  </si>
  <si>
    <t>Coroico</t>
  </si>
  <si>
    <t>Coripata</t>
  </si>
  <si>
    <t>Antequera</t>
  </si>
  <si>
    <t>Nazacara de Pacajes</t>
  </si>
  <si>
    <t>Caquiaviri</t>
  </si>
  <si>
    <t>Belén de Andamarca</t>
  </si>
  <si>
    <t>Corque</t>
  </si>
  <si>
    <t>Vitiche</t>
  </si>
  <si>
    <t>Luribay</t>
  </si>
  <si>
    <t>Villa Azurduy</t>
  </si>
  <si>
    <t>Machacamarca</t>
  </si>
  <si>
    <t>Arampampa</t>
  </si>
  <si>
    <t>Sacabamba</t>
  </si>
  <si>
    <t>Villa de Anzaldo</t>
  </si>
  <si>
    <t>Toco</t>
  </si>
  <si>
    <t>Tarabuco</t>
  </si>
  <si>
    <t>Villa Zudáñez</t>
  </si>
  <si>
    <t>Villa Gualberto Villarroel</t>
  </si>
  <si>
    <t>Tacachi</t>
  </si>
  <si>
    <t>Cliza</t>
  </si>
  <si>
    <t>Tacopaya</t>
  </si>
  <si>
    <t>El Choro</t>
  </si>
  <si>
    <t>Toledo</t>
  </si>
  <si>
    <t>Bolivar</t>
  </si>
  <si>
    <t>Villa Santivañez</t>
  </si>
  <si>
    <t>Cabezas</t>
  </si>
  <si>
    <t>Soracachi</t>
  </si>
  <si>
    <t>Collana</t>
  </si>
  <si>
    <t>Baures</t>
  </si>
  <si>
    <t>Tolata</t>
  </si>
  <si>
    <t>Cobija</t>
  </si>
  <si>
    <t>Eucaliptus</t>
  </si>
  <si>
    <t>Santiago de Callapa</t>
  </si>
  <si>
    <t>Cochabamba</t>
  </si>
  <si>
    <t>Caracollo</t>
  </si>
  <si>
    <t>Catacora</t>
  </si>
  <si>
    <t>Yaco</t>
  </si>
  <si>
    <t>Calacoto</t>
  </si>
  <si>
    <t>Arani</t>
  </si>
  <si>
    <t>Villa Punata</t>
  </si>
  <si>
    <t>Villa Aroma</t>
  </si>
  <si>
    <t>Patacamaya</t>
  </si>
  <si>
    <t>Colquencha</t>
  </si>
  <si>
    <t>Santiago de Machaca</t>
  </si>
  <si>
    <t>Sena</t>
  </si>
  <si>
    <t>San Lorenzo</t>
  </si>
  <si>
    <t>Santa Rosa</t>
  </si>
  <si>
    <t>Malla</t>
  </si>
  <si>
    <t>Comanche</t>
  </si>
  <si>
    <t>Calamarca</t>
  </si>
  <si>
    <t>Viacha</t>
  </si>
  <si>
    <t>Villa Libertad Licoma</t>
  </si>
  <si>
    <t>Quime</t>
  </si>
  <si>
    <t>Huatajata</t>
  </si>
  <si>
    <t>Laja</t>
  </si>
  <si>
    <t>Mecapaca</t>
  </si>
  <si>
    <t>Palca</t>
  </si>
  <si>
    <t>Achocalla</t>
  </si>
  <si>
    <t>El Alto</t>
  </si>
  <si>
    <t>Yanacachi</t>
  </si>
  <si>
    <t>Tapacarí</t>
  </si>
  <si>
    <t>Desaguadero</t>
  </si>
  <si>
    <t>Jesús de Machaka</t>
  </si>
  <si>
    <t>Guaqui</t>
  </si>
  <si>
    <t>Quiabaya</t>
  </si>
  <si>
    <t>Aucapata</t>
  </si>
  <si>
    <t>Ayo Ayo</t>
  </si>
  <si>
    <t>Tipuani</t>
  </si>
  <si>
    <t>Nuestra Señora de La Paz</t>
  </si>
  <si>
    <t>Sorata</t>
  </si>
  <si>
    <t>La Asunta</t>
  </si>
  <si>
    <t>Chuma</t>
  </si>
  <si>
    <t>Guanay</t>
  </si>
  <si>
    <t>Teoponte</t>
  </si>
  <si>
    <t>Mapiri</t>
  </si>
  <si>
    <t>Villa General Juan José Pérez</t>
  </si>
  <si>
    <t>Caiza "D"</t>
  </si>
  <si>
    <t>Copacabana</t>
  </si>
  <si>
    <t>Villa Orías</t>
  </si>
  <si>
    <t>Chaquí</t>
  </si>
  <si>
    <t>Villa Talavera</t>
  </si>
  <si>
    <t>Ckochas</t>
  </si>
  <si>
    <t>El Villar</t>
  </si>
  <si>
    <t>Villa de Huacaya</t>
  </si>
  <si>
    <t>Tacacoma</t>
  </si>
  <si>
    <t>San Pablo de Huacareta</t>
  </si>
  <si>
    <t>Monteagudo</t>
  </si>
  <si>
    <t>Potosí</t>
  </si>
  <si>
    <t>San Pedro de Tiquina</t>
  </si>
  <si>
    <t>Lagunillas</t>
  </si>
  <si>
    <t>Alcalá</t>
  </si>
  <si>
    <t>Villa de Sopachui</t>
  </si>
  <si>
    <t>Icla</t>
  </si>
  <si>
    <t>Yotala</t>
  </si>
  <si>
    <t>Yamparáez</t>
  </si>
  <si>
    <t>Villa de Tomina</t>
  </si>
  <si>
    <t>Ocurí</t>
  </si>
  <si>
    <t>Curva</t>
  </si>
  <si>
    <t>Pelechuco</t>
  </si>
  <si>
    <t>Palos Blancos</t>
  </si>
  <si>
    <t>Apolo</t>
  </si>
  <si>
    <t>Rurrenabaque</t>
  </si>
  <si>
    <t>San Buenaventura</t>
  </si>
  <si>
    <t>Santa Ana de Yacuma</t>
  </si>
  <si>
    <t>San Borja</t>
  </si>
  <si>
    <t>Reyes</t>
  </si>
  <si>
    <t>Puerto Gonzalo Moreno</t>
  </si>
  <si>
    <t>Puerto Siles</t>
  </si>
  <si>
    <t>Exaltación</t>
  </si>
  <si>
    <t>Riberalta</t>
  </si>
  <si>
    <t>Porvenir</t>
  </si>
  <si>
    <t>Bella Flor</t>
  </si>
  <si>
    <t>San Pedro</t>
  </si>
  <si>
    <t>Puerto Rico</t>
  </si>
  <si>
    <t>Santa Rosa</t>
  </si>
  <si>
    <t>Ingavi</t>
  </si>
  <si>
    <t>Guayaramerín</t>
  </si>
  <si>
    <t>Loma Alta</t>
  </si>
  <si>
    <t>Santos Mercado</t>
  </si>
  <si>
    <t>Nueva Esperanza</t>
  </si>
  <si>
    <t>Santiago de Huata</t>
  </si>
  <si>
    <t>Puerto Pérez</t>
  </si>
  <si>
    <t>Chuquihuta Ayllu Jucumani</t>
  </si>
  <si>
    <t>Bolpebra</t>
  </si>
  <si>
    <t>Filadelfia</t>
  </si>
  <si>
    <t>Alto Beni</t>
  </si>
  <si>
    <t>Caranavi</t>
  </si>
  <si>
    <t>Huarina</t>
  </si>
  <si>
    <t>Chua Cocani</t>
  </si>
  <si>
    <t>Humanata</t>
  </si>
  <si>
    <t>Villa Vaca Guzmán</t>
  </si>
  <si>
    <t>Batallas</t>
  </si>
  <si>
    <t>Padilla</t>
  </si>
  <si>
    <t>Villa de Mojocoya</t>
  </si>
  <si>
    <t>Pucará</t>
  </si>
  <si>
    <t>Villa Serrano</t>
  </si>
  <si>
    <t>Villa de Macharetí</t>
  </si>
  <si>
    <t>Boyuibe</t>
  </si>
  <si>
    <t>Cuevo</t>
  </si>
  <si>
    <t>Camiri</t>
  </si>
  <si>
    <t>Cocapata</t>
  </si>
  <si>
    <t>Vallegrande</t>
  </si>
  <si>
    <t>Gutiérrez</t>
  </si>
  <si>
    <t>Sucre</t>
  </si>
  <si>
    <t>Presto</t>
  </si>
  <si>
    <t>Postrervalle</t>
  </si>
  <si>
    <t>Trigal</t>
  </si>
  <si>
    <t>Quirusillas</t>
  </si>
  <si>
    <t>Cotoca</t>
  </si>
  <si>
    <t>Yapacaní</t>
  </si>
  <si>
    <t>Cuatro Cañadas</t>
  </si>
  <si>
    <t>San Ramón</t>
  </si>
  <si>
    <t>San Javier</t>
  </si>
  <si>
    <t>San Miguel</t>
  </si>
  <si>
    <t>Villa Tunari</t>
  </si>
  <si>
    <t>Chimoré</t>
  </si>
  <si>
    <t>Tiraque</t>
  </si>
  <si>
    <t>Shinahota</t>
  </si>
  <si>
    <t>Montero</t>
  </si>
  <si>
    <t>Ascención de Guarayos</t>
  </si>
  <si>
    <t>San Andrés</t>
  </si>
  <si>
    <t>Vacas</t>
  </si>
  <si>
    <t>Pocona</t>
  </si>
  <si>
    <t>Okinawa Uno</t>
  </si>
  <si>
    <t>Warnes</t>
  </si>
  <si>
    <t>General Saavedra</t>
  </si>
  <si>
    <t>Pailón</t>
  </si>
  <si>
    <t>Fernández Alonso</t>
  </si>
  <si>
    <t>Mineros</t>
  </si>
  <si>
    <t>Pampa Grande</t>
  </si>
  <si>
    <t>Mairana</t>
  </si>
  <si>
    <t>Puerto Villarroel</t>
  </si>
  <si>
    <t>Colpa Bélgica</t>
  </si>
  <si>
    <t>Puerto Suarez</t>
  </si>
  <si>
    <t>El Carmen Rivero Tórrez</t>
  </si>
  <si>
    <t>Roboré</t>
  </si>
  <si>
    <t>San Matías</t>
  </si>
  <si>
    <t>Charagua</t>
  </si>
  <si>
    <t>San José</t>
  </si>
  <si>
    <t>San Rafael</t>
  </si>
  <si>
    <t>Villa de Independencia</t>
  </si>
  <si>
    <t>San Ignacio</t>
  </si>
  <si>
    <t>Urubicha</t>
  </si>
  <si>
    <t>Trinidad</t>
  </si>
  <si>
    <t>San Antonio de Lomerio</t>
  </si>
  <si>
    <t>Pojo</t>
  </si>
  <si>
    <t>Entre Ríos</t>
  </si>
  <si>
    <t>Poroma</t>
  </si>
  <si>
    <t>Colomi</t>
  </si>
  <si>
    <t>Alalay</t>
  </si>
  <si>
    <t>Vila Vila</t>
  </si>
  <si>
    <t>Ixiamas</t>
  </si>
  <si>
    <t>Ayata</t>
  </si>
  <si>
    <t>Uyuni</t>
  </si>
  <si>
    <t>Waldo Ballivian</t>
  </si>
  <si>
    <t>Curahuara de Carangas</t>
  </si>
  <si>
    <t>Choquecota</t>
  </si>
  <si>
    <t>Escara</t>
  </si>
  <si>
    <t>Coipasa</t>
  </si>
  <si>
    <t>Chipaya</t>
  </si>
  <si>
    <t>Chayanta</t>
  </si>
  <si>
    <t>Salinas de Garcí Mendoza</t>
  </si>
  <si>
    <t>Tupiza</t>
  </si>
  <si>
    <t>Atocha</t>
  </si>
  <si>
    <t>Villa San Pedro de Quemes</t>
  </si>
  <si>
    <t>San Julián</t>
  </si>
  <si>
    <t>El Puente</t>
  </si>
  <si>
    <t>Comarapa</t>
  </si>
  <si>
    <t>Bermejo</t>
  </si>
  <si>
    <t>Villa Charcas</t>
  </si>
  <si>
    <t>Puerto Acosta</t>
  </si>
  <si>
    <t>Escoma</t>
  </si>
  <si>
    <t>Charaña</t>
  </si>
  <si>
    <t>Achacachi</t>
  </si>
  <si>
    <t>Taraco</t>
  </si>
  <si>
    <t>La (Marka) San Andrés de Machaca</t>
  </si>
  <si>
    <t>Tacobamba</t>
  </si>
  <si>
    <t>Challapata</t>
  </si>
  <si>
    <t>Uncía</t>
  </si>
  <si>
    <t>Ravelo</t>
  </si>
  <si>
    <t>Mizque</t>
  </si>
  <si>
    <t>Pasorapa</t>
  </si>
  <si>
    <t>Cotagaita</t>
  </si>
  <si>
    <t>Camargo</t>
  </si>
  <si>
    <t>Villazón</t>
  </si>
  <si>
    <t>Padcaya</t>
  </si>
  <si>
    <t>Territorio Indigena Multiétnico</t>
  </si>
  <si>
    <t>Raqaypampa</t>
  </si>
  <si>
    <t>San Pedro de Macha</t>
  </si>
  <si>
    <t>Jatun Ayllu Yura</t>
  </si>
  <si>
    <t>CodigoINE</t>
  </si>
  <si>
    <t>id</t>
  </si>
  <si>
    <t>ODS</t>
  </si>
  <si>
    <t>Categoría</t>
  </si>
  <si>
    <t>ODS alcanzado</t>
  </si>
  <si>
    <t>Próximo a alcanzarse</t>
  </si>
  <si>
    <t>Quedan retos importantes</t>
  </si>
  <si>
    <t>Quedan retos grandes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</si>
  <si>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</si>
  <si>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</si>
  <si>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</si>
  <si>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</si>
  <si>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</si>
  <si>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</si>
  <si>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</si>
  <si>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</si>
  <si>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Indicador</t>
  </si>
  <si>
    <t>id_departamento</t>
  </si>
  <si>
    <t>Departamento</t>
  </si>
  <si>
    <t>Numero de Servicios Básicos</t>
  </si>
  <si>
    <t>.00</t>
  </si>
  <si>
    <t>1.00</t>
  </si>
  <si>
    <t>2.00</t>
  </si>
  <si>
    <t>3.00</t>
  </si>
  <si>
    <t>Count</t>
  </si>
  <si>
    <t># Hogares</t>
  </si>
  <si>
    <t>% de hogares con 3 servicios básicos</t>
  </si>
  <si>
    <t>% de hogares con 3 servicios básicos 2012</t>
  </si>
  <si>
    <t>% de hogares con 3 servicios básicos 2024</t>
  </si>
  <si>
    <t>Número de hogares que carecen de al menos uno de los tres servicios básicos, 2012</t>
  </si>
  <si>
    <t>Número de hogares que carecen de al menos uno de los tres servicios básicos, 2024</t>
  </si>
  <si>
    <t># hogares</t>
  </si>
  <si>
    <t>Codigo</t>
  </si>
  <si>
    <t>Umbral 2012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</si>
  <si>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</si>
  <si>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</si>
  <si>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</si>
  <si>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</si>
  <si>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</si>
  <si>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</si>
  <si>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</si>
  <si>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</si>
  <si>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</si>
  <si>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</si>
  <si>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</si>
  <si>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</si>
  <si>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</si>
  <si>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</si>
  <si>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</si>
  <si>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</si>
  <si>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</si>
  <si>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sdg1_4_acceso a 3_servicios_basicos, 2012</t>
  </si>
  <si>
    <t>sdg1_4_acceso a 3_servicios_basicos, 2024</t>
  </si>
  <si>
    <t xml:space="preserve">Acceso a los 3 servicios básicos, 2024 (% de hogares) </t>
  </si>
  <si>
    <t>Bolivia</t>
  </si>
  <si>
    <t>Número de hogares que carecen de servicios básicos, 2024</t>
  </si>
  <si>
    <t>Número de hogares que carecen de servicios básicos 2024</t>
  </si>
  <si>
    <t>Número de hogares que carecen de servicios básicos 2012</t>
  </si>
  <si>
    <t>Número de hogares que no tienen servicios básicos, 2012</t>
  </si>
  <si>
    <t>Número de hogares que no tienen servicios básicos,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</si>
</sst>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.0"/>
  </numFmts>
  <fonts count="11" x14ac:knownFonts="1">
    <font>
      <sz val="11"/>
      <name val="Calibri"/>
    </font>
    <font>
      <sz val="11"/>
      <name val="Calibri"/>
      <family val="2"/>
    </font>
    <font>
      <b/>
      <sz val="9"/>
      <name val="Aptos Display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8" fillId="0" borderId="0"/>
  </cellStyleXfs>
  <cellXfs count="92">
    <xf numFmtId="0" fontId="0" fillId="0" borderId="0" xfId="0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0" fontId="3" fillId="0" borderId="0" xfId="0" applyFont="1"/>
    <xf numFmtId="0" fontId="6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wrapText="1"/>
    </xf>
    <xf numFmtId="1" fontId="0" fillId="8" borderId="1" xfId="0" applyNumberFormat="1" applyFill="1" applyBorder="1"/>
    <xf numFmtId="0" fontId="0" fillId="0" borderId="1" xfId="0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top" wrapText="1"/>
    </xf>
    <xf numFmtId="165" fontId="0" fillId="0" borderId="1" xfId="1" applyNumberFormat="1" applyFont="1" applyBorder="1"/>
    <xf numFmtId="0" fontId="0" fillId="8" borderId="0" xfId="0" applyFill="1"/>
    <xf numFmtId="2" fontId="0" fillId="8" borderId="1" xfId="0" applyNumberFormat="1" applyFill="1" applyBorder="1"/>
    <xf numFmtId="0" fontId="0" fillId="0" borderId="1" xfId="0" applyBorder="1" applyAlignment="1">
      <alignment horizontal="right"/>
    </xf>
    <xf numFmtId="164" fontId="5" fillId="8" borderId="6" xfId="0" applyNumberFormat="1" applyFont="1" applyFill="1" applyBorder="1"/>
    <xf numFmtId="1" fontId="5" fillId="8" borderId="10" xfId="0" applyNumberFormat="1" applyFont="1" applyFill="1" applyBorder="1"/>
    <xf numFmtId="0" fontId="9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wrapText="1"/>
    </xf>
    <xf numFmtId="0" fontId="10" fillId="0" borderId="0" xfId="2" applyFont="1" applyAlignment="1">
      <alignment horizontal="center" vertical="center" wrapText="1"/>
    </xf>
    <xf numFmtId="0" fontId="8" fillId="0" borderId="0" xfId="2" applyAlignment="1">
      <alignment vertical="center" wrapText="1"/>
    </xf>
    <xf numFmtId="0" fontId="8" fillId="0" borderId="0" xfId="2"/>
    <xf numFmtId="0" fontId="8" fillId="0" borderId="0" xfId="2" applyAlignment="1">
      <alignment horizontal="center"/>
    </xf>
    <xf numFmtId="166" fontId="8" fillId="0" borderId="0" xfId="2" applyNumberFormat="1" applyAlignment="1">
      <alignment horizontal="center"/>
    </xf>
    <xf numFmtId="1" fontId="8" fillId="0" borderId="0" xfId="2" applyNumberFormat="1" applyAlignment="1">
      <alignment horizontal="center"/>
    </xf>
    <xf numFmtId="2" fontId="5" fillId="8" borderId="10" xfId="0" applyNumberFormat="1" applyFont="1" applyFill="1" applyBorder="1"/>
    <xf numFmtId="0" fontId="6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vertical="top" wrapText="1"/>
    </xf>
    <xf numFmtId="1" fontId="0" fillId="0" borderId="0" xfId="0" applyNumberFormat="1"/>
    <xf numFmtId="0" fontId="0" fillId="9" borderId="1" xfId="0" applyFill="1" applyBorder="1"/>
    <xf numFmtId="1" fontId="0" fillId="9" borderId="1" xfId="0" applyNumberFormat="1" applyFill="1" applyBorder="1"/>
    <xf numFmtId="0" fontId="0" fillId="8" borderId="1" xfId="0" applyFill="1" applyBorder="1"/>
    <xf numFmtId="0" fontId="0" fillId="0" borderId="1" xfId="0" applyBorder="1" applyAlignment="1">
      <alignment horizontal="center"/>
    </xf>
    <xf numFmtId="165" fontId="5" fillId="8" borderId="10" xfId="1" applyNumberFormat="1" applyFont="1" applyFill="1" applyBorder="1"/>
    <xf numFmtId="165" fontId="5" fillId="8" borderId="6" xfId="1" applyNumberFormat="1" applyFont="1" applyFill="1" applyBorder="1"/>
    <xf numFmtId="43" fontId="5" fillId="8" borderId="10" xfId="1" applyNumberFormat="1" applyFont="1" applyFill="1" applyBorder="1"/>
    <xf numFmtId="165" fontId="5" fillId="8" borderId="10" xfId="0" applyNumberFormat="1" applyFont="1" applyFill="1" applyBorder="1"/>
    <xf numFmtId="165" fontId="5" fillId="8" borderId="6" xfId="0" applyNumberFormat="1" applyFont="1" applyFill="1" applyBorder="1"/>
    <xf numFmtId="1" fontId="0" fillId="0" borderId="3" xfId="0" applyNumberFormat="1" applyBorder="1"/>
    <xf numFmtId="2" fontId="0" fillId="0" borderId="3" xfId="0" applyNumberFormat="1" applyBorder="1"/>
    <xf numFmtId="0" fontId="0" fillId="0" borderId="0" xfId="0" applyFill="1"/>
    <xf numFmtId="1" fontId="0" fillId="0" borderId="0" xfId="0" applyNumberFormat="1" applyFill="1" applyBorder="1"/>
    <xf numFmtId="2" fontId="0" fillId="0" borderId="0" xfId="0" applyNumberFormat="1" applyFill="1" applyBorder="1"/>
    <xf numFmtId="0" fontId="0" fillId="0" borderId="0" xfId="0" applyFill="1" applyBorder="1"/>
    <xf numFmtId="0" fontId="0" fillId="0" borderId="1" xfId="0" applyFill="1" applyBorder="1"/>
    <xf numFmtId="1" fontId="0" fillId="0" borderId="1" xfId="0" applyNumberFormat="1" applyFill="1" applyBorder="1"/>
    <xf numFmtId="164" fontId="5" fillId="8" borderId="12" xfId="0" applyNumberFormat="1" applyFont="1" applyFill="1" applyBorder="1"/>
    <xf numFmtId="165" fontId="5" fillId="8" borderId="12" xfId="1" applyNumberFormat="1" applyFont="1" applyFill="1" applyBorder="1"/>
    <xf numFmtId="43" fontId="5" fillId="8" borderId="11" xfId="1" applyNumberFormat="1" applyFont="1" applyFill="1" applyBorder="1"/>
    <xf numFmtId="165" fontId="5" fillId="8" borderId="11" xfId="1" applyNumberFormat="1" applyFont="1" applyFill="1" applyBorder="1"/>
    <xf numFmtId="164" fontId="5" fillId="8" borderId="1" xfId="0" applyNumberFormat="1" applyFont="1" applyFill="1" applyBorder="1"/>
    <xf numFmtId="43" fontId="5" fillId="8" borderId="1" xfId="1" applyNumberFormat="1" applyFont="1" applyFill="1" applyBorder="1"/>
    <xf numFmtId="165" fontId="5" fillId="8" borderId="12" xfId="0" applyNumberFormat="1" applyFont="1" applyFill="1" applyBorder="1"/>
    <xf numFmtId="2" fontId="5" fillId="8" borderId="11" xfId="0" applyNumberFormat="1" applyFont="1" applyFill="1" applyBorder="1"/>
    <xf numFmtId="1" fontId="5" fillId="8" borderId="11" xfId="0" applyNumberFormat="1" applyFont="1" applyFill="1" applyBorder="1"/>
    <xf numFmtId="2" fontId="5" fillId="8" borderId="1" xfId="0" applyNumberFormat="1" applyFont="1" applyFill="1" applyBorder="1"/>
    <xf numFmtId="1" fontId="5" fillId="8" borderId="1" xfId="0" applyNumberFormat="1" applyFont="1" applyFill="1" applyBorder="1"/>
    <xf numFmtId="165" fontId="0" fillId="0" borderId="1" xfId="0" applyNumberFormat="1" applyBorder="1"/>
    <xf numFmtId="165" fontId="1" fillId="0" borderId="1" xfId="1" applyNumberFormat="1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165" fontId="1" fillId="0" borderId="1" xfId="1" applyNumberFormat="1" applyFont="1" applyBorder="1"/>
    <xf numFmtId="165" fontId="1" fillId="0" borderId="1" xfId="1" applyNumberFormat="1" applyFont="1" applyFill="1" applyBorder="1"/>
    <xf numFmtId="165" fontId="0" fillId="0" borderId="1" xfId="1" applyNumberFormat="1" applyFont="1" applyFill="1" applyBorder="1" applyAlignment="1">
      <alignment horizontal="center" vertical="center"/>
    </xf>
    <xf numFmtId="2" fontId="1" fillId="0" borderId="1" xfId="0" applyNumberFormat="1" applyFont="1" applyBorder="1"/>
    <xf numFmtId="2" fontId="1" fillId="0" borderId="1" xfId="0" applyNumberFormat="1" applyFont="1" applyFill="1" applyBorder="1"/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wrapText="1"/>
    </xf>
    <xf numFmtId="0" fontId="7" fillId="8" borderId="1" xfId="0" applyFont="1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/>
    <xf numFmtId="0" fontId="7" fillId="8" borderId="9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3">
    <cellStyle name="Millares" xfId="1" builtinId="3"/>
    <cellStyle name="Normal" xfId="0" builtinId="0"/>
    <cellStyle name="Normal 2" xfId="2" xr:uid="{DF3523CA-AED2-4296-88BD-00D815773337}"/>
  </cellStyles>
  <dxfs count="4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44336"/>
      <color rgb="FFFF9800"/>
      <color rgb="FF4CAF50"/>
      <color rgb="FFFFEB3B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Graficos!$B$2:$C$2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6-4728-BBB6-2D65247BCAE7}"/>
            </c:ext>
          </c:extLst>
        </c:ser>
        <c:ser>
          <c:idx val="1"/>
          <c:order val="1"/>
          <c:tx>
            <c:strRef>
              <c:f>Graficos!$A$3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Graficos!$B$3:$C$3</c:f>
              <c:numCache>
                <c:formatCode>General</c:formatCode>
                <c:ptCount val="2"/>
                <c:pt idx="0">
                  <c:v>7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6-4728-BBB6-2D65247BCAE7}"/>
            </c:ext>
          </c:extLst>
        </c:ser>
        <c:ser>
          <c:idx val="2"/>
          <c:order val="2"/>
          <c:tx>
            <c:strRef>
              <c:f>Graficos!$A$4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Graficos!$B$4:$C$4</c:f>
              <c:numCache>
                <c:formatCode>General</c:formatCode>
                <c:ptCount val="2"/>
                <c:pt idx="0">
                  <c:v>26</c:v>
                </c:pt>
                <c:pt idx="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16-4728-BBB6-2D65247BCAE7}"/>
            </c:ext>
          </c:extLst>
        </c:ser>
        <c:ser>
          <c:idx val="3"/>
          <c:order val="3"/>
          <c:tx>
            <c:strRef>
              <c:f>Graficos!$A$5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Graficos!$B$1:$C$1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Graficos!$B$5:$C$5</c:f>
              <c:numCache>
                <c:formatCode>General</c:formatCode>
                <c:ptCount val="2"/>
                <c:pt idx="0">
                  <c:v>309</c:v>
                </c:pt>
                <c:pt idx="1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16-4728-BBB6-2D65247BC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2756367"/>
        <c:axId val="1442761647"/>
      </c:barChart>
      <c:catAx>
        <c:axId val="14427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42761647"/>
        <c:crosses val="autoZero"/>
        <c:auto val="1"/>
        <c:lblAlgn val="ctr"/>
        <c:lblOffset val="100"/>
        <c:noMultiLvlLbl val="0"/>
      </c:catAx>
      <c:valAx>
        <c:axId val="14427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427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66675</xdr:rowOff>
    </xdr:from>
    <xdr:to>
      <xdr:col>11</xdr:col>
      <xdr:colOff>85725</xdr:colOff>
      <xdr:row>8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513D9D-3608-D4B0-7DDB-414728A31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611609</xdr:colOff>
      <xdr:row>0</xdr:row>
      <xdr:rowOff>155278</xdr:rowOff>
    </xdr:from>
    <xdr:to>
      <xdr:col>8</xdr:col>
      <xdr:colOff>647701</xdr:colOff>
      <xdr:row>22</xdr:row>
      <xdr:rowOff>105568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0C88BB-DCF7-81FD-7EA6-B1BE53B3B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609" y="155278"/>
          <a:ext cx="6132092" cy="4141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D389-1E86-44E3-93F7-19D7611B1FA7}">
  <sheetPr>
    <tabColor rgb="FFC00000"/>
  </sheetPr>
  <dimension ref="A1:W353"/>
  <sheetViews>
    <sheetView tabSelected="1" zoomScale="90" zoomScaleNormal="90" workbookViewId="0">
      <selection activeCell="J6" sqref="J6"/>
    </sheetView>
  </sheetViews>
  <sheetFormatPr baseColWidth="10" defaultColWidth="9.140625" defaultRowHeight="15" x14ac:dyDescent="0.25"/>
  <cols>
    <col min="3" max="3" width="0" hidden="1" customWidth="1"/>
    <col min="5" max="5" width="10.7109375" customWidth="1"/>
    <col min="6" max="6" width="11.42578125" customWidth="1"/>
    <col min="11" max="11" width="13.42578125" customWidth="1"/>
    <col min="12" max="12" width="14.42578125" customWidth="1"/>
    <col min="16" max="16" width="16.5703125" customWidth="1"/>
    <col min="17" max="19" width="12.140625" bestFit="1" customWidth="1"/>
    <col min="20" max="20" width="13.7109375" customWidth="1"/>
    <col min="21" max="21" width="10.85546875" customWidth="1"/>
    <col min="22" max="22" width="14.42578125" customWidth="1"/>
    <col min="23" max="23" width="19.5703125" customWidth="1"/>
  </cols>
  <sheetData>
    <row r="1" spans="1:23" ht="15" customHeight="1" x14ac:dyDescent="0.25">
      <c r="A1" s="81" t="s">
        <v>0</v>
      </c>
      <c r="B1" s="81" t="s">
        <v>167</v>
      </c>
      <c r="C1" s="81" t="s">
        <v>453</v>
      </c>
      <c r="D1" s="81" t="s">
        <v>797</v>
      </c>
      <c r="E1" s="81" t="s">
        <v>1141</v>
      </c>
      <c r="F1" s="79" t="s">
        <v>1160</v>
      </c>
      <c r="G1" s="80"/>
      <c r="H1" s="80"/>
      <c r="I1" s="80"/>
      <c r="J1" s="81" t="s">
        <v>1166</v>
      </c>
      <c r="K1" s="85" t="s">
        <v>1167</v>
      </c>
      <c r="L1" s="84" t="s">
        <v>1196</v>
      </c>
      <c r="P1" s="86" t="s">
        <v>1159</v>
      </c>
      <c r="Q1" s="84" t="s">
        <v>1160</v>
      </c>
      <c r="R1" s="80"/>
      <c r="S1" s="80"/>
      <c r="T1" s="80"/>
      <c r="U1" s="89" t="s">
        <v>1172</v>
      </c>
      <c r="V1" s="84" t="s">
        <v>1167</v>
      </c>
      <c r="W1" s="84" t="s">
        <v>1170</v>
      </c>
    </row>
    <row r="2" spans="1:23" x14ac:dyDescent="0.25">
      <c r="A2" s="82"/>
      <c r="B2" s="82"/>
      <c r="C2" s="82"/>
      <c r="D2" s="82"/>
      <c r="E2" s="82"/>
      <c r="F2" s="12" t="s">
        <v>1161</v>
      </c>
      <c r="G2" s="12" t="s">
        <v>1162</v>
      </c>
      <c r="H2" s="12" t="s">
        <v>1163</v>
      </c>
      <c r="I2" s="12" t="s">
        <v>1164</v>
      </c>
      <c r="J2" s="82"/>
      <c r="K2" s="85"/>
      <c r="L2" s="80"/>
      <c r="P2" s="87"/>
      <c r="Q2" s="80"/>
      <c r="R2" s="80"/>
      <c r="S2" s="80"/>
      <c r="T2" s="80"/>
      <c r="U2" s="80"/>
      <c r="V2" s="80"/>
      <c r="W2" s="80"/>
    </row>
    <row r="3" spans="1:23" x14ac:dyDescent="0.25">
      <c r="A3" s="83"/>
      <c r="B3" s="83"/>
      <c r="C3" s="83"/>
      <c r="D3" s="83"/>
      <c r="E3" s="83"/>
      <c r="F3" s="36" t="s">
        <v>1165</v>
      </c>
      <c r="G3" s="36" t="s">
        <v>1165</v>
      </c>
      <c r="H3" s="36" t="s">
        <v>1165</v>
      </c>
      <c r="I3" s="36" t="s">
        <v>1165</v>
      </c>
      <c r="J3" s="83"/>
      <c r="K3" s="85"/>
      <c r="L3" s="80"/>
      <c r="P3" s="88"/>
      <c r="Q3" s="37">
        <v>0</v>
      </c>
      <c r="R3" s="37">
        <v>1</v>
      </c>
      <c r="S3" s="37">
        <v>2</v>
      </c>
      <c r="T3" s="37">
        <v>3</v>
      </c>
      <c r="U3" s="80"/>
      <c r="V3" s="80"/>
      <c r="W3" s="80"/>
    </row>
    <row r="4" spans="1:23" x14ac:dyDescent="0.25">
      <c r="A4" s="1" t="s">
        <v>20</v>
      </c>
      <c r="B4" s="1" t="s">
        <v>340</v>
      </c>
      <c r="C4" s="1" t="s">
        <v>710</v>
      </c>
      <c r="D4" s="1" t="s">
        <v>710</v>
      </c>
      <c r="E4" s="2">
        <v>10101</v>
      </c>
      <c r="F4" s="2">
        <v>3453</v>
      </c>
      <c r="G4" s="2">
        <v>4030</v>
      </c>
      <c r="H4" s="2">
        <v>8093</v>
      </c>
      <c r="I4" s="2">
        <v>54373</v>
      </c>
      <c r="J4" s="2">
        <v>69949</v>
      </c>
      <c r="K4" s="3">
        <f>(I4/J4)*100</f>
        <v>77.732347853436082</v>
      </c>
      <c r="L4" s="2">
        <v>3453</v>
      </c>
      <c r="M4" s="38"/>
      <c r="P4" s="25" t="s">
        <v>20</v>
      </c>
      <c r="Q4" s="43">
        <f>+SUM(F4:F32)</f>
        <v>25961</v>
      </c>
      <c r="R4" s="43">
        <f t="shared" ref="R4:U4" si="0">+SUM(G4:G32)</f>
        <v>24030</v>
      </c>
      <c r="S4" s="43">
        <f t="shared" si="0"/>
        <v>24803</v>
      </c>
      <c r="T4" s="43">
        <f t="shared" si="0"/>
        <v>75287</v>
      </c>
      <c r="U4" s="43">
        <f t="shared" si="0"/>
        <v>150081</v>
      </c>
      <c r="V4" s="45">
        <f t="shared" ref="V4:V12" si="1">(T4/U4)*100</f>
        <v>50.164244641227071</v>
      </c>
      <c r="W4" s="43">
        <f>U4-T4</f>
        <v>74794</v>
      </c>
    </row>
    <row r="5" spans="1:23" x14ac:dyDescent="0.25">
      <c r="A5" s="1" t="s">
        <v>20</v>
      </c>
      <c r="B5" s="1" t="s">
        <v>340</v>
      </c>
      <c r="C5" s="1" t="s">
        <v>660</v>
      </c>
      <c r="D5" s="1" t="s">
        <v>660</v>
      </c>
      <c r="E5" s="2">
        <v>10102</v>
      </c>
      <c r="F5" s="2">
        <v>247</v>
      </c>
      <c r="G5" s="2">
        <v>421</v>
      </c>
      <c r="H5" s="2">
        <v>790</v>
      </c>
      <c r="I5" s="2">
        <v>1188</v>
      </c>
      <c r="J5" s="2">
        <v>2646</v>
      </c>
      <c r="K5" s="3">
        <f t="shared" ref="K5:K68" si="2">(I5/J5)*100</f>
        <v>44.897959183673471</v>
      </c>
      <c r="L5" s="2">
        <v>247</v>
      </c>
      <c r="P5" s="25" t="s">
        <v>8</v>
      </c>
      <c r="Q5" s="44">
        <f>+SUM(F33:F119)</f>
        <v>79253</v>
      </c>
      <c r="R5" s="44">
        <f t="shared" ref="R5:U5" si="3">+SUM(G33:G119)</f>
        <v>118358</v>
      </c>
      <c r="S5" s="44">
        <f t="shared" si="3"/>
        <v>205296</v>
      </c>
      <c r="T5" s="44">
        <f t="shared" si="3"/>
        <v>449666</v>
      </c>
      <c r="U5" s="44">
        <f t="shared" si="3"/>
        <v>852573</v>
      </c>
      <c r="V5" s="45">
        <f t="shared" si="1"/>
        <v>52.742228524712843</v>
      </c>
      <c r="W5" s="43">
        <f t="shared" ref="W5:W12" si="4">U5-T5</f>
        <v>402907</v>
      </c>
    </row>
    <row r="6" spans="1:23" x14ac:dyDescent="0.25">
      <c r="A6" s="1" t="s">
        <v>20</v>
      </c>
      <c r="B6" s="1" t="s">
        <v>340</v>
      </c>
      <c r="C6" s="1" t="s">
        <v>754</v>
      </c>
      <c r="D6" s="1" t="s">
        <v>754</v>
      </c>
      <c r="E6" s="2">
        <v>10103</v>
      </c>
      <c r="F6" s="2">
        <v>2544</v>
      </c>
      <c r="G6" s="2">
        <v>1585</v>
      </c>
      <c r="H6" s="2">
        <v>355</v>
      </c>
      <c r="I6" s="2">
        <v>176</v>
      </c>
      <c r="J6" s="2">
        <v>4660</v>
      </c>
      <c r="K6" s="3">
        <f t="shared" si="2"/>
        <v>3.7768240343347639</v>
      </c>
      <c r="L6" s="2">
        <v>2544</v>
      </c>
      <c r="P6" s="25" t="s">
        <v>3</v>
      </c>
      <c r="Q6" s="44">
        <f>+SUM(F120:F167)</f>
        <v>57060</v>
      </c>
      <c r="R6" s="44">
        <f t="shared" ref="R6:U6" si="5">+SUM(G120:G167)</f>
        <v>108872</v>
      </c>
      <c r="S6" s="44">
        <f t="shared" si="5"/>
        <v>132705</v>
      </c>
      <c r="T6" s="44">
        <f t="shared" si="5"/>
        <v>217971</v>
      </c>
      <c r="U6" s="44">
        <f t="shared" si="5"/>
        <v>516608</v>
      </c>
      <c r="V6" s="45">
        <f t="shared" si="1"/>
        <v>42.192726399900891</v>
      </c>
      <c r="W6" s="43">
        <f t="shared" si="4"/>
        <v>298637</v>
      </c>
    </row>
    <row r="7" spans="1:23" x14ac:dyDescent="0.25">
      <c r="A7" s="1" t="s">
        <v>20</v>
      </c>
      <c r="B7" s="1" t="s">
        <v>273</v>
      </c>
      <c r="C7" s="1" t="s">
        <v>576</v>
      </c>
      <c r="D7" s="1" t="s">
        <v>576</v>
      </c>
      <c r="E7" s="2">
        <v>10201</v>
      </c>
      <c r="F7" s="2">
        <v>1252</v>
      </c>
      <c r="G7" s="2">
        <v>644</v>
      </c>
      <c r="H7" s="2">
        <v>316</v>
      </c>
      <c r="I7" s="2">
        <v>326</v>
      </c>
      <c r="J7" s="2">
        <v>2538</v>
      </c>
      <c r="K7" s="3">
        <f t="shared" si="2"/>
        <v>12.844759653270291</v>
      </c>
      <c r="L7" s="2">
        <v>1252</v>
      </c>
      <c r="P7" s="25" t="s">
        <v>1</v>
      </c>
      <c r="Q7" s="44">
        <f>+SUM(F168:F202)</f>
        <v>21048</v>
      </c>
      <c r="R7" s="44">
        <f t="shared" ref="R7:U7" si="6">+SUM(G168:G202)</f>
        <v>23943</v>
      </c>
      <c r="S7" s="44">
        <f t="shared" si="6"/>
        <v>43752</v>
      </c>
      <c r="T7" s="44">
        <f t="shared" si="6"/>
        <v>63318</v>
      </c>
      <c r="U7" s="44">
        <f t="shared" si="6"/>
        <v>152061</v>
      </c>
      <c r="V7" s="45">
        <f t="shared" si="1"/>
        <v>41.639868210783831</v>
      </c>
      <c r="W7" s="43">
        <f t="shared" si="4"/>
        <v>88743</v>
      </c>
    </row>
    <row r="8" spans="1:23" x14ac:dyDescent="0.25">
      <c r="A8" s="1" t="s">
        <v>20</v>
      </c>
      <c r="B8" s="1" t="s">
        <v>273</v>
      </c>
      <c r="C8" s="1" t="s">
        <v>645</v>
      </c>
      <c r="D8" s="1" t="s">
        <v>989</v>
      </c>
      <c r="E8" s="2">
        <v>10202</v>
      </c>
      <c r="F8" s="2">
        <v>1292</v>
      </c>
      <c r="G8" s="2">
        <v>1005</v>
      </c>
      <c r="H8" s="2">
        <v>672</v>
      </c>
      <c r="I8" s="2">
        <v>449</v>
      </c>
      <c r="J8" s="2">
        <v>3418</v>
      </c>
      <c r="K8" s="3">
        <f t="shared" si="2"/>
        <v>13.136337039204212</v>
      </c>
      <c r="L8" s="2">
        <v>1292</v>
      </c>
      <c r="P8" s="25" t="s">
        <v>2</v>
      </c>
      <c r="Q8" s="44">
        <f>+SUM(F203:F244)</f>
        <v>35584</v>
      </c>
      <c r="R8" s="44">
        <f t="shared" ref="R8:U8" si="7">+SUM(G203:G244)</f>
        <v>51949</v>
      </c>
      <c r="S8" s="44">
        <f t="shared" si="7"/>
        <v>66660</v>
      </c>
      <c r="T8" s="44">
        <f t="shared" si="7"/>
        <v>88109</v>
      </c>
      <c r="U8" s="44">
        <f t="shared" si="7"/>
        <v>242302</v>
      </c>
      <c r="V8" s="45">
        <f t="shared" si="1"/>
        <v>36.363298693366133</v>
      </c>
      <c r="W8" s="43">
        <f t="shared" si="4"/>
        <v>154193</v>
      </c>
    </row>
    <row r="9" spans="1:23" x14ac:dyDescent="0.25">
      <c r="A9" s="1" t="s">
        <v>20</v>
      </c>
      <c r="B9" s="1" t="s">
        <v>279</v>
      </c>
      <c r="C9" s="1" t="s">
        <v>583</v>
      </c>
      <c r="D9" s="1" t="s">
        <v>927</v>
      </c>
      <c r="E9" s="2">
        <v>10301</v>
      </c>
      <c r="F9" s="2">
        <v>547</v>
      </c>
      <c r="G9" s="2">
        <v>762</v>
      </c>
      <c r="H9" s="2">
        <v>558</v>
      </c>
      <c r="I9" s="2">
        <v>719</v>
      </c>
      <c r="J9" s="2">
        <v>2586</v>
      </c>
      <c r="K9" s="3">
        <f t="shared" si="2"/>
        <v>27.803557617942769</v>
      </c>
      <c r="L9" s="2">
        <v>547</v>
      </c>
      <c r="P9" s="25" t="s">
        <v>29</v>
      </c>
      <c r="Q9" s="44">
        <f>+SUM(F245:F255)</f>
        <v>4383</v>
      </c>
      <c r="R9" s="44">
        <f t="shared" ref="R9:U9" si="8">+SUM(G245:G255)</f>
        <v>10092</v>
      </c>
      <c r="S9" s="44">
        <f t="shared" si="8"/>
        <v>26966</v>
      </c>
      <c r="T9" s="44">
        <f t="shared" si="8"/>
        <v>84807</v>
      </c>
      <c r="U9" s="44">
        <f t="shared" si="8"/>
        <v>126248</v>
      </c>
      <c r="V9" s="45">
        <f t="shared" si="1"/>
        <v>67.17492554337494</v>
      </c>
      <c r="W9" s="43">
        <f t="shared" si="4"/>
        <v>41441</v>
      </c>
    </row>
    <row r="10" spans="1:23" x14ac:dyDescent="0.25">
      <c r="A10" s="1" t="s">
        <v>20</v>
      </c>
      <c r="B10" s="1" t="s">
        <v>279</v>
      </c>
      <c r="C10" s="1" t="s">
        <v>711</v>
      </c>
      <c r="D10" s="1" t="s">
        <v>711</v>
      </c>
      <c r="E10" s="2">
        <v>10302</v>
      </c>
      <c r="F10" s="2">
        <v>924</v>
      </c>
      <c r="G10" s="2">
        <v>839</v>
      </c>
      <c r="H10" s="2">
        <v>482</v>
      </c>
      <c r="I10" s="2">
        <v>472</v>
      </c>
      <c r="J10" s="2">
        <v>2717</v>
      </c>
      <c r="K10" s="3">
        <f t="shared" si="2"/>
        <v>17.372101582627899</v>
      </c>
      <c r="L10" s="2">
        <v>924</v>
      </c>
      <c r="P10" s="25" t="s">
        <v>14</v>
      </c>
      <c r="Q10" s="44">
        <f>+SUM(F256:F311)</f>
        <v>17773</v>
      </c>
      <c r="R10" s="44">
        <f t="shared" ref="R10:U10" si="9">+SUM(G256:G311)</f>
        <v>39534</v>
      </c>
      <c r="S10" s="44">
        <f t="shared" si="9"/>
        <v>305275</v>
      </c>
      <c r="T10" s="44">
        <f t="shared" si="9"/>
        <v>282272</v>
      </c>
      <c r="U10" s="44">
        <f t="shared" si="9"/>
        <v>644854</v>
      </c>
      <c r="V10" s="45">
        <f t="shared" si="1"/>
        <v>43.773009084226814</v>
      </c>
      <c r="W10" s="43">
        <f t="shared" si="4"/>
        <v>362582</v>
      </c>
    </row>
    <row r="11" spans="1:23" x14ac:dyDescent="0.25">
      <c r="A11" s="1" t="s">
        <v>20</v>
      </c>
      <c r="B11" s="1" t="s">
        <v>279</v>
      </c>
      <c r="C11" s="1" t="s">
        <v>700</v>
      </c>
      <c r="D11" s="1" t="s">
        <v>1044</v>
      </c>
      <c r="E11" s="2">
        <v>10303</v>
      </c>
      <c r="F11" s="2">
        <v>553</v>
      </c>
      <c r="G11" s="2">
        <v>524</v>
      </c>
      <c r="H11" s="2">
        <v>372</v>
      </c>
      <c r="I11" s="2">
        <v>533</v>
      </c>
      <c r="J11" s="2">
        <v>1982</v>
      </c>
      <c r="K11" s="3">
        <f t="shared" si="2"/>
        <v>26.892028254288597</v>
      </c>
      <c r="L11" s="2">
        <v>553</v>
      </c>
      <c r="P11" s="25" t="s">
        <v>27</v>
      </c>
      <c r="Q11" s="44">
        <f>+SUM(F312:F331)</f>
        <v>7636</v>
      </c>
      <c r="R11" s="44">
        <f t="shared" ref="R11:U11" si="10">+SUM(G312:G331)</f>
        <v>31214</v>
      </c>
      <c r="S11" s="44">
        <f t="shared" si="10"/>
        <v>35542</v>
      </c>
      <c r="T11" s="44">
        <f t="shared" si="10"/>
        <v>19498</v>
      </c>
      <c r="U11" s="44">
        <f t="shared" si="10"/>
        <v>93890</v>
      </c>
      <c r="V11" s="45">
        <f t="shared" si="1"/>
        <v>20.766854830120355</v>
      </c>
      <c r="W11" s="43">
        <f t="shared" si="4"/>
        <v>74392</v>
      </c>
    </row>
    <row r="12" spans="1:23" x14ac:dyDescent="0.25">
      <c r="A12" s="1" t="s">
        <v>20</v>
      </c>
      <c r="B12" s="1" t="s">
        <v>279</v>
      </c>
      <c r="C12" s="1" t="s">
        <v>659</v>
      </c>
      <c r="D12" s="1" t="s">
        <v>659</v>
      </c>
      <c r="E12" s="2">
        <v>10304</v>
      </c>
      <c r="F12" s="2">
        <v>257</v>
      </c>
      <c r="G12" s="2">
        <v>419</v>
      </c>
      <c r="H12" s="2">
        <v>434</v>
      </c>
      <c r="I12" s="2">
        <v>721</v>
      </c>
      <c r="J12" s="2">
        <v>1831</v>
      </c>
      <c r="K12" s="3">
        <f t="shared" si="2"/>
        <v>39.377389404696892</v>
      </c>
      <c r="L12" s="2">
        <v>257</v>
      </c>
      <c r="P12" s="56" t="s">
        <v>83</v>
      </c>
      <c r="Q12" s="57">
        <f>+SUM(F332:F346)</f>
        <v>3033</v>
      </c>
      <c r="R12" s="57">
        <f t="shared" ref="R12:U12" si="11">+SUM(G332:G346)</f>
        <v>6565</v>
      </c>
      <c r="S12" s="57">
        <f t="shared" si="11"/>
        <v>10885</v>
      </c>
      <c r="T12" s="57">
        <f t="shared" si="11"/>
        <v>4882</v>
      </c>
      <c r="U12" s="57">
        <f t="shared" si="11"/>
        <v>25365</v>
      </c>
      <c r="V12" s="58">
        <f t="shared" si="1"/>
        <v>19.246993889217425</v>
      </c>
      <c r="W12" s="59">
        <f t="shared" si="4"/>
        <v>20483</v>
      </c>
    </row>
    <row r="13" spans="1:23" x14ac:dyDescent="0.25">
      <c r="A13" s="1" t="s">
        <v>20</v>
      </c>
      <c r="B13" s="1" t="s">
        <v>331</v>
      </c>
      <c r="C13" s="1" t="s">
        <v>699</v>
      </c>
      <c r="D13" s="1" t="s">
        <v>699</v>
      </c>
      <c r="E13" s="2">
        <v>10401</v>
      </c>
      <c r="F13" s="2">
        <v>770</v>
      </c>
      <c r="G13" s="2">
        <v>642</v>
      </c>
      <c r="H13" s="2">
        <v>458</v>
      </c>
      <c r="I13" s="2">
        <v>940</v>
      </c>
      <c r="J13" s="2">
        <v>2810</v>
      </c>
      <c r="K13" s="3">
        <f t="shared" si="2"/>
        <v>33.45195729537366</v>
      </c>
      <c r="L13" s="2">
        <v>770</v>
      </c>
      <c r="P13" s="60" t="s">
        <v>213</v>
      </c>
      <c r="Q13" s="21">
        <v>801</v>
      </c>
      <c r="R13" s="21">
        <v>3083</v>
      </c>
      <c r="S13" s="21">
        <v>8836</v>
      </c>
      <c r="T13" s="21">
        <v>23702</v>
      </c>
      <c r="U13" s="21">
        <v>36422</v>
      </c>
      <c r="V13" s="61">
        <v>65.076052935039257</v>
      </c>
      <c r="W13" s="21">
        <v>801</v>
      </c>
    </row>
    <row r="14" spans="1:23" x14ac:dyDescent="0.25">
      <c r="A14" s="1" t="s">
        <v>20</v>
      </c>
      <c r="B14" s="1" t="s">
        <v>331</v>
      </c>
      <c r="C14" s="1" t="s">
        <v>331</v>
      </c>
      <c r="D14" s="1" t="s">
        <v>1006</v>
      </c>
      <c r="E14" s="2">
        <v>10402</v>
      </c>
      <c r="F14" s="2">
        <v>206</v>
      </c>
      <c r="G14" s="2">
        <v>626</v>
      </c>
      <c r="H14" s="2">
        <v>688</v>
      </c>
      <c r="I14" s="2">
        <v>593</v>
      </c>
      <c r="J14" s="2">
        <v>2113</v>
      </c>
      <c r="K14" s="3">
        <f t="shared" si="2"/>
        <v>28.064363464268808</v>
      </c>
      <c r="L14" s="2">
        <v>206</v>
      </c>
      <c r="P14" s="60" t="s">
        <v>1195</v>
      </c>
      <c r="Q14" s="21">
        <f>SUM(Q4:Q12)</f>
        <v>251731</v>
      </c>
      <c r="R14" s="21">
        <f t="shared" ref="R14:U14" si="12">SUM(R4:R12)</f>
        <v>414557</v>
      </c>
      <c r="S14" s="21">
        <f t="shared" si="12"/>
        <v>851884</v>
      </c>
      <c r="T14" s="21">
        <f t="shared" si="12"/>
        <v>1285810</v>
      </c>
      <c r="U14" s="21">
        <f t="shared" si="12"/>
        <v>2803982</v>
      </c>
      <c r="V14" s="61">
        <f>(T14/U14)*100</f>
        <v>45.856571119215459</v>
      </c>
      <c r="W14" s="21">
        <f>SUM(W4:W12)</f>
        <v>1518172</v>
      </c>
    </row>
    <row r="15" spans="1:23" x14ac:dyDescent="0.25">
      <c r="A15" s="1" t="s">
        <v>20</v>
      </c>
      <c r="B15" s="1" t="s">
        <v>331</v>
      </c>
      <c r="C15" s="1" t="s">
        <v>658</v>
      </c>
      <c r="D15" s="1" t="s">
        <v>1002</v>
      </c>
      <c r="E15" s="2">
        <v>10403</v>
      </c>
      <c r="F15" s="2">
        <v>651</v>
      </c>
      <c r="G15" s="2">
        <v>549</v>
      </c>
      <c r="H15" s="2">
        <v>272</v>
      </c>
      <c r="I15" s="2">
        <v>538</v>
      </c>
      <c r="J15" s="2">
        <v>2010</v>
      </c>
      <c r="K15" s="3">
        <f t="shared" si="2"/>
        <v>26.766169154228859</v>
      </c>
      <c r="L15" s="2">
        <v>651</v>
      </c>
    </row>
    <row r="16" spans="1:23" x14ac:dyDescent="0.25">
      <c r="A16" s="1" t="s">
        <v>20</v>
      </c>
      <c r="B16" s="1" t="s">
        <v>331</v>
      </c>
      <c r="C16" s="1" t="s">
        <v>657</v>
      </c>
      <c r="D16" s="1" t="s">
        <v>1001</v>
      </c>
      <c r="E16" s="2">
        <v>10404</v>
      </c>
      <c r="F16" s="2">
        <v>145</v>
      </c>
      <c r="G16" s="2">
        <v>374</v>
      </c>
      <c r="H16" s="2">
        <v>309</v>
      </c>
      <c r="I16" s="2">
        <v>244</v>
      </c>
      <c r="J16" s="2">
        <v>1072</v>
      </c>
      <c r="K16" s="3">
        <f t="shared" si="2"/>
        <v>22.761194029850746</v>
      </c>
      <c r="L16" s="2">
        <v>145</v>
      </c>
    </row>
    <row r="17" spans="1:12" x14ac:dyDescent="0.25">
      <c r="A17" s="1" t="s">
        <v>20</v>
      </c>
      <c r="B17" s="1" t="s">
        <v>331</v>
      </c>
      <c r="C17" s="1" t="s">
        <v>649</v>
      </c>
      <c r="D17" s="1" t="s">
        <v>649</v>
      </c>
      <c r="E17" s="2">
        <v>10405</v>
      </c>
      <c r="F17" s="2">
        <v>413</v>
      </c>
      <c r="G17" s="2">
        <v>260</v>
      </c>
      <c r="H17" s="2">
        <v>271</v>
      </c>
      <c r="I17" s="2">
        <v>268</v>
      </c>
      <c r="J17" s="2">
        <v>1212</v>
      </c>
      <c r="K17" s="3">
        <f t="shared" si="2"/>
        <v>22.112211221122113</v>
      </c>
      <c r="L17" s="2">
        <v>413</v>
      </c>
    </row>
    <row r="18" spans="1:12" x14ac:dyDescent="0.25">
      <c r="A18" s="1" t="s">
        <v>20</v>
      </c>
      <c r="B18" s="1" t="s">
        <v>334</v>
      </c>
      <c r="C18" s="1" t="s">
        <v>653</v>
      </c>
      <c r="D18" s="1" t="s">
        <v>653</v>
      </c>
      <c r="E18" s="2">
        <v>10501</v>
      </c>
      <c r="F18" s="2">
        <v>983</v>
      </c>
      <c r="G18" s="2">
        <v>1094</v>
      </c>
      <c r="H18" s="2">
        <v>1162</v>
      </c>
      <c r="I18" s="2">
        <v>2840</v>
      </c>
      <c r="J18" s="2">
        <v>6079</v>
      </c>
      <c r="K18" s="3">
        <f t="shared" si="2"/>
        <v>46.718210231946045</v>
      </c>
      <c r="L18" s="2">
        <v>983</v>
      </c>
    </row>
    <row r="19" spans="1:12" x14ac:dyDescent="0.25">
      <c r="A19" s="1" t="s">
        <v>20</v>
      </c>
      <c r="B19" s="1" t="s">
        <v>334</v>
      </c>
      <c r="C19" s="1" t="s">
        <v>652</v>
      </c>
      <c r="D19" s="1" t="s">
        <v>652</v>
      </c>
      <c r="E19" s="2">
        <v>10502</v>
      </c>
      <c r="F19" s="2">
        <v>489</v>
      </c>
      <c r="G19" s="2">
        <v>649</v>
      </c>
      <c r="H19" s="2">
        <v>381</v>
      </c>
      <c r="I19" s="2">
        <v>560</v>
      </c>
      <c r="J19" s="2">
        <v>2079</v>
      </c>
      <c r="K19" s="3">
        <f t="shared" si="2"/>
        <v>26.936026936026934</v>
      </c>
      <c r="L19" s="2">
        <v>489</v>
      </c>
    </row>
    <row r="20" spans="1:12" x14ac:dyDescent="0.25">
      <c r="A20" s="1" t="s">
        <v>20</v>
      </c>
      <c r="B20" s="1" t="s">
        <v>278</v>
      </c>
      <c r="C20" s="1" t="s">
        <v>582</v>
      </c>
      <c r="D20" s="1" t="s">
        <v>582</v>
      </c>
      <c r="E20" s="2">
        <v>10601</v>
      </c>
      <c r="F20" s="2">
        <v>1052</v>
      </c>
      <c r="G20" s="2">
        <v>1269</v>
      </c>
      <c r="H20" s="2">
        <v>1217</v>
      </c>
      <c r="I20" s="2">
        <v>848</v>
      </c>
      <c r="J20" s="2">
        <v>4386</v>
      </c>
      <c r="K20" s="3">
        <f t="shared" si="2"/>
        <v>19.33424532603739</v>
      </c>
      <c r="L20" s="2">
        <v>1052</v>
      </c>
    </row>
    <row r="21" spans="1:12" x14ac:dyDescent="0.25">
      <c r="A21" s="1" t="s">
        <v>20</v>
      </c>
      <c r="B21" s="1" t="s">
        <v>278</v>
      </c>
      <c r="C21" s="1" t="s">
        <v>278</v>
      </c>
      <c r="D21" s="1" t="s">
        <v>278</v>
      </c>
      <c r="E21" s="2">
        <v>10602</v>
      </c>
      <c r="F21" s="2">
        <v>972</v>
      </c>
      <c r="G21" s="2">
        <v>697</v>
      </c>
      <c r="H21" s="2">
        <v>670</v>
      </c>
      <c r="I21" s="2">
        <v>611</v>
      </c>
      <c r="J21" s="2">
        <v>2950</v>
      </c>
      <c r="K21" s="3">
        <f t="shared" si="2"/>
        <v>20.711864406779661</v>
      </c>
      <c r="L21" s="2">
        <v>972</v>
      </c>
    </row>
    <row r="22" spans="1:12" x14ac:dyDescent="0.25">
      <c r="A22" s="1" t="s">
        <v>20</v>
      </c>
      <c r="B22" s="1" t="s">
        <v>201</v>
      </c>
      <c r="C22" s="1" t="s">
        <v>790</v>
      </c>
      <c r="D22" s="1" t="s">
        <v>790</v>
      </c>
      <c r="E22" s="2">
        <v>10701</v>
      </c>
      <c r="F22" s="2">
        <v>636</v>
      </c>
      <c r="G22" s="2">
        <v>736</v>
      </c>
      <c r="H22" s="2">
        <v>1136</v>
      </c>
      <c r="I22" s="2">
        <v>1817</v>
      </c>
      <c r="J22" s="2">
        <v>4325</v>
      </c>
      <c r="K22" s="3">
        <f t="shared" si="2"/>
        <v>42.01156069364162</v>
      </c>
      <c r="L22" s="2">
        <v>636</v>
      </c>
    </row>
    <row r="23" spans="1:12" x14ac:dyDescent="0.25">
      <c r="A23" s="1" t="s">
        <v>20</v>
      </c>
      <c r="B23" s="1" t="s">
        <v>201</v>
      </c>
      <c r="C23" s="1" t="s">
        <v>489</v>
      </c>
      <c r="D23" s="1" t="s">
        <v>489</v>
      </c>
      <c r="E23" s="2">
        <v>10702</v>
      </c>
      <c r="F23" s="2">
        <v>3145</v>
      </c>
      <c r="G23" s="2">
        <v>2007</v>
      </c>
      <c r="H23" s="2">
        <v>1570</v>
      </c>
      <c r="I23" s="2">
        <v>1286</v>
      </c>
      <c r="J23" s="2">
        <v>8008</v>
      </c>
      <c r="K23" s="3">
        <f t="shared" si="2"/>
        <v>16.058941058941059</v>
      </c>
      <c r="L23" s="2">
        <v>3145</v>
      </c>
    </row>
    <row r="24" spans="1:12" x14ac:dyDescent="0.25">
      <c r="A24" s="1" t="s">
        <v>20</v>
      </c>
      <c r="B24" s="1" t="s">
        <v>201</v>
      </c>
      <c r="C24" s="1" t="s">
        <v>491</v>
      </c>
      <c r="D24" s="1" t="s">
        <v>491</v>
      </c>
      <c r="E24" s="2">
        <v>10703</v>
      </c>
      <c r="F24" s="2">
        <v>1317</v>
      </c>
      <c r="G24" s="2">
        <v>653</v>
      </c>
      <c r="H24" s="2">
        <v>426</v>
      </c>
      <c r="I24" s="2">
        <v>383</v>
      </c>
      <c r="J24" s="2">
        <v>2779</v>
      </c>
      <c r="K24" s="3">
        <f t="shared" si="2"/>
        <v>13.781935948182799</v>
      </c>
      <c r="L24" s="2">
        <v>1317</v>
      </c>
    </row>
    <row r="25" spans="1:12" x14ac:dyDescent="0.25">
      <c r="A25" s="1" t="s">
        <v>20</v>
      </c>
      <c r="B25" s="1" t="s">
        <v>201</v>
      </c>
      <c r="C25" s="1" t="s">
        <v>776</v>
      </c>
      <c r="D25" s="1" t="s">
        <v>776</v>
      </c>
      <c r="E25" s="2">
        <v>10704</v>
      </c>
      <c r="F25" s="2">
        <v>1443</v>
      </c>
      <c r="G25" s="2">
        <v>808</v>
      </c>
      <c r="H25" s="2">
        <v>674</v>
      </c>
      <c r="I25" s="2">
        <v>550</v>
      </c>
      <c r="J25" s="2">
        <v>3475</v>
      </c>
      <c r="K25" s="3">
        <f t="shared" si="2"/>
        <v>15.827338129496402</v>
      </c>
      <c r="L25" s="2">
        <v>1443</v>
      </c>
    </row>
    <row r="26" spans="1:12" x14ac:dyDescent="0.25">
      <c r="A26" s="1" t="s">
        <v>20</v>
      </c>
      <c r="B26" s="1" t="s">
        <v>374</v>
      </c>
      <c r="C26" s="1" t="s">
        <v>702</v>
      </c>
      <c r="D26" s="1" t="s">
        <v>702</v>
      </c>
      <c r="E26" s="2">
        <v>10801</v>
      </c>
      <c r="F26" s="2">
        <v>480</v>
      </c>
      <c r="G26" s="2">
        <v>741</v>
      </c>
      <c r="H26" s="2">
        <v>683</v>
      </c>
      <c r="I26" s="2">
        <v>1292</v>
      </c>
      <c r="J26" s="2">
        <v>3196</v>
      </c>
      <c r="K26" s="3">
        <f t="shared" si="2"/>
        <v>40.425531914893611</v>
      </c>
      <c r="L26" s="2">
        <v>480</v>
      </c>
    </row>
    <row r="27" spans="1:12" x14ac:dyDescent="0.25">
      <c r="A27" s="1" t="s">
        <v>20</v>
      </c>
      <c r="B27" s="1" t="s">
        <v>202</v>
      </c>
      <c r="C27" s="1" t="s">
        <v>559</v>
      </c>
      <c r="D27" s="1" t="s">
        <v>559</v>
      </c>
      <c r="E27" s="2">
        <v>10901</v>
      </c>
      <c r="F27" s="2">
        <v>297</v>
      </c>
      <c r="G27" s="2">
        <v>234</v>
      </c>
      <c r="H27" s="2">
        <v>176</v>
      </c>
      <c r="I27" s="2">
        <v>258</v>
      </c>
      <c r="J27" s="2">
        <v>965</v>
      </c>
      <c r="K27" s="3">
        <f t="shared" si="2"/>
        <v>26.735751295336783</v>
      </c>
      <c r="L27" s="2">
        <v>297</v>
      </c>
    </row>
    <row r="28" spans="1:12" x14ac:dyDescent="0.25">
      <c r="A28" s="1" t="s">
        <v>20</v>
      </c>
      <c r="B28" s="1" t="s">
        <v>202</v>
      </c>
      <c r="C28" s="1" t="s">
        <v>490</v>
      </c>
      <c r="D28" s="1" t="s">
        <v>490</v>
      </c>
      <c r="E28" s="2">
        <v>10902</v>
      </c>
      <c r="F28" s="2">
        <v>1037</v>
      </c>
      <c r="G28" s="2">
        <v>1180</v>
      </c>
      <c r="H28" s="2">
        <v>980</v>
      </c>
      <c r="I28" s="2">
        <v>1150</v>
      </c>
      <c r="J28" s="2">
        <v>4347</v>
      </c>
      <c r="K28" s="3">
        <f t="shared" si="2"/>
        <v>26.455026455026452</v>
      </c>
      <c r="L28" s="2">
        <v>1037</v>
      </c>
    </row>
    <row r="29" spans="1:12" x14ac:dyDescent="0.25">
      <c r="A29" s="1" t="s">
        <v>20</v>
      </c>
      <c r="B29" s="1" t="s">
        <v>202</v>
      </c>
      <c r="C29" s="1" t="s">
        <v>558</v>
      </c>
      <c r="D29" s="1" t="s">
        <v>558</v>
      </c>
      <c r="E29" s="2">
        <v>10903</v>
      </c>
      <c r="F29" s="2">
        <v>189</v>
      </c>
      <c r="G29" s="2">
        <v>203</v>
      </c>
      <c r="H29" s="2">
        <v>288</v>
      </c>
      <c r="I29" s="2">
        <v>382</v>
      </c>
      <c r="J29" s="2">
        <v>1062</v>
      </c>
      <c r="K29" s="3">
        <f t="shared" si="2"/>
        <v>35.969868173258</v>
      </c>
      <c r="L29" s="2">
        <v>189</v>
      </c>
    </row>
    <row r="30" spans="1:12" x14ac:dyDescent="0.25">
      <c r="A30" s="1" t="s">
        <v>20</v>
      </c>
      <c r="B30" s="1" t="s">
        <v>332</v>
      </c>
      <c r="C30" s="1" t="s">
        <v>697</v>
      </c>
      <c r="D30" s="1" t="s">
        <v>697</v>
      </c>
      <c r="E30" s="2">
        <v>11001</v>
      </c>
      <c r="F30" s="2">
        <v>272</v>
      </c>
      <c r="G30" s="2">
        <v>557</v>
      </c>
      <c r="H30" s="2">
        <v>693</v>
      </c>
      <c r="I30" s="2">
        <v>1010</v>
      </c>
      <c r="J30" s="2">
        <v>2532</v>
      </c>
      <c r="K30" s="3">
        <f t="shared" si="2"/>
        <v>39.889415481832543</v>
      </c>
      <c r="L30" s="2">
        <v>272</v>
      </c>
    </row>
    <row r="31" spans="1:12" x14ac:dyDescent="0.25">
      <c r="A31" s="1" t="s">
        <v>20</v>
      </c>
      <c r="B31" s="1" t="s">
        <v>332</v>
      </c>
      <c r="C31" s="1" t="s">
        <v>650</v>
      </c>
      <c r="D31" s="1" t="s">
        <v>994</v>
      </c>
      <c r="E31" s="2">
        <v>11002</v>
      </c>
      <c r="F31" s="2">
        <v>115</v>
      </c>
      <c r="G31" s="2">
        <v>155</v>
      </c>
      <c r="H31" s="2">
        <v>193</v>
      </c>
      <c r="I31" s="2">
        <v>140</v>
      </c>
      <c r="J31" s="2">
        <v>603</v>
      </c>
      <c r="K31" s="3">
        <f t="shared" si="2"/>
        <v>23.217247097844112</v>
      </c>
      <c r="L31" s="2">
        <v>115</v>
      </c>
    </row>
    <row r="32" spans="1:12" x14ac:dyDescent="0.25">
      <c r="A32" s="1" t="s">
        <v>20</v>
      </c>
      <c r="B32" s="1" t="s">
        <v>332</v>
      </c>
      <c r="C32" s="1" t="s">
        <v>703</v>
      </c>
      <c r="D32" s="1" t="s">
        <v>1047</v>
      </c>
      <c r="E32" s="2">
        <v>11003</v>
      </c>
      <c r="F32" s="2">
        <v>280</v>
      </c>
      <c r="G32" s="2">
        <v>367</v>
      </c>
      <c r="H32" s="2">
        <v>484</v>
      </c>
      <c r="I32" s="2">
        <v>620</v>
      </c>
      <c r="J32" s="2">
        <v>1751</v>
      </c>
      <c r="K32" s="3">
        <f t="shared" si="2"/>
        <v>35.408338092518562</v>
      </c>
      <c r="L32" s="2">
        <v>280</v>
      </c>
    </row>
    <row r="33" spans="1:12" x14ac:dyDescent="0.25">
      <c r="A33" s="1" t="s">
        <v>8</v>
      </c>
      <c r="B33" s="1" t="s">
        <v>312</v>
      </c>
      <c r="C33" s="1" t="s">
        <v>635</v>
      </c>
      <c r="D33" s="1" t="s">
        <v>635</v>
      </c>
      <c r="E33" s="2">
        <v>20101</v>
      </c>
      <c r="F33" s="2">
        <v>2093</v>
      </c>
      <c r="G33" s="2">
        <v>6242</v>
      </c>
      <c r="H33" s="2">
        <v>16427</v>
      </c>
      <c r="I33" s="2">
        <v>201696</v>
      </c>
      <c r="J33" s="2">
        <v>226458</v>
      </c>
      <c r="K33" s="3">
        <f t="shared" si="2"/>
        <v>89.065522083565156</v>
      </c>
      <c r="L33" s="2">
        <v>2093</v>
      </c>
    </row>
    <row r="34" spans="1:12" x14ac:dyDescent="0.25">
      <c r="A34" s="1" t="s">
        <v>8</v>
      </c>
      <c r="B34" s="1" t="s">
        <v>312</v>
      </c>
      <c r="C34" s="1" t="s">
        <v>623</v>
      </c>
      <c r="D34" s="1" t="s">
        <v>623</v>
      </c>
      <c r="E34" s="2">
        <v>20102</v>
      </c>
      <c r="F34" s="2">
        <v>629</v>
      </c>
      <c r="G34" s="2">
        <v>1251</v>
      </c>
      <c r="H34" s="2">
        <v>2220</v>
      </c>
      <c r="I34" s="2">
        <v>753</v>
      </c>
      <c r="J34" s="2">
        <v>4853</v>
      </c>
      <c r="K34" s="3">
        <f t="shared" si="2"/>
        <v>15.516175561508344</v>
      </c>
      <c r="L34" s="2">
        <v>629</v>
      </c>
    </row>
    <row r="35" spans="1:12" x14ac:dyDescent="0.25">
      <c r="A35" s="1" t="s">
        <v>8</v>
      </c>
      <c r="B35" s="1" t="s">
        <v>312</v>
      </c>
      <c r="C35" s="1" t="s">
        <v>622</v>
      </c>
      <c r="D35" s="1" t="s">
        <v>622</v>
      </c>
      <c r="E35" s="2">
        <v>20103</v>
      </c>
      <c r="F35" s="2">
        <v>504</v>
      </c>
      <c r="G35" s="2">
        <v>1466</v>
      </c>
      <c r="H35" s="2">
        <v>1254</v>
      </c>
      <c r="I35" s="2">
        <v>1548</v>
      </c>
      <c r="J35" s="2">
        <v>4772</v>
      </c>
      <c r="K35" s="3">
        <f t="shared" si="2"/>
        <v>32.439228834870079</v>
      </c>
      <c r="L35" s="2">
        <v>504</v>
      </c>
    </row>
    <row r="36" spans="1:12" x14ac:dyDescent="0.25">
      <c r="A36" s="1" t="s">
        <v>8</v>
      </c>
      <c r="B36" s="1" t="s">
        <v>312</v>
      </c>
      <c r="C36" s="1" t="s">
        <v>624</v>
      </c>
      <c r="D36" s="1" t="s">
        <v>624</v>
      </c>
      <c r="E36" s="2">
        <v>20104</v>
      </c>
      <c r="F36" s="2">
        <v>1235</v>
      </c>
      <c r="G36" s="2">
        <v>3121</v>
      </c>
      <c r="H36" s="2">
        <v>2314</v>
      </c>
      <c r="I36" s="2">
        <v>481</v>
      </c>
      <c r="J36" s="2">
        <v>7151</v>
      </c>
      <c r="K36" s="3">
        <f t="shared" si="2"/>
        <v>6.7263319815410432</v>
      </c>
      <c r="L36" s="2">
        <v>1235</v>
      </c>
    </row>
    <row r="37" spans="1:12" x14ac:dyDescent="0.25">
      <c r="A37" s="1" t="s">
        <v>8</v>
      </c>
      <c r="B37" s="1" t="s">
        <v>312</v>
      </c>
      <c r="C37" s="1" t="s">
        <v>625</v>
      </c>
      <c r="D37" s="1" t="s">
        <v>625</v>
      </c>
      <c r="E37" s="2">
        <v>20105</v>
      </c>
      <c r="F37" s="2">
        <v>7118</v>
      </c>
      <c r="G37" s="2">
        <v>19963</v>
      </c>
      <c r="H37" s="2">
        <v>67885</v>
      </c>
      <c r="I37" s="2">
        <v>161886</v>
      </c>
      <c r="J37" s="2">
        <v>256852</v>
      </c>
      <c r="K37" s="3">
        <f t="shared" si="2"/>
        <v>63.026957158207843</v>
      </c>
      <c r="L37" s="2">
        <v>7118</v>
      </c>
    </row>
    <row r="38" spans="1:12" x14ac:dyDescent="0.25">
      <c r="A38" s="1" t="s">
        <v>8</v>
      </c>
      <c r="B38" s="1" t="s">
        <v>207</v>
      </c>
      <c r="C38" s="1" t="s">
        <v>780</v>
      </c>
      <c r="D38" s="1" t="s">
        <v>780</v>
      </c>
      <c r="E38" s="2">
        <v>20201</v>
      </c>
      <c r="F38" s="2">
        <v>1674</v>
      </c>
      <c r="G38" s="2">
        <v>3454</v>
      </c>
      <c r="H38" s="2">
        <v>4904</v>
      </c>
      <c r="I38" s="2">
        <v>6196</v>
      </c>
      <c r="J38" s="2">
        <v>16228</v>
      </c>
      <c r="K38" s="3">
        <f t="shared" si="2"/>
        <v>38.180921863445896</v>
      </c>
      <c r="L38" s="2">
        <v>1674</v>
      </c>
    </row>
    <row r="39" spans="1:12" x14ac:dyDescent="0.25">
      <c r="A39" s="1" t="s">
        <v>8</v>
      </c>
      <c r="B39" s="1" t="s">
        <v>207</v>
      </c>
      <c r="C39" s="1" t="s">
        <v>495</v>
      </c>
      <c r="D39" s="1" t="s">
        <v>839</v>
      </c>
      <c r="E39" s="2">
        <v>20202</v>
      </c>
      <c r="F39" s="2">
        <v>812</v>
      </c>
      <c r="G39" s="2">
        <v>1521</v>
      </c>
      <c r="H39" s="2">
        <v>1968</v>
      </c>
      <c r="I39" s="2">
        <v>726</v>
      </c>
      <c r="J39" s="2">
        <v>5027</v>
      </c>
      <c r="K39" s="3">
        <f t="shared" si="2"/>
        <v>14.442013129102845</v>
      </c>
      <c r="L39" s="2">
        <v>812</v>
      </c>
    </row>
    <row r="40" spans="1:12" x14ac:dyDescent="0.25">
      <c r="A40" s="1" t="s">
        <v>8</v>
      </c>
      <c r="B40" s="1" t="s">
        <v>207</v>
      </c>
      <c r="C40" s="1" t="s">
        <v>695</v>
      </c>
      <c r="D40" s="1" t="s">
        <v>695</v>
      </c>
      <c r="E40" s="2">
        <v>20203</v>
      </c>
      <c r="F40" s="2">
        <v>547</v>
      </c>
      <c r="G40" s="2">
        <v>914</v>
      </c>
      <c r="H40" s="2">
        <v>1091</v>
      </c>
      <c r="I40" s="2">
        <v>745</v>
      </c>
      <c r="J40" s="2">
        <v>3297</v>
      </c>
      <c r="K40" s="3">
        <f t="shared" si="2"/>
        <v>22.596299666363361</v>
      </c>
      <c r="L40" s="2">
        <v>547</v>
      </c>
    </row>
    <row r="41" spans="1:12" x14ac:dyDescent="0.25">
      <c r="A41" s="1" t="s">
        <v>8</v>
      </c>
      <c r="B41" s="1" t="s">
        <v>207</v>
      </c>
      <c r="C41" s="1" t="s">
        <v>694</v>
      </c>
      <c r="D41" s="1" t="s">
        <v>694</v>
      </c>
      <c r="E41" s="2">
        <v>20204</v>
      </c>
      <c r="F41" s="2">
        <v>485</v>
      </c>
      <c r="G41" s="2">
        <v>764</v>
      </c>
      <c r="H41" s="2">
        <v>1229</v>
      </c>
      <c r="I41" s="2">
        <v>1319</v>
      </c>
      <c r="J41" s="2">
        <v>3797</v>
      </c>
      <c r="K41" s="3">
        <f t="shared" si="2"/>
        <v>34.737951013958387</v>
      </c>
      <c r="L41" s="2">
        <v>485</v>
      </c>
    </row>
    <row r="42" spans="1:12" x14ac:dyDescent="0.25">
      <c r="A42" s="1" t="s">
        <v>8</v>
      </c>
      <c r="B42" s="1" t="s">
        <v>207</v>
      </c>
      <c r="C42" s="1" t="s">
        <v>687</v>
      </c>
      <c r="D42" s="1" t="s">
        <v>687</v>
      </c>
      <c r="E42" s="2">
        <v>20205</v>
      </c>
      <c r="F42" s="2">
        <v>83</v>
      </c>
      <c r="G42" s="2">
        <v>237</v>
      </c>
      <c r="H42" s="2">
        <v>479</v>
      </c>
      <c r="I42" s="2">
        <v>863</v>
      </c>
      <c r="J42" s="2">
        <v>1662</v>
      </c>
      <c r="K42" s="3">
        <f t="shared" si="2"/>
        <v>51.925391095066189</v>
      </c>
      <c r="L42" s="2">
        <v>83</v>
      </c>
    </row>
    <row r="43" spans="1:12" x14ac:dyDescent="0.25">
      <c r="A43" s="1" t="s">
        <v>8</v>
      </c>
      <c r="B43" s="1" t="s">
        <v>207</v>
      </c>
      <c r="C43" s="1" t="s">
        <v>620</v>
      </c>
      <c r="D43" s="1" t="s">
        <v>620</v>
      </c>
      <c r="E43" s="2">
        <v>20206</v>
      </c>
      <c r="F43" s="2">
        <v>193</v>
      </c>
      <c r="G43" s="2">
        <v>398</v>
      </c>
      <c r="H43" s="2">
        <v>842</v>
      </c>
      <c r="I43" s="2">
        <v>599</v>
      </c>
      <c r="J43" s="2">
        <v>2032</v>
      </c>
      <c r="K43" s="3">
        <f t="shared" si="2"/>
        <v>29.478346456692911</v>
      </c>
      <c r="L43" s="2">
        <v>193</v>
      </c>
    </row>
    <row r="44" spans="1:12" x14ac:dyDescent="0.25">
      <c r="A44" s="1" t="s">
        <v>8</v>
      </c>
      <c r="B44" s="1" t="s">
        <v>193</v>
      </c>
      <c r="C44" s="1" t="s">
        <v>479</v>
      </c>
      <c r="D44" s="1" t="s">
        <v>823</v>
      </c>
      <c r="E44" s="2">
        <v>20301</v>
      </c>
      <c r="F44" s="2">
        <v>1208</v>
      </c>
      <c r="G44" s="2">
        <v>1164</v>
      </c>
      <c r="H44" s="2">
        <v>1017</v>
      </c>
      <c r="I44" s="2">
        <v>351</v>
      </c>
      <c r="J44" s="2">
        <v>3740</v>
      </c>
      <c r="K44" s="3">
        <f t="shared" si="2"/>
        <v>9.3850267379679142</v>
      </c>
      <c r="L44" s="2">
        <v>1208</v>
      </c>
    </row>
    <row r="45" spans="1:12" x14ac:dyDescent="0.25">
      <c r="A45" s="1" t="s">
        <v>8</v>
      </c>
      <c r="B45" s="1" t="s">
        <v>193</v>
      </c>
      <c r="C45" s="1" t="s">
        <v>571</v>
      </c>
      <c r="D45" s="1" t="s">
        <v>571</v>
      </c>
      <c r="E45" s="2">
        <v>20302</v>
      </c>
      <c r="F45" s="2">
        <v>1362</v>
      </c>
      <c r="G45" s="2">
        <v>1418</v>
      </c>
      <c r="H45" s="2">
        <v>1051</v>
      </c>
      <c r="I45" s="2">
        <v>438</v>
      </c>
      <c r="J45" s="2">
        <v>4269</v>
      </c>
      <c r="K45" s="3">
        <f t="shared" si="2"/>
        <v>10.260014054813773</v>
      </c>
      <c r="L45" s="2">
        <v>1362</v>
      </c>
    </row>
    <row r="46" spans="1:12" x14ac:dyDescent="0.25">
      <c r="A46" s="1" t="s">
        <v>8</v>
      </c>
      <c r="B46" s="1" t="s">
        <v>193</v>
      </c>
      <c r="C46" s="1" t="s">
        <v>604</v>
      </c>
      <c r="D46" s="1" t="s">
        <v>604</v>
      </c>
      <c r="E46" s="2">
        <v>20303</v>
      </c>
      <c r="F46" s="2">
        <v>1435</v>
      </c>
      <c r="G46" s="2">
        <v>1279</v>
      </c>
      <c r="H46" s="2">
        <v>605</v>
      </c>
      <c r="I46" s="2">
        <v>214</v>
      </c>
      <c r="J46" s="2">
        <v>3533</v>
      </c>
      <c r="K46" s="3">
        <f t="shared" si="2"/>
        <v>6.057175205208039</v>
      </c>
      <c r="L46" s="2">
        <v>1435</v>
      </c>
    </row>
    <row r="47" spans="1:12" x14ac:dyDescent="0.25">
      <c r="A47" s="1" t="s">
        <v>8</v>
      </c>
      <c r="B47" s="1" t="s">
        <v>193</v>
      </c>
      <c r="C47" s="1" t="s">
        <v>615</v>
      </c>
      <c r="D47" s="1" t="s">
        <v>615</v>
      </c>
      <c r="E47" s="2">
        <v>20304</v>
      </c>
      <c r="F47" s="2">
        <v>302</v>
      </c>
      <c r="G47" s="2">
        <v>448</v>
      </c>
      <c r="H47" s="2">
        <v>423</v>
      </c>
      <c r="I47" s="2">
        <v>138</v>
      </c>
      <c r="J47" s="2">
        <v>1311</v>
      </c>
      <c r="K47" s="3">
        <f t="shared" si="2"/>
        <v>10.526315789473683</v>
      </c>
      <c r="L47" s="2">
        <v>302</v>
      </c>
    </row>
    <row r="48" spans="1:12" x14ac:dyDescent="0.25">
      <c r="A48" s="1" t="s">
        <v>8</v>
      </c>
      <c r="B48" s="1" t="s">
        <v>193</v>
      </c>
      <c r="C48" s="1" t="s">
        <v>779</v>
      </c>
      <c r="D48" s="1" t="s">
        <v>779</v>
      </c>
      <c r="E48" s="2">
        <v>20305</v>
      </c>
      <c r="F48" s="2">
        <v>445</v>
      </c>
      <c r="G48" s="2">
        <v>269</v>
      </c>
      <c r="H48" s="2">
        <v>330</v>
      </c>
      <c r="I48" s="2">
        <v>115</v>
      </c>
      <c r="J48" s="2">
        <v>1159</v>
      </c>
      <c r="K48" s="3">
        <f t="shared" si="2"/>
        <v>9.9223468507333905</v>
      </c>
      <c r="L48" s="2">
        <v>445</v>
      </c>
    </row>
    <row r="49" spans="1:12" x14ac:dyDescent="0.25">
      <c r="A49" s="1" t="s">
        <v>8</v>
      </c>
      <c r="B49" s="1" t="s">
        <v>193</v>
      </c>
      <c r="C49" s="1" t="s">
        <v>761</v>
      </c>
      <c r="D49" s="1" t="s">
        <v>761</v>
      </c>
      <c r="E49" s="2">
        <v>20306</v>
      </c>
      <c r="F49" s="2">
        <v>261</v>
      </c>
      <c r="G49" s="2">
        <v>382</v>
      </c>
      <c r="H49" s="2">
        <v>390</v>
      </c>
      <c r="I49" s="2">
        <v>37</v>
      </c>
      <c r="J49" s="2">
        <v>1070</v>
      </c>
      <c r="K49" s="3">
        <f t="shared" si="2"/>
        <v>3.4579439252336446</v>
      </c>
      <c r="L49" s="2">
        <v>261</v>
      </c>
    </row>
    <row r="50" spans="1:12" x14ac:dyDescent="0.25">
      <c r="A50" s="1" t="s">
        <v>8</v>
      </c>
      <c r="B50" s="1" t="s">
        <v>193</v>
      </c>
      <c r="C50" s="1" t="s">
        <v>570</v>
      </c>
      <c r="D50" s="1" t="s">
        <v>570</v>
      </c>
      <c r="E50" s="2">
        <v>20307</v>
      </c>
      <c r="F50" s="2">
        <v>40</v>
      </c>
      <c r="G50" s="2">
        <v>117</v>
      </c>
      <c r="H50" s="2">
        <v>81</v>
      </c>
      <c r="I50" s="2">
        <v>51</v>
      </c>
      <c r="J50" s="2">
        <v>289</v>
      </c>
      <c r="K50" s="3">
        <f t="shared" si="2"/>
        <v>17.647058823529413</v>
      </c>
      <c r="L50" s="2">
        <v>40</v>
      </c>
    </row>
    <row r="51" spans="1:12" x14ac:dyDescent="0.25">
      <c r="A51" s="1" t="s">
        <v>8</v>
      </c>
      <c r="B51" s="1" t="s">
        <v>193</v>
      </c>
      <c r="C51" s="1" t="s">
        <v>599</v>
      </c>
      <c r="D51" s="1" t="s">
        <v>599</v>
      </c>
      <c r="E51" s="2">
        <v>20308</v>
      </c>
      <c r="F51" s="2">
        <v>1802</v>
      </c>
      <c r="G51" s="2">
        <v>767</v>
      </c>
      <c r="H51" s="2">
        <v>193</v>
      </c>
      <c r="I51" s="2">
        <v>28</v>
      </c>
      <c r="J51" s="2">
        <v>2790</v>
      </c>
      <c r="K51" s="3">
        <f t="shared" si="2"/>
        <v>1.0035842293906809</v>
      </c>
      <c r="L51" s="2">
        <v>1802</v>
      </c>
    </row>
    <row r="52" spans="1:12" x14ac:dyDescent="0.25">
      <c r="A52" s="1" t="s">
        <v>8</v>
      </c>
      <c r="B52" s="1" t="s">
        <v>209</v>
      </c>
      <c r="C52" s="1" t="s">
        <v>777</v>
      </c>
      <c r="D52" s="1" t="s">
        <v>777</v>
      </c>
      <c r="E52" s="2">
        <v>20401</v>
      </c>
      <c r="F52" s="2">
        <v>1076</v>
      </c>
      <c r="G52" s="2">
        <v>1776</v>
      </c>
      <c r="H52" s="2">
        <v>1608</v>
      </c>
      <c r="I52" s="2">
        <v>551</v>
      </c>
      <c r="J52" s="2">
        <v>5011</v>
      </c>
      <c r="K52" s="3">
        <f t="shared" si="2"/>
        <v>10.995809219716623</v>
      </c>
      <c r="L52" s="2">
        <v>1076</v>
      </c>
    </row>
    <row r="53" spans="1:12" x14ac:dyDescent="0.25">
      <c r="A53" s="1" t="s">
        <v>8</v>
      </c>
      <c r="B53" s="1" t="s">
        <v>209</v>
      </c>
      <c r="C53" s="1" t="s">
        <v>505</v>
      </c>
      <c r="D53" s="1" t="s">
        <v>505</v>
      </c>
      <c r="E53" s="2">
        <v>20402</v>
      </c>
      <c r="F53" s="2">
        <v>1008</v>
      </c>
      <c r="G53" s="2">
        <v>2150</v>
      </c>
      <c r="H53" s="2">
        <v>2327</v>
      </c>
      <c r="I53" s="2">
        <v>1121</v>
      </c>
      <c r="J53" s="2">
        <v>6606</v>
      </c>
      <c r="K53" s="3">
        <f t="shared" si="2"/>
        <v>16.969421737814109</v>
      </c>
      <c r="L53" s="2">
        <v>1008</v>
      </c>
    </row>
    <row r="54" spans="1:12" x14ac:dyDescent="0.25">
      <c r="A54" s="1" t="s">
        <v>8</v>
      </c>
      <c r="B54" s="1" t="s">
        <v>209</v>
      </c>
      <c r="C54" s="1" t="s">
        <v>497</v>
      </c>
      <c r="D54" s="1" t="s">
        <v>841</v>
      </c>
      <c r="E54" s="2">
        <v>20403</v>
      </c>
      <c r="F54" s="2">
        <v>1065</v>
      </c>
      <c r="G54" s="2">
        <v>1661</v>
      </c>
      <c r="H54" s="2">
        <v>1769</v>
      </c>
      <c r="I54" s="2">
        <v>852</v>
      </c>
      <c r="J54" s="2">
        <v>5347</v>
      </c>
      <c r="K54" s="3">
        <f t="shared" si="2"/>
        <v>15.934168692724892</v>
      </c>
      <c r="L54" s="2">
        <v>1065</v>
      </c>
    </row>
    <row r="55" spans="1:12" x14ac:dyDescent="0.25">
      <c r="A55" s="1" t="s">
        <v>8</v>
      </c>
      <c r="B55" s="1" t="s">
        <v>209</v>
      </c>
      <c r="C55" s="1" t="s">
        <v>696</v>
      </c>
      <c r="D55" s="1" t="s">
        <v>696</v>
      </c>
      <c r="E55" s="2">
        <v>20404</v>
      </c>
      <c r="F55" s="2">
        <v>357</v>
      </c>
      <c r="G55" s="2">
        <v>790</v>
      </c>
      <c r="H55" s="2">
        <v>678</v>
      </c>
      <c r="I55" s="2">
        <v>283</v>
      </c>
      <c r="J55" s="2">
        <v>2108</v>
      </c>
      <c r="K55" s="3">
        <f t="shared" si="2"/>
        <v>13.42504743833017</v>
      </c>
      <c r="L55" s="2">
        <v>357</v>
      </c>
    </row>
    <row r="56" spans="1:12" x14ac:dyDescent="0.25">
      <c r="A56" s="1" t="s">
        <v>8</v>
      </c>
      <c r="B56" s="1" t="s">
        <v>209</v>
      </c>
      <c r="C56" s="1" t="s">
        <v>778</v>
      </c>
      <c r="D56" s="1" t="s">
        <v>778</v>
      </c>
      <c r="E56" s="2">
        <v>20405</v>
      </c>
      <c r="F56" s="2">
        <v>479</v>
      </c>
      <c r="G56" s="2">
        <v>1006</v>
      </c>
      <c r="H56" s="2">
        <v>1248</v>
      </c>
      <c r="I56" s="2">
        <v>294</v>
      </c>
      <c r="J56" s="2">
        <v>3027</v>
      </c>
      <c r="K56" s="3">
        <f t="shared" si="2"/>
        <v>9.7125867195242819</v>
      </c>
      <c r="L56" s="2">
        <v>479</v>
      </c>
    </row>
    <row r="57" spans="1:12" x14ac:dyDescent="0.25">
      <c r="A57" s="1" t="s">
        <v>8</v>
      </c>
      <c r="B57" s="1" t="s">
        <v>317</v>
      </c>
      <c r="C57" s="1" t="s">
        <v>638</v>
      </c>
      <c r="D57" s="1" t="s">
        <v>638</v>
      </c>
      <c r="E57" s="2">
        <v>20501</v>
      </c>
      <c r="F57" s="2">
        <v>563</v>
      </c>
      <c r="G57" s="2">
        <v>1137</v>
      </c>
      <c r="H57" s="2">
        <v>1303</v>
      </c>
      <c r="I57" s="2">
        <v>935</v>
      </c>
      <c r="J57" s="2">
        <v>3938</v>
      </c>
      <c r="K57" s="3">
        <f t="shared" si="2"/>
        <v>23.743016759776538</v>
      </c>
      <c r="L57" s="2">
        <v>563</v>
      </c>
    </row>
    <row r="58" spans="1:12" x14ac:dyDescent="0.25">
      <c r="A58" s="1" t="s">
        <v>8</v>
      </c>
      <c r="B58" s="1" t="s">
        <v>317</v>
      </c>
      <c r="C58" s="1" t="s">
        <v>759</v>
      </c>
      <c r="D58" s="1" t="s">
        <v>759</v>
      </c>
      <c r="E58" s="2">
        <v>20502</v>
      </c>
      <c r="F58" s="2">
        <v>473</v>
      </c>
      <c r="G58" s="2">
        <v>725</v>
      </c>
      <c r="H58" s="2">
        <v>865</v>
      </c>
      <c r="I58" s="2">
        <v>684</v>
      </c>
      <c r="J58" s="2">
        <v>2747</v>
      </c>
      <c r="K58" s="3">
        <f t="shared" si="2"/>
        <v>24.899890789952675</v>
      </c>
      <c r="L58" s="2">
        <v>473</v>
      </c>
    </row>
    <row r="59" spans="1:12" x14ac:dyDescent="0.25">
      <c r="A59" s="1" t="s">
        <v>8</v>
      </c>
      <c r="B59" s="1" t="s">
        <v>317</v>
      </c>
      <c r="C59" s="1" t="s">
        <v>632</v>
      </c>
      <c r="D59" s="1" t="s">
        <v>632</v>
      </c>
      <c r="E59" s="2">
        <v>20503</v>
      </c>
      <c r="F59" s="2">
        <v>167</v>
      </c>
      <c r="G59" s="2">
        <v>535</v>
      </c>
      <c r="H59" s="2">
        <v>895</v>
      </c>
      <c r="I59" s="2">
        <v>341</v>
      </c>
      <c r="J59" s="2">
        <v>1938</v>
      </c>
      <c r="K59" s="3">
        <f t="shared" si="2"/>
        <v>17.595459236326107</v>
      </c>
      <c r="L59" s="2">
        <v>167</v>
      </c>
    </row>
    <row r="60" spans="1:12" x14ac:dyDescent="0.25">
      <c r="A60" s="1" t="s">
        <v>8</v>
      </c>
      <c r="B60" s="1" t="s">
        <v>265</v>
      </c>
      <c r="C60" s="1" t="s">
        <v>636</v>
      </c>
      <c r="D60" s="1" t="s">
        <v>636</v>
      </c>
      <c r="E60" s="2">
        <v>20601</v>
      </c>
      <c r="F60" s="2">
        <v>1697</v>
      </c>
      <c r="G60" s="2">
        <v>2268</v>
      </c>
      <c r="H60" s="2">
        <v>2510</v>
      </c>
      <c r="I60" s="2">
        <v>2300</v>
      </c>
      <c r="J60" s="2">
        <v>8775</v>
      </c>
      <c r="K60" s="3">
        <f t="shared" si="2"/>
        <v>26.210826210826209</v>
      </c>
      <c r="L60" s="2">
        <v>1697</v>
      </c>
    </row>
    <row r="61" spans="1:12" x14ac:dyDescent="0.25">
      <c r="A61" s="1" t="s">
        <v>8</v>
      </c>
      <c r="B61" s="1" t="s">
        <v>265</v>
      </c>
      <c r="C61" s="1" t="s">
        <v>639</v>
      </c>
      <c r="D61" s="1" t="s">
        <v>639</v>
      </c>
      <c r="E61" s="2">
        <v>20602</v>
      </c>
      <c r="F61" s="2">
        <v>1150</v>
      </c>
      <c r="G61" s="2">
        <v>617</v>
      </c>
      <c r="H61" s="2">
        <v>1405</v>
      </c>
      <c r="I61" s="2">
        <v>1509</v>
      </c>
      <c r="J61" s="2">
        <v>4681</v>
      </c>
      <c r="K61" s="3">
        <f t="shared" si="2"/>
        <v>32.236701559495835</v>
      </c>
      <c r="L61" s="2">
        <v>1150</v>
      </c>
    </row>
    <row r="62" spans="1:12" x14ac:dyDescent="0.25">
      <c r="A62" s="1" t="s">
        <v>8</v>
      </c>
      <c r="B62" s="1" t="s">
        <v>265</v>
      </c>
      <c r="C62" s="1" t="s">
        <v>651</v>
      </c>
      <c r="D62" s="1" t="s">
        <v>651</v>
      </c>
      <c r="E62" s="2">
        <v>20603</v>
      </c>
      <c r="F62" s="2">
        <v>713</v>
      </c>
      <c r="G62" s="2">
        <v>954</v>
      </c>
      <c r="H62" s="2">
        <v>684</v>
      </c>
      <c r="I62" s="2">
        <v>629</v>
      </c>
      <c r="J62" s="2">
        <v>2980</v>
      </c>
      <c r="K62" s="3">
        <f t="shared" si="2"/>
        <v>21.107382550335572</v>
      </c>
      <c r="L62" s="2">
        <v>713</v>
      </c>
    </row>
    <row r="63" spans="1:12" x14ac:dyDescent="0.25">
      <c r="A63" s="1" t="s">
        <v>8</v>
      </c>
      <c r="B63" s="1" t="s">
        <v>265</v>
      </c>
      <c r="C63" s="1" t="s">
        <v>631</v>
      </c>
      <c r="D63" s="1" t="s">
        <v>631</v>
      </c>
      <c r="E63" s="2">
        <v>20604</v>
      </c>
      <c r="F63" s="2">
        <v>222</v>
      </c>
      <c r="G63" s="2">
        <v>296</v>
      </c>
      <c r="H63" s="2">
        <v>306</v>
      </c>
      <c r="I63" s="2">
        <v>203</v>
      </c>
      <c r="J63" s="2">
        <v>1027</v>
      </c>
      <c r="K63" s="3">
        <f t="shared" si="2"/>
        <v>19.766309639727361</v>
      </c>
      <c r="L63" s="2">
        <v>222</v>
      </c>
    </row>
    <row r="64" spans="1:12" x14ac:dyDescent="0.25">
      <c r="A64" s="1" t="s">
        <v>8</v>
      </c>
      <c r="B64" s="1" t="s">
        <v>265</v>
      </c>
      <c r="C64" s="1" t="s">
        <v>566</v>
      </c>
      <c r="D64" s="1" t="s">
        <v>566</v>
      </c>
      <c r="E64" s="2">
        <v>20605</v>
      </c>
      <c r="F64" s="2">
        <v>89</v>
      </c>
      <c r="G64" s="2">
        <v>187</v>
      </c>
      <c r="H64" s="2">
        <v>482</v>
      </c>
      <c r="I64" s="2">
        <v>236</v>
      </c>
      <c r="J64" s="2">
        <v>994</v>
      </c>
      <c r="K64" s="3">
        <f t="shared" si="2"/>
        <v>23.74245472837022</v>
      </c>
      <c r="L64" s="2">
        <v>89</v>
      </c>
    </row>
    <row r="65" spans="1:12" x14ac:dyDescent="0.25">
      <c r="A65" s="1" t="s">
        <v>8</v>
      </c>
      <c r="B65" s="1" t="s">
        <v>265</v>
      </c>
      <c r="C65" s="1" t="s">
        <v>634</v>
      </c>
      <c r="D65" s="1" t="s">
        <v>634</v>
      </c>
      <c r="E65" s="2">
        <v>20606</v>
      </c>
      <c r="F65" s="2">
        <v>258</v>
      </c>
      <c r="G65" s="2">
        <v>939</v>
      </c>
      <c r="H65" s="2">
        <v>1356</v>
      </c>
      <c r="I65" s="2">
        <v>904</v>
      </c>
      <c r="J65" s="2">
        <v>3457</v>
      </c>
      <c r="K65" s="3">
        <f t="shared" si="2"/>
        <v>26.149840902516637</v>
      </c>
      <c r="L65" s="2">
        <v>258</v>
      </c>
    </row>
    <row r="66" spans="1:12" x14ac:dyDescent="0.25">
      <c r="A66" s="1" t="s">
        <v>8</v>
      </c>
      <c r="B66" s="1" t="s">
        <v>265</v>
      </c>
      <c r="C66" s="1" t="s">
        <v>641</v>
      </c>
      <c r="D66" s="1" t="s">
        <v>641</v>
      </c>
      <c r="E66" s="2">
        <v>20607</v>
      </c>
      <c r="F66" s="2">
        <v>178</v>
      </c>
      <c r="G66" s="2">
        <v>441</v>
      </c>
      <c r="H66" s="2">
        <v>2569</v>
      </c>
      <c r="I66" s="2">
        <v>862</v>
      </c>
      <c r="J66" s="2">
        <v>4050</v>
      </c>
      <c r="K66" s="3">
        <f t="shared" si="2"/>
        <v>21.283950617283949</v>
      </c>
      <c r="L66" s="2">
        <v>178</v>
      </c>
    </row>
    <row r="67" spans="1:12" x14ac:dyDescent="0.25">
      <c r="A67" s="1" t="s">
        <v>8</v>
      </c>
      <c r="B67" s="1" t="s">
        <v>265</v>
      </c>
      <c r="C67" s="1" t="s">
        <v>640</v>
      </c>
      <c r="D67" s="1" t="s">
        <v>640</v>
      </c>
      <c r="E67" s="2">
        <v>20608</v>
      </c>
      <c r="F67" s="2">
        <v>1363</v>
      </c>
      <c r="G67" s="2">
        <v>684</v>
      </c>
      <c r="H67" s="2">
        <v>626</v>
      </c>
      <c r="I67" s="2">
        <v>814</v>
      </c>
      <c r="J67" s="2">
        <v>3487</v>
      </c>
      <c r="K67" s="3">
        <f t="shared" si="2"/>
        <v>23.343848580441641</v>
      </c>
      <c r="L67" s="2">
        <v>1363</v>
      </c>
    </row>
    <row r="68" spans="1:12" x14ac:dyDescent="0.25">
      <c r="A68" s="1" t="s">
        <v>8</v>
      </c>
      <c r="B68" s="1" t="s">
        <v>345</v>
      </c>
      <c r="C68" s="1" t="s">
        <v>667</v>
      </c>
      <c r="D68" s="1" t="s">
        <v>667</v>
      </c>
      <c r="E68" s="2">
        <v>20701</v>
      </c>
      <c r="F68" s="2">
        <v>1010</v>
      </c>
      <c r="G68" s="2">
        <v>817</v>
      </c>
      <c r="H68" s="2">
        <v>1579</v>
      </c>
      <c r="I68" s="2">
        <v>1219</v>
      </c>
      <c r="J68" s="2">
        <v>4625</v>
      </c>
      <c r="K68" s="3">
        <f t="shared" si="2"/>
        <v>26.356756756756756</v>
      </c>
      <c r="L68" s="2">
        <v>1010</v>
      </c>
    </row>
    <row r="69" spans="1:12" x14ac:dyDescent="0.25">
      <c r="A69" s="1" t="s">
        <v>8</v>
      </c>
      <c r="B69" s="1" t="s">
        <v>345</v>
      </c>
      <c r="C69" s="1" t="s">
        <v>665</v>
      </c>
      <c r="D69" s="1" t="s">
        <v>665</v>
      </c>
      <c r="E69" s="2">
        <v>20702</v>
      </c>
      <c r="F69" s="2">
        <v>546</v>
      </c>
      <c r="G69" s="2">
        <v>795</v>
      </c>
      <c r="H69" s="2">
        <v>657</v>
      </c>
      <c r="I69" s="2">
        <v>232</v>
      </c>
      <c r="J69" s="2">
        <v>2230</v>
      </c>
      <c r="K69" s="3">
        <f t="shared" ref="K69:K132" si="13">(I69/J69)*100</f>
        <v>10.403587443946188</v>
      </c>
      <c r="L69" s="2">
        <v>546</v>
      </c>
    </row>
    <row r="70" spans="1:12" x14ac:dyDescent="0.25">
      <c r="A70" s="1" t="s">
        <v>8</v>
      </c>
      <c r="B70" s="1" t="s">
        <v>236</v>
      </c>
      <c r="C70" s="1" t="s">
        <v>617</v>
      </c>
      <c r="D70" s="1" t="s">
        <v>617</v>
      </c>
      <c r="E70" s="2">
        <v>20801</v>
      </c>
      <c r="F70" s="2">
        <v>3146</v>
      </c>
      <c r="G70" s="2">
        <v>5613</v>
      </c>
      <c r="H70" s="2">
        <v>9800</v>
      </c>
      <c r="I70" s="2">
        <v>7689</v>
      </c>
      <c r="J70" s="2">
        <v>26248</v>
      </c>
      <c r="K70" s="3">
        <f t="shared" si="13"/>
        <v>29.293660469369094</v>
      </c>
      <c r="L70" s="2">
        <v>3146</v>
      </c>
    </row>
    <row r="71" spans="1:12" x14ac:dyDescent="0.25">
      <c r="A71" s="1" t="s">
        <v>8</v>
      </c>
      <c r="B71" s="1" t="s">
        <v>236</v>
      </c>
      <c r="C71" s="1" t="s">
        <v>630</v>
      </c>
      <c r="D71" s="1" t="s">
        <v>974</v>
      </c>
      <c r="E71" s="2">
        <v>20802</v>
      </c>
      <c r="F71" s="2">
        <v>251</v>
      </c>
      <c r="G71" s="2">
        <v>580</v>
      </c>
      <c r="H71" s="2">
        <v>1153</v>
      </c>
      <c r="I71" s="2">
        <v>747</v>
      </c>
      <c r="J71" s="2">
        <v>2731</v>
      </c>
      <c r="K71" s="3">
        <f t="shared" si="13"/>
        <v>27.352618088612228</v>
      </c>
      <c r="L71" s="2">
        <v>251</v>
      </c>
    </row>
    <row r="72" spans="1:12" x14ac:dyDescent="0.25">
      <c r="A72" s="1" t="s">
        <v>8</v>
      </c>
      <c r="B72" s="1" t="s">
        <v>236</v>
      </c>
      <c r="C72" s="1" t="s">
        <v>530</v>
      </c>
      <c r="D72" s="1" t="s">
        <v>530</v>
      </c>
      <c r="E72" s="2">
        <v>20803</v>
      </c>
      <c r="F72" s="2">
        <v>416</v>
      </c>
      <c r="G72" s="2">
        <v>943</v>
      </c>
      <c r="H72" s="2">
        <v>1245</v>
      </c>
      <c r="I72" s="2">
        <v>990</v>
      </c>
      <c r="J72" s="2">
        <v>3594</v>
      </c>
      <c r="K72" s="3">
        <f t="shared" si="13"/>
        <v>27.545909849749584</v>
      </c>
      <c r="L72" s="2">
        <v>416</v>
      </c>
    </row>
    <row r="73" spans="1:12" x14ac:dyDescent="0.25">
      <c r="A73" s="1" t="s">
        <v>8</v>
      </c>
      <c r="B73" s="1" t="s">
        <v>236</v>
      </c>
      <c r="C73" s="1" t="s">
        <v>628</v>
      </c>
      <c r="D73" s="1" t="s">
        <v>628</v>
      </c>
      <c r="E73" s="2">
        <v>20804</v>
      </c>
      <c r="F73" s="2">
        <v>84</v>
      </c>
      <c r="G73" s="2">
        <v>278</v>
      </c>
      <c r="H73" s="2">
        <v>1240</v>
      </c>
      <c r="I73" s="2">
        <v>648</v>
      </c>
      <c r="J73" s="2">
        <v>2250</v>
      </c>
      <c r="K73" s="3">
        <f t="shared" si="13"/>
        <v>28.799999999999997</v>
      </c>
      <c r="L73" s="2">
        <v>84</v>
      </c>
    </row>
    <row r="74" spans="1:12" x14ac:dyDescent="0.25">
      <c r="A74" s="1" t="s">
        <v>8</v>
      </c>
      <c r="B74" s="1" t="s">
        <v>236</v>
      </c>
      <c r="C74" s="1" t="s">
        <v>782</v>
      </c>
      <c r="D74" s="1" t="s">
        <v>1126</v>
      </c>
      <c r="E74" s="2">
        <v>20805</v>
      </c>
      <c r="F74" s="2">
        <v>594</v>
      </c>
      <c r="G74" s="2">
        <v>868</v>
      </c>
      <c r="H74" s="2">
        <v>674</v>
      </c>
      <c r="I74" s="2">
        <v>255</v>
      </c>
      <c r="J74" s="2">
        <v>2391</v>
      </c>
      <c r="K74" s="3">
        <f t="shared" si="13"/>
        <v>10.664993726474279</v>
      </c>
      <c r="L74" s="2">
        <v>594</v>
      </c>
    </row>
    <row r="75" spans="1:12" x14ac:dyDescent="0.25">
      <c r="A75" s="1" t="s">
        <v>8</v>
      </c>
      <c r="B75" s="1" t="s">
        <v>236</v>
      </c>
      <c r="C75" s="1" t="s">
        <v>629</v>
      </c>
      <c r="D75" s="1" t="s">
        <v>973</v>
      </c>
      <c r="E75" s="2">
        <v>20806</v>
      </c>
      <c r="F75" s="2">
        <v>836</v>
      </c>
      <c r="G75" s="2">
        <v>1146</v>
      </c>
      <c r="H75" s="2">
        <v>1597</v>
      </c>
      <c r="I75" s="2">
        <v>1388</v>
      </c>
      <c r="J75" s="2">
        <v>4967</v>
      </c>
      <c r="K75" s="3">
        <f t="shared" si="13"/>
        <v>27.944433259512785</v>
      </c>
      <c r="L75" s="2">
        <v>836</v>
      </c>
    </row>
    <row r="76" spans="1:12" x14ac:dyDescent="0.25">
      <c r="A76" s="1" t="s">
        <v>8</v>
      </c>
      <c r="B76" s="1" t="s">
        <v>236</v>
      </c>
      <c r="C76" s="1" t="s">
        <v>781</v>
      </c>
      <c r="D76" s="1" t="s">
        <v>781</v>
      </c>
      <c r="E76" s="2">
        <v>20807</v>
      </c>
      <c r="F76" s="2">
        <v>166</v>
      </c>
      <c r="G76" s="2">
        <v>483</v>
      </c>
      <c r="H76" s="2">
        <v>818</v>
      </c>
      <c r="I76" s="2">
        <v>352</v>
      </c>
      <c r="J76" s="2">
        <v>1819</v>
      </c>
      <c r="K76" s="3">
        <f t="shared" si="13"/>
        <v>19.351291918636612</v>
      </c>
      <c r="L76" s="2">
        <v>166</v>
      </c>
    </row>
    <row r="77" spans="1:12" x14ac:dyDescent="0.25">
      <c r="A77" s="1" t="s">
        <v>8</v>
      </c>
      <c r="B77" s="1" t="s">
        <v>195</v>
      </c>
      <c r="C77" s="1" t="s">
        <v>575</v>
      </c>
      <c r="D77" s="1" t="s">
        <v>575</v>
      </c>
      <c r="E77" s="2">
        <v>20901</v>
      </c>
      <c r="F77" s="2">
        <v>569</v>
      </c>
      <c r="G77" s="2">
        <v>822</v>
      </c>
      <c r="H77" s="2">
        <v>1435</v>
      </c>
      <c r="I77" s="2">
        <v>1087</v>
      </c>
      <c r="J77" s="2">
        <v>3913</v>
      </c>
      <c r="K77" s="3">
        <f t="shared" si="13"/>
        <v>27.779197546639406</v>
      </c>
      <c r="L77" s="2">
        <v>569</v>
      </c>
    </row>
    <row r="78" spans="1:12" x14ac:dyDescent="0.25">
      <c r="A78" s="1" t="s">
        <v>8</v>
      </c>
      <c r="B78" s="1" t="s">
        <v>195</v>
      </c>
      <c r="C78" s="1" t="s">
        <v>481</v>
      </c>
      <c r="D78" s="1" t="s">
        <v>481</v>
      </c>
      <c r="E78" s="2">
        <v>20902</v>
      </c>
      <c r="F78" s="2">
        <v>1159</v>
      </c>
      <c r="G78" s="2">
        <v>1689</v>
      </c>
      <c r="H78" s="2">
        <v>1459</v>
      </c>
      <c r="I78" s="2">
        <v>317</v>
      </c>
      <c r="J78" s="2">
        <v>4624</v>
      </c>
      <c r="K78" s="3">
        <f t="shared" si="13"/>
        <v>6.8555363321799305</v>
      </c>
      <c r="L78" s="2">
        <v>1159</v>
      </c>
    </row>
    <row r="79" spans="1:12" x14ac:dyDescent="0.25">
      <c r="A79" s="1" t="s">
        <v>8</v>
      </c>
      <c r="B79" s="1" t="s">
        <v>195</v>
      </c>
      <c r="C79" s="1" t="s">
        <v>603</v>
      </c>
      <c r="D79" s="1" t="s">
        <v>603</v>
      </c>
      <c r="E79" s="2">
        <v>20903</v>
      </c>
      <c r="F79" s="2">
        <v>351</v>
      </c>
      <c r="G79" s="2">
        <v>681</v>
      </c>
      <c r="H79" s="2">
        <v>1037</v>
      </c>
      <c r="I79" s="2">
        <v>237</v>
      </c>
      <c r="J79" s="2">
        <v>2306</v>
      </c>
      <c r="K79" s="3">
        <f t="shared" si="13"/>
        <v>10.277536860364267</v>
      </c>
      <c r="L79" s="2">
        <v>351</v>
      </c>
    </row>
    <row r="80" spans="1:12" x14ac:dyDescent="0.25">
      <c r="A80" s="1" t="s">
        <v>8</v>
      </c>
      <c r="B80" s="1" t="s">
        <v>195</v>
      </c>
      <c r="C80" s="1" t="s">
        <v>614</v>
      </c>
      <c r="D80" s="1" t="s">
        <v>614</v>
      </c>
      <c r="E80" s="2">
        <v>20904</v>
      </c>
      <c r="F80" s="2">
        <v>134</v>
      </c>
      <c r="G80" s="2">
        <v>347</v>
      </c>
      <c r="H80" s="2">
        <v>531</v>
      </c>
      <c r="I80" s="2">
        <v>222</v>
      </c>
      <c r="J80" s="2">
        <v>1234</v>
      </c>
      <c r="K80" s="3">
        <f t="shared" si="13"/>
        <v>17.990275526742302</v>
      </c>
      <c r="L80" s="2">
        <v>134</v>
      </c>
    </row>
    <row r="81" spans="1:12" x14ac:dyDescent="0.25">
      <c r="A81" s="1" t="s">
        <v>8</v>
      </c>
      <c r="B81" s="1" t="s">
        <v>195</v>
      </c>
      <c r="C81" s="1" t="s">
        <v>482</v>
      </c>
      <c r="D81" s="1" t="s">
        <v>482</v>
      </c>
      <c r="E81" s="2">
        <v>20905</v>
      </c>
      <c r="F81" s="2">
        <v>358</v>
      </c>
      <c r="G81" s="2">
        <v>605</v>
      </c>
      <c r="H81" s="2">
        <v>1640</v>
      </c>
      <c r="I81" s="2">
        <v>467</v>
      </c>
      <c r="J81" s="2">
        <v>3070</v>
      </c>
      <c r="K81" s="3">
        <f t="shared" si="13"/>
        <v>15.211726384364821</v>
      </c>
      <c r="L81" s="2">
        <v>358</v>
      </c>
    </row>
    <row r="82" spans="1:12" x14ac:dyDescent="0.25">
      <c r="A82" s="1" t="s">
        <v>8</v>
      </c>
      <c r="B82" s="1" t="s">
        <v>196</v>
      </c>
      <c r="C82" s="1" t="s">
        <v>196</v>
      </c>
      <c r="D82" s="1" t="s">
        <v>196</v>
      </c>
      <c r="E82" s="2">
        <v>21001</v>
      </c>
      <c r="F82" s="2">
        <v>1715</v>
      </c>
      <c r="G82" s="2">
        <v>1706</v>
      </c>
      <c r="H82" s="2">
        <v>1096</v>
      </c>
      <c r="I82" s="2">
        <v>377</v>
      </c>
      <c r="J82" s="2">
        <v>4894</v>
      </c>
      <c r="K82" s="3">
        <f t="shared" si="13"/>
        <v>7.7033101757253784</v>
      </c>
      <c r="L82" s="2">
        <v>1715</v>
      </c>
    </row>
    <row r="83" spans="1:12" x14ac:dyDescent="0.25">
      <c r="A83" s="1" t="s">
        <v>8</v>
      </c>
      <c r="B83" s="1" t="s">
        <v>196</v>
      </c>
      <c r="C83" s="1" t="s">
        <v>619</v>
      </c>
      <c r="D83" s="1" t="s">
        <v>619</v>
      </c>
      <c r="E83" s="2">
        <v>21002</v>
      </c>
      <c r="F83" s="2">
        <v>409</v>
      </c>
      <c r="G83" s="2">
        <v>733</v>
      </c>
      <c r="H83" s="2">
        <v>1421</v>
      </c>
      <c r="I83" s="2">
        <v>824</v>
      </c>
      <c r="J83" s="2">
        <v>3387</v>
      </c>
      <c r="K83" s="3">
        <f t="shared" si="13"/>
        <v>24.328314142308827</v>
      </c>
      <c r="L83" s="2">
        <v>409</v>
      </c>
    </row>
    <row r="84" spans="1:12" x14ac:dyDescent="0.25">
      <c r="A84" s="1" t="s">
        <v>8</v>
      </c>
      <c r="B84" s="1" t="s">
        <v>196</v>
      </c>
      <c r="C84" s="1" t="s">
        <v>513</v>
      </c>
      <c r="D84" s="1" t="s">
        <v>513</v>
      </c>
      <c r="E84" s="2">
        <v>21003</v>
      </c>
      <c r="F84" s="2">
        <v>247</v>
      </c>
      <c r="G84" s="2">
        <v>362</v>
      </c>
      <c r="H84" s="2">
        <v>1343</v>
      </c>
      <c r="I84" s="2">
        <v>1067</v>
      </c>
      <c r="J84" s="2">
        <v>3019</v>
      </c>
      <c r="K84" s="3">
        <f t="shared" si="13"/>
        <v>35.342828751242131</v>
      </c>
      <c r="L84" s="2">
        <v>247</v>
      </c>
    </row>
    <row r="85" spans="1:12" x14ac:dyDescent="0.25">
      <c r="A85" s="1" t="s">
        <v>8</v>
      </c>
      <c r="B85" s="1" t="s">
        <v>196</v>
      </c>
      <c r="C85" s="1" t="s">
        <v>483</v>
      </c>
      <c r="D85" s="1" t="s">
        <v>483</v>
      </c>
      <c r="E85" s="2">
        <v>21004</v>
      </c>
      <c r="F85" s="2">
        <v>720</v>
      </c>
      <c r="G85" s="2">
        <v>1466</v>
      </c>
      <c r="H85" s="2">
        <v>2917</v>
      </c>
      <c r="I85" s="2">
        <v>727</v>
      </c>
      <c r="J85" s="2">
        <v>5830</v>
      </c>
      <c r="K85" s="3">
        <f t="shared" si="13"/>
        <v>12.469982847341338</v>
      </c>
      <c r="L85" s="2">
        <v>720</v>
      </c>
    </row>
    <row r="86" spans="1:12" x14ac:dyDescent="0.25">
      <c r="A86" s="1" t="s">
        <v>8</v>
      </c>
      <c r="B86" s="1" t="s">
        <v>196</v>
      </c>
      <c r="C86" s="1" t="s">
        <v>484</v>
      </c>
      <c r="D86" s="1" t="s">
        <v>484</v>
      </c>
      <c r="E86" s="2">
        <v>21005</v>
      </c>
      <c r="F86" s="2">
        <v>573</v>
      </c>
      <c r="G86" s="2">
        <v>466</v>
      </c>
      <c r="H86" s="2">
        <v>474</v>
      </c>
      <c r="I86" s="2">
        <v>182</v>
      </c>
      <c r="J86" s="2">
        <v>1695</v>
      </c>
      <c r="K86" s="3">
        <f t="shared" si="13"/>
        <v>10.737463126843657</v>
      </c>
      <c r="L86" s="2">
        <v>573</v>
      </c>
    </row>
    <row r="87" spans="1:12" x14ac:dyDescent="0.25">
      <c r="A87" s="1" t="s">
        <v>8</v>
      </c>
      <c r="B87" s="1" t="s">
        <v>196</v>
      </c>
      <c r="C87" s="1" t="s">
        <v>618</v>
      </c>
      <c r="D87" s="1" t="s">
        <v>618</v>
      </c>
      <c r="E87" s="2">
        <v>21006</v>
      </c>
      <c r="F87" s="2">
        <v>191</v>
      </c>
      <c r="G87" s="2">
        <v>244</v>
      </c>
      <c r="H87" s="2">
        <v>282</v>
      </c>
      <c r="I87" s="2">
        <v>304</v>
      </c>
      <c r="J87" s="2">
        <v>1021</v>
      </c>
      <c r="K87" s="3">
        <f t="shared" si="13"/>
        <v>29.774730656219393</v>
      </c>
      <c r="L87" s="2">
        <v>191</v>
      </c>
    </row>
    <row r="88" spans="1:12" x14ac:dyDescent="0.25">
      <c r="A88" s="1" t="s">
        <v>8</v>
      </c>
      <c r="B88" s="1" t="s">
        <v>223</v>
      </c>
      <c r="C88" s="1" t="s">
        <v>516</v>
      </c>
      <c r="D88" s="1" t="s">
        <v>860</v>
      </c>
      <c r="E88" s="2">
        <v>21101</v>
      </c>
      <c r="F88" s="2">
        <v>538</v>
      </c>
      <c r="G88" s="2">
        <v>874</v>
      </c>
      <c r="H88" s="2">
        <v>2396</v>
      </c>
      <c r="I88" s="2">
        <v>2271</v>
      </c>
      <c r="J88" s="2">
        <v>6079</v>
      </c>
      <c r="K88" s="3">
        <f t="shared" si="13"/>
        <v>37.358118111531503</v>
      </c>
      <c r="L88" s="2">
        <v>538</v>
      </c>
    </row>
    <row r="89" spans="1:12" x14ac:dyDescent="0.25">
      <c r="A89" s="1" t="s">
        <v>8</v>
      </c>
      <c r="B89" s="1" t="s">
        <v>223</v>
      </c>
      <c r="C89" s="1" t="s">
        <v>515</v>
      </c>
      <c r="D89" s="1" t="s">
        <v>859</v>
      </c>
      <c r="E89" s="2">
        <v>21102</v>
      </c>
      <c r="F89" s="2">
        <v>1194</v>
      </c>
      <c r="G89" s="2">
        <v>1236</v>
      </c>
      <c r="H89" s="2">
        <v>1747</v>
      </c>
      <c r="I89" s="2">
        <v>2322</v>
      </c>
      <c r="J89" s="2">
        <v>6499</v>
      </c>
      <c r="K89" s="3">
        <f t="shared" si="13"/>
        <v>35.7285736267118</v>
      </c>
      <c r="L89" s="2">
        <v>1194</v>
      </c>
    </row>
    <row r="90" spans="1:12" x14ac:dyDescent="0.25">
      <c r="A90" s="1" t="s">
        <v>8</v>
      </c>
      <c r="B90" s="1" t="s">
        <v>223</v>
      </c>
      <c r="C90" s="1" t="s">
        <v>626</v>
      </c>
      <c r="D90" s="1" t="s">
        <v>626</v>
      </c>
      <c r="E90" s="2">
        <v>21103</v>
      </c>
      <c r="F90" s="2">
        <v>236</v>
      </c>
      <c r="G90" s="2">
        <v>300</v>
      </c>
      <c r="H90" s="2">
        <v>565</v>
      </c>
      <c r="I90" s="2">
        <v>1207</v>
      </c>
      <c r="J90" s="2">
        <v>2308</v>
      </c>
      <c r="K90" s="3">
        <f t="shared" si="13"/>
        <v>52.296360485268636</v>
      </c>
      <c r="L90" s="2">
        <v>236</v>
      </c>
    </row>
    <row r="91" spans="1:12" x14ac:dyDescent="0.25">
      <c r="A91" s="1" t="s">
        <v>8</v>
      </c>
      <c r="B91" s="1" t="s">
        <v>223</v>
      </c>
      <c r="C91" s="1" t="s">
        <v>666</v>
      </c>
      <c r="D91" s="1" t="s">
        <v>666</v>
      </c>
      <c r="E91" s="2">
        <v>21104</v>
      </c>
      <c r="F91" s="2">
        <v>2449</v>
      </c>
      <c r="G91" s="2">
        <v>1705</v>
      </c>
      <c r="H91" s="2">
        <v>2077</v>
      </c>
      <c r="I91" s="2">
        <v>3015</v>
      </c>
      <c r="J91" s="2">
        <v>9246</v>
      </c>
      <c r="K91" s="3">
        <f t="shared" si="13"/>
        <v>32.608695652173914</v>
      </c>
      <c r="L91" s="2">
        <v>2449</v>
      </c>
    </row>
    <row r="92" spans="1:12" x14ac:dyDescent="0.25">
      <c r="A92" s="1" t="s">
        <v>8</v>
      </c>
      <c r="B92" s="1" t="s">
        <v>223</v>
      </c>
      <c r="C92" s="1" t="s">
        <v>637</v>
      </c>
      <c r="D92" s="1" t="s">
        <v>637</v>
      </c>
      <c r="E92" s="2">
        <v>21105</v>
      </c>
      <c r="F92" s="2">
        <v>6396</v>
      </c>
      <c r="G92" s="2">
        <v>3741</v>
      </c>
      <c r="H92" s="2">
        <v>2150</v>
      </c>
      <c r="I92" s="2">
        <v>1351</v>
      </c>
      <c r="J92" s="2">
        <v>13638</v>
      </c>
      <c r="K92" s="3">
        <f t="shared" si="13"/>
        <v>9.9061445959818162</v>
      </c>
      <c r="L92" s="2">
        <v>6396</v>
      </c>
    </row>
    <row r="93" spans="1:12" x14ac:dyDescent="0.25">
      <c r="A93" s="1" t="s">
        <v>8</v>
      </c>
      <c r="B93" s="1" t="s">
        <v>263</v>
      </c>
      <c r="C93" s="1" t="s">
        <v>564</v>
      </c>
      <c r="D93" s="1" t="s">
        <v>564</v>
      </c>
      <c r="E93" s="2">
        <v>21201</v>
      </c>
      <c r="F93" s="2">
        <v>2422</v>
      </c>
      <c r="G93" s="2">
        <v>2950</v>
      </c>
      <c r="H93" s="2">
        <v>3759</v>
      </c>
      <c r="I93" s="2">
        <v>1990</v>
      </c>
      <c r="J93" s="2">
        <v>11121</v>
      </c>
      <c r="K93" s="3">
        <f t="shared" si="13"/>
        <v>17.894074273896234</v>
      </c>
      <c r="L93" s="2">
        <v>2422</v>
      </c>
    </row>
    <row r="94" spans="1:12" x14ac:dyDescent="0.25">
      <c r="A94" s="1" t="s">
        <v>8</v>
      </c>
      <c r="B94" s="1" t="s">
        <v>263</v>
      </c>
      <c r="C94" s="1" t="s">
        <v>621</v>
      </c>
      <c r="D94" s="1" t="s">
        <v>621</v>
      </c>
      <c r="E94" s="2">
        <v>21202</v>
      </c>
      <c r="F94" s="2">
        <v>1403</v>
      </c>
      <c r="G94" s="2">
        <v>2344</v>
      </c>
      <c r="H94" s="2">
        <v>2304</v>
      </c>
      <c r="I94" s="2">
        <v>1710</v>
      </c>
      <c r="J94" s="2">
        <v>7761</v>
      </c>
      <c r="K94" s="3">
        <f t="shared" si="13"/>
        <v>22.033243138770779</v>
      </c>
      <c r="L94" s="2">
        <v>1403</v>
      </c>
    </row>
    <row r="95" spans="1:12" x14ac:dyDescent="0.25">
      <c r="A95" s="1" t="s">
        <v>8</v>
      </c>
      <c r="B95" s="1" t="s">
        <v>263</v>
      </c>
      <c r="C95" s="1" t="s">
        <v>698</v>
      </c>
      <c r="D95" s="1" t="s">
        <v>698</v>
      </c>
      <c r="E95" s="2">
        <v>21203</v>
      </c>
      <c r="F95" s="2">
        <v>981</v>
      </c>
      <c r="G95" s="2">
        <v>1433</v>
      </c>
      <c r="H95" s="2">
        <v>1742</v>
      </c>
      <c r="I95" s="2">
        <v>1906</v>
      </c>
      <c r="J95" s="2">
        <v>6062</v>
      </c>
      <c r="K95" s="3">
        <f t="shared" si="13"/>
        <v>31.441768393269548</v>
      </c>
      <c r="L95" s="2">
        <v>981</v>
      </c>
    </row>
    <row r="96" spans="1:12" x14ac:dyDescent="0.25">
      <c r="A96" s="1" t="s">
        <v>8</v>
      </c>
      <c r="B96" s="1" t="s">
        <v>263</v>
      </c>
      <c r="C96" s="1" t="s">
        <v>688</v>
      </c>
      <c r="D96" s="1" t="s">
        <v>688</v>
      </c>
      <c r="E96" s="2">
        <v>21204</v>
      </c>
      <c r="F96" s="2">
        <v>210</v>
      </c>
      <c r="G96" s="2">
        <v>625</v>
      </c>
      <c r="H96" s="2">
        <v>1169</v>
      </c>
      <c r="I96" s="2">
        <v>344</v>
      </c>
      <c r="J96" s="2">
        <v>2348</v>
      </c>
      <c r="K96" s="3">
        <f t="shared" si="13"/>
        <v>14.650766609880749</v>
      </c>
      <c r="L96" s="2">
        <v>210</v>
      </c>
    </row>
    <row r="97" spans="1:12" x14ac:dyDescent="0.25">
      <c r="A97" s="1" t="s">
        <v>8</v>
      </c>
      <c r="B97" s="1" t="s">
        <v>185</v>
      </c>
      <c r="C97" s="1" t="s">
        <v>607</v>
      </c>
      <c r="D97" s="1" t="s">
        <v>951</v>
      </c>
      <c r="E97" s="2">
        <v>21301</v>
      </c>
      <c r="F97" s="2">
        <v>1950</v>
      </c>
      <c r="G97" s="2">
        <v>2751</v>
      </c>
      <c r="H97" s="2">
        <v>3635</v>
      </c>
      <c r="I97" s="2">
        <v>1084</v>
      </c>
      <c r="J97" s="2">
        <v>9420</v>
      </c>
      <c r="K97" s="3">
        <f t="shared" si="13"/>
        <v>11.507430997876858</v>
      </c>
      <c r="L97" s="2">
        <v>1950</v>
      </c>
    </row>
    <row r="98" spans="1:12" x14ac:dyDescent="0.25">
      <c r="A98" s="1" t="s">
        <v>8</v>
      </c>
      <c r="B98" s="1" t="s">
        <v>185</v>
      </c>
      <c r="C98" s="1" t="s">
        <v>471</v>
      </c>
      <c r="D98" s="1" t="s">
        <v>471</v>
      </c>
      <c r="E98" s="2">
        <v>21302</v>
      </c>
      <c r="F98" s="2">
        <v>812</v>
      </c>
      <c r="G98" s="2">
        <v>941</v>
      </c>
      <c r="H98" s="2">
        <v>851</v>
      </c>
      <c r="I98" s="2">
        <v>645</v>
      </c>
      <c r="J98" s="2">
        <v>3249</v>
      </c>
      <c r="K98" s="3">
        <f t="shared" si="13"/>
        <v>19.852262234533701</v>
      </c>
      <c r="L98" s="2">
        <v>812</v>
      </c>
    </row>
    <row r="99" spans="1:12" x14ac:dyDescent="0.25">
      <c r="A99" s="1" t="s">
        <v>8</v>
      </c>
      <c r="B99" s="1" t="s">
        <v>185</v>
      </c>
      <c r="C99" s="1" t="s">
        <v>633</v>
      </c>
      <c r="D99" s="1" t="s">
        <v>633</v>
      </c>
      <c r="E99" s="2">
        <v>21303</v>
      </c>
      <c r="F99" s="2">
        <v>845</v>
      </c>
      <c r="G99" s="2">
        <v>911</v>
      </c>
      <c r="H99" s="2">
        <v>788</v>
      </c>
      <c r="I99" s="2">
        <v>279</v>
      </c>
      <c r="J99" s="2">
        <v>2823</v>
      </c>
      <c r="K99" s="3">
        <f t="shared" si="13"/>
        <v>9.8831030818278425</v>
      </c>
      <c r="L99" s="2">
        <v>845</v>
      </c>
    </row>
    <row r="100" spans="1:12" x14ac:dyDescent="0.25">
      <c r="A100" s="1" t="s">
        <v>8</v>
      </c>
      <c r="B100" s="1" t="s">
        <v>185</v>
      </c>
      <c r="C100" s="1" t="s">
        <v>616</v>
      </c>
      <c r="D100" s="1" t="s">
        <v>616</v>
      </c>
      <c r="E100" s="2">
        <v>21304</v>
      </c>
      <c r="F100" s="2">
        <v>666</v>
      </c>
      <c r="G100" s="2">
        <v>1109</v>
      </c>
      <c r="H100" s="2">
        <v>1358</v>
      </c>
      <c r="I100" s="2">
        <v>694</v>
      </c>
      <c r="J100" s="2">
        <v>3827</v>
      </c>
      <c r="K100" s="3">
        <f t="shared" si="13"/>
        <v>18.134308858113403</v>
      </c>
      <c r="L100" s="2">
        <v>666</v>
      </c>
    </row>
    <row r="101" spans="1:12" x14ac:dyDescent="0.25">
      <c r="A101" s="1" t="s">
        <v>8</v>
      </c>
      <c r="B101" s="1" t="s">
        <v>185</v>
      </c>
      <c r="C101" s="1" t="s">
        <v>608</v>
      </c>
      <c r="D101" s="1" t="s">
        <v>608</v>
      </c>
      <c r="E101" s="2">
        <v>21305</v>
      </c>
      <c r="F101" s="2">
        <v>901</v>
      </c>
      <c r="G101" s="2">
        <v>1353</v>
      </c>
      <c r="H101" s="2">
        <v>2633</v>
      </c>
      <c r="I101" s="2">
        <v>2610</v>
      </c>
      <c r="J101" s="2">
        <v>7497</v>
      </c>
      <c r="K101" s="3">
        <f t="shared" si="13"/>
        <v>34.813925570228093</v>
      </c>
      <c r="L101" s="2">
        <v>901</v>
      </c>
    </row>
    <row r="102" spans="1:12" x14ac:dyDescent="0.25">
      <c r="A102" s="1" t="s">
        <v>8</v>
      </c>
      <c r="B102" s="1" t="s">
        <v>185</v>
      </c>
      <c r="C102" s="1" t="s">
        <v>609</v>
      </c>
      <c r="D102" s="1" t="s">
        <v>609</v>
      </c>
      <c r="E102" s="2">
        <v>21306</v>
      </c>
      <c r="F102" s="2">
        <v>865</v>
      </c>
      <c r="G102" s="2">
        <v>653</v>
      </c>
      <c r="H102" s="2">
        <v>1229</v>
      </c>
      <c r="I102" s="2">
        <v>453</v>
      </c>
      <c r="J102" s="2">
        <v>3200</v>
      </c>
      <c r="K102" s="3">
        <f t="shared" si="13"/>
        <v>14.15625</v>
      </c>
      <c r="L102" s="2">
        <v>865</v>
      </c>
    </row>
    <row r="103" spans="1:12" x14ac:dyDescent="0.25">
      <c r="A103" s="1" t="s">
        <v>8</v>
      </c>
      <c r="B103" s="1" t="s">
        <v>185</v>
      </c>
      <c r="C103" s="1" t="s">
        <v>594</v>
      </c>
      <c r="D103" s="1" t="s">
        <v>594</v>
      </c>
      <c r="E103" s="2">
        <v>21307</v>
      </c>
      <c r="F103" s="2">
        <v>174</v>
      </c>
      <c r="G103" s="2">
        <v>258</v>
      </c>
      <c r="H103" s="2">
        <v>659</v>
      </c>
      <c r="I103" s="2">
        <v>181</v>
      </c>
      <c r="J103" s="2">
        <v>1272</v>
      </c>
      <c r="K103" s="3">
        <f t="shared" si="13"/>
        <v>14.229559748427672</v>
      </c>
      <c r="L103" s="2">
        <v>174</v>
      </c>
    </row>
    <row r="104" spans="1:12" x14ac:dyDescent="0.25">
      <c r="A104" s="1" t="s">
        <v>8</v>
      </c>
      <c r="B104" s="1" t="s">
        <v>266</v>
      </c>
      <c r="C104" s="1" t="s">
        <v>567</v>
      </c>
      <c r="D104" s="1" t="s">
        <v>567</v>
      </c>
      <c r="E104" s="2">
        <v>21401</v>
      </c>
      <c r="F104" s="2">
        <v>1031</v>
      </c>
      <c r="G104" s="2">
        <v>1386</v>
      </c>
      <c r="H104" s="2">
        <v>2057</v>
      </c>
      <c r="I104" s="2">
        <v>2522</v>
      </c>
      <c r="J104" s="2">
        <v>6996</v>
      </c>
      <c r="K104" s="3">
        <f t="shared" si="13"/>
        <v>36.049170954831332</v>
      </c>
      <c r="L104" s="2">
        <v>1031</v>
      </c>
    </row>
    <row r="105" spans="1:12" x14ac:dyDescent="0.25">
      <c r="A105" s="1" t="s">
        <v>8</v>
      </c>
      <c r="B105" s="1" t="s">
        <v>266</v>
      </c>
      <c r="C105" s="1" t="s">
        <v>568</v>
      </c>
      <c r="D105" s="1" t="s">
        <v>568</v>
      </c>
      <c r="E105" s="2">
        <v>21402</v>
      </c>
      <c r="F105" s="2">
        <v>283</v>
      </c>
      <c r="G105" s="2">
        <v>469</v>
      </c>
      <c r="H105" s="2">
        <v>2152</v>
      </c>
      <c r="I105" s="2">
        <v>2476</v>
      </c>
      <c r="J105" s="2">
        <v>5380</v>
      </c>
      <c r="K105" s="3">
        <f t="shared" si="13"/>
        <v>46.022304832713758</v>
      </c>
      <c r="L105" s="2">
        <v>283</v>
      </c>
    </row>
    <row r="106" spans="1:12" x14ac:dyDescent="0.25">
      <c r="A106" s="1" t="s">
        <v>8</v>
      </c>
      <c r="B106" s="1" t="s">
        <v>349</v>
      </c>
      <c r="C106" s="1" t="s">
        <v>758</v>
      </c>
      <c r="D106" s="1" t="s">
        <v>758</v>
      </c>
      <c r="E106" s="2">
        <v>21501</v>
      </c>
      <c r="F106" s="2">
        <v>402</v>
      </c>
      <c r="G106" s="2">
        <v>607</v>
      </c>
      <c r="H106" s="2">
        <v>1137</v>
      </c>
      <c r="I106" s="2">
        <v>124</v>
      </c>
      <c r="J106" s="2">
        <v>2270</v>
      </c>
      <c r="K106" s="3">
        <f t="shared" si="13"/>
        <v>5.462555066079295</v>
      </c>
      <c r="L106" s="2">
        <v>402</v>
      </c>
    </row>
    <row r="107" spans="1:12" x14ac:dyDescent="0.25">
      <c r="A107" s="1" t="s">
        <v>8</v>
      </c>
      <c r="B107" s="1" t="s">
        <v>349</v>
      </c>
      <c r="C107" s="1" t="s">
        <v>669</v>
      </c>
      <c r="D107" s="1" t="s">
        <v>669</v>
      </c>
      <c r="E107" s="2">
        <v>21502</v>
      </c>
      <c r="F107" s="2">
        <v>180</v>
      </c>
      <c r="G107" s="2">
        <v>264</v>
      </c>
      <c r="H107" s="2">
        <v>690</v>
      </c>
      <c r="I107" s="2">
        <v>871</v>
      </c>
      <c r="J107" s="2">
        <v>2005</v>
      </c>
      <c r="K107" s="3">
        <f t="shared" si="13"/>
        <v>43.441396508728182</v>
      </c>
      <c r="L107" s="2">
        <v>180</v>
      </c>
    </row>
    <row r="108" spans="1:12" x14ac:dyDescent="0.25">
      <c r="A108" s="1" t="s">
        <v>8</v>
      </c>
      <c r="B108" s="1" t="s">
        <v>325</v>
      </c>
      <c r="C108" s="1" t="s">
        <v>642</v>
      </c>
      <c r="D108" s="1" t="s">
        <v>986</v>
      </c>
      <c r="E108" s="2">
        <v>21601</v>
      </c>
      <c r="F108" s="2">
        <v>676</v>
      </c>
      <c r="G108" s="2">
        <v>1047</v>
      </c>
      <c r="H108" s="2">
        <v>1489</v>
      </c>
      <c r="I108" s="2">
        <v>338</v>
      </c>
      <c r="J108" s="2">
        <v>3550</v>
      </c>
      <c r="K108" s="3">
        <f t="shared" si="13"/>
        <v>9.52112676056338</v>
      </c>
      <c r="L108" s="2">
        <v>676</v>
      </c>
    </row>
    <row r="109" spans="1:12" x14ac:dyDescent="0.25">
      <c r="A109" s="1" t="s">
        <v>8</v>
      </c>
      <c r="B109" s="1" t="s">
        <v>325</v>
      </c>
      <c r="C109" s="1" t="s">
        <v>664</v>
      </c>
      <c r="D109" s="1" t="s">
        <v>664</v>
      </c>
      <c r="E109" s="2">
        <v>21602</v>
      </c>
      <c r="F109" s="2">
        <v>196</v>
      </c>
      <c r="G109" s="2">
        <v>308</v>
      </c>
      <c r="H109" s="2">
        <v>298</v>
      </c>
      <c r="I109" s="2">
        <v>180</v>
      </c>
      <c r="J109" s="2">
        <v>982</v>
      </c>
      <c r="K109" s="3">
        <f t="shared" si="13"/>
        <v>18.329938900203665</v>
      </c>
      <c r="L109" s="2">
        <v>196</v>
      </c>
    </row>
    <row r="110" spans="1:12" x14ac:dyDescent="0.25">
      <c r="A110" s="1" t="s">
        <v>8</v>
      </c>
      <c r="B110" s="1" t="s">
        <v>262</v>
      </c>
      <c r="C110" s="1" t="s">
        <v>644</v>
      </c>
      <c r="D110" s="1" t="s">
        <v>644</v>
      </c>
      <c r="E110" s="2">
        <v>21701</v>
      </c>
      <c r="F110" s="2">
        <v>391</v>
      </c>
      <c r="G110" s="2">
        <v>1003</v>
      </c>
      <c r="H110" s="2">
        <v>1710</v>
      </c>
      <c r="I110" s="2">
        <v>2040</v>
      </c>
      <c r="J110" s="2">
        <v>5144</v>
      </c>
      <c r="K110" s="3">
        <f t="shared" si="13"/>
        <v>39.657853810264385</v>
      </c>
      <c r="L110" s="2">
        <v>391</v>
      </c>
    </row>
    <row r="111" spans="1:12" x14ac:dyDescent="0.25">
      <c r="A111" s="1" t="s">
        <v>8</v>
      </c>
      <c r="B111" s="1" t="s">
        <v>262</v>
      </c>
      <c r="C111" s="1" t="s">
        <v>655</v>
      </c>
      <c r="D111" s="1" t="s">
        <v>655</v>
      </c>
      <c r="E111" s="2">
        <v>21702</v>
      </c>
      <c r="F111" s="2">
        <v>477</v>
      </c>
      <c r="G111" s="2">
        <v>638</v>
      </c>
      <c r="H111" s="2">
        <v>972</v>
      </c>
      <c r="I111" s="2">
        <v>380</v>
      </c>
      <c r="J111" s="2">
        <v>2467</v>
      </c>
      <c r="K111" s="3">
        <f t="shared" si="13"/>
        <v>15.403323875152006</v>
      </c>
      <c r="L111" s="2">
        <v>477</v>
      </c>
    </row>
    <row r="112" spans="1:12" x14ac:dyDescent="0.25">
      <c r="A112" s="1" t="s">
        <v>8</v>
      </c>
      <c r="B112" s="1" t="s">
        <v>262</v>
      </c>
      <c r="C112" s="1" t="s">
        <v>563</v>
      </c>
      <c r="D112" s="1" t="s">
        <v>563</v>
      </c>
      <c r="E112" s="2">
        <v>21703</v>
      </c>
      <c r="F112" s="2">
        <v>306</v>
      </c>
      <c r="G112" s="2">
        <v>290</v>
      </c>
      <c r="H112" s="2">
        <v>627</v>
      </c>
      <c r="I112" s="2">
        <v>72</v>
      </c>
      <c r="J112" s="2">
        <v>1295</v>
      </c>
      <c r="K112" s="3">
        <f t="shared" si="13"/>
        <v>5.5598455598455594</v>
      </c>
      <c r="L112" s="2">
        <v>306</v>
      </c>
    </row>
    <row r="113" spans="1:12" x14ac:dyDescent="0.25">
      <c r="A113" s="1" t="s">
        <v>8</v>
      </c>
      <c r="B113" s="1" t="s">
        <v>188</v>
      </c>
      <c r="C113" s="1" t="s">
        <v>474</v>
      </c>
      <c r="D113" s="1" t="s">
        <v>474</v>
      </c>
      <c r="E113" s="2">
        <v>21801</v>
      </c>
      <c r="F113" s="2">
        <v>1162</v>
      </c>
      <c r="G113" s="2">
        <v>887</v>
      </c>
      <c r="H113" s="2">
        <v>587</v>
      </c>
      <c r="I113" s="2">
        <v>192</v>
      </c>
      <c r="J113" s="2">
        <v>2828</v>
      </c>
      <c r="K113" s="3">
        <f t="shared" si="13"/>
        <v>6.7892503536067892</v>
      </c>
      <c r="L113" s="2">
        <v>1162</v>
      </c>
    </row>
    <row r="114" spans="1:12" x14ac:dyDescent="0.25">
      <c r="A114" s="1" t="s">
        <v>8</v>
      </c>
      <c r="B114" s="1" t="s">
        <v>182</v>
      </c>
      <c r="C114" s="1" t="s">
        <v>470</v>
      </c>
      <c r="D114" s="1" t="s">
        <v>470</v>
      </c>
      <c r="E114" s="2">
        <v>21802</v>
      </c>
      <c r="F114" s="2">
        <v>546</v>
      </c>
      <c r="G114" s="2">
        <v>674</v>
      </c>
      <c r="H114" s="2">
        <v>677</v>
      </c>
      <c r="I114" s="2">
        <v>532</v>
      </c>
      <c r="J114" s="2">
        <v>2429</v>
      </c>
      <c r="K114" s="3">
        <f t="shared" si="13"/>
        <v>21.902017291066283</v>
      </c>
      <c r="L114" s="2">
        <v>546</v>
      </c>
    </row>
    <row r="115" spans="1:12" x14ac:dyDescent="0.25">
      <c r="A115" s="1" t="s">
        <v>8</v>
      </c>
      <c r="B115" s="1" t="s">
        <v>182</v>
      </c>
      <c r="C115" s="1" t="s">
        <v>468</v>
      </c>
      <c r="D115" s="1" t="s">
        <v>468</v>
      </c>
      <c r="E115" s="2">
        <v>21803</v>
      </c>
      <c r="F115" s="2">
        <v>298</v>
      </c>
      <c r="G115" s="2">
        <v>415</v>
      </c>
      <c r="H115" s="2">
        <v>55</v>
      </c>
      <c r="I115" s="2">
        <v>1</v>
      </c>
      <c r="J115" s="2">
        <v>769</v>
      </c>
      <c r="K115" s="3">
        <f t="shared" si="13"/>
        <v>0.13003901170351106</v>
      </c>
      <c r="L115" s="2">
        <v>298</v>
      </c>
    </row>
    <row r="116" spans="1:12" x14ac:dyDescent="0.25">
      <c r="A116" s="1" t="s">
        <v>8</v>
      </c>
      <c r="B116" s="1" t="s">
        <v>296</v>
      </c>
      <c r="C116" s="1" t="s">
        <v>610</v>
      </c>
      <c r="D116" s="1" t="s">
        <v>610</v>
      </c>
      <c r="E116" s="2">
        <v>21901</v>
      </c>
      <c r="F116" s="2">
        <v>254</v>
      </c>
      <c r="G116" s="2">
        <v>503</v>
      </c>
      <c r="H116" s="2">
        <v>688</v>
      </c>
      <c r="I116" s="2">
        <v>385</v>
      </c>
      <c r="J116" s="2">
        <v>1830</v>
      </c>
      <c r="K116" s="3">
        <f t="shared" si="13"/>
        <v>21.038251366120221</v>
      </c>
      <c r="L116" s="2">
        <v>254</v>
      </c>
    </row>
    <row r="117" spans="1:12" x14ac:dyDescent="0.25">
      <c r="A117" s="1" t="s">
        <v>8</v>
      </c>
      <c r="B117" s="1" t="s">
        <v>296</v>
      </c>
      <c r="C117" s="1" t="s">
        <v>602</v>
      </c>
      <c r="D117" s="1" t="s">
        <v>602</v>
      </c>
      <c r="E117" s="2">
        <v>21902</v>
      </c>
      <c r="F117" s="2">
        <v>133</v>
      </c>
      <c r="G117" s="2">
        <v>165</v>
      </c>
      <c r="H117" s="2">
        <v>223</v>
      </c>
      <c r="I117" s="2">
        <v>215</v>
      </c>
      <c r="J117" s="2">
        <v>736</v>
      </c>
      <c r="K117" s="3">
        <f t="shared" si="13"/>
        <v>29.211956521739129</v>
      </c>
      <c r="L117" s="2">
        <v>133</v>
      </c>
    </row>
    <row r="118" spans="1:12" x14ac:dyDescent="0.25">
      <c r="A118" s="1" t="s">
        <v>8</v>
      </c>
      <c r="B118" s="1" t="s">
        <v>366</v>
      </c>
      <c r="C118" s="1" t="s">
        <v>366</v>
      </c>
      <c r="D118" s="1" t="s">
        <v>366</v>
      </c>
      <c r="E118" s="2">
        <v>22001</v>
      </c>
      <c r="F118" s="2">
        <v>2741</v>
      </c>
      <c r="G118" s="2">
        <v>3625</v>
      </c>
      <c r="H118" s="2">
        <v>4502</v>
      </c>
      <c r="I118" s="2">
        <v>6153</v>
      </c>
      <c r="J118" s="2">
        <v>17021</v>
      </c>
      <c r="K118" s="3">
        <f t="shared" si="13"/>
        <v>36.149462428764465</v>
      </c>
      <c r="L118" s="2">
        <v>2741</v>
      </c>
    </row>
    <row r="119" spans="1:12" x14ac:dyDescent="0.25">
      <c r="A119" s="1" t="s">
        <v>8</v>
      </c>
      <c r="B119" s="1" t="s">
        <v>366</v>
      </c>
      <c r="C119" s="1" t="s">
        <v>692</v>
      </c>
      <c r="D119" s="1" t="s">
        <v>692</v>
      </c>
      <c r="E119" s="2">
        <v>22002</v>
      </c>
      <c r="F119" s="2">
        <v>1574</v>
      </c>
      <c r="G119" s="2">
        <v>908</v>
      </c>
      <c r="H119" s="2">
        <v>638</v>
      </c>
      <c r="I119" s="2">
        <v>1090</v>
      </c>
      <c r="J119" s="2">
        <v>4210</v>
      </c>
      <c r="K119" s="3">
        <f t="shared" si="13"/>
        <v>25.890736342042754</v>
      </c>
      <c r="L119" s="2">
        <v>1574</v>
      </c>
    </row>
    <row r="120" spans="1:12" x14ac:dyDescent="0.25">
      <c r="A120" s="1" t="s">
        <v>3</v>
      </c>
      <c r="B120" s="1" t="s">
        <v>186</v>
      </c>
      <c r="C120" s="1" t="s">
        <v>3</v>
      </c>
      <c r="D120" s="1" t="s">
        <v>3</v>
      </c>
      <c r="E120" s="2">
        <v>30101</v>
      </c>
      <c r="F120" s="2">
        <v>6236</v>
      </c>
      <c r="G120" s="2">
        <v>43470</v>
      </c>
      <c r="H120" s="2">
        <v>28108</v>
      </c>
      <c r="I120" s="2">
        <v>99562</v>
      </c>
      <c r="J120" s="2">
        <v>177376</v>
      </c>
      <c r="K120" s="3">
        <f t="shared" si="13"/>
        <v>56.130479884539056</v>
      </c>
      <c r="L120" s="2">
        <v>6236</v>
      </c>
    </row>
    <row r="121" spans="1:12" x14ac:dyDescent="0.25">
      <c r="A121" s="1" t="s">
        <v>3</v>
      </c>
      <c r="B121" s="1" t="s">
        <v>173</v>
      </c>
      <c r="C121" s="1" t="s">
        <v>459</v>
      </c>
      <c r="D121" s="1" t="s">
        <v>459</v>
      </c>
      <c r="E121" s="2">
        <v>30201</v>
      </c>
      <c r="F121" s="2">
        <v>1387</v>
      </c>
      <c r="G121" s="2">
        <v>1361</v>
      </c>
      <c r="H121" s="2">
        <v>1096</v>
      </c>
      <c r="I121" s="2">
        <v>2655</v>
      </c>
      <c r="J121" s="2">
        <v>6499</v>
      </c>
      <c r="K121" s="3">
        <f t="shared" si="13"/>
        <v>40.852438836744113</v>
      </c>
      <c r="L121" s="2">
        <v>1387</v>
      </c>
    </row>
    <row r="122" spans="1:12" x14ac:dyDescent="0.25">
      <c r="A122" s="1" t="s">
        <v>3</v>
      </c>
      <c r="B122" s="1" t="s">
        <v>173</v>
      </c>
      <c r="C122" s="1" t="s">
        <v>788</v>
      </c>
      <c r="D122" s="1" t="s">
        <v>788</v>
      </c>
      <c r="E122" s="2">
        <v>30202</v>
      </c>
      <c r="F122" s="2">
        <v>392</v>
      </c>
      <c r="G122" s="2">
        <v>320</v>
      </c>
      <c r="H122" s="2">
        <v>738</v>
      </c>
      <c r="I122" s="2">
        <v>87</v>
      </c>
      <c r="J122" s="2">
        <v>1537</v>
      </c>
      <c r="K122" s="3">
        <f t="shared" si="13"/>
        <v>5.6603773584905666</v>
      </c>
      <c r="L122" s="2">
        <v>392</v>
      </c>
    </row>
    <row r="123" spans="1:12" x14ac:dyDescent="0.25">
      <c r="A123" s="1" t="s">
        <v>3</v>
      </c>
      <c r="B123" s="1" t="s">
        <v>173</v>
      </c>
      <c r="C123" s="1" t="s">
        <v>507</v>
      </c>
      <c r="D123" s="1" t="s">
        <v>507</v>
      </c>
      <c r="E123" s="2">
        <v>30203</v>
      </c>
      <c r="F123" s="2">
        <v>191</v>
      </c>
      <c r="G123" s="2">
        <v>226</v>
      </c>
      <c r="H123" s="2">
        <v>327</v>
      </c>
      <c r="I123" s="2">
        <v>690</v>
      </c>
      <c r="J123" s="2">
        <v>1434</v>
      </c>
      <c r="K123" s="3">
        <f t="shared" si="13"/>
        <v>48.11715481171548</v>
      </c>
      <c r="L123" s="2">
        <v>191</v>
      </c>
    </row>
    <row r="124" spans="1:12" x14ac:dyDescent="0.25">
      <c r="A124" s="1" t="s">
        <v>3</v>
      </c>
      <c r="B124" s="1" t="s">
        <v>259</v>
      </c>
      <c r="C124" s="1" t="s">
        <v>747</v>
      </c>
      <c r="D124" s="1" t="s">
        <v>1091</v>
      </c>
      <c r="E124" s="2">
        <v>30301</v>
      </c>
      <c r="F124" s="2">
        <v>2151</v>
      </c>
      <c r="G124" s="2">
        <v>2237</v>
      </c>
      <c r="H124" s="2">
        <v>2134</v>
      </c>
      <c r="I124" s="2">
        <v>825</v>
      </c>
      <c r="J124" s="2">
        <v>7347</v>
      </c>
      <c r="K124" s="3">
        <f t="shared" si="13"/>
        <v>11.229073091057575</v>
      </c>
      <c r="L124" s="2">
        <v>2151</v>
      </c>
    </row>
    <row r="125" spans="1:12" x14ac:dyDescent="0.25">
      <c r="A125" s="1" t="s">
        <v>3</v>
      </c>
      <c r="B125" s="1" t="s">
        <v>259</v>
      </c>
      <c r="C125" s="1" t="s">
        <v>560</v>
      </c>
      <c r="D125" s="1" t="s">
        <v>560</v>
      </c>
      <c r="E125" s="2">
        <v>30302</v>
      </c>
      <c r="F125" s="2">
        <v>1224</v>
      </c>
      <c r="G125" s="2">
        <v>1178</v>
      </c>
      <c r="H125" s="2">
        <v>890</v>
      </c>
      <c r="I125" s="2">
        <v>644</v>
      </c>
      <c r="J125" s="2">
        <v>3936</v>
      </c>
      <c r="K125" s="3">
        <f t="shared" si="13"/>
        <v>16.361788617886177</v>
      </c>
      <c r="L125" s="2">
        <v>1224</v>
      </c>
    </row>
    <row r="126" spans="1:12" x14ac:dyDescent="0.25">
      <c r="A126" s="1" t="s">
        <v>3</v>
      </c>
      <c r="B126" s="1" t="s">
        <v>259</v>
      </c>
      <c r="C126" s="1" t="s">
        <v>707</v>
      </c>
      <c r="D126" s="1" t="s">
        <v>707</v>
      </c>
      <c r="E126" s="2">
        <v>30303</v>
      </c>
      <c r="F126" s="2">
        <v>1504</v>
      </c>
      <c r="G126" s="2">
        <v>1828</v>
      </c>
      <c r="H126" s="2">
        <v>1149</v>
      </c>
      <c r="I126" s="2">
        <v>439</v>
      </c>
      <c r="J126" s="2">
        <v>4920</v>
      </c>
      <c r="K126" s="3">
        <f t="shared" si="13"/>
        <v>8.9227642276422774</v>
      </c>
      <c r="L126" s="2">
        <v>1504</v>
      </c>
    </row>
    <row r="127" spans="1:12" x14ac:dyDescent="0.25">
      <c r="A127" s="1" t="s">
        <v>3</v>
      </c>
      <c r="B127" s="1" t="s">
        <v>183</v>
      </c>
      <c r="C127" s="1" t="s">
        <v>540</v>
      </c>
      <c r="D127" s="1" t="s">
        <v>540</v>
      </c>
      <c r="E127" s="2">
        <v>30401</v>
      </c>
      <c r="F127" s="2">
        <v>449</v>
      </c>
      <c r="G127" s="2">
        <v>362</v>
      </c>
      <c r="H127" s="2">
        <v>730</v>
      </c>
      <c r="I127" s="2">
        <v>1052</v>
      </c>
      <c r="J127" s="2">
        <v>2593</v>
      </c>
      <c r="K127" s="3">
        <f t="shared" si="13"/>
        <v>40.570767450829152</v>
      </c>
      <c r="L127" s="2">
        <v>449</v>
      </c>
    </row>
    <row r="128" spans="1:12" x14ac:dyDescent="0.25">
      <c r="A128" s="1" t="s">
        <v>3</v>
      </c>
      <c r="B128" s="1" t="s">
        <v>183</v>
      </c>
      <c r="C128" s="1" t="s">
        <v>580</v>
      </c>
      <c r="D128" s="1" t="s">
        <v>924</v>
      </c>
      <c r="E128" s="2">
        <v>30402</v>
      </c>
      <c r="F128" s="2">
        <v>741</v>
      </c>
      <c r="G128" s="2">
        <v>887</v>
      </c>
      <c r="H128" s="2">
        <v>583</v>
      </c>
      <c r="I128" s="2">
        <v>425</v>
      </c>
      <c r="J128" s="2">
        <v>2636</v>
      </c>
      <c r="K128" s="3">
        <f t="shared" si="13"/>
        <v>16.122913505311075</v>
      </c>
      <c r="L128" s="2">
        <v>741</v>
      </c>
    </row>
    <row r="129" spans="1:12" x14ac:dyDescent="0.25">
      <c r="A129" s="1" t="s">
        <v>3</v>
      </c>
      <c r="B129" s="1" t="s">
        <v>183</v>
      </c>
      <c r="C129" s="1" t="s">
        <v>469</v>
      </c>
      <c r="D129" s="1" t="s">
        <v>469</v>
      </c>
      <c r="E129" s="2">
        <v>30403</v>
      </c>
      <c r="F129" s="2">
        <v>1026</v>
      </c>
      <c r="G129" s="2">
        <v>1308</v>
      </c>
      <c r="H129" s="2">
        <v>1057</v>
      </c>
      <c r="I129" s="2">
        <v>2141</v>
      </c>
      <c r="J129" s="2">
        <v>5532</v>
      </c>
      <c r="K129" s="3">
        <f t="shared" si="13"/>
        <v>38.702096890817067</v>
      </c>
      <c r="L129" s="2">
        <v>1026</v>
      </c>
    </row>
    <row r="130" spans="1:12" x14ac:dyDescent="0.25">
      <c r="A130" s="1" t="s">
        <v>3</v>
      </c>
      <c r="B130" s="1" t="s">
        <v>183</v>
      </c>
      <c r="C130" s="1" t="s">
        <v>579</v>
      </c>
      <c r="D130" s="1" t="s">
        <v>579</v>
      </c>
      <c r="E130" s="2">
        <v>30404</v>
      </c>
      <c r="F130" s="2">
        <v>371</v>
      </c>
      <c r="G130" s="2">
        <v>401</v>
      </c>
      <c r="H130" s="2">
        <v>440</v>
      </c>
      <c r="I130" s="2">
        <v>261</v>
      </c>
      <c r="J130" s="2">
        <v>1473</v>
      </c>
      <c r="K130" s="3">
        <f t="shared" si="13"/>
        <v>17.718940936863543</v>
      </c>
      <c r="L130" s="2">
        <v>371</v>
      </c>
    </row>
    <row r="131" spans="1:12" x14ac:dyDescent="0.25">
      <c r="A131" s="1" t="s">
        <v>3</v>
      </c>
      <c r="B131" s="1" t="s">
        <v>299</v>
      </c>
      <c r="C131" s="1" t="s">
        <v>299</v>
      </c>
      <c r="D131" s="1" t="s">
        <v>299</v>
      </c>
      <c r="E131" s="2">
        <v>30501</v>
      </c>
      <c r="F131" s="2">
        <v>234</v>
      </c>
      <c r="G131" s="2">
        <v>389</v>
      </c>
      <c r="H131" s="2">
        <v>1015</v>
      </c>
      <c r="I131" s="2">
        <v>1506</v>
      </c>
      <c r="J131" s="2">
        <v>3144</v>
      </c>
      <c r="K131" s="3">
        <f t="shared" si="13"/>
        <v>47.900763358778626</v>
      </c>
      <c r="L131" s="2">
        <v>234</v>
      </c>
    </row>
    <row r="132" spans="1:12" x14ac:dyDescent="0.25">
      <c r="A132" s="1" t="s">
        <v>3</v>
      </c>
      <c r="B132" s="1" t="s">
        <v>299</v>
      </c>
      <c r="C132" s="1" t="s">
        <v>728</v>
      </c>
      <c r="D132" s="1" t="s">
        <v>728</v>
      </c>
      <c r="E132" s="2">
        <v>30502</v>
      </c>
      <c r="F132" s="2">
        <v>491</v>
      </c>
      <c r="G132" s="2">
        <v>814</v>
      </c>
      <c r="H132" s="2">
        <v>1186</v>
      </c>
      <c r="I132" s="2">
        <v>711</v>
      </c>
      <c r="J132" s="2">
        <v>3202</v>
      </c>
      <c r="K132" s="3">
        <f t="shared" si="13"/>
        <v>22.204871955028107</v>
      </c>
      <c r="L132" s="2">
        <v>491</v>
      </c>
    </row>
    <row r="133" spans="1:12" x14ac:dyDescent="0.25">
      <c r="A133" s="1" t="s">
        <v>3</v>
      </c>
      <c r="B133" s="1" t="s">
        <v>192</v>
      </c>
      <c r="C133" s="1" t="s">
        <v>192</v>
      </c>
      <c r="D133" s="1" t="s">
        <v>822</v>
      </c>
      <c r="E133" s="2">
        <v>30601</v>
      </c>
      <c r="F133" s="2">
        <v>935</v>
      </c>
      <c r="G133" s="2">
        <v>1262</v>
      </c>
      <c r="H133" s="2">
        <v>929</v>
      </c>
      <c r="I133" s="2">
        <v>177</v>
      </c>
      <c r="J133" s="2">
        <v>3303</v>
      </c>
      <c r="K133" s="3">
        <f t="shared" ref="K133:K197" si="14">(I133/J133)*100</f>
        <v>5.3587647593097181</v>
      </c>
      <c r="L133" s="2">
        <v>935</v>
      </c>
    </row>
    <row r="134" spans="1:12" x14ac:dyDescent="0.25">
      <c r="A134" s="1" t="s">
        <v>3</v>
      </c>
      <c r="B134" s="1" t="s">
        <v>192</v>
      </c>
      <c r="C134" s="1" t="s">
        <v>587</v>
      </c>
      <c r="D134" s="1" t="s">
        <v>587</v>
      </c>
      <c r="E134" s="2">
        <v>30602</v>
      </c>
      <c r="F134" s="2">
        <v>360</v>
      </c>
      <c r="G134" s="2">
        <v>1117</v>
      </c>
      <c r="H134" s="2">
        <v>1147</v>
      </c>
      <c r="I134" s="2">
        <v>713</v>
      </c>
      <c r="J134" s="2">
        <v>3337</v>
      </c>
      <c r="K134" s="3">
        <f t="shared" si="14"/>
        <v>21.366496853461193</v>
      </c>
      <c r="L134" s="2">
        <v>360</v>
      </c>
    </row>
    <row r="135" spans="1:12" x14ac:dyDescent="0.25">
      <c r="A135" s="1" t="s">
        <v>3</v>
      </c>
      <c r="B135" s="1" t="s">
        <v>189</v>
      </c>
      <c r="C135" s="1" t="s">
        <v>189</v>
      </c>
      <c r="D135" s="1" t="s">
        <v>189</v>
      </c>
      <c r="E135" s="2">
        <v>30701</v>
      </c>
      <c r="F135" s="2">
        <v>980</v>
      </c>
      <c r="G135" s="2">
        <v>745</v>
      </c>
      <c r="H135" s="2">
        <v>1928</v>
      </c>
      <c r="I135" s="2">
        <v>2275</v>
      </c>
      <c r="J135" s="2">
        <v>5928</v>
      </c>
      <c r="K135" s="3">
        <f t="shared" si="14"/>
        <v>38.377192982456144</v>
      </c>
      <c r="L135" s="2">
        <v>980</v>
      </c>
    </row>
    <row r="136" spans="1:12" x14ac:dyDescent="0.25">
      <c r="A136" s="1" t="s">
        <v>3</v>
      </c>
      <c r="B136" s="1" t="s">
        <v>189</v>
      </c>
      <c r="C136" s="1" t="s">
        <v>591</v>
      </c>
      <c r="D136" s="1" t="s">
        <v>935</v>
      </c>
      <c r="E136" s="2">
        <v>30702</v>
      </c>
      <c r="F136" s="2">
        <v>345</v>
      </c>
      <c r="G136" s="2">
        <v>401</v>
      </c>
      <c r="H136" s="2">
        <v>617</v>
      </c>
      <c r="I136" s="2">
        <v>1040</v>
      </c>
      <c r="J136" s="2">
        <v>2403</v>
      </c>
      <c r="K136" s="3">
        <f t="shared" si="14"/>
        <v>43.279234290470249</v>
      </c>
      <c r="L136" s="2">
        <v>345</v>
      </c>
    </row>
    <row r="137" spans="1:12" x14ac:dyDescent="0.25">
      <c r="A137" s="1" t="s">
        <v>3</v>
      </c>
      <c r="B137" s="1" t="s">
        <v>189</v>
      </c>
      <c r="C137" s="1" t="s">
        <v>475</v>
      </c>
      <c r="D137" s="1" t="s">
        <v>475</v>
      </c>
      <c r="E137" s="2">
        <v>30703</v>
      </c>
      <c r="F137" s="2">
        <v>257</v>
      </c>
      <c r="G137" s="2">
        <v>272</v>
      </c>
      <c r="H137" s="2">
        <v>307</v>
      </c>
      <c r="I137" s="2">
        <v>247</v>
      </c>
      <c r="J137" s="2">
        <v>1083</v>
      </c>
      <c r="K137" s="3">
        <f t="shared" si="14"/>
        <v>22.807017543859647</v>
      </c>
      <c r="L137" s="2">
        <v>257</v>
      </c>
    </row>
    <row r="138" spans="1:12" x14ac:dyDescent="0.25">
      <c r="A138" s="1" t="s">
        <v>3</v>
      </c>
      <c r="B138" s="1" t="s">
        <v>277</v>
      </c>
      <c r="C138" s="1" t="s">
        <v>586</v>
      </c>
      <c r="D138" s="1" t="s">
        <v>586</v>
      </c>
      <c r="E138" s="2">
        <v>30801</v>
      </c>
      <c r="F138" s="2">
        <v>22</v>
      </c>
      <c r="G138" s="2">
        <v>358</v>
      </c>
      <c r="H138" s="2">
        <v>1701</v>
      </c>
      <c r="I138" s="2">
        <v>3879</v>
      </c>
      <c r="J138" s="2">
        <v>5960</v>
      </c>
      <c r="K138" s="3">
        <f t="shared" si="14"/>
        <v>65.083892617449663</v>
      </c>
      <c r="L138" s="2">
        <v>22</v>
      </c>
    </row>
    <row r="139" spans="1:12" x14ac:dyDescent="0.25">
      <c r="A139" s="1" t="s">
        <v>3</v>
      </c>
      <c r="B139" s="1" t="s">
        <v>277</v>
      </c>
      <c r="C139" s="1" t="s">
        <v>581</v>
      </c>
      <c r="D139" s="1" t="s">
        <v>581</v>
      </c>
      <c r="E139" s="2">
        <v>30802</v>
      </c>
      <c r="F139" s="2">
        <v>88</v>
      </c>
      <c r="G139" s="2">
        <v>261</v>
      </c>
      <c r="H139" s="2">
        <v>816</v>
      </c>
      <c r="I139" s="2">
        <v>896</v>
      </c>
      <c r="J139" s="2">
        <v>2061</v>
      </c>
      <c r="K139" s="3">
        <f t="shared" si="14"/>
        <v>43.474041727316838</v>
      </c>
      <c r="L139" s="2">
        <v>88</v>
      </c>
    </row>
    <row r="140" spans="1:12" x14ac:dyDescent="0.25">
      <c r="A140" s="1" t="s">
        <v>3</v>
      </c>
      <c r="B140" s="1" t="s">
        <v>277</v>
      </c>
      <c r="C140" s="1" t="s">
        <v>596</v>
      </c>
      <c r="D140" s="1" t="s">
        <v>596</v>
      </c>
      <c r="E140" s="2">
        <v>30803</v>
      </c>
      <c r="F140" s="2">
        <v>40</v>
      </c>
      <c r="G140" s="2">
        <v>274</v>
      </c>
      <c r="H140" s="2">
        <v>562</v>
      </c>
      <c r="I140" s="2">
        <v>594</v>
      </c>
      <c r="J140" s="2">
        <v>1470</v>
      </c>
      <c r="K140" s="3">
        <f t="shared" si="14"/>
        <v>40.408163265306122</v>
      </c>
      <c r="L140" s="2">
        <v>40</v>
      </c>
    </row>
    <row r="141" spans="1:12" x14ac:dyDescent="0.25">
      <c r="A141" s="1" t="s">
        <v>3</v>
      </c>
      <c r="B141" s="1" t="s">
        <v>239</v>
      </c>
      <c r="C141" s="1" t="s">
        <v>239</v>
      </c>
      <c r="D141" s="1" t="s">
        <v>239</v>
      </c>
      <c r="E141" s="2">
        <v>30901</v>
      </c>
      <c r="F141" s="2">
        <v>786</v>
      </c>
      <c r="G141" s="2">
        <v>3494</v>
      </c>
      <c r="H141" s="2">
        <v>13011</v>
      </c>
      <c r="I141" s="2">
        <v>18640</v>
      </c>
      <c r="J141" s="2">
        <v>35931</v>
      </c>
      <c r="K141" s="3">
        <f t="shared" si="14"/>
        <v>51.877209095210262</v>
      </c>
      <c r="L141" s="2">
        <v>786</v>
      </c>
    </row>
    <row r="142" spans="1:12" x14ac:dyDescent="0.25">
      <c r="A142" s="1" t="s">
        <v>3</v>
      </c>
      <c r="B142" s="1" t="s">
        <v>239</v>
      </c>
      <c r="C142" s="1" t="s">
        <v>538</v>
      </c>
      <c r="D142" s="1" t="s">
        <v>538</v>
      </c>
      <c r="E142" s="2">
        <v>30902</v>
      </c>
      <c r="F142" s="2">
        <v>1058</v>
      </c>
      <c r="G142" s="2">
        <v>1127</v>
      </c>
      <c r="H142" s="2">
        <v>3719</v>
      </c>
      <c r="I142" s="2">
        <v>5699</v>
      </c>
      <c r="J142" s="2">
        <v>11603</v>
      </c>
      <c r="K142" s="3">
        <f t="shared" si="14"/>
        <v>49.116607773851591</v>
      </c>
      <c r="L142" s="2">
        <v>1058</v>
      </c>
    </row>
    <row r="143" spans="1:12" x14ac:dyDescent="0.25">
      <c r="A143" s="1" t="s">
        <v>3</v>
      </c>
      <c r="B143" s="1" t="s">
        <v>239</v>
      </c>
      <c r="C143" s="1" t="s">
        <v>536</v>
      </c>
      <c r="D143" s="1" t="s">
        <v>536</v>
      </c>
      <c r="E143" s="2">
        <v>30903</v>
      </c>
      <c r="F143" s="2">
        <v>551</v>
      </c>
      <c r="G143" s="2">
        <v>2262</v>
      </c>
      <c r="H143" s="2">
        <v>6883</v>
      </c>
      <c r="I143" s="2">
        <v>4161</v>
      </c>
      <c r="J143" s="2">
        <v>13857</v>
      </c>
      <c r="K143" s="3">
        <f t="shared" si="14"/>
        <v>30.02814462004763</v>
      </c>
      <c r="L143" s="2">
        <v>551</v>
      </c>
    </row>
    <row r="144" spans="1:12" x14ac:dyDescent="0.25">
      <c r="A144" s="1" t="s">
        <v>3</v>
      </c>
      <c r="B144" s="1" t="s">
        <v>239</v>
      </c>
      <c r="C144" s="1" t="s">
        <v>539</v>
      </c>
      <c r="D144" s="1" t="s">
        <v>539</v>
      </c>
      <c r="E144" s="2">
        <v>30904</v>
      </c>
      <c r="F144" s="2">
        <v>611</v>
      </c>
      <c r="G144" s="2">
        <v>2270</v>
      </c>
      <c r="H144" s="2">
        <v>7102</v>
      </c>
      <c r="I144" s="2">
        <v>4329</v>
      </c>
      <c r="J144" s="2">
        <v>14312</v>
      </c>
      <c r="K144" s="3">
        <f t="shared" si="14"/>
        <v>30.247344885410843</v>
      </c>
      <c r="L144" s="2">
        <v>611</v>
      </c>
    </row>
    <row r="145" spans="1:12" x14ac:dyDescent="0.25">
      <c r="A145" s="1" t="s">
        <v>3</v>
      </c>
      <c r="B145" s="1" t="s">
        <v>239</v>
      </c>
      <c r="C145" s="1" t="s">
        <v>537</v>
      </c>
      <c r="D145" s="1" t="s">
        <v>537</v>
      </c>
      <c r="E145" s="2">
        <v>30905</v>
      </c>
      <c r="F145" s="2">
        <v>28</v>
      </c>
      <c r="G145" s="2">
        <v>864</v>
      </c>
      <c r="H145" s="2">
        <v>4605</v>
      </c>
      <c r="I145" s="2">
        <v>8017</v>
      </c>
      <c r="J145" s="2">
        <v>13514</v>
      </c>
      <c r="K145" s="3">
        <f t="shared" si="14"/>
        <v>59.323664348083469</v>
      </c>
      <c r="L145" s="2">
        <v>28</v>
      </c>
    </row>
    <row r="146" spans="1:12" x14ac:dyDescent="0.25">
      <c r="A146" s="1" t="s">
        <v>3</v>
      </c>
      <c r="B146" s="1" t="s">
        <v>240</v>
      </c>
      <c r="C146" s="1" t="s">
        <v>535</v>
      </c>
      <c r="D146" s="1" t="s">
        <v>535</v>
      </c>
      <c r="E146" s="2">
        <v>31001</v>
      </c>
      <c r="F146" s="2">
        <v>2451</v>
      </c>
      <c r="G146" s="2">
        <v>7988</v>
      </c>
      <c r="H146" s="2">
        <v>15414</v>
      </c>
      <c r="I146" s="2">
        <v>21683</v>
      </c>
      <c r="J146" s="2">
        <v>47536</v>
      </c>
      <c r="K146" s="3">
        <f t="shared" si="14"/>
        <v>45.613850555368565</v>
      </c>
      <c r="L146" s="2">
        <v>2451</v>
      </c>
    </row>
    <row r="147" spans="1:12" x14ac:dyDescent="0.25">
      <c r="A147" s="1" t="s">
        <v>3</v>
      </c>
      <c r="B147" s="1" t="s">
        <v>240</v>
      </c>
      <c r="C147" s="1" t="s">
        <v>755</v>
      </c>
      <c r="D147" s="1" t="s">
        <v>755</v>
      </c>
      <c r="E147" s="2">
        <v>31002</v>
      </c>
      <c r="F147" s="2">
        <v>1255</v>
      </c>
      <c r="G147" s="2">
        <v>865</v>
      </c>
      <c r="H147" s="2">
        <v>1211</v>
      </c>
      <c r="I147" s="2">
        <v>2691</v>
      </c>
      <c r="J147" s="2">
        <v>6022</v>
      </c>
      <c r="K147" s="3">
        <f t="shared" si="14"/>
        <v>44.686150780471607</v>
      </c>
      <c r="L147" s="2">
        <v>1255</v>
      </c>
    </row>
    <row r="148" spans="1:12" x14ac:dyDescent="0.25">
      <c r="A148" s="1" t="s">
        <v>3</v>
      </c>
      <c r="B148" s="1" t="s">
        <v>240</v>
      </c>
      <c r="C148" s="1" t="s">
        <v>721</v>
      </c>
      <c r="D148" s="1" t="s">
        <v>721</v>
      </c>
      <c r="E148" s="2">
        <v>31003</v>
      </c>
      <c r="F148" s="2">
        <v>7639</v>
      </c>
      <c r="G148" s="2">
        <v>8220</v>
      </c>
      <c r="H148" s="2">
        <v>5553</v>
      </c>
      <c r="I148" s="2">
        <v>5313</v>
      </c>
      <c r="J148" s="2">
        <v>26725</v>
      </c>
      <c r="K148" s="3">
        <f t="shared" si="14"/>
        <v>19.880261927034613</v>
      </c>
      <c r="L148" s="2">
        <v>7639</v>
      </c>
    </row>
    <row r="149" spans="1:12" x14ac:dyDescent="0.25">
      <c r="A149" s="1" t="s">
        <v>3</v>
      </c>
      <c r="B149" s="1" t="s">
        <v>314</v>
      </c>
      <c r="C149" s="1" t="s">
        <v>314</v>
      </c>
      <c r="D149" s="1" t="s">
        <v>314</v>
      </c>
      <c r="E149" s="2">
        <v>31101</v>
      </c>
      <c r="F149" s="2">
        <v>3053</v>
      </c>
      <c r="G149" s="2">
        <v>2917</v>
      </c>
      <c r="H149" s="2">
        <v>1582</v>
      </c>
      <c r="I149" s="2">
        <v>561</v>
      </c>
      <c r="J149" s="2">
        <v>8113</v>
      </c>
      <c r="K149" s="3">
        <f t="shared" si="14"/>
        <v>6.9148280537409095</v>
      </c>
      <c r="L149" s="2">
        <v>3053</v>
      </c>
    </row>
    <row r="150" spans="1:12" x14ac:dyDescent="0.25">
      <c r="A150" s="1" t="s">
        <v>3</v>
      </c>
      <c r="B150" s="1" t="s">
        <v>243</v>
      </c>
      <c r="C150" s="1" t="s">
        <v>518</v>
      </c>
      <c r="D150" s="1" t="s">
        <v>518</v>
      </c>
      <c r="E150" s="2">
        <v>31201</v>
      </c>
      <c r="F150" s="2">
        <v>1701</v>
      </c>
      <c r="G150" s="2">
        <v>1378</v>
      </c>
      <c r="H150" s="2">
        <v>893</v>
      </c>
      <c r="I150" s="2">
        <v>757</v>
      </c>
      <c r="J150" s="2">
        <v>4729</v>
      </c>
      <c r="K150" s="3">
        <f t="shared" si="14"/>
        <v>16.007612603087335</v>
      </c>
      <c r="L150" s="2">
        <v>1701</v>
      </c>
    </row>
    <row r="151" spans="1:12" x14ac:dyDescent="0.25">
      <c r="A151" s="1" t="s">
        <v>3</v>
      </c>
      <c r="B151" s="1" t="s">
        <v>243</v>
      </c>
      <c r="C151" s="1" t="s">
        <v>752</v>
      </c>
      <c r="D151" s="1" t="s">
        <v>752</v>
      </c>
      <c r="E151" s="2">
        <v>31202</v>
      </c>
      <c r="F151" s="2">
        <v>1169</v>
      </c>
      <c r="G151" s="2">
        <v>831</v>
      </c>
      <c r="H151" s="2">
        <v>493</v>
      </c>
      <c r="I151" s="2">
        <v>510</v>
      </c>
      <c r="J151" s="2">
        <v>3003</v>
      </c>
      <c r="K151" s="3">
        <f t="shared" si="14"/>
        <v>16.983016983016981</v>
      </c>
      <c r="L151" s="2">
        <v>1169</v>
      </c>
    </row>
    <row r="152" spans="1:12" x14ac:dyDescent="0.25">
      <c r="A152" s="1" t="s">
        <v>3</v>
      </c>
      <c r="B152" s="1" t="s">
        <v>243</v>
      </c>
      <c r="C152" s="1" t="s">
        <v>729</v>
      </c>
      <c r="D152" s="1" t="s">
        <v>729</v>
      </c>
      <c r="E152" s="2">
        <v>31203</v>
      </c>
      <c r="F152" s="2">
        <v>539</v>
      </c>
      <c r="G152" s="2">
        <v>925</v>
      </c>
      <c r="H152" s="2">
        <v>1140</v>
      </c>
      <c r="I152" s="2">
        <v>940</v>
      </c>
      <c r="J152" s="2">
        <v>3544</v>
      </c>
      <c r="K152" s="3">
        <f t="shared" si="14"/>
        <v>26.52370203160271</v>
      </c>
      <c r="L152" s="2">
        <v>539</v>
      </c>
    </row>
    <row r="153" spans="1:12" x14ac:dyDescent="0.25">
      <c r="A153" s="1" t="s">
        <v>3</v>
      </c>
      <c r="B153" s="1" t="s">
        <v>243</v>
      </c>
      <c r="C153" s="1" t="s">
        <v>722</v>
      </c>
      <c r="D153" s="1" t="s">
        <v>722</v>
      </c>
      <c r="E153" s="2">
        <v>31204</v>
      </c>
      <c r="F153" s="2">
        <v>1799</v>
      </c>
      <c r="G153" s="2">
        <v>1815</v>
      </c>
      <c r="H153" s="2">
        <v>1936</v>
      </c>
      <c r="I153" s="2">
        <v>1713</v>
      </c>
      <c r="J153" s="2">
        <v>7263</v>
      </c>
      <c r="K153" s="3">
        <f t="shared" si="14"/>
        <v>23.585295332507229</v>
      </c>
      <c r="L153" s="2">
        <v>1799</v>
      </c>
    </row>
    <row r="154" spans="1:12" x14ac:dyDescent="0.25">
      <c r="A154" s="1" t="s">
        <v>3</v>
      </c>
      <c r="B154" s="1" t="s">
        <v>243</v>
      </c>
      <c r="C154" s="1" t="s">
        <v>738</v>
      </c>
      <c r="D154" s="1" t="s">
        <v>738</v>
      </c>
      <c r="E154" s="2">
        <v>31205</v>
      </c>
      <c r="F154" s="2">
        <v>4354</v>
      </c>
      <c r="G154" s="2">
        <v>3202</v>
      </c>
      <c r="H154" s="2">
        <v>4784</v>
      </c>
      <c r="I154" s="2">
        <v>4611</v>
      </c>
      <c r="J154" s="2">
        <v>16951</v>
      </c>
      <c r="K154" s="3">
        <f t="shared" si="14"/>
        <v>27.20193498908619</v>
      </c>
      <c r="L154" s="2">
        <v>4354</v>
      </c>
    </row>
    <row r="155" spans="1:12" x14ac:dyDescent="0.25">
      <c r="A155" s="1" t="s">
        <v>3</v>
      </c>
      <c r="B155" s="1" t="s">
        <v>243</v>
      </c>
      <c r="C155" s="1" t="s">
        <v>527</v>
      </c>
      <c r="D155" s="1" t="s">
        <v>527</v>
      </c>
      <c r="E155" s="2">
        <v>31206</v>
      </c>
      <c r="F155" s="2">
        <v>3921</v>
      </c>
      <c r="G155" s="2">
        <v>2501</v>
      </c>
      <c r="H155" s="2">
        <v>2965</v>
      </c>
      <c r="I155" s="2">
        <v>3088</v>
      </c>
      <c r="J155" s="2">
        <v>12475</v>
      </c>
      <c r="K155" s="3">
        <f t="shared" si="14"/>
        <v>24.753507014028056</v>
      </c>
      <c r="L155" s="2">
        <v>3921</v>
      </c>
    </row>
    <row r="156" spans="1:12" x14ac:dyDescent="0.25">
      <c r="A156" s="1" t="s">
        <v>3</v>
      </c>
      <c r="B156" s="1" t="s">
        <v>417</v>
      </c>
      <c r="C156" s="1" t="s">
        <v>417</v>
      </c>
      <c r="D156" s="1" t="s">
        <v>417</v>
      </c>
      <c r="E156" s="2">
        <v>31301</v>
      </c>
      <c r="F156" s="2">
        <v>1333</v>
      </c>
      <c r="G156" s="2">
        <v>1311</v>
      </c>
      <c r="H156" s="2">
        <v>2084</v>
      </c>
      <c r="I156" s="2">
        <v>1192</v>
      </c>
      <c r="J156" s="2">
        <v>5920</v>
      </c>
      <c r="K156" s="3">
        <f t="shared" si="14"/>
        <v>20.135135135135133</v>
      </c>
      <c r="L156" s="2">
        <v>1333</v>
      </c>
    </row>
    <row r="157" spans="1:12" x14ac:dyDescent="0.25">
      <c r="A157" s="1" t="s">
        <v>3</v>
      </c>
      <c r="B157" s="1" t="s">
        <v>417</v>
      </c>
      <c r="C157" s="1" t="s">
        <v>757</v>
      </c>
      <c r="D157" s="1" t="s">
        <v>757</v>
      </c>
      <c r="E157" s="2">
        <v>31302</v>
      </c>
      <c r="F157" s="2">
        <v>629</v>
      </c>
      <c r="G157" s="2">
        <v>491</v>
      </c>
      <c r="H157" s="2">
        <v>217</v>
      </c>
      <c r="I157" s="2">
        <v>203</v>
      </c>
      <c r="J157" s="2">
        <v>1540</v>
      </c>
      <c r="K157" s="3">
        <f t="shared" si="14"/>
        <v>13.18181818181818</v>
      </c>
      <c r="L157" s="2">
        <v>629</v>
      </c>
    </row>
    <row r="158" spans="1:12" x14ac:dyDescent="0.25">
      <c r="A158" s="1" t="s">
        <v>3</v>
      </c>
      <c r="B158" s="1" t="s">
        <v>417</v>
      </c>
      <c r="C158" s="1" t="s">
        <v>756</v>
      </c>
      <c r="D158" s="1" t="s">
        <v>756</v>
      </c>
      <c r="E158" s="2">
        <v>31303</v>
      </c>
      <c r="F158" s="2">
        <v>383</v>
      </c>
      <c r="G158" s="2">
        <v>550</v>
      </c>
      <c r="H158" s="2">
        <v>131</v>
      </c>
      <c r="I158" s="2">
        <v>58</v>
      </c>
      <c r="J158" s="2">
        <v>1122</v>
      </c>
      <c r="K158" s="3">
        <f t="shared" si="14"/>
        <v>5.169340463458111</v>
      </c>
      <c r="L158" s="2">
        <v>383</v>
      </c>
    </row>
    <row r="159" spans="1:12" x14ac:dyDescent="0.25">
      <c r="A159" s="39" t="s">
        <v>3</v>
      </c>
      <c r="B159" s="39" t="s">
        <v>417</v>
      </c>
      <c r="C159" s="39" t="s">
        <v>794</v>
      </c>
      <c r="D159" s="39" t="s">
        <v>1138</v>
      </c>
      <c r="E159" s="40">
        <v>31304</v>
      </c>
      <c r="F159" s="2">
        <v>1249</v>
      </c>
      <c r="G159" s="2">
        <v>504</v>
      </c>
      <c r="H159" s="2">
        <v>214</v>
      </c>
      <c r="I159" s="2">
        <v>24</v>
      </c>
      <c r="J159" s="2">
        <v>1991</v>
      </c>
      <c r="K159" s="3">
        <f t="shared" ref="K159" si="15">(I159/J159)*100</f>
        <v>1.2054244098442994</v>
      </c>
      <c r="L159" s="2">
        <v>1249</v>
      </c>
    </row>
    <row r="160" spans="1:12" x14ac:dyDescent="0.25">
      <c r="A160" s="1" t="s">
        <v>3</v>
      </c>
      <c r="B160" s="1" t="s">
        <v>180</v>
      </c>
      <c r="C160" s="1" t="s">
        <v>180</v>
      </c>
      <c r="D160" s="1" t="s">
        <v>950</v>
      </c>
      <c r="E160" s="2">
        <v>31401</v>
      </c>
      <c r="F160" s="14">
        <v>118</v>
      </c>
      <c r="G160" s="14">
        <v>848</v>
      </c>
      <c r="H160" s="14">
        <v>2935</v>
      </c>
      <c r="I160" s="14">
        <v>4883</v>
      </c>
      <c r="J160" s="14">
        <v>8784</v>
      </c>
      <c r="K160" s="23">
        <f t="shared" si="14"/>
        <v>55.589708561020032</v>
      </c>
      <c r="L160" s="14">
        <v>118</v>
      </c>
    </row>
    <row r="161" spans="1:12" x14ac:dyDescent="0.25">
      <c r="A161" s="1" t="s">
        <v>3</v>
      </c>
      <c r="B161" s="1" t="s">
        <v>180</v>
      </c>
      <c r="C161" s="1" t="s">
        <v>466</v>
      </c>
      <c r="D161" s="1" t="s">
        <v>466</v>
      </c>
      <c r="E161" s="2">
        <v>31402</v>
      </c>
      <c r="F161" s="2">
        <v>121</v>
      </c>
      <c r="G161" s="2">
        <v>415</v>
      </c>
      <c r="H161" s="2">
        <v>1522</v>
      </c>
      <c r="I161" s="2">
        <v>984</v>
      </c>
      <c r="J161" s="2">
        <v>3042</v>
      </c>
      <c r="K161" s="3">
        <f t="shared" si="14"/>
        <v>32.34714003944773</v>
      </c>
      <c r="L161" s="2">
        <v>121</v>
      </c>
    </row>
    <row r="162" spans="1:12" x14ac:dyDescent="0.25">
      <c r="A162" s="1" t="s">
        <v>3</v>
      </c>
      <c r="B162" s="1" t="s">
        <v>180</v>
      </c>
      <c r="C162" s="1" t="s">
        <v>480</v>
      </c>
      <c r="D162" s="1" t="s">
        <v>824</v>
      </c>
      <c r="E162" s="2">
        <v>31403</v>
      </c>
      <c r="F162" s="2">
        <v>150</v>
      </c>
      <c r="G162" s="2">
        <v>402</v>
      </c>
      <c r="H162" s="2">
        <v>2153</v>
      </c>
      <c r="I162" s="2">
        <v>1219</v>
      </c>
      <c r="J162" s="2">
        <v>3924</v>
      </c>
      <c r="K162" s="3">
        <f t="shared" si="14"/>
        <v>31.065239551478086</v>
      </c>
      <c r="L162" s="2">
        <v>150</v>
      </c>
    </row>
    <row r="163" spans="1:12" x14ac:dyDescent="0.25">
      <c r="A163" s="1" t="s">
        <v>3</v>
      </c>
      <c r="B163" s="1" t="s">
        <v>180</v>
      </c>
      <c r="C163" s="1" t="s">
        <v>585</v>
      </c>
      <c r="D163" s="1" t="s">
        <v>585</v>
      </c>
      <c r="E163" s="2">
        <v>31404</v>
      </c>
      <c r="F163" s="2">
        <v>27</v>
      </c>
      <c r="G163" s="2">
        <v>95</v>
      </c>
      <c r="H163" s="2">
        <v>173</v>
      </c>
      <c r="I163" s="2">
        <v>64</v>
      </c>
      <c r="J163" s="2">
        <v>359</v>
      </c>
      <c r="K163" s="3">
        <f t="shared" si="14"/>
        <v>17.827298050139277</v>
      </c>
      <c r="L163" s="2">
        <v>27</v>
      </c>
    </row>
    <row r="164" spans="1:12" x14ac:dyDescent="0.25">
      <c r="A164" s="1" t="s">
        <v>3</v>
      </c>
      <c r="B164" s="1" t="s">
        <v>180</v>
      </c>
      <c r="C164" s="1" t="s">
        <v>584</v>
      </c>
      <c r="D164" s="1" t="s">
        <v>928</v>
      </c>
      <c r="E164" s="2">
        <v>31405</v>
      </c>
      <c r="F164" s="2">
        <v>138</v>
      </c>
      <c r="G164" s="2">
        <v>178</v>
      </c>
      <c r="H164" s="2">
        <v>228</v>
      </c>
      <c r="I164" s="2">
        <v>157</v>
      </c>
      <c r="J164" s="2">
        <v>701</v>
      </c>
      <c r="K164" s="3">
        <f t="shared" si="14"/>
        <v>22.396576319543509</v>
      </c>
      <c r="L164" s="2">
        <v>138</v>
      </c>
    </row>
    <row r="165" spans="1:12" x14ac:dyDescent="0.25">
      <c r="A165" s="1" t="s">
        <v>3</v>
      </c>
      <c r="B165" s="1" t="s">
        <v>285</v>
      </c>
      <c r="C165" s="1" t="s">
        <v>285</v>
      </c>
      <c r="D165" s="1" t="s">
        <v>285</v>
      </c>
      <c r="E165" s="2">
        <v>31501</v>
      </c>
      <c r="F165" s="2">
        <v>307</v>
      </c>
      <c r="G165" s="2">
        <v>990</v>
      </c>
      <c r="H165" s="2">
        <v>982</v>
      </c>
      <c r="I165" s="2">
        <v>87</v>
      </c>
      <c r="J165" s="2">
        <v>2366</v>
      </c>
      <c r="K165" s="3">
        <f t="shared" si="14"/>
        <v>3.6770921386305999</v>
      </c>
      <c r="L165" s="2">
        <v>307</v>
      </c>
    </row>
    <row r="166" spans="1:12" x14ac:dyDescent="0.25">
      <c r="A166" s="1" t="s">
        <v>3</v>
      </c>
      <c r="B166" s="1" t="s">
        <v>390</v>
      </c>
      <c r="C166" s="1" t="s">
        <v>390</v>
      </c>
      <c r="D166" s="1" t="s">
        <v>390</v>
      </c>
      <c r="E166" s="2">
        <v>31601</v>
      </c>
      <c r="F166" s="2">
        <v>863</v>
      </c>
      <c r="G166" s="2">
        <v>1149</v>
      </c>
      <c r="H166" s="2">
        <v>1958</v>
      </c>
      <c r="I166" s="2">
        <v>2526</v>
      </c>
      <c r="J166" s="2">
        <v>6496</v>
      </c>
      <c r="K166" s="3">
        <f t="shared" si="14"/>
        <v>38.885467980295566</v>
      </c>
      <c r="L166" s="2">
        <v>863</v>
      </c>
    </row>
    <row r="167" spans="1:12" x14ac:dyDescent="0.25">
      <c r="A167" s="1" t="s">
        <v>3</v>
      </c>
      <c r="B167" s="1" t="s">
        <v>390</v>
      </c>
      <c r="C167" s="1" t="s">
        <v>724</v>
      </c>
      <c r="D167" s="1" t="s">
        <v>724</v>
      </c>
      <c r="E167" s="2">
        <v>31602</v>
      </c>
      <c r="F167" s="2">
        <v>1403</v>
      </c>
      <c r="G167" s="2">
        <v>1809</v>
      </c>
      <c r="H167" s="2">
        <v>1357</v>
      </c>
      <c r="I167" s="2">
        <v>3042</v>
      </c>
      <c r="J167" s="2">
        <v>7611</v>
      </c>
      <c r="K167" s="3">
        <f t="shared" si="14"/>
        <v>39.968466692944418</v>
      </c>
      <c r="L167" s="2">
        <v>1403</v>
      </c>
    </row>
    <row r="168" spans="1:12" x14ac:dyDescent="0.25">
      <c r="A168" s="1" t="s">
        <v>1</v>
      </c>
      <c r="B168" s="1" t="s">
        <v>186</v>
      </c>
      <c r="C168" s="1" t="s">
        <v>1</v>
      </c>
      <c r="D168" s="1" t="s">
        <v>1</v>
      </c>
      <c r="E168" s="2">
        <v>40101</v>
      </c>
      <c r="F168" s="2">
        <v>2150</v>
      </c>
      <c r="G168" s="2">
        <v>5145</v>
      </c>
      <c r="H168" s="2">
        <v>18649</v>
      </c>
      <c r="I168" s="2">
        <v>50780</v>
      </c>
      <c r="J168" s="2">
        <v>76724</v>
      </c>
      <c r="K168" s="3">
        <f t="shared" si="14"/>
        <v>66.185287524112397</v>
      </c>
      <c r="L168" s="2">
        <v>2150</v>
      </c>
    </row>
    <row r="169" spans="1:12" x14ac:dyDescent="0.25">
      <c r="A169" s="1" t="s">
        <v>1</v>
      </c>
      <c r="B169" s="1" t="s">
        <v>186</v>
      </c>
      <c r="C169" s="1" t="s">
        <v>601</v>
      </c>
      <c r="D169" s="1" t="s">
        <v>601</v>
      </c>
      <c r="E169" s="2">
        <v>40102</v>
      </c>
      <c r="F169" s="2">
        <v>1401</v>
      </c>
      <c r="G169" s="2">
        <v>1857</v>
      </c>
      <c r="H169" s="2">
        <v>2342</v>
      </c>
      <c r="I169" s="2">
        <v>1090</v>
      </c>
      <c r="J169" s="2">
        <v>6690</v>
      </c>
      <c r="K169" s="3">
        <f t="shared" si="14"/>
        <v>16.292974588938712</v>
      </c>
      <c r="L169" s="2">
        <v>1401</v>
      </c>
    </row>
    <row r="170" spans="1:12" x14ac:dyDescent="0.25">
      <c r="A170" s="1" t="s">
        <v>1</v>
      </c>
      <c r="B170" s="1" t="s">
        <v>186</v>
      </c>
      <c r="C170" s="1" t="s">
        <v>588</v>
      </c>
      <c r="D170" s="1" t="s">
        <v>588</v>
      </c>
      <c r="E170" s="2">
        <v>40103</v>
      </c>
      <c r="F170" s="2">
        <v>2534</v>
      </c>
      <c r="G170" s="2">
        <v>639</v>
      </c>
      <c r="H170" s="2">
        <v>82</v>
      </c>
      <c r="I170" s="2">
        <v>6</v>
      </c>
      <c r="J170" s="2">
        <v>3261</v>
      </c>
      <c r="K170" s="3">
        <f t="shared" si="14"/>
        <v>0.18399264029438822</v>
      </c>
      <c r="L170" s="2">
        <v>2534</v>
      </c>
    </row>
    <row r="171" spans="1:12" x14ac:dyDescent="0.25">
      <c r="A171" s="1" t="s">
        <v>1</v>
      </c>
      <c r="B171" s="1" t="s">
        <v>186</v>
      </c>
      <c r="C171" s="1" t="s">
        <v>593</v>
      </c>
      <c r="D171" s="1" t="s">
        <v>937</v>
      </c>
      <c r="E171" s="2">
        <v>40104</v>
      </c>
      <c r="F171" s="2">
        <v>412</v>
      </c>
      <c r="G171" s="2">
        <v>869</v>
      </c>
      <c r="H171" s="2">
        <v>1949</v>
      </c>
      <c r="I171" s="2">
        <v>230</v>
      </c>
      <c r="J171" s="2">
        <v>3460</v>
      </c>
      <c r="K171" s="3">
        <f t="shared" si="14"/>
        <v>6.6473988439306355</v>
      </c>
      <c r="L171" s="2">
        <v>412</v>
      </c>
    </row>
    <row r="172" spans="1:12" x14ac:dyDescent="0.25">
      <c r="A172" s="1" t="s">
        <v>1</v>
      </c>
      <c r="B172" s="1" t="s">
        <v>169</v>
      </c>
      <c r="C172" s="1" t="s">
        <v>784</v>
      </c>
      <c r="D172" s="1" t="s">
        <v>784</v>
      </c>
      <c r="E172" s="2">
        <v>40201</v>
      </c>
      <c r="F172" s="2">
        <v>1815</v>
      </c>
      <c r="G172" s="2">
        <v>2328</v>
      </c>
      <c r="H172" s="2">
        <v>3403</v>
      </c>
      <c r="I172" s="2">
        <v>2327</v>
      </c>
      <c r="J172" s="2">
        <v>9873</v>
      </c>
      <c r="K172" s="3">
        <f t="shared" si="14"/>
        <v>23.569330497315914</v>
      </c>
      <c r="L172" s="2">
        <v>1815</v>
      </c>
    </row>
    <row r="173" spans="1:12" x14ac:dyDescent="0.25">
      <c r="A173" s="1" t="s">
        <v>1</v>
      </c>
      <c r="B173" s="1" t="s">
        <v>169</v>
      </c>
      <c r="C173" s="1" t="s">
        <v>455</v>
      </c>
      <c r="D173" s="1" t="s">
        <v>455</v>
      </c>
      <c r="E173" s="2">
        <v>40202</v>
      </c>
      <c r="F173" s="2">
        <v>373</v>
      </c>
      <c r="G173" s="2">
        <v>366</v>
      </c>
      <c r="H173" s="2">
        <v>516</v>
      </c>
      <c r="I173" s="2">
        <v>300</v>
      </c>
      <c r="J173" s="2">
        <v>1555</v>
      </c>
      <c r="K173" s="3">
        <f t="shared" si="14"/>
        <v>19.292604501607716</v>
      </c>
      <c r="L173" s="2">
        <v>373</v>
      </c>
    </row>
    <row r="174" spans="1:12" x14ac:dyDescent="0.25">
      <c r="A174" s="1" t="s">
        <v>1</v>
      </c>
      <c r="B174" s="1" t="s">
        <v>270</v>
      </c>
      <c r="C174" s="1" t="s">
        <v>573</v>
      </c>
      <c r="D174" s="1" t="s">
        <v>573</v>
      </c>
      <c r="E174" s="2">
        <v>40301</v>
      </c>
      <c r="F174" s="2">
        <v>1348</v>
      </c>
      <c r="G174" s="2">
        <v>943</v>
      </c>
      <c r="H174" s="2">
        <v>784</v>
      </c>
      <c r="I174" s="2">
        <v>97</v>
      </c>
      <c r="J174" s="2">
        <v>3172</v>
      </c>
      <c r="K174" s="3">
        <f t="shared" si="14"/>
        <v>3.0580075662042874</v>
      </c>
      <c r="L174" s="2">
        <v>1348</v>
      </c>
    </row>
    <row r="175" spans="1:12" x14ac:dyDescent="0.25">
      <c r="A175" s="1" t="s">
        <v>1</v>
      </c>
      <c r="B175" s="1" t="s">
        <v>270</v>
      </c>
      <c r="C175" s="1" t="s">
        <v>763</v>
      </c>
      <c r="D175" s="1" t="s">
        <v>763</v>
      </c>
      <c r="E175" s="2">
        <v>40302</v>
      </c>
      <c r="F175" s="2">
        <v>174</v>
      </c>
      <c r="G175" s="2">
        <v>172</v>
      </c>
      <c r="H175" s="2">
        <v>137</v>
      </c>
      <c r="I175" s="2">
        <v>33</v>
      </c>
      <c r="J175" s="2">
        <v>516</v>
      </c>
      <c r="K175" s="3">
        <f t="shared" si="14"/>
        <v>6.395348837209303</v>
      </c>
      <c r="L175" s="2">
        <v>174</v>
      </c>
    </row>
    <row r="176" spans="1:12" x14ac:dyDescent="0.25">
      <c r="A176" s="1" t="s">
        <v>1</v>
      </c>
      <c r="B176" s="1" t="s">
        <v>227</v>
      </c>
      <c r="C176" s="1" t="s">
        <v>762</v>
      </c>
      <c r="D176" s="1" t="s">
        <v>762</v>
      </c>
      <c r="E176" s="2">
        <v>40401</v>
      </c>
      <c r="F176" s="2">
        <v>246</v>
      </c>
      <c r="G176" s="2">
        <v>384</v>
      </c>
      <c r="H176" s="2">
        <v>332</v>
      </c>
      <c r="I176" s="2">
        <v>393</v>
      </c>
      <c r="J176" s="2">
        <v>1355</v>
      </c>
      <c r="K176" s="3">
        <f t="shared" si="14"/>
        <v>29.00369003690037</v>
      </c>
      <c r="L176" s="2">
        <v>246</v>
      </c>
    </row>
    <row r="177" spans="1:12" x14ac:dyDescent="0.25">
      <c r="A177" s="1" t="s">
        <v>1</v>
      </c>
      <c r="B177" s="1" t="s">
        <v>227</v>
      </c>
      <c r="C177" s="1" t="s">
        <v>520</v>
      </c>
      <c r="D177" s="1" t="s">
        <v>520</v>
      </c>
      <c r="E177" s="2">
        <v>40402</v>
      </c>
      <c r="F177" s="2">
        <v>393</v>
      </c>
      <c r="G177" s="2">
        <v>479</v>
      </c>
      <c r="H177" s="2">
        <v>402</v>
      </c>
      <c r="I177" s="2">
        <v>282</v>
      </c>
      <c r="J177" s="2">
        <v>1556</v>
      </c>
      <c r="K177" s="3">
        <f t="shared" si="14"/>
        <v>18.123393316195372</v>
      </c>
      <c r="L177" s="2">
        <v>393</v>
      </c>
    </row>
    <row r="178" spans="1:12" x14ac:dyDescent="0.25">
      <c r="A178" s="1" t="s">
        <v>1</v>
      </c>
      <c r="B178" s="1" t="s">
        <v>168</v>
      </c>
      <c r="C178" s="1" t="s">
        <v>463</v>
      </c>
      <c r="D178" s="1" t="s">
        <v>463</v>
      </c>
      <c r="E178" s="2">
        <v>40501</v>
      </c>
      <c r="F178" s="2">
        <v>3</v>
      </c>
      <c r="G178" s="2">
        <v>25</v>
      </c>
      <c r="H178" s="2">
        <v>79</v>
      </c>
      <c r="I178" s="2">
        <v>242</v>
      </c>
      <c r="J178" s="2">
        <v>349</v>
      </c>
      <c r="K178" s="3">
        <f t="shared" si="14"/>
        <v>69.340974212034382</v>
      </c>
      <c r="L178" s="2">
        <v>3</v>
      </c>
    </row>
    <row r="179" spans="1:12" x14ac:dyDescent="0.25">
      <c r="A179" s="1" t="s">
        <v>1</v>
      </c>
      <c r="B179" s="1" t="s">
        <v>168</v>
      </c>
      <c r="C179" s="1" t="s">
        <v>764</v>
      </c>
      <c r="D179" s="1" t="s">
        <v>764</v>
      </c>
      <c r="E179" s="2">
        <v>40502</v>
      </c>
      <c r="F179" s="2">
        <v>449</v>
      </c>
      <c r="G179" s="2">
        <v>354</v>
      </c>
      <c r="H179" s="2">
        <v>233</v>
      </c>
      <c r="I179" s="2">
        <v>46</v>
      </c>
      <c r="J179" s="2">
        <v>1082</v>
      </c>
      <c r="K179" s="3">
        <f t="shared" si="14"/>
        <v>4.251386321626617</v>
      </c>
      <c r="L179" s="2">
        <v>449</v>
      </c>
    </row>
    <row r="180" spans="1:12" x14ac:dyDescent="0.25">
      <c r="A180" s="1" t="s">
        <v>1</v>
      </c>
      <c r="B180" s="1" t="s">
        <v>168</v>
      </c>
      <c r="C180" s="1" t="s">
        <v>565</v>
      </c>
      <c r="D180" s="1" t="s">
        <v>565</v>
      </c>
      <c r="E180" s="2">
        <v>40503</v>
      </c>
      <c r="F180" s="2">
        <v>194</v>
      </c>
      <c r="G180" s="2">
        <v>141</v>
      </c>
      <c r="H180" s="2">
        <v>221</v>
      </c>
      <c r="I180" s="2">
        <v>28</v>
      </c>
      <c r="J180" s="2">
        <v>584</v>
      </c>
      <c r="K180" s="3">
        <f t="shared" si="14"/>
        <v>4.7945205479452051</v>
      </c>
      <c r="L180" s="2">
        <v>194</v>
      </c>
    </row>
    <row r="181" spans="1:12" x14ac:dyDescent="0.25">
      <c r="A181" s="1" t="s">
        <v>1</v>
      </c>
      <c r="B181" s="1" t="s">
        <v>168</v>
      </c>
      <c r="C181" s="1" t="s">
        <v>562</v>
      </c>
      <c r="D181" s="1" t="s">
        <v>562</v>
      </c>
      <c r="E181" s="2">
        <v>40504</v>
      </c>
      <c r="F181" s="2">
        <v>40</v>
      </c>
      <c r="G181" s="2">
        <v>54</v>
      </c>
      <c r="H181" s="2">
        <v>73</v>
      </c>
      <c r="I181" s="2">
        <v>2</v>
      </c>
      <c r="J181" s="2">
        <v>169</v>
      </c>
      <c r="K181" s="3">
        <f t="shared" si="14"/>
        <v>1.1834319526627219</v>
      </c>
      <c r="L181" s="2">
        <v>40</v>
      </c>
    </row>
    <row r="182" spans="1:12" x14ac:dyDescent="0.25">
      <c r="A182" s="1" t="s">
        <v>1</v>
      </c>
      <c r="B182" s="1" t="s">
        <v>168</v>
      </c>
      <c r="C182" s="1" t="s">
        <v>454</v>
      </c>
      <c r="D182" s="1" t="s">
        <v>454</v>
      </c>
      <c r="E182" s="2">
        <v>40505</v>
      </c>
      <c r="F182" s="2">
        <v>81</v>
      </c>
      <c r="G182" s="2">
        <v>137</v>
      </c>
      <c r="H182" s="2">
        <v>423</v>
      </c>
      <c r="I182" s="2">
        <v>78</v>
      </c>
      <c r="J182" s="2">
        <v>719</v>
      </c>
      <c r="K182" s="3">
        <f t="shared" si="14"/>
        <v>10.848400556328233</v>
      </c>
      <c r="L182" s="2">
        <v>81</v>
      </c>
    </row>
    <row r="183" spans="1:12" x14ac:dyDescent="0.25">
      <c r="A183" s="1" t="s">
        <v>1</v>
      </c>
      <c r="B183" s="1" t="s">
        <v>179</v>
      </c>
      <c r="C183" s="1" t="s">
        <v>179</v>
      </c>
      <c r="D183" s="1" t="s">
        <v>861</v>
      </c>
      <c r="E183" s="2">
        <v>40601</v>
      </c>
      <c r="F183" s="2">
        <v>457</v>
      </c>
      <c r="G183" s="2">
        <v>700</v>
      </c>
      <c r="H183" s="2">
        <v>1003</v>
      </c>
      <c r="I183" s="2">
        <v>679</v>
      </c>
      <c r="J183" s="2">
        <v>2839</v>
      </c>
      <c r="K183" s="3">
        <f t="shared" si="14"/>
        <v>23.916872138076787</v>
      </c>
      <c r="L183" s="2">
        <v>457</v>
      </c>
    </row>
    <row r="184" spans="1:12" x14ac:dyDescent="0.25">
      <c r="A184" s="1" t="s">
        <v>1</v>
      </c>
      <c r="B184" s="1" t="s">
        <v>179</v>
      </c>
      <c r="C184" s="1" t="s">
        <v>465</v>
      </c>
      <c r="D184" s="1" t="s">
        <v>465</v>
      </c>
      <c r="E184" s="2">
        <v>40602</v>
      </c>
      <c r="F184" s="2">
        <v>303</v>
      </c>
      <c r="G184" s="2">
        <v>451</v>
      </c>
      <c r="H184" s="2">
        <v>1145</v>
      </c>
      <c r="I184" s="2">
        <v>286</v>
      </c>
      <c r="J184" s="2">
        <v>2185</v>
      </c>
      <c r="K184" s="3">
        <f t="shared" si="14"/>
        <v>13.089244851258581</v>
      </c>
      <c r="L184" s="2">
        <v>303</v>
      </c>
    </row>
    <row r="185" spans="1:12" x14ac:dyDescent="0.25">
      <c r="A185" s="1" t="s">
        <v>1</v>
      </c>
      <c r="B185" s="1" t="s">
        <v>179</v>
      </c>
      <c r="C185" s="1" t="s">
        <v>569</v>
      </c>
      <c r="D185" s="1" t="s">
        <v>569</v>
      </c>
      <c r="E185" s="2">
        <v>40603</v>
      </c>
      <c r="F185" s="2">
        <v>117</v>
      </c>
      <c r="G185" s="2">
        <v>209</v>
      </c>
      <c r="H185" s="2">
        <v>488</v>
      </c>
      <c r="I185" s="2">
        <v>344</v>
      </c>
      <c r="J185" s="2">
        <v>1158</v>
      </c>
      <c r="K185" s="3">
        <f t="shared" si="14"/>
        <v>29.70639032815199</v>
      </c>
      <c r="L185" s="2">
        <v>117</v>
      </c>
    </row>
    <row r="186" spans="1:12" x14ac:dyDescent="0.25">
      <c r="A186" s="1" t="s">
        <v>1</v>
      </c>
      <c r="B186" s="1" t="s">
        <v>176</v>
      </c>
      <c r="C186" s="1" t="s">
        <v>462</v>
      </c>
      <c r="D186" s="1" t="s">
        <v>806</v>
      </c>
      <c r="E186" s="2">
        <v>40701</v>
      </c>
      <c r="F186" s="2">
        <v>266</v>
      </c>
      <c r="G186" s="2">
        <v>646</v>
      </c>
      <c r="H186" s="2">
        <v>3188</v>
      </c>
      <c r="I186" s="2">
        <v>3089</v>
      </c>
      <c r="J186" s="2">
        <v>7189</v>
      </c>
      <c r="K186" s="3">
        <f t="shared" si="14"/>
        <v>42.968423981082211</v>
      </c>
      <c r="L186" s="2">
        <v>266</v>
      </c>
    </row>
    <row r="187" spans="1:12" x14ac:dyDescent="0.25">
      <c r="A187" s="1" t="s">
        <v>1</v>
      </c>
      <c r="B187" s="1" t="s">
        <v>176</v>
      </c>
      <c r="C187" s="1" t="s">
        <v>577</v>
      </c>
      <c r="D187" s="1" t="s">
        <v>577</v>
      </c>
      <c r="E187" s="2">
        <v>40702</v>
      </c>
      <c r="F187" s="2">
        <v>102</v>
      </c>
      <c r="G187" s="2">
        <v>368</v>
      </c>
      <c r="H187" s="2">
        <v>558</v>
      </c>
      <c r="I187" s="2">
        <v>530</v>
      </c>
      <c r="J187" s="2">
        <v>1558</v>
      </c>
      <c r="K187" s="3">
        <f t="shared" si="14"/>
        <v>34.017971758664956</v>
      </c>
      <c r="L187" s="2">
        <v>102</v>
      </c>
    </row>
    <row r="188" spans="1:12" x14ac:dyDescent="0.25">
      <c r="A188" s="1" t="s">
        <v>1</v>
      </c>
      <c r="B188" s="1" t="s">
        <v>170</v>
      </c>
      <c r="C188" s="1" t="s">
        <v>768</v>
      </c>
      <c r="D188" s="1" t="s">
        <v>768</v>
      </c>
      <c r="E188" s="2">
        <v>40801</v>
      </c>
      <c r="F188" s="2">
        <v>686</v>
      </c>
      <c r="G188" s="2">
        <v>1408</v>
      </c>
      <c r="H188" s="2">
        <v>1443</v>
      </c>
      <c r="I188" s="2">
        <v>390</v>
      </c>
      <c r="J188" s="2">
        <v>3927</v>
      </c>
      <c r="K188" s="3">
        <f t="shared" si="14"/>
        <v>9.931245225362872</v>
      </c>
      <c r="L188" s="2">
        <v>686</v>
      </c>
    </row>
    <row r="189" spans="1:12" x14ac:dyDescent="0.25">
      <c r="A189" s="1" t="s">
        <v>1</v>
      </c>
      <c r="B189" s="1" t="s">
        <v>170</v>
      </c>
      <c r="C189" s="1" t="s">
        <v>456</v>
      </c>
      <c r="D189" s="1" t="s">
        <v>456</v>
      </c>
      <c r="E189" s="2">
        <v>40802</v>
      </c>
      <c r="F189" s="2">
        <v>271</v>
      </c>
      <c r="G189" s="2">
        <v>363</v>
      </c>
      <c r="H189" s="2">
        <v>278</v>
      </c>
      <c r="I189" s="2">
        <v>128</v>
      </c>
      <c r="J189" s="2">
        <v>1040</v>
      </c>
      <c r="K189" s="3">
        <f t="shared" si="14"/>
        <v>12.307692307692308</v>
      </c>
      <c r="L189" s="2">
        <v>271</v>
      </c>
    </row>
    <row r="190" spans="1:12" x14ac:dyDescent="0.25">
      <c r="A190" s="1" t="s">
        <v>1</v>
      </c>
      <c r="B190" s="1" t="s">
        <v>210</v>
      </c>
      <c r="C190" s="1" t="s">
        <v>210</v>
      </c>
      <c r="D190" s="1" t="s">
        <v>210</v>
      </c>
      <c r="E190" s="2">
        <v>40901</v>
      </c>
      <c r="F190" s="2">
        <v>364</v>
      </c>
      <c r="G190" s="2">
        <v>607</v>
      </c>
      <c r="H190" s="2">
        <v>1055</v>
      </c>
      <c r="I190" s="2">
        <v>221</v>
      </c>
      <c r="J190" s="2">
        <v>2247</v>
      </c>
      <c r="K190" s="3">
        <f t="shared" si="14"/>
        <v>9.8353360035603021</v>
      </c>
      <c r="L190" s="2">
        <v>364</v>
      </c>
    </row>
    <row r="191" spans="1:12" x14ac:dyDescent="0.25">
      <c r="A191" s="1" t="s">
        <v>1</v>
      </c>
      <c r="B191" s="1" t="s">
        <v>210</v>
      </c>
      <c r="C191" s="1" t="s">
        <v>765</v>
      </c>
      <c r="D191" s="1" t="s">
        <v>765</v>
      </c>
      <c r="E191" s="2">
        <v>40902</v>
      </c>
      <c r="F191" s="2">
        <v>54</v>
      </c>
      <c r="G191" s="2">
        <v>154</v>
      </c>
      <c r="H191" s="2">
        <v>41</v>
      </c>
      <c r="I191" s="2">
        <v>4</v>
      </c>
      <c r="J191" s="2">
        <v>253</v>
      </c>
      <c r="K191" s="3">
        <f t="shared" si="14"/>
        <v>1.5810276679841897</v>
      </c>
      <c r="L191" s="2">
        <v>54</v>
      </c>
    </row>
    <row r="192" spans="1:12" x14ac:dyDescent="0.25">
      <c r="A192" s="1" t="s">
        <v>1</v>
      </c>
      <c r="B192" s="1" t="s">
        <v>210</v>
      </c>
      <c r="C192" s="1" t="s">
        <v>766</v>
      </c>
      <c r="D192" s="1" t="s">
        <v>766</v>
      </c>
      <c r="E192" s="2">
        <v>40903</v>
      </c>
      <c r="F192" s="2">
        <v>58</v>
      </c>
      <c r="G192" s="2">
        <v>214</v>
      </c>
      <c r="H192" s="2">
        <v>210</v>
      </c>
      <c r="I192" s="2">
        <v>108</v>
      </c>
      <c r="J192" s="2">
        <v>590</v>
      </c>
      <c r="K192" s="3">
        <f t="shared" si="14"/>
        <v>18.305084745762713</v>
      </c>
      <c r="L192" s="2">
        <v>58</v>
      </c>
    </row>
    <row r="193" spans="1:12" x14ac:dyDescent="0.25">
      <c r="A193" s="1" t="s">
        <v>1</v>
      </c>
      <c r="B193" s="1" t="s">
        <v>284</v>
      </c>
      <c r="C193" s="1" t="s">
        <v>589</v>
      </c>
      <c r="D193" s="1" t="s">
        <v>589</v>
      </c>
      <c r="E193" s="2">
        <v>41001</v>
      </c>
      <c r="F193" s="2">
        <v>2368</v>
      </c>
      <c r="G193" s="2">
        <v>1244</v>
      </c>
      <c r="H193" s="2">
        <v>534</v>
      </c>
      <c r="I193" s="2">
        <v>185</v>
      </c>
      <c r="J193" s="2">
        <v>4331</v>
      </c>
      <c r="K193" s="3">
        <f t="shared" si="14"/>
        <v>4.2715308242900019</v>
      </c>
      <c r="L193" s="2">
        <v>2368</v>
      </c>
    </row>
    <row r="194" spans="1:12" x14ac:dyDescent="0.25">
      <c r="A194" s="1" t="s">
        <v>1</v>
      </c>
      <c r="B194" s="1" t="s">
        <v>293</v>
      </c>
      <c r="C194" s="1" t="s">
        <v>598</v>
      </c>
      <c r="D194" s="1" t="s">
        <v>598</v>
      </c>
      <c r="E194" s="2">
        <v>41101</v>
      </c>
      <c r="F194" s="2">
        <v>218</v>
      </c>
      <c r="G194" s="2">
        <v>408</v>
      </c>
      <c r="H194" s="2">
        <v>1052</v>
      </c>
      <c r="I194" s="2">
        <v>220</v>
      </c>
      <c r="J194" s="2">
        <v>1898</v>
      </c>
      <c r="K194" s="3">
        <f t="shared" si="14"/>
        <v>11.591148577449948</v>
      </c>
      <c r="L194" s="2">
        <v>218</v>
      </c>
    </row>
    <row r="195" spans="1:12" x14ac:dyDescent="0.25">
      <c r="A195" s="1" t="s">
        <v>1</v>
      </c>
      <c r="B195" s="1" t="s">
        <v>181</v>
      </c>
      <c r="C195" s="1" t="s">
        <v>467</v>
      </c>
      <c r="D195" s="1" t="s">
        <v>811</v>
      </c>
      <c r="E195" s="2">
        <v>41201</v>
      </c>
      <c r="F195" s="2">
        <v>768</v>
      </c>
      <c r="G195" s="2">
        <v>628</v>
      </c>
      <c r="H195" s="2">
        <v>501</v>
      </c>
      <c r="I195" s="2">
        <v>95</v>
      </c>
      <c r="J195" s="2">
        <v>1992</v>
      </c>
      <c r="K195" s="3">
        <f t="shared" si="14"/>
        <v>4.7690763052208842</v>
      </c>
      <c r="L195" s="2">
        <v>768</v>
      </c>
    </row>
    <row r="196" spans="1:12" x14ac:dyDescent="0.25">
      <c r="A196" s="1" t="s">
        <v>1</v>
      </c>
      <c r="B196" s="1" t="s">
        <v>181</v>
      </c>
      <c r="C196" s="1" t="s">
        <v>572</v>
      </c>
      <c r="D196" s="1" t="s">
        <v>572</v>
      </c>
      <c r="E196" s="2">
        <v>41202</v>
      </c>
      <c r="F196" s="2">
        <v>169</v>
      </c>
      <c r="G196" s="2">
        <v>236</v>
      </c>
      <c r="H196" s="2">
        <v>306</v>
      </c>
      <c r="I196" s="2">
        <v>17</v>
      </c>
      <c r="J196" s="2">
        <v>728</v>
      </c>
      <c r="K196" s="3">
        <f t="shared" si="14"/>
        <v>2.3351648351648353</v>
      </c>
      <c r="L196" s="2">
        <v>169</v>
      </c>
    </row>
    <row r="197" spans="1:12" x14ac:dyDescent="0.25">
      <c r="A197" s="1" t="s">
        <v>1</v>
      </c>
      <c r="B197" s="1" t="s">
        <v>225</v>
      </c>
      <c r="C197" s="1" t="s">
        <v>518</v>
      </c>
      <c r="D197" s="1" t="s">
        <v>518</v>
      </c>
      <c r="E197" s="2">
        <v>41301</v>
      </c>
      <c r="F197" s="2">
        <v>755</v>
      </c>
      <c r="G197" s="2">
        <v>594</v>
      </c>
      <c r="H197" s="2">
        <v>433</v>
      </c>
      <c r="I197" s="2">
        <v>104</v>
      </c>
      <c r="J197" s="2">
        <v>1886</v>
      </c>
      <c r="K197" s="3">
        <f t="shared" si="14"/>
        <v>5.5143160127253443</v>
      </c>
      <c r="L197" s="2">
        <v>755</v>
      </c>
    </row>
    <row r="198" spans="1:12" x14ac:dyDescent="0.25">
      <c r="A198" s="1" t="s">
        <v>1</v>
      </c>
      <c r="B198" s="1" t="s">
        <v>178</v>
      </c>
      <c r="C198" s="1" t="s">
        <v>464</v>
      </c>
      <c r="D198" s="1" t="s">
        <v>464</v>
      </c>
      <c r="E198" s="2">
        <v>41401</v>
      </c>
      <c r="F198" s="2">
        <v>1133</v>
      </c>
      <c r="G198" s="2">
        <v>1081</v>
      </c>
      <c r="H198" s="2">
        <v>1255</v>
      </c>
      <c r="I198" s="2">
        <v>833</v>
      </c>
      <c r="J198" s="2">
        <v>4302</v>
      </c>
      <c r="K198" s="3">
        <f t="shared" ref="K198:K263" si="16">(I198/J198)*100</f>
        <v>19.363086936308694</v>
      </c>
      <c r="L198" s="2">
        <v>1133</v>
      </c>
    </row>
    <row r="199" spans="1:12" x14ac:dyDescent="0.25">
      <c r="A199" s="1" t="s">
        <v>1</v>
      </c>
      <c r="B199" s="1" t="s">
        <v>228</v>
      </c>
      <c r="C199" s="1" t="s">
        <v>526</v>
      </c>
      <c r="D199" s="1" t="s">
        <v>526</v>
      </c>
      <c r="E199" s="2">
        <v>41501</v>
      </c>
      <c r="F199" s="2">
        <v>60</v>
      </c>
      <c r="G199" s="2">
        <v>69</v>
      </c>
      <c r="H199" s="2">
        <v>24</v>
      </c>
      <c r="I199" s="2">
        <v>28</v>
      </c>
      <c r="J199" s="2">
        <v>181</v>
      </c>
      <c r="K199" s="3">
        <f t="shared" si="16"/>
        <v>15.469613259668508</v>
      </c>
      <c r="L199" s="2">
        <v>60</v>
      </c>
    </row>
    <row r="200" spans="1:12" x14ac:dyDescent="0.25">
      <c r="A200" s="1" t="s">
        <v>1</v>
      </c>
      <c r="B200" s="1" t="s">
        <v>228</v>
      </c>
      <c r="C200" s="1" t="s">
        <v>521</v>
      </c>
      <c r="D200" s="1" t="s">
        <v>521</v>
      </c>
      <c r="E200" s="2">
        <v>41502</v>
      </c>
      <c r="F200" s="2">
        <v>86</v>
      </c>
      <c r="G200" s="2">
        <v>52</v>
      </c>
      <c r="H200" s="2">
        <v>31</v>
      </c>
      <c r="I200" s="2">
        <v>24</v>
      </c>
      <c r="J200" s="2">
        <v>193</v>
      </c>
      <c r="K200" s="3">
        <f t="shared" si="16"/>
        <v>12.435233160621761</v>
      </c>
      <c r="L200" s="2">
        <v>86</v>
      </c>
    </row>
    <row r="201" spans="1:12" x14ac:dyDescent="0.25">
      <c r="A201" s="1" t="s">
        <v>1</v>
      </c>
      <c r="B201" s="1" t="s">
        <v>228</v>
      </c>
      <c r="C201" s="1" t="s">
        <v>270</v>
      </c>
      <c r="D201" s="1" t="s">
        <v>270</v>
      </c>
      <c r="E201" s="2">
        <v>41503</v>
      </c>
      <c r="F201" s="2">
        <v>103</v>
      </c>
      <c r="G201" s="2">
        <v>79</v>
      </c>
      <c r="H201" s="2">
        <v>60</v>
      </c>
      <c r="I201" s="2">
        <v>3</v>
      </c>
      <c r="J201" s="2">
        <v>245</v>
      </c>
      <c r="K201" s="3">
        <f t="shared" si="16"/>
        <v>1.2244897959183674</v>
      </c>
      <c r="L201" s="2">
        <v>103</v>
      </c>
    </row>
    <row r="202" spans="1:12" x14ac:dyDescent="0.25">
      <c r="A202" s="1" t="s">
        <v>1</v>
      </c>
      <c r="B202" s="1" t="s">
        <v>187</v>
      </c>
      <c r="C202" s="1" t="s">
        <v>473</v>
      </c>
      <c r="D202" s="1" t="s">
        <v>817</v>
      </c>
      <c r="E202" s="2">
        <v>41601</v>
      </c>
      <c r="F202" s="2">
        <v>1097</v>
      </c>
      <c r="G202" s="2">
        <v>539</v>
      </c>
      <c r="H202" s="2">
        <v>522</v>
      </c>
      <c r="I202" s="2">
        <v>96</v>
      </c>
      <c r="J202" s="2">
        <v>2254</v>
      </c>
      <c r="K202" s="3">
        <f t="shared" si="16"/>
        <v>4.2590949423247562</v>
      </c>
      <c r="L202" s="2">
        <v>1097</v>
      </c>
    </row>
    <row r="203" spans="1:12" x14ac:dyDescent="0.25">
      <c r="A203" s="1" t="s">
        <v>2</v>
      </c>
      <c r="B203" s="1" t="s">
        <v>205</v>
      </c>
      <c r="C203" s="1" t="s">
        <v>2</v>
      </c>
      <c r="D203" s="1" t="s">
        <v>2</v>
      </c>
      <c r="E203" s="2">
        <v>50101</v>
      </c>
      <c r="F203" s="2">
        <v>1117</v>
      </c>
      <c r="G203" s="2">
        <v>2857</v>
      </c>
      <c r="H203" s="2">
        <v>6464</v>
      </c>
      <c r="I203" s="2">
        <v>41168</v>
      </c>
      <c r="J203" s="2">
        <v>51606</v>
      </c>
      <c r="K203" s="3">
        <f t="shared" si="16"/>
        <v>79.773669728326169</v>
      </c>
      <c r="L203" s="2">
        <v>1117</v>
      </c>
    </row>
    <row r="204" spans="1:12" x14ac:dyDescent="0.25">
      <c r="A204" s="1" t="s">
        <v>2</v>
      </c>
      <c r="B204" s="1" t="s">
        <v>205</v>
      </c>
      <c r="C204" s="1" t="s">
        <v>493</v>
      </c>
      <c r="D204" s="1" t="s">
        <v>493</v>
      </c>
      <c r="E204" s="2">
        <v>50102</v>
      </c>
      <c r="F204" s="2">
        <v>2087</v>
      </c>
      <c r="G204" s="2">
        <v>2799</v>
      </c>
      <c r="H204" s="2">
        <v>2205</v>
      </c>
      <c r="I204" s="2">
        <v>454</v>
      </c>
      <c r="J204" s="2">
        <v>7545</v>
      </c>
      <c r="K204" s="3">
        <f t="shared" si="16"/>
        <v>6.0172299536116638</v>
      </c>
      <c r="L204" s="2">
        <v>2087</v>
      </c>
    </row>
    <row r="205" spans="1:12" x14ac:dyDescent="0.25">
      <c r="A205" s="1" t="s">
        <v>2</v>
      </c>
      <c r="B205" s="1" t="s">
        <v>205</v>
      </c>
      <c r="C205" s="1" t="s">
        <v>503</v>
      </c>
      <c r="D205" s="1" t="s">
        <v>847</v>
      </c>
      <c r="E205" s="2">
        <v>50103</v>
      </c>
      <c r="F205" s="2">
        <v>279</v>
      </c>
      <c r="G205" s="2">
        <v>436</v>
      </c>
      <c r="H205" s="2">
        <v>1396</v>
      </c>
      <c r="I205" s="2">
        <v>805</v>
      </c>
      <c r="J205" s="2">
        <v>2916</v>
      </c>
      <c r="K205" s="3">
        <f t="shared" si="16"/>
        <v>27.606310013717422</v>
      </c>
      <c r="L205" s="2">
        <v>279</v>
      </c>
    </row>
    <row r="206" spans="1:12" x14ac:dyDescent="0.25">
      <c r="A206" s="1" t="s">
        <v>2</v>
      </c>
      <c r="B206" s="1" t="s">
        <v>205</v>
      </c>
      <c r="C206" s="1" t="s">
        <v>504</v>
      </c>
      <c r="D206" s="1" t="s">
        <v>848</v>
      </c>
      <c r="E206" s="2">
        <v>50104</v>
      </c>
      <c r="F206" s="2">
        <v>408</v>
      </c>
      <c r="G206" s="2">
        <v>277</v>
      </c>
      <c r="H206" s="2">
        <v>361</v>
      </c>
      <c r="I206" s="2">
        <v>56</v>
      </c>
      <c r="J206" s="2">
        <v>1102</v>
      </c>
      <c r="K206" s="3">
        <f t="shared" si="16"/>
        <v>5.0816696914700543</v>
      </c>
      <c r="L206" s="2">
        <v>408</v>
      </c>
    </row>
    <row r="207" spans="1:12" x14ac:dyDescent="0.25">
      <c r="A207" s="1" t="s">
        <v>2</v>
      </c>
      <c r="B207" s="1" t="s">
        <v>171</v>
      </c>
      <c r="C207" s="1" t="s">
        <v>785</v>
      </c>
      <c r="D207" s="1" t="s">
        <v>785</v>
      </c>
      <c r="E207" s="2">
        <v>50201</v>
      </c>
      <c r="F207" s="2">
        <v>537</v>
      </c>
      <c r="G207" s="2">
        <v>1490</v>
      </c>
      <c r="H207" s="2">
        <v>2415</v>
      </c>
      <c r="I207" s="2">
        <v>2178</v>
      </c>
      <c r="J207" s="2">
        <v>6620</v>
      </c>
      <c r="K207" s="3">
        <f t="shared" si="16"/>
        <v>32.900302114803623</v>
      </c>
      <c r="L207" s="2">
        <v>537</v>
      </c>
    </row>
    <row r="208" spans="1:12" x14ac:dyDescent="0.25">
      <c r="A208" s="1" t="s">
        <v>2</v>
      </c>
      <c r="B208" s="1" t="s">
        <v>171</v>
      </c>
      <c r="C208" s="1" t="s">
        <v>237</v>
      </c>
      <c r="D208" s="1" t="s">
        <v>237</v>
      </c>
      <c r="E208" s="2">
        <v>50202</v>
      </c>
      <c r="F208" s="2">
        <v>273</v>
      </c>
      <c r="G208" s="2">
        <v>969</v>
      </c>
      <c r="H208" s="2">
        <v>2573</v>
      </c>
      <c r="I208" s="2">
        <v>852</v>
      </c>
      <c r="J208" s="2">
        <v>4667</v>
      </c>
      <c r="K208" s="3">
        <f t="shared" si="16"/>
        <v>18.255838868652237</v>
      </c>
      <c r="L208" s="2">
        <v>273</v>
      </c>
    </row>
    <row r="209" spans="1:12" x14ac:dyDescent="0.25">
      <c r="A209" s="1" t="s">
        <v>2</v>
      </c>
      <c r="B209" s="1" t="s">
        <v>171</v>
      </c>
      <c r="C209" s="1" t="s">
        <v>457</v>
      </c>
      <c r="D209" s="1" t="s">
        <v>457</v>
      </c>
      <c r="E209" s="2">
        <v>50203</v>
      </c>
      <c r="F209" s="2">
        <v>509</v>
      </c>
      <c r="G209" s="2">
        <v>1630</v>
      </c>
      <c r="H209" s="2">
        <v>3689</v>
      </c>
      <c r="I209" s="2">
        <v>6581</v>
      </c>
      <c r="J209" s="2">
        <v>12409</v>
      </c>
      <c r="K209" s="3">
        <f t="shared" si="16"/>
        <v>53.03408816181804</v>
      </c>
      <c r="L209" s="2">
        <v>509</v>
      </c>
    </row>
    <row r="210" spans="1:12" x14ac:dyDescent="0.25">
      <c r="A210" s="1" t="s">
        <v>2</v>
      </c>
      <c r="B210" s="1" t="s">
        <v>171</v>
      </c>
      <c r="C210" s="1" t="s">
        <v>689</v>
      </c>
      <c r="D210" s="1" t="s">
        <v>689</v>
      </c>
      <c r="E210" s="2">
        <v>50204</v>
      </c>
      <c r="F210" s="2">
        <v>372</v>
      </c>
      <c r="G210" s="2">
        <v>634</v>
      </c>
      <c r="H210" s="2">
        <v>1153</v>
      </c>
      <c r="I210" s="2">
        <v>110</v>
      </c>
      <c r="J210" s="2">
        <v>2269</v>
      </c>
      <c r="K210" s="3">
        <f t="shared" si="16"/>
        <v>4.8479506390480394</v>
      </c>
      <c r="L210" s="2">
        <v>372</v>
      </c>
    </row>
    <row r="211" spans="1:12" x14ac:dyDescent="0.25">
      <c r="A211" s="1" t="s">
        <v>2</v>
      </c>
      <c r="B211" s="1" t="s">
        <v>226</v>
      </c>
      <c r="C211" s="1" t="s">
        <v>519</v>
      </c>
      <c r="D211" s="1" t="s">
        <v>863</v>
      </c>
      <c r="E211" s="2">
        <v>50301</v>
      </c>
      <c r="F211" s="2">
        <v>1958</v>
      </c>
      <c r="G211" s="2">
        <v>3009</v>
      </c>
      <c r="H211" s="2">
        <v>2615</v>
      </c>
      <c r="I211" s="2">
        <v>2139</v>
      </c>
      <c r="J211" s="2">
        <v>9721</v>
      </c>
      <c r="K211" s="3">
        <f t="shared" si="16"/>
        <v>22.003909062853616</v>
      </c>
      <c r="L211" s="2">
        <v>1958</v>
      </c>
    </row>
    <row r="212" spans="1:12" x14ac:dyDescent="0.25">
      <c r="A212" s="1" t="s">
        <v>2</v>
      </c>
      <c r="B212" s="1" t="s">
        <v>226</v>
      </c>
      <c r="C212" s="1" t="s">
        <v>646</v>
      </c>
      <c r="D212" s="1" t="s">
        <v>646</v>
      </c>
      <c r="E212" s="2">
        <v>50302</v>
      </c>
      <c r="F212" s="2">
        <v>622</v>
      </c>
      <c r="G212" s="2">
        <v>919</v>
      </c>
      <c r="H212" s="2">
        <v>1017</v>
      </c>
      <c r="I212" s="2">
        <v>664</v>
      </c>
      <c r="J212" s="2">
        <v>3222</v>
      </c>
      <c r="K212" s="3">
        <f t="shared" si="16"/>
        <v>20.608317815021728</v>
      </c>
      <c r="L212" s="2">
        <v>622</v>
      </c>
    </row>
    <row r="213" spans="1:12" x14ac:dyDescent="0.25">
      <c r="A213" s="1" t="s">
        <v>2</v>
      </c>
      <c r="B213" s="1" t="s">
        <v>226</v>
      </c>
      <c r="C213" s="1" t="s">
        <v>783</v>
      </c>
      <c r="D213" s="1" t="s">
        <v>783</v>
      </c>
      <c r="E213" s="2">
        <v>50303</v>
      </c>
      <c r="F213" s="2">
        <v>1863</v>
      </c>
      <c r="G213" s="2">
        <v>1277</v>
      </c>
      <c r="H213" s="2">
        <v>694</v>
      </c>
      <c r="I213" s="2">
        <v>63</v>
      </c>
      <c r="J213" s="2">
        <v>3897</v>
      </c>
      <c r="K213" s="3">
        <f t="shared" si="16"/>
        <v>1.6166281755196306</v>
      </c>
      <c r="L213" s="2">
        <v>1863</v>
      </c>
    </row>
    <row r="214" spans="1:12" x14ac:dyDescent="0.25">
      <c r="A214" s="1" t="s">
        <v>2</v>
      </c>
      <c r="B214" s="1" t="s">
        <v>237</v>
      </c>
      <c r="C214" s="1" t="s">
        <v>531</v>
      </c>
      <c r="D214" s="1" t="s">
        <v>531</v>
      </c>
      <c r="E214" s="2">
        <v>50401</v>
      </c>
      <c r="F214" s="2">
        <v>919</v>
      </c>
      <c r="G214" s="2">
        <v>1384</v>
      </c>
      <c r="H214" s="2">
        <v>1308</v>
      </c>
      <c r="I214" s="2">
        <v>675</v>
      </c>
      <c r="J214" s="2">
        <v>4286</v>
      </c>
      <c r="K214" s="3">
        <f t="shared" si="16"/>
        <v>15.748950069995335</v>
      </c>
      <c r="L214" s="2">
        <v>919</v>
      </c>
    </row>
    <row r="215" spans="1:12" x14ac:dyDescent="0.25">
      <c r="A215" s="1" t="s">
        <v>2</v>
      </c>
      <c r="B215" s="1" t="s">
        <v>237</v>
      </c>
      <c r="C215" s="1" t="s">
        <v>786</v>
      </c>
      <c r="D215" s="1" t="s">
        <v>786</v>
      </c>
      <c r="E215" s="2">
        <v>50402</v>
      </c>
      <c r="F215" s="2">
        <v>1664</v>
      </c>
      <c r="G215" s="2">
        <v>2462</v>
      </c>
      <c r="H215" s="2">
        <v>1513</v>
      </c>
      <c r="I215" s="2">
        <v>1046</v>
      </c>
      <c r="J215" s="2">
        <v>6685</v>
      </c>
      <c r="K215" s="3">
        <f t="shared" si="16"/>
        <v>15.646970830216903</v>
      </c>
      <c r="L215" s="2">
        <v>1664</v>
      </c>
    </row>
    <row r="216" spans="1:12" x14ac:dyDescent="0.25">
      <c r="A216" s="1" t="s">
        <v>2</v>
      </c>
      <c r="B216" s="1" t="s">
        <v>237</v>
      </c>
      <c r="C216" s="1" t="s">
        <v>532</v>
      </c>
      <c r="D216" s="1" t="s">
        <v>532</v>
      </c>
      <c r="E216" s="2">
        <v>50403</v>
      </c>
      <c r="F216" s="2">
        <v>2044</v>
      </c>
      <c r="G216" s="2">
        <v>3086</v>
      </c>
      <c r="H216" s="2">
        <v>2696</v>
      </c>
      <c r="I216" s="2">
        <v>610</v>
      </c>
      <c r="J216" s="2">
        <v>8436</v>
      </c>
      <c r="K216" s="3">
        <f t="shared" si="16"/>
        <v>7.2309151256519684</v>
      </c>
      <c r="L216" s="2">
        <v>2044</v>
      </c>
    </row>
    <row r="217" spans="1:12" x14ac:dyDescent="0.25">
      <c r="A217" s="1" t="s">
        <v>2</v>
      </c>
      <c r="B217" s="1" t="s">
        <v>237</v>
      </c>
      <c r="C217" s="1" t="s">
        <v>663</v>
      </c>
      <c r="D217" s="1" t="s">
        <v>663</v>
      </c>
      <c r="E217" s="2">
        <v>50404</v>
      </c>
      <c r="F217" s="2">
        <v>1480</v>
      </c>
      <c r="G217" s="2">
        <v>1715</v>
      </c>
      <c r="H217" s="2">
        <v>1325</v>
      </c>
      <c r="I217" s="2">
        <v>573</v>
      </c>
      <c r="J217" s="2">
        <v>5093</v>
      </c>
      <c r="K217" s="3">
        <f t="shared" si="16"/>
        <v>11.250736304731985</v>
      </c>
      <c r="L217" s="2">
        <v>1480</v>
      </c>
    </row>
    <row r="218" spans="1:12" x14ac:dyDescent="0.25">
      <c r="A218" s="1" t="s">
        <v>2</v>
      </c>
      <c r="B218" s="1" t="s">
        <v>237</v>
      </c>
      <c r="C218" s="1" t="s">
        <v>795</v>
      </c>
      <c r="D218" s="1" t="s">
        <v>795</v>
      </c>
      <c r="E218" s="40">
        <v>50405</v>
      </c>
      <c r="F218" s="2">
        <v>1242</v>
      </c>
      <c r="G218" s="2">
        <v>2152</v>
      </c>
      <c r="H218" s="2">
        <v>2152</v>
      </c>
      <c r="I218" s="2">
        <v>818</v>
      </c>
      <c r="J218" s="2">
        <v>6364</v>
      </c>
      <c r="K218" s="3">
        <v>14.018779342723004</v>
      </c>
      <c r="L218" s="2">
        <v>1242</v>
      </c>
    </row>
    <row r="219" spans="1:12" x14ac:dyDescent="0.25">
      <c r="A219" s="1" t="s">
        <v>2</v>
      </c>
      <c r="B219" s="1" t="s">
        <v>206</v>
      </c>
      <c r="C219" s="1" t="s">
        <v>494</v>
      </c>
      <c r="D219" s="1" t="s">
        <v>494</v>
      </c>
      <c r="E219" s="2">
        <v>50501</v>
      </c>
      <c r="F219" s="2">
        <v>2967</v>
      </c>
      <c r="G219" s="2">
        <v>3653</v>
      </c>
      <c r="H219" s="2">
        <v>1241</v>
      </c>
      <c r="I219" s="2">
        <v>416</v>
      </c>
      <c r="J219" s="2">
        <v>8277</v>
      </c>
      <c r="K219" s="3">
        <f t="shared" si="16"/>
        <v>5.0259755950223512</v>
      </c>
      <c r="L219" s="2">
        <v>2967</v>
      </c>
    </row>
    <row r="220" spans="1:12" x14ac:dyDescent="0.25">
      <c r="A220" s="1" t="s">
        <v>2</v>
      </c>
      <c r="B220" s="1" t="s">
        <v>206</v>
      </c>
      <c r="C220" s="1" t="s">
        <v>553</v>
      </c>
      <c r="D220" s="1" t="s">
        <v>553</v>
      </c>
      <c r="E220" s="2">
        <v>50502</v>
      </c>
      <c r="F220" s="14">
        <v>906</v>
      </c>
      <c r="G220" s="14">
        <v>1368</v>
      </c>
      <c r="H220" s="14">
        <v>699</v>
      </c>
      <c r="I220" s="14">
        <v>538</v>
      </c>
      <c r="J220" s="14">
        <v>3511</v>
      </c>
      <c r="K220" s="23">
        <f t="shared" si="16"/>
        <v>15.323269723725435</v>
      </c>
      <c r="L220" s="2">
        <v>906</v>
      </c>
    </row>
    <row r="221" spans="1:12" x14ac:dyDescent="0.25">
      <c r="A221" s="1" t="s">
        <v>2</v>
      </c>
      <c r="B221" s="1" t="s">
        <v>271</v>
      </c>
      <c r="C221" s="1" t="s">
        <v>789</v>
      </c>
      <c r="D221" s="1" t="s">
        <v>789</v>
      </c>
      <c r="E221" s="2">
        <v>50601</v>
      </c>
      <c r="F221" s="2">
        <v>1796</v>
      </c>
      <c r="G221" s="2">
        <v>2453</v>
      </c>
      <c r="H221" s="2">
        <v>3227</v>
      </c>
      <c r="I221" s="2">
        <v>1995</v>
      </c>
      <c r="J221" s="2">
        <v>9471</v>
      </c>
      <c r="K221" s="3">
        <f t="shared" si="16"/>
        <v>21.064301552106429</v>
      </c>
      <c r="L221" s="2">
        <v>1796</v>
      </c>
    </row>
    <row r="222" spans="1:12" x14ac:dyDescent="0.25">
      <c r="A222" s="1" t="s">
        <v>2</v>
      </c>
      <c r="B222" s="1" t="s">
        <v>271</v>
      </c>
      <c r="C222" s="1" t="s">
        <v>574</v>
      </c>
      <c r="D222" s="1" t="s">
        <v>574</v>
      </c>
      <c r="E222" s="2">
        <v>50602</v>
      </c>
      <c r="F222" s="2">
        <v>495</v>
      </c>
      <c r="G222" s="2">
        <v>688</v>
      </c>
      <c r="H222" s="2">
        <v>1191</v>
      </c>
      <c r="I222" s="2">
        <v>750</v>
      </c>
      <c r="J222" s="2">
        <v>3124</v>
      </c>
      <c r="K222" s="3">
        <f t="shared" si="16"/>
        <v>24.007682458386682</v>
      </c>
      <c r="L222" s="2">
        <v>495</v>
      </c>
    </row>
    <row r="223" spans="1:12" x14ac:dyDescent="0.25">
      <c r="A223" s="1" t="s">
        <v>2</v>
      </c>
      <c r="B223" s="1" t="s">
        <v>172</v>
      </c>
      <c r="C223" s="1" t="s">
        <v>460</v>
      </c>
      <c r="D223" s="1" t="s">
        <v>804</v>
      </c>
      <c r="E223" s="2">
        <v>50701</v>
      </c>
      <c r="F223" s="2">
        <v>919</v>
      </c>
      <c r="G223" s="2">
        <v>1790</v>
      </c>
      <c r="H223" s="2">
        <v>2139</v>
      </c>
      <c r="I223" s="2">
        <v>770</v>
      </c>
      <c r="J223" s="2">
        <v>5618</v>
      </c>
      <c r="K223" s="3">
        <f t="shared" si="16"/>
        <v>13.705945176219295</v>
      </c>
      <c r="L223" s="2">
        <v>919</v>
      </c>
    </row>
    <row r="224" spans="1:12" x14ac:dyDescent="0.25">
      <c r="A224" s="1" t="s">
        <v>2</v>
      </c>
      <c r="B224" s="1" t="s">
        <v>172</v>
      </c>
      <c r="C224" s="1" t="s">
        <v>458</v>
      </c>
      <c r="D224" s="1" t="s">
        <v>458</v>
      </c>
      <c r="E224" s="2">
        <v>50702</v>
      </c>
      <c r="F224" s="2">
        <v>247</v>
      </c>
      <c r="G224" s="2">
        <v>1186</v>
      </c>
      <c r="H224" s="2">
        <v>1081</v>
      </c>
      <c r="I224" s="2">
        <v>227</v>
      </c>
      <c r="J224" s="2">
        <v>2741</v>
      </c>
      <c r="K224" s="3">
        <f t="shared" si="16"/>
        <v>8.281649033199562</v>
      </c>
      <c r="L224" s="2">
        <v>247</v>
      </c>
    </row>
    <row r="225" spans="1:12" x14ac:dyDescent="0.25">
      <c r="A225" s="1" t="s">
        <v>2</v>
      </c>
      <c r="B225" s="1" t="s">
        <v>428</v>
      </c>
      <c r="C225" s="1" t="s">
        <v>769</v>
      </c>
      <c r="D225" s="1" t="s">
        <v>769</v>
      </c>
      <c r="E225" s="2">
        <v>50801</v>
      </c>
      <c r="F225" s="2">
        <v>1151</v>
      </c>
      <c r="G225" s="2">
        <v>1540</v>
      </c>
      <c r="H225" s="2">
        <v>2761</v>
      </c>
      <c r="I225" s="2">
        <v>7867</v>
      </c>
      <c r="J225" s="2">
        <v>13319</v>
      </c>
      <c r="K225" s="3">
        <f t="shared" si="16"/>
        <v>59.065995945641568</v>
      </c>
      <c r="L225" s="2">
        <v>1151</v>
      </c>
    </row>
    <row r="226" spans="1:12" x14ac:dyDescent="0.25">
      <c r="A226" s="1" t="s">
        <v>2</v>
      </c>
      <c r="B226" s="1" t="s">
        <v>428</v>
      </c>
      <c r="C226" s="1" t="s">
        <v>770</v>
      </c>
      <c r="D226" s="1" t="s">
        <v>770</v>
      </c>
      <c r="E226" s="2">
        <v>50802</v>
      </c>
      <c r="F226" s="2">
        <v>176</v>
      </c>
      <c r="G226" s="2">
        <v>340</v>
      </c>
      <c r="H226" s="2">
        <v>2332</v>
      </c>
      <c r="I226" s="2">
        <v>728</v>
      </c>
      <c r="J226" s="2">
        <v>3576</v>
      </c>
      <c r="K226" s="3">
        <f t="shared" si="16"/>
        <v>20.3579418344519</v>
      </c>
      <c r="L226" s="2">
        <v>176</v>
      </c>
    </row>
    <row r="227" spans="1:12" x14ac:dyDescent="0.25">
      <c r="A227" s="1" t="s">
        <v>2</v>
      </c>
      <c r="B227" s="1" t="s">
        <v>208</v>
      </c>
      <c r="C227" s="1" t="s">
        <v>496</v>
      </c>
      <c r="D227" s="1" t="s">
        <v>840</v>
      </c>
      <c r="E227" s="2">
        <v>50901</v>
      </c>
      <c r="F227" s="2">
        <v>393</v>
      </c>
      <c r="G227" s="2">
        <v>726</v>
      </c>
      <c r="H227" s="2">
        <v>1273</v>
      </c>
      <c r="I227" s="2">
        <v>915</v>
      </c>
      <c r="J227" s="2">
        <v>3307</v>
      </c>
      <c r="K227" s="3">
        <f t="shared" si="16"/>
        <v>27.668581796189901</v>
      </c>
      <c r="L227" s="2">
        <v>393</v>
      </c>
    </row>
    <row r="228" spans="1:12" x14ac:dyDescent="0.25">
      <c r="A228" s="1" t="s">
        <v>2</v>
      </c>
      <c r="B228" s="1" t="s">
        <v>208</v>
      </c>
      <c r="C228" s="1" t="s">
        <v>771</v>
      </c>
      <c r="D228" s="1" t="s">
        <v>1115</v>
      </c>
      <c r="E228" s="2">
        <v>50902</v>
      </c>
      <c r="F228" s="2">
        <v>88</v>
      </c>
      <c r="G228" s="2">
        <v>70</v>
      </c>
      <c r="H228" s="2">
        <v>136</v>
      </c>
      <c r="I228" s="2">
        <v>78</v>
      </c>
      <c r="J228" s="2">
        <v>372</v>
      </c>
      <c r="K228" s="3">
        <f t="shared" si="16"/>
        <v>20.967741935483872</v>
      </c>
      <c r="L228" s="2">
        <v>88</v>
      </c>
    </row>
    <row r="229" spans="1:12" x14ac:dyDescent="0.25">
      <c r="A229" s="1" t="s">
        <v>2</v>
      </c>
      <c r="B229" s="1" t="s">
        <v>232</v>
      </c>
      <c r="C229" s="1" t="s">
        <v>557</v>
      </c>
      <c r="D229" s="1" t="s">
        <v>901</v>
      </c>
      <c r="E229" s="2">
        <v>51001</v>
      </c>
      <c r="F229" s="2">
        <v>138</v>
      </c>
      <c r="G229" s="2">
        <v>234</v>
      </c>
      <c r="H229" s="2">
        <v>354</v>
      </c>
      <c r="I229" s="2">
        <v>145</v>
      </c>
      <c r="J229" s="2">
        <v>871</v>
      </c>
      <c r="K229" s="3">
        <f t="shared" si="16"/>
        <v>16.647531572904708</v>
      </c>
      <c r="L229" s="2">
        <v>138</v>
      </c>
    </row>
    <row r="230" spans="1:12" x14ac:dyDescent="0.25">
      <c r="A230" s="1" t="s">
        <v>2</v>
      </c>
      <c r="B230" s="1" t="s">
        <v>232</v>
      </c>
      <c r="C230" s="1" t="s">
        <v>547</v>
      </c>
      <c r="D230" s="1" t="s">
        <v>547</v>
      </c>
      <c r="E230" s="2">
        <v>51002</v>
      </c>
      <c r="F230" s="2">
        <v>162</v>
      </c>
      <c r="G230" s="2">
        <v>74</v>
      </c>
      <c r="H230" s="2">
        <v>64</v>
      </c>
      <c r="I230" s="2">
        <v>58</v>
      </c>
      <c r="J230" s="2">
        <v>358</v>
      </c>
      <c r="K230" s="3">
        <f t="shared" si="16"/>
        <v>16.201117318435752</v>
      </c>
      <c r="L230" s="2">
        <v>162</v>
      </c>
    </row>
    <row r="231" spans="1:12" x14ac:dyDescent="0.25">
      <c r="A231" s="1" t="s">
        <v>2</v>
      </c>
      <c r="B231" s="1" t="s">
        <v>232</v>
      </c>
      <c r="C231" s="1" t="s">
        <v>525</v>
      </c>
      <c r="D231" s="1" t="s">
        <v>525</v>
      </c>
      <c r="E231" s="2">
        <v>51003</v>
      </c>
      <c r="F231" s="2">
        <v>156</v>
      </c>
      <c r="G231" s="2">
        <v>153</v>
      </c>
      <c r="H231" s="2">
        <v>253</v>
      </c>
      <c r="I231" s="2">
        <v>153</v>
      </c>
      <c r="J231" s="2">
        <v>715</v>
      </c>
      <c r="K231" s="3">
        <f t="shared" si="16"/>
        <v>21.3986013986014</v>
      </c>
      <c r="L231" s="2">
        <v>156</v>
      </c>
    </row>
    <row r="232" spans="1:12" x14ac:dyDescent="0.25">
      <c r="A232" s="1" t="s">
        <v>2</v>
      </c>
      <c r="B232" s="1" t="s">
        <v>326</v>
      </c>
      <c r="C232" s="1" t="s">
        <v>647</v>
      </c>
      <c r="D232" s="1" t="s">
        <v>991</v>
      </c>
      <c r="E232" s="2">
        <v>51101</v>
      </c>
      <c r="F232" s="2">
        <v>1312</v>
      </c>
      <c r="G232" s="2">
        <v>1936</v>
      </c>
      <c r="H232" s="2">
        <v>2209</v>
      </c>
      <c r="I232" s="2">
        <v>1646</v>
      </c>
      <c r="J232" s="2">
        <v>7103</v>
      </c>
      <c r="K232" s="3">
        <f t="shared" si="16"/>
        <v>23.173307053357735</v>
      </c>
      <c r="L232" s="2">
        <v>1312</v>
      </c>
    </row>
    <row r="233" spans="1:12" x14ac:dyDescent="0.25">
      <c r="A233" s="1" t="s">
        <v>2</v>
      </c>
      <c r="B233" s="1" t="s">
        <v>326</v>
      </c>
      <c r="C233" s="1" t="s">
        <v>643</v>
      </c>
      <c r="D233" s="1" t="s">
        <v>643</v>
      </c>
      <c r="E233" s="2">
        <v>51102</v>
      </c>
      <c r="F233" s="2">
        <v>605</v>
      </c>
      <c r="G233" s="2">
        <v>872</v>
      </c>
      <c r="H233" s="2">
        <v>1258</v>
      </c>
      <c r="I233" s="2">
        <v>808</v>
      </c>
      <c r="J233" s="2">
        <v>3543</v>
      </c>
      <c r="K233" s="3">
        <f t="shared" si="16"/>
        <v>22.805532034998588</v>
      </c>
      <c r="L233" s="2">
        <v>605</v>
      </c>
    </row>
    <row r="234" spans="1:12" x14ac:dyDescent="0.25">
      <c r="A234" s="1" t="s">
        <v>2</v>
      </c>
      <c r="B234" s="1" t="s">
        <v>326</v>
      </c>
      <c r="C234" s="1" t="s">
        <v>648</v>
      </c>
      <c r="D234" s="1" t="s">
        <v>648</v>
      </c>
      <c r="E234" s="2">
        <v>51103</v>
      </c>
      <c r="F234" s="2">
        <v>1416</v>
      </c>
      <c r="G234" s="2">
        <v>1591</v>
      </c>
      <c r="H234" s="2">
        <v>713</v>
      </c>
      <c r="I234" s="2">
        <v>106</v>
      </c>
      <c r="J234" s="2">
        <v>3826</v>
      </c>
      <c r="K234" s="3">
        <f t="shared" si="16"/>
        <v>2.7705175117616312</v>
      </c>
      <c r="L234" s="2">
        <v>1416</v>
      </c>
    </row>
    <row r="235" spans="1:12" x14ac:dyDescent="0.25">
      <c r="A235" s="1" t="s">
        <v>2</v>
      </c>
      <c r="B235" s="1" t="s">
        <v>212</v>
      </c>
      <c r="C235" s="1" t="s">
        <v>760</v>
      </c>
      <c r="D235" s="1" t="s">
        <v>760</v>
      </c>
      <c r="E235" s="2">
        <v>51201</v>
      </c>
      <c r="F235" s="2">
        <v>1393</v>
      </c>
      <c r="G235" s="2">
        <v>1444</v>
      </c>
      <c r="H235" s="2">
        <v>5211</v>
      </c>
      <c r="I235" s="2">
        <v>1549</v>
      </c>
      <c r="J235" s="2">
        <v>9597</v>
      </c>
      <c r="K235" s="3">
        <f t="shared" si="16"/>
        <v>16.140460560591851</v>
      </c>
      <c r="L235" s="2">
        <v>1393</v>
      </c>
    </row>
    <row r="236" spans="1:12" x14ac:dyDescent="0.25">
      <c r="A236" s="1" t="s">
        <v>2</v>
      </c>
      <c r="B236" s="1" t="s">
        <v>212</v>
      </c>
      <c r="C236" s="1" t="s">
        <v>452</v>
      </c>
      <c r="D236" s="1" t="s">
        <v>452</v>
      </c>
      <c r="E236" s="2">
        <v>51202</v>
      </c>
      <c r="F236" s="2">
        <v>951</v>
      </c>
      <c r="G236" s="2">
        <v>849</v>
      </c>
      <c r="H236" s="2">
        <v>1119</v>
      </c>
      <c r="I236" s="2">
        <v>158</v>
      </c>
      <c r="J236" s="2">
        <v>3077</v>
      </c>
      <c r="K236" s="3">
        <f t="shared" si="16"/>
        <v>5.1348716282092948</v>
      </c>
      <c r="L236" s="2">
        <v>951</v>
      </c>
    </row>
    <row r="237" spans="1:12" x14ac:dyDescent="0.25">
      <c r="A237" s="1" t="s">
        <v>2</v>
      </c>
      <c r="B237" s="1" t="s">
        <v>212</v>
      </c>
      <c r="C237" s="1" t="s">
        <v>501</v>
      </c>
      <c r="D237" s="1" t="s">
        <v>501</v>
      </c>
      <c r="E237" s="2">
        <v>51203</v>
      </c>
      <c r="F237" s="2">
        <v>521</v>
      </c>
      <c r="G237" s="2">
        <v>276</v>
      </c>
      <c r="H237" s="2">
        <v>518</v>
      </c>
      <c r="I237" s="2">
        <v>1841</v>
      </c>
      <c r="J237" s="2">
        <v>3156</v>
      </c>
      <c r="K237" s="3">
        <f t="shared" si="16"/>
        <v>58.333333333333336</v>
      </c>
      <c r="L237" s="2">
        <v>521</v>
      </c>
    </row>
    <row r="238" spans="1:12" x14ac:dyDescent="0.25">
      <c r="A238" s="1" t="s">
        <v>2</v>
      </c>
      <c r="B238" s="1" t="s">
        <v>452</v>
      </c>
      <c r="C238" s="1" t="s">
        <v>796</v>
      </c>
      <c r="D238" s="39" t="s">
        <v>796</v>
      </c>
      <c r="E238" s="2">
        <v>51204</v>
      </c>
      <c r="F238" s="2">
        <v>630</v>
      </c>
      <c r="G238" s="2">
        <v>526</v>
      </c>
      <c r="H238" s="2">
        <v>842</v>
      </c>
      <c r="I238" s="2">
        <v>141</v>
      </c>
      <c r="J238" s="2">
        <v>2139</v>
      </c>
      <c r="K238" s="3">
        <f t="shared" ref="K238" si="17">(I238/J238)*100</f>
        <v>6.5918653576437585</v>
      </c>
      <c r="L238" s="2">
        <v>630</v>
      </c>
    </row>
    <row r="239" spans="1:12" x14ac:dyDescent="0.25">
      <c r="A239" s="1" t="s">
        <v>2</v>
      </c>
      <c r="B239" s="1" t="s">
        <v>175</v>
      </c>
      <c r="C239" s="1" t="s">
        <v>578</v>
      </c>
      <c r="D239" s="1" t="s">
        <v>578</v>
      </c>
      <c r="E239" s="2">
        <v>51301</v>
      </c>
      <c r="F239" s="2">
        <v>257</v>
      </c>
      <c r="G239" s="2">
        <v>458</v>
      </c>
      <c r="H239" s="2">
        <v>404</v>
      </c>
      <c r="I239" s="2">
        <v>179</v>
      </c>
      <c r="J239" s="2">
        <v>1298</v>
      </c>
      <c r="K239" s="3">
        <f t="shared" si="16"/>
        <v>13.790446841294299</v>
      </c>
      <c r="L239" s="2">
        <v>257</v>
      </c>
    </row>
    <row r="240" spans="1:12" x14ac:dyDescent="0.25">
      <c r="A240" s="1" t="s">
        <v>2</v>
      </c>
      <c r="B240" s="1" t="s">
        <v>175</v>
      </c>
      <c r="C240" s="1" t="s">
        <v>461</v>
      </c>
      <c r="D240" s="1" t="s">
        <v>461</v>
      </c>
      <c r="E240" s="2">
        <v>51302</v>
      </c>
      <c r="F240" s="14">
        <v>300</v>
      </c>
      <c r="G240" s="14">
        <v>449</v>
      </c>
      <c r="H240" s="14">
        <v>758</v>
      </c>
      <c r="I240" s="14">
        <v>212</v>
      </c>
      <c r="J240" s="14">
        <v>1719</v>
      </c>
      <c r="K240" s="3">
        <f t="shared" si="16"/>
        <v>12.332751599767306</v>
      </c>
      <c r="L240" s="2">
        <v>300</v>
      </c>
    </row>
    <row r="241" spans="1:12" x14ac:dyDescent="0.25">
      <c r="A241" s="1" t="s">
        <v>2</v>
      </c>
      <c r="B241" s="1" t="s">
        <v>238</v>
      </c>
      <c r="C241" s="1" t="s">
        <v>533</v>
      </c>
      <c r="D241" s="1" t="s">
        <v>533</v>
      </c>
      <c r="E241" s="2">
        <v>51401</v>
      </c>
      <c r="F241" s="14">
        <v>308</v>
      </c>
      <c r="G241" s="14">
        <v>485</v>
      </c>
      <c r="H241" s="14">
        <v>427</v>
      </c>
      <c r="I241" s="14">
        <v>284</v>
      </c>
      <c r="J241" s="14">
        <v>1504</v>
      </c>
      <c r="K241" s="3">
        <f t="shared" si="16"/>
        <v>18.882978723404257</v>
      </c>
      <c r="L241" s="2">
        <v>308</v>
      </c>
    </row>
    <row r="242" spans="1:12" x14ac:dyDescent="0.25">
      <c r="A242" s="1" t="s">
        <v>2</v>
      </c>
      <c r="B242" s="1" t="s">
        <v>238</v>
      </c>
      <c r="C242" s="1" t="s">
        <v>556</v>
      </c>
      <c r="D242" s="1" t="s">
        <v>556</v>
      </c>
      <c r="E242" s="2">
        <v>51402</v>
      </c>
      <c r="F242" s="2">
        <v>108</v>
      </c>
      <c r="G242" s="2">
        <v>155</v>
      </c>
      <c r="H242" s="2">
        <v>372</v>
      </c>
      <c r="I242" s="2">
        <v>44</v>
      </c>
      <c r="J242" s="2">
        <v>679</v>
      </c>
      <c r="K242" s="3">
        <f t="shared" si="16"/>
        <v>6.4801178203240068</v>
      </c>
      <c r="L242" s="2">
        <v>108</v>
      </c>
    </row>
    <row r="243" spans="1:12" x14ac:dyDescent="0.25">
      <c r="A243" s="1" t="s">
        <v>2</v>
      </c>
      <c r="B243" s="1" t="s">
        <v>447</v>
      </c>
      <c r="C243" s="1" t="s">
        <v>791</v>
      </c>
      <c r="D243" s="1" t="s">
        <v>791</v>
      </c>
      <c r="E243" s="2">
        <v>51501</v>
      </c>
      <c r="F243" s="2">
        <v>736</v>
      </c>
      <c r="G243" s="2">
        <v>1411</v>
      </c>
      <c r="H243" s="2">
        <v>2335</v>
      </c>
      <c r="I243" s="2">
        <v>7592</v>
      </c>
      <c r="J243" s="2">
        <v>12074</v>
      </c>
      <c r="K243" s="3">
        <f t="shared" si="16"/>
        <v>62.878913367566668</v>
      </c>
      <c r="L243" s="2">
        <v>736</v>
      </c>
    </row>
    <row r="244" spans="1:12" x14ac:dyDescent="0.25">
      <c r="A244" s="1" t="s">
        <v>2</v>
      </c>
      <c r="B244" s="1" t="s">
        <v>254</v>
      </c>
      <c r="C244" s="1" t="s">
        <v>554</v>
      </c>
      <c r="D244" s="1" t="s">
        <v>554</v>
      </c>
      <c r="E244" s="2">
        <v>51601</v>
      </c>
      <c r="F244" s="2">
        <v>79</v>
      </c>
      <c r="G244" s="2">
        <v>126</v>
      </c>
      <c r="H244" s="2">
        <v>167</v>
      </c>
      <c r="I244" s="2">
        <v>117</v>
      </c>
      <c r="J244" s="2">
        <v>489</v>
      </c>
      <c r="K244" s="3">
        <f t="shared" si="16"/>
        <v>23.926380368098162</v>
      </c>
      <c r="L244" s="2">
        <v>79</v>
      </c>
    </row>
    <row r="245" spans="1:12" x14ac:dyDescent="0.25">
      <c r="A245" s="1" t="s">
        <v>29</v>
      </c>
      <c r="B245" s="1" t="s">
        <v>186</v>
      </c>
      <c r="C245" s="1" t="s">
        <v>29</v>
      </c>
      <c r="D245" s="1" t="s">
        <v>29</v>
      </c>
      <c r="E245" s="2">
        <v>60101</v>
      </c>
      <c r="F245" s="2">
        <v>1314</v>
      </c>
      <c r="G245" s="2">
        <v>2762</v>
      </c>
      <c r="H245" s="2">
        <v>9301</v>
      </c>
      <c r="I245" s="2">
        <v>41549</v>
      </c>
      <c r="J245" s="2">
        <v>54926</v>
      </c>
      <c r="K245" s="3">
        <f t="shared" si="16"/>
        <v>75.645413829516073</v>
      </c>
      <c r="L245" s="2">
        <v>1314</v>
      </c>
    </row>
    <row r="246" spans="1:12" x14ac:dyDescent="0.25">
      <c r="A246" s="1" t="s">
        <v>29</v>
      </c>
      <c r="B246" s="1" t="s">
        <v>433</v>
      </c>
      <c r="C246" s="1" t="s">
        <v>792</v>
      </c>
      <c r="D246" s="1" t="s">
        <v>792</v>
      </c>
      <c r="E246" s="2">
        <v>60201</v>
      </c>
      <c r="F246" s="2">
        <v>363</v>
      </c>
      <c r="G246" s="2">
        <v>729</v>
      </c>
      <c r="H246" s="2">
        <v>1595</v>
      </c>
      <c r="I246" s="2">
        <v>2403</v>
      </c>
      <c r="J246" s="2">
        <v>5090</v>
      </c>
      <c r="K246" s="3">
        <f t="shared" si="16"/>
        <v>47.210216110019651</v>
      </c>
      <c r="L246" s="2">
        <v>363</v>
      </c>
    </row>
    <row r="247" spans="1:12" x14ac:dyDescent="0.25">
      <c r="A247" s="1" t="s">
        <v>29</v>
      </c>
      <c r="B247" s="1" t="s">
        <v>433</v>
      </c>
      <c r="C247" s="1" t="s">
        <v>775</v>
      </c>
      <c r="D247" s="1" t="s">
        <v>775</v>
      </c>
      <c r="E247" s="2">
        <v>60202</v>
      </c>
      <c r="F247" s="2">
        <v>226</v>
      </c>
      <c r="G247" s="2">
        <v>475</v>
      </c>
      <c r="H247" s="2">
        <v>1763</v>
      </c>
      <c r="I247" s="2">
        <v>6548</v>
      </c>
      <c r="J247" s="2">
        <v>9012</v>
      </c>
      <c r="K247" s="3">
        <f t="shared" si="16"/>
        <v>72.658677319130049</v>
      </c>
      <c r="L247" s="2">
        <v>226</v>
      </c>
    </row>
    <row r="248" spans="1:12" x14ac:dyDescent="0.25">
      <c r="A248" s="1" t="s">
        <v>29</v>
      </c>
      <c r="B248" s="1" t="s">
        <v>213</v>
      </c>
      <c r="C248" s="1" t="s">
        <v>548</v>
      </c>
      <c r="D248" s="1" t="s">
        <v>548</v>
      </c>
      <c r="E248" s="2">
        <v>60301</v>
      </c>
      <c r="F248" s="2">
        <v>410</v>
      </c>
      <c r="G248" s="2">
        <v>1569</v>
      </c>
      <c r="H248" s="2">
        <v>4352</v>
      </c>
      <c r="I248" s="2">
        <v>15807</v>
      </c>
      <c r="J248" s="2">
        <v>22138</v>
      </c>
      <c r="K248" s="3">
        <f t="shared" si="16"/>
        <v>71.402114012105883</v>
      </c>
      <c r="L248" s="2">
        <v>410</v>
      </c>
    </row>
    <row r="249" spans="1:12" x14ac:dyDescent="0.25">
      <c r="A249" s="1" t="s">
        <v>29</v>
      </c>
      <c r="B249" s="1" t="s">
        <v>213</v>
      </c>
      <c r="C249" s="1" t="s">
        <v>550</v>
      </c>
      <c r="D249" s="1" t="s">
        <v>550</v>
      </c>
      <c r="E249" s="2">
        <v>60302</v>
      </c>
      <c r="F249" s="2">
        <v>126</v>
      </c>
      <c r="G249" s="2">
        <v>244</v>
      </c>
      <c r="H249" s="2">
        <v>723</v>
      </c>
      <c r="I249" s="2">
        <v>2902</v>
      </c>
      <c r="J249" s="2">
        <v>3995</v>
      </c>
      <c r="K249" s="3">
        <f t="shared" si="16"/>
        <v>72.64080100125156</v>
      </c>
      <c r="L249" s="2">
        <v>126</v>
      </c>
    </row>
    <row r="250" spans="1:12" x14ac:dyDescent="0.25">
      <c r="A250" s="1" t="s">
        <v>29</v>
      </c>
      <c r="B250" s="1" t="s">
        <v>213</v>
      </c>
      <c r="C250" s="1" t="s">
        <v>502</v>
      </c>
      <c r="D250" s="1" t="s">
        <v>502</v>
      </c>
      <c r="E250" s="2">
        <v>60303</v>
      </c>
      <c r="F250" s="2">
        <v>265</v>
      </c>
      <c r="G250" s="2">
        <v>1270</v>
      </c>
      <c r="H250" s="2">
        <v>3761</v>
      </c>
      <c r="I250" s="2">
        <v>4993</v>
      </c>
      <c r="J250" s="2">
        <v>10289</v>
      </c>
      <c r="K250" s="3">
        <f t="shared" si="16"/>
        <v>48.527553698124208</v>
      </c>
      <c r="L250" s="2">
        <v>265</v>
      </c>
    </row>
    <row r="251" spans="1:12" x14ac:dyDescent="0.25">
      <c r="A251" s="1" t="s">
        <v>29</v>
      </c>
      <c r="B251" s="1" t="s">
        <v>247</v>
      </c>
      <c r="C251" s="1" t="s">
        <v>546</v>
      </c>
      <c r="D251" s="1" t="s">
        <v>522</v>
      </c>
      <c r="E251" s="2">
        <v>60401</v>
      </c>
      <c r="F251" s="2">
        <v>318</v>
      </c>
      <c r="G251" s="2">
        <v>675</v>
      </c>
      <c r="H251" s="2">
        <v>1174</v>
      </c>
      <c r="I251" s="2">
        <v>1995</v>
      </c>
      <c r="J251" s="2">
        <v>4162</v>
      </c>
      <c r="K251" s="3">
        <f t="shared" si="16"/>
        <v>47.933685728015377</v>
      </c>
      <c r="L251" s="2">
        <v>318</v>
      </c>
    </row>
    <row r="252" spans="1:12" x14ac:dyDescent="0.25">
      <c r="A252" s="1" t="s">
        <v>29</v>
      </c>
      <c r="B252" s="1" t="s">
        <v>247</v>
      </c>
      <c r="C252" s="1" t="s">
        <v>549</v>
      </c>
      <c r="D252" s="1" t="s">
        <v>549</v>
      </c>
      <c r="E252" s="2">
        <v>60402</v>
      </c>
      <c r="F252" s="2">
        <v>126</v>
      </c>
      <c r="G252" s="2">
        <v>183</v>
      </c>
      <c r="H252" s="2">
        <v>356</v>
      </c>
      <c r="I252" s="2">
        <v>819</v>
      </c>
      <c r="J252" s="2">
        <v>1484</v>
      </c>
      <c r="K252" s="3">
        <f t="shared" si="16"/>
        <v>55.188679245283026</v>
      </c>
      <c r="L252" s="2">
        <v>126</v>
      </c>
    </row>
    <row r="253" spans="1:12" x14ac:dyDescent="0.25">
      <c r="A253" s="1" t="s">
        <v>29</v>
      </c>
      <c r="B253" s="1" t="s">
        <v>252</v>
      </c>
      <c r="C253" s="1" t="s">
        <v>551</v>
      </c>
      <c r="D253" s="1" t="s">
        <v>895</v>
      </c>
      <c r="E253" s="2">
        <v>60501</v>
      </c>
      <c r="F253" s="2">
        <v>577</v>
      </c>
      <c r="G253" s="2">
        <v>828</v>
      </c>
      <c r="H253" s="2">
        <v>1587</v>
      </c>
      <c r="I253" s="2">
        <v>3492</v>
      </c>
      <c r="J253" s="2">
        <v>6484</v>
      </c>
      <c r="K253" s="3">
        <f t="shared" si="16"/>
        <v>53.855644663787785</v>
      </c>
      <c r="L253" s="2">
        <v>577</v>
      </c>
    </row>
    <row r="254" spans="1:12" x14ac:dyDescent="0.25">
      <c r="A254" s="1" t="s">
        <v>29</v>
      </c>
      <c r="B254" s="1" t="s">
        <v>252</v>
      </c>
      <c r="C254" s="1" t="s">
        <v>552</v>
      </c>
      <c r="D254" s="1" t="s">
        <v>552</v>
      </c>
      <c r="E254" s="2">
        <v>60502</v>
      </c>
      <c r="F254" s="2">
        <v>203</v>
      </c>
      <c r="G254" s="2">
        <v>407</v>
      </c>
      <c r="H254" s="2">
        <v>779</v>
      </c>
      <c r="I254" s="2">
        <v>1864</v>
      </c>
      <c r="J254" s="2">
        <v>3253</v>
      </c>
      <c r="K254" s="3">
        <f t="shared" si="16"/>
        <v>57.300952966492467</v>
      </c>
      <c r="L254" s="2">
        <v>203</v>
      </c>
    </row>
    <row r="255" spans="1:12" x14ac:dyDescent="0.25">
      <c r="A255" s="1" t="s">
        <v>29</v>
      </c>
      <c r="B255" s="1" t="s">
        <v>234</v>
      </c>
      <c r="C255" s="1" t="s">
        <v>527</v>
      </c>
      <c r="D255" s="1" t="s">
        <v>527</v>
      </c>
      <c r="E255" s="2">
        <v>60601</v>
      </c>
      <c r="F255" s="2">
        <v>455</v>
      </c>
      <c r="G255" s="2">
        <v>950</v>
      </c>
      <c r="H255" s="2">
        <v>1575</v>
      </c>
      <c r="I255" s="2">
        <v>2435</v>
      </c>
      <c r="J255" s="2">
        <v>5415</v>
      </c>
      <c r="K255" s="3">
        <f t="shared" si="16"/>
        <v>44.967682363804244</v>
      </c>
      <c r="L255" s="2">
        <v>455</v>
      </c>
    </row>
    <row r="256" spans="1:12" x14ac:dyDescent="0.25">
      <c r="A256" s="1" t="s">
        <v>14</v>
      </c>
      <c r="B256" s="1" t="s">
        <v>197</v>
      </c>
      <c r="C256" s="1" t="s">
        <v>509</v>
      </c>
      <c r="D256" s="1" t="s">
        <v>509</v>
      </c>
      <c r="E256" s="2">
        <v>70101</v>
      </c>
      <c r="F256" s="2">
        <v>451</v>
      </c>
      <c r="G256" s="2">
        <v>5058</v>
      </c>
      <c r="H256" s="2">
        <v>161414</v>
      </c>
      <c r="I256" s="2">
        <v>193518</v>
      </c>
      <c r="J256" s="2">
        <v>360441</v>
      </c>
      <c r="K256" s="3">
        <f t="shared" si="16"/>
        <v>53.689230692401814</v>
      </c>
      <c r="L256" s="2">
        <v>451</v>
      </c>
    </row>
    <row r="257" spans="1:12" x14ac:dyDescent="0.25">
      <c r="A257" s="1" t="s">
        <v>14</v>
      </c>
      <c r="B257" s="1" t="s">
        <v>197</v>
      </c>
      <c r="C257" s="1" t="s">
        <v>715</v>
      </c>
      <c r="D257" s="1" t="s">
        <v>715</v>
      </c>
      <c r="E257" s="2">
        <v>70102</v>
      </c>
      <c r="F257" s="2">
        <v>168</v>
      </c>
      <c r="G257" s="2">
        <v>958</v>
      </c>
      <c r="H257" s="2">
        <v>6897</v>
      </c>
      <c r="I257" s="2">
        <v>4654</v>
      </c>
      <c r="J257" s="2">
        <v>12677</v>
      </c>
      <c r="K257" s="3">
        <f t="shared" si="16"/>
        <v>36.712155872840583</v>
      </c>
      <c r="L257" s="2">
        <v>168</v>
      </c>
    </row>
    <row r="258" spans="1:12" x14ac:dyDescent="0.25">
      <c r="A258" s="1" t="s">
        <v>14</v>
      </c>
      <c r="B258" s="1" t="s">
        <v>197</v>
      </c>
      <c r="C258" s="1" t="s">
        <v>508</v>
      </c>
      <c r="D258" s="1" t="s">
        <v>852</v>
      </c>
      <c r="E258" s="2">
        <v>70103</v>
      </c>
      <c r="F258" s="2">
        <v>283</v>
      </c>
      <c r="G258" s="2">
        <v>442</v>
      </c>
      <c r="H258" s="2">
        <v>1076</v>
      </c>
      <c r="I258" s="2">
        <v>1821</v>
      </c>
      <c r="J258" s="2">
        <v>3622</v>
      </c>
      <c r="K258" s="3">
        <f t="shared" si="16"/>
        <v>50.276090557702922</v>
      </c>
      <c r="L258" s="2">
        <v>283</v>
      </c>
    </row>
    <row r="259" spans="1:12" x14ac:dyDescent="0.25">
      <c r="A259" s="1" t="s">
        <v>14</v>
      </c>
      <c r="B259" s="1" t="s">
        <v>197</v>
      </c>
      <c r="C259" s="1" t="s">
        <v>485</v>
      </c>
      <c r="D259" s="1" t="s">
        <v>485</v>
      </c>
      <c r="E259" s="2">
        <v>70104</v>
      </c>
      <c r="F259" s="2">
        <v>134</v>
      </c>
      <c r="G259" s="2">
        <v>1302</v>
      </c>
      <c r="H259" s="2">
        <v>17957</v>
      </c>
      <c r="I259" s="2">
        <v>1921</v>
      </c>
      <c r="J259" s="2">
        <v>21314</v>
      </c>
      <c r="K259" s="3">
        <f t="shared" si="16"/>
        <v>9.0128554002064369</v>
      </c>
      <c r="L259" s="2">
        <v>134</v>
      </c>
    </row>
    <row r="260" spans="1:12" x14ac:dyDescent="0.25">
      <c r="A260" s="1" t="s">
        <v>14</v>
      </c>
      <c r="B260" s="1" t="s">
        <v>197</v>
      </c>
      <c r="C260" s="1" t="s">
        <v>487</v>
      </c>
      <c r="D260" s="1" t="s">
        <v>487</v>
      </c>
      <c r="E260" s="2">
        <v>70105</v>
      </c>
      <c r="F260" s="2">
        <v>878</v>
      </c>
      <c r="G260" s="2">
        <v>1004</v>
      </c>
      <c r="H260" s="2">
        <v>5782</v>
      </c>
      <c r="I260" s="2">
        <v>4571</v>
      </c>
      <c r="J260" s="2">
        <v>12235</v>
      </c>
      <c r="K260" s="3">
        <f t="shared" si="16"/>
        <v>37.360032693093586</v>
      </c>
      <c r="L260" s="2">
        <v>878</v>
      </c>
    </row>
    <row r="261" spans="1:12" x14ac:dyDescent="0.25">
      <c r="A261" s="1" t="s">
        <v>14</v>
      </c>
      <c r="B261" s="1" t="s">
        <v>396</v>
      </c>
      <c r="C261" s="1" t="s">
        <v>396</v>
      </c>
      <c r="D261" s="1" t="s">
        <v>396</v>
      </c>
      <c r="E261" s="2">
        <v>70201</v>
      </c>
      <c r="F261" s="2">
        <v>181</v>
      </c>
      <c r="G261" s="2">
        <v>1425</v>
      </c>
      <c r="H261" s="2">
        <v>14355</v>
      </c>
      <c r="I261" s="2">
        <v>7257</v>
      </c>
      <c r="J261" s="2">
        <v>23218</v>
      </c>
      <c r="K261" s="3">
        <f t="shared" si="16"/>
        <v>31.255922129382373</v>
      </c>
      <c r="L261" s="2">
        <v>181</v>
      </c>
    </row>
    <row r="262" spans="1:12" x14ac:dyDescent="0.25">
      <c r="A262" s="1" t="s">
        <v>14</v>
      </c>
      <c r="B262" s="1" t="s">
        <v>396</v>
      </c>
      <c r="C262" s="1" t="s">
        <v>730</v>
      </c>
      <c r="D262" s="1" t="s">
        <v>730</v>
      </c>
      <c r="E262" s="2">
        <v>70202</v>
      </c>
      <c r="F262" s="14">
        <v>34</v>
      </c>
      <c r="G262" s="14">
        <v>183</v>
      </c>
      <c r="H262" s="14">
        <v>1331</v>
      </c>
      <c r="I262" s="14">
        <v>1012</v>
      </c>
      <c r="J262" s="14">
        <v>2560</v>
      </c>
      <c r="K262" s="3">
        <f t="shared" si="16"/>
        <v>39.53125</v>
      </c>
      <c r="L262" s="2">
        <v>34</v>
      </c>
    </row>
    <row r="263" spans="1:12" x14ac:dyDescent="0.25">
      <c r="A263" s="1" t="s">
        <v>14</v>
      </c>
      <c r="B263" s="1" t="s">
        <v>387</v>
      </c>
      <c r="C263" s="1" t="s">
        <v>748</v>
      </c>
      <c r="D263" s="1" t="s">
        <v>510</v>
      </c>
      <c r="E263" s="2">
        <v>70301</v>
      </c>
      <c r="F263" s="2">
        <v>264</v>
      </c>
      <c r="G263" s="2">
        <v>1241</v>
      </c>
      <c r="H263" s="2">
        <v>5469</v>
      </c>
      <c r="I263" s="2">
        <v>3851</v>
      </c>
      <c r="J263" s="2">
        <v>10825</v>
      </c>
      <c r="K263" s="3">
        <f t="shared" si="16"/>
        <v>35.575057736720552</v>
      </c>
      <c r="L263" s="2">
        <v>264</v>
      </c>
    </row>
    <row r="264" spans="1:12" x14ac:dyDescent="0.25">
      <c r="A264" s="1" t="s">
        <v>14</v>
      </c>
      <c r="B264" s="1" t="s">
        <v>387</v>
      </c>
      <c r="C264" s="1" t="s">
        <v>720</v>
      </c>
      <c r="D264" s="1" t="s">
        <v>1064</v>
      </c>
      <c r="E264" s="2">
        <v>70302</v>
      </c>
      <c r="F264" s="2">
        <v>231</v>
      </c>
      <c r="G264" s="2">
        <v>613</v>
      </c>
      <c r="H264" s="2">
        <v>1511</v>
      </c>
      <c r="I264" s="2">
        <v>227</v>
      </c>
      <c r="J264" s="2">
        <v>2582</v>
      </c>
      <c r="K264" s="3">
        <f t="shared" ref="K264:K327" si="18">(I264/J264)*100</f>
        <v>8.7916343919442301</v>
      </c>
      <c r="L264" s="2">
        <v>231</v>
      </c>
    </row>
    <row r="265" spans="1:12" x14ac:dyDescent="0.25">
      <c r="A265" s="1" t="s">
        <v>14</v>
      </c>
      <c r="B265" s="1" t="s">
        <v>387</v>
      </c>
      <c r="C265" s="1" t="s">
        <v>746</v>
      </c>
      <c r="D265" s="1" t="s">
        <v>746</v>
      </c>
      <c r="E265" s="2">
        <v>70303</v>
      </c>
      <c r="F265" s="2">
        <v>97</v>
      </c>
      <c r="G265" s="2">
        <v>239</v>
      </c>
      <c r="H265" s="2">
        <v>688</v>
      </c>
      <c r="I265" s="2">
        <v>115</v>
      </c>
      <c r="J265" s="2">
        <v>1139</v>
      </c>
      <c r="K265" s="3">
        <f t="shared" si="18"/>
        <v>10.096575943810359</v>
      </c>
      <c r="L265" s="2">
        <v>97</v>
      </c>
    </row>
    <row r="266" spans="1:12" x14ac:dyDescent="0.25">
      <c r="A266" s="1" t="s">
        <v>14</v>
      </c>
      <c r="B266" s="1" t="s">
        <v>204</v>
      </c>
      <c r="C266" s="1" t="s">
        <v>542</v>
      </c>
      <c r="D266" s="1" t="s">
        <v>542</v>
      </c>
      <c r="E266" s="2">
        <v>70401</v>
      </c>
      <c r="F266" s="2">
        <v>208</v>
      </c>
      <c r="G266" s="2">
        <v>337</v>
      </c>
      <c r="H266" s="2">
        <v>972</v>
      </c>
      <c r="I266" s="2">
        <v>1654</v>
      </c>
      <c r="J266" s="2">
        <v>3171</v>
      </c>
      <c r="K266" s="3">
        <f t="shared" si="18"/>
        <v>52.160201829076001</v>
      </c>
      <c r="L266" s="2">
        <v>208</v>
      </c>
    </row>
    <row r="267" spans="1:12" x14ac:dyDescent="0.25">
      <c r="A267" s="1" t="s">
        <v>14</v>
      </c>
      <c r="B267" s="1" t="s">
        <v>204</v>
      </c>
      <c r="C267" s="1" t="s">
        <v>543</v>
      </c>
      <c r="D267" s="1" t="s">
        <v>543</v>
      </c>
      <c r="E267" s="2">
        <v>70402</v>
      </c>
      <c r="F267" s="2">
        <v>382</v>
      </c>
      <c r="G267" s="2">
        <v>581</v>
      </c>
      <c r="H267" s="2">
        <v>2804</v>
      </c>
      <c r="I267" s="2">
        <v>806</v>
      </c>
      <c r="J267" s="2">
        <v>4573</v>
      </c>
      <c r="K267" s="3">
        <f t="shared" si="18"/>
        <v>17.625191340476711</v>
      </c>
      <c r="L267" s="2">
        <v>382</v>
      </c>
    </row>
    <row r="268" spans="1:12" x14ac:dyDescent="0.25">
      <c r="A268" s="1" t="s">
        <v>14</v>
      </c>
      <c r="B268" s="1" t="s">
        <v>204</v>
      </c>
      <c r="C268" s="1" t="s">
        <v>716</v>
      </c>
      <c r="D268" s="1" t="s">
        <v>716</v>
      </c>
      <c r="E268" s="2">
        <v>70403</v>
      </c>
      <c r="F268" s="2">
        <v>4041</v>
      </c>
      <c r="G268" s="2">
        <v>2176</v>
      </c>
      <c r="H268" s="2">
        <v>5833</v>
      </c>
      <c r="I268" s="2">
        <v>2725</v>
      </c>
      <c r="J268" s="2">
        <v>14775</v>
      </c>
      <c r="K268" s="3">
        <f t="shared" si="18"/>
        <v>18.443316412859559</v>
      </c>
      <c r="L268" s="2">
        <v>4041</v>
      </c>
    </row>
    <row r="269" spans="1:12" x14ac:dyDescent="0.25">
      <c r="A269" s="1" t="s">
        <v>14</v>
      </c>
      <c r="B269" s="1" t="s">
        <v>204</v>
      </c>
      <c r="C269" s="1" t="s">
        <v>492</v>
      </c>
      <c r="D269" s="1" t="s">
        <v>492</v>
      </c>
      <c r="E269" s="2">
        <v>70404</v>
      </c>
      <c r="F269" s="2">
        <v>213</v>
      </c>
      <c r="G269" s="2">
        <v>424</v>
      </c>
      <c r="H269" s="2">
        <v>845</v>
      </c>
      <c r="I269" s="2">
        <v>573</v>
      </c>
      <c r="J269" s="2">
        <v>2055</v>
      </c>
      <c r="K269" s="3">
        <f t="shared" si="18"/>
        <v>27.883211678832115</v>
      </c>
      <c r="L269" s="2">
        <v>213</v>
      </c>
    </row>
    <row r="270" spans="1:12" x14ac:dyDescent="0.25">
      <c r="A270" s="1" t="s">
        <v>14</v>
      </c>
      <c r="B270" s="1" t="s">
        <v>398</v>
      </c>
      <c r="C270" s="1" t="s">
        <v>745</v>
      </c>
      <c r="D270" s="1" t="s">
        <v>1089</v>
      </c>
      <c r="E270" s="2">
        <v>70501</v>
      </c>
      <c r="F270" s="2">
        <v>54</v>
      </c>
      <c r="G270" s="2">
        <v>230</v>
      </c>
      <c r="H270" s="2">
        <v>3004</v>
      </c>
      <c r="I270" s="2">
        <v>1278</v>
      </c>
      <c r="J270" s="2">
        <v>4566</v>
      </c>
      <c r="K270" s="3">
        <f t="shared" si="18"/>
        <v>27.989487516425754</v>
      </c>
      <c r="L270" s="2">
        <v>54</v>
      </c>
    </row>
    <row r="271" spans="1:12" x14ac:dyDescent="0.25">
      <c r="A271" s="1" t="s">
        <v>14</v>
      </c>
      <c r="B271" s="1" t="s">
        <v>398</v>
      </c>
      <c r="C271" s="1" t="s">
        <v>733</v>
      </c>
      <c r="D271" s="1" t="s">
        <v>733</v>
      </c>
      <c r="E271" s="2">
        <v>70502</v>
      </c>
      <c r="F271" s="2">
        <v>117</v>
      </c>
      <c r="G271" s="2">
        <v>398</v>
      </c>
      <c r="H271" s="2">
        <v>3343</v>
      </c>
      <c r="I271" s="2">
        <v>3324</v>
      </c>
      <c r="J271" s="2">
        <v>7182</v>
      </c>
      <c r="K271" s="3">
        <f t="shared" si="18"/>
        <v>46.28237259816207</v>
      </c>
      <c r="L271" s="2">
        <v>117</v>
      </c>
    </row>
    <row r="272" spans="1:12" x14ac:dyDescent="0.25">
      <c r="A272" s="1" t="s">
        <v>14</v>
      </c>
      <c r="B272" s="1" t="s">
        <v>398</v>
      </c>
      <c r="C272" s="1" t="s">
        <v>742</v>
      </c>
      <c r="D272" s="1" t="s">
        <v>742</v>
      </c>
      <c r="E272" s="2">
        <v>70503</v>
      </c>
      <c r="F272" s="2">
        <v>201</v>
      </c>
      <c r="G272" s="2">
        <v>264</v>
      </c>
      <c r="H272" s="2">
        <v>1999</v>
      </c>
      <c r="I272" s="2">
        <v>1283</v>
      </c>
      <c r="J272" s="2">
        <v>3747</v>
      </c>
      <c r="K272" s="3">
        <f t="shared" si="18"/>
        <v>34.240725914064583</v>
      </c>
      <c r="L272" s="2">
        <v>201</v>
      </c>
    </row>
    <row r="273" spans="1:12" x14ac:dyDescent="0.25">
      <c r="A273" s="1" t="s">
        <v>14</v>
      </c>
      <c r="B273" s="1" t="s">
        <v>230</v>
      </c>
      <c r="C273" s="1" t="s">
        <v>545</v>
      </c>
      <c r="D273" s="1" t="s">
        <v>545</v>
      </c>
      <c r="E273" s="2">
        <v>70601</v>
      </c>
      <c r="F273" s="2">
        <v>96</v>
      </c>
      <c r="G273" s="2">
        <v>304</v>
      </c>
      <c r="H273" s="2">
        <v>1463</v>
      </c>
      <c r="I273" s="2">
        <v>2256</v>
      </c>
      <c r="J273" s="2">
        <v>4119</v>
      </c>
      <c r="K273" s="3">
        <f t="shared" si="18"/>
        <v>54.770575382374368</v>
      </c>
      <c r="L273" s="2">
        <v>96</v>
      </c>
    </row>
    <row r="274" spans="1:12" x14ac:dyDescent="0.25">
      <c r="A274" s="1" t="s">
        <v>14</v>
      </c>
      <c r="B274" s="1" t="s">
        <v>230</v>
      </c>
      <c r="C274" s="1" t="s">
        <v>523</v>
      </c>
      <c r="D274" s="1" t="s">
        <v>613</v>
      </c>
      <c r="E274" s="2">
        <v>70602</v>
      </c>
      <c r="F274" s="2">
        <v>767</v>
      </c>
      <c r="G274" s="2">
        <v>987</v>
      </c>
      <c r="H274" s="2">
        <v>1922</v>
      </c>
      <c r="I274" s="2">
        <v>1302</v>
      </c>
      <c r="J274" s="2">
        <v>4978</v>
      </c>
      <c r="K274" s="3">
        <f t="shared" si="18"/>
        <v>26.155082362394538</v>
      </c>
      <c r="L274" s="2">
        <v>767</v>
      </c>
    </row>
    <row r="275" spans="1:12" x14ac:dyDescent="0.25">
      <c r="A275" s="1" t="s">
        <v>14</v>
      </c>
      <c r="B275" s="1" t="s">
        <v>230</v>
      </c>
      <c r="C275" s="1" t="s">
        <v>739</v>
      </c>
      <c r="D275" s="1" t="s">
        <v>739</v>
      </c>
      <c r="E275" s="2">
        <v>70603</v>
      </c>
      <c r="F275" s="2">
        <v>39</v>
      </c>
      <c r="G275" s="2">
        <v>110</v>
      </c>
      <c r="H275" s="2">
        <v>1016</v>
      </c>
      <c r="I275" s="2">
        <v>189</v>
      </c>
      <c r="J275" s="2">
        <v>1354</v>
      </c>
      <c r="K275" s="3">
        <f t="shared" si="18"/>
        <v>13.958641063515509</v>
      </c>
      <c r="L275" s="2">
        <v>39</v>
      </c>
    </row>
    <row r="276" spans="1:12" x14ac:dyDescent="0.25">
      <c r="A276" s="1" t="s">
        <v>14</v>
      </c>
      <c r="B276" s="1" t="s">
        <v>287</v>
      </c>
      <c r="C276" s="1" t="s">
        <v>656</v>
      </c>
      <c r="D276" s="1" t="s">
        <v>656</v>
      </c>
      <c r="E276" s="2">
        <v>70701</v>
      </c>
      <c r="F276" s="2">
        <v>98</v>
      </c>
      <c r="G276" s="2">
        <v>314</v>
      </c>
      <c r="H276" s="2">
        <v>224</v>
      </c>
      <c r="I276" s="2">
        <v>435</v>
      </c>
      <c r="J276" s="2">
        <v>1071</v>
      </c>
      <c r="K276" s="3">
        <f t="shared" si="18"/>
        <v>40.616246498599438</v>
      </c>
      <c r="L276" s="2">
        <v>98</v>
      </c>
    </row>
    <row r="277" spans="1:12" x14ac:dyDescent="0.25">
      <c r="A277" s="1" t="s">
        <v>14</v>
      </c>
      <c r="B277" s="1" t="s">
        <v>287</v>
      </c>
      <c r="C277" s="1" t="s">
        <v>744</v>
      </c>
      <c r="D277" s="1" t="s">
        <v>744</v>
      </c>
      <c r="E277" s="2">
        <v>70702</v>
      </c>
      <c r="F277" s="2">
        <v>246</v>
      </c>
      <c r="G277" s="2">
        <v>1489</v>
      </c>
      <c r="H277" s="2">
        <v>2046</v>
      </c>
      <c r="I277" s="2">
        <v>2508</v>
      </c>
      <c r="J277" s="2">
        <v>6289</v>
      </c>
      <c r="K277" s="3">
        <f t="shared" si="18"/>
        <v>39.879154078549853</v>
      </c>
      <c r="L277" s="2">
        <v>246</v>
      </c>
    </row>
    <row r="278" spans="1:12" x14ac:dyDescent="0.25">
      <c r="A278" s="1" t="s">
        <v>14</v>
      </c>
      <c r="B278" s="1" t="s">
        <v>287</v>
      </c>
      <c r="C278" s="1" t="s">
        <v>592</v>
      </c>
      <c r="D278" s="1" t="s">
        <v>592</v>
      </c>
      <c r="E278" s="2">
        <v>70703</v>
      </c>
      <c r="F278" s="2">
        <v>329</v>
      </c>
      <c r="G278" s="2">
        <v>623</v>
      </c>
      <c r="H278" s="2">
        <v>1988</v>
      </c>
      <c r="I278" s="2">
        <v>2688</v>
      </c>
      <c r="J278" s="2">
        <v>5628</v>
      </c>
      <c r="K278" s="3">
        <f t="shared" si="18"/>
        <v>47.761194029850742</v>
      </c>
      <c r="L278" s="2">
        <v>329</v>
      </c>
    </row>
    <row r="279" spans="1:12" x14ac:dyDescent="0.25">
      <c r="A279" s="1" t="s">
        <v>14</v>
      </c>
      <c r="B279" s="1" t="s">
        <v>287</v>
      </c>
      <c r="C279" s="1" t="s">
        <v>705</v>
      </c>
      <c r="D279" s="1" t="s">
        <v>705</v>
      </c>
      <c r="E279" s="2">
        <v>70704</v>
      </c>
      <c r="F279" s="2">
        <v>162</v>
      </c>
      <c r="G279" s="2">
        <v>167</v>
      </c>
      <c r="H279" s="2">
        <v>678</v>
      </c>
      <c r="I279" s="2">
        <v>110</v>
      </c>
      <c r="J279" s="2">
        <v>1117</v>
      </c>
      <c r="K279" s="3">
        <f t="shared" si="18"/>
        <v>9.8478066248880936</v>
      </c>
      <c r="L279" s="2">
        <v>162</v>
      </c>
    </row>
    <row r="280" spans="1:12" x14ac:dyDescent="0.25">
      <c r="A280" s="1" t="s">
        <v>14</v>
      </c>
      <c r="B280" s="1" t="s">
        <v>287</v>
      </c>
      <c r="C280" s="1" t="s">
        <v>709</v>
      </c>
      <c r="D280" s="1" t="s">
        <v>709</v>
      </c>
      <c r="E280" s="2">
        <v>70705</v>
      </c>
      <c r="F280" s="2">
        <v>400</v>
      </c>
      <c r="G280" s="2">
        <v>805</v>
      </c>
      <c r="H280" s="2">
        <v>788</v>
      </c>
      <c r="I280" s="2">
        <v>397</v>
      </c>
      <c r="J280" s="2">
        <v>2390</v>
      </c>
      <c r="K280" s="3">
        <f t="shared" si="18"/>
        <v>16.610878661087867</v>
      </c>
      <c r="L280" s="2">
        <v>400</v>
      </c>
    </row>
    <row r="281" spans="1:12" x14ac:dyDescent="0.25">
      <c r="A281" s="1" t="s">
        <v>14</v>
      </c>
      <c r="B281" s="1" t="s">
        <v>287</v>
      </c>
      <c r="C281" s="1" t="s">
        <v>706</v>
      </c>
      <c r="D281" s="1" t="s">
        <v>706</v>
      </c>
      <c r="E281" s="2">
        <v>70706</v>
      </c>
      <c r="F281" s="2">
        <v>115</v>
      </c>
      <c r="G281" s="2">
        <v>430</v>
      </c>
      <c r="H281" s="2">
        <v>2569</v>
      </c>
      <c r="I281" s="2">
        <v>5260</v>
      </c>
      <c r="J281" s="2">
        <v>8374</v>
      </c>
      <c r="K281" s="3">
        <f t="shared" si="18"/>
        <v>62.81347026510629</v>
      </c>
      <c r="L281" s="2">
        <v>115</v>
      </c>
    </row>
    <row r="282" spans="1:12" x14ac:dyDescent="0.25">
      <c r="A282" s="1" t="s">
        <v>14</v>
      </c>
      <c r="B282" s="1" t="s">
        <v>287</v>
      </c>
      <c r="C282" s="1" t="s">
        <v>704</v>
      </c>
      <c r="D282" s="1" t="s">
        <v>704</v>
      </c>
      <c r="E282" s="2">
        <v>70707</v>
      </c>
      <c r="F282" s="2">
        <v>91</v>
      </c>
      <c r="G282" s="2">
        <v>234</v>
      </c>
      <c r="H282" s="2">
        <v>407</v>
      </c>
      <c r="I282" s="2">
        <v>281</v>
      </c>
      <c r="J282" s="2">
        <v>1013</v>
      </c>
      <c r="K282" s="3">
        <f t="shared" si="18"/>
        <v>27.739387956564659</v>
      </c>
      <c r="L282" s="2">
        <v>91</v>
      </c>
    </row>
    <row r="283" spans="1:12" x14ac:dyDescent="0.25">
      <c r="A283" s="1" t="s">
        <v>14</v>
      </c>
      <c r="B283" s="1" t="s">
        <v>198</v>
      </c>
      <c r="C283" s="1" t="s">
        <v>198</v>
      </c>
      <c r="D283" s="1" t="s">
        <v>198</v>
      </c>
      <c r="E283" s="2">
        <v>70801</v>
      </c>
      <c r="F283" s="2">
        <v>545</v>
      </c>
      <c r="G283" s="2">
        <v>787</v>
      </c>
      <c r="H283" s="2">
        <v>795</v>
      </c>
      <c r="I283" s="2">
        <v>3148</v>
      </c>
      <c r="J283" s="2">
        <v>5275</v>
      </c>
      <c r="K283" s="3">
        <f t="shared" si="18"/>
        <v>59.677725118483416</v>
      </c>
      <c r="L283" s="2">
        <v>545</v>
      </c>
    </row>
    <row r="284" spans="1:12" x14ac:dyDescent="0.25">
      <c r="A284" s="1" t="s">
        <v>14</v>
      </c>
      <c r="B284" s="1" t="s">
        <v>198</v>
      </c>
      <c r="C284" s="1" t="s">
        <v>713</v>
      </c>
      <c r="D284" s="1" t="s">
        <v>713</v>
      </c>
      <c r="E284" s="2">
        <v>70802</v>
      </c>
      <c r="F284" s="2">
        <v>33</v>
      </c>
      <c r="G284" s="2">
        <v>60</v>
      </c>
      <c r="H284" s="2">
        <v>127</v>
      </c>
      <c r="I284" s="2">
        <v>356</v>
      </c>
      <c r="J284" s="2">
        <v>576</v>
      </c>
      <c r="K284" s="3">
        <f t="shared" si="18"/>
        <v>61.805555555555557</v>
      </c>
      <c r="L284" s="2">
        <v>33</v>
      </c>
    </row>
    <row r="285" spans="1:12" x14ac:dyDescent="0.25">
      <c r="A285" s="1" t="s">
        <v>14</v>
      </c>
      <c r="B285" s="1" t="s">
        <v>198</v>
      </c>
      <c r="C285" s="1" t="s">
        <v>486</v>
      </c>
      <c r="D285" s="1" t="s">
        <v>830</v>
      </c>
      <c r="E285" s="2">
        <v>70803</v>
      </c>
      <c r="F285" s="2">
        <v>143</v>
      </c>
      <c r="G285" s="2">
        <v>195</v>
      </c>
      <c r="H285" s="2">
        <v>208</v>
      </c>
      <c r="I285" s="2">
        <v>324</v>
      </c>
      <c r="J285" s="2">
        <v>870</v>
      </c>
      <c r="K285" s="3">
        <f t="shared" si="18"/>
        <v>37.241379310344833</v>
      </c>
      <c r="L285" s="2">
        <v>143</v>
      </c>
    </row>
    <row r="286" spans="1:12" x14ac:dyDescent="0.25">
      <c r="A286" s="1" t="s">
        <v>14</v>
      </c>
      <c r="B286" s="1" t="s">
        <v>198</v>
      </c>
      <c r="C286" s="1" t="s">
        <v>712</v>
      </c>
      <c r="D286" s="1" t="s">
        <v>712</v>
      </c>
      <c r="E286" s="2">
        <v>70804</v>
      </c>
      <c r="F286" s="2">
        <v>196</v>
      </c>
      <c r="G286" s="2">
        <v>97</v>
      </c>
      <c r="H286" s="2">
        <v>75</v>
      </c>
      <c r="I286" s="2">
        <v>232</v>
      </c>
      <c r="J286" s="2">
        <v>600</v>
      </c>
      <c r="K286" s="3">
        <f t="shared" si="18"/>
        <v>38.666666666666664</v>
      </c>
      <c r="L286" s="2">
        <v>196</v>
      </c>
    </row>
    <row r="287" spans="1:12" x14ac:dyDescent="0.25">
      <c r="A287" s="1" t="s">
        <v>14</v>
      </c>
      <c r="B287" s="1" t="s">
        <v>198</v>
      </c>
      <c r="C287" s="1" t="s">
        <v>701</v>
      </c>
      <c r="D287" s="1" t="s">
        <v>701</v>
      </c>
      <c r="E287" s="2">
        <v>70805</v>
      </c>
      <c r="F287" s="2">
        <v>142</v>
      </c>
      <c r="G287" s="2">
        <v>156</v>
      </c>
      <c r="H287" s="2">
        <v>151</v>
      </c>
      <c r="I287" s="2">
        <v>186</v>
      </c>
      <c r="J287" s="2">
        <v>635</v>
      </c>
      <c r="K287" s="3">
        <f t="shared" si="18"/>
        <v>29.291338582677167</v>
      </c>
      <c r="L287" s="2">
        <v>142</v>
      </c>
    </row>
    <row r="288" spans="1:12" x14ac:dyDescent="0.25">
      <c r="A288" s="1" t="s">
        <v>14</v>
      </c>
      <c r="B288" s="1" t="s">
        <v>200</v>
      </c>
      <c r="C288" s="1" t="s">
        <v>488</v>
      </c>
      <c r="D288" s="1" t="s">
        <v>488</v>
      </c>
      <c r="E288" s="2">
        <v>70901</v>
      </c>
      <c r="F288" s="2">
        <v>403</v>
      </c>
      <c r="G288" s="2">
        <v>382</v>
      </c>
      <c r="H288" s="2">
        <v>1066</v>
      </c>
      <c r="I288" s="2">
        <v>1248</v>
      </c>
      <c r="J288" s="2">
        <v>3099</v>
      </c>
      <c r="K288" s="3">
        <f t="shared" si="18"/>
        <v>40.271055179090034</v>
      </c>
      <c r="L288" s="2">
        <v>403</v>
      </c>
    </row>
    <row r="289" spans="1:12" x14ac:dyDescent="0.25">
      <c r="A289" s="1" t="s">
        <v>14</v>
      </c>
      <c r="B289" s="1" t="s">
        <v>200</v>
      </c>
      <c r="C289" s="1" t="s">
        <v>736</v>
      </c>
      <c r="D289" s="1" t="s">
        <v>736</v>
      </c>
      <c r="E289" s="2">
        <v>70902</v>
      </c>
      <c r="F289" s="2">
        <v>224</v>
      </c>
      <c r="G289" s="2">
        <v>309</v>
      </c>
      <c r="H289" s="2">
        <v>1178</v>
      </c>
      <c r="I289" s="2">
        <v>1003</v>
      </c>
      <c r="J289" s="2">
        <v>2714</v>
      </c>
      <c r="K289" s="3">
        <f t="shared" si="18"/>
        <v>36.95652173913043</v>
      </c>
      <c r="L289" s="2">
        <v>224</v>
      </c>
    </row>
    <row r="290" spans="1:12" x14ac:dyDescent="0.25">
      <c r="A290" s="1" t="s">
        <v>14</v>
      </c>
      <c r="B290" s="1" t="s">
        <v>200</v>
      </c>
      <c r="C290" s="1" t="s">
        <v>737</v>
      </c>
      <c r="D290" s="1" t="s">
        <v>737</v>
      </c>
      <c r="E290" s="2">
        <v>70903</v>
      </c>
      <c r="F290" s="2">
        <v>196</v>
      </c>
      <c r="G290" s="2">
        <v>191</v>
      </c>
      <c r="H290" s="2">
        <v>1945</v>
      </c>
      <c r="I290" s="2">
        <v>632</v>
      </c>
      <c r="J290" s="2">
        <v>2964</v>
      </c>
      <c r="K290" s="3">
        <f t="shared" si="18"/>
        <v>21.322537112010799</v>
      </c>
      <c r="L290" s="2">
        <v>196</v>
      </c>
    </row>
    <row r="291" spans="1:12" x14ac:dyDescent="0.25">
      <c r="A291" s="1" t="s">
        <v>14</v>
      </c>
      <c r="B291" s="1" t="s">
        <v>200</v>
      </c>
      <c r="C291" s="1" t="s">
        <v>714</v>
      </c>
      <c r="D291" s="1" t="s">
        <v>714</v>
      </c>
      <c r="E291" s="2">
        <v>70904</v>
      </c>
      <c r="F291" s="2">
        <v>81</v>
      </c>
      <c r="G291" s="2">
        <v>86</v>
      </c>
      <c r="H291" s="2">
        <v>179</v>
      </c>
      <c r="I291" s="2">
        <v>384</v>
      </c>
      <c r="J291" s="2">
        <v>730</v>
      </c>
      <c r="K291" s="3">
        <f t="shared" si="18"/>
        <v>52.602739726027394</v>
      </c>
      <c r="L291" s="2">
        <v>81</v>
      </c>
    </row>
    <row r="292" spans="1:12" x14ac:dyDescent="0.25">
      <c r="A292" s="1" t="s">
        <v>14</v>
      </c>
      <c r="B292" s="1" t="s">
        <v>221</v>
      </c>
      <c r="C292" s="1" t="s">
        <v>725</v>
      </c>
      <c r="D292" s="1" t="s">
        <v>725</v>
      </c>
      <c r="E292" s="2">
        <v>71001</v>
      </c>
      <c r="F292" s="2">
        <v>495</v>
      </c>
      <c r="G292" s="2">
        <v>1801</v>
      </c>
      <c r="H292" s="2">
        <v>12084</v>
      </c>
      <c r="I292" s="2">
        <v>11963</v>
      </c>
      <c r="J292" s="2">
        <v>26343</v>
      </c>
      <c r="K292" s="3">
        <f t="shared" si="18"/>
        <v>45.41244353338648</v>
      </c>
      <c r="L292" s="2">
        <v>495</v>
      </c>
    </row>
    <row r="293" spans="1:12" x14ac:dyDescent="0.25">
      <c r="A293" s="1" t="s">
        <v>14</v>
      </c>
      <c r="B293" s="1" t="s">
        <v>221</v>
      </c>
      <c r="C293" s="1" t="s">
        <v>732</v>
      </c>
      <c r="D293" s="1" t="s">
        <v>732</v>
      </c>
      <c r="E293" s="2">
        <v>71002</v>
      </c>
      <c r="F293" s="2">
        <v>92</v>
      </c>
      <c r="G293" s="2">
        <v>310</v>
      </c>
      <c r="H293" s="2">
        <v>1590</v>
      </c>
      <c r="I293" s="2">
        <v>1244</v>
      </c>
      <c r="J293" s="2">
        <v>3236</v>
      </c>
      <c r="K293" s="3">
        <f t="shared" si="18"/>
        <v>38.442521631644006</v>
      </c>
      <c r="L293" s="2">
        <v>92</v>
      </c>
    </row>
    <row r="294" spans="1:12" x14ac:dyDescent="0.25">
      <c r="A294" s="1" t="s">
        <v>14</v>
      </c>
      <c r="B294" s="1" t="s">
        <v>221</v>
      </c>
      <c r="C294" s="1" t="s">
        <v>735</v>
      </c>
      <c r="D294" s="1" t="s">
        <v>735</v>
      </c>
      <c r="E294" s="2">
        <v>71003</v>
      </c>
      <c r="F294" s="2">
        <v>97</v>
      </c>
      <c r="G294" s="2">
        <v>424</v>
      </c>
      <c r="H294" s="2">
        <v>4183</v>
      </c>
      <c r="I294" s="2">
        <v>623</v>
      </c>
      <c r="J294" s="2">
        <v>5327</v>
      </c>
      <c r="K294" s="3">
        <f t="shared" si="18"/>
        <v>11.695137976346912</v>
      </c>
      <c r="L294" s="2">
        <v>97</v>
      </c>
    </row>
    <row r="295" spans="1:12" x14ac:dyDescent="0.25">
      <c r="A295" s="1" t="s">
        <v>14</v>
      </c>
      <c r="B295" s="1" t="s">
        <v>221</v>
      </c>
      <c r="C295" s="1" t="s">
        <v>734</v>
      </c>
      <c r="D295" s="1" t="s">
        <v>734</v>
      </c>
      <c r="E295" s="2">
        <v>71004</v>
      </c>
      <c r="F295" s="2">
        <v>48</v>
      </c>
      <c r="G295" s="2">
        <v>329</v>
      </c>
      <c r="H295" s="2">
        <v>2195</v>
      </c>
      <c r="I295" s="2">
        <v>591</v>
      </c>
      <c r="J295" s="2">
        <v>3163</v>
      </c>
      <c r="K295" s="3">
        <f t="shared" si="18"/>
        <v>18.684792918115715</v>
      </c>
      <c r="L295" s="2">
        <v>48</v>
      </c>
    </row>
    <row r="296" spans="1:12" x14ac:dyDescent="0.25">
      <c r="A296" s="1" t="s">
        <v>14</v>
      </c>
      <c r="B296" s="1" t="s">
        <v>221</v>
      </c>
      <c r="C296" s="1" t="s">
        <v>494</v>
      </c>
      <c r="D296" s="1" t="s">
        <v>494</v>
      </c>
      <c r="E296" s="2">
        <v>71005</v>
      </c>
      <c r="F296" s="2">
        <v>46</v>
      </c>
      <c r="G296" s="2">
        <v>181</v>
      </c>
      <c r="H296" s="2">
        <v>1630</v>
      </c>
      <c r="I296" s="2">
        <v>1620</v>
      </c>
      <c r="J296" s="2">
        <v>3477</v>
      </c>
      <c r="K296" s="3">
        <f t="shared" si="18"/>
        <v>46.591889559965487</v>
      </c>
      <c r="L296" s="2">
        <v>46</v>
      </c>
    </row>
    <row r="297" spans="1:12" x14ac:dyDescent="0.25">
      <c r="A297" s="1" t="s">
        <v>14</v>
      </c>
      <c r="B297" s="1" t="s">
        <v>229</v>
      </c>
      <c r="C297" s="1" t="s">
        <v>522</v>
      </c>
      <c r="D297" s="1" t="s">
        <v>522</v>
      </c>
      <c r="E297" s="2">
        <v>71101</v>
      </c>
      <c r="F297" s="2">
        <v>629</v>
      </c>
      <c r="G297" s="2">
        <v>988</v>
      </c>
      <c r="H297" s="2">
        <v>2118</v>
      </c>
      <c r="I297" s="2">
        <v>526</v>
      </c>
      <c r="J297" s="2">
        <v>4261</v>
      </c>
      <c r="K297" s="3">
        <f t="shared" si="18"/>
        <v>12.344520065712274</v>
      </c>
      <c r="L297" s="2">
        <v>629</v>
      </c>
    </row>
    <row r="298" spans="1:12" x14ac:dyDescent="0.25">
      <c r="A298" s="1" t="s">
        <v>14</v>
      </c>
      <c r="B298" s="1" t="s">
        <v>229</v>
      </c>
      <c r="C298" s="1" t="s">
        <v>511</v>
      </c>
      <c r="D298" s="1" t="s">
        <v>511</v>
      </c>
      <c r="E298" s="2">
        <v>71102</v>
      </c>
      <c r="F298" s="2">
        <v>337</v>
      </c>
      <c r="G298" s="2">
        <v>645</v>
      </c>
      <c r="H298" s="2">
        <v>1880</v>
      </c>
      <c r="I298" s="2">
        <v>323</v>
      </c>
      <c r="J298" s="2">
        <v>3185</v>
      </c>
      <c r="K298" s="3">
        <f t="shared" si="18"/>
        <v>10.141287284144427</v>
      </c>
      <c r="L298" s="2">
        <v>337</v>
      </c>
    </row>
    <row r="299" spans="1:12" x14ac:dyDescent="0.25">
      <c r="A299" s="1" t="s">
        <v>14</v>
      </c>
      <c r="B299" s="1" t="s">
        <v>229</v>
      </c>
      <c r="C299" s="1" t="s">
        <v>529</v>
      </c>
      <c r="D299" s="1" t="s">
        <v>529</v>
      </c>
      <c r="E299" s="2">
        <v>71103</v>
      </c>
      <c r="F299" s="2">
        <v>523</v>
      </c>
      <c r="G299" s="2">
        <v>2212</v>
      </c>
      <c r="H299" s="2">
        <v>6716</v>
      </c>
      <c r="I299" s="2">
        <v>3316</v>
      </c>
      <c r="J299" s="2">
        <v>12767</v>
      </c>
      <c r="K299" s="3">
        <f t="shared" si="18"/>
        <v>25.97321218767134</v>
      </c>
      <c r="L299" s="2">
        <v>523</v>
      </c>
    </row>
    <row r="300" spans="1:12" x14ac:dyDescent="0.25">
      <c r="A300" s="1" t="s">
        <v>14</v>
      </c>
      <c r="B300" s="1" t="s">
        <v>229</v>
      </c>
      <c r="C300" s="1" t="s">
        <v>772</v>
      </c>
      <c r="D300" s="1" t="s">
        <v>772</v>
      </c>
      <c r="E300" s="2">
        <v>71104</v>
      </c>
      <c r="F300" s="2">
        <v>43</v>
      </c>
      <c r="G300" s="2">
        <v>100</v>
      </c>
      <c r="H300" s="2">
        <v>308</v>
      </c>
      <c r="I300" s="2">
        <v>695</v>
      </c>
      <c r="J300" s="2">
        <v>1146</v>
      </c>
      <c r="K300" s="3">
        <f t="shared" si="18"/>
        <v>60.645724258289704</v>
      </c>
      <c r="L300" s="2">
        <v>43</v>
      </c>
    </row>
    <row r="301" spans="1:12" x14ac:dyDescent="0.25">
      <c r="A301" s="1" t="s">
        <v>14</v>
      </c>
      <c r="B301" s="1" t="s">
        <v>229</v>
      </c>
      <c r="C301" s="1" t="s">
        <v>751</v>
      </c>
      <c r="D301" s="1" t="s">
        <v>751</v>
      </c>
      <c r="E301" s="2">
        <v>71105</v>
      </c>
      <c r="F301" s="2">
        <v>109</v>
      </c>
      <c r="G301" s="2">
        <v>389</v>
      </c>
      <c r="H301" s="2">
        <v>1133</v>
      </c>
      <c r="I301" s="2">
        <v>54</v>
      </c>
      <c r="J301" s="2">
        <v>1685</v>
      </c>
      <c r="K301" s="3">
        <f t="shared" si="18"/>
        <v>3.2047477744807122</v>
      </c>
      <c r="L301" s="2">
        <v>109</v>
      </c>
    </row>
    <row r="302" spans="1:12" x14ac:dyDescent="0.25">
      <c r="A302" s="1" t="s">
        <v>14</v>
      </c>
      <c r="B302" s="1" t="s">
        <v>229</v>
      </c>
      <c r="C302" s="1" t="s">
        <v>717</v>
      </c>
      <c r="D302" s="1" t="s">
        <v>717</v>
      </c>
      <c r="E302" s="2">
        <v>71106</v>
      </c>
      <c r="F302" s="2">
        <v>48</v>
      </c>
      <c r="G302" s="2">
        <v>446</v>
      </c>
      <c r="H302" s="2">
        <v>2474</v>
      </c>
      <c r="I302" s="2">
        <v>2090</v>
      </c>
      <c r="J302" s="2">
        <v>5058</v>
      </c>
      <c r="K302" s="3">
        <f t="shared" si="18"/>
        <v>41.320680110715699</v>
      </c>
      <c r="L302" s="2">
        <v>48</v>
      </c>
    </row>
    <row r="303" spans="1:12" x14ac:dyDescent="0.25">
      <c r="A303" s="1" t="s">
        <v>14</v>
      </c>
      <c r="B303" s="1" t="s">
        <v>405</v>
      </c>
      <c r="C303" s="1" t="s">
        <v>743</v>
      </c>
      <c r="D303" s="1" t="s">
        <v>743</v>
      </c>
      <c r="E303" s="2">
        <v>71201</v>
      </c>
      <c r="F303" s="2">
        <v>205</v>
      </c>
      <c r="G303" s="2">
        <v>858</v>
      </c>
      <c r="H303" s="2">
        <v>1581</v>
      </c>
      <c r="I303" s="2">
        <v>571</v>
      </c>
      <c r="J303" s="2">
        <v>3215</v>
      </c>
      <c r="K303" s="3">
        <f t="shared" si="18"/>
        <v>17.760497667185071</v>
      </c>
      <c r="L303" s="2">
        <v>205</v>
      </c>
    </row>
    <row r="304" spans="1:12" x14ac:dyDescent="0.25">
      <c r="A304" s="1" t="s">
        <v>14</v>
      </c>
      <c r="B304" s="1" t="s">
        <v>216</v>
      </c>
      <c r="C304" s="1" t="s">
        <v>774</v>
      </c>
      <c r="D304" s="1" t="s">
        <v>774</v>
      </c>
      <c r="E304" s="2">
        <v>71301</v>
      </c>
      <c r="F304" s="2">
        <v>602</v>
      </c>
      <c r="G304" s="2">
        <v>726</v>
      </c>
      <c r="H304" s="2">
        <v>930</v>
      </c>
      <c r="I304" s="2">
        <v>2381</v>
      </c>
      <c r="J304" s="2">
        <v>4639</v>
      </c>
      <c r="K304" s="3">
        <f t="shared" si="18"/>
        <v>51.325716749299424</v>
      </c>
      <c r="L304" s="2">
        <v>602</v>
      </c>
    </row>
    <row r="305" spans="1:12" x14ac:dyDescent="0.25">
      <c r="A305" s="1" t="s">
        <v>14</v>
      </c>
      <c r="B305" s="1" t="s">
        <v>216</v>
      </c>
      <c r="C305" s="1" t="s">
        <v>506</v>
      </c>
      <c r="D305" s="1" t="s">
        <v>506</v>
      </c>
      <c r="E305" s="2">
        <v>71302</v>
      </c>
      <c r="F305" s="2">
        <v>120</v>
      </c>
      <c r="G305" s="2">
        <v>200</v>
      </c>
      <c r="H305" s="2">
        <v>1097</v>
      </c>
      <c r="I305" s="2">
        <v>366</v>
      </c>
      <c r="J305" s="2">
        <v>1783</v>
      </c>
      <c r="K305" s="3">
        <f t="shared" si="18"/>
        <v>20.527201346045988</v>
      </c>
      <c r="L305" s="2">
        <v>120</v>
      </c>
    </row>
    <row r="306" spans="1:12" x14ac:dyDescent="0.25">
      <c r="A306" s="1" t="s">
        <v>14</v>
      </c>
      <c r="B306" s="1" t="s">
        <v>190</v>
      </c>
      <c r="C306" s="1" t="s">
        <v>740</v>
      </c>
      <c r="D306" s="1" t="s">
        <v>740</v>
      </c>
      <c r="E306" s="2">
        <v>71401</v>
      </c>
      <c r="F306" s="2">
        <v>234</v>
      </c>
      <c r="G306" s="2">
        <v>300</v>
      </c>
      <c r="H306" s="2">
        <v>3343</v>
      </c>
      <c r="I306" s="2">
        <v>677</v>
      </c>
      <c r="J306" s="2">
        <v>4554</v>
      </c>
      <c r="K306" s="3">
        <f t="shared" si="18"/>
        <v>14.866051822573562</v>
      </c>
      <c r="L306" s="2">
        <v>234</v>
      </c>
    </row>
    <row r="307" spans="1:12" x14ac:dyDescent="0.25">
      <c r="A307" s="1" t="s">
        <v>14</v>
      </c>
      <c r="B307" s="1" t="s">
        <v>190</v>
      </c>
      <c r="C307" s="1" t="s">
        <v>476</v>
      </c>
      <c r="D307" s="1" t="s">
        <v>476</v>
      </c>
      <c r="E307" s="2">
        <v>71402</v>
      </c>
      <c r="F307" s="2">
        <v>12</v>
      </c>
      <c r="G307" s="2">
        <v>275</v>
      </c>
      <c r="H307" s="2">
        <v>3465</v>
      </c>
      <c r="I307" s="2">
        <v>129</v>
      </c>
      <c r="J307" s="2">
        <v>3881</v>
      </c>
      <c r="K307" s="3">
        <f t="shared" si="18"/>
        <v>3.3238855964957486</v>
      </c>
      <c r="L307" s="2">
        <v>12</v>
      </c>
    </row>
    <row r="308" spans="1:12" x14ac:dyDescent="0.25">
      <c r="A308" s="1" t="s">
        <v>14</v>
      </c>
      <c r="B308" s="1" t="s">
        <v>190</v>
      </c>
      <c r="C308" s="1" t="s">
        <v>741</v>
      </c>
      <c r="D308" s="1" t="s">
        <v>741</v>
      </c>
      <c r="E308" s="2">
        <v>71403</v>
      </c>
      <c r="F308" s="2">
        <v>154</v>
      </c>
      <c r="G308" s="2">
        <v>304</v>
      </c>
      <c r="H308" s="2">
        <v>777</v>
      </c>
      <c r="I308" s="2">
        <v>257</v>
      </c>
      <c r="J308" s="2">
        <v>1492</v>
      </c>
      <c r="K308" s="3">
        <f t="shared" si="18"/>
        <v>17.22520107238606</v>
      </c>
      <c r="L308" s="2">
        <v>154</v>
      </c>
    </row>
    <row r="309" spans="1:12" x14ac:dyDescent="0.25">
      <c r="A309" s="1" t="s">
        <v>14</v>
      </c>
      <c r="B309" s="1" t="s">
        <v>392</v>
      </c>
      <c r="C309" s="1" t="s">
        <v>726</v>
      </c>
      <c r="D309" s="1" t="s">
        <v>726</v>
      </c>
      <c r="E309" s="2">
        <v>71501</v>
      </c>
      <c r="F309" s="2">
        <v>623</v>
      </c>
      <c r="G309" s="2">
        <v>2637</v>
      </c>
      <c r="H309" s="2">
        <v>1606</v>
      </c>
      <c r="I309" s="2">
        <v>655</v>
      </c>
      <c r="J309" s="2">
        <v>5521</v>
      </c>
      <c r="K309" s="3">
        <f t="shared" si="18"/>
        <v>11.863792791161023</v>
      </c>
      <c r="L309" s="2">
        <v>623</v>
      </c>
    </row>
    <row r="310" spans="1:12" x14ac:dyDescent="0.25">
      <c r="A310" s="1" t="s">
        <v>14</v>
      </c>
      <c r="B310" s="1" t="s">
        <v>392</v>
      </c>
      <c r="C310" s="1" t="s">
        <v>749</v>
      </c>
      <c r="D310" s="1" t="s">
        <v>1093</v>
      </c>
      <c r="E310" s="2">
        <v>71502</v>
      </c>
      <c r="F310" s="2">
        <v>141</v>
      </c>
      <c r="G310" s="2">
        <v>335</v>
      </c>
      <c r="H310" s="2">
        <v>664</v>
      </c>
      <c r="I310" s="2">
        <v>42</v>
      </c>
      <c r="J310" s="2">
        <v>1182</v>
      </c>
      <c r="K310" s="3">
        <f t="shared" si="18"/>
        <v>3.5532994923857872</v>
      </c>
      <c r="L310" s="2">
        <v>141</v>
      </c>
    </row>
    <row r="311" spans="1:12" x14ac:dyDescent="0.25">
      <c r="A311" s="1" t="s">
        <v>14</v>
      </c>
      <c r="B311" s="1" t="s">
        <v>392</v>
      </c>
      <c r="C311" s="1" t="s">
        <v>552</v>
      </c>
      <c r="D311" s="1" t="s">
        <v>552</v>
      </c>
      <c r="E311" s="2">
        <v>71503</v>
      </c>
      <c r="F311" s="2">
        <v>972</v>
      </c>
      <c r="G311" s="2">
        <v>1473</v>
      </c>
      <c r="H311" s="2">
        <v>1396</v>
      </c>
      <c r="I311" s="2">
        <v>620</v>
      </c>
      <c r="J311" s="2">
        <v>4461</v>
      </c>
      <c r="K311" s="3">
        <f t="shared" si="18"/>
        <v>13.898229096615108</v>
      </c>
      <c r="L311" s="2">
        <v>972</v>
      </c>
    </row>
    <row r="312" spans="1:12" x14ac:dyDescent="0.25">
      <c r="A312" s="1" t="s">
        <v>27</v>
      </c>
      <c r="B312" s="1" t="s">
        <v>186</v>
      </c>
      <c r="C312" s="1" t="s">
        <v>750</v>
      </c>
      <c r="D312" s="1" t="s">
        <v>750</v>
      </c>
      <c r="E312" s="2">
        <v>80101</v>
      </c>
      <c r="F312" s="2">
        <v>917</v>
      </c>
      <c r="G312" s="2">
        <v>6882</v>
      </c>
      <c r="H312" s="2">
        <v>9663</v>
      </c>
      <c r="I312" s="2">
        <v>7262</v>
      </c>
      <c r="J312" s="2">
        <v>24724</v>
      </c>
      <c r="K312" s="3">
        <f t="shared" si="18"/>
        <v>29.372269859246074</v>
      </c>
      <c r="L312" s="2">
        <v>917</v>
      </c>
    </row>
    <row r="313" spans="1:12" x14ac:dyDescent="0.25">
      <c r="A313" s="1" t="s">
        <v>27</v>
      </c>
      <c r="B313" s="1" t="s">
        <v>186</v>
      </c>
      <c r="C313" s="1" t="s">
        <v>511</v>
      </c>
      <c r="D313" s="1" t="s">
        <v>511</v>
      </c>
      <c r="E313" s="2">
        <v>80102</v>
      </c>
      <c r="F313" s="2">
        <v>73</v>
      </c>
      <c r="G313" s="2">
        <v>290</v>
      </c>
      <c r="H313" s="2">
        <v>521</v>
      </c>
      <c r="I313" s="2">
        <v>346</v>
      </c>
      <c r="J313" s="2">
        <v>1230</v>
      </c>
      <c r="K313" s="3">
        <f t="shared" si="18"/>
        <v>28.130081300813011</v>
      </c>
      <c r="L313" s="2">
        <v>73</v>
      </c>
    </row>
    <row r="314" spans="1:12" x14ac:dyDescent="0.25">
      <c r="A314" s="1" t="s">
        <v>27</v>
      </c>
      <c r="B314" s="1" t="s">
        <v>355</v>
      </c>
      <c r="C314" s="1" t="s">
        <v>676</v>
      </c>
      <c r="D314" s="1" t="s">
        <v>676</v>
      </c>
      <c r="E314" s="2">
        <v>80201</v>
      </c>
      <c r="F314" s="2">
        <v>1309</v>
      </c>
      <c r="G314" s="2">
        <v>12589</v>
      </c>
      <c r="H314" s="2">
        <v>3211</v>
      </c>
      <c r="I314" s="2">
        <v>2479</v>
      </c>
      <c r="J314" s="2">
        <v>19588</v>
      </c>
      <c r="K314" s="3">
        <f t="shared" si="18"/>
        <v>12.65570757606698</v>
      </c>
      <c r="L314" s="2">
        <v>1309</v>
      </c>
    </row>
    <row r="315" spans="1:12" x14ac:dyDescent="0.25">
      <c r="A315" s="1" t="s">
        <v>27</v>
      </c>
      <c r="B315" s="1" t="s">
        <v>355</v>
      </c>
      <c r="C315" s="1" t="s">
        <v>683</v>
      </c>
      <c r="D315" s="1" t="s">
        <v>683</v>
      </c>
      <c r="E315" s="2">
        <v>80202</v>
      </c>
      <c r="F315" s="2">
        <v>289</v>
      </c>
      <c r="G315" s="2">
        <v>1224</v>
      </c>
      <c r="H315" s="2">
        <v>4939</v>
      </c>
      <c r="I315" s="2">
        <v>2809</v>
      </c>
      <c r="J315" s="2">
        <v>9261</v>
      </c>
      <c r="K315" s="3">
        <f t="shared" si="18"/>
        <v>30.331497678436453</v>
      </c>
      <c r="L315" s="2">
        <v>289</v>
      </c>
    </row>
    <row r="316" spans="1:12" x14ac:dyDescent="0.25">
      <c r="A316" s="1" t="s">
        <v>27</v>
      </c>
      <c r="B316" s="1" t="s">
        <v>304</v>
      </c>
      <c r="C316" s="1" t="s">
        <v>672</v>
      </c>
      <c r="D316" s="1" t="s">
        <v>672</v>
      </c>
      <c r="E316" s="2">
        <v>80301</v>
      </c>
      <c r="F316" s="2">
        <v>303</v>
      </c>
      <c r="G316" s="2">
        <v>1495</v>
      </c>
      <c r="H316" s="2">
        <v>997</v>
      </c>
      <c r="I316" s="2">
        <v>167</v>
      </c>
      <c r="J316" s="2">
        <v>2962</v>
      </c>
      <c r="K316" s="3">
        <f t="shared" si="18"/>
        <v>5.6380823767724513</v>
      </c>
      <c r="L316" s="2">
        <v>303</v>
      </c>
    </row>
    <row r="317" spans="1:12" x14ac:dyDescent="0.25">
      <c r="A317" s="1" t="s">
        <v>27</v>
      </c>
      <c r="B317" s="1" t="s">
        <v>304</v>
      </c>
      <c r="C317" s="1" t="s">
        <v>671</v>
      </c>
      <c r="D317" s="41" t="s">
        <v>671</v>
      </c>
      <c r="E317" s="2">
        <v>80302</v>
      </c>
      <c r="F317" s="2">
        <v>2386</v>
      </c>
      <c r="G317" s="2">
        <v>1702</v>
      </c>
      <c r="H317" s="2">
        <v>4854</v>
      </c>
      <c r="I317" s="2">
        <v>470</v>
      </c>
      <c r="J317" s="2">
        <v>9412</v>
      </c>
      <c r="K317" s="3">
        <f t="shared" si="18"/>
        <v>4.9936251593710157</v>
      </c>
      <c r="L317" s="2">
        <v>2386</v>
      </c>
    </row>
    <row r="318" spans="1:12" x14ac:dyDescent="0.25">
      <c r="A318" s="1" t="s">
        <v>27</v>
      </c>
      <c r="B318" s="1" t="s">
        <v>304</v>
      </c>
      <c r="C318" s="1" t="s">
        <v>613</v>
      </c>
      <c r="D318" s="41" t="s">
        <v>613</v>
      </c>
      <c r="E318" s="2">
        <v>80303</v>
      </c>
      <c r="F318" s="2">
        <v>47</v>
      </c>
      <c r="G318" s="2">
        <v>253</v>
      </c>
      <c r="H318" s="2">
        <v>1228</v>
      </c>
      <c r="I318" s="2">
        <v>448</v>
      </c>
      <c r="J318" s="2">
        <v>1976</v>
      </c>
      <c r="K318" s="3">
        <f t="shared" si="18"/>
        <v>22.672064777327936</v>
      </c>
      <c r="L318" s="2">
        <v>47</v>
      </c>
    </row>
    <row r="319" spans="1:12" x14ac:dyDescent="0.25">
      <c r="A319" s="1" t="s">
        <v>27</v>
      </c>
      <c r="B319" s="1" t="s">
        <v>304</v>
      </c>
      <c r="C319" s="1" t="s">
        <v>668</v>
      </c>
      <c r="D319" s="41" t="s">
        <v>1012</v>
      </c>
      <c r="E319" s="2">
        <v>80304</v>
      </c>
      <c r="F319" s="2">
        <v>581</v>
      </c>
      <c r="G319" s="2">
        <v>594</v>
      </c>
      <c r="H319" s="2">
        <v>1882</v>
      </c>
      <c r="I319" s="2">
        <v>1800</v>
      </c>
      <c r="J319" s="2">
        <v>4857</v>
      </c>
      <c r="K319" s="3">
        <f t="shared" si="18"/>
        <v>37.059913526868435</v>
      </c>
      <c r="L319" s="2">
        <v>581</v>
      </c>
    </row>
    <row r="320" spans="1:12" x14ac:dyDescent="0.25">
      <c r="A320" s="1" t="s">
        <v>27</v>
      </c>
      <c r="B320" s="1" t="s">
        <v>350</v>
      </c>
      <c r="C320" s="1" t="s">
        <v>670</v>
      </c>
      <c r="D320" s="41" t="s">
        <v>1014</v>
      </c>
      <c r="E320" s="2">
        <v>80401</v>
      </c>
      <c r="F320" s="2">
        <v>182</v>
      </c>
      <c r="G320" s="2">
        <v>504</v>
      </c>
      <c r="H320" s="2">
        <v>1333</v>
      </c>
      <c r="I320" s="2">
        <v>1411</v>
      </c>
      <c r="J320" s="2">
        <v>3430</v>
      </c>
      <c r="K320" s="3">
        <f t="shared" si="18"/>
        <v>41.137026239067055</v>
      </c>
      <c r="L320" s="2">
        <v>182</v>
      </c>
    </row>
    <row r="321" spans="1:12" x14ac:dyDescent="0.25">
      <c r="A321" s="1" t="s">
        <v>27</v>
      </c>
      <c r="B321" s="1" t="s">
        <v>350</v>
      </c>
      <c r="C321" s="1" t="s">
        <v>675</v>
      </c>
      <c r="D321" s="41" t="s">
        <v>675</v>
      </c>
      <c r="E321" s="2">
        <v>80402</v>
      </c>
      <c r="F321" s="2">
        <v>67</v>
      </c>
      <c r="G321" s="2">
        <v>250</v>
      </c>
      <c r="H321" s="2">
        <v>367</v>
      </c>
      <c r="I321" s="2">
        <v>254</v>
      </c>
      <c r="J321" s="2">
        <v>938</v>
      </c>
      <c r="K321" s="3">
        <f t="shared" si="18"/>
        <v>27.078891257995735</v>
      </c>
      <c r="L321" s="2">
        <v>67</v>
      </c>
    </row>
    <row r="322" spans="1:12" x14ac:dyDescent="0.25">
      <c r="A322" s="1" t="s">
        <v>27</v>
      </c>
      <c r="B322" s="1" t="s">
        <v>219</v>
      </c>
      <c r="C322" s="1" t="s">
        <v>510</v>
      </c>
      <c r="D322" s="41" t="s">
        <v>510</v>
      </c>
      <c r="E322" s="2">
        <v>80501</v>
      </c>
      <c r="F322" s="2">
        <v>554</v>
      </c>
      <c r="G322" s="2">
        <v>1824</v>
      </c>
      <c r="H322" s="2">
        <v>1262</v>
      </c>
      <c r="I322" s="2">
        <v>365</v>
      </c>
      <c r="J322" s="2">
        <v>4005</v>
      </c>
      <c r="K322" s="3">
        <f t="shared" si="18"/>
        <v>9.1136079900124844</v>
      </c>
      <c r="L322" s="2">
        <v>554</v>
      </c>
    </row>
    <row r="323" spans="1:12" x14ac:dyDescent="0.25">
      <c r="A323" s="1" t="s">
        <v>27</v>
      </c>
      <c r="B323" s="1" t="s">
        <v>211</v>
      </c>
      <c r="C323" s="1" t="s">
        <v>499</v>
      </c>
      <c r="D323" s="41" t="s">
        <v>499</v>
      </c>
      <c r="E323" s="2">
        <v>80601</v>
      </c>
      <c r="F323" s="2">
        <v>85</v>
      </c>
      <c r="G323" s="2">
        <v>215</v>
      </c>
      <c r="H323" s="2">
        <v>298</v>
      </c>
      <c r="I323" s="2">
        <v>266</v>
      </c>
      <c r="J323" s="2">
        <v>864</v>
      </c>
      <c r="K323" s="3">
        <f t="shared" si="18"/>
        <v>30.787037037037035</v>
      </c>
      <c r="L323" s="2">
        <v>85</v>
      </c>
    </row>
    <row r="324" spans="1:12" x14ac:dyDescent="0.25">
      <c r="A324" s="1" t="s">
        <v>27</v>
      </c>
      <c r="B324" s="1" t="s">
        <v>211</v>
      </c>
      <c r="C324" s="1" t="s">
        <v>727</v>
      </c>
      <c r="D324" s="1" t="s">
        <v>727</v>
      </c>
      <c r="E324" s="2">
        <v>80602</v>
      </c>
      <c r="F324" s="2">
        <v>337</v>
      </c>
      <c r="G324" s="2">
        <v>636</v>
      </c>
      <c r="H324" s="2">
        <v>1280</v>
      </c>
      <c r="I324" s="2">
        <v>743</v>
      </c>
      <c r="J324" s="2">
        <v>2996</v>
      </c>
      <c r="K324" s="3">
        <f t="shared" si="18"/>
        <v>24.799732977303073</v>
      </c>
      <c r="L324" s="2">
        <v>337</v>
      </c>
    </row>
    <row r="325" spans="1:12" x14ac:dyDescent="0.25">
      <c r="A325" s="1" t="s">
        <v>27</v>
      </c>
      <c r="B325" s="1" t="s">
        <v>235</v>
      </c>
      <c r="C325" s="1" t="s">
        <v>528</v>
      </c>
      <c r="D325" s="1" t="s">
        <v>528</v>
      </c>
      <c r="E325" s="2">
        <v>80701</v>
      </c>
      <c r="F325" s="2">
        <v>38</v>
      </c>
      <c r="G325" s="2">
        <v>476</v>
      </c>
      <c r="H325" s="2">
        <v>610</v>
      </c>
      <c r="I325" s="2">
        <v>130</v>
      </c>
      <c r="J325" s="2">
        <v>1254</v>
      </c>
      <c r="K325" s="3">
        <f t="shared" si="18"/>
        <v>10.36682615629984</v>
      </c>
      <c r="L325" s="2">
        <v>38</v>
      </c>
    </row>
    <row r="326" spans="1:12" x14ac:dyDescent="0.25">
      <c r="A326" s="1" t="s">
        <v>27</v>
      </c>
      <c r="B326" s="1" t="s">
        <v>235</v>
      </c>
      <c r="C326" s="1" t="s">
        <v>529</v>
      </c>
      <c r="D326" s="1" t="s">
        <v>529</v>
      </c>
      <c r="E326" s="2">
        <v>80702</v>
      </c>
      <c r="F326" s="2">
        <v>40</v>
      </c>
      <c r="G326" s="2">
        <v>279</v>
      </c>
      <c r="H326" s="2">
        <v>773</v>
      </c>
      <c r="I326" s="2">
        <v>68</v>
      </c>
      <c r="J326" s="2">
        <v>1160</v>
      </c>
      <c r="K326" s="3">
        <f t="shared" si="18"/>
        <v>5.8620689655172411</v>
      </c>
      <c r="L326" s="2">
        <v>40</v>
      </c>
    </row>
    <row r="327" spans="1:12" x14ac:dyDescent="0.25">
      <c r="A327" s="1" t="s">
        <v>27</v>
      </c>
      <c r="B327" s="1" t="s">
        <v>235</v>
      </c>
      <c r="C327" s="1" t="s">
        <v>674</v>
      </c>
      <c r="D327" s="1" t="s">
        <v>674</v>
      </c>
      <c r="E327" s="2">
        <v>80703</v>
      </c>
      <c r="F327" s="2">
        <v>12</v>
      </c>
      <c r="G327" s="2">
        <v>37</v>
      </c>
      <c r="H327" s="2">
        <v>51</v>
      </c>
      <c r="I327" s="2">
        <v>95</v>
      </c>
      <c r="J327" s="2">
        <v>195</v>
      </c>
      <c r="K327" s="3">
        <f t="shared" si="18"/>
        <v>48.717948717948715</v>
      </c>
      <c r="L327" s="2">
        <v>12</v>
      </c>
    </row>
    <row r="328" spans="1:12" x14ac:dyDescent="0.25">
      <c r="A328" s="1" t="s">
        <v>27</v>
      </c>
      <c r="B328" s="1" t="s">
        <v>231</v>
      </c>
      <c r="C328" s="1" t="s">
        <v>544</v>
      </c>
      <c r="D328" s="1" t="s">
        <v>544</v>
      </c>
      <c r="E328" s="2">
        <v>80801</v>
      </c>
      <c r="F328" s="2">
        <v>104</v>
      </c>
      <c r="G328" s="2">
        <v>873</v>
      </c>
      <c r="H328" s="2">
        <v>1179</v>
      </c>
      <c r="I328" s="2">
        <v>76</v>
      </c>
      <c r="J328" s="2">
        <v>2232</v>
      </c>
      <c r="K328" s="3">
        <f t="shared" ref="K328:K346" si="19">(I328/J328)*100</f>
        <v>3.4050179211469538</v>
      </c>
      <c r="L328" s="2">
        <v>104</v>
      </c>
    </row>
    <row r="329" spans="1:12" x14ac:dyDescent="0.25">
      <c r="A329" s="1" t="s">
        <v>27</v>
      </c>
      <c r="B329" s="1" t="s">
        <v>231</v>
      </c>
      <c r="C329" s="1" t="s">
        <v>595</v>
      </c>
      <c r="D329" s="1" t="s">
        <v>595</v>
      </c>
      <c r="E329" s="2">
        <v>80802</v>
      </c>
      <c r="F329" s="2">
        <v>127</v>
      </c>
      <c r="G329" s="2">
        <v>446</v>
      </c>
      <c r="H329" s="2">
        <v>701</v>
      </c>
      <c r="I329" s="2">
        <v>82</v>
      </c>
      <c r="J329" s="2">
        <v>1356</v>
      </c>
      <c r="K329" s="3">
        <f t="shared" si="19"/>
        <v>6.0471976401179939</v>
      </c>
      <c r="L329" s="2">
        <v>127</v>
      </c>
    </row>
    <row r="330" spans="1:12" x14ac:dyDescent="0.25">
      <c r="A330" s="1" t="s">
        <v>27</v>
      </c>
      <c r="B330" s="1" t="s">
        <v>231</v>
      </c>
      <c r="C330" s="1" t="s">
        <v>524</v>
      </c>
      <c r="D330" s="1" t="s">
        <v>524</v>
      </c>
      <c r="E330" s="2">
        <v>80803</v>
      </c>
      <c r="F330" s="2">
        <v>57</v>
      </c>
      <c r="G330" s="2">
        <v>409</v>
      </c>
      <c r="H330" s="2">
        <v>137</v>
      </c>
      <c r="I330" s="2">
        <v>216</v>
      </c>
      <c r="J330" s="2">
        <v>819</v>
      </c>
      <c r="K330" s="3">
        <f t="shared" si="19"/>
        <v>26.373626373626376</v>
      </c>
      <c r="L330" s="2">
        <v>57</v>
      </c>
    </row>
    <row r="331" spans="1:12" x14ac:dyDescent="0.25">
      <c r="A331" s="1" t="s">
        <v>27</v>
      </c>
      <c r="B331" s="1" t="s">
        <v>219</v>
      </c>
      <c r="C331" s="1" t="s">
        <v>793</v>
      </c>
      <c r="D331" s="1" t="s">
        <v>793</v>
      </c>
      <c r="E331" s="40">
        <v>80901</v>
      </c>
      <c r="F331" s="2">
        <v>128</v>
      </c>
      <c r="G331" s="2">
        <v>236</v>
      </c>
      <c r="H331" s="2">
        <v>256</v>
      </c>
      <c r="I331" s="2">
        <v>11</v>
      </c>
      <c r="J331" s="2">
        <v>631</v>
      </c>
      <c r="K331" s="3">
        <f>(I331/J331)*100</f>
        <v>1.7432646592709984</v>
      </c>
      <c r="L331" s="2">
        <v>128</v>
      </c>
    </row>
    <row r="332" spans="1:12" x14ac:dyDescent="0.25">
      <c r="A332" s="1" t="s">
        <v>83</v>
      </c>
      <c r="B332" s="1" t="s">
        <v>292</v>
      </c>
      <c r="C332" s="1" t="s">
        <v>597</v>
      </c>
      <c r="D332" s="1" t="s">
        <v>597</v>
      </c>
      <c r="E332" s="2">
        <v>90101</v>
      </c>
      <c r="F332" s="2">
        <v>691</v>
      </c>
      <c r="G332" s="2">
        <v>2283</v>
      </c>
      <c r="H332" s="2">
        <v>6069</v>
      </c>
      <c r="I332" s="2">
        <v>3261</v>
      </c>
      <c r="J332" s="2">
        <v>12304</v>
      </c>
      <c r="K332" s="3">
        <f t="shared" si="19"/>
        <v>26.503576072821843</v>
      </c>
      <c r="L332" s="2">
        <v>691</v>
      </c>
    </row>
    <row r="333" spans="1:12" x14ac:dyDescent="0.25">
      <c r="A333" s="1" t="s">
        <v>83</v>
      </c>
      <c r="B333" s="1" t="s">
        <v>292</v>
      </c>
      <c r="C333" s="1" t="s">
        <v>677</v>
      </c>
      <c r="D333" s="1" t="s">
        <v>677</v>
      </c>
      <c r="E333" s="2">
        <v>90102</v>
      </c>
      <c r="F333" s="2">
        <v>81</v>
      </c>
      <c r="G333" s="2">
        <v>385</v>
      </c>
      <c r="H333" s="2">
        <v>864</v>
      </c>
      <c r="I333" s="2">
        <v>325</v>
      </c>
      <c r="J333" s="2">
        <v>1655</v>
      </c>
      <c r="K333" s="3">
        <f t="shared" si="19"/>
        <v>19.637462235649547</v>
      </c>
      <c r="L333" s="2">
        <v>81</v>
      </c>
    </row>
    <row r="334" spans="1:12" x14ac:dyDescent="0.25">
      <c r="A334" s="1" t="s">
        <v>83</v>
      </c>
      <c r="B334" s="1" t="s">
        <v>292</v>
      </c>
      <c r="C334" s="1" t="s">
        <v>690</v>
      </c>
      <c r="D334" s="1" t="s">
        <v>690</v>
      </c>
      <c r="E334" s="2">
        <v>90103</v>
      </c>
      <c r="F334" s="2">
        <v>110</v>
      </c>
      <c r="G334" s="2">
        <v>207</v>
      </c>
      <c r="H334" s="2">
        <v>187</v>
      </c>
      <c r="I334" s="2">
        <v>41</v>
      </c>
      <c r="J334" s="2">
        <v>545</v>
      </c>
      <c r="K334" s="3">
        <f t="shared" si="19"/>
        <v>7.522935779816514</v>
      </c>
      <c r="L334" s="2">
        <v>110</v>
      </c>
    </row>
    <row r="335" spans="1:12" x14ac:dyDescent="0.25">
      <c r="A335" s="1" t="s">
        <v>83</v>
      </c>
      <c r="B335" s="1" t="s">
        <v>292</v>
      </c>
      <c r="C335" s="1" t="s">
        <v>678</v>
      </c>
      <c r="D335" s="1" t="s">
        <v>678</v>
      </c>
      <c r="E335" s="2">
        <v>90104</v>
      </c>
      <c r="F335" s="14">
        <v>191</v>
      </c>
      <c r="G335" s="14">
        <v>253</v>
      </c>
      <c r="H335" s="14">
        <v>302</v>
      </c>
      <c r="I335" s="14">
        <v>198</v>
      </c>
      <c r="J335" s="14">
        <v>944</v>
      </c>
      <c r="K335" s="3">
        <f t="shared" si="19"/>
        <v>20.974576271186439</v>
      </c>
      <c r="L335" s="2">
        <v>191</v>
      </c>
    </row>
    <row r="336" spans="1:12" x14ac:dyDescent="0.25">
      <c r="A336" s="1" t="s">
        <v>83</v>
      </c>
      <c r="B336" s="1" t="s">
        <v>357</v>
      </c>
      <c r="C336" s="1" t="s">
        <v>680</v>
      </c>
      <c r="D336" s="1" t="s">
        <v>680</v>
      </c>
      <c r="E336" s="2">
        <v>90201</v>
      </c>
      <c r="F336" s="14">
        <v>100</v>
      </c>
      <c r="G336" s="14">
        <v>387</v>
      </c>
      <c r="H336" s="14">
        <v>667</v>
      </c>
      <c r="I336" s="14">
        <v>228</v>
      </c>
      <c r="J336" s="14">
        <v>1382</v>
      </c>
      <c r="K336" s="3">
        <f t="shared" si="19"/>
        <v>16.49782923299566</v>
      </c>
      <c r="L336" s="2">
        <v>100</v>
      </c>
    </row>
    <row r="337" spans="1:15" x14ac:dyDescent="0.25">
      <c r="A337" s="1" t="s">
        <v>83</v>
      </c>
      <c r="B337" s="1" t="s">
        <v>357</v>
      </c>
      <c r="C337" s="1" t="s">
        <v>494</v>
      </c>
      <c r="D337" s="1" t="s">
        <v>494</v>
      </c>
      <c r="E337" s="2">
        <v>90202</v>
      </c>
      <c r="F337" s="2">
        <v>179</v>
      </c>
      <c r="G337" s="2">
        <v>288</v>
      </c>
      <c r="H337" s="2">
        <v>132</v>
      </c>
      <c r="I337" s="2">
        <v>12</v>
      </c>
      <c r="J337" s="2">
        <v>611</v>
      </c>
      <c r="K337" s="3">
        <f t="shared" si="19"/>
        <v>1.9639934533551555</v>
      </c>
      <c r="L337" s="2">
        <v>179</v>
      </c>
    </row>
    <row r="338" spans="1:15" x14ac:dyDescent="0.25">
      <c r="A338" s="1" t="s">
        <v>83</v>
      </c>
      <c r="B338" s="1" t="s">
        <v>357</v>
      </c>
      <c r="C338" s="1" t="s">
        <v>691</v>
      </c>
      <c r="D338" s="1" t="s">
        <v>691</v>
      </c>
      <c r="E338" s="2">
        <v>90203</v>
      </c>
      <c r="F338" s="2">
        <v>173</v>
      </c>
      <c r="G338" s="2">
        <v>525</v>
      </c>
      <c r="H338" s="2">
        <v>535</v>
      </c>
      <c r="I338" s="2">
        <v>194</v>
      </c>
      <c r="J338" s="2">
        <v>1427</v>
      </c>
      <c r="K338" s="3">
        <f t="shared" si="19"/>
        <v>13.594954449894884</v>
      </c>
      <c r="L338" s="2">
        <v>173</v>
      </c>
    </row>
    <row r="339" spans="1:15" x14ac:dyDescent="0.25">
      <c r="A339" s="1" t="s">
        <v>83</v>
      </c>
      <c r="B339" s="1" t="s">
        <v>303</v>
      </c>
      <c r="C339" s="1" t="s">
        <v>673</v>
      </c>
      <c r="D339" s="1" t="s">
        <v>673</v>
      </c>
      <c r="E339" s="2">
        <v>90301</v>
      </c>
      <c r="F339" s="2">
        <v>96</v>
      </c>
      <c r="G339" s="2">
        <v>310</v>
      </c>
      <c r="H339" s="2">
        <v>432</v>
      </c>
      <c r="I339" s="2">
        <v>188</v>
      </c>
      <c r="J339" s="2">
        <v>1026</v>
      </c>
      <c r="K339" s="3">
        <f t="shared" si="19"/>
        <v>18.323586744639375</v>
      </c>
      <c r="L339" s="2">
        <v>96</v>
      </c>
    </row>
    <row r="340" spans="1:15" x14ac:dyDescent="0.25">
      <c r="A340" s="1" t="s">
        <v>83</v>
      </c>
      <c r="B340" s="1" t="s">
        <v>303</v>
      </c>
      <c r="C340" s="1" t="s">
        <v>551</v>
      </c>
      <c r="D340" s="1" t="s">
        <v>551</v>
      </c>
      <c r="E340" s="2">
        <v>90302</v>
      </c>
      <c r="F340" s="2">
        <v>213</v>
      </c>
      <c r="G340" s="2">
        <v>418</v>
      </c>
      <c r="H340" s="2">
        <v>610</v>
      </c>
      <c r="I340" s="2">
        <v>101</v>
      </c>
      <c r="J340" s="2">
        <v>1342</v>
      </c>
      <c r="K340" s="3">
        <f t="shared" si="19"/>
        <v>7.526080476900149</v>
      </c>
      <c r="L340" s="2">
        <v>213</v>
      </c>
    </row>
    <row r="341" spans="1:15" x14ac:dyDescent="0.25">
      <c r="A341" s="1" t="s">
        <v>83</v>
      </c>
      <c r="B341" s="1" t="s">
        <v>303</v>
      </c>
      <c r="C341" s="1" t="s">
        <v>611</v>
      </c>
      <c r="D341" s="1" t="s">
        <v>611</v>
      </c>
      <c r="E341" s="2">
        <v>90303</v>
      </c>
      <c r="F341" s="2">
        <v>832</v>
      </c>
      <c r="G341" s="2">
        <v>728</v>
      </c>
      <c r="H341" s="2">
        <v>88</v>
      </c>
      <c r="I341" s="2">
        <v>5</v>
      </c>
      <c r="J341" s="2">
        <v>1653</v>
      </c>
      <c r="K341" s="3">
        <f t="shared" si="19"/>
        <v>0.30248033877797942</v>
      </c>
      <c r="L341" s="2">
        <v>832</v>
      </c>
    </row>
    <row r="342" spans="1:15" x14ac:dyDescent="0.25">
      <c r="A342" s="1" t="s">
        <v>83</v>
      </c>
      <c r="B342" s="1" t="s">
        <v>358</v>
      </c>
      <c r="C342" s="1" t="s">
        <v>613</v>
      </c>
      <c r="D342" s="1" t="s">
        <v>613</v>
      </c>
      <c r="E342" s="2">
        <v>90401</v>
      </c>
      <c r="F342" s="2">
        <v>82</v>
      </c>
      <c r="G342" s="2">
        <v>149</v>
      </c>
      <c r="H342" s="2">
        <v>245</v>
      </c>
      <c r="I342" s="2">
        <v>135</v>
      </c>
      <c r="J342" s="2">
        <v>611</v>
      </c>
      <c r="K342" s="3">
        <f t="shared" si="19"/>
        <v>22.094926350245501</v>
      </c>
      <c r="L342" s="2">
        <v>82</v>
      </c>
    </row>
    <row r="343" spans="1:15" x14ac:dyDescent="0.25">
      <c r="A343" s="1" t="s">
        <v>83</v>
      </c>
      <c r="B343" s="1" t="s">
        <v>358</v>
      </c>
      <c r="C343" s="1" t="s">
        <v>236</v>
      </c>
      <c r="D343" s="1" t="s">
        <v>236</v>
      </c>
      <c r="E343" s="2">
        <v>90402</v>
      </c>
      <c r="F343" s="2">
        <v>26</v>
      </c>
      <c r="G343" s="2">
        <v>108</v>
      </c>
      <c r="H343" s="2">
        <v>122</v>
      </c>
      <c r="I343" s="2">
        <v>88</v>
      </c>
      <c r="J343" s="2">
        <v>344</v>
      </c>
      <c r="K343" s="3">
        <f t="shared" si="19"/>
        <v>25.581395348837212</v>
      </c>
      <c r="L343" s="2">
        <v>26</v>
      </c>
    </row>
    <row r="344" spans="1:15" x14ac:dyDescent="0.25">
      <c r="A344" s="1" t="s">
        <v>83</v>
      </c>
      <c r="B344" s="1" t="s">
        <v>360</v>
      </c>
      <c r="C344" s="1" t="s">
        <v>686</v>
      </c>
      <c r="D344" s="1" t="s">
        <v>686</v>
      </c>
      <c r="E344" s="2">
        <v>90501</v>
      </c>
      <c r="F344" s="2">
        <v>103</v>
      </c>
      <c r="G344" s="2">
        <v>176</v>
      </c>
      <c r="H344" s="2">
        <v>163</v>
      </c>
      <c r="I344" s="2">
        <v>24</v>
      </c>
      <c r="J344" s="2">
        <v>466</v>
      </c>
      <c r="K344" s="3">
        <f t="shared" si="19"/>
        <v>5.1502145922746783</v>
      </c>
      <c r="L344" s="2">
        <v>103</v>
      </c>
    </row>
    <row r="345" spans="1:15" x14ac:dyDescent="0.25">
      <c r="A345" s="1" t="s">
        <v>83</v>
      </c>
      <c r="B345" s="1" t="s">
        <v>360</v>
      </c>
      <c r="C345" s="1" t="s">
        <v>684</v>
      </c>
      <c r="D345" s="1" t="s">
        <v>1028</v>
      </c>
      <c r="E345" s="2">
        <v>90502</v>
      </c>
      <c r="F345" s="2">
        <v>89</v>
      </c>
      <c r="G345" s="2">
        <v>185</v>
      </c>
      <c r="H345" s="2">
        <v>272</v>
      </c>
      <c r="I345" s="2">
        <v>43</v>
      </c>
      <c r="J345" s="2">
        <v>589</v>
      </c>
      <c r="K345" s="3">
        <f t="shared" si="19"/>
        <v>7.3005093378607802</v>
      </c>
      <c r="L345" s="2">
        <v>89</v>
      </c>
    </row>
    <row r="346" spans="1:15" x14ac:dyDescent="0.25">
      <c r="A346" s="1" t="s">
        <v>83</v>
      </c>
      <c r="B346" s="1" t="s">
        <v>360</v>
      </c>
      <c r="C346" s="1" t="s">
        <v>685</v>
      </c>
      <c r="D346" s="1" t="s">
        <v>685</v>
      </c>
      <c r="E346" s="2">
        <v>90503</v>
      </c>
      <c r="F346" s="48">
        <v>67</v>
      </c>
      <c r="G346" s="48">
        <v>163</v>
      </c>
      <c r="H346" s="48">
        <v>197</v>
      </c>
      <c r="I346" s="48">
        <v>39</v>
      </c>
      <c r="J346" s="48">
        <v>466</v>
      </c>
      <c r="K346" s="49">
        <f t="shared" si="19"/>
        <v>8.3690987124463518</v>
      </c>
      <c r="L346" s="48">
        <v>67</v>
      </c>
      <c r="M346" s="50"/>
      <c r="N346" s="50"/>
      <c r="O346" s="50"/>
    </row>
    <row r="347" spans="1:15" x14ac:dyDescent="0.25">
      <c r="E347" s="54" t="s">
        <v>213</v>
      </c>
      <c r="F347" s="55">
        <f>SUM(F248:F250)</f>
        <v>801</v>
      </c>
      <c r="G347" s="55">
        <f t="shared" ref="G347:J347" si="20">SUM(G248:G250)</f>
        <v>3083</v>
      </c>
      <c r="H347" s="55">
        <f t="shared" si="20"/>
        <v>8836</v>
      </c>
      <c r="I347" s="55">
        <f t="shared" si="20"/>
        <v>23702</v>
      </c>
      <c r="J347" s="55">
        <f t="shared" si="20"/>
        <v>36422</v>
      </c>
      <c r="K347" s="3">
        <f>(I347/J347)*100</f>
        <v>65.076052935039257</v>
      </c>
      <c r="L347" s="55">
        <f>SUM(L248:L250)</f>
        <v>801</v>
      </c>
      <c r="M347" s="53"/>
      <c r="N347" s="53"/>
      <c r="O347" s="50"/>
    </row>
    <row r="348" spans="1:15" x14ac:dyDescent="0.25">
      <c r="E348" s="50"/>
      <c r="F348" s="51"/>
      <c r="G348" s="51"/>
      <c r="H348" s="51"/>
      <c r="I348" s="51"/>
      <c r="J348" s="51"/>
      <c r="K348" s="52"/>
      <c r="L348" s="51"/>
      <c r="M348" s="53"/>
      <c r="N348" s="53"/>
      <c r="O348" s="50"/>
    </row>
    <row r="349" spans="1:15" x14ac:dyDescent="0.25">
      <c r="E349" s="50"/>
      <c r="F349" s="51"/>
      <c r="G349" s="51"/>
      <c r="H349" s="51"/>
      <c r="I349" s="51"/>
      <c r="J349" s="51"/>
      <c r="K349" s="52"/>
      <c r="L349" s="51"/>
      <c r="M349" s="53"/>
      <c r="N349" s="53"/>
    </row>
    <row r="350" spans="1:15" x14ac:dyDescent="0.25">
      <c r="E350" s="50"/>
      <c r="F350" s="51"/>
      <c r="G350" s="51"/>
      <c r="H350" s="51"/>
      <c r="I350" s="51"/>
      <c r="J350" s="51"/>
      <c r="K350" s="52"/>
      <c r="L350" s="51"/>
      <c r="M350" s="53"/>
      <c r="N350" s="53"/>
    </row>
    <row r="351" spans="1:15" x14ac:dyDescent="0.25">
      <c r="E351" s="50"/>
      <c r="F351" s="53"/>
      <c r="G351" s="53"/>
      <c r="H351" s="53"/>
      <c r="I351" s="53"/>
      <c r="J351" s="53"/>
      <c r="K351" s="53"/>
      <c r="L351" s="53"/>
      <c r="M351" s="53"/>
      <c r="N351" s="53"/>
    </row>
    <row r="352" spans="1:15" x14ac:dyDescent="0.25">
      <c r="E352" s="50"/>
      <c r="F352" s="53"/>
      <c r="G352" s="53"/>
      <c r="H352" s="53"/>
      <c r="I352" s="53"/>
      <c r="J352" s="53"/>
      <c r="K352" s="53"/>
      <c r="L352" s="53"/>
      <c r="M352" s="53"/>
      <c r="N352" s="53"/>
    </row>
    <row r="353" spans="5:14" x14ac:dyDescent="0.25">
      <c r="E353" s="50"/>
      <c r="F353" s="53"/>
      <c r="G353" s="53"/>
      <c r="H353" s="53"/>
      <c r="I353" s="53"/>
      <c r="J353" s="53"/>
      <c r="K353" s="53"/>
      <c r="L353" s="53"/>
      <c r="M353" s="53"/>
      <c r="N353" s="53"/>
    </row>
  </sheetData>
  <mergeCells count="14">
    <mergeCell ref="V1:V3"/>
    <mergeCell ref="W1:W3"/>
    <mergeCell ref="J1:J3"/>
    <mergeCell ref="K1:K3"/>
    <mergeCell ref="L1:L3"/>
    <mergeCell ref="P1:P3"/>
    <mergeCell ref="Q1:T2"/>
    <mergeCell ref="U1:U3"/>
    <mergeCell ref="F1:I1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W347"/>
  <sheetViews>
    <sheetView topLeftCell="C1" zoomScale="80" zoomScaleNormal="80" workbookViewId="0">
      <selection activeCell="N10" sqref="N10"/>
    </sheetView>
  </sheetViews>
  <sheetFormatPr baseColWidth="10" defaultColWidth="9.140625" defaultRowHeight="15" x14ac:dyDescent="0.25"/>
  <cols>
    <col min="5" max="5" width="10.7109375" customWidth="1"/>
    <col min="6" max="6" width="11.42578125" customWidth="1"/>
    <col min="11" max="11" width="13.42578125" customWidth="1"/>
    <col min="12" max="12" width="19.28515625" customWidth="1"/>
    <col min="16" max="16" width="16.5703125" customWidth="1"/>
    <col min="17" max="17" width="11.42578125" customWidth="1"/>
    <col min="18" max="18" width="12" customWidth="1"/>
    <col min="19" max="19" width="12.5703125" customWidth="1"/>
    <col min="20" max="20" width="12.140625" customWidth="1"/>
    <col min="21" max="21" width="10.85546875" customWidth="1"/>
    <col min="22" max="22" width="14.42578125" customWidth="1"/>
  </cols>
  <sheetData>
    <row r="1" spans="1:23" ht="15" customHeight="1" x14ac:dyDescent="0.25">
      <c r="A1" s="81" t="s">
        <v>0</v>
      </c>
      <c r="B1" s="81" t="s">
        <v>167</v>
      </c>
      <c r="C1" s="81" t="s">
        <v>453</v>
      </c>
      <c r="D1" s="81" t="s">
        <v>797</v>
      </c>
      <c r="E1" s="81" t="s">
        <v>1141</v>
      </c>
      <c r="F1" s="79" t="s">
        <v>1160</v>
      </c>
      <c r="G1" s="80"/>
      <c r="H1" s="80"/>
      <c r="I1" s="80"/>
      <c r="J1" s="81" t="s">
        <v>1166</v>
      </c>
      <c r="K1" s="85" t="s">
        <v>1167</v>
      </c>
      <c r="L1" s="84" t="s">
        <v>1171</v>
      </c>
      <c r="P1" s="86" t="s">
        <v>1159</v>
      </c>
      <c r="Q1" s="84" t="s">
        <v>1160</v>
      </c>
      <c r="R1" s="80"/>
      <c r="S1" s="80"/>
      <c r="T1" s="80"/>
      <c r="U1" s="89" t="s">
        <v>1172</v>
      </c>
      <c r="V1" s="84" t="s">
        <v>1167</v>
      </c>
      <c r="W1" s="84" t="s">
        <v>1170</v>
      </c>
    </row>
    <row r="2" spans="1:23" x14ac:dyDescent="0.25">
      <c r="A2" s="82"/>
      <c r="B2" s="82"/>
      <c r="C2" s="82"/>
      <c r="D2" s="82"/>
      <c r="E2" s="82"/>
      <c r="F2" s="12" t="s">
        <v>1161</v>
      </c>
      <c r="G2" s="12" t="s">
        <v>1162</v>
      </c>
      <c r="H2" s="12" t="s">
        <v>1163</v>
      </c>
      <c r="I2" s="12" t="s">
        <v>1164</v>
      </c>
      <c r="J2" s="82"/>
      <c r="K2" s="85"/>
      <c r="L2" s="80"/>
      <c r="P2" s="87"/>
      <c r="Q2" s="80"/>
      <c r="R2" s="80"/>
      <c r="S2" s="80"/>
      <c r="T2" s="80"/>
      <c r="U2" s="80"/>
      <c r="V2" s="80"/>
      <c r="W2" s="80"/>
    </row>
    <row r="3" spans="1:23" x14ac:dyDescent="0.25">
      <c r="A3" s="83"/>
      <c r="B3" s="83"/>
      <c r="C3" s="83"/>
      <c r="D3" s="83"/>
      <c r="E3" s="83"/>
      <c r="F3" s="13" t="s">
        <v>1165</v>
      </c>
      <c r="G3" s="13" t="s">
        <v>1165</v>
      </c>
      <c r="H3" s="13" t="s">
        <v>1165</v>
      </c>
      <c r="I3" s="13" t="s">
        <v>1165</v>
      </c>
      <c r="J3" s="83"/>
      <c r="K3" s="85"/>
      <c r="L3" s="80"/>
      <c r="P3" s="88"/>
      <c r="Q3" s="20">
        <v>0</v>
      </c>
      <c r="R3" s="20">
        <v>1</v>
      </c>
      <c r="S3" s="20">
        <v>2</v>
      </c>
      <c r="T3" s="20">
        <v>3</v>
      </c>
      <c r="U3" s="80"/>
      <c r="V3" s="80"/>
      <c r="W3" s="80"/>
    </row>
    <row r="4" spans="1:23" x14ac:dyDescent="0.25">
      <c r="A4" s="1" t="s">
        <v>129</v>
      </c>
      <c r="B4" s="1" t="s">
        <v>380</v>
      </c>
      <c r="C4" s="1" t="s">
        <v>710</v>
      </c>
      <c r="D4" s="1" t="s">
        <v>1054</v>
      </c>
      <c r="E4" s="2">
        <v>10101</v>
      </c>
      <c r="F4" s="2">
        <v>1401</v>
      </c>
      <c r="G4" s="2">
        <v>4366</v>
      </c>
      <c r="H4" s="2">
        <v>9559</v>
      </c>
      <c r="I4" s="2">
        <v>77205</v>
      </c>
      <c r="J4" s="2">
        <v>92531</v>
      </c>
      <c r="K4" s="3">
        <f>(I4/J4)*100</f>
        <v>83.436902227361642</v>
      </c>
      <c r="L4" s="2">
        <v>1401</v>
      </c>
      <c r="M4" s="38"/>
      <c r="P4" s="25" t="s">
        <v>20</v>
      </c>
      <c r="Q4" s="46">
        <f>+SUM(F4:F32)</f>
        <v>11084</v>
      </c>
      <c r="R4" s="46">
        <f t="shared" ref="R4:T4" si="0">+SUM(G4:G32)</f>
        <v>19888</v>
      </c>
      <c r="S4" s="46">
        <f t="shared" si="0"/>
        <v>35053</v>
      </c>
      <c r="T4" s="46">
        <f t="shared" si="0"/>
        <v>118944</v>
      </c>
      <c r="U4" s="46">
        <f>+SUM(J4:J32)</f>
        <v>184969</v>
      </c>
      <c r="V4" s="35">
        <f>(T4/U4)*100</f>
        <v>64.304829457909165</v>
      </c>
      <c r="W4" s="26">
        <f>U4-T4</f>
        <v>66025</v>
      </c>
    </row>
    <row r="5" spans="1:23" x14ac:dyDescent="0.25">
      <c r="A5" s="1" t="s">
        <v>106</v>
      </c>
      <c r="B5" s="1" t="s">
        <v>340</v>
      </c>
      <c r="C5" s="1" t="s">
        <v>660</v>
      </c>
      <c r="D5" s="1" t="s">
        <v>1004</v>
      </c>
      <c r="E5" s="2">
        <v>10102</v>
      </c>
      <c r="F5" s="2">
        <v>107</v>
      </c>
      <c r="G5" s="2">
        <v>304</v>
      </c>
      <c r="H5" s="2">
        <v>700</v>
      </c>
      <c r="I5" s="2">
        <v>1945</v>
      </c>
      <c r="J5" s="2">
        <v>3056</v>
      </c>
      <c r="K5" s="3">
        <f t="shared" ref="K5:K68" si="1">(I5/J5)*100</f>
        <v>63.645287958115183</v>
      </c>
      <c r="L5" s="2">
        <v>107</v>
      </c>
      <c r="P5" s="25" t="s">
        <v>8</v>
      </c>
      <c r="Q5" s="47">
        <f>+SUM(F33:F119)</f>
        <v>44442</v>
      </c>
      <c r="R5" s="47">
        <f t="shared" ref="R5:U5" si="2">+SUM(G33:G119)</f>
        <v>101197</v>
      </c>
      <c r="S5" s="47">
        <f t="shared" si="2"/>
        <v>226641</v>
      </c>
      <c r="T5" s="47">
        <f t="shared" si="2"/>
        <v>697558</v>
      </c>
      <c r="U5" s="47">
        <f t="shared" si="2"/>
        <v>1069838</v>
      </c>
      <c r="V5" s="35">
        <f t="shared" ref="V5:V12" si="3">(T5/U5)*100</f>
        <v>65.202208184790607</v>
      </c>
      <c r="W5" s="26">
        <f t="shared" ref="W5:W14" si="4">U5-T5</f>
        <v>372280</v>
      </c>
    </row>
    <row r="6" spans="1:23" x14ac:dyDescent="0.25">
      <c r="A6" s="1" t="s">
        <v>143</v>
      </c>
      <c r="B6" s="1" t="s">
        <v>415</v>
      </c>
      <c r="C6" s="1" t="s">
        <v>754</v>
      </c>
      <c r="D6" s="1" t="s">
        <v>1098</v>
      </c>
      <c r="E6" s="2">
        <v>10103</v>
      </c>
      <c r="F6" s="2">
        <v>1195</v>
      </c>
      <c r="G6" s="2">
        <v>1632</v>
      </c>
      <c r="H6" s="2">
        <v>1229</v>
      </c>
      <c r="I6" s="2">
        <v>598</v>
      </c>
      <c r="J6" s="2">
        <v>4654</v>
      </c>
      <c r="K6" s="3">
        <f t="shared" si="1"/>
        <v>12.849162011173185</v>
      </c>
      <c r="L6" s="2">
        <v>1195</v>
      </c>
      <c r="P6" s="25" t="s">
        <v>3</v>
      </c>
      <c r="Q6" s="47">
        <f>+SUM(F120:F167)</f>
        <v>40277</v>
      </c>
      <c r="R6" s="47">
        <f t="shared" ref="R6:U6" si="5">+SUM(G120:G167)</f>
        <v>111567</v>
      </c>
      <c r="S6" s="47">
        <f t="shared" si="5"/>
        <v>178688</v>
      </c>
      <c r="T6" s="47">
        <f t="shared" si="5"/>
        <v>344532</v>
      </c>
      <c r="U6" s="47">
        <f t="shared" si="5"/>
        <v>675064</v>
      </c>
      <c r="V6" s="35">
        <f t="shared" si="3"/>
        <v>51.03693871988434</v>
      </c>
      <c r="W6" s="26">
        <f t="shared" si="4"/>
        <v>330532</v>
      </c>
    </row>
    <row r="7" spans="1:23" x14ac:dyDescent="0.25">
      <c r="A7" s="1" t="s">
        <v>70</v>
      </c>
      <c r="B7" s="1" t="s">
        <v>273</v>
      </c>
      <c r="C7" s="1" t="s">
        <v>576</v>
      </c>
      <c r="D7" s="1" t="s">
        <v>920</v>
      </c>
      <c r="E7" s="2">
        <v>10201</v>
      </c>
      <c r="F7" s="2">
        <v>487</v>
      </c>
      <c r="G7" s="2">
        <v>699</v>
      </c>
      <c r="H7" s="2">
        <v>540</v>
      </c>
      <c r="I7" s="2">
        <v>724</v>
      </c>
      <c r="J7" s="2">
        <v>2450</v>
      </c>
      <c r="K7" s="3">
        <f t="shared" si="1"/>
        <v>29.551020408163264</v>
      </c>
      <c r="L7" s="2">
        <v>487</v>
      </c>
      <c r="P7" s="25" t="s">
        <v>1</v>
      </c>
      <c r="Q7" s="47">
        <f>+SUM(F168:F202)</f>
        <v>12424</v>
      </c>
      <c r="R7" s="47">
        <f t="shared" ref="R7:U7" si="6">+SUM(G168:G202)</f>
        <v>22102</v>
      </c>
      <c r="S7" s="47">
        <f t="shared" si="6"/>
        <v>51590</v>
      </c>
      <c r="T7" s="47">
        <f t="shared" si="6"/>
        <v>104857</v>
      </c>
      <c r="U7" s="47">
        <f t="shared" si="6"/>
        <v>190973</v>
      </c>
      <c r="V7" s="35">
        <f t="shared" si="3"/>
        <v>54.90671456174433</v>
      </c>
      <c r="W7" s="26">
        <f t="shared" si="4"/>
        <v>86116</v>
      </c>
    </row>
    <row r="8" spans="1:23" x14ac:dyDescent="0.25">
      <c r="A8" s="1" t="s">
        <v>98</v>
      </c>
      <c r="B8" s="1" t="s">
        <v>328</v>
      </c>
      <c r="C8" s="1" t="s">
        <v>645</v>
      </c>
      <c r="D8" s="1" t="s">
        <v>989</v>
      </c>
      <c r="E8" s="2">
        <v>10202</v>
      </c>
      <c r="F8" s="2">
        <v>688</v>
      </c>
      <c r="G8" s="2">
        <v>956</v>
      </c>
      <c r="H8" s="2">
        <v>1415</v>
      </c>
      <c r="I8" s="2">
        <v>1539</v>
      </c>
      <c r="J8" s="2">
        <v>4598</v>
      </c>
      <c r="K8" s="3">
        <f t="shared" si="1"/>
        <v>33.471074380165291</v>
      </c>
      <c r="L8" s="2">
        <v>688</v>
      </c>
      <c r="P8" s="25" t="s">
        <v>2</v>
      </c>
      <c r="Q8" s="47">
        <f>+SUM(F203:F244)</f>
        <v>24693</v>
      </c>
      <c r="R8" s="47">
        <f t="shared" ref="R8:U8" si="7">+SUM(G203:G244)</f>
        <v>47119</v>
      </c>
      <c r="S8" s="47">
        <f t="shared" si="7"/>
        <v>91145</v>
      </c>
      <c r="T8" s="47">
        <f t="shared" si="7"/>
        <v>140788</v>
      </c>
      <c r="U8" s="47">
        <f t="shared" si="7"/>
        <v>303745</v>
      </c>
      <c r="V8" s="35">
        <f t="shared" si="3"/>
        <v>46.350721822581441</v>
      </c>
      <c r="W8" s="26">
        <f t="shared" si="4"/>
        <v>162957</v>
      </c>
    </row>
    <row r="9" spans="1:23" x14ac:dyDescent="0.25">
      <c r="A9" s="1" t="s">
        <v>74</v>
      </c>
      <c r="B9" s="1" t="s">
        <v>279</v>
      </c>
      <c r="C9" s="1" t="s">
        <v>583</v>
      </c>
      <c r="D9" s="1" t="s">
        <v>927</v>
      </c>
      <c r="E9" s="2">
        <v>10301</v>
      </c>
      <c r="F9" s="2">
        <v>200</v>
      </c>
      <c r="G9" s="2">
        <v>439</v>
      </c>
      <c r="H9" s="2">
        <v>1194</v>
      </c>
      <c r="I9" s="2">
        <v>1354</v>
      </c>
      <c r="J9" s="2">
        <v>3187</v>
      </c>
      <c r="K9" s="3">
        <f t="shared" si="1"/>
        <v>42.485095701286475</v>
      </c>
      <c r="L9" s="2">
        <v>200</v>
      </c>
      <c r="P9" s="25" t="s">
        <v>29</v>
      </c>
      <c r="Q9" s="47">
        <f>+SUM(F245:F255)</f>
        <v>1913</v>
      </c>
      <c r="R9" s="47">
        <f t="shared" ref="R9:U9" si="8">+SUM(G245:G255)</f>
        <v>9171</v>
      </c>
      <c r="S9" s="47">
        <f t="shared" si="8"/>
        <v>30572</v>
      </c>
      <c r="T9" s="47">
        <f t="shared" si="8"/>
        <v>118598</v>
      </c>
      <c r="U9" s="47">
        <f t="shared" si="8"/>
        <v>160254</v>
      </c>
      <c r="V9" s="35">
        <f t="shared" si="3"/>
        <v>74.006265054226418</v>
      </c>
      <c r="W9" s="26">
        <f t="shared" si="4"/>
        <v>41656</v>
      </c>
    </row>
    <row r="10" spans="1:23" x14ac:dyDescent="0.25">
      <c r="A10" s="1" t="s">
        <v>129</v>
      </c>
      <c r="B10" s="1" t="s">
        <v>381</v>
      </c>
      <c r="C10" s="1" t="s">
        <v>711</v>
      </c>
      <c r="D10" s="1" t="s">
        <v>1055</v>
      </c>
      <c r="E10" s="2">
        <v>10302</v>
      </c>
      <c r="F10" s="2">
        <v>401</v>
      </c>
      <c r="G10" s="2">
        <v>618</v>
      </c>
      <c r="H10" s="2">
        <v>1016</v>
      </c>
      <c r="I10" s="2">
        <v>1236</v>
      </c>
      <c r="J10" s="2">
        <v>3271</v>
      </c>
      <c r="K10" s="3">
        <f t="shared" si="1"/>
        <v>37.786609599510854</v>
      </c>
      <c r="L10" s="2">
        <v>401</v>
      </c>
      <c r="P10" s="25" t="s">
        <v>14</v>
      </c>
      <c r="Q10" s="47">
        <f>+SUM(F256:F311)</f>
        <v>10375</v>
      </c>
      <c r="R10" s="47">
        <f t="shared" ref="R10:U10" si="9">+SUM(G256:G311)</f>
        <v>34490</v>
      </c>
      <c r="S10" s="47">
        <f t="shared" si="9"/>
        <v>330919</v>
      </c>
      <c r="T10" s="47">
        <f t="shared" si="9"/>
        <v>501473</v>
      </c>
      <c r="U10" s="47">
        <f t="shared" si="9"/>
        <v>877257</v>
      </c>
      <c r="V10" s="35">
        <f t="shared" si="3"/>
        <v>57.163750189511163</v>
      </c>
      <c r="W10" s="26">
        <f t="shared" si="4"/>
        <v>375784</v>
      </c>
    </row>
    <row r="11" spans="1:23" x14ac:dyDescent="0.25">
      <c r="A11" s="1" t="s">
        <v>123</v>
      </c>
      <c r="B11" s="1" t="s">
        <v>372</v>
      </c>
      <c r="C11" s="1" t="s">
        <v>700</v>
      </c>
      <c r="D11" s="1" t="s">
        <v>1044</v>
      </c>
      <c r="E11" s="2">
        <v>10303</v>
      </c>
      <c r="F11" s="2">
        <v>158</v>
      </c>
      <c r="G11" s="2">
        <v>460</v>
      </c>
      <c r="H11" s="2">
        <v>678</v>
      </c>
      <c r="I11" s="2">
        <v>1247</v>
      </c>
      <c r="J11" s="2">
        <v>2543</v>
      </c>
      <c r="K11" s="3">
        <f t="shared" si="1"/>
        <v>49.036570979158469</v>
      </c>
      <c r="L11" s="2">
        <v>158</v>
      </c>
      <c r="P11" s="25" t="s">
        <v>27</v>
      </c>
      <c r="Q11" s="47">
        <f>+SUM(F312:F331)</f>
        <v>6135</v>
      </c>
      <c r="R11" s="47">
        <f t="shared" ref="R11:U11" si="10">+SUM(G312:G331)</f>
        <v>39651</v>
      </c>
      <c r="S11" s="47">
        <f t="shared" si="10"/>
        <v>44698</v>
      </c>
      <c r="T11" s="47">
        <f t="shared" si="10"/>
        <v>36184</v>
      </c>
      <c r="U11" s="47">
        <f t="shared" si="10"/>
        <v>126668</v>
      </c>
      <c r="V11" s="35">
        <f t="shared" si="3"/>
        <v>28.566015094577953</v>
      </c>
      <c r="W11" s="26">
        <f t="shared" si="4"/>
        <v>90484</v>
      </c>
    </row>
    <row r="12" spans="1:23" x14ac:dyDescent="0.25">
      <c r="A12" s="1" t="s">
        <v>106</v>
      </c>
      <c r="B12" s="1" t="s">
        <v>339</v>
      </c>
      <c r="C12" s="1" t="s">
        <v>659</v>
      </c>
      <c r="D12" s="1" t="s">
        <v>1003</v>
      </c>
      <c r="E12" s="2">
        <v>10304</v>
      </c>
      <c r="F12" s="2">
        <v>241</v>
      </c>
      <c r="G12" s="2">
        <v>478</v>
      </c>
      <c r="H12" s="2">
        <v>780</v>
      </c>
      <c r="I12" s="2">
        <v>1136</v>
      </c>
      <c r="J12" s="2">
        <v>2635</v>
      </c>
      <c r="K12" s="3">
        <f t="shared" si="1"/>
        <v>43.111954459203034</v>
      </c>
      <c r="L12" s="2">
        <v>241</v>
      </c>
      <c r="P12" s="56" t="s">
        <v>83</v>
      </c>
      <c r="Q12" s="62">
        <f>+SUM(F332:F346)</f>
        <v>911</v>
      </c>
      <c r="R12" s="62">
        <f t="shared" ref="R12:U12" si="11">+SUM(G332:G346)</f>
        <v>6313</v>
      </c>
      <c r="S12" s="62">
        <f t="shared" si="11"/>
        <v>16074</v>
      </c>
      <c r="T12" s="62">
        <f t="shared" si="11"/>
        <v>11645</v>
      </c>
      <c r="U12" s="62">
        <f t="shared" si="11"/>
        <v>34943</v>
      </c>
      <c r="V12" s="63">
        <f t="shared" si="3"/>
        <v>33.325701857310477</v>
      </c>
      <c r="W12" s="64">
        <f t="shared" si="4"/>
        <v>23298</v>
      </c>
    </row>
    <row r="13" spans="1:23" x14ac:dyDescent="0.25">
      <c r="A13" s="1" t="s">
        <v>123</v>
      </c>
      <c r="B13" s="1" t="s">
        <v>371</v>
      </c>
      <c r="C13" s="1" t="s">
        <v>699</v>
      </c>
      <c r="D13" s="1" t="s">
        <v>1043</v>
      </c>
      <c r="E13" s="2">
        <v>10401</v>
      </c>
      <c r="F13" s="2">
        <v>206</v>
      </c>
      <c r="G13" s="2">
        <v>489</v>
      </c>
      <c r="H13" s="2">
        <v>823</v>
      </c>
      <c r="I13" s="2">
        <v>1668</v>
      </c>
      <c r="J13" s="2">
        <v>3186</v>
      </c>
      <c r="K13" s="3">
        <f t="shared" si="1"/>
        <v>52.354048964218457</v>
      </c>
      <c r="L13" s="2">
        <v>206</v>
      </c>
      <c r="P13" s="1" t="s">
        <v>213</v>
      </c>
      <c r="Q13" s="1">
        <v>373</v>
      </c>
      <c r="R13" s="1">
        <v>2105</v>
      </c>
      <c r="S13" s="1">
        <v>9943</v>
      </c>
      <c r="T13" s="1">
        <v>33611</v>
      </c>
      <c r="U13" s="1">
        <v>46032</v>
      </c>
      <c r="V13" s="65">
        <v>73.016597149808831</v>
      </c>
      <c r="W13" s="66">
        <v>12421</v>
      </c>
    </row>
    <row r="14" spans="1:23" x14ac:dyDescent="0.25">
      <c r="A14" s="1" t="s">
        <v>106</v>
      </c>
      <c r="B14" s="1" t="s">
        <v>342</v>
      </c>
      <c r="C14" s="1" t="s">
        <v>662</v>
      </c>
      <c r="D14" s="1" t="s">
        <v>1006</v>
      </c>
      <c r="E14" s="2">
        <v>10402</v>
      </c>
      <c r="F14" s="2">
        <v>81</v>
      </c>
      <c r="G14" s="2">
        <v>197</v>
      </c>
      <c r="H14" s="2">
        <v>657</v>
      </c>
      <c r="I14" s="2">
        <v>1308</v>
      </c>
      <c r="J14" s="2">
        <v>2243</v>
      </c>
      <c r="K14" s="3">
        <f t="shared" si="1"/>
        <v>58.314757021845743</v>
      </c>
      <c r="L14" s="2">
        <v>81</v>
      </c>
      <c r="P14" s="60" t="s">
        <v>1195</v>
      </c>
      <c r="Q14" s="67">
        <f>SUM(Q4:Q12)</f>
        <v>152254</v>
      </c>
      <c r="R14" s="67">
        <f>SUM(R4:R12)</f>
        <v>391498</v>
      </c>
      <c r="S14" s="67">
        <f>SUM(S4:S12)</f>
        <v>1005380</v>
      </c>
      <c r="T14" s="67">
        <f>SUM(T4:T12)</f>
        <v>2074579</v>
      </c>
      <c r="U14" s="67">
        <f>SUM(U4:U12)</f>
        <v>3623711</v>
      </c>
      <c r="V14" s="65">
        <f>(T14/U14)*100</f>
        <v>57.25012287127754</v>
      </c>
      <c r="W14" s="66">
        <f t="shared" si="4"/>
        <v>1549132</v>
      </c>
    </row>
    <row r="15" spans="1:23" x14ac:dyDescent="0.25">
      <c r="A15" s="1" t="s">
        <v>106</v>
      </c>
      <c r="B15" s="1" t="s">
        <v>338</v>
      </c>
      <c r="C15" s="1" t="s">
        <v>658</v>
      </c>
      <c r="D15" s="1" t="s">
        <v>1002</v>
      </c>
      <c r="E15" s="2">
        <v>10403</v>
      </c>
      <c r="F15" s="2">
        <v>246</v>
      </c>
      <c r="G15" s="2">
        <v>550</v>
      </c>
      <c r="H15" s="2">
        <v>440</v>
      </c>
      <c r="I15" s="2">
        <v>851</v>
      </c>
      <c r="J15" s="2">
        <v>2087</v>
      </c>
      <c r="K15" s="3">
        <f t="shared" si="1"/>
        <v>40.776233828461905</v>
      </c>
      <c r="L15" s="2">
        <v>246</v>
      </c>
    </row>
    <row r="16" spans="1:23" x14ac:dyDescent="0.25">
      <c r="A16" s="1" t="s">
        <v>106</v>
      </c>
      <c r="B16" s="1" t="s">
        <v>338</v>
      </c>
      <c r="C16" s="1" t="s">
        <v>657</v>
      </c>
      <c r="D16" s="1" t="s">
        <v>1001</v>
      </c>
      <c r="E16" s="2">
        <v>10404</v>
      </c>
      <c r="F16" s="2">
        <v>22</v>
      </c>
      <c r="G16" s="2">
        <v>111</v>
      </c>
      <c r="H16" s="2">
        <v>346</v>
      </c>
      <c r="I16" s="2">
        <v>710</v>
      </c>
      <c r="J16" s="2">
        <v>1189</v>
      </c>
      <c r="K16" s="3">
        <f t="shared" si="1"/>
        <v>59.714045416316232</v>
      </c>
      <c r="L16" s="2">
        <v>22</v>
      </c>
    </row>
    <row r="17" spans="1:12" x14ac:dyDescent="0.25">
      <c r="A17" s="1" t="s">
        <v>100</v>
      </c>
      <c r="B17" s="1" t="s">
        <v>331</v>
      </c>
      <c r="C17" s="1" t="s">
        <v>649</v>
      </c>
      <c r="D17" s="1" t="s">
        <v>993</v>
      </c>
      <c r="E17" s="2">
        <v>10405</v>
      </c>
      <c r="F17" s="2">
        <v>141</v>
      </c>
      <c r="G17" s="2">
        <v>227</v>
      </c>
      <c r="H17" s="2">
        <v>353</v>
      </c>
      <c r="I17" s="2">
        <v>718</v>
      </c>
      <c r="J17" s="2">
        <v>1439</v>
      </c>
      <c r="K17" s="3">
        <f t="shared" si="1"/>
        <v>49.895760945100761</v>
      </c>
      <c r="L17" s="2">
        <v>141</v>
      </c>
    </row>
    <row r="18" spans="1:12" x14ac:dyDescent="0.25">
      <c r="A18" s="1" t="s">
        <v>102</v>
      </c>
      <c r="B18" s="1" t="s">
        <v>334</v>
      </c>
      <c r="C18" s="1" t="s">
        <v>653</v>
      </c>
      <c r="D18" s="1" t="s">
        <v>997</v>
      </c>
      <c r="E18" s="2">
        <v>10501</v>
      </c>
      <c r="F18" s="2">
        <v>400</v>
      </c>
      <c r="G18" s="2">
        <v>687</v>
      </c>
      <c r="H18" s="2">
        <v>1546</v>
      </c>
      <c r="I18" s="2">
        <v>5109</v>
      </c>
      <c r="J18" s="2">
        <v>7742</v>
      </c>
      <c r="K18" s="3">
        <f t="shared" si="1"/>
        <v>65.990700077499355</v>
      </c>
      <c r="L18" s="2">
        <v>400</v>
      </c>
    </row>
    <row r="19" spans="1:12" x14ac:dyDescent="0.25">
      <c r="A19" s="1" t="s">
        <v>102</v>
      </c>
      <c r="B19" s="1" t="s">
        <v>334</v>
      </c>
      <c r="C19" s="1" t="s">
        <v>652</v>
      </c>
      <c r="D19" s="1" t="s">
        <v>996</v>
      </c>
      <c r="E19" s="2">
        <v>10502</v>
      </c>
      <c r="F19" s="2">
        <v>71</v>
      </c>
      <c r="G19" s="2">
        <v>406</v>
      </c>
      <c r="H19" s="2">
        <v>710</v>
      </c>
      <c r="I19" s="2">
        <v>1114</v>
      </c>
      <c r="J19" s="2">
        <v>2301</v>
      </c>
      <c r="K19" s="3">
        <f t="shared" si="1"/>
        <v>48.41373315949587</v>
      </c>
      <c r="L19" s="2">
        <v>71</v>
      </c>
    </row>
    <row r="20" spans="1:12" x14ac:dyDescent="0.25">
      <c r="A20" s="1" t="s">
        <v>74</v>
      </c>
      <c r="B20" s="1" t="s">
        <v>278</v>
      </c>
      <c r="C20" s="1" t="s">
        <v>582</v>
      </c>
      <c r="D20" s="1" t="s">
        <v>926</v>
      </c>
      <c r="E20" s="2">
        <v>10601</v>
      </c>
      <c r="F20" s="2">
        <v>247</v>
      </c>
      <c r="G20" s="2">
        <v>711</v>
      </c>
      <c r="H20" s="2">
        <v>1415</v>
      </c>
      <c r="I20" s="2">
        <v>1906</v>
      </c>
      <c r="J20" s="2">
        <v>4279</v>
      </c>
      <c r="K20" s="3">
        <f t="shared" si="1"/>
        <v>44.543117550829628</v>
      </c>
      <c r="L20" s="2">
        <v>247</v>
      </c>
    </row>
    <row r="21" spans="1:12" x14ac:dyDescent="0.25">
      <c r="A21" s="1" t="s">
        <v>106</v>
      </c>
      <c r="B21" s="1" t="s">
        <v>341</v>
      </c>
      <c r="C21" s="1" t="s">
        <v>661</v>
      </c>
      <c r="D21" s="1" t="s">
        <v>1005</v>
      </c>
      <c r="E21" s="2">
        <v>10602</v>
      </c>
      <c r="F21" s="2">
        <v>255</v>
      </c>
      <c r="G21" s="2">
        <v>565</v>
      </c>
      <c r="H21" s="2">
        <v>872</v>
      </c>
      <c r="I21" s="2">
        <v>1377</v>
      </c>
      <c r="J21" s="2">
        <v>3069</v>
      </c>
      <c r="K21" s="3">
        <f t="shared" si="1"/>
        <v>44.868035190615835</v>
      </c>
      <c r="L21" s="2">
        <v>255</v>
      </c>
    </row>
    <row r="22" spans="1:12" x14ac:dyDescent="0.25">
      <c r="A22" s="1" t="s">
        <v>161</v>
      </c>
      <c r="B22" s="1" t="s">
        <v>446</v>
      </c>
      <c r="C22" s="1" t="s">
        <v>790</v>
      </c>
      <c r="D22" s="1" t="s">
        <v>1134</v>
      </c>
      <c r="E22" s="2">
        <v>10701</v>
      </c>
      <c r="F22" s="2">
        <v>314</v>
      </c>
      <c r="G22" s="2">
        <v>541</v>
      </c>
      <c r="H22" s="2">
        <v>1503</v>
      </c>
      <c r="I22" s="2">
        <v>2689</v>
      </c>
      <c r="J22" s="2">
        <v>5047</v>
      </c>
      <c r="K22" s="3">
        <f t="shared" si="1"/>
        <v>53.279175747969084</v>
      </c>
      <c r="L22" s="2">
        <v>314</v>
      </c>
    </row>
    <row r="23" spans="1:12" x14ac:dyDescent="0.25">
      <c r="A23" s="1" t="s">
        <v>20</v>
      </c>
      <c r="B23" s="1" t="s">
        <v>201</v>
      </c>
      <c r="C23" s="1" t="s">
        <v>489</v>
      </c>
      <c r="D23" s="1" t="s">
        <v>833</v>
      </c>
      <c r="E23" s="2">
        <v>10702</v>
      </c>
      <c r="F23" s="2">
        <v>1247</v>
      </c>
      <c r="G23" s="2">
        <v>1744</v>
      </c>
      <c r="H23" s="2">
        <v>2766</v>
      </c>
      <c r="I23" s="2">
        <v>2894</v>
      </c>
      <c r="J23" s="2">
        <v>8651</v>
      </c>
      <c r="K23" s="3">
        <f t="shared" si="1"/>
        <v>33.452780025430584</v>
      </c>
      <c r="L23" s="2">
        <v>1247</v>
      </c>
    </row>
    <row r="24" spans="1:12" x14ac:dyDescent="0.25">
      <c r="A24" s="1" t="s">
        <v>20</v>
      </c>
      <c r="B24" s="1" t="s">
        <v>203</v>
      </c>
      <c r="C24" s="1" t="s">
        <v>491</v>
      </c>
      <c r="D24" s="1" t="s">
        <v>835</v>
      </c>
      <c r="E24" s="2">
        <v>10703</v>
      </c>
      <c r="F24" s="2">
        <v>1037</v>
      </c>
      <c r="G24" s="2">
        <v>888</v>
      </c>
      <c r="H24" s="2">
        <v>1011</v>
      </c>
      <c r="I24" s="2">
        <v>1135</v>
      </c>
      <c r="J24" s="2">
        <v>4071</v>
      </c>
      <c r="K24" s="3">
        <f t="shared" si="1"/>
        <v>27.880127732743798</v>
      </c>
      <c r="L24" s="2">
        <v>1037</v>
      </c>
    </row>
    <row r="25" spans="1:12" x14ac:dyDescent="0.25">
      <c r="A25" s="1" t="s">
        <v>154</v>
      </c>
      <c r="B25" s="1" t="s">
        <v>434</v>
      </c>
      <c r="C25" s="1" t="s">
        <v>776</v>
      </c>
      <c r="D25" s="1" t="s">
        <v>1120</v>
      </c>
      <c r="E25" s="2">
        <v>10704</v>
      </c>
      <c r="F25" s="2">
        <v>735</v>
      </c>
      <c r="G25" s="2">
        <v>686</v>
      </c>
      <c r="H25" s="2">
        <v>1113</v>
      </c>
      <c r="I25" s="2">
        <v>1466</v>
      </c>
      <c r="J25" s="2">
        <v>4000</v>
      </c>
      <c r="K25" s="3">
        <f t="shared" si="1"/>
        <v>36.65</v>
      </c>
      <c r="L25" s="2">
        <v>735</v>
      </c>
    </row>
    <row r="26" spans="1:12" x14ac:dyDescent="0.25">
      <c r="A26" s="1" t="s">
        <v>125</v>
      </c>
      <c r="B26" s="1" t="s">
        <v>374</v>
      </c>
      <c r="C26" s="1" t="s">
        <v>702</v>
      </c>
      <c r="D26" s="1" t="s">
        <v>1046</v>
      </c>
      <c r="E26" s="2">
        <v>10801</v>
      </c>
      <c r="F26" s="2">
        <v>119</v>
      </c>
      <c r="G26" s="2">
        <v>373</v>
      </c>
      <c r="H26" s="2">
        <v>800</v>
      </c>
      <c r="I26" s="2">
        <v>1895</v>
      </c>
      <c r="J26" s="2">
        <v>3187</v>
      </c>
      <c r="K26" s="3">
        <f t="shared" si="1"/>
        <v>59.46030749921556</v>
      </c>
      <c r="L26" s="2">
        <v>119</v>
      </c>
    </row>
    <row r="27" spans="1:12" x14ac:dyDescent="0.25">
      <c r="A27" s="1" t="s">
        <v>59</v>
      </c>
      <c r="B27" s="1" t="s">
        <v>258</v>
      </c>
      <c r="C27" s="1" t="s">
        <v>559</v>
      </c>
      <c r="D27" s="1" t="s">
        <v>903</v>
      </c>
      <c r="E27" s="2">
        <v>10901</v>
      </c>
      <c r="F27" s="2">
        <v>93</v>
      </c>
      <c r="G27" s="2">
        <v>151</v>
      </c>
      <c r="H27" s="2">
        <v>516</v>
      </c>
      <c r="I27" s="2">
        <v>611</v>
      </c>
      <c r="J27" s="2">
        <v>1371</v>
      </c>
      <c r="K27" s="3">
        <f t="shared" si="1"/>
        <v>44.566010211524436</v>
      </c>
      <c r="L27" s="2">
        <v>93</v>
      </c>
    </row>
    <row r="28" spans="1:12" x14ac:dyDescent="0.25">
      <c r="A28" s="1" t="s">
        <v>20</v>
      </c>
      <c r="B28" s="1" t="s">
        <v>202</v>
      </c>
      <c r="C28" s="1" t="s">
        <v>490</v>
      </c>
      <c r="D28" s="1" t="s">
        <v>834</v>
      </c>
      <c r="E28" s="2">
        <v>10902</v>
      </c>
      <c r="F28" s="2">
        <v>703</v>
      </c>
      <c r="G28" s="2">
        <v>821</v>
      </c>
      <c r="H28" s="2">
        <v>1252</v>
      </c>
      <c r="I28" s="2">
        <v>1884</v>
      </c>
      <c r="J28" s="2">
        <v>4660</v>
      </c>
      <c r="K28" s="3">
        <f t="shared" si="1"/>
        <v>40.429184549356222</v>
      </c>
      <c r="L28" s="2">
        <v>703</v>
      </c>
    </row>
    <row r="29" spans="1:12" x14ac:dyDescent="0.25">
      <c r="A29" s="1" t="s">
        <v>59</v>
      </c>
      <c r="B29" s="1" t="s">
        <v>258</v>
      </c>
      <c r="C29" s="1" t="s">
        <v>558</v>
      </c>
      <c r="D29" s="1" t="s">
        <v>902</v>
      </c>
      <c r="E29" s="2">
        <v>10903</v>
      </c>
      <c r="F29" s="2">
        <v>58</v>
      </c>
      <c r="G29" s="2">
        <v>125</v>
      </c>
      <c r="H29" s="2">
        <v>311</v>
      </c>
      <c r="I29" s="2">
        <v>786</v>
      </c>
      <c r="J29" s="2">
        <v>1280</v>
      </c>
      <c r="K29" s="3">
        <f t="shared" si="1"/>
        <v>61.406249999999993</v>
      </c>
      <c r="L29" s="2">
        <v>58</v>
      </c>
    </row>
    <row r="30" spans="1:12" x14ac:dyDescent="0.25">
      <c r="A30" s="1" t="s">
        <v>121</v>
      </c>
      <c r="B30" s="1" t="s">
        <v>369</v>
      </c>
      <c r="C30" s="1" t="s">
        <v>697</v>
      </c>
      <c r="D30" s="1" t="s">
        <v>1041</v>
      </c>
      <c r="E30" s="2">
        <v>11001</v>
      </c>
      <c r="F30" s="2">
        <v>175</v>
      </c>
      <c r="G30" s="2">
        <v>393</v>
      </c>
      <c r="H30" s="2">
        <v>831</v>
      </c>
      <c r="I30" s="2">
        <v>1737</v>
      </c>
      <c r="J30" s="2">
        <v>3136</v>
      </c>
      <c r="K30" s="3">
        <f t="shared" si="1"/>
        <v>55.389030612244895</v>
      </c>
      <c r="L30" s="2">
        <v>175</v>
      </c>
    </row>
    <row r="31" spans="1:12" x14ac:dyDescent="0.25">
      <c r="A31" s="1" t="s">
        <v>100</v>
      </c>
      <c r="B31" s="1" t="s">
        <v>332</v>
      </c>
      <c r="C31" s="1" t="s">
        <v>650</v>
      </c>
      <c r="D31" s="1" t="s">
        <v>994</v>
      </c>
      <c r="E31" s="2">
        <v>11002</v>
      </c>
      <c r="F31" s="2">
        <v>15</v>
      </c>
      <c r="G31" s="2">
        <v>70</v>
      </c>
      <c r="H31" s="2">
        <v>175</v>
      </c>
      <c r="I31" s="2">
        <v>558</v>
      </c>
      <c r="J31" s="2">
        <v>818</v>
      </c>
      <c r="K31" s="3">
        <f t="shared" si="1"/>
        <v>68.215158924205383</v>
      </c>
      <c r="L31" s="2">
        <v>15</v>
      </c>
    </row>
    <row r="32" spans="1:12" x14ac:dyDescent="0.25">
      <c r="A32" s="1" t="s">
        <v>125</v>
      </c>
      <c r="B32" s="1" t="s">
        <v>375</v>
      </c>
      <c r="C32" s="1" t="s">
        <v>703</v>
      </c>
      <c r="D32" s="1" t="s">
        <v>1047</v>
      </c>
      <c r="E32" s="2">
        <v>11003</v>
      </c>
      <c r="F32" s="2">
        <v>41</v>
      </c>
      <c r="G32" s="2">
        <v>201</v>
      </c>
      <c r="H32" s="2">
        <v>502</v>
      </c>
      <c r="I32" s="2">
        <v>1544</v>
      </c>
      <c r="J32" s="2">
        <v>2288</v>
      </c>
      <c r="K32" s="3">
        <f t="shared" si="1"/>
        <v>67.48251748251748</v>
      </c>
      <c r="L32" s="2">
        <v>41</v>
      </c>
    </row>
    <row r="33" spans="1:12" x14ac:dyDescent="0.25">
      <c r="A33" s="1" t="s">
        <v>95</v>
      </c>
      <c r="B33" s="1" t="s">
        <v>320</v>
      </c>
      <c r="C33" s="1" t="s">
        <v>635</v>
      </c>
      <c r="D33" s="1" t="s">
        <v>979</v>
      </c>
      <c r="E33" s="2">
        <v>20101</v>
      </c>
      <c r="F33" s="2">
        <v>1201</v>
      </c>
      <c r="G33" s="2">
        <v>4112</v>
      </c>
      <c r="H33" s="2">
        <v>13961</v>
      </c>
      <c r="I33" s="2">
        <v>231657</v>
      </c>
      <c r="J33" s="2">
        <v>250931</v>
      </c>
      <c r="K33" s="3">
        <f t="shared" si="1"/>
        <v>92.319004028996019</v>
      </c>
      <c r="L33" s="2">
        <v>1201</v>
      </c>
    </row>
    <row r="34" spans="1:12" x14ac:dyDescent="0.25">
      <c r="A34" s="1" t="s">
        <v>93</v>
      </c>
      <c r="B34" s="1" t="s">
        <v>312</v>
      </c>
      <c r="C34" s="1" t="s">
        <v>623</v>
      </c>
      <c r="D34" s="1" t="s">
        <v>967</v>
      </c>
      <c r="E34" s="2">
        <v>20102</v>
      </c>
      <c r="F34" s="2">
        <v>464</v>
      </c>
      <c r="G34" s="2">
        <v>1528</v>
      </c>
      <c r="H34" s="2">
        <v>3108</v>
      </c>
      <c r="I34" s="2">
        <v>2485</v>
      </c>
      <c r="J34" s="2">
        <v>7585</v>
      </c>
      <c r="K34" s="3">
        <f t="shared" si="1"/>
        <v>32.762030323005931</v>
      </c>
      <c r="L34" s="2">
        <v>464</v>
      </c>
    </row>
    <row r="35" spans="1:12" x14ac:dyDescent="0.25">
      <c r="A35" s="1" t="s">
        <v>93</v>
      </c>
      <c r="B35" s="1" t="s">
        <v>312</v>
      </c>
      <c r="C35" s="1" t="s">
        <v>622</v>
      </c>
      <c r="D35" s="1" t="s">
        <v>966</v>
      </c>
      <c r="E35" s="2">
        <v>20103</v>
      </c>
      <c r="F35" s="2">
        <v>192</v>
      </c>
      <c r="G35" s="2">
        <v>670</v>
      </c>
      <c r="H35" s="2">
        <v>2117</v>
      </c>
      <c r="I35" s="2">
        <v>3870</v>
      </c>
      <c r="J35" s="2">
        <v>6849</v>
      </c>
      <c r="K35" s="3">
        <f t="shared" si="1"/>
        <v>56.504599211563736</v>
      </c>
      <c r="L35" s="2">
        <v>192</v>
      </c>
    </row>
    <row r="36" spans="1:12" x14ac:dyDescent="0.25">
      <c r="A36" s="1" t="s">
        <v>93</v>
      </c>
      <c r="B36" s="1" t="s">
        <v>312</v>
      </c>
      <c r="C36" s="1" t="s">
        <v>624</v>
      </c>
      <c r="D36" s="1" t="s">
        <v>968</v>
      </c>
      <c r="E36" s="2">
        <v>20104</v>
      </c>
      <c r="F36" s="2">
        <v>1130</v>
      </c>
      <c r="G36" s="2">
        <v>4628</v>
      </c>
      <c r="H36" s="2">
        <v>8248</v>
      </c>
      <c r="I36" s="2">
        <v>2291</v>
      </c>
      <c r="J36" s="2">
        <v>16297</v>
      </c>
      <c r="K36" s="3">
        <f t="shared" si="1"/>
        <v>14.057802049456955</v>
      </c>
      <c r="L36" s="2">
        <v>1130</v>
      </c>
    </row>
    <row r="37" spans="1:12" x14ac:dyDescent="0.25">
      <c r="A37" s="1" t="s">
        <v>93</v>
      </c>
      <c r="B37" s="1" t="s">
        <v>312</v>
      </c>
      <c r="C37" s="1" t="s">
        <v>625</v>
      </c>
      <c r="D37" s="1" t="s">
        <v>969</v>
      </c>
      <c r="E37" s="2">
        <v>20105</v>
      </c>
      <c r="F37" s="2">
        <v>2972</v>
      </c>
      <c r="G37" s="2">
        <v>8065</v>
      </c>
      <c r="H37" s="2">
        <v>35631</v>
      </c>
      <c r="I37" s="2">
        <v>251230</v>
      </c>
      <c r="J37" s="2">
        <v>297898</v>
      </c>
      <c r="K37" s="3">
        <f t="shared" si="1"/>
        <v>84.334235208024225</v>
      </c>
      <c r="L37" s="2">
        <v>2972</v>
      </c>
    </row>
    <row r="38" spans="1:12" x14ac:dyDescent="0.25">
      <c r="A38" s="1" t="s">
        <v>155</v>
      </c>
      <c r="B38" s="1" t="s">
        <v>437</v>
      </c>
      <c r="C38" s="1" t="s">
        <v>780</v>
      </c>
      <c r="D38" s="1" t="s">
        <v>1124</v>
      </c>
      <c r="E38" s="2">
        <v>20201</v>
      </c>
      <c r="F38" s="2">
        <v>846</v>
      </c>
      <c r="G38" s="2">
        <v>2148</v>
      </c>
      <c r="H38" s="2">
        <v>4582</v>
      </c>
      <c r="I38" s="2">
        <v>10740</v>
      </c>
      <c r="J38" s="2">
        <v>18316</v>
      </c>
      <c r="K38" s="3">
        <f t="shared" si="1"/>
        <v>58.637257043022494</v>
      </c>
      <c r="L38" s="2">
        <v>846</v>
      </c>
    </row>
    <row r="39" spans="1:12" x14ac:dyDescent="0.25">
      <c r="A39" s="1" t="s">
        <v>23</v>
      </c>
      <c r="B39" s="1" t="s">
        <v>207</v>
      </c>
      <c r="C39" s="1" t="s">
        <v>495</v>
      </c>
      <c r="D39" s="1" t="s">
        <v>839</v>
      </c>
      <c r="E39" s="2">
        <v>20202</v>
      </c>
      <c r="F39" s="2">
        <v>518</v>
      </c>
      <c r="G39" s="2">
        <v>1210</v>
      </c>
      <c r="H39" s="2">
        <v>2362</v>
      </c>
      <c r="I39" s="2">
        <v>2647</v>
      </c>
      <c r="J39" s="2">
        <v>6737</v>
      </c>
      <c r="K39" s="3">
        <f t="shared" si="1"/>
        <v>39.290485379248921</v>
      </c>
      <c r="L39" s="2">
        <v>518</v>
      </c>
    </row>
    <row r="40" spans="1:12" s="22" customFormat="1" x14ac:dyDescent="0.25">
      <c r="A40" s="41" t="s">
        <v>120</v>
      </c>
      <c r="B40" s="41" t="s">
        <v>367</v>
      </c>
      <c r="C40" s="41" t="s">
        <v>695</v>
      </c>
      <c r="D40" s="41" t="s">
        <v>1039</v>
      </c>
      <c r="E40" s="14">
        <v>20203</v>
      </c>
      <c r="F40" s="14">
        <v>171</v>
      </c>
      <c r="G40" s="14">
        <v>355</v>
      </c>
      <c r="H40" s="14">
        <v>805</v>
      </c>
      <c r="I40" s="14">
        <v>1300</v>
      </c>
      <c r="J40" s="14">
        <v>2631</v>
      </c>
      <c r="K40" s="3">
        <f t="shared" si="1"/>
        <v>49.410870391486128</v>
      </c>
      <c r="L40" s="14">
        <v>171</v>
      </c>
    </row>
    <row r="41" spans="1:12" s="22" customFormat="1" x14ac:dyDescent="0.25">
      <c r="A41" s="41" t="s">
        <v>120</v>
      </c>
      <c r="B41" s="41" t="s">
        <v>367</v>
      </c>
      <c r="C41" s="41" t="s">
        <v>694</v>
      </c>
      <c r="D41" s="41" t="s">
        <v>1038</v>
      </c>
      <c r="E41" s="14">
        <v>20204</v>
      </c>
      <c r="F41" s="14">
        <v>257</v>
      </c>
      <c r="G41" s="14">
        <v>602</v>
      </c>
      <c r="H41" s="14">
        <v>1091</v>
      </c>
      <c r="I41" s="14">
        <v>2006</v>
      </c>
      <c r="J41" s="14">
        <v>3956</v>
      </c>
      <c r="K41" s="3">
        <f t="shared" si="1"/>
        <v>50.707785642062689</v>
      </c>
      <c r="L41" s="14">
        <v>257</v>
      </c>
    </row>
    <row r="42" spans="1:12" s="22" customFormat="1" x14ac:dyDescent="0.25">
      <c r="A42" s="41" t="s">
        <v>117</v>
      </c>
      <c r="B42" s="41" t="s">
        <v>361</v>
      </c>
      <c r="C42" s="41" t="s">
        <v>687</v>
      </c>
      <c r="D42" s="41" t="s">
        <v>1031</v>
      </c>
      <c r="E42" s="14">
        <v>20205</v>
      </c>
      <c r="F42" s="14">
        <v>214</v>
      </c>
      <c r="G42" s="14">
        <v>543</v>
      </c>
      <c r="H42" s="14">
        <v>1171</v>
      </c>
      <c r="I42" s="14">
        <v>2551</v>
      </c>
      <c r="J42" s="14">
        <v>4479</v>
      </c>
      <c r="K42" s="3">
        <f t="shared" si="1"/>
        <v>56.954677383344496</v>
      </c>
      <c r="L42" s="14">
        <v>214</v>
      </c>
    </row>
    <row r="43" spans="1:12" s="22" customFormat="1" x14ac:dyDescent="0.25">
      <c r="A43" s="41" t="s">
        <v>93</v>
      </c>
      <c r="B43" s="41" t="s">
        <v>310</v>
      </c>
      <c r="C43" s="41" t="s">
        <v>620</v>
      </c>
      <c r="D43" s="41" t="s">
        <v>964</v>
      </c>
      <c r="E43" s="14">
        <v>20206</v>
      </c>
      <c r="F43" s="14">
        <v>113</v>
      </c>
      <c r="G43" s="14">
        <v>200</v>
      </c>
      <c r="H43" s="14">
        <v>423</v>
      </c>
      <c r="I43" s="14">
        <v>1773</v>
      </c>
      <c r="J43" s="14">
        <v>2509</v>
      </c>
      <c r="K43" s="3">
        <f t="shared" si="1"/>
        <v>70.665603826225592</v>
      </c>
      <c r="L43" s="14">
        <v>113</v>
      </c>
    </row>
    <row r="44" spans="1:12" x14ac:dyDescent="0.25">
      <c r="A44" s="1" t="s">
        <v>16</v>
      </c>
      <c r="B44" s="1" t="s">
        <v>193</v>
      </c>
      <c r="C44" s="1" t="s">
        <v>479</v>
      </c>
      <c r="D44" s="1" t="s">
        <v>823</v>
      </c>
      <c r="E44" s="2">
        <v>20301</v>
      </c>
      <c r="F44" s="2">
        <v>684</v>
      </c>
      <c r="G44" s="2">
        <v>1358</v>
      </c>
      <c r="H44" s="2">
        <v>1788</v>
      </c>
      <c r="I44" s="2">
        <v>1414</v>
      </c>
      <c r="J44" s="2">
        <v>5244</v>
      </c>
      <c r="K44" s="3">
        <f t="shared" si="1"/>
        <v>26.964149504195273</v>
      </c>
      <c r="L44" s="2">
        <v>684</v>
      </c>
    </row>
    <row r="45" spans="1:12" x14ac:dyDescent="0.25">
      <c r="A45" s="1" t="s">
        <v>66</v>
      </c>
      <c r="B45" s="1" t="s">
        <v>268</v>
      </c>
      <c r="C45" s="1" t="s">
        <v>571</v>
      </c>
      <c r="D45" s="1" t="s">
        <v>915</v>
      </c>
      <c r="E45" s="2">
        <v>20302</v>
      </c>
      <c r="F45" s="2">
        <v>373</v>
      </c>
      <c r="G45" s="2">
        <v>1129</v>
      </c>
      <c r="H45" s="2">
        <v>1957</v>
      </c>
      <c r="I45" s="2">
        <v>1774</v>
      </c>
      <c r="J45" s="2">
        <v>5233</v>
      </c>
      <c r="K45" s="3">
        <f t="shared" si="1"/>
        <v>33.900248423466465</v>
      </c>
      <c r="L45" s="2">
        <v>373</v>
      </c>
    </row>
    <row r="46" spans="1:12" x14ac:dyDescent="0.25">
      <c r="A46" s="1" t="s">
        <v>88</v>
      </c>
      <c r="B46" s="1" t="s">
        <v>298</v>
      </c>
      <c r="C46" s="1" t="s">
        <v>604</v>
      </c>
      <c r="D46" s="1" t="s">
        <v>948</v>
      </c>
      <c r="E46" s="2">
        <v>20303</v>
      </c>
      <c r="F46" s="2">
        <v>719</v>
      </c>
      <c r="G46" s="2">
        <v>1471</v>
      </c>
      <c r="H46" s="2">
        <v>1806</v>
      </c>
      <c r="I46" s="2">
        <v>1112</v>
      </c>
      <c r="J46" s="2">
        <v>5108</v>
      </c>
      <c r="K46" s="3">
        <f t="shared" si="1"/>
        <v>21.769772905246672</v>
      </c>
      <c r="L46" s="2">
        <v>719</v>
      </c>
    </row>
    <row r="47" spans="1:12" x14ac:dyDescent="0.25">
      <c r="A47" s="1" t="s">
        <v>93</v>
      </c>
      <c r="B47" s="1" t="s">
        <v>306</v>
      </c>
      <c r="C47" s="1" t="s">
        <v>615</v>
      </c>
      <c r="D47" s="1" t="s">
        <v>959</v>
      </c>
      <c r="E47" s="2">
        <v>20304</v>
      </c>
      <c r="F47" s="2">
        <v>109</v>
      </c>
      <c r="G47" s="2">
        <v>366</v>
      </c>
      <c r="H47" s="2">
        <v>685</v>
      </c>
      <c r="I47" s="2">
        <v>770</v>
      </c>
      <c r="J47" s="2">
        <v>1930</v>
      </c>
      <c r="K47" s="3">
        <f t="shared" si="1"/>
        <v>39.896373056994818</v>
      </c>
      <c r="L47" s="2">
        <v>109</v>
      </c>
    </row>
    <row r="48" spans="1:12" x14ac:dyDescent="0.25">
      <c r="A48" s="1" t="s">
        <v>155</v>
      </c>
      <c r="B48" s="1" t="s">
        <v>436</v>
      </c>
      <c r="C48" s="1" t="s">
        <v>779</v>
      </c>
      <c r="D48" s="1" t="s">
        <v>1123</v>
      </c>
      <c r="E48" s="2">
        <v>20305</v>
      </c>
      <c r="F48" s="2">
        <v>476</v>
      </c>
      <c r="G48" s="2">
        <v>412</v>
      </c>
      <c r="H48" s="2">
        <v>413</v>
      </c>
      <c r="I48" s="2">
        <v>441</v>
      </c>
      <c r="J48" s="2">
        <v>1742</v>
      </c>
      <c r="K48" s="3">
        <f t="shared" si="1"/>
        <v>25.315729047072331</v>
      </c>
      <c r="L48" s="2">
        <v>476</v>
      </c>
    </row>
    <row r="49" spans="1:12" x14ac:dyDescent="0.25">
      <c r="A49" s="1" t="s">
        <v>147</v>
      </c>
      <c r="B49" s="1" t="s">
        <v>421</v>
      </c>
      <c r="C49" s="1" t="s">
        <v>761</v>
      </c>
      <c r="D49" s="1" t="s">
        <v>1105</v>
      </c>
      <c r="E49" s="2">
        <v>20306</v>
      </c>
      <c r="F49" s="2">
        <v>152</v>
      </c>
      <c r="G49" s="2">
        <v>304</v>
      </c>
      <c r="H49" s="2">
        <v>589</v>
      </c>
      <c r="I49" s="2">
        <v>418</v>
      </c>
      <c r="J49" s="2">
        <v>1463</v>
      </c>
      <c r="K49" s="3">
        <f t="shared" si="1"/>
        <v>28.571428571428569</v>
      </c>
      <c r="L49" s="2">
        <v>152</v>
      </c>
    </row>
    <row r="50" spans="1:12" x14ac:dyDescent="0.25">
      <c r="A50" s="1" t="s">
        <v>66</v>
      </c>
      <c r="B50" s="1" t="s">
        <v>268</v>
      </c>
      <c r="C50" s="1" t="s">
        <v>570</v>
      </c>
      <c r="D50" s="1" t="s">
        <v>914</v>
      </c>
      <c r="E50" s="2">
        <v>20307</v>
      </c>
      <c r="F50" s="2">
        <v>95</v>
      </c>
      <c r="G50" s="2">
        <v>305</v>
      </c>
      <c r="H50" s="2">
        <v>442</v>
      </c>
      <c r="I50" s="2">
        <v>371</v>
      </c>
      <c r="J50" s="2">
        <v>1213</v>
      </c>
      <c r="K50" s="3">
        <f t="shared" si="1"/>
        <v>30.585325638911787</v>
      </c>
      <c r="L50" s="2">
        <v>95</v>
      </c>
    </row>
    <row r="51" spans="1:12" x14ac:dyDescent="0.25">
      <c r="A51" s="1" t="s">
        <v>85</v>
      </c>
      <c r="B51" s="1" t="s">
        <v>294</v>
      </c>
      <c r="C51" s="1" t="s">
        <v>599</v>
      </c>
      <c r="D51" s="1" t="s">
        <v>943</v>
      </c>
      <c r="E51" s="2">
        <v>20308</v>
      </c>
      <c r="F51" s="2">
        <v>690</v>
      </c>
      <c r="G51" s="2">
        <v>1431</v>
      </c>
      <c r="H51" s="2">
        <v>1102</v>
      </c>
      <c r="I51" s="2">
        <v>346</v>
      </c>
      <c r="J51" s="2">
        <v>3569</v>
      </c>
      <c r="K51" s="3">
        <f t="shared" si="1"/>
        <v>9.6945923227794903</v>
      </c>
      <c r="L51" s="2">
        <v>690</v>
      </c>
    </row>
    <row r="52" spans="1:12" x14ac:dyDescent="0.25">
      <c r="A52" s="1" t="s">
        <v>155</v>
      </c>
      <c r="B52" s="1" t="s">
        <v>435</v>
      </c>
      <c r="C52" s="1" t="s">
        <v>777</v>
      </c>
      <c r="D52" s="1" t="s">
        <v>1121</v>
      </c>
      <c r="E52" s="2">
        <v>20401</v>
      </c>
      <c r="F52" s="2">
        <v>800</v>
      </c>
      <c r="G52" s="2">
        <v>1650</v>
      </c>
      <c r="H52" s="2">
        <v>2617</v>
      </c>
      <c r="I52" s="2">
        <v>1537</v>
      </c>
      <c r="J52" s="2">
        <v>6604</v>
      </c>
      <c r="K52" s="3">
        <f t="shared" si="1"/>
        <v>23.273773470623865</v>
      </c>
      <c r="L52" s="2">
        <v>800</v>
      </c>
    </row>
    <row r="53" spans="1:12" x14ac:dyDescent="0.25">
      <c r="A53" s="1" t="s">
        <v>31</v>
      </c>
      <c r="B53" s="1" t="s">
        <v>215</v>
      </c>
      <c r="C53" s="1" t="s">
        <v>505</v>
      </c>
      <c r="D53" s="1" t="s">
        <v>849</v>
      </c>
      <c r="E53" s="2">
        <v>20402</v>
      </c>
      <c r="F53" s="2">
        <v>609</v>
      </c>
      <c r="G53" s="2">
        <v>1598</v>
      </c>
      <c r="H53" s="2">
        <v>3042</v>
      </c>
      <c r="I53" s="2">
        <v>2764</v>
      </c>
      <c r="J53" s="2">
        <v>8013</v>
      </c>
      <c r="K53" s="3">
        <f t="shared" si="1"/>
        <v>34.493947335579684</v>
      </c>
      <c r="L53" s="2">
        <v>609</v>
      </c>
    </row>
    <row r="54" spans="1:12" x14ac:dyDescent="0.25">
      <c r="A54" s="1" t="s">
        <v>25</v>
      </c>
      <c r="B54" s="1" t="s">
        <v>209</v>
      </c>
      <c r="C54" s="1" t="s">
        <v>497</v>
      </c>
      <c r="D54" s="1" t="s">
        <v>841</v>
      </c>
      <c r="E54" s="2">
        <v>20403</v>
      </c>
      <c r="F54" s="2">
        <v>610</v>
      </c>
      <c r="G54" s="2">
        <v>1344</v>
      </c>
      <c r="H54" s="2">
        <v>2817</v>
      </c>
      <c r="I54" s="2">
        <v>2294</v>
      </c>
      <c r="J54" s="2">
        <v>7065</v>
      </c>
      <c r="K54" s="3">
        <f t="shared" si="1"/>
        <v>32.469922151450817</v>
      </c>
      <c r="L54" s="2">
        <v>610</v>
      </c>
    </row>
    <row r="55" spans="1:12" x14ac:dyDescent="0.25">
      <c r="A55" s="1" t="s">
        <v>120</v>
      </c>
      <c r="B55" s="1" t="s">
        <v>368</v>
      </c>
      <c r="C55" s="1" t="s">
        <v>696</v>
      </c>
      <c r="D55" s="1" t="s">
        <v>1040</v>
      </c>
      <c r="E55" s="2">
        <v>20404</v>
      </c>
      <c r="F55" s="2">
        <v>274</v>
      </c>
      <c r="G55" s="2">
        <v>681</v>
      </c>
      <c r="H55" s="2">
        <v>1056</v>
      </c>
      <c r="I55" s="2">
        <v>516</v>
      </c>
      <c r="J55" s="2">
        <v>2527</v>
      </c>
      <c r="K55" s="3">
        <f t="shared" si="1"/>
        <v>20.419469726948954</v>
      </c>
      <c r="L55" s="2">
        <v>274</v>
      </c>
    </row>
    <row r="56" spans="1:12" x14ac:dyDescent="0.25">
      <c r="A56" s="1" t="s">
        <v>155</v>
      </c>
      <c r="B56" s="1" t="s">
        <v>435</v>
      </c>
      <c r="C56" s="1" t="s">
        <v>778</v>
      </c>
      <c r="D56" s="1" t="s">
        <v>1122</v>
      </c>
      <c r="E56" s="2">
        <v>20405</v>
      </c>
      <c r="F56" s="2">
        <v>465</v>
      </c>
      <c r="G56" s="2">
        <v>1014</v>
      </c>
      <c r="H56" s="2">
        <v>1492</v>
      </c>
      <c r="I56" s="2">
        <v>1145</v>
      </c>
      <c r="J56" s="2">
        <v>4116</v>
      </c>
      <c r="K56" s="3">
        <f t="shared" si="1"/>
        <v>27.81827016520894</v>
      </c>
      <c r="L56" s="2">
        <v>465</v>
      </c>
    </row>
    <row r="57" spans="1:12" x14ac:dyDescent="0.25">
      <c r="A57" s="1" t="s">
        <v>95</v>
      </c>
      <c r="B57" s="1" t="s">
        <v>323</v>
      </c>
      <c r="C57" s="1" t="s">
        <v>638</v>
      </c>
      <c r="D57" s="1" t="s">
        <v>982</v>
      </c>
      <c r="E57" s="2">
        <v>20501</v>
      </c>
      <c r="F57" s="2">
        <v>325</v>
      </c>
      <c r="G57" s="2">
        <v>1104</v>
      </c>
      <c r="H57" s="2">
        <v>2264</v>
      </c>
      <c r="I57" s="2">
        <v>2695</v>
      </c>
      <c r="J57" s="2">
        <v>6388</v>
      </c>
      <c r="K57" s="3">
        <f t="shared" si="1"/>
        <v>42.18847839699437</v>
      </c>
      <c r="L57" s="2">
        <v>325</v>
      </c>
    </row>
    <row r="58" spans="1:12" x14ac:dyDescent="0.25">
      <c r="A58" s="1" t="s">
        <v>145</v>
      </c>
      <c r="B58" s="1" t="s">
        <v>419</v>
      </c>
      <c r="C58" s="1" t="s">
        <v>759</v>
      </c>
      <c r="D58" s="1" t="s">
        <v>1103</v>
      </c>
      <c r="E58" s="2">
        <v>20502</v>
      </c>
      <c r="F58" s="2">
        <v>253</v>
      </c>
      <c r="G58" s="2">
        <v>703</v>
      </c>
      <c r="H58" s="2">
        <v>1234</v>
      </c>
      <c r="I58" s="2">
        <v>1304</v>
      </c>
      <c r="J58" s="2">
        <v>3494</v>
      </c>
      <c r="K58" s="3">
        <f t="shared" si="1"/>
        <v>37.321121923297078</v>
      </c>
      <c r="L58" s="2">
        <v>253</v>
      </c>
    </row>
    <row r="59" spans="1:12" x14ac:dyDescent="0.25">
      <c r="A59" s="1" t="s">
        <v>95</v>
      </c>
      <c r="B59" s="1" t="s">
        <v>317</v>
      </c>
      <c r="C59" s="1" t="s">
        <v>632</v>
      </c>
      <c r="D59" s="1" t="s">
        <v>976</v>
      </c>
      <c r="E59" s="2">
        <v>20503</v>
      </c>
      <c r="F59" s="2">
        <v>202</v>
      </c>
      <c r="G59" s="2">
        <v>376</v>
      </c>
      <c r="H59" s="2">
        <v>1085</v>
      </c>
      <c r="I59" s="2">
        <v>837</v>
      </c>
      <c r="J59" s="2">
        <v>2500</v>
      </c>
      <c r="K59" s="3">
        <f t="shared" si="1"/>
        <v>33.479999999999997</v>
      </c>
      <c r="L59" s="2">
        <v>202</v>
      </c>
    </row>
    <row r="60" spans="1:12" x14ac:dyDescent="0.25">
      <c r="A60" s="1" t="s">
        <v>95</v>
      </c>
      <c r="B60" s="1" t="s">
        <v>321</v>
      </c>
      <c r="C60" s="1" t="s">
        <v>636</v>
      </c>
      <c r="D60" s="1" t="s">
        <v>980</v>
      </c>
      <c r="E60" s="2">
        <v>20601</v>
      </c>
      <c r="F60" s="2">
        <v>739</v>
      </c>
      <c r="G60" s="2">
        <v>1963</v>
      </c>
      <c r="H60" s="2">
        <v>3846</v>
      </c>
      <c r="I60" s="2">
        <v>4911</v>
      </c>
      <c r="J60" s="2">
        <v>11459</v>
      </c>
      <c r="K60" s="3">
        <f t="shared" si="1"/>
        <v>42.857142857142854</v>
      </c>
      <c r="L60" s="2">
        <v>739</v>
      </c>
    </row>
    <row r="61" spans="1:12" x14ac:dyDescent="0.25">
      <c r="A61" s="1" t="s">
        <v>95</v>
      </c>
      <c r="B61" s="1" t="s">
        <v>324</v>
      </c>
      <c r="C61" s="1" t="s">
        <v>639</v>
      </c>
      <c r="D61" s="1" t="s">
        <v>983</v>
      </c>
      <c r="E61" s="2">
        <v>20602</v>
      </c>
      <c r="F61" s="2">
        <v>723</v>
      </c>
      <c r="G61" s="2">
        <v>720</v>
      </c>
      <c r="H61" s="2">
        <v>1453</v>
      </c>
      <c r="I61" s="2">
        <v>3373</v>
      </c>
      <c r="J61" s="2">
        <v>6269</v>
      </c>
      <c r="K61" s="3">
        <f t="shared" si="1"/>
        <v>53.804434519062049</v>
      </c>
      <c r="L61" s="2">
        <v>723</v>
      </c>
    </row>
    <row r="62" spans="1:12" x14ac:dyDescent="0.25">
      <c r="A62" s="1" t="s">
        <v>101</v>
      </c>
      <c r="B62" s="1" t="s">
        <v>333</v>
      </c>
      <c r="C62" s="1" t="s">
        <v>651</v>
      </c>
      <c r="D62" s="1" t="s">
        <v>995</v>
      </c>
      <c r="E62" s="2">
        <v>20603</v>
      </c>
      <c r="F62" s="2">
        <v>427</v>
      </c>
      <c r="G62" s="2">
        <v>866</v>
      </c>
      <c r="H62" s="2">
        <v>1320</v>
      </c>
      <c r="I62" s="2">
        <v>1539</v>
      </c>
      <c r="J62" s="2">
        <v>4152</v>
      </c>
      <c r="K62" s="3">
        <f t="shared" si="1"/>
        <v>37.066473988439306</v>
      </c>
      <c r="L62" s="2">
        <v>427</v>
      </c>
    </row>
    <row r="63" spans="1:12" x14ac:dyDescent="0.25">
      <c r="A63" s="1" t="s">
        <v>95</v>
      </c>
      <c r="B63" s="1" t="s">
        <v>316</v>
      </c>
      <c r="C63" s="1" t="s">
        <v>631</v>
      </c>
      <c r="D63" s="1" t="s">
        <v>975</v>
      </c>
      <c r="E63" s="2">
        <v>20604</v>
      </c>
      <c r="F63" s="2">
        <v>107</v>
      </c>
      <c r="G63" s="2">
        <v>319</v>
      </c>
      <c r="H63" s="2">
        <v>491</v>
      </c>
      <c r="I63" s="2">
        <v>474</v>
      </c>
      <c r="J63" s="2">
        <v>1391</v>
      </c>
      <c r="K63" s="3">
        <f t="shared" si="1"/>
        <v>34.076204169662113</v>
      </c>
      <c r="L63" s="2">
        <v>107</v>
      </c>
    </row>
    <row r="64" spans="1:12" x14ac:dyDescent="0.25">
      <c r="A64" s="1" t="s">
        <v>64</v>
      </c>
      <c r="B64" s="1" t="s">
        <v>265</v>
      </c>
      <c r="C64" s="1" t="s">
        <v>566</v>
      </c>
      <c r="D64" s="1" t="s">
        <v>910</v>
      </c>
      <c r="E64" s="2">
        <v>20605</v>
      </c>
      <c r="F64" s="2">
        <v>90</v>
      </c>
      <c r="G64" s="2">
        <v>222</v>
      </c>
      <c r="H64" s="2">
        <v>593</v>
      </c>
      <c r="I64" s="2">
        <v>520</v>
      </c>
      <c r="J64" s="2">
        <v>1425</v>
      </c>
      <c r="K64" s="3">
        <f t="shared" si="1"/>
        <v>36.491228070175438</v>
      </c>
      <c r="L64" s="2">
        <v>90</v>
      </c>
    </row>
    <row r="65" spans="1:12" x14ac:dyDescent="0.25">
      <c r="A65" s="1" t="s">
        <v>95</v>
      </c>
      <c r="B65" s="1" t="s">
        <v>319</v>
      </c>
      <c r="C65" s="1" t="s">
        <v>634</v>
      </c>
      <c r="D65" s="1" t="s">
        <v>978</v>
      </c>
      <c r="E65" s="2">
        <v>20606</v>
      </c>
      <c r="F65" s="2">
        <v>117</v>
      </c>
      <c r="G65" s="2">
        <v>651</v>
      </c>
      <c r="H65" s="2">
        <v>1302</v>
      </c>
      <c r="I65" s="2">
        <v>1173</v>
      </c>
      <c r="J65" s="2">
        <v>3243</v>
      </c>
      <c r="K65" s="3">
        <f t="shared" si="1"/>
        <v>36.170212765957451</v>
      </c>
      <c r="L65" s="2">
        <v>117</v>
      </c>
    </row>
    <row r="66" spans="1:12" x14ac:dyDescent="0.25">
      <c r="A66" s="1" t="s">
        <v>95</v>
      </c>
      <c r="B66" s="1" t="s">
        <v>324</v>
      </c>
      <c r="C66" s="1" t="s">
        <v>641</v>
      </c>
      <c r="D66" s="1" t="s">
        <v>985</v>
      </c>
      <c r="E66" s="2">
        <v>20607</v>
      </c>
      <c r="F66" s="2">
        <v>170</v>
      </c>
      <c r="G66" s="2">
        <v>456</v>
      </c>
      <c r="H66" s="2">
        <v>2095</v>
      </c>
      <c r="I66" s="2">
        <v>4177</v>
      </c>
      <c r="J66" s="2">
        <v>6898</v>
      </c>
      <c r="K66" s="3">
        <f t="shared" si="1"/>
        <v>60.553783705421857</v>
      </c>
      <c r="L66" s="2">
        <v>170</v>
      </c>
    </row>
    <row r="67" spans="1:12" x14ac:dyDescent="0.25">
      <c r="A67" s="1" t="s">
        <v>95</v>
      </c>
      <c r="B67" s="1" t="s">
        <v>324</v>
      </c>
      <c r="C67" s="1" t="s">
        <v>640</v>
      </c>
      <c r="D67" s="1" t="s">
        <v>984</v>
      </c>
      <c r="E67" s="2">
        <v>20608</v>
      </c>
      <c r="F67" s="2">
        <v>702</v>
      </c>
      <c r="G67" s="2">
        <v>966</v>
      </c>
      <c r="H67" s="2">
        <v>1345</v>
      </c>
      <c r="I67" s="2">
        <v>1589</v>
      </c>
      <c r="J67" s="2">
        <v>4602</v>
      </c>
      <c r="K67" s="3">
        <f t="shared" si="1"/>
        <v>34.528465884398088</v>
      </c>
      <c r="L67" s="2">
        <v>702</v>
      </c>
    </row>
    <row r="68" spans="1:12" x14ac:dyDescent="0.25">
      <c r="A68" s="1" t="s">
        <v>108</v>
      </c>
      <c r="B68" s="1" t="s">
        <v>347</v>
      </c>
      <c r="C68" s="1" t="s">
        <v>667</v>
      </c>
      <c r="D68" s="1" t="s">
        <v>1011</v>
      </c>
      <c r="E68" s="2">
        <v>20701</v>
      </c>
      <c r="F68" s="2">
        <v>551</v>
      </c>
      <c r="G68" s="2">
        <v>1085</v>
      </c>
      <c r="H68" s="2">
        <v>2331</v>
      </c>
      <c r="I68" s="2">
        <v>2197</v>
      </c>
      <c r="J68" s="2">
        <v>6164</v>
      </c>
      <c r="K68" s="3">
        <f t="shared" si="1"/>
        <v>35.64243997404283</v>
      </c>
      <c r="L68" s="2">
        <v>551</v>
      </c>
    </row>
    <row r="69" spans="1:12" x14ac:dyDescent="0.25">
      <c r="A69" s="1" t="s">
        <v>108</v>
      </c>
      <c r="B69" s="1" t="s">
        <v>345</v>
      </c>
      <c r="C69" s="1" t="s">
        <v>665</v>
      </c>
      <c r="D69" s="1" t="s">
        <v>1009</v>
      </c>
      <c r="E69" s="2">
        <v>20702</v>
      </c>
      <c r="F69" s="2">
        <v>125</v>
      </c>
      <c r="G69" s="2">
        <v>469</v>
      </c>
      <c r="H69" s="2">
        <v>1097</v>
      </c>
      <c r="I69" s="2">
        <v>1377</v>
      </c>
      <c r="J69" s="2">
        <v>3068</v>
      </c>
      <c r="K69" s="3">
        <f t="shared" ref="K69:K132" si="12">(I69/J69)*100</f>
        <v>44.882659713168188</v>
      </c>
      <c r="L69" s="2">
        <v>125</v>
      </c>
    </row>
    <row r="70" spans="1:12" x14ac:dyDescent="0.25">
      <c r="A70" s="1" t="s">
        <v>93</v>
      </c>
      <c r="B70" s="1" t="s">
        <v>308</v>
      </c>
      <c r="C70" s="1" t="s">
        <v>617</v>
      </c>
      <c r="D70" s="1" t="s">
        <v>961</v>
      </c>
      <c r="E70" s="2">
        <v>20801</v>
      </c>
      <c r="F70" s="2">
        <v>1883</v>
      </c>
      <c r="G70" s="2">
        <v>3917</v>
      </c>
      <c r="H70" s="2">
        <v>13207</v>
      </c>
      <c r="I70" s="2">
        <v>22934</v>
      </c>
      <c r="J70" s="2">
        <v>41941</v>
      </c>
      <c r="K70" s="3">
        <f t="shared" si="12"/>
        <v>54.681576500321881</v>
      </c>
      <c r="L70" s="2">
        <v>1883</v>
      </c>
    </row>
    <row r="71" spans="1:12" x14ac:dyDescent="0.25">
      <c r="A71" s="1" t="s">
        <v>95</v>
      </c>
      <c r="B71" s="1" t="s">
        <v>315</v>
      </c>
      <c r="C71" s="1" t="s">
        <v>630</v>
      </c>
      <c r="D71" s="1" t="s">
        <v>974</v>
      </c>
      <c r="E71" s="2">
        <v>20802</v>
      </c>
      <c r="F71" s="2">
        <v>128</v>
      </c>
      <c r="G71" s="2">
        <v>357</v>
      </c>
      <c r="H71" s="2">
        <v>789</v>
      </c>
      <c r="I71" s="2">
        <v>1946</v>
      </c>
      <c r="J71" s="2">
        <v>3220</v>
      </c>
      <c r="K71" s="3">
        <f t="shared" si="12"/>
        <v>60.434782608695649</v>
      </c>
      <c r="L71" s="2">
        <v>128</v>
      </c>
    </row>
    <row r="72" spans="1:12" x14ac:dyDescent="0.25">
      <c r="A72" s="1" t="s">
        <v>47</v>
      </c>
      <c r="B72" s="1" t="s">
        <v>236</v>
      </c>
      <c r="C72" s="1" t="s">
        <v>530</v>
      </c>
      <c r="D72" s="1" t="s">
        <v>874</v>
      </c>
      <c r="E72" s="2">
        <v>20803</v>
      </c>
      <c r="F72" s="2">
        <v>381</v>
      </c>
      <c r="G72" s="2">
        <v>818</v>
      </c>
      <c r="H72" s="2">
        <v>1338</v>
      </c>
      <c r="I72" s="2">
        <v>2116</v>
      </c>
      <c r="J72" s="2">
        <v>4653</v>
      </c>
      <c r="K72" s="3">
        <f t="shared" si="12"/>
        <v>45.47603696539867</v>
      </c>
      <c r="L72" s="2">
        <v>381</v>
      </c>
    </row>
    <row r="73" spans="1:12" x14ac:dyDescent="0.25">
      <c r="A73" s="1" t="s">
        <v>95</v>
      </c>
      <c r="B73" s="1" t="s">
        <v>315</v>
      </c>
      <c r="C73" s="1" t="s">
        <v>628</v>
      </c>
      <c r="D73" s="1" t="s">
        <v>972</v>
      </c>
      <c r="E73" s="2">
        <v>20804</v>
      </c>
      <c r="F73" s="2">
        <v>36</v>
      </c>
      <c r="G73" s="2">
        <v>139</v>
      </c>
      <c r="H73" s="2">
        <v>795</v>
      </c>
      <c r="I73" s="2">
        <v>1705</v>
      </c>
      <c r="J73" s="2">
        <v>2675</v>
      </c>
      <c r="K73" s="3">
        <f t="shared" si="12"/>
        <v>63.738317757009341</v>
      </c>
      <c r="L73" s="2">
        <v>36</v>
      </c>
    </row>
    <row r="74" spans="1:12" x14ac:dyDescent="0.25">
      <c r="A74" s="1" t="s">
        <v>155</v>
      </c>
      <c r="B74" s="1" t="s">
        <v>438</v>
      </c>
      <c r="C74" s="1" t="s">
        <v>782</v>
      </c>
      <c r="D74" s="1" t="s">
        <v>1126</v>
      </c>
      <c r="E74" s="2">
        <v>20805</v>
      </c>
      <c r="F74" s="2">
        <v>238</v>
      </c>
      <c r="G74" s="2">
        <v>677</v>
      </c>
      <c r="H74" s="2">
        <v>1164</v>
      </c>
      <c r="I74" s="2">
        <v>1035</v>
      </c>
      <c r="J74" s="2">
        <v>3114</v>
      </c>
      <c r="K74" s="3">
        <f t="shared" si="12"/>
        <v>33.236994219653177</v>
      </c>
      <c r="L74" s="2">
        <v>238</v>
      </c>
    </row>
    <row r="75" spans="1:12" x14ac:dyDescent="0.25">
      <c r="A75" s="1" t="s">
        <v>95</v>
      </c>
      <c r="B75" s="1" t="s">
        <v>315</v>
      </c>
      <c r="C75" s="1" t="s">
        <v>629</v>
      </c>
      <c r="D75" s="1" t="s">
        <v>973</v>
      </c>
      <c r="E75" s="2">
        <v>20806</v>
      </c>
      <c r="F75" s="2">
        <v>419</v>
      </c>
      <c r="G75" s="2">
        <v>941</v>
      </c>
      <c r="H75" s="2">
        <v>1672</v>
      </c>
      <c r="I75" s="2">
        <v>2855</v>
      </c>
      <c r="J75" s="2">
        <v>5887</v>
      </c>
      <c r="K75" s="3">
        <f t="shared" si="12"/>
        <v>48.496687616782744</v>
      </c>
      <c r="L75" s="2">
        <v>419</v>
      </c>
    </row>
    <row r="76" spans="1:12" x14ac:dyDescent="0.25">
      <c r="A76" s="1" t="s">
        <v>155</v>
      </c>
      <c r="B76" s="1" t="s">
        <v>438</v>
      </c>
      <c r="C76" s="1" t="s">
        <v>781</v>
      </c>
      <c r="D76" s="1" t="s">
        <v>1125</v>
      </c>
      <c r="E76" s="2">
        <v>20807</v>
      </c>
      <c r="F76" s="2">
        <v>144</v>
      </c>
      <c r="G76" s="2">
        <v>309</v>
      </c>
      <c r="H76" s="2">
        <v>986</v>
      </c>
      <c r="I76" s="2">
        <v>1123</v>
      </c>
      <c r="J76" s="2">
        <v>2562</v>
      </c>
      <c r="K76" s="3">
        <f t="shared" si="12"/>
        <v>43.832943013270878</v>
      </c>
      <c r="L76" s="2">
        <v>144</v>
      </c>
    </row>
    <row r="77" spans="1:12" x14ac:dyDescent="0.25">
      <c r="A77" s="1" t="s">
        <v>69</v>
      </c>
      <c r="B77" s="1" t="s">
        <v>272</v>
      </c>
      <c r="C77" s="1" t="s">
        <v>575</v>
      </c>
      <c r="D77" s="1" t="s">
        <v>919</v>
      </c>
      <c r="E77" s="2">
        <v>20901</v>
      </c>
      <c r="F77" s="2">
        <v>223</v>
      </c>
      <c r="G77" s="2">
        <v>620</v>
      </c>
      <c r="H77" s="2">
        <v>1336</v>
      </c>
      <c r="I77" s="2">
        <v>2255</v>
      </c>
      <c r="J77" s="2">
        <v>4434</v>
      </c>
      <c r="K77" s="3">
        <f t="shared" si="12"/>
        <v>50.857013982859719</v>
      </c>
      <c r="L77" s="2">
        <v>223</v>
      </c>
    </row>
    <row r="78" spans="1:12" x14ac:dyDescent="0.25">
      <c r="A78" s="1" t="s">
        <v>18</v>
      </c>
      <c r="B78" s="1" t="s">
        <v>195</v>
      </c>
      <c r="C78" s="1" t="s">
        <v>481</v>
      </c>
      <c r="D78" s="1" t="s">
        <v>825</v>
      </c>
      <c r="E78" s="2">
        <v>20902</v>
      </c>
      <c r="F78" s="2">
        <v>430</v>
      </c>
      <c r="G78" s="2">
        <v>1225</v>
      </c>
      <c r="H78" s="2">
        <v>2874</v>
      </c>
      <c r="I78" s="2">
        <v>2109</v>
      </c>
      <c r="J78" s="2">
        <v>6638</v>
      </c>
      <c r="K78" s="3">
        <f t="shared" si="12"/>
        <v>31.77161795721603</v>
      </c>
      <c r="L78" s="2">
        <v>430</v>
      </c>
    </row>
    <row r="79" spans="1:12" x14ac:dyDescent="0.25">
      <c r="A79" s="1" t="s">
        <v>88</v>
      </c>
      <c r="B79" s="1" t="s">
        <v>297</v>
      </c>
      <c r="C79" s="1" t="s">
        <v>603</v>
      </c>
      <c r="D79" s="1" t="s">
        <v>947</v>
      </c>
      <c r="E79" s="2">
        <v>20903</v>
      </c>
      <c r="F79" s="2">
        <v>581</v>
      </c>
      <c r="G79" s="2">
        <v>832</v>
      </c>
      <c r="H79" s="2">
        <v>1842</v>
      </c>
      <c r="I79" s="2">
        <v>887</v>
      </c>
      <c r="J79" s="2">
        <v>4142</v>
      </c>
      <c r="K79" s="3">
        <f t="shared" si="12"/>
        <v>21.41477547078706</v>
      </c>
      <c r="L79" s="2">
        <v>581</v>
      </c>
    </row>
    <row r="80" spans="1:12" x14ac:dyDescent="0.25">
      <c r="A80" s="1" t="s">
        <v>93</v>
      </c>
      <c r="B80" s="1" t="s">
        <v>305</v>
      </c>
      <c r="C80" s="1" t="s">
        <v>614</v>
      </c>
      <c r="D80" s="1" t="s">
        <v>958</v>
      </c>
      <c r="E80" s="2">
        <v>20904</v>
      </c>
      <c r="F80" s="2">
        <v>210</v>
      </c>
      <c r="G80" s="2">
        <v>426</v>
      </c>
      <c r="H80" s="2">
        <v>751</v>
      </c>
      <c r="I80" s="2">
        <v>390</v>
      </c>
      <c r="J80" s="2">
        <v>1777</v>
      </c>
      <c r="K80" s="3">
        <f t="shared" si="12"/>
        <v>21.947101857062464</v>
      </c>
      <c r="L80" s="2">
        <v>210</v>
      </c>
    </row>
    <row r="81" spans="1:12" x14ac:dyDescent="0.25">
      <c r="A81" s="1" t="s">
        <v>18</v>
      </c>
      <c r="B81" s="1" t="s">
        <v>195</v>
      </c>
      <c r="C81" s="1" t="s">
        <v>482</v>
      </c>
      <c r="D81" s="1" t="s">
        <v>826</v>
      </c>
      <c r="E81" s="2">
        <v>20905</v>
      </c>
      <c r="F81" s="2">
        <v>348</v>
      </c>
      <c r="G81" s="2">
        <v>881</v>
      </c>
      <c r="H81" s="2">
        <v>2549</v>
      </c>
      <c r="I81" s="2">
        <v>1114</v>
      </c>
      <c r="J81" s="2">
        <v>4892</v>
      </c>
      <c r="K81" s="3">
        <f t="shared" si="12"/>
        <v>22.771872444807851</v>
      </c>
      <c r="L81" s="2">
        <v>348</v>
      </c>
    </row>
    <row r="82" spans="1:12" x14ac:dyDescent="0.25">
      <c r="A82" s="1" t="s">
        <v>37</v>
      </c>
      <c r="B82" s="1" t="s">
        <v>222</v>
      </c>
      <c r="C82" s="1" t="s">
        <v>514</v>
      </c>
      <c r="D82" s="1" t="s">
        <v>858</v>
      </c>
      <c r="E82" s="2">
        <v>21001</v>
      </c>
      <c r="F82" s="2">
        <v>1034</v>
      </c>
      <c r="G82" s="2">
        <v>1889</v>
      </c>
      <c r="H82" s="2">
        <v>2565</v>
      </c>
      <c r="I82" s="2">
        <v>1656</v>
      </c>
      <c r="J82" s="2">
        <v>7144</v>
      </c>
      <c r="K82" s="3">
        <f t="shared" si="12"/>
        <v>23.180291153415453</v>
      </c>
      <c r="L82" s="2">
        <v>1034</v>
      </c>
    </row>
    <row r="83" spans="1:12" x14ac:dyDescent="0.25">
      <c r="A83" s="1" t="s">
        <v>93</v>
      </c>
      <c r="B83" s="1" t="s">
        <v>309</v>
      </c>
      <c r="C83" s="1" t="s">
        <v>619</v>
      </c>
      <c r="D83" s="1" t="s">
        <v>963</v>
      </c>
      <c r="E83" s="2">
        <v>21002</v>
      </c>
      <c r="F83" s="2">
        <v>290</v>
      </c>
      <c r="G83" s="2">
        <v>620</v>
      </c>
      <c r="H83" s="2">
        <v>1685</v>
      </c>
      <c r="I83" s="2">
        <v>1839</v>
      </c>
      <c r="J83" s="2">
        <v>4434</v>
      </c>
      <c r="K83" s="3">
        <f t="shared" si="12"/>
        <v>41.474966170500679</v>
      </c>
      <c r="L83" s="2">
        <v>290</v>
      </c>
    </row>
    <row r="84" spans="1:12" x14ac:dyDescent="0.25">
      <c r="A84" s="1" t="s">
        <v>37</v>
      </c>
      <c r="B84" s="1" t="s">
        <v>222</v>
      </c>
      <c r="C84" s="1" t="s">
        <v>513</v>
      </c>
      <c r="D84" s="1" t="s">
        <v>857</v>
      </c>
      <c r="E84" s="2">
        <v>21003</v>
      </c>
      <c r="F84" s="2">
        <v>306</v>
      </c>
      <c r="G84" s="2">
        <v>521</v>
      </c>
      <c r="H84" s="2">
        <v>1993</v>
      </c>
      <c r="I84" s="2">
        <v>2989</v>
      </c>
      <c r="J84" s="2">
        <v>5809</v>
      </c>
      <c r="K84" s="3">
        <f t="shared" si="12"/>
        <v>51.454639352728528</v>
      </c>
      <c r="L84" s="2">
        <v>306</v>
      </c>
    </row>
    <row r="85" spans="1:12" x14ac:dyDescent="0.25">
      <c r="A85" s="1" t="s">
        <v>18</v>
      </c>
      <c r="B85" s="1" t="s">
        <v>196</v>
      </c>
      <c r="C85" s="1" t="s">
        <v>483</v>
      </c>
      <c r="D85" s="1" t="s">
        <v>827</v>
      </c>
      <c r="E85" s="2">
        <v>21004</v>
      </c>
      <c r="F85" s="2">
        <v>540</v>
      </c>
      <c r="G85" s="2">
        <v>1419</v>
      </c>
      <c r="H85" s="2">
        <v>3755</v>
      </c>
      <c r="I85" s="2">
        <v>2156</v>
      </c>
      <c r="J85" s="2">
        <v>7870</v>
      </c>
      <c r="K85" s="3">
        <f t="shared" si="12"/>
        <v>27.395171537484114</v>
      </c>
      <c r="L85" s="2">
        <v>540</v>
      </c>
    </row>
    <row r="86" spans="1:12" x14ac:dyDescent="0.25">
      <c r="A86" s="1" t="s">
        <v>18</v>
      </c>
      <c r="B86" s="1" t="s">
        <v>196</v>
      </c>
      <c r="C86" s="1" t="s">
        <v>484</v>
      </c>
      <c r="D86" s="1" t="s">
        <v>828</v>
      </c>
      <c r="E86" s="2">
        <v>21005</v>
      </c>
      <c r="F86" s="2">
        <v>901</v>
      </c>
      <c r="G86" s="2">
        <v>1115</v>
      </c>
      <c r="H86" s="2">
        <v>1003</v>
      </c>
      <c r="I86" s="2">
        <v>436</v>
      </c>
      <c r="J86" s="2">
        <v>3455</v>
      </c>
      <c r="K86" s="3">
        <f t="shared" si="12"/>
        <v>12.619392185238784</v>
      </c>
      <c r="L86" s="2">
        <v>901</v>
      </c>
    </row>
    <row r="87" spans="1:12" x14ac:dyDescent="0.25">
      <c r="A87" s="1" t="s">
        <v>93</v>
      </c>
      <c r="B87" s="1" t="s">
        <v>309</v>
      </c>
      <c r="C87" s="1" t="s">
        <v>618</v>
      </c>
      <c r="D87" s="1" t="s">
        <v>962</v>
      </c>
      <c r="E87" s="2">
        <v>21006</v>
      </c>
      <c r="F87" s="2">
        <v>84</v>
      </c>
      <c r="G87" s="2">
        <v>275</v>
      </c>
      <c r="H87" s="2">
        <v>586</v>
      </c>
      <c r="I87" s="2">
        <v>926</v>
      </c>
      <c r="J87" s="2">
        <v>1871</v>
      </c>
      <c r="K87" s="3">
        <f t="shared" si="12"/>
        <v>49.492250133618384</v>
      </c>
      <c r="L87" s="2">
        <v>84</v>
      </c>
    </row>
    <row r="88" spans="1:12" x14ac:dyDescent="0.25">
      <c r="A88" s="1" t="s">
        <v>37</v>
      </c>
      <c r="B88" s="1" t="s">
        <v>223</v>
      </c>
      <c r="C88" s="1" t="s">
        <v>516</v>
      </c>
      <c r="D88" s="1" t="s">
        <v>860</v>
      </c>
      <c r="E88" s="2">
        <v>21101</v>
      </c>
      <c r="F88" s="2">
        <v>195</v>
      </c>
      <c r="G88" s="2">
        <v>593</v>
      </c>
      <c r="H88" s="2">
        <v>2409</v>
      </c>
      <c r="I88" s="2">
        <v>4017</v>
      </c>
      <c r="J88" s="2">
        <v>7214</v>
      </c>
      <c r="K88" s="3">
        <f t="shared" si="12"/>
        <v>55.683393401718881</v>
      </c>
      <c r="L88" s="2">
        <v>195</v>
      </c>
    </row>
    <row r="89" spans="1:12" x14ac:dyDescent="0.25">
      <c r="A89" s="1" t="s">
        <v>37</v>
      </c>
      <c r="B89" s="1" t="s">
        <v>223</v>
      </c>
      <c r="C89" s="1" t="s">
        <v>515</v>
      </c>
      <c r="D89" s="1" t="s">
        <v>859</v>
      </c>
      <c r="E89" s="2">
        <v>21102</v>
      </c>
      <c r="F89" s="2">
        <v>552</v>
      </c>
      <c r="G89" s="2">
        <v>1630</v>
      </c>
      <c r="H89" s="2">
        <v>3242</v>
      </c>
      <c r="I89" s="2">
        <v>4034</v>
      </c>
      <c r="J89" s="2">
        <v>9458</v>
      </c>
      <c r="K89" s="3">
        <f t="shared" si="12"/>
        <v>42.651723408754492</v>
      </c>
      <c r="L89" s="2">
        <v>552</v>
      </c>
    </row>
    <row r="90" spans="1:12" x14ac:dyDescent="0.25">
      <c r="A90" s="1" t="s">
        <v>93</v>
      </c>
      <c r="B90" s="1" t="s">
        <v>313</v>
      </c>
      <c r="C90" s="1" t="s">
        <v>626</v>
      </c>
      <c r="D90" s="1" t="s">
        <v>970</v>
      </c>
      <c r="E90" s="2">
        <v>21103</v>
      </c>
      <c r="F90" s="2">
        <v>95</v>
      </c>
      <c r="G90" s="2">
        <v>243</v>
      </c>
      <c r="H90" s="2">
        <v>593</v>
      </c>
      <c r="I90" s="2">
        <v>2067</v>
      </c>
      <c r="J90" s="2">
        <v>2998</v>
      </c>
      <c r="K90" s="3">
        <f t="shared" si="12"/>
        <v>68.945963975983986</v>
      </c>
      <c r="L90" s="2">
        <v>95</v>
      </c>
    </row>
    <row r="91" spans="1:12" x14ac:dyDescent="0.25">
      <c r="A91" s="1" t="s">
        <v>108</v>
      </c>
      <c r="B91" s="1" t="s">
        <v>346</v>
      </c>
      <c r="C91" s="1" t="s">
        <v>666</v>
      </c>
      <c r="D91" s="1" t="s">
        <v>1010</v>
      </c>
      <c r="E91" s="2">
        <v>21104</v>
      </c>
      <c r="F91" s="2">
        <v>1599</v>
      </c>
      <c r="G91" s="2">
        <v>2258</v>
      </c>
      <c r="H91" s="2">
        <v>3046</v>
      </c>
      <c r="I91" s="2">
        <v>4727</v>
      </c>
      <c r="J91" s="2">
        <v>11630</v>
      </c>
      <c r="K91" s="3">
        <f t="shared" si="12"/>
        <v>40.644883920894237</v>
      </c>
      <c r="L91" s="2">
        <v>1599</v>
      </c>
    </row>
    <row r="92" spans="1:12" x14ac:dyDescent="0.25">
      <c r="A92" s="1" t="s">
        <v>95</v>
      </c>
      <c r="B92" s="1" t="s">
        <v>322</v>
      </c>
      <c r="C92" s="1" t="s">
        <v>637</v>
      </c>
      <c r="D92" s="1" t="s">
        <v>981</v>
      </c>
      <c r="E92" s="2">
        <v>21105</v>
      </c>
      <c r="F92" s="2">
        <v>1767</v>
      </c>
      <c r="G92" s="2">
        <v>4034</v>
      </c>
      <c r="H92" s="2">
        <v>5770</v>
      </c>
      <c r="I92" s="2">
        <v>6809</v>
      </c>
      <c r="J92" s="2">
        <v>18380</v>
      </c>
      <c r="K92" s="3">
        <f t="shared" si="12"/>
        <v>37.045701849836782</v>
      </c>
      <c r="L92" s="2">
        <v>1767</v>
      </c>
    </row>
    <row r="93" spans="1:12" x14ac:dyDescent="0.25">
      <c r="A93" s="1" t="s">
        <v>62</v>
      </c>
      <c r="B93" s="1" t="s">
        <v>263</v>
      </c>
      <c r="C93" s="1" t="s">
        <v>564</v>
      </c>
      <c r="D93" s="1" t="s">
        <v>908</v>
      </c>
      <c r="E93" s="2">
        <v>21201</v>
      </c>
      <c r="F93" s="2">
        <v>1891</v>
      </c>
      <c r="G93" s="2">
        <v>4331</v>
      </c>
      <c r="H93" s="2">
        <v>7997</v>
      </c>
      <c r="I93" s="2">
        <v>7240</v>
      </c>
      <c r="J93" s="2">
        <v>21459</v>
      </c>
      <c r="K93" s="3">
        <f t="shared" si="12"/>
        <v>33.738757630830882</v>
      </c>
      <c r="L93" s="2">
        <v>1891</v>
      </c>
    </row>
    <row r="94" spans="1:12" x14ac:dyDescent="0.25">
      <c r="A94" s="1" t="s">
        <v>93</v>
      </c>
      <c r="B94" s="1" t="s">
        <v>311</v>
      </c>
      <c r="C94" s="1" t="s">
        <v>621</v>
      </c>
      <c r="D94" s="1" t="s">
        <v>965</v>
      </c>
      <c r="E94" s="2">
        <v>21202</v>
      </c>
      <c r="F94" s="2">
        <v>910</v>
      </c>
      <c r="G94" s="2">
        <v>2082</v>
      </c>
      <c r="H94" s="2">
        <v>4068</v>
      </c>
      <c r="I94" s="2">
        <v>6553</v>
      </c>
      <c r="J94" s="2">
        <v>13613</v>
      </c>
      <c r="K94" s="3">
        <f t="shared" si="12"/>
        <v>48.137809446852273</v>
      </c>
      <c r="L94" s="2">
        <v>910</v>
      </c>
    </row>
    <row r="95" spans="1:12" x14ac:dyDescent="0.25">
      <c r="A95" s="1" t="s">
        <v>122</v>
      </c>
      <c r="B95" s="1" t="s">
        <v>370</v>
      </c>
      <c r="C95" s="1" t="s">
        <v>698</v>
      </c>
      <c r="D95" s="1" t="s">
        <v>1042</v>
      </c>
      <c r="E95" s="2">
        <v>21203</v>
      </c>
      <c r="F95" s="2">
        <v>681</v>
      </c>
      <c r="G95" s="2">
        <v>1350</v>
      </c>
      <c r="H95" s="2">
        <v>2248</v>
      </c>
      <c r="I95" s="2">
        <v>4224</v>
      </c>
      <c r="J95" s="2">
        <v>8503</v>
      </c>
      <c r="K95" s="3">
        <f t="shared" si="12"/>
        <v>49.676584734799484</v>
      </c>
      <c r="L95" s="2">
        <v>681</v>
      </c>
    </row>
    <row r="96" spans="1:12" x14ac:dyDescent="0.25">
      <c r="A96" s="1" t="s">
        <v>117</v>
      </c>
      <c r="B96" s="1" t="s">
        <v>362</v>
      </c>
      <c r="C96" s="1" t="s">
        <v>688</v>
      </c>
      <c r="D96" s="1" t="s">
        <v>1032</v>
      </c>
      <c r="E96" s="2">
        <v>21204</v>
      </c>
      <c r="F96" s="2">
        <v>215</v>
      </c>
      <c r="G96" s="2">
        <v>622</v>
      </c>
      <c r="H96" s="2">
        <v>1228</v>
      </c>
      <c r="I96" s="2">
        <v>1123</v>
      </c>
      <c r="J96" s="2">
        <v>3188</v>
      </c>
      <c r="K96" s="3">
        <f t="shared" si="12"/>
        <v>35.225846925972398</v>
      </c>
      <c r="L96" s="2">
        <v>215</v>
      </c>
    </row>
    <row r="97" spans="1:12" x14ac:dyDescent="0.25">
      <c r="A97" s="1" t="s">
        <v>90</v>
      </c>
      <c r="B97" s="1" t="s">
        <v>301</v>
      </c>
      <c r="C97" s="1" t="s">
        <v>607</v>
      </c>
      <c r="D97" s="1" t="s">
        <v>951</v>
      </c>
      <c r="E97" s="2">
        <v>21301</v>
      </c>
      <c r="F97" s="2">
        <v>1335</v>
      </c>
      <c r="G97" s="2">
        <v>2327</v>
      </c>
      <c r="H97" s="2">
        <v>4918</v>
      </c>
      <c r="I97" s="2">
        <v>4047</v>
      </c>
      <c r="J97" s="2">
        <v>12627</v>
      </c>
      <c r="K97" s="3">
        <f t="shared" si="12"/>
        <v>32.050368258493705</v>
      </c>
      <c r="L97" s="2">
        <v>1335</v>
      </c>
    </row>
    <row r="98" spans="1:12" x14ac:dyDescent="0.25">
      <c r="A98" s="1" t="s">
        <v>10</v>
      </c>
      <c r="B98" s="1" t="s">
        <v>185</v>
      </c>
      <c r="C98" s="1" t="s">
        <v>471</v>
      </c>
      <c r="D98" s="1" t="s">
        <v>815</v>
      </c>
      <c r="E98" s="2">
        <v>21302</v>
      </c>
      <c r="F98" s="2">
        <v>353</v>
      </c>
      <c r="G98" s="2">
        <v>703</v>
      </c>
      <c r="H98" s="2">
        <v>1166</v>
      </c>
      <c r="I98" s="2">
        <v>1699</v>
      </c>
      <c r="J98" s="2">
        <v>3921</v>
      </c>
      <c r="K98" s="3">
        <f t="shared" si="12"/>
        <v>43.330782963529714</v>
      </c>
      <c r="L98" s="2">
        <v>353</v>
      </c>
    </row>
    <row r="99" spans="1:12" x14ac:dyDescent="0.25">
      <c r="A99" s="1" t="s">
        <v>95</v>
      </c>
      <c r="B99" s="1" t="s">
        <v>318</v>
      </c>
      <c r="C99" s="1" t="s">
        <v>633</v>
      </c>
      <c r="D99" s="1" t="s">
        <v>977</v>
      </c>
      <c r="E99" s="2">
        <v>21303</v>
      </c>
      <c r="F99" s="2">
        <v>856</v>
      </c>
      <c r="G99" s="2">
        <v>1276</v>
      </c>
      <c r="H99" s="2">
        <v>1552</v>
      </c>
      <c r="I99" s="2">
        <v>1110</v>
      </c>
      <c r="J99" s="2">
        <v>4794</v>
      </c>
      <c r="K99" s="3">
        <f t="shared" si="12"/>
        <v>23.153942428035045</v>
      </c>
      <c r="L99" s="2">
        <v>856</v>
      </c>
    </row>
    <row r="100" spans="1:12" x14ac:dyDescent="0.25">
      <c r="A100" s="1" t="s">
        <v>93</v>
      </c>
      <c r="B100" s="1" t="s">
        <v>307</v>
      </c>
      <c r="C100" s="1" t="s">
        <v>616</v>
      </c>
      <c r="D100" s="1" t="s">
        <v>960</v>
      </c>
      <c r="E100" s="2">
        <v>21304</v>
      </c>
      <c r="F100" s="2">
        <v>375</v>
      </c>
      <c r="G100" s="2">
        <v>979</v>
      </c>
      <c r="H100" s="2">
        <v>1807</v>
      </c>
      <c r="I100" s="2">
        <v>2306</v>
      </c>
      <c r="J100" s="2">
        <v>5467</v>
      </c>
      <c r="K100" s="3">
        <f t="shared" si="12"/>
        <v>42.180354856411192</v>
      </c>
      <c r="L100" s="2">
        <v>375</v>
      </c>
    </row>
    <row r="101" spans="1:12" x14ac:dyDescent="0.25">
      <c r="A101" s="1" t="s">
        <v>90</v>
      </c>
      <c r="B101" s="1" t="s">
        <v>301</v>
      </c>
      <c r="C101" s="1" t="s">
        <v>608</v>
      </c>
      <c r="D101" s="1" t="s">
        <v>952</v>
      </c>
      <c r="E101" s="2">
        <v>21305</v>
      </c>
      <c r="F101" s="2">
        <v>630</v>
      </c>
      <c r="G101" s="2">
        <v>1098</v>
      </c>
      <c r="H101" s="2">
        <v>3294</v>
      </c>
      <c r="I101" s="2">
        <v>4325</v>
      </c>
      <c r="J101" s="2">
        <v>9347</v>
      </c>
      <c r="K101" s="3">
        <f t="shared" si="12"/>
        <v>46.27153097250455</v>
      </c>
      <c r="L101" s="2">
        <v>630</v>
      </c>
    </row>
    <row r="102" spans="1:12" x14ac:dyDescent="0.25">
      <c r="A102" s="1" t="s">
        <v>90</v>
      </c>
      <c r="B102" s="1" t="s">
        <v>301</v>
      </c>
      <c r="C102" s="1" t="s">
        <v>609</v>
      </c>
      <c r="D102" s="1" t="s">
        <v>953</v>
      </c>
      <c r="E102" s="2">
        <v>21306</v>
      </c>
      <c r="F102" s="2">
        <v>563</v>
      </c>
      <c r="G102" s="2">
        <v>671</v>
      </c>
      <c r="H102" s="2">
        <v>2244</v>
      </c>
      <c r="I102" s="2">
        <v>1002</v>
      </c>
      <c r="J102" s="2">
        <v>4480</v>
      </c>
      <c r="K102" s="3">
        <f t="shared" si="12"/>
        <v>22.366071428571431</v>
      </c>
      <c r="L102" s="2">
        <v>563</v>
      </c>
    </row>
    <row r="103" spans="1:12" x14ac:dyDescent="0.25">
      <c r="A103" s="1" t="s">
        <v>80</v>
      </c>
      <c r="B103" s="1" t="s">
        <v>289</v>
      </c>
      <c r="C103" s="1" t="s">
        <v>594</v>
      </c>
      <c r="D103" s="1" t="s">
        <v>938</v>
      </c>
      <c r="E103" s="2">
        <v>21307</v>
      </c>
      <c r="F103" s="2">
        <v>98</v>
      </c>
      <c r="G103" s="2">
        <v>248</v>
      </c>
      <c r="H103" s="2">
        <v>921</v>
      </c>
      <c r="I103" s="2">
        <v>386</v>
      </c>
      <c r="J103" s="2">
        <v>1653</v>
      </c>
      <c r="K103" s="3">
        <f t="shared" si="12"/>
        <v>23.351482153660012</v>
      </c>
      <c r="L103" s="2">
        <v>98</v>
      </c>
    </row>
    <row r="104" spans="1:12" x14ac:dyDescent="0.25">
      <c r="A104" s="1" t="s">
        <v>64</v>
      </c>
      <c r="B104" s="1" t="s">
        <v>266</v>
      </c>
      <c r="C104" s="1" t="s">
        <v>567</v>
      </c>
      <c r="D104" s="1" t="s">
        <v>911</v>
      </c>
      <c r="E104" s="2">
        <v>21401</v>
      </c>
      <c r="F104" s="2">
        <v>583</v>
      </c>
      <c r="G104" s="2">
        <v>1653</v>
      </c>
      <c r="H104" s="2">
        <v>3078</v>
      </c>
      <c r="I104" s="2">
        <v>5062</v>
      </c>
      <c r="J104" s="2">
        <v>10376</v>
      </c>
      <c r="K104" s="3">
        <f t="shared" si="12"/>
        <v>48.78565921356978</v>
      </c>
      <c r="L104" s="2">
        <v>583</v>
      </c>
    </row>
    <row r="105" spans="1:12" x14ac:dyDescent="0.25">
      <c r="A105" s="1" t="s">
        <v>64</v>
      </c>
      <c r="B105" s="1" t="s">
        <v>266</v>
      </c>
      <c r="C105" s="1" t="s">
        <v>568</v>
      </c>
      <c r="D105" s="1" t="s">
        <v>912</v>
      </c>
      <c r="E105" s="2">
        <v>21402</v>
      </c>
      <c r="F105" s="2">
        <v>153</v>
      </c>
      <c r="G105" s="2">
        <v>719</v>
      </c>
      <c r="H105" s="2">
        <v>2338</v>
      </c>
      <c r="I105" s="2">
        <v>5703</v>
      </c>
      <c r="J105" s="2">
        <v>8913</v>
      </c>
      <c r="K105" s="3">
        <f t="shared" si="12"/>
        <v>63.985190171659376</v>
      </c>
      <c r="L105" s="2">
        <v>153</v>
      </c>
    </row>
    <row r="106" spans="1:12" x14ac:dyDescent="0.25">
      <c r="A106" s="1" t="s">
        <v>145</v>
      </c>
      <c r="B106" s="1" t="s">
        <v>418</v>
      </c>
      <c r="C106" s="1" t="s">
        <v>758</v>
      </c>
      <c r="D106" s="1" t="s">
        <v>1102</v>
      </c>
      <c r="E106" s="2">
        <v>21501</v>
      </c>
      <c r="F106" s="2">
        <v>282</v>
      </c>
      <c r="G106" s="2">
        <v>640</v>
      </c>
      <c r="H106" s="2">
        <v>1714</v>
      </c>
      <c r="I106" s="2">
        <v>670</v>
      </c>
      <c r="J106" s="2">
        <v>3306</v>
      </c>
      <c r="K106" s="3">
        <f t="shared" si="12"/>
        <v>20.26618269812462</v>
      </c>
      <c r="L106" s="2">
        <v>282</v>
      </c>
    </row>
    <row r="107" spans="1:12" x14ac:dyDescent="0.25">
      <c r="A107" s="1" t="s">
        <v>110</v>
      </c>
      <c r="B107" s="1" t="s">
        <v>349</v>
      </c>
      <c r="C107" s="1" t="s">
        <v>669</v>
      </c>
      <c r="D107" s="1" t="s">
        <v>1013</v>
      </c>
      <c r="E107" s="2">
        <v>21502</v>
      </c>
      <c r="F107" s="2">
        <v>116</v>
      </c>
      <c r="G107" s="2">
        <v>154</v>
      </c>
      <c r="H107" s="2">
        <v>732</v>
      </c>
      <c r="I107" s="2">
        <v>1847</v>
      </c>
      <c r="J107" s="2">
        <v>2849</v>
      </c>
      <c r="K107" s="3">
        <f t="shared" si="12"/>
        <v>64.829764829764827</v>
      </c>
      <c r="L107" s="2">
        <v>116</v>
      </c>
    </row>
    <row r="108" spans="1:12" x14ac:dyDescent="0.25">
      <c r="A108" s="1" t="s">
        <v>95</v>
      </c>
      <c r="B108" s="1" t="s">
        <v>325</v>
      </c>
      <c r="C108" s="1" t="s">
        <v>642</v>
      </c>
      <c r="D108" s="1" t="s">
        <v>986</v>
      </c>
      <c r="E108" s="2">
        <v>21601</v>
      </c>
      <c r="F108" s="2">
        <v>315</v>
      </c>
      <c r="G108" s="2">
        <v>965</v>
      </c>
      <c r="H108" s="2">
        <v>1866</v>
      </c>
      <c r="I108" s="2">
        <v>1876</v>
      </c>
      <c r="J108" s="2">
        <v>5022</v>
      </c>
      <c r="K108" s="3">
        <f t="shared" si="12"/>
        <v>37.35563520509757</v>
      </c>
      <c r="L108" s="2">
        <v>315</v>
      </c>
    </row>
    <row r="109" spans="1:12" x14ac:dyDescent="0.25">
      <c r="A109" s="1" t="s">
        <v>108</v>
      </c>
      <c r="B109" s="1" t="s">
        <v>344</v>
      </c>
      <c r="C109" s="1" t="s">
        <v>664</v>
      </c>
      <c r="D109" s="1" t="s">
        <v>1008</v>
      </c>
      <c r="E109" s="2">
        <v>21602</v>
      </c>
      <c r="F109" s="2">
        <v>177</v>
      </c>
      <c r="G109" s="2">
        <v>318</v>
      </c>
      <c r="H109" s="2">
        <v>516</v>
      </c>
      <c r="I109" s="2">
        <v>645</v>
      </c>
      <c r="J109" s="2">
        <v>1656</v>
      </c>
      <c r="K109" s="3">
        <f t="shared" si="12"/>
        <v>38.949275362318843</v>
      </c>
      <c r="L109" s="2">
        <v>177</v>
      </c>
    </row>
    <row r="110" spans="1:12" x14ac:dyDescent="0.25">
      <c r="A110" s="1" t="s">
        <v>97</v>
      </c>
      <c r="B110" s="1" t="s">
        <v>327</v>
      </c>
      <c r="C110" s="1" t="s">
        <v>644</v>
      </c>
      <c r="D110" s="1" t="s">
        <v>988</v>
      </c>
      <c r="E110" s="2">
        <v>21701</v>
      </c>
      <c r="F110" s="2">
        <v>490</v>
      </c>
      <c r="G110" s="2">
        <v>900</v>
      </c>
      <c r="H110" s="2">
        <v>1788</v>
      </c>
      <c r="I110" s="2">
        <v>3639</v>
      </c>
      <c r="J110" s="2">
        <v>6817</v>
      </c>
      <c r="K110" s="3">
        <f t="shared" si="12"/>
        <v>53.381252750476747</v>
      </c>
      <c r="L110" s="2">
        <v>490</v>
      </c>
    </row>
    <row r="111" spans="1:12" x14ac:dyDescent="0.25">
      <c r="A111" s="1" t="s">
        <v>104</v>
      </c>
      <c r="B111" s="1" t="s">
        <v>336</v>
      </c>
      <c r="C111" s="1" t="s">
        <v>655</v>
      </c>
      <c r="D111" s="1" t="s">
        <v>999</v>
      </c>
      <c r="E111" s="2">
        <v>21702</v>
      </c>
      <c r="F111" s="2">
        <v>228</v>
      </c>
      <c r="G111" s="2">
        <v>527</v>
      </c>
      <c r="H111" s="2">
        <v>1304</v>
      </c>
      <c r="I111" s="2">
        <v>1572</v>
      </c>
      <c r="J111" s="2">
        <v>3631</v>
      </c>
      <c r="K111" s="3">
        <f t="shared" si="12"/>
        <v>43.293858441200769</v>
      </c>
      <c r="L111" s="2">
        <v>228</v>
      </c>
    </row>
    <row r="112" spans="1:12" x14ac:dyDescent="0.25">
      <c r="A112" s="1" t="s">
        <v>62</v>
      </c>
      <c r="B112" s="1" t="s">
        <v>262</v>
      </c>
      <c r="C112" s="1" t="s">
        <v>563</v>
      </c>
      <c r="D112" s="1" t="s">
        <v>907</v>
      </c>
      <c r="E112" s="2">
        <v>21703</v>
      </c>
      <c r="F112" s="2">
        <v>142</v>
      </c>
      <c r="G112" s="2">
        <v>345</v>
      </c>
      <c r="H112" s="2">
        <v>669</v>
      </c>
      <c r="I112" s="2">
        <v>318</v>
      </c>
      <c r="J112" s="2">
        <v>1474</v>
      </c>
      <c r="K112" s="3">
        <f t="shared" si="12"/>
        <v>21.573948439620079</v>
      </c>
      <c r="L112" s="2">
        <v>142</v>
      </c>
    </row>
    <row r="113" spans="1:12" x14ac:dyDescent="0.25">
      <c r="A113" s="1" t="s">
        <v>12</v>
      </c>
      <c r="B113" s="1" t="s">
        <v>188</v>
      </c>
      <c r="C113" s="1" t="s">
        <v>474</v>
      </c>
      <c r="D113" s="1" t="s">
        <v>818</v>
      </c>
      <c r="E113" s="2">
        <v>21801</v>
      </c>
      <c r="F113" s="2">
        <v>354</v>
      </c>
      <c r="G113" s="2">
        <v>926</v>
      </c>
      <c r="H113" s="2">
        <v>1349</v>
      </c>
      <c r="I113" s="2">
        <v>855</v>
      </c>
      <c r="J113" s="2">
        <v>3484</v>
      </c>
      <c r="K113" s="3">
        <f t="shared" si="12"/>
        <v>24.540757749712974</v>
      </c>
      <c r="L113" s="2">
        <v>354</v>
      </c>
    </row>
    <row r="114" spans="1:12" x14ac:dyDescent="0.25">
      <c r="A114" s="1" t="s">
        <v>10</v>
      </c>
      <c r="B114" s="1" t="s">
        <v>184</v>
      </c>
      <c r="C114" s="1" t="s">
        <v>470</v>
      </c>
      <c r="D114" s="1" t="s">
        <v>814</v>
      </c>
      <c r="E114" s="2">
        <v>21802</v>
      </c>
      <c r="F114" s="2">
        <v>240</v>
      </c>
      <c r="G114" s="2">
        <v>593</v>
      </c>
      <c r="H114" s="2">
        <v>969</v>
      </c>
      <c r="I114" s="2">
        <v>1086</v>
      </c>
      <c r="J114" s="2">
        <v>2888</v>
      </c>
      <c r="K114" s="3">
        <f t="shared" si="12"/>
        <v>37.603878116343495</v>
      </c>
      <c r="L114" s="2">
        <v>240</v>
      </c>
    </row>
    <row r="115" spans="1:12" x14ac:dyDescent="0.25">
      <c r="A115" s="1" t="s">
        <v>8</v>
      </c>
      <c r="B115" s="1" t="s">
        <v>182</v>
      </c>
      <c r="C115" s="1" t="s">
        <v>468</v>
      </c>
      <c r="D115" s="1" t="s">
        <v>812</v>
      </c>
      <c r="E115" s="2">
        <v>21803</v>
      </c>
      <c r="F115" s="2">
        <v>107</v>
      </c>
      <c r="G115" s="2">
        <v>335</v>
      </c>
      <c r="H115" s="2">
        <v>332</v>
      </c>
      <c r="I115" s="2">
        <v>107</v>
      </c>
      <c r="J115" s="2">
        <v>881</v>
      </c>
      <c r="K115" s="3">
        <f t="shared" si="12"/>
        <v>12.145289443813848</v>
      </c>
      <c r="L115" s="2">
        <v>107</v>
      </c>
    </row>
    <row r="116" spans="1:12" x14ac:dyDescent="0.25">
      <c r="A116" s="1" t="s">
        <v>90</v>
      </c>
      <c r="B116" s="1" t="s">
        <v>302</v>
      </c>
      <c r="C116" s="1" t="s">
        <v>610</v>
      </c>
      <c r="D116" s="1" t="s">
        <v>954</v>
      </c>
      <c r="E116" s="2">
        <v>21901</v>
      </c>
      <c r="F116" s="2">
        <v>261</v>
      </c>
      <c r="G116" s="2">
        <v>532</v>
      </c>
      <c r="H116" s="2">
        <v>940</v>
      </c>
      <c r="I116" s="2">
        <v>1223</v>
      </c>
      <c r="J116" s="2">
        <v>2956</v>
      </c>
      <c r="K116" s="3">
        <f t="shared" si="12"/>
        <v>41.373477672530449</v>
      </c>
      <c r="L116" s="2">
        <v>261</v>
      </c>
    </row>
    <row r="117" spans="1:12" x14ac:dyDescent="0.25">
      <c r="A117" s="1" t="s">
        <v>88</v>
      </c>
      <c r="B117" s="1" t="s">
        <v>296</v>
      </c>
      <c r="C117" s="1" t="s">
        <v>602</v>
      </c>
      <c r="D117" s="1" t="s">
        <v>946</v>
      </c>
      <c r="E117" s="2">
        <v>21902</v>
      </c>
      <c r="F117" s="2">
        <v>97</v>
      </c>
      <c r="G117" s="2">
        <v>263</v>
      </c>
      <c r="H117" s="2">
        <v>580</v>
      </c>
      <c r="I117" s="2">
        <v>755</v>
      </c>
      <c r="J117" s="2">
        <v>1695</v>
      </c>
      <c r="K117" s="3">
        <f t="shared" si="12"/>
        <v>44.54277286135693</v>
      </c>
      <c r="L117" s="2">
        <v>97</v>
      </c>
    </row>
    <row r="118" spans="1:12" x14ac:dyDescent="0.25">
      <c r="A118" s="1" t="s">
        <v>120</v>
      </c>
      <c r="B118" s="1" t="s">
        <v>366</v>
      </c>
      <c r="C118" s="1" t="s">
        <v>693</v>
      </c>
      <c r="D118" s="1" t="s">
        <v>1037</v>
      </c>
      <c r="E118" s="2">
        <v>22001</v>
      </c>
      <c r="F118" s="2">
        <v>1250</v>
      </c>
      <c r="G118" s="2">
        <v>2820</v>
      </c>
      <c r="H118" s="2">
        <v>6345</v>
      </c>
      <c r="I118" s="2">
        <v>10666</v>
      </c>
      <c r="J118" s="2">
        <v>21081</v>
      </c>
      <c r="K118" s="3">
        <f t="shared" si="12"/>
        <v>50.595322802523604</v>
      </c>
      <c r="L118" s="2">
        <v>1250</v>
      </c>
    </row>
    <row r="119" spans="1:12" x14ac:dyDescent="0.25">
      <c r="A119" s="1" t="s">
        <v>120</v>
      </c>
      <c r="B119" s="1" t="s">
        <v>366</v>
      </c>
      <c r="C119" s="1" t="s">
        <v>692</v>
      </c>
      <c r="D119" s="1" t="s">
        <v>1036</v>
      </c>
      <c r="E119" s="2">
        <v>22002</v>
      </c>
      <c r="F119" s="2">
        <v>691</v>
      </c>
      <c r="G119" s="2">
        <v>1057</v>
      </c>
      <c r="H119" s="2">
        <v>967</v>
      </c>
      <c r="I119" s="2">
        <v>1776</v>
      </c>
      <c r="J119" s="2">
        <v>4491</v>
      </c>
      <c r="K119" s="3">
        <f t="shared" si="12"/>
        <v>39.545758183032731</v>
      </c>
      <c r="L119" s="2">
        <v>691</v>
      </c>
    </row>
    <row r="120" spans="1:12" x14ac:dyDescent="0.25">
      <c r="A120" s="1" t="s">
        <v>86</v>
      </c>
      <c r="B120" s="1" t="s">
        <v>295</v>
      </c>
      <c r="C120" s="1" t="s">
        <v>600</v>
      </c>
      <c r="D120" s="1" t="s">
        <v>944</v>
      </c>
      <c r="E120" s="2">
        <v>30101</v>
      </c>
      <c r="F120" s="2">
        <v>4032</v>
      </c>
      <c r="G120" s="2">
        <v>38398</v>
      </c>
      <c r="H120" s="2">
        <v>41294</v>
      </c>
      <c r="I120" s="2">
        <v>128549</v>
      </c>
      <c r="J120" s="2">
        <v>212273</v>
      </c>
      <c r="K120" s="3">
        <f t="shared" si="12"/>
        <v>60.558337612414206</v>
      </c>
      <c r="L120" s="2">
        <v>4032</v>
      </c>
    </row>
    <row r="121" spans="1:12" x14ac:dyDescent="0.25">
      <c r="A121" s="1" t="s">
        <v>3</v>
      </c>
      <c r="B121" s="1" t="s">
        <v>173</v>
      </c>
      <c r="C121" s="1" t="s">
        <v>459</v>
      </c>
      <c r="D121" s="1" t="s">
        <v>803</v>
      </c>
      <c r="E121" s="2">
        <v>30201</v>
      </c>
      <c r="F121" s="2">
        <v>569</v>
      </c>
      <c r="G121" s="2">
        <v>1199</v>
      </c>
      <c r="H121" s="2">
        <v>1604</v>
      </c>
      <c r="I121" s="2">
        <v>3751</v>
      </c>
      <c r="J121" s="2">
        <v>7123</v>
      </c>
      <c r="K121" s="3">
        <f t="shared" si="12"/>
        <v>52.660395900603675</v>
      </c>
      <c r="L121" s="2">
        <v>569</v>
      </c>
    </row>
    <row r="122" spans="1:12" x14ac:dyDescent="0.25">
      <c r="A122" s="1" t="s">
        <v>159</v>
      </c>
      <c r="B122" s="1" t="s">
        <v>444</v>
      </c>
      <c r="C122" s="1" t="s">
        <v>788</v>
      </c>
      <c r="D122" s="1" t="s">
        <v>1132</v>
      </c>
      <c r="E122" s="2">
        <v>30202</v>
      </c>
      <c r="F122" s="2">
        <v>130</v>
      </c>
      <c r="G122" s="2">
        <v>344</v>
      </c>
      <c r="H122" s="2">
        <v>571</v>
      </c>
      <c r="I122" s="2">
        <v>708</v>
      </c>
      <c r="J122" s="2">
        <v>1753</v>
      </c>
      <c r="K122" s="3">
        <f t="shared" si="12"/>
        <v>40.387906446092416</v>
      </c>
      <c r="L122" s="2">
        <v>130</v>
      </c>
    </row>
    <row r="123" spans="1:12" x14ac:dyDescent="0.25">
      <c r="A123" s="1" t="s">
        <v>33</v>
      </c>
      <c r="B123" s="1" t="s">
        <v>217</v>
      </c>
      <c r="C123" s="1" t="s">
        <v>507</v>
      </c>
      <c r="D123" s="1" t="s">
        <v>851</v>
      </c>
      <c r="E123" s="2">
        <v>30203</v>
      </c>
      <c r="F123" s="2">
        <v>67</v>
      </c>
      <c r="G123" s="2">
        <v>153</v>
      </c>
      <c r="H123" s="2">
        <v>441</v>
      </c>
      <c r="I123" s="2">
        <v>1259</v>
      </c>
      <c r="J123" s="2">
        <v>1920</v>
      </c>
      <c r="K123" s="3">
        <f t="shared" si="12"/>
        <v>65.572916666666671</v>
      </c>
      <c r="L123" s="2">
        <v>67</v>
      </c>
    </row>
    <row r="124" spans="1:12" x14ac:dyDescent="0.25">
      <c r="A124" s="1" t="s">
        <v>138</v>
      </c>
      <c r="B124" s="1" t="s">
        <v>409</v>
      </c>
      <c r="C124" s="1" t="s">
        <v>747</v>
      </c>
      <c r="D124" s="1" t="s">
        <v>1091</v>
      </c>
      <c r="E124" s="2">
        <v>30301</v>
      </c>
      <c r="F124" s="2">
        <v>1032</v>
      </c>
      <c r="G124" s="2">
        <v>1997</v>
      </c>
      <c r="H124" s="2">
        <v>3248</v>
      </c>
      <c r="I124" s="2">
        <v>2165</v>
      </c>
      <c r="J124" s="2">
        <v>8442</v>
      </c>
      <c r="K124" s="3">
        <f t="shared" si="12"/>
        <v>25.645581615730865</v>
      </c>
      <c r="L124" s="2">
        <v>1032</v>
      </c>
    </row>
    <row r="125" spans="1:12" x14ac:dyDescent="0.25">
      <c r="A125" s="1" t="s">
        <v>60</v>
      </c>
      <c r="B125" s="1" t="s">
        <v>259</v>
      </c>
      <c r="C125" s="1" t="s">
        <v>560</v>
      </c>
      <c r="D125" s="1" t="s">
        <v>904</v>
      </c>
      <c r="E125" s="2">
        <v>30302</v>
      </c>
      <c r="F125" s="2">
        <v>550</v>
      </c>
      <c r="G125" s="2">
        <v>1355</v>
      </c>
      <c r="H125" s="2">
        <v>1535</v>
      </c>
      <c r="I125" s="2">
        <v>1641</v>
      </c>
      <c r="J125" s="2">
        <v>5081</v>
      </c>
      <c r="K125" s="3">
        <f t="shared" si="12"/>
        <v>32.296791970084634</v>
      </c>
      <c r="L125" s="2">
        <v>550</v>
      </c>
    </row>
    <row r="126" spans="1:12" x14ac:dyDescent="0.25">
      <c r="A126" s="1" t="s">
        <v>127</v>
      </c>
      <c r="B126" s="1" t="s">
        <v>377</v>
      </c>
      <c r="C126" s="1" t="s">
        <v>707</v>
      </c>
      <c r="D126" s="1" t="s">
        <v>1051</v>
      </c>
      <c r="E126" s="2">
        <v>30303</v>
      </c>
      <c r="F126" s="2">
        <v>1664</v>
      </c>
      <c r="G126" s="2">
        <v>2174</v>
      </c>
      <c r="H126" s="2">
        <v>2315</v>
      </c>
      <c r="I126" s="2">
        <v>1358</v>
      </c>
      <c r="J126" s="2">
        <v>7511</v>
      </c>
      <c r="K126" s="3">
        <f t="shared" si="12"/>
        <v>18.080149114631876</v>
      </c>
      <c r="L126" s="2">
        <v>1664</v>
      </c>
    </row>
    <row r="127" spans="1:12" x14ac:dyDescent="0.25">
      <c r="A127" s="1" t="s">
        <v>49</v>
      </c>
      <c r="B127" s="1" t="s">
        <v>242</v>
      </c>
      <c r="C127" s="1" t="s">
        <v>540</v>
      </c>
      <c r="D127" s="1" t="s">
        <v>884</v>
      </c>
      <c r="E127" s="2">
        <v>30401</v>
      </c>
      <c r="F127" s="2">
        <v>496</v>
      </c>
      <c r="G127" s="2">
        <v>540</v>
      </c>
      <c r="H127" s="2">
        <v>854</v>
      </c>
      <c r="I127" s="2">
        <v>2140</v>
      </c>
      <c r="J127" s="2">
        <v>4030</v>
      </c>
      <c r="K127" s="3">
        <f t="shared" si="12"/>
        <v>53.101736972704714</v>
      </c>
      <c r="L127" s="2">
        <v>496</v>
      </c>
    </row>
    <row r="128" spans="1:12" x14ac:dyDescent="0.25">
      <c r="A128" s="1" t="s">
        <v>73</v>
      </c>
      <c r="B128" s="1" t="s">
        <v>276</v>
      </c>
      <c r="C128" s="1" t="s">
        <v>580</v>
      </c>
      <c r="D128" s="1" t="s">
        <v>924</v>
      </c>
      <c r="E128" s="2">
        <v>30402</v>
      </c>
      <c r="F128" s="2">
        <v>448</v>
      </c>
      <c r="G128" s="2">
        <v>1018</v>
      </c>
      <c r="H128" s="2">
        <v>1097</v>
      </c>
      <c r="I128" s="2">
        <v>799</v>
      </c>
      <c r="J128" s="2">
        <v>3362</v>
      </c>
      <c r="K128" s="3">
        <f t="shared" si="12"/>
        <v>23.765615704937538</v>
      </c>
      <c r="L128" s="2">
        <v>448</v>
      </c>
    </row>
    <row r="129" spans="1:12" x14ac:dyDescent="0.25">
      <c r="A129" s="1" t="s">
        <v>9</v>
      </c>
      <c r="B129" s="1" t="s">
        <v>183</v>
      </c>
      <c r="C129" s="1" t="s">
        <v>469</v>
      </c>
      <c r="D129" s="1" t="s">
        <v>813</v>
      </c>
      <c r="E129" s="2">
        <v>30403</v>
      </c>
      <c r="F129" s="2">
        <v>2606</v>
      </c>
      <c r="G129" s="2">
        <v>4261</v>
      </c>
      <c r="H129" s="2">
        <v>1424</v>
      </c>
      <c r="I129" s="2">
        <v>2557</v>
      </c>
      <c r="J129" s="2">
        <v>10848</v>
      </c>
      <c r="K129" s="3">
        <f t="shared" si="12"/>
        <v>23.571165191740413</v>
      </c>
      <c r="L129" s="2">
        <v>2606</v>
      </c>
    </row>
    <row r="130" spans="1:12" x14ac:dyDescent="0.25">
      <c r="A130" s="1" t="s">
        <v>73</v>
      </c>
      <c r="B130" s="1" t="s">
        <v>276</v>
      </c>
      <c r="C130" s="1" t="s">
        <v>579</v>
      </c>
      <c r="D130" s="1" t="s">
        <v>923</v>
      </c>
      <c r="E130" s="2">
        <v>30404</v>
      </c>
      <c r="F130" s="2">
        <v>331</v>
      </c>
      <c r="G130" s="2">
        <v>539</v>
      </c>
      <c r="H130" s="2">
        <v>529</v>
      </c>
      <c r="I130" s="2">
        <v>457</v>
      </c>
      <c r="J130" s="2">
        <v>1856</v>
      </c>
      <c r="K130" s="3">
        <f t="shared" si="12"/>
        <v>24.622844827586206</v>
      </c>
      <c r="L130" s="2">
        <v>331</v>
      </c>
    </row>
    <row r="131" spans="1:12" x14ac:dyDescent="0.25">
      <c r="A131" s="1" t="s">
        <v>89</v>
      </c>
      <c r="B131" s="1" t="s">
        <v>299</v>
      </c>
      <c r="C131" s="1" t="s">
        <v>605</v>
      </c>
      <c r="D131" s="1" t="s">
        <v>949</v>
      </c>
      <c r="E131" s="2">
        <v>30501</v>
      </c>
      <c r="F131" s="2">
        <v>147</v>
      </c>
      <c r="G131" s="2">
        <v>347</v>
      </c>
      <c r="H131" s="2">
        <v>903</v>
      </c>
      <c r="I131" s="2">
        <v>2844</v>
      </c>
      <c r="J131" s="2">
        <v>4241</v>
      </c>
      <c r="K131" s="3">
        <f t="shared" si="12"/>
        <v>67.059655741570396</v>
      </c>
      <c r="L131" s="2">
        <v>147</v>
      </c>
    </row>
    <row r="132" spans="1:12" x14ac:dyDescent="0.25">
      <c r="A132" s="1" t="s">
        <v>134</v>
      </c>
      <c r="B132" s="1" t="s">
        <v>394</v>
      </c>
      <c r="C132" s="1" t="s">
        <v>728</v>
      </c>
      <c r="D132" s="1" t="s">
        <v>1072</v>
      </c>
      <c r="E132" s="2">
        <v>30502</v>
      </c>
      <c r="F132" s="2">
        <v>254</v>
      </c>
      <c r="G132" s="2">
        <v>727</v>
      </c>
      <c r="H132" s="2">
        <v>1339</v>
      </c>
      <c r="I132" s="2">
        <v>1286</v>
      </c>
      <c r="J132" s="2">
        <v>3606</v>
      </c>
      <c r="K132" s="3">
        <f t="shared" si="12"/>
        <v>35.662784248474765</v>
      </c>
      <c r="L132" s="2">
        <v>254</v>
      </c>
    </row>
    <row r="133" spans="1:12" x14ac:dyDescent="0.25">
      <c r="A133" s="1" t="s">
        <v>15</v>
      </c>
      <c r="B133" s="1" t="s">
        <v>192</v>
      </c>
      <c r="C133" s="1" t="s">
        <v>478</v>
      </c>
      <c r="D133" s="1" t="s">
        <v>822</v>
      </c>
      <c r="E133" s="2">
        <v>30601</v>
      </c>
      <c r="F133" s="2">
        <v>523</v>
      </c>
      <c r="G133" s="2">
        <v>1169</v>
      </c>
      <c r="H133" s="2">
        <v>1541</v>
      </c>
      <c r="I133" s="2">
        <v>667</v>
      </c>
      <c r="J133" s="2">
        <v>3900</v>
      </c>
      <c r="K133" s="3">
        <f t="shared" ref="K133:K196" si="13">(I133/J133)*100</f>
        <v>17.102564102564102</v>
      </c>
      <c r="L133" s="2">
        <v>523</v>
      </c>
    </row>
    <row r="134" spans="1:12" x14ac:dyDescent="0.25">
      <c r="A134" s="1" t="s">
        <v>75</v>
      </c>
      <c r="B134" s="1" t="s">
        <v>282</v>
      </c>
      <c r="C134" s="1" t="s">
        <v>587</v>
      </c>
      <c r="D134" s="1" t="s">
        <v>931</v>
      </c>
      <c r="E134" s="2">
        <v>30602</v>
      </c>
      <c r="F134" s="2">
        <v>326</v>
      </c>
      <c r="G134" s="2">
        <v>903</v>
      </c>
      <c r="H134" s="2">
        <v>1545</v>
      </c>
      <c r="I134" s="2">
        <v>1452</v>
      </c>
      <c r="J134" s="2">
        <v>4226</v>
      </c>
      <c r="K134" s="3">
        <f t="shared" si="13"/>
        <v>34.358731661145292</v>
      </c>
      <c r="L134" s="2">
        <v>326</v>
      </c>
    </row>
    <row r="135" spans="1:12" x14ac:dyDescent="0.25">
      <c r="A135" s="1" t="s">
        <v>15</v>
      </c>
      <c r="B135" s="1" t="s">
        <v>191</v>
      </c>
      <c r="C135" s="1" t="s">
        <v>477</v>
      </c>
      <c r="D135" s="1" t="s">
        <v>821</v>
      </c>
      <c r="E135" s="2">
        <v>30701</v>
      </c>
      <c r="F135" s="2">
        <v>627</v>
      </c>
      <c r="G135" s="2">
        <v>951</v>
      </c>
      <c r="H135" s="2">
        <v>1749</v>
      </c>
      <c r="I135" s="2">
        <v>3664</v>
      </c>
      <c r="J135" s="2">
        <v>6991</v>
      </c>
      <c r="K135" s="3">
        <f t="shared" si="13"/>
        <v>52.410241739379202</v>
      </c>
      <c r="L135" s="2">
        <v>627</v>
      </c>
    </row>
    <row r="136" spans="1:12" x14ac:dyDescent="0.25">
      <c r="A136" s="1" t="s">
        <v>77</v>
      </c>
      <c r="B136" s="1" t="s">
        <v>286</v>
      </c>
      <c r="C136" s="1" t="s">
        <v>591</v>
      </c>
      <c r="D136" s="1" t="s">
        <v>935</v>
      </c>
      <c r="E136" s="2">
        <v>30702</v>
      </c>
      <c r="F136" s="2">
        <v>139</v>
      </c>
      <c r="G136" s="2">
        <v>303</v>
      </c>
      <c r="H136" s="2">
        <v>579</v>
      </c>
      <c r="I136" s="2">
        <v>1987</v>
      </c>
      <c r="J136" s="2">
        <v>3008</v>
      </c>
      <c r="K136" s="3">
        <f t="shared" si="13"/>
        <v>66.057180851063833</v>
      </c>
      <c r="L136" s="2">
        <v>139</v>
      </c>
    </row>
    <row r="137" spans="1:12" x14ac:dyDescent="0.25">
      <c r="A137" s="1" t="s">
        <v>13</v>
      </c>
      <c r="B137" s="1" t="s">
        <v>189</v>
      </c>
      <c r="C137" s="1" t="s">
        <v>475</v>
      </c>
      <c r="D137" s="1" t="s">
        <v>819</v>
      </c>
      <c r="E137" s="2">
        <v>30703</v>
      </c>
      <c r="F137" s="2">
        <v>68</v>
      </c>
      <c r="G137" s="2">
        <v>250</v>
      </c>
      <c r="H137" s="2">
        <v>387</v>
      </c>
      <c r="I137" s="2">
        <v>614</v>
      </c>
      <c r="J137" s="2">
        <v>1319</v>
      </c>
      <c r="K137" s="3">
        <f t="shared" si="13"/>
        <v>46.550416982562545</v>
      </c>
      <c r="L137" s="2">
        <v>68</v>
      </c>
    </row>
    <row r="138" spans="1:12" x14ac:dyDescent="0.25">
      <c r="A138" s="1" t="s">
        <v>75</v>
      </c>
      <c r="B138" s="1" t="s">
        <v>281</v>
      </c>
      <c r="C138" s="1" t="s">
        <v>586</v>
      </c>
      <c r="D138" s="1" t="s">
        <v>930</v>
      </c>
      <c r="E138" s="2">
        <v>30801</v>
      </c>
      <c r="F138" s="2">
        <v>22</v>
      </c>
      <c r="G138" s="2">
        <v>133</v>
      </c>
      <c r="H138" s="2">
        <v>1022</v>
      </c>
      <c r="I138" s="2">
        <v>5161</v>
      </c>
      <c r="J138" s="2">
        <v>6338</v>
      </c>
      <c r="K138" s="3">
        <f t="shared" si="13"/>
        <v>81.429473019880078</v>
      </c>
      <c r="L138" s="2">
        <v>22</v>
      </c>
    </row>
    <row r="139" spans="1:12" x14ac:dyDescent="0.25">
      <c r="A139" s="1" t="s">
        <v>73</v>
      </c>
      <c r="B139" s="1" t="s">
        <v>277</v>
      </c>
      <c r="C139" s="1" t="s">
        <v>581</v>
      </c>
      <c r="D139" s="1" t="s">
        <v>925</v>
      </c>
      <c r="E139" s="2">
        <v>30802</v>
      </c>
      <c r="F139" s="2">
        <v>100</v>
      </c>
      <c r="G139" s="2">
        <v>264</v>
      </c>
      <c r="H139" s="2">
        <v>599</v>
      </c>
      <c r="I139" s="2">
        <v>1609</v>
      </c>
      <c r="J139" s="2">
        <v>2572</v>
      </c>
      <c r="K139" s="3">
        <f t="shared" si="13"/>
        <v>62.558320373250389</v>
      </c>
      <c r="L139" s="2">
        <v>100</v>
      </c>
    </row>
    <row r="140" spans="1:12" x14ac:dyDescent="0.25">
      <c r="A140" s="1" t="s">
        <v>82</v>
      </c>
      <c r="B140" s="1" t="s">
        <v>291</v>
      </c>
      <c r="C140" s="1" t="s">
        <v>596</v>
      </c>
      <c r="D140" s="1" t="s">
        <v>940</v>
      </c>
      <c r="E140" s="2">
        <v>30803</v>
      </c>
      <c r="F140" s="2">
        <v>411</v>
      </c>
      <c r="G140" s="2">
        <v>235</v>
      </c>
      <c r="H140" s="2">
        <v>381</v>
      </c>
      <c r="I140" s="2">
        <v>1489</v>
      </c>
      <c r="J140" s="2">
        <v>2516</v>
      </c>
      <c r="K140" s="3">
        <f t="shared" si="13"/>
        <v>59.181240063593009</v>
      </c>
      <c r="L140" s="2">
        <v>411</v>
      </c>
    </row>
    <row r="141" spans="1:12" x14ac:dyDescent="0.25">
      <c r="A141" s="1" t="s">
        <v>49</v>
      </c>
      <c r="B141" s="1" t="s">
        <v>239</v>
      </c>
      <c r="C141" s="1" t="s">
        <v>534</v>
      </c>
      <c r="D141" s="1" t="s">
        <v>878</v>
      </c>
      <c r="E141" s="2">
        <v>30901</v>
      </c>
      <c r="F141" s="2">
        <v>575</v>
      </c>
      <c r="G141" s="2">
        <v>4586</v>
      </c>
      <c r="H141" s="2">
        <v>15490</v>
      </c>
      <c r="I141" s="2">
        <v>28520</v>
      </c>
      <c r="J141" s="2">
        <v>49171</v>
      </c>
      <c r="K141" s="3">
        <f t="shared" si="13"/>
        <v>58.001667649630882</v>
      </c>
      <c r="L141" s="2">
        <v>575</v>
      </c>
    </row>
    <row r="142" spans="1:12" x14ac:dyDescent="0.25">
      <c r="A142" s="1" t="s">
        <v>49</v>
      </c>
      <c r="B142" s="1" t="s">
        <v>241</v>
      </c>
      <c r="C142" s="1" t="s">
        <v>538</v>
      </c>
      <c r="D142" s="1" t="s">
        <v>882</v>
      </c>
      <c r="E142" s="2">
        <v>30902</v>
      </c>
      <c r="F142" s="2">
        <v>492</v>
      </c>
      <c r="G142" s="2">
        <v>2315</v>
      </c>
      <c r="H142" s="2">
        <v>8945</v>
      </c>
      <c r="I142" s="2">
        <v>6072</v>
      </c>
      <c r="J142" s="2">
        <v>17824</v>
      </c>
      <c r="K142" s="3">
        <f t="shared" si="13"/>
        <v>34.066427289048477</v>
      </c>
      <c r="L142" s="2">
        <v>492</v>
      </c>
    </row>
    <row r="143" spans="1:12" x14ac:dyDescent="0.25">
      <c r="A143" s="1" t="s">
        <v>49</v>
      </c>
      <c r="B143" s="1" t="s">
        <v>241</v>
      </c>
      <c r="C143" s="1" t="s">
        <v>536</v>
      </c>
      <c r="D143" s="1" t="s">
        <v>880</v>
      </c>
      <c r="E143" s="2">
        <v>30903</v>
      </c>
      <c r="F143" s="2">
        <v>189</v>
      </c>
      <c r="G143" s="2">
        <v>1633</v>
      </c>
      <c r="H143" s="2">
        <v>5669</v>
      </c>
      <c r="I143" s="2">
        <v>10441</v>
      </c>
      <c r="J143" s="2">
        <v>17932</v>
      </c>
      <c r="K143" s="3">
        <f t="shared" si="13"/>
        <v>58.225518625920145</v>
      </c>
      <c r="L143" s="2">
        <v>189</v>
      </c>
    </row>
    <row r="144" spans="1:12" x14ac:dyDescent="0.25">
      <c r="A144" s="1" t="s">
        <v>49</v>
      </c>
      <c r="B144" s="1" t="s">
        <v>241</v>
      </c>
      <c r="C144" s="1" t="s">
        <v>539</v>
      </c>
      <c r="D144" s="1" t="s">
        <v>883</v>
      </c>
      <c r="E144" s="2">
        <v>30904</v>
      </c>
      <c r="F144" s="2">
        <v>151</v>
      </c>
      <c r="G144" s="2">
        <v>2367</v>
      </c>
      <c r="H144" s="2">
        <v>8089</v>
      </c>
      <c r="I144" s="2">
        <v>6451</v>
      </c>
      <c r="J144" s="2">
        <v>17058</v>
      </c>
      <c r="K144" s="3">
        <f t="shared" si="13"/>
        <v>37.818032594676986</v>
      </c>
      <c r="L144" s="2">
        <v>151</v>
      </c>
    </row>
    <row r="145" spans="1:12" x14ac:dyDescent="0.25">
      <c r="A145" s="1" t="s">
        <v>49</v>
      </c>
      <c r="B145" s="1" t="s">
        <v>241</v>
      </c>
      <c r="C145" s="1" t="s">
        <v>537</v>
      </c>
      <c r="D145" s="1" t="s">
        <v>881</v>
      </c>
      <c r="E145" s="2">
        <v>30905</v>
      </c>
      <c r="F145" s="2">
        <v>43</v>
      </c>
      <c r="G145" s="2">
        <v>871</v>
      </c>
      <c r="H145" s="2">
        <v>4583</v>
      </c>
      <c r="I145" s="2">
        <v>13693</v>
      </c>
      <c r="J145" s="2">
        <v>19190</v>
      </c>
      <c r="K145" s="3">
        <f t="shared" si="13"/>
        <v>71.354872329338193</v>
      </c>
      <c r="L145" s="2">
        <v>43</v>
      </c>
    </row>
    <row r="146" spans="1:12" x14ac:dyDescent="0.25">
      <c r="A146" s="1" t="s">
        <v>49</v>
      </c>
      <c r="B146" s="1" t="s">
        <v>240</v>
      </c>
      <c r="C146" s="1" t="s">
        <v>535</v>
      </c>
      <c r="D146" s="1" t="s">
        <v>879</v>
      </c>
      <c r="E146" s="2">
        <v>31001</v>
      </c>
      <c r="F146" s="2">
        <v>2068</v>
      </c>
      <c r="G146" s="2">
        <v>8337</v>
      </c>
      <c r="H146" s="2">
        <v>20474</v>
      </c>
      <c r="I146" s="2">
        <v>38434</v>
      </c>
      <c r="J146" s="2">
        <v>69313</v>
      </c>
      <c r="K146" s="3">
        <f t="shared" si="13"/>
        <v>55.449915600248147</v>
      </c>
      <c r="L146" s="2">
        <v>2068</v>
      </c>
    </row>
    <row r="147" spans="1:12" x14ac:dyDescent="0.25">
      <c r="A147" s="1" t="s">
        <v>144</v>
      </c>
      <c r="B147" s="1" t="s">
        <v>416</v>
      </c>
      <c r="C147" s="1" t="s">
        <v>755</v>
      </c>
      <c r="D147" s="1" t="s">
        <v>1099</v>
      </c>
      <c r="E147" s="2">
        <v>31002</v>
      </c>
      <c r="F147" s="2">
        <v>926</v>
      </c>
      <c r="G147" s="2">
        <v>1366</v>
      </c>
      <c r="H147" s="2">
        <v>1593</v>
      </c>
      <c r="I147" s="2">
        <v>4608</v>
      </c>
      <c r="J147" s="2">
        <v>8493</v>
      </c>
      <c r="K147" s="3">
        <f t="shared" si="13"/>
        <v>54.256446485340874</v>
      </c>
      <c r="L147" s="2">
        <v>926</v>
      </c>
    </row>
    <row r="148" spans="1:12" x14ac:dyDescent="0.25">
      <c r="A148" s="1" t="s">
        <v>131</v>
      </c>
      <c r="B148" s="1" t="s">
        <v>388</v>
      </c>
      <c r="C148" s="1" t="s">
        <v>721</v>
      </c>
      <c r="D148" s="1" t="s">
        <v>1065</v>
      </c>
      <c r="E148" s="2">
        <v>31003</v>
      </c>
      <c r="F148" s="2">
        <v>6640</v>
      </c>
      <c r="G148" s="2">
        <v>9020</v>
      </c>
      <c r="H148" s="2">
        <v>9742</v>
      </c>
      <c r="I148" s="2">
        <v>16549</v>
      </c>
      <c r="J148" s="2">
        <v>41951</v>
      </c>
      <c r="K148" s="3">
        <f t="shared" si="13"/>
        <v>39.44840409048652</v>
      </c>
      <c r="L148" s="2">
        <v>6640</v>
      </c>
    </row>
    <row r="149" spans="1:12" x14ac:dyDescent="0.25">
      <c r="A149" s="1" t="s">
        <v>94</v>
      </c>
      <c r="B149" s="1" t="s">
        <v>314</v>
      </c>
      <c r="C149" s="1" t="s">
        <v>627</v>
      </c>
      <c r="D149" s="1" t="s">
        <v>971</v>
      </c>
      <c r="E149" s="2">
        <v>31101</v>
      </c>
      <c r="F149" s="2">
        <v>1608</v>
      </c>
      <c r="G149" s="2">
        <v>3295</v>
      </c>
      <c r="H149" s="2">
        <v>3331</v>
      </c>
      <c r="I149" s="2">
        <v>1404</v>
      </c>
      <c r="J149" s="2">
        <v>9638</v>
      </c>
      <c r="K149" s="3">
        <f t="shared" si="13"/>
        <v>14.567337621913259</v>
      </c>
      <c r="L149" s="2">
        <v>1608</v>
      </c>
    </row>
    <row r="150" spans="1:12" x14ac:dyDescent="0.25">
      <c r="A150" s="1" t="s">
        <v>49</v>
      </c>
      <c r="B150" s="1" t="s">
        <v>243</v>
      </c>
      <c r="C150" s="1" t="s">
        <v>541</v>
      </c>
      <c r="D150" s="1" t="s">
        <v>885</v>
      </c>
      <c r="E150" s="2">
        <v>31201</v>
      </c>
      <c r="F150" s="2">
        <v>608</v>
      </c>
      <c r="G150" s="2">
        <v>1416</v>
      </c>
      <c r="H150" s="2">
        <v>1976</v>
      </c>
      <c r="I150" s="2">
        <v>1351</v>
      </c>
      <c r="J150" s="2">
        <v>5351</v>
      </c>
      <c r="K150" s="3">
        <f t="shared" si="13"/>
        <v>25.247617267800411</v>
      </c>
      <c r="L150" s="2">
        <v>608</v>
      </c>
    </row>
    <row r="151" spans="1:12" x14ac:dyDescent="0.25">
      <c r="A151" s="1" t="s">
        <v>142</v>
      </c>
      <c r="B151" s="1" t="s">
        <v>414</v>
      </c>
      <c r="C151" s="1" t="s">
        <v>752</v>
      </c>
      <c r="D151" s="1" t="s">
        <v>1096</v>
      </c>
      <c r="E151" s="2">
        <v>31202</v>
      </c>
      <c r="F151" s="2">
        <v>588</v>
      </c>
      <c r="G151" s="2">
        <v>1025</v>
      </c>
      <c r="H151" s="2">
        <v>973</v>
      </c>
      <c r="I151" s="2">
        <v>1119</v>
      </c>
      <c r="J151" s="2">
        <v>3705</v>
      </c>
      <c r="K151" s="3">
        <f t="shared" si="13"/>
        <v>30.20242914979757</v>
      </c>
      <c r="L151" s="2">
        <v>588</v>
      </c>
    </row>
    <row r="152" spans="1:12" x14ac:dyDescent="0.25">
      <c r="A152" s="1" t="s">
        <v>134</v>
      </c>
      <c r="B152" s="1" t="s">
        <v>395</v>
      </c>
      <c r="C152" s="1" t="s">
        <v>729</v>
      </c>
      <c r="D152" s="1" t="s">
        <v>1073</v>
      </c>
      <c r="E152" s="2">
        <v>31203</v>
      </c>
      <c r="F152" s="2">
        <v>403</v>
      </c>
      <c r="G152" s="2">
        <v>833</v>
      </c>
      <c r="H152" s="2">
        <v>1561</v>
      </c>
      <c r="I152" s="2">
        <v>2056</v>
      </c>
      <c r="J152" s="2">
        <v>4853</v>
      </c>
      <c r="K152" s="3">
        <f t="shared" si="13"/>
        <v>42.365547084277765</v>
      </c>
      <c r="L152" s="2">
        <v>403</v>
      </c>
    </row>
    <row r="153" spans="1:12" x14ac:dyDescent="0.25">
      <c r="A153" s="1" t="s">
        <v>131</v>
      </c>
      <c r="B153" s="1" t="s">
        <v>389</v>
      </c>
      <c r="C153" s="1" t="s">
        <v>722</v>
      </c>
      <c r="D153" s="1" t="s">
        <v>1066</v>
      </c>
      <c r="E153" s="2">
        <v>31204</v>
      </c>
      <c r="F153" s="2">
        <v>1093</v>
      </c>
      <c r="G153" s="2">
        <v>2092</v>
      </c>
      <c r="H153" s="2">
        <v>3106</v>
      </c>
      <c r="I153" s="2">
        <v>4266</v>
      </c>
      <c r="J153" s="2">
        <v>10557</v>
      </c>
      <c r="K153" s="3">
        <f t="shared" si="13"/>
        <v>40.409207161125323</v>
      </c>
      <c r="L153" s="2">
        <v>1093</v>
      </c>
    </row>
    <row r="154" spans="1:12" x14ac:dyDescent="0.25">
      <c r="A154" s="1" t="s">
        <v>136</v>
      </c>
      <c r="B154" s="1" t="s">
        <v>401</v>
      </c>
      <c r="C154" s="1" t="s">
        <v>738</v>
      </c>
      <c r="D154" s="1" t="s">
        <v>1082</v>
      </c>
      <c r="E154" s="2">
        <v>31205</v>
      </c>
      <c r="F154" s="2">
        <v>3391</v>
      </c>
      <c r="G154" s="2">
        <v>3906</v>
      </c>
      <c r="H154" s="2">
        <v>6531</v>
      </c>
      <c r="I154" s="2">
        <v>11669</v>
      </c>
      <c r="J154" s="2">
        <v>25497</v>
      </c>
      <c r="K154" s="3">
        <f t="shared" si="13"/>
        <v>45.766168568851242</v>
      </c>
      <c r="L154" s="2">
        <v>3391</v>
      </c>
    </row>
    <row r="155" spans="1:12" x14ac:dyDescent="0.25">
      <c r="A155" s="1" t="s">
        <v>142</v>
      </c>
      <c r="B155" s="1" t="s">
        <v>414</v>
      </c>
      <c r="C155" s="1" t="s">
        <v>753</v>
      </c>
      <c r="D155" s="1" t="s">
        <v>1097</v>
      </c>
      <c r="E155" s="2">
        <v>31206</v>
      </c>
      <c r="F155" s="2">
        <v>2776</v>
      </c>
      <c r="G155" s="2">
        <v>2624</v>
      </c>
      <c r="H155" s="2">
        <v>6330</v>
      </c>
      <c r="I155" s="2">
        <v>6448</v>
      </c>
      <c r="J155" s="2">
        <v>18178</v>
      </c>
      <c r="K155" s="3">
        <f t="shared" si="13"/>
        <v>35.471449004290903</v>
      </c>
      <c r="L155" s="2">
        <v>2776</v>
      </c>
    </row>
    <row r="156" spans="1:12" x14ac:dyDescent="0.25">
      <c r="A156" s="1" t="s">
        <v>159</v>
      </c>
      <c r="B156" s="1" t="s">
        <v>443</v>
      </c>
      <c r="C156" s="1" t="s">
        <v>787</v>
      </c>
      <c r="D156" s="1" t="s">
        <v>1131</v>
      </c>
      <c r="E156" s="2">
        <v>31301</v>
      </c>
      <c r="F156" s="2">
        <v>506</v>
      </c>
      <c r="G156" s="2">
        <v>1258</v>
      </c>
      <c r="H156" s="2">
        <v>2226</v>
      </c>
      <c r="I156" s="2">
        <v>2889</v>
      </c>
      <c r="J156" s="2">
        <v>6879</v>
      </c>
      <c r="K156" s="3">
        <f t="shared" si="13"/>
        <v>41.997383340601829</v>
      </c>
      <c r="L156" s="2">
        <v>506</v>
      </c>
    </row>
    <row r="157" spans="1:12" x14ac:dyDescent="0.25">
      <c r="A157" s="1" t="s">
        <v>144</v>
      </c>
      <c r="B157" s="1" t="s">
        <v>417</v>
      </c>
      <c r="C157" s="1" t="s">
        <v>757</v>
      </c>
      <c r="D157" s="1" t="s">
        <v>1101</v>
      </c>
      <c r="E157" s="2">
        <v>31302</v>
      </c>
      <c r="F157" s="2">
        <v>451</v>
      </c>
      <c r="G157" s="2">
        <v>651</v>
      </c>
      <c r="H157" s="2">
        <v>460</v>
      </c>
      <c r="I157" s="2">
        <v>305</v>
      </c>
      <c r="J157" s="2">
        <v>1867</v>
      </c>
      <c r="K157" s="3">
        <f t="shared" si="13"/>
        <v>16.336368505623998</v>
      </c>
      <c r="L157" s="2">
        <v>451</v>
      </c>
    </row>
    <row r="158" spans="1:12" x14ac:dyDescent="0.25">
      <c r="A158" s="1" t="s">
        <v>144</v>
      </c>
      <c r="B158" s="1" t="s">
        <v>417</v>
      </c>
      <c r="C158" s="1" t="s">
        <v>756</v>
      </c>
      <c r="D158" s="1" t="s">
        <v>1100</v>
      </c>
      <c r="E158" s="2">
        <v>31303</v>
      </c>
      <c r="F158" s="2">
        <v>216</v>
      </c>
      <c r="G158" s="2">
        <v>541</v>
      </c>
      <c r="H158" s="2">
        <v>354</v>
      </c>
      <c r="I158" s="2">
        <v>167</v>
      </c>
      <c r="J158" s="2">
        <v>1278</v>
      </c>
      <c r="K158" s="3">
        <f t="shared" si="13"/>
        <v>13.067292644757433</v>
      </c>
      <c r="L158" s="2">
        <v>216</v>
      </c>
    </row>
    <row r="159" spans="1:12" x14ac:dyDescent="0.25">
      <c r="A159" s="1" t="s">
        <v>165</v>
      </c>
      <c r="B159" s="1" t="s">
        <v>450</v>
      </c>
      <c r="C159" s="1" t="s">
        <v>794</v>
      </c>
      <c r="D159" s="1" t="s">
        <v>1138</v>
      </c>
      <c r="E159" s="2">
        <v>31304</v>
      </c>
      <c r="F159" s="2">
        <v>968</v>
      </c>
      <c r="G159" s="2">
        <v>840</v>
      </c>
      <c r="H159" s="2">
        <v>586</v>
      </c>
      <c r="I159" s="2">
        <v>250</v>
      </c>
      <c r="J159" s="2">
        <v>2644</v>
      </c>
      <c r="K159" s="3">
        <f t="shared" si="13"/>
        <v>9.4553706505295008</v>
      </c>
      <c r="L159" s="2">
        <v>968</v>
      </c>
    </row>
    <row r="160" spans="1:12" x14ac:dyDescent="0.25">
      <c r="A160" s="1" t="s">
        <v>89</v>
      </c>
      <c r="B160" s="1" t="s">
        <v>300</v>
      </c>
      <c r="C160" s="1" t="s">
        <v>606</v>
      </c>
      <c r="D160" s="1" t="s">
        <v>950</v>
      </c>
      <c r="E160" s="2">
        <v>31401</v>
      </c>
      <c r="F160" s="2">
        <v>154</v>
      </c>
      <c r="G160" s="2">
        <v>1129</v>
      </c>
      <c r="H160" s="2">
        <v>2980</v>
      </c>
      <c r="I160" s="2">
        <v>7055</v>
      </c>
      <c r="J160" s="2">
        <v>11318</v>
      </c>
      <c r="K160" s="3">
        <f t="shared" si="13"/>
        <v>62.33433468810744</v>
      </c>
      <c r="L160" s="2">
        <v>154</v>
      </c>
    </row>
    <row r="161" spans="1:12" x14ac:dyDescent="0.25">
      <c r="A161" s="1" t="s">
        <v>6</v>
      </c>
      <c r="B161" s="1" t="s">
        <v>180</v>
      </c>
      <c r="C161" s="1" t="s">
        <v>466</v>
      </c>
      <c r="D161" s="1" t="s">
        <v>810</v>
      </c>
      <c r="E161" s="2">
        <v>31402</v>
      </c>
      <c r="F161" s="2">
        <v>108</v>
      </c>
      <c r="G161" s="2">
        <v>305</v>
      </c>
      <c r="H161" s="2">
        <v>1298</v>
      </c>
      <c r="I161" s="2">
        <v>1551</v>
      </c>
      <c r="J161" s="2">
        <v>3262</v>
      </c>
      <c r="K161" s="3">
        <f t="shared" si="13"/>
        <v>47.547516860821581</v>
      </c>
      <c r="L161" s="2">
        <v>108</v>
      </c>
    </row>
    <row r="162" spans="1:12" x14ac:dyDescent="0.25">
      <c r="A162" s="1" t="s">
        <v>17</v>
      </c>
      <c r="B162" s="1" t="s">
        <v>194</v>
      </c>
      <c r="C162" s="1" t="s">
        <v>480</v>
      </c>
      <c r="D162" s="1" t="s">
        <v>824</v>
      </c>
      <c r="E162" s="2">
        <v>31403</v>
      </c>
      <c r="F162" s="2">
        <v>52</v>
      </c>
      <c r="G162" s="2">
        <v>347</v>
      </c>
      <c r="H162" s="2">
        <v>1509</v>
      </c>
      <c r="I162" s="2">
        <v>2419</v>
      </c>
      <c r="J162" s="2">
        <v>4327</v>
      </c>
      <c r="K162" s="3">
        <f t="shared" si="13"/>
        <v>55.904783914952624</v>
      </c>
      <c r="L162" s="2">
        <v>52</v>
      </c>
    </row>
    <row r="163" spans="1:12" x14ac:dyDescent="0.25">
      <c r="A163" s="1" t="s">
        <v>75</v>
      </c>
      <c r="B163" s="1" t="s">
        <v>280</v>
      </c>
      <c r="C163" s="1" t="s">
        <v>585</v>
      </c>
      <c r="D163" s="1" t="s">
        <v>929</v>
      </c>
      <c r="E163" s="2">
        <v>31404</v>
      </c>
      <c r="F163" s="2">
        <v>7</v>
      </c>
      <c r="G163" s="2">
        <v>27</v>
      </c>
      <c r="H163" s="2">
        <v>167</v>
      </c>
      <c r="I163" s="2">
        <v>284</v>
      </c>
      <c r="J163" s="2">
        <v>485</v>
      </c>
      <c r="K163" s="3">
        <f t="shared" si="13"/>
        <v>58.55670103092784</v>
      </c>
      <c r="L163" s="2">
        <v>7</v>
      </c>
    </row>
    <row r="164" spans="1:12" x14ac:dyDescent="0.25">
      <c r="A164" s="1" t="s">
        <v>75</v>
      </c>
      <c r="B164" s="1" t="s">
        <v>280</v>
      </c>
      <c r="C164" s="1" t="s">
        <v>584</v>
      </c>
      <c r="D164" s="1" t="s">
        <v>928</v>
      </c>
      <c r="E164" s="2">
        <v>31405</v>
      </c>
      <c r="F164" s="2">
        <v>77</v>
      </c>
      <c r="G164" s="2">
        <v>178</v>
      </c>
      <c r="H164" s="2">
        <v>282</v>
      </c>
      <c r="I164" s="2">
        <v>520</v>
      </c>
      <c r="J164" s="2">
        <v>1057</v>
      </c>
      <c r="K164" s="3">
        <f t="shared" si="13"/>
        <v>49.195837275307476</v>
      </c>
      <c r="L164" s="2">
        <v>77</v>
      </c>
    </row>
    <row r="165" spans="1:12" x14ac:dyDescent="0.25">
      <c r="A165" s="1" t="s">
        <v>77</v>
      </c>
      <c r="B165" s="1" t="s">
        <v>285</v>
      </c>
      <c r="C165" s="1" t="s">
        <v>590</v>
      </c>
      <c r="D165" s="1" t="s">
        <v>934</v>
      </c>
      <c r="E165" s="2">
        <v>31501</v>
      </c>
      <c r="F165" s="2">
        <v>298</v>
      </c>
      <c r="G165" s="2">
        <v>912</v>
      </c>
      <c r="H165" s="2">
        <v>1603</v>
      </c>
      <c r="I165" s="2">
        <v>398</v>
      </c>
      <c r="J165" s="2">
        <v>3211</v>
      </c>
      <c r="K165" s="3">
        <f t="shared" si="13"/>
        <v>12.394892556835876</v>
      </c>
      <c r="L165" s="2">
        <v>298</v>
      </c>
    </row>
    <row r="166" spans="1:12" x14ac:dyDescent="0.25">
      <c r="A166" s="1" t="s">
        <v>131</v>
      </c>
      <c r="B166" s="1" t="s">
        <v>390</v>
      </c>
      <c r="C166" s="1" t="s">
        <v>723</v>
      </c>
      <c r="D166" s="1" t="s">
        <v>1067</v>
      </c>
      <c r="E166" s="2">
        <v>31601</v>
      </c>
      <c r="F166" s="2">
        <v>523</v>
      </c>
      <c r="G166" s="2">
        <v>812</v>
      </c>
      <c r="H166" s="2">
        <v>1621</v>
      </c>
      <c r="I166" s="2">
        <v>3722</v>
      </c>
      <c r="J166" s="2">
        <v>6678</v>
      </c>
      <c r="K166" s="3">
        <f t="shared" si="13"/>
        <v>55.73525007487271</v>
      </c>
      <c r="L166" s="2">
        <v>523</v>
      </c>
    </row>
    <row r="167" spans="1:12" x14ac:dyDescent="0.25">
      <c r="A167" s="1" t="s">
        <v>131</v>
      </c>
      <c r="B167" s="1" t="s">
        <v>390</v>
      </c>
      <c r="C167" s="1" t="s">
        <v>724</v>
      </c>
      <c r="D167" s="1" t="s">
        <v>1068</v>
      </c>
      <c r="E167" s="2">
        <v>31602</v>
      </c>
      <c r="F167" s="2">
        <v>824</v>
      </c>
      <c r="G167" s="2">
        <v>1621</v>
      </c>
      <c r="H167" s="2">
        <v>2252</v>
      </c>
      <c r="I167" s="2">
        <v>5734</v>
      </c>
      <c r="J167" s="2">
        <v>10431</v>
      </c>
      <c r="K167" s="3">
        <f t="shared" si="13"/>
        <v>54.970760233918128</v>
      </c>
      <c r="L167" s="2">
        <v>824</v>
      </c>
    </row>
    <row r="168" spans="1:12" x14ac:dyDescent="0.25">
      <c r="A168" s="1" t="s">
        <v>11</v>
      </c>
      <c r="B168" s="1" t="s">
        <v>186</v>
      </c>
      <c r="C168" s="1" t="s">
        <v>472</v>
      </c>
      <c r="D168" s="1" t="s">
        <v>816</v>
      </c>
      <c r="E168" s="2">
        <v>40101</v>
      </c>
      <c r="F168" s="2">
        <v>984</v>
      </c>
      <c r="G168" s="2">
        <v>3431</v>
      </c>
      <c r="H168" s="2">
        <v>19235</v>
      </c>
      <c r="I168" s="2">
        <v>72473</v>
      </c>
      <c r="J168" s="2">
        <v>96123</v>
      </c>
      <c r="K168" s="3">
        <f t="shared" si="13"/>
        <v>75.396107071148421</v>
      </c>
      <c r="L168" s="2">
        <v>984</v>
      </c>
    </row>
    <row r="169" spans="1:12" x14ac:dyDescent="0.25">
      <c r="A169" s="1" t="s">
        <v>87</v>
      </c>
      <c r="B169" s="1" t="s">
        <v>295</v>
      </c>
      <c r="C169" s="1" t="s">
        <v>601</v>
      </c>
      <c r="D169" s="1" t="s">
        <v>945</v>
      </c>
      <c r="E169" s="2">
        <v>40102</v>
      </c>
      <c r="F169" s="2">
        <v>583</v>
      </c>
      <c r="G169" s="2">
        <v>1690</v>
      </c>
      <c r="H169" s="2">
        <v>2879</v>
      </c>
      <c r="I169" s="2">
        <v>2820</v>
      </c>
      <c r="J169" s="2">
        <v>7972</v>
      </c>
      <c r="K169" s="3">
        <f t="shared" si="13"/>
        <v>35.373808329152034</v>
      </c>
      <c r="L169" s="2">
        <v>583</v>
      </c>
    </row>
    <row r="170" spans="1:12" x14ac:dyDescent="0.25">
      <c r="A170" s="1" t="s">
        <v>76</v>
      </c>
      <c r="B170" s="1" t="s">
        <v>283</v>
      </c>
      <c r="C170" s="1" t="s">
        <v>588</v>
      </c>
      <c r="D170" s="1" t="s">
        <v>932</v>
      </c>
      <c r="E170" s="2">
        <v>40103</v>
      </c>
      <c r="F170" s="2">
        <v>1559</v>
      </c>
      <c r="G170" s="2">
        <v>1336</v>
      </c>
      <c r="H170" s="2">
        <v>718</v>
      </c>
      <c r="I170" s="2">
        <v>231</v>
      </c>
      <c r="J170" s="2">
        <v>3844</v>
      </c>
      <c r="K170" s="3">
        <f t="shared" si="13"/>
        <v>6.0093652445369408</v>
      </c>
      <c r="L170" s="2">
        <v>1559</v>
      </c>
    </row>
    <row r="171" spans="1:12" x14ac:dyDescent="0.25">
      <c r="A171" s="1" t="s">
        <v>79</v>
      </c>
      <c r="B171" s="1" t="s">
        <v>288</v>
      </c>
      <c r="C171" s="1" t="s">
        <v>593</v>
      </c>
      <c r="D171" s="1" t="s">
        <v>937</v>
      </c>
      <c r="E171" s="2">
        <v>40104</v>
      </c>
      <c r="F171" s="2">
        <v>345</v>
      </c>
      <c r="G171" s="2">
        <v>851</v>
      </c>
      <c r="H171" s="2">
        <v>2805</v>
      </c>
      <c r="I171" s="2">
        <v>1463</v>
      </c>
      <c r="J171" s="2">
        <v>5464</v>
      </c>
      <c r="K171" s="3">
        <f t="shared" si="13"/>
        <v>26.775256222547583</v>
      </c>
      <c r="L171" s="2">
        <v>345</v>
      </c>
    </row>
    <row r="172" spans="1:12" x14ac:dyDescent="0.25">
      <c r="A172" s="1" t="s">
        <v>157</v>
      </c>
      <c r="B172" s="1" t="s">
        <v>440</v>
      </c>
      <c r="C172" s="1" t="s">
        <v>784</v>
      </c>
      <c r="D172" s="1" t="s">
        <v>1128</v>
      </c>
      <c r="E172" s="2">
        <v>40201</v>
      </c>
      <c r="F172" s="2">
        <v>1152</v>
      </c>
      <c r="G172" s="2">
        <v>2549</v>
      </c>
      <c r="H172" s="2">
        <v>4823</v>
      </c>
      <c r="I172" s="2">
        <v>5019</v>
      </c>
      <c r="J172" s="2">
        <v>13543</v>
      </c>
      <c r="K172" s="3">
        <f t="shared" si="13"/>
        <v>37.059735656796875</v>
      </c>
      <c r="L172" s="2">
        <v>1152</v>
      </c>
    </row>
    <row r="173" spans="1:12" x14ac:dyDescent="0.25">
      <c r="A173" s="1" t="s">
        <v>1</v>
      </c>
      <c r="B173" s="1" t="s">
        <v>169</v>
      </c>
      <c r="C173" s="1" t="s">
        <v>455</v>
      </c>
      <c r="D173" s="1" t="s">
        <v>799</v>
      </c>
      <c r="E173" s="2">
        <v>40202</v>
      </c>
      <c r="F173" s="2">
        <v>492</v>
      </c>
      <c r="G173" s="2">
        <v>446</v>
      </c>
      <c r="H173" s="2">
        <v>625</v>
      </c>
      <c r="I173" s="2">
        <v>763</v>
      </c>
      <c r="J173" s="2">
        <v>2326</v>
      </c>
      <c r="K173" s="3">
        <f t="shared" si="13"/>
        <v>32.803095442820293</v>
      </c>
      <c r="L173" s="2">
        <v>492</v>
      </c>
    </row>
    <row r="174" spans="1:12" x14ac:dyDescent="0.25">
      <c r="A174" s="1" t="s">
        <v>67</v>
      </c>
      <c r="B174" s="1" t="s">
        <v>270</v>
      </c>
      <c r="C174" s="1" t="s">
        <v>573</v>
      </c>
      <c r="D174" s="1" t="s">
        <v>917</v>
      </c>
      <c r="E174" s="2">
        <v>40301</v>
      </c>
      <c r="F174" s="2">
        <v>891</v>
      </c>
      <c r="G174" s="2">
        <v>1368</v>
      </c>
      <c r="H174" s="2">
        <v>1792</v>
      </c>
      <c r="I174" s="2">
        <v>616</v>
      </c>
      <c r="J174" s="2">
        <v>4667</v>
      </c>
      <c r="K174" s="3">
        <f t="shared" si="13"/>
        <v>13.199057210199271</v>
      </c>
      <c r="L174" s="2">
        <v>891</v>
      </c>
    </row>
    <row r="175" spans="1:12" x14ac:dyDescent="0.25">
      <c r="A175" s="1" t="s">
        <v>148</v>
      </c>
      <c r="B175" s="1" t="s">
        <v>423</v>
      </c>
      <c r="C175" s="1" t="s">
        <v>763</v>
      </c>
      <c r="D175" s="1" t="s">
        <v>1107</v>
      </c>
      <c r="E175" s="2">
        <v>40302</v>
      </c>
      <c r="F175" s="2">
        <v>101</v>
      </c>
      <c r="G175" s="2">
        <v>220</v>
      </c>
      <c r="H175" s="2">
        <v>172</v>
      </c>
      <c r="I175" s="2">
        <v>178</v>
      </c>
      <c r="J175" s="2">
        <v>671</v>
      </c>
      <c r="K175" s="3">
        <f t="shared" si="13"/>
        <v>26.527570789865873</v>
      </c>
      <c r="L175" s="2">
        <v>101</v>
      </c>
    </row>
    <row r="176" spans="1:12" x14ac:dyDescent="0.25">
      <c r="A176" s="1" t="s">
        <v>148</v>
      </c>
      <c r="B176" s="1" t="s">
        <v>422</v>
      </c>
      <c r="C176" s="1" t="s">
        <v>762</v>
      </c>
      <c r="D176" s="1" t="s">
        <v>1106</v>
      </c>
      <c r="E176" s="2">
        <v>40401</v>
      </c>
      <c r="F176" s="2">
        <v>121</v>
      </c>
      <c r="G176" s="2">
        <v>455</v>
      </c>
      <c r="H176" s="2">
        <v>601</v>
      </c>
      <c r="I176" s="2">
        <v>810</v>
      </c>
      <c r="J176" s="2">
        <v>1987</v>
      </c>
      <c r="K176" s="3">
        <f t="shared" si="13"/>
        <v>40.764972320080524</v>
      </c>
      <c r="L176" s="2">
        <v>121</v>
      </c>
    </row>
    <row r="177" spans="1:12" x14ac:dyDescent="0.25">
      <c r="A177" s="1" t="s">
        <v>40</v>
      </c>
      <c r="B177" s="1" t="s">
        <v>227</v>
      </c>
      <c r="C177" s="1" t="s">
        <v>520</v>
      </c>
      <c r="D177" s="1" t="s">
        <v>864</v>
      </c>
      <c r="E177" s="2">
        <v>40402</v>
      </c>
      <c r="F177" s="2">
        <v>390</v>
      </c>
      <c r="G177" s="2">
        <v>443</v>
      </c>
      <c r="H177" s="2">
        <v>373</v>
      </c>
      <c r="I177" s="2">
        <v>554</v>
      </c>
      <c r="J177" s="2">
        <v>1760</v>
      </c>
      <c r="K177" s="3">
        <f t="shared" si="13"/>
        <v>31.477272727272727</v>
      </c>
      <c r="L177" s="2">
        <v>390</v>
      </c>
    </row>
    <row r="178" spans="1:12" x14ac:dyDescent="0.25">
      <c r="A178" s="1" t="s">
        <v>5</v>
      </c>
      <c r="B178" s="1" t="s">
        <v>177</v>
      </c>
      <c r="C178" s="1" t="s">
        <v>463</v>
      </c>
      <c r="D178" s="1" t="s">
        <v>807</v>
      </c>
      <c r="E178" s="2">
        <v>40501</v>
      </c>
      <c r="F178" s="2">
        <v>9</v>
      </c>
      <c r="G178" s="2">
        <v>51</v>
      </c>
      <c r="H178" s="2">
        <v>301</v>
      </c>
      <c r="I178" s="2">
        <v>831</v>
      </c>
      <c r="J178" s="2">
        <v>1192</v>
      </c>
      <c r="K178" s="3">
        <f t="shared" si="13"/>
        <v>69.714765100671144</v>
      </c>
      <c r="L178" s="2">
        <v>9</v>
      </c>
    </row>
    <row r="179" spans="1:12" x14ac:dyDescent="0.25">
      <c r="A179" s="1" t="s">
        <v>148</v>
      </c>
      <c r="B179" s="1" t="s">
        <v>424</v>
      </c>
      <c r="C179" s="1" t="s">
        <v>764</v>
      </c>
      <c r="D179" s="1" t="s">
        <v>1108</v>
      </c>
      <c r="E179" s="2">
        <v>40502</v>
      </c>
      <c r="F179" s="2">
        <v>140</v>
      </c>
      <c r="G179" s="2">
        <v>168</v>
      </c>
      <c r="H179" s="2">
        <v>326</v>
      </c>
      <c r="I179" s="2">
        <v>421</v>
      </c>
      <c r="J179" s="2">
        <v>1055</v>
      </c>
      <c r="K179" s="3">
        <f t="shared" si="13"/>
        <v>39.905213270142184</v>
      </c>
      <c r="L179" s="2">
        <v>140</v>
      </c>
    </row>
    <row r="180" spans="1:12" x14ac:dyDescent="0.25">
      <c r="A180" s="1" t="s">
        <v>63</v>
      </c>
      <c r="B180" s="1" t="s">
        <v>264</v>
      </c>
      <c r="C180" s="1" t="s">
        <v>565</v>
      </c>
      <c r="D180" s="1" t="s">
        <v>909</v>
      </c>
      <c r="E180" s="2">
        <v>40503</v>
      </c>
      <c r="F180" s="2">
        <v>20</v>
      </c>
      <c r="G180" s="2">
        <v>37</v>
      </c>
      <c r="H180" s="2">
        <v>101</v>
      </c>
      <c r="I180" s="2">
        <v>194</v>
      </c>
      <c r="J180" s="2">
        <v>352</v>
      </c>
      <c r="K180" s="3">
        <f t="shared" si="13"/>
        <v>55.113636363636367</v>
      </c>
      <c r="L180" s="2">
        <v>20</v>
      </c>
    </row>
    <row r="181" spans="1:12" x14ac:dyDescent="0.25">
      <c r="A181" s="1" t="s">
        <v>61</v>
      </c>
      <c r="B181" s="1" t="s">
        <v>261</v>
      </c>
      <c r="C181" s="1" t="s">
        <v>562</v>
      </c>
      <c r="D181" s="1" t="s">
        <v>906</v>
      </c>
      <c r="E181" s="2">
        <v>40504</v>
      </c>
      <c r="F181" s="2">
        <v>3</v>
      </c>
      <c r="G181" s="2">
        <v>2</v>
      </c>
      <c r="H181" s="2">
        <v>19</v>
      </c>
      <c r="I181" s="2">
        <v>149</v>
      </c>
      <c r="J181" s="2">
        <v>173</v>
      </c>
      <c r="K181" s="3">
        <f t="shared" si="13"/>
        <v>86.127167630057798</v>
      </c>
      <c r="L181" s="2">
        <v>3</v>
      </c>
    </row>
    <row r="182" spans="1:12" x14ac:dyDescent="0.25">
      <c r="A182" s="1" t="s">
        <v>1</v>
      </c>
      <c r="B182" s="1" t="s">
        <v>168</v>
      </c>
      <c r="C182" s="1" t="s">
        <v>454</v>
      </c>
      <c r="D182" s="1" t="s">
        <v>798</v>
      </c>
      <c r="E182" s="2">
        <v>40505</v>
      </c>
      <c r="F182" s="2">
        <v>47</v>
      </c>
      <c r="G182" s="2">
        <v>53</v>
      </c>
      <c r="H182" s="2">
        <v>268</v>
      </c>
      <c r="I182" s="2">
        <v>505</v>
      </c>
      <c r="J182" s="2">
        <v>873</v>
      </c>
      <c r="K182" s="3">
        <f t="shared" si="13"/>
        <v>57.846506300114555</v>
      </c>
      <c r="L182" s="2">
        <v>47</v>
      </c>
    </row>
    <row r="183" spans="1:12" x14ac:dyDescent="0.25">
      <c r="A183" s="1" t="s">
        <v>38</v>
      </c>
      <c r="B183" s="1" t="s">
        <v>224</v>
      </c>
      <c r="C183" s="1" t="s">
        <v>517</v>
      </c>
      <c r="D183" s="1" t="s">
        <v>861</v>
      </c>
      <c r="E183" s="2">
        <v>40601</v>
      </c>
      <c r="F183" s="2">
        <v>315</v>
      </c>
      <c r="G183" s="2">
        <v>566</v>
      </c>
      <c r="H183" s="2">
        <v>1161</v>
      </c>
      <c r="I183" s="2">
        <v>1620</v>
      </c>
      <c r="J183" s="2">
        <v>3662</v>
      </c>
      <c r="K183" s="3">
        <f t="shared" si="13"/>
        <v>44.238121245221187</v>
      </c>
      <c r="L183" s="2">
        <v>315</v>
      </c>
    </row>
    <row r="184" spans="1:12" x14ac:dyDescent="0.25">
      <c r="A184" s="1" t="s">
        <v>5</v>
      </c>
      <c r="B184" s="1" t="s">
        <v>179</v>
      </c>
      <c r="C184" s="1" t="s">
        <v>465</v>
      </c>
      <c r="D184" s="1" t="s">
        <v>809</v>
      </c>
      <c r="E184" s="2">
        <v>40602</v>
      </c>
      <c r="F184" s="2">
        <v>123</v>
      </c>
      <c r="G184" s="2">
        <v>341</v>
      </c>
      <c r="H184" s="2">
        <v>774</v>
      </c>
      <c r="I184" s="2">
        <v>531</v>
      </c>
      <c r="J184" s="2">
        <v>1769</v>
      </c>
      <c r="K184" s="3">
        <f t="shared" si="13"/>
        <v>30.016958733747877</v>
      </c>
      <c r="L184" s="2">
        <v>123</v>
      </c>
    </row>
    <row r="185" spans="1:12" x14ac:dyDescent="0.25">
      <c r="A185" s="1" t="s">
        <v>65</v>
      </c>
      <c r="B185" s="1" t="s">
        <v>267</v>
      </c>
      <c r="C185" s="1" t="s">
        <v>569</v>
      </c>
      <c r="D185" s="1" t="s">
        <v>913</v>
      </c>
      <c r="E185" s="2">
        <v>40603</v>
      </c>
      <c r="F185" s="2">
        <v>55</v>
      </c>
      <c r="G185" s="2">
        <v>185</v>
      </c>
      <c r="H185" s="2">
        <v>630</v>
      </c>
      <c r="I185" s="2">
        <v>580</v>
      </c>
      <c r="J185" s="2">
        <v>1450</v>
      </c>
      <c r="K185" s="3">
        <f t="shared" si="13"/>
        <v>40</v>
      </c>
      <c r="L185" s="2">
        <v>55</v>
      </c>
    </row>
    <row r="186" spans="1:12" x14ac:dyDescent="0.25">
      <c r="A186" s="1" t="s">
        <v>5</v>
      </c>
      <c r="B186" s="1" t="s">
        <v>176</v>
      </c>
      <c r="C186" s="1" t="s">
        <v>462</v>
      </c>
      <c r="D186" s="1" t="s">
        <v>806</v>
      </c>
      <c r="E186" s="2">
        <v>40701</v>
      </c>
      <c r="F186" s="2">
        <v>76</v>
      </c>
      <c r="G186" s="2">
        <v>359</v>
      </c>
      <c r="H186" s="2">
        <v>1889</v>
      </c>
      <c r="I186" s="2">
        <v>4099</v>
      </c>
      <c r="J186" s="2">
        <v>6423</v>
      </c>
      <c r="K186" s="3">
        <f t="shared" si="13"/>
        <v>63.817530748871242</v>
      </c>
      <c r="L186" s="2">
        <v>76</v>
      </c>
    </row>
    <row r="187" spans="1:12" x14ac:dyDescent="0.25">
      <c r="A187" s="1" t="s">
        <v>71</v>
      </c>
      <c r="B187" s="1" t="s">
        <v>274</v>
      </c>
      <c r="C187" s="1" t="s">
        <v>577</v>
      </c>
      <c r="D187" s="1" t="s">
        <v>921</v>
      </c>
      <c r="E187" s="2">
        <v>40702</v>
      </c>
      <c r="F187" s="2">
        <v>55</v>
      </c>
      <c r="G187" s="2">
        <v>216</v>
      </c>
      <c r="H187" s="2">
        <v>684</v>
      </c>
      <c r="I187" s="2">
        <v>1221</v>
      </c>
      <c r="J187" s="2">
        <v>2176</v>
      </c>
      <c r="K187" s="3">
        <f t="shared" si="13"/>
        <v>56.112132352941181</v>
      </c>
      <c r="L187" s="2">
        <v>55</v>
      </c>
    </row>
    <row r="188" spans="1:12" x14ac:dyDescent="0.25">
      <c r="A188" s="1" t="s">
        <v>150</v>
      </c>
      <c r="B188" s="1" t="s">
        <v>427</v>
      </c>
      <c r="C188" s="1" t="s">
        <v>768</v>
      </c>
      <c r="D188" s="1" t="s">
        <v>1112</v>
      </c>
      <c r="E188" s="2">
        <v>40801</v>
      </c>
      <c r="F188" s="2">
        <v>397</v>
      </c>
      <c r="G188" s="2">
        <v>1124</v>
      </c>
      <c r="H188" s="2">
        <v>2304</v>
      </c>
      <c r="I188" s="2">
        <v>2144</v>
      </c>
      <c r="J188" s="2">
        <v>5969</v>
      </c>
      <c r="K188" s="3">
        <f t="shared" si="13"/>
        <v>35.918914391020273</v>
      </c>
      <c r="L188" s="2">
        <v>397</v>
      </c>
    </row>
    <row r="189" spans="1:12" x14ac:dyDescent="0.25">
      <c r="A189" s="1" t="s">
        <v>1</v>
      </c>
      <c r="B189" s="1" t="s">
        <v>170</v>
      </c>
      <c r="C189" s="1" t="s">
        <v>456</v>
      </c>
      <c r="D189" s="1" t="s">
        <v>800</v>
      </c>
      <c r="E189" s="2">
        <v>40802</v>
      </c>
      <c r="F189" s="2">
        <v>152</v>
      </c>
      <c r="G189" s="2">
        <v>315</v>
      </c>
      <c r="H189" s="2">
        <v>387</v>
      </c>
      <c r="I189" s="2">
        <v>421</v>
      </c>
      <c r="J189" s="2">
        <v>1275</v>
      </c>
      <c r="K189" s="3">
        <f t="shared" si="13"/>
        <v>33.019607843137258</v>
      </c>
      <c r="L189" s="2">
        <v>152</v>
      </c>
    </row>
    <row r="190" spans="1:12" x14ac:dyDescent="0.25">
      <c r="A190" s="1" t="s">
        <v>26</v>
      </c>
      <c r="B190" s="1" t="s">
        <v>210</v>
      </c>
      <c r="C190" s="1" t="s">
        <v>498</v>
      </c>
      <c r="D190" s="1" t="s">
        <v>842</v>
      </c>
      <c r="E190" s="2">
        <v>40901</v>
      </c>
      <c r="F190" s="2">
        <v>194</v>
      </c>
      <c r="G190" s="2">
        <v>482</v>
      </c>
      <c r="H190" s="2">
        <v>1613</v>
      </c>
      <c r="I190" s="2">
        <v>1566</v>
      </c>
      <c r="J190" s="2">
        <v>3855</v>
      </c>
      <c r="K190" s="3">
        <f t="shared" si="13"/>
        <v>40.622568093385212</v>
      </c>
      <c r="L190" s="2">
        <v>194</v>
      </c>
    </row>
    <row r="191" spans="1:12" x14ac:dyDescent="0.25">
      <c r="A191" s="1" t="s">
        <v>148</v>
      </c>
      <c r="B191" s="1" t="s">
        <v>425</v>
      </c>
      <c r="C191" s="1" t="s">
        <v>765</v>
      </c>
      <c r="D191" s="1" t="s">
        <v>1109</v>
      </c>
      <c r="E191" s="2">
        <v>40902</v>
      </c>
      <c r="F191" s="2">
        <v>13</v>
      </c>
      <c r="G191" s="2">
        <v>34</v>
      </c>
      <c r="H191" s="2">
        <v>147</v>
      </c>
      <c r="I191" s="2">
        <v>163</v>
      </c>
      <c r="J191" s="2">
        <v>357</v>
      </c>
      <c r="K191" s="3">
        <f t="shared" si="13"/>
        <v>45.65826330532213</v>
      </c>
      <c r="L191" s="2">
        <v>13</v>
      </c>
    </row>
    <row r="192" spans="1:12" x14ac:dyDescent="0.25">
      <c r="A192" s="1" t="s">
        <v>148</v>
      </c>
      <c r="B192" s="1" t="s">
        <v>425</v>
      </c>
      <c r="C192" s="1" t="s">
        <v>766</v>
      </c>
      <c r="D192" s="1" t="s">
        <v>1110</v>
      </c>
      <c r="E192" s="2">
        <v>40903</v>
      </c>
      <c r="F192" s="2">
        <v>326</v>
      </c>
      <c r="G192" s="2">
        <v>248</v>
      </c>
      <c r="H192" s="2">
        <v>278</v>
      </c>
      <c r="I192" s="2">
        <v>253</v>
      </c>
      <c r="J192" s="2">
        <v>1105</v>
      </c>
      <c r="K192" s="3">
        <f t="shared" si="13"/>
        <v>22.895927601809955</v>
      </c>
      <c r="L192" s="2">
        <v>326</v>
      </c>
    </row>
    <row r="193" spans="1:12" x14ac:dyDescent="0.25">
      <c r="A193" s="1" t="s">
        <v>76</v>
      </c>
      <c r="B193" s="1" t="s">
        <v>284</v>
      </c>
      <c r="C193" s="1" t="s">
        <v>589</v>
      </c>
      <c r="D193" s="1" t="s">
        <v>933</v>
      </c>
      <c r="E193" s="2">
        <v>41001</v>
      </c>
      <c r="F193" s="2">
        <v>1108</v>
      </c>
      <c r="G193" s="2">
        <v>1604</v>
      </c>
      <c r="H193" s="2">
        <v>1397</v>
      </c>
      <c r="I193" s="2">
        <v>623</v>
      </c>
      <c r="J193" s="2">
        <v>4732</v>
      </c>
      <c r="K193" s="3">
        <f t="shared" si="13"/>
        <v>13.165680473372781</v>
      </c>
      <c r="L193" s="2">
        <v>1108</v>
      </c>
    </row>
    <row r="194" spans="1:12" x14ac:dyDescent="0.25">
      <c r="A194" s="1" t="s">
        <v>84</v>
      </c>
      <c r="B194" s="1" t="s">
        <v>293</v>
      </c>
      <c r="C194" s="1" t="s">
        <v>598</v>
      </c>
      <c r="D194" s="1" t="s">
        <v>942</v>
      </c>
      <c r="E194" s="2">
        <v>41101</v>
      </c>
      <c r="F194" s="2">
        <v>97</v>
      </c>
      <c r="G194" s="2">
        <v>321</v>
      </c>
      <c r="H194" s="2">
        <v>874</v>
      </c>
      <c r="I194" s="2">
        <v>644</v>
      </c>
      <c r="J194" s="2">
        <v>1936</v>
      </c>
      <c r="K194" s="3">
        <f t="shared" si="13"/>
        <v>33.264462809917354</v>
      </c>
      <c r="L194" s="2">
        <v>97</v>
      </c>
    </row>
    <row r="195" spans="1:12" x14ac:dyDescent="0.25">
      <c r="A195" s="1" t="s">
        <v>7</v>
      </c>
      <c r="B195" s="1" t="s">
        <v>181</v>
      </c>
      <c r="C195" s="1" t="s">
        <v>467</v>
      </c>
      <c r="D195" s="1" t="s">
        <v>811</v>
      </c>
      <c r="E195" s="2">
        <v>41201</v>
      </c>
      <c r="F195" s="2">
        <v>449</v>
      </c>
      <c r="G195" s="2">
        <v>635</v>
      </c>
      <c r="H195" s="2">
        <v>600</v>
      </c>
      <c r="I195" s="2">
        <v>601</v>
      </c>
      <c r="J195" s="2">
        <v>2285</v>
      </c>
      <c r="K195" s="3">
        <f t="shared" si="13"/>
        <v>26.301969365426697</v>
      </c>
      <c r="L195" s="2">
        <v>449</v>
      </c>
    </row>
    <row r="196" spans="1:12" x14ac:dyDescent="0.25">
      <c r="A196" s="1" t="s">
        <v>67</v>
      </c>
      <c r="B196" s="1" t="s">
        <v>269</v>
      </c>
      <c r="C196" s="1" t="s">
        <v>572</v>
      </c>
      <c r="D196" s="1" t="s">
        <v>916</v>
      </c>
      <c r="E196" s="2">
        <v>41202</v>
      </c>
      <c r="F196" s="2">
        <v>211</v>
      </c>
      <c r="G196" s="2">
        <v>180</v>
      </c>
      <c r="H196" s="2">
        <v>344</v>
      </c>
      <c r="I196" s="2">
        <v>364</v>
      </c>
      <c r="J196" s="2">
        <v>1099</v>
      </c>
      <c r="K196" s="3">
        <f t="shared" si="13"/>
        <v>33.121019108280251</v>
      </c>
      <c r="L196" s="2">
        <v>211</v>
      </c>
    </row>
    <row r="197" spans="1:12" x14ac:dyDescent="0.25">
      <c r="A197" s="1" t="s">
        <v>38</v>
      </c>
      <c r="B197" s="1" t="s">
        <v>225</v>
      </c>
      <c r="C197" s="1" t="s">
        <v>518</v>
      </c>
      <c r="D197" s="1" t="s">
        <v>862</v>
      </c>
      <c r="E197" s="2">
        <v>41301</v>
      </c>
      <c r="F197" s="2">
        <v>732</v>
      </c>
      <c r="G197" s="2">
        <v>740</v>
      </c>
      <c r="H197" s="2">
        <v>697</v>
      </c>
      <c r="I197" s="2">
        <v>479</v>
      </c>
      <c r="J197" s="2">
        <v>2648</v>
      </c>
      <c r="K197" s="3">
        <f t="shared" ref="K197:K260" si="14">(I197/J197)*100</f>
        <v>18.089123867069485</v>
      </c>
      <c r="L197" s="2">
        <v>732</v>
      </c>
    </row>
    <row r="198" spans="1:12" x14ac:dyDescent="0.25">
      <c r="A198" s="1" t="s">
        <v>5</v>
      </c>
      <c r="B198" s="1" t="s">
        <v>178</v>
      </c>
      <c r="C198" s="1" t="s">
        <v>464</v>
      </c>
      <c r="D198" s="1" t="s">
        <v>808</v>
      </c>
      <c r="E198" s="2">
        <v>41401</v>
      </c>
      <c r="F198" s="2">
        <v>574</v>
      </c>
      <c r="G198" s="2">
        <v>818</v>
      </c>
      <c r="H198" s="2">
        <v>1719</v>
      </c>
      <c r="I198" s="2">
        <v>1528</v>
      </c>
      <c r="J198" s="2">
        <v>4639</v>
      </c>
      <c r="K198" s="3">
        <f t="shared" si="14"/>
        <v>32.938133218366026</v>
      </c>
      <c r="L198" s="2">
        <v>574</v>
      </c>
    </row>
    <row r="199" spans="1:12" x14ac:dyDescent="0.25">
      <c r="A199" s="1" t="s">
        <v>44</v>
      </c>
      <c r="B199" s="1" t="s">
        <v>233</v>
      </c>
      <c r="C199" s="1" t="s">
        <v>526</v>
      </c>
      <c r="D199" s="1" t="s">
        <v>870</v>
      </c>
      <c r="E199" s="2">
        <v>41501</v>
      </c>
      <c r="F199" s="2">
        <v>41</v>
      </c>
      <c r="G199" s="2">
        <v>51</v>
      </c>
      <c r="H199" s="2">
        <v>57</v>
      </c>
      <c r="I199" s="2">
        <v>134</v>
      </c>
      <c r="J199" s="2">
        <v>283</v>
      </c>
      <c r="K199" s="3">
        <f t="shared" si="14"/>
        <v>47.349823321554766</v>
      </c>
      <c r="L199" s="2">
        <v>41</v>
      </c>
    </row>
    <row r="200" spans="1:12" x14ac:dyDescent="0.25">
      <c r="A200" s="1" t="s">
        <v>40</v>
      </c>
      <c r="B200" s="1" t="s">
        <v>228</v>
      </c>
      <c r="C200" s="1" t="s">
        <v>521</v>
      </c>
      <c r="D200" s="1" t="s">
        <v>865</v>
      </c>
      <c r="E200" s="2">
        <v>41502</v>
      </c>
      <c r="F200" s="2">
        <v>26</v>
      </c>
      <c r="G200" s="2">
        <v>52</v>
      </c>
      <c r="H200" s="2">
        <v>64</v>
      </c>
      <c r="I200" s="2">
        <v>187</v>
      </c>
      <c r="J200" s="2">
        <v>329</v>
      </c>
      <c r="K200" s="3">
        <f t="shared" si="14"/>
        <v>56.838905775075986</v>
      </c>
      <c r="L200" s="2">
        <v>26</v>
      </c>
    </row>
    <row r="201" spans="1:12" x14ac:dyDescent="0.25">
      <c r="A201" s="1" t="s">
        <v>61</v>
      </c>
      <c r="B201" s="1" t="s">
        <v>260</v>
      </c>
      <c r="C201" s="1" t="s">
        <v>561</v>
      </c>
      <c r="D201" s="1" t="s">
        <v>905</v>
      </c>
      <c r="E201" s="2">
        <v>41503</v>
      </c>
      <c r="F201" s="2">
        <v>11</v>
      </c>
      <c r="G201" s="2">
        <v>54</v>
      </c>
      <c r="H201" s="2">
        <v>91</v>
      </c>
      <c r="I201" s="2">
        <v>101</v>
      </c>
      <c r="J201" s="2">
        <v>257</v>
      </c>
      <c r="K201" s="3">
        <f t="shared" si="14"/>
        <v>39.299610894941637</v>
      </c>
      <c r="L201" s="2">
        <v>11</v>
      </c>
    </row>
    <row r="202" spans="1:12" x14ac:dyDescent="0.25">
      <c r="A202" s="1" t="s">
        <v>11</v>
      </c>
      <c r="B202" s="1" t="s">
        <v>187</v>
      </c>
      <c r="C202" s="1" t="s">
        <v>473</v>
      </c>
      <c r="D202" s="1" t="s">
        <v>817</v>
      </c>
      <c r="E202" s="2">
        <v>41601</v>
      </c>
      <c r="F202" s="2">
        <v>632</v>
      </c>
      <c r="G202" s="2">
        <v>677</v>
      </c>
      <c r="H202" s="2">
        <v>842</v>
      </c>
      <c r="I202" s="2">
        <v>571</v>
      </c>
      <c r="J202" s="2">
        <v>2722</v>
      </c>
      <c r="K202" s="3">
        <f t="shared" si="14"/>
        <v>20.977222630418808</v>
      </c>
      <c r="L202" s="2">
        <v>632</v>
      </c>
    </row>
    <row r="203" spans="1:12" x14ac:dyDescent="0.25">
      <c r="A203" s="1" t="s">
        <v>103</v>
      </c>
      <c r="B203" s="1" t="s">
        <v>335</v>
      </c>
      <c r="C203" s="1" t="s">
        <v>654</v>
      </c>
      <c r="D203" s="1" t="s">
        <v>998</v>
      </c>
      <c r="E203" s="2">
        <v>50101</v>
      </c>
      <c r="F203" s="2">
        <v>1118</v>
      </c>
      <c r="G203" s="2">
        <v>3407</v>
      </c>
      <c r="H203" s="2">
        <v>7305</v>
      </c>
      <c r="I203" s="2">
        <v>55549</v>
      </c>
      <c r="J203" s="2">
        <v>67379</v>
      </c>
      <c r="K203" s="3">
        <f t="shared" si="14"/>
        <v>82.442600810341503</v>
      </c>
      <c r="L203" s="2">
        <v>1118</v>
      </c>
    </row>
    <row r="204" spans="1:12" x14ac:dyDescent="0.25">
      <c r="A204" s="1" t="s">
        <v>22</v>
      </c>
      <c r="B204" s="1" t="s">
        <v>205</v>
      </c>
      <c r="C204" s="1" t="s">
        <v>493</v>
      </c>
      <c r="D204" s="1" t="s">
        <v>837</v>
      </c>
      <c r="E204" s="2">
        <v>50102</v>
      </c>
      <c r="F204" s="2">
        <v>1094</v>
      </c>
      <c r="G204" s="2">
        <v>2692</v>
      </c>
      <c r="H204" s="2">
        <v>5107</v>
      </c>
      <c r="I204" s="2">
        <v>903</v>
      </c>
      <c r="J204" s="2">
        <v>9796</v>
      </c>
      <c r="K204" s="3">
        <f t="shared" si="14"/>
        <v>9.2180481829318097</v>
      </c>
      <c r="L204" s="2">
        <v>1094</v>
      </c>
    </row>
    <row r="205" spans="1:12" x14ac:dyDescent="0.25">
      <c r="A205" s="1" t="s">
        <v>30</v>
      </c>
      <c r="B205" s="1" t="s">
        <v>214</v>
      </c>
      <c r="C205" s="1" t="s">
        <v>503</v>
      </c>
      <c r="D205" s="1" t="s">
        <v>847</v>
      </c>
      <c r="E205" s="2">
        <v>50103</v>
      </c>
      <c r="F205" s="2">
        <v>173</v>
      </c>
      <c r="G205" s="2">
        <v>569</v>
      </c>
      <c r="H205" s="2">
        <v>1750</v>
      </c>
      <c r="I205" s="2">
        <v>1699</v>
      </c>
      <c r="J205" s="2">
        <v>4191</v>
      </c>
      <c r="K205" s="3">
        <f t="shared" si="14"/>
        <v>40.539250775471245</v>
      </c>
      <c r="L205" s="2">
        <v>173</v>
      </c>
    </row>
    <row r="206" spans="1:12" x14ac:dyDescent="0.25">
      <c r="A206" s="1" t="s">
        <v>30</v>
      </c>
      <c r="B206" s="1" t="s">
        <v>214</v>
      </c>
      <c r="C206" s="1" t="s">
        <v>504</v>
      </c>
      <c r="D206" s="1" t="s">
        <v>848</v>
      </c>
      <c r="E206" s="2">
        <v>50104</v>
      </c>
      <c r="F206" s="2">
        <v>329</v>
      </c>
      <c r="G206" s="2">
        <v>332</v>
      </c>
      <c r="H206" s="2">
        <v>356</v>
      </c>
      <c r="I206" s="2">
        <v>204</v>
      </c>
      <c r="J206" s="2">
        <v>1221</v>
      </c>
      <c r="K206" s="3">
        <f t="shared" si="14"/>
        <v>16.707616707616708</v>
      </c>
      <c r="L206" s="2">
        <v>329</v>
      </c>
    </row>
    <row r="207" spans="1:12" x14ac:dyDescent="0.25">
      <c r="A207" s="1" t="s">
        <v>158</v>
      </c>
      <c r="B207" s="1" t="s">
        <v>441</v>
      </c>
      <c r="C207" s="1" t="s">
        <v>785</v>
      </c>
      <c r="D207" s="1" t="s">
        <v>1129</v>
      </c>
      <c r="E207" s="2">
        <v>50201</v>
      </c>
      <c r="F207" s="2">
        <v>588</v>
      </c>
      <c r="G207" s="2">
        <v>1380</v>
      </c>
      <c r="H207" s="2">
        <v>3263</v>
      </c>
      <c r="I207" s="2">
        <v>3206</v>
      </c>
      <c r="J207" s="2">
        <v>8437</v>
      </c>
      <c r="K207" s="3">
        <f t="shared" si="14"/>
        <v>37.999288846746474</v>
      </c>
      <c r="L207" s="2">
        <v>588</v>
      </c>
    </row>
    <row r="208" spans="1:12" x14ac:dyDescent="0.25">
      <c r="A208" s="1" t="s">
        <v>149</v>
      </c>
      <c r="B208" s="1" t="s">
        <v>426</v>
      </c>
      <c r="C208" s="1" t="s">
        <v>767</v>
      </c>
      <c r="D208" s="1" t="s">
        <v>1111</v>
      </c>
      <c r="E208" s="2">
        <v>50202</v>
      </c>
      <c r="F208" s="2">
        <v>166</v>
      </c>
      <c r="G208" s="2">
        <v>663</v>
      </c>
      <c r="H208" s="2">
        <v>2800</v>
      </c>
      <c r="I208" s="2">
        <v>2029</v>
      </c>
      <c r="J208" s="2">
        <v>5658</v>
      </c>
      <c r="K208" s="3">
        <f t="shared" si="14"/>
        <v>35.860728172499115</v>
      </c>
      <c r="L208" s="2">
        <v>166</v>
      </c>
    </row>
    <row r="209" spans="1:12" x14ac:dyDescent="0.25">
      <c r="A209" s="1" t="s">
        <v>2</v>
      </c>
      <c r="B209" s="1" t="s">
        <v>171</v>
      </c>
      <c r="C209" s="1" t="s">
        <v>457</v>
      </c>
      <c r="D209" s="1" t="s">
        <v>801</v>
      </c>
      <c r="E209" s="2">
        <v>50203</v>
      </c>
      <c r="F209" s="2">
        <v>429</v>
      </c>
      <c r="G209" s="2">
        <v>1468</v>
      </c>
      <c r="H209" s="2">
        <v>4185</v>
      </c>
      <c r="I209" s="2">
        <v>9935</v>
      </c>
      <c r="J209" s="2">
        <v>16017</v>
      </c>
      <c r="K209" s="3">
        <f t="shared" si="14"/>
        <v>62.027845414247359</v>
      </c>
      <c r="L209" s="2">
        <v>429</v>
      </c>
    </row>
    <row r="210" spans="1:12" x14ac:dyDescent="0.25">
      <c r="A210" s="1" t="s">
        <v>118</v>
      </c>
      <c r="B210" s="1" t="s">
        <v>363</v>
      </c>
      <c r="C210" s="1" t="s">
        <v>689</v>
      </c>
      <c r="D210" s="1" t="s">
        <v>1033</v>
      </c>
      <c r="E210" s="2">
        <v>50204</v>
      </c>
      <c r="F210" s="2">
        <v>213</v>
      </c>
      <c r="G210" s="2">
        <v>594</v>
      </c>
      <c r="H210" s="2">
        <v>1872</v>
      </c>
      <c r="I210" s="2">
        <v>353</v>
      </c>
      <c r="J210" s="2">
        <v>3032</v>
      </c>
      <c r="K210" s="3">
        <f t="shared" si="14"/>
        <v>11.642480211081795</v>
      </c>
      <c r="L210" s="2">
        <v>213</v>
      </c>
    </row>
    <row r="211" spans="1:12" x14ac:dyDescent="0.25">
      <c r="A211" s="1" t="s">
        <v>39</v>
      </c>
      <c r="B211" s="1" t="s">
        <v>226</v>
      </c>
      <c r="C211" s="1" t="s">
        <v>519</v>
      </c>
      <c r="D211" s="1" t="s">
        <v>863</v>
      </c>
      <c r="E211" s="2">
        <v>50301</v>
      </c>
      <c r="F211" s="2">
        <v>1085</v>
      </c>
      <c r="G211" s="2">
        <v>2002</v>
      </c>
      <c r="H211" s="2">
        <v>3816</v>
      </c>
      <c r="I211" s="2">
        <v>4018</v>
      </c>
      <c r="J211" s="2">
        <v>10921</v>
      </c>
      <c r="K211" s="3">
        <f t="shared" si="14"/>
        <v>36.791502609651133</v>
      </c>
      <c r="L211" s="2">
        <v>1085</v>
      </c>
    </row>
    <row r="212" spans="1:12" x14ac:dyDescent="0.25">
      <c r="A212" s="1" t="s">
        <v>99</v>
      </c>
      <c r="B212" s="1" t="s">
        <v>329</v>
      </c>
      <c r="C212" s="1" t="s">
        <v>646</v>
      </c>
      <c r="D212" s="1" t="s">
        <v>990</v>
      </c>
      <c r="E212" s="2">
        <v>50302</v>
      </c>
      <c r="F212" s="2">
        <v>362</v>
      </c>
      <c r="G212" s="2">
        <v>617</v>
      </c>
      <c r="H212" s="2">
        <v>1276</v>
      </c>
      <c r="I212" s="2">
        <v>1227</v>
      </c>
      <c r="J212" s="2">
        <v>3482</v>
      </c>
      <c r="K212" s="3">
        <f t="shared" si="14"/>
        <v>35.238368753589889</v>
      </c>
      <c r="L212" s="2">
        <v>362</v>
      </c>
    </row>
    <row r="213" spans="1:12" x14ac:dyDescent="0.25">
      <c r="A213" s="1" t="s">
        <v>156</v>
      </c>
      <c r="B213" s="1" t="s">
        <v>439</v>
      </c>
      <c r="C213" s="1" t="s">
        <v>783</v>
      </c>
      <c r="D213" s="1" t="s">
        <v>1127</v>
      </c>
      <c r="E213" s="2">
        <v>50303</v>
      </c>
      <c r="F213" s="2">
        <v>1197</v>
      </c>
      <c r="G213" s="2">
        <v>1623</v>
      </c>
      <c r="H213" s="2">
        <v>2096</v>
      </c>
      <c r="I213" s="2">
        <v>265</v>
      </c>
      <c r="J213" s="2">
        <v>5181</v>
      </c>
      <c r="K213" s="3">
        <f t="shared" si="14"/>
        <v>5.1148426944605285</v>
      </c>
      <c r="L213" s="2">
        <v>1197</v>
      </c>
    </row>
    <row r="214" spans="1:12" x14ac:dyDescent="0.25">
      <c r="A214" s="1" t="s">
        <v>48</v>
      </c>
      <c r="B214" s="1" t="s">
        <v>237</v>
      </c>
      <c r="C214" s="1" t="s">
        <v>531</v>
      </c>
      <c r="D214" s="1" t="s">
        <v>875</v>
      </c>
      <c r="E214" s="2">
        <v>50401</v>
      </c>
      <c r="F214" s="2">
        <v>930</v>
      </c>
      <c r="G214" s="2">
        <v>1707</v>
      </c>
      <c r="H214" s="2">
        <v>2106</v>
      </c>
      <c r="I214" s="2">
        <v>1754</v>
      </c>
      <c r="J214" s="2">
        <v>6497</v>
      </c>
      <c r="K214" s="3">
        <f t="shared" si="14"/>
        <v>26.997075573341544</v>
      </c>
      <c r="L214" s="2">
        <v>930</v>
      </c>
    </row>
    <row r="215" spans="1:12" x14ac:dyDescent="0.25">
      <c r="A215" s="1" t="s">
        <v>158</v>
      </c>
      <c r="B215" s="1" t="s">
        <v>442</v>
      </c>
      <c r="C215" s="1" t="s">
        <v>786</v>
      </c>
      <c r="D215" s="1" t="s">
        <v>1130</v>
      </c>
      <c r="E215" s="2">
        <v>50402</v>
      </c>
      <c r="F215" s="2">
        <v>1037</v>
      </c>
      <c r="G215" s="2">
        <v>1872</v>
      </c>
      <c r="H215" s="2">
        <v>2517</v>
      </c>
      <c r="I215" s="2">
        <v>1454</v>
      </c>
      <c r="J215" s="2">
        <v>6880</v>
      </c>
      <c r="K215" s="3">
        <f t="shared" si="14"/>
        <v>21.133720930232556</v>
      </c>
      <c r="L215" s="2">
        <v>1037</v>
      </c>
    </row>
    <row r="216" spans="1:12" x14ac:dyDescent="0.25">
      <c r="A216" s="1" t="s">
        <v>48</v>
      </c>
      <c r="B216" s="1" t="s">
        <v>237</v>
      </c>
      <c r="C216" s="1" t="s">
        <v>532</v>
      </c>
      <c r="D216" s="1" t="s">
        <v>876</v>
      </c>
      <c r="E216" s="2">
        <v>50403</v>
      </c>
      <c r="F216" s="2">
        <v>1464</v>
      </c>
      <c r="G216" s="2">
        <v>3313</v>
      </c>
      <c r="H216" s="2">
        <v>5787</v>
      </c>
      <c r="I216" s="2">
        <v>1974</v>
      </c>
      <c r="J216" s="2">
        <v>12538</v>
      </c>
      <c r="K216" s="3">
        <f t="shared" si="14"/>
        <v>15.744137821024088</v>
      </c>
      <c r="L216" s="2">
        <v>1464</v>
      </c>
    </row>
    <row r="217" spans="1:12" x14ac:dyDescent="0.25">
      <c r="A217" s="1" t="s">
        <v>107</v>
      </c>
      <c r="B217" s="1" t="s">
        <v>343</v>
      </c>
      <c r="C217" s="1" t="s">
        <v>663</v>
      </c>
      <c r="D217" s="1" t="s">
        <v>1007</v>
      </c>
      <c r="E217" s="2">
        <v>50404</v>
      </c>
      <c r="F217" s="2">
        <v>1093</v>
      </c>
      <c r="G217" s="2">
        <v>1884</v>
      </c>
      <c r="H217" s="2">
        <v>2237</v>
      </c>
      <c r="I217" s="2">
        <v>967</v>
      </c>
      <c r="J217" s="2">
        <v>6181</v>
      </c>
      <c r="K217" s="3">
        <f t="shared" si="14"/>
        <v>15.644717683222781</v>
      </c>
      <c r="L217" s="2">
        <v>1093</v>
      </c>
    </row>
    <row r="218" spans="1:12" x14ac:dyDescent="0.25">
      <c r="A218" s="1" t="s">
        <v>166</v>
      </c>
      <c r="B218" s="1" t="s">
        <v>451</v>
      </c>
      <c r="C218" s="1" t="s">
        <v>795</v>
      </c>
      <c r="D218" s="1" t="s">
        <v>1139</v>
      </c>
      <c r="E218" s="2">
        <v>50405</v>
      </c>
      <c r="F218" s="2">
        <v>1058</v>
      </c>
      <c r="G218" s="2">
        <v>2277</v>
      </c>
      <c r="H218" s="2">
        <v>3712</v>
      </c>
      <c r="I218" s="2">
        <v>1391</v>
      </c>
      <c r="J218" s="2">
        <v>8438</v>
      </c>
      <c r="K218" s="3">
        <f t="shared" si="14"/>
        <v>16.484949040056883</v>
      </c>
      <c r="L218" s="2">
        <v>1058</v>
      </c>
    </row>
    <row r="219" spans="1:12" x14ac:dyDescent="0.25">
      <c r="A219" s="1" t="s">
        <v>22</v>
      </c>
      <c r="B219" s="1" t="s">
        <v>206</v>
      </c>
      <c r="C219" s="1" t="s">
        <v>494</v>
      </c>
      <c r="D219" s="1" t="s">
        <v>838</v>
      </c>
      <c r="E219" s="2">
        <v>50501</v>
      </c>
      <c r="F219" s="2">
        <v>2897</v>
      </c>
      <c r="G219" s="2">
        <v>3841</v>
      </c>
      <c r="H219" s="2">
        <v>3524</v>
      </c>
      <c r="I219" s="2">
        <v>1041</v>
      </c>
      <c r="J219" s="2">
        <v>11303</v>
      </c>
      <c r="K219" s="3">
        <f t="shared" si="14"/>
        <v>9.2099442625851538</v>
      </c>
      <c r="L219" s="2">
        <v>2897</v>
      </c>
    </row>
    <row r="220" spans="1:12" x14ac:dyDescent="0.25">
      <c r="A220" s="1" t="s">
        <v>56</v>
      </c>
      <c r="B220" s="1" t="s">
        <v>253</v>
      </c>
      <c r="C220" s="1" t="s">
        <v>553</v>
      </c>
      <c r="D220" s="1" t="s">
        <v>897</v>
      </c>
      <c r="E220" s="2">
        <v>50502</v>
      </c>
      <c r="F220" s="2">
        <v>782</v>
      </c>
      <c r="G220" s="2">
        <v>1283</v>
      </c>
      <c r="H220" s="2">
        <v>1128</v>
      </c>
      <c r="I220" s="2">
        <v>999</v>
      </c>
      <c r="J220" s="2">
        <v>4192</v>
      </c>
      <c r="K220" s="3">
        <f t="shared" si="14"/>
        <v>23.831106870229007</v>
      </c>
      <c r="L220" s="2">
        <v>782</v>
      </c>
    </row>
    <row r="221" spans="1:12" x14ac:dyDescent="0.25">
      <c r="A221" s="1" t="s">
        <v>160</v>
      </c>
      <c r="B221" s="1" t="s">
        <v>445</v>
      </c>
      <c r="C221" s="1" t="s">
        <v>789</v>
      </c>
      <c r="D221" s="1" t="s">
        <v>1133</v>
      </c>
      <c r="E221" s="2">
        <v>50601</v>
      </c>
      <c r="F221" s="2">
        <v>1463</v>
      </c>
      <c r="G221" s="2">
        <v>2045</v>
      </c>
      <c r="H221" s="2">
        <v>3320</v>
      </c>
      <c r="I221" s="2">
        <v>4396</v>
      </c>
      <c r="J221" s="2">
        <v>11224</v>
      </c>
      <c r="K221" s="3">
        <f t="shared" si="14"/>
        <v>39.166072701354246</v>
      </c>
      <c r="L221" s="2">
        <v>1463</v>
      </c>
    </row>
    <row r="222" spans="1:12" x14ac:dyDescent="0.25">
      <c r="A222" s="1" t="s">
        <v>68</v>
      </c>
      <c r="B222" s="1" t="s">
        <v>271</v>
      </c>
      <c r="C222" s="1" t="s">
        <v>574</v>
      </c>
      <c r="D222" s="1" t="s">
        <v>918</v>
      </c>
      <c r="E222" s="2">
        <v>50602</v>
      </c>
      <c r="F222" s="2">
        <v>466</v>
      </c>
      <c r="G222" s="2">
        <v>525</v>
      </c>
      <c r="H222" s="2">
        <v>1241</v>
      </c>
      <c r="I222" s="2">
        <v>1648</v>
      </c>
      <c r="J222" s="2">
        <v>3880</v>
      </c>
      <c r="K222" s="3">
        <f t="shared" si="14"/>
        <v>42.47422680412371</v>
      </c>
      <c r="L222" s="2">
        <v>466</v>
      </c>
    </row>
    <row r="223" spans="1:12" x14ac:dyDescent="0.25">
      <c r="A223" s="1" t="s">
        <v>4</v>
      </c>
      <c r="B223" s="1" t="s">
        <v>174</v>
      </c>
      <c r="C223" s="1" t="s">
        <v>460</v>
      </c>
      <c r="D223" s="1" t="s">
        <v>804</v>
      </c>
      <c r="E223" s="2">
        <v>50701</v>
      </c>
      <c r="F223" s="2">
        <v>450</v>
      </c>
      <c r="G223" s="2">
        <v>1506</v>
      </c>
      <c r="H223" s="2">
        <v>3400</v>
      </c>
      <c r="I223" s="2">
        <v>1423</v>
      </c>
      <c r="J223" s="2">
        <v>6779</v>
      </c>
      <c r="K223" s="3">
        <f t="shared" si="14"/>
        <v>20.991296651423514</v>
      </c>
      <c r="L223" s="2">
        <v>450</v>
      </c>
    </row>
    <row r="224" spans="1:12" x14ac:dyDescent="0.25">
      <c r="A224" s="1" t="s">
        <v>2</v>
      </c>
      <c r="B224" s="1" t="s">
        <v>172</v>
      </c>
      <c r="C224" s="1" t="s">
        <v>458</v>
      </c>
      <c r="D224" s="1" t="s">
        <v>802</v>
      </c>
      <c r="E224" s="2">
        <v>50702</v>
      </c>
      <c r="F224" s="2">
        <v>264</v>
      </c>
      <c r="G224" s="2">
        <v>825</v>
      </c>
      <c r="H224" s="2">
        <v>2008</v>
      </c>
      <c r="I224" s="2">
        <v>420</v>
      </c>
      <c r="J224" s="2">
        <v>3517</v>
      </c>
      <c r="K224" s="3">
        <f t="shared" si="14"/>
        <v>11.941996019334661</v>
      </c>
      <c r="L224" s="2">
        <v>264</v>
      </c>
    </row>
    <row r="225" spans="1:12" x14ac:dyDescent="0.25">
      <c r="A225" s="1" t="s">
        <v>151</v>
      </c>
      <c r="B225" s="1" t="s">
        <v>428</v>
      </c>
      <c r="C225" s="1" t="s">
        <v>769</v>
      </c>
      <c r="D225" s="1" t="s">
        <v>1113</v>
      </c>
      <c r="E225" s="2">
        <v>50801</v>
      </c>
      <c r="F225" s="2">
        <v>683</v>
      </c>
      <c r="G225" s="2">
        <v>1259</v>
      </c>
      <c r="H225" s="2">
        <v>2583</v>
      </c>
      <c r="I225" s="2">
        <v>11351</v>
      </c>
      <c r="J225" s="2">
        <v>15876</v>
      </c>
      <c r="K225" s="3">
        <f t="shared" si="14"/>
        <v>71.497858402620309</v>
      </c>
      <c r="L225" s="2">
        <v>683</v>
      </c>
    </row>
    <row r="226" spans="1:12" x14ac:dyDescent="0.25">
      <c r="A226" s="1" t="s">
        <v>151</v>
      </c>
      <c r="B226" s="1" t="s">
        <v>428</v>
      </c>
      <c r="C226" s="1" t="s">
        <v>770</v>
      </c>
      <c r="D226" s="1" t="s">
        <v>1114</v>
      </c>
      <c r="E226" s="2">
        <v>50802</v>
      </c>
      <c r="F226" s="2">
        <v>156</v>
      </c>
      <c r="G226" s="2">
        <v>205</v>
      </c>
      <c r="H226" s="2">
        <v>2019</v>
      </c>
      <c r="I226" s="2">
        <v>1371</v>
      </c>
      <c r="J226" s="2">
        <v>3751</v>
      </c>
      <c r="K226" s="3">
        <f t="shared" si="14"/>
        <v>36.550253265795789</v>
      </c>
      <c r="L226" s="2">
        <v>156</v>
      </c>
    </row>
    <row r="227" spans="1:12" x14ac:dyDescent="0.25">
      <c r="A227" s="1" t="s">
        <v>24</v>
      </c>
      <c r="B227" s="1" t="s">
        <v>208</v>
      </c>
      <c r="C227" s="1" t="s">
        <v>496</v>
      </c>
      <c r="D227" s="1" t="s">
        <v>840</v>
      </c>
      <c r="E227" s="2">
        <v>50901</v>
      </c>
      <c r="F227" s="2">
        <v>207</v>
      </c>
      <c r="G227" s="2">
        <v>363</v>
      </c>
      <c r="H227" s="2">
        <v>744</v>
      </c>
      <c r="I227" s="2">
        <v>2851</v>
      </c>
      <c r="J227" s="2">
        <v>4165</v>
      </c>
      <c r="K227" s="3">
        <f t="shared" si="14"/>
        <v>68.451380552220883</v>
      </c>
      <c r="L227" s="2">
        <v>207</v>
      </c>
    </row>
    <row r="228" spans="1:12" x14ac:dyDescent="0.25">
      <c r="A228" s="1" t="s">
        <v>151</v>
      </c>
      <c r="B228" s="1" t="s">
        <v>429</v>
      </c>
      <c r="C228" s="1" t="s">
        <v>771</v>
      </c>
      <c r="D228" s="1" t="s">
        <v>1115</v>
      </c>
      <c r="E228" s="2">
        <v>50902</v>
      </c>
      <c r="F228" s="2">
        <v>59</v>
      </c>
      <c r="G228" s="2">
        <v>66</v>
      </c>
      <c r="H228" s="2">
        <v>147</v>
      </c>
      <c r="I228" s="2">
        <v>385</v>
      </c>
      <c r="J228" s="2">
        <v>657</v>
      </c>
      <c r="K228" s="3">
        <f t="shared" si="14"/>
        <v>58.599695585996955</v>
      </c>
      <c r="L228" s="2">
        <v>59</v>
      </c>
    </row>
    <row r="229" spans="1:12" x14ac:dyDescent="0.25">
      <c r="A229" s="1" t="s">
        <v>58</v>
      </c>
      <c r="B229" s="1" t="s">
        <v>257</v>
      </c>
      <c r="C229" s="1" t="s">
        <v>557</v>
      </c>
      <c r="D229" s="1" t="s">
        <v>901</v>
      </c>
      <c r="E229" s="2">
        <v>51001</v>
      </c>
      <c r="F229" s="2">
        <v>183</v>
      </c>
      <c r="G229" s="2">
        <v>235</v>
      </c>
      <c r="H229" s="2">
        <v>270</v>
      </c>
      <c r="I229" s="2">
        <v>423</v>
      </c>
      <c r="J229" s="2">
        <v>1111</v>
      </c>
      <c r="K229" s="3">
        <f t="shared" si="14"/>
        <v>38.073807380738074</v>
      </c>
      <c r="L229" s="2">
        <v>183</v>
      </c>
    </row>
    <row r="230" spans="1:12" x14ac:dyDescent="0.25">
      <c r="A230" s="1" t="s">
        <v>54</v>
      </c>
      <c r="B230" s="1" t="s">
        <v>248</v>
      </c>
      <c r="C230" s="1" t="s">
        <v>547</v>
      </c>
      <c r="D230" s="1" t="s">
        <v>891</v>
      </c>
      <c r="E230" s="2">
        <v>51002</v>
      </c>
      <c r="F230" s="2">
        <v>99</v>
      </c>
      <c r="G230" s="2">
        <v>45</v>
      </c>
      <c r="H230" s="2">
        <v>81</v>
      </c>
      <c r="I230" s="2">
        <v>99</v>
      </c>
      <c r="J230" s="2">
        <v>324</v>
      </c>
      <c r="K230" s="3">
        <f t="shared" si="14"/>
        <v>30.555555555555557</v>
      </c>
      <c r="L230" s="2">
        <v>99</v>
      </c>
    </row>
    <row r="231" spans="1:12" x14ac:dyDescent="0.25">
      <c r="A231" s="1" t="s">
        <v>43</v>
      </c>
      <c r="B231" s="1" t="s">
        <v>232</v>
      </c>
      <c r="C231" s="1" t="s">
        <v>525</v>
      </c>
      <c r="D231" s="1" t="s">
        <v>869</v>
      </c>
      <c r="E231" s="2">
        <v>51003</v>
      </c>
      <c r="F231" s="2">
        <v>95</v>
      </c>
      <c r="G231" s="2">
        <v>156</v>
      </c>
      <c r="H231" s="2">
        <v>226</v>
      </c>
      <c r="I231" s="2">
        <v>213</v>
      </c>
      <c r="J231" s="2">
        <v>690</v>
      </c>
      <c r="K231" s="3">
        <f t="shared" si="14"/>
        <v>30.869565217391305</v>
      </c>
      <c r="L231" s="2">
        <v>95</v>
      </c>
    </row>
    <row r="232" spans="1:12" x14ac:dyDescent="0.25">
      <c r="A232" s="1" t="s">
        <v>99</v>
      </c>
      <c r="B232" s="1" t="s">
        <v>330</v>
      </c>
      <c r="C232" s="1" t="s">
        <v>647</v>
      </c>
      <c r="D232" s="1" t="s">
        <v>991</v>
      </c>
      <c r="E232" s="2">
        <v>51101</v>
      </c>
      <c r="F232" s="2">
        <v>509</v>
      </c>
      <c r="G232" s="2">
        <v>1002</v>
      </c>
      <c r="H232" s="2">
        <v>2059</v>
      </c>
      <c r="I232" s="2">
        <v>2681</v>
      </c>
      <c r="J232" s="2">
        <v>6251</v>
      </c>
      <c r="K232" s="3">
        <f t="shared" si="14"/>
        <v>42.889137737961924</v>
      </c>
      <c r="L232" s="2">
        <v>509</v>
      </c>
    </row>
    <row r="233" spans="1:12" x14ac:dyDescent="0.25">
      <c r="A233" s="1" t="s">
        <v>96</v>
      </c>
      <c r="B233" s="1" t="s">
        <v>326</v>
      </c>
      <c r="C233" s="1" t="s">
        <v>643</v>
      </c>
      <c r="D233" s="1" t="s">
        <v>987</v>
      </c>
      <c r="E233" s="2">
        <v>51102</v>
      </c>
      <c r="F233" s="2">
        <v>548</v>
      </c>
      <c r="G233" s="2">
        <v>667</v>
      </c>
      <c r="H233" s="2">
        <v>1172</v>
      </c>
      <c r="I233" s="2">
        <v>2256</v>
      </c>
      <c r="J233" s="2">
        <v>4643</v>
      </c>
      <c r="K233" s="3">
        <f t="shared" si="14"/>
        <v>48.589274176179195</v>
      </c>
      <c r="L233" s="2">
        <v>548</v>
      </c>
    </row>
    <row r="234" spans="1:12" x14ac:dyDescent="0.25">
      <c r="A234" s="1" t="s">
        <v>99</v>
      </c>
      <c r="B234" s="1" t="s">
        <v>330</v>
      </c>
      <c r="C234" s="1" t="s">
        <v>648</v>
      </c>
      <c r="D234" s="1" t="s">
        <v>992</v>
      </c>
      <c r="E234" s="2">
        <v>51103</v>
      </c>
      <c r="F234" s="2">
        <v>763</v>
      </c>
      <c r="G234" s="2">
        <v>1428</v>
      </c>
      <c r="H234" s="2">
        <v>1476</v>
      </c>
      <c r="I234" s="2">
        <v>536</v>
      </c>
      <c r="J234" s="2">
        <v>4203</v>
      </c>
      <c r="K234" s="3">
        <f t="shared" si="14"/>
        <v>12.752795622174636</v>
      </c>
      <c r="L234" s="2">
        <v>763</v>
      </c>
    </row>
    <row r="235" spans="1:12" x14ac:dyDescent="0.25">
      <c r="A235" s="1" t="s">
        <v>146</v>
      </c>
      <c r="B235" s="1" t="s">
        <v>420</v>
      </c>
      <c r="C235" s="1" t="s">
        <v>760</v>
      </c>
      <c r="D235" s="1" t="s">
        <v>1104</v>
      </c>
      <c r="E235" s="2">
        <v>51201</v>
      </c>
      <c r="F235" s="2">
        <v>814</v>
      </c>
      <c r="G235" s="2">
        <v>1265</v>
      </c>
      <c r="H235" s="2">
        <v>8408</v>
      </c>
      <c r="I235" s="2">
        <v>2647</v>
      </c>
      <c r="J235" s="2">
        <v>13134</v>
      </c>
      <c r="K235" s="3">
        <f t="shared" si="14"/>
        <v>20.15379929952794</v>
      </c>
      <c r="L235" s="2">
        <v>814</v>
      </c>
    </row>
    <row r="236" spans="1:12" x14ac:dyDescent="0.25">
      <c r="A236" s="1" t="s">
        <v>28</v>
      </c>
      <c r="B236" s="1" t="s">
        <v>212</v>
      </c>
      <c r="C236" s="1" t="s">
        <v>500</v>
      </c>
      <c r="D236" s="1" t="s">
        <v>844</v>
      </c>
      <c r="E236" s="2">
        <v>51202</v>
      </c>
      <c r="F236" s="2">
        <v>441</v>
      </c>
      <c r="G236" s="2">
        <v>896</v>
      </c>
      <c r="H236" s="2">
        <v>1206</v>
      </c>
      <c r="I236" s="2">
        <v>774</v>
      </c>
      <c r="J236" s="2">
        <v>3317</v>
      </c>
      <c r="K236" s="3">
        <f t="shared" si="14"/>
        <v>23.33433825746156</v>
      </c>
      <c r="L236" s="2">
        <v>441</v>
      </c>
    </row>
    <row r="237" spans="1:12" x14ac:dyDescent="0.25">
      <c r="A237" s="1" t="s">
        <v>28</v>
      </c>
      <c r="B237" s="1" t="s">
        <v>212</v>
      </c>
      <c r="C237" s="1" t="s">
        <v>501</v>
      </c>
      <c r="D237" s="1" t="s">
        <v>845</v>
      </c>
      <c r="E237" s="2">
        <v>51203</v>
      </c>
      <c r="F237" s="2">
        <v>201</v>
      </c>
      <c r="G237" s="2">
        <v>516</v>
      </c>
      <c r="H237" s="2">
        <v>642</v>
      </c>
      <c r="I237" s="2">
        <v>3927</v>
      </c>
      <c r="J237" s="2">
        <v>5286</v>
      </c>
      <c r="K237" s="3">
        <f t="shared" si="14"/>
        <v>74.290578887627703</v>
      </c>
      <c r="L237" s="2">
        <v>201</v>
      </c>
    </row>
    <row r="238" spans="1:12" x14ac:dyDescent="0.25">
      <c r="A238" s="1" t="s">
        <v>166</v>
      </c>
      <c r="B238" s="1" t="s">
        <v>452</v>
      </c>
      <c r="C238" s="1" t="s">
        <v>796</v>
      </c>
      <c r="D238" s="1" t="s">
        <v>1140</v>
      </c>
      <c r="E238" s="2">
        <v>51204</v>
      </c>
      <c r="F238" s="2">
        <v>412</v>
      </c>
      <c r="G238" s="2">
        <v>584</v>
      </c>
      <c r="H238" s="2">
        <v>872</v>
      </c>
      <c r="I238" s="2">
        <v>739</v>
      </c>
      <c r="J238" s="2">
        <v>2607</v>
      </c>
      <c r="K238" s="3">
        <f t="shared" si="14"/>
        <v>28.346758726505563</v>
      </c>
      <c r="L238" s="2">
        <v>412</v>
      </c>
    </row>
    <row r="239" spans="1:12" x14ac:dyDescent="0.25">
      <c r="A239" s="1" t="s">
        <v>72</v>
      </c>
      <c r="B239" s="1" t="s">
        <v>275</v>
      </c>
      <c r="C239" s="1" t="s">
        <v>578</v>
      </c>
      <c r="D239" s="1" t="s">
        <v>922</v>
      </c>
      <c r="E239" s="2">
        <v>51301</v>
      </c>
      <c r="F239" s="2">
        <v>117</v>
      </c>
      <c r="G239" s="2">
        <v>360</v>
      </c>
      <c r="H239" s="2">
        <v>607</v>
      </c>
      <c r="I239" s="2">
        <v>373</v>
      </c>
      <c r="J239" s="2">
        <v>1457</v>
      </c>
      <c r="K239" s="3">
        <f t="shared" si="14"/>
        <v>25.600549073438572</v>
      </c>
      <c r="L239" s="2">
        <v>117</v>
      </c>
    </row>
    <row r="240" spans="1:12" x14ac:dyDescent="0.25">
      <c r="A240" s="1" t="s">
        <v>4</v>
      </c>
      <c r="B240" s="1" t="s">
        <v>175</v>
      </c>
      <c r="C240" s="1" t="s">
        <v>461</v>
      </c>
      <c r="D240" s="1" t="s">
        <v>805</v>
      </c>
      <c r="E240" s="2">
        <v>51302</v>
      </c>
      <c r="F240" s="2">
        <v>160</v>
      </c>
      <c r="G240" s="2">
        <v>385</v>
      </c>
      <c r="H240" s="2">
        <v>875</v>
      </c>
      <c r="I240" s="2">
        <v>411</v>
      </c>
      <c r="J240" s="2">
        <v>1831</v>
      </c>
      <c r="K240" s="3">
        <f t="shared" si="14"/>
        <v>22.446750409612235</v>
      </c>
      <c r="L240" s="2">
        <v>160</v>
      </c>
    </row>
    <row r="241" spans="1:12" x14ac:dyDescent="0.25">
      <c r="A241" s="1" t="s">
        <v>48</v>
      </c>
      <c r="B241" s="1" t="s">
        <v>238</v>
      </c>
      <c r="C241" s="1" t="s">
        <v>533</v>
      </c>
      <c r="D241" s="1" t="s">
        <v>877</v>
      </c>
      <c r="E241" s="2">
        <v>51401</v>
      </c>
      <c r="F241" s="2">
        <v>35</v>
      </c>
      <c r="G241" s="2">
        <v>175</v>
      </c>
      <c r="H241" s="2">
        <v>658</v>
      </c>
      <c r="I241" s="2">
        <v>988</v>
      </c>
      <c r="J241" s="2">
        <v>1856</v>
      </c>
      <c r="K241" s="3">
        <f t="shared" si="14"/>
        <v>53.232758620689658</v>
      </c>
      <c r="L241" s="2">
        <v>35</v>
      </c>
    </row>
    <row r="242" spans="1:12" x14ac:dyDescent="0.25">
      <c r="A242" s="1" t="s">
        <v>58</v>
      </c>
      <c r="B242" s="1" t="s">
        <v>256</v>
      </c>
      <c r="C242" s="1" t="s">
        <v>556</v>
      </c>
      <c r="D242" s="1" t="s">
        <v>900</v>
      </c>
      <c r="E242" s="2">
        <v>51402</v>
      </c>
      <c r="F242" s="2">
        <v>87</v>
      </c>
      <c r="G242" s="2">
        <v>118</v>
      </c>
      <c r="H242" s="2">
        <v>307</v>
      </c>
      <c r="I242" s="2">
        <v>230</v>
      </c>
      <c r="J242" s="2">
        <v>742</v>
      </c>
      <c r="K242" s="3">
        <f t="shared" si="14"/>
        <v>30.997304582210244</v>
      </c>
      <c r="L242" s="2">
        <v>87</v>
      </c>
    </row>
    <row r="243" spans="1:12" x14ac:dyDescent="0.25">
      <c r="A243" s="1" t="s">
        <v>162</v>
      </c>
      <c r="B243" s="1" t="s">
        <v>447</v>
      </c>
      <c r="C243" s="1" t="s">
        <v>791</v>
      </c>
      <c r="D243" s="1" t="s">
        <v>1135</v>
      </c>
      <c r="E243" s="2">
        <v>51501</v>
      </c>
      <c r="F243" s="2">
        <v>444</v>
      </c>
      <c r="G243" s="2">
        <v>909</v>
      </c>
      <c r="H243" s="2">
        <v>1822</v>
      </c>
      <c r="I243" s="2">
        <v>11258</v>
      </c>
      <c r="J243" s="2">
        <v>14433</v>
      </c>
      <c r="K243" s="3">
        <f t="shared" si="14"/>
        <v>78.00180142728469</v>
      </c>
      <c r="L243" s="2">
        <v>444</v>
      </c>
    </row>
    <row r="244" spans="1:12" x14ac:dyDescent="0.25">
      <c r="A244" s="1" t="s">
        <v>56</v>
      </c>
      <c r="B244" s="1" t="s">
        <v>254</v>
      </c>
      <c r="C244" s="1" t="s">
        <v>554</v>
      </c>
      <c r="D244" s="1" t="s">
        <v>898</v>
      </c>
      <c r="E244" s="2">
        <v>51601</v>
      </c>
      <c r="F244" s="2">
        <v>22</v>
      </c>
      <c r="G244" s="2">
        <v>60</v>
      </c>
      <c r="H244" s="2">
        <v>165</v>
      </c>
      <c r="I244" s="2">
        <v>420</v>
      </c>
      <c r="J244" s="2">
        <v>667</v>
      </c>
      <c r="K244" s="3">
        <f t="shared" si="14"/>
        <v>62.968515742128936</v>
      </c>
      <c r="L244" s="2">
        <v>22</v>
      </c>
    </row>
    <row r="245" spans="1:12" x14ac:dyDescent="0.25">
      <c r="A245" s="1" t="s">
        <v>57</v>
      </c>
      <c r="B245" s="1" t="s">
        <v>255</v>
      </c>
      <c r="C245" s="1" t="s">
        <v>555</v>
      </c>
      <c r="D245" s="1" t="s">
        <v>899</v>
      </c>
      <c r="E245" s="2">
        <v>60101</v>
      </c>
      <c r="F245" s="2">
        <v>411</v>
      </c>
      <c r="G245" s="2">
        <v>4120</v>
      </c>
      <c r="H245" s="2">
        <v>12745</v>
      </c>
      <c r="I245" s="2">
        <v>55433</v>
      </c>
      <c r="J245" s="2">
        <v>72709</v>
      </c>
      <c r="K245" s="3">
        <f t="shared" si="14"/>
        <v>76.239530181958216</v>
      </c>
      <c r="L245" s="2">
        <v>411</v>
      </c>
    </row>
    <row r="246" spans="1:12" x14ac:dyDescent="0.25">
      <c r="A246" s="1" t="s">
        <v>163</v>
      </c>
      <c r="B246" s="1" t="s">
        <v>448</v>
      </c>
      <c r="C246" s="1" t="s">
        <v>792</v>
      </c>
      <c r="D246" s="1" t="s">
        <v>1136</v>
      </c>
      <c r="E246" s="2">
        <v>60201</v>
      </c>
      <c r="F246" s="2">
        <v>253</v>
      </c>
      <c r="G246" s="2">
        <v>602</v>
      </c>
      <c r="H246" s="2">
        <v>1297</v>
      </c>
      <c r="I246" s="2">
        <v>3497</v>
      </c>
      <c r="J246" s="2">
        <v>5649</v>
      </c>
      <c r="K246" s="3">
        <f t="shared" si="14"/>
        <v>61.904761904761905</v>
      </c>
      <c r="L246" s="2">
        <v>253</v>
      </c>
    </row>
    <row r="247" spans="1:12" x14ac:dyDescent="0.25">
      <c r="A247" s="1" t="s">
        <v>153</v>
      </c>
      <c r="B247" s="1" t="s">
        <v>433</v>
      </c>
      <c r="C247" s="1" t="s">
        <v>775</v>
      </c>
      <c r="D247" s="1" t="s">
        <v>1119</v>
      </c>
      <c r="E247" s="2">
        <v>60202</v>
      </c>
      <c r="F247" s="2">
        <v>68</v>
      </c>
      <c r="G247" s="2">
        <v>389</v>
      </c>
      <c r="H247" s="2">
        <v>1299</v>
      </c>
      <c r="I247" s="2">
        <v>8870</v>
      </c>
      <c r="J247" s="2">
        <v>10626</v>
      </c>
      <c r="K247" s="3">
        <f t="shared" si="14"/>
        <v>83.474496517974785</v>
      </c>
      <c r="L247" s="2">
        <v>68</v>
      </c>
    </row>
    <row r="248" spans="1:12" x14ac:dyDescent="0.25">
      <c r="A248" s="1" t="s">
        <v>55</v>
      </c>
      <c r="B248" s="1" t="s">
        <v>249</v>
      </c>
      <c r="C248" s="1" t="s">
        <v>548</v>
      </c>
      <c r="D248" s="1" t="s">
        <v>892</v>
      </c>
      <c r="E248" s="2">
        <v>60301</v>
      </c>
      <c r="F248" s="2">
        <v>131</v>
      </c>
      <c r="G248" s="2">
        <v>1102</v>
      </c>
      <c r="H248" s="2">
        <v>4447</v>
      </c>
      <c r="I248" s="2">
        <v>21628</v>
      </c>
      <c r="J248" s="2">
        <v>27308</v>
      </c>
      <c r="K248" s="3">
        <f t="shared" si="14"/>
        <v>79.200234363556461</v>
      </c>
      <c r="L248" s="2">
        <v>131</v>
      </c>
    </row>
    <row r="249" spans="1:12" x14ac:dyDescent="0.25">
      <c r="A249" s="1" t="s">
        <v>55</v>
      </c>
      <c r="B249" s="1" t="s">
        <v>251</v>
      </c>
      <c r="C249" s="1" t="s">
        <v>550</v>
      </c>
      <c r="D249" s="1" t="s">
        <v>894</v>
      </c>
      <c r="E249" s="2">
        <v>60302</v>
      </c>
      <c r="F249" s="2">
        <v>80</v>
      </c>
      <c r="G249" s="2">
        <v>213</v>
      </c>
      <c r="H249" s="2">
        <v>870</v>
      </c>
      <c r="I249" s="2">
        <v>3521</v>
      </c>
      <c r="J249" s="2">
        <v>4684</v>
      </c>
      <c r="K249" s="3">
        <f t="shared" si="14"/>
        <v>75.170794192997434</v>
      </c>
      <c r="L249" s="2">
        <v>80</v>
      </c>
    </row>
    <row r="250" spans="1:12" x14ac:dyDescent="0.25">
      <c r="A250" s="1" t="s">
        <v>29</v>
      </c>
      <c r="B250" s="1" t="s">
        <v>213</v>
      </c>
      <c r="C250" s="1" t="s">
        <v>502</v>
      </c>
      <c r="D250" s="1" t="s">
        <v>846</v>
      </c>
      <c r="E250" s="2">
        <v>60303</v>
      </c>
      <c r="F250" s="2">
        <v>162</v>
      </c>
      <c r="G250" s="2">
        <v>790</v>
      </c>
      <c r="H250" s="2">
        <v>4626</v>
      </c>
      <c r="I250" s="2">
        <v>8462</v>
      </c>
      <c r="J250" s="2">
        <v>14040</v>
      </c>
      <c r="K250" s="3">
        <f t="shared" si="14"/>
        <v>60.270655270655269</v>
      </c>
      <c r="L250" s="2">
        <v>162</v>
      </c>
    </row>
    <row r="251" spans="1:12" x14ac:dyDescent="0.25">
      <c r="A251" s="1" t="s">
        <v>53</v>
      </c>
      <c r="B251" s="1" t="s">
        <v>247</v>
      </c>
      <c r="C251" s="1" t="s">
        <v>546</v>
      </c>
      <c r="D251" s="1" t="s">
        <v>890</v>
      </c>
      <c r="E251" s="2">
        <v>60401</v>
      </c>
      <c r="F251" s="2">
        <v>96</v>
      </c>
      <c r="G251" s="2">
        <v>368</v>
      </c>
      <c r="H251" s="2">
        <v>1031</v>
      </c>
      <c r="I251" s="2">
        <v>3421</v>
      </c>
      <c r="J251" s="2">
        <v>4916</v>
      </c>
      <c r="K251" s="3">
        <f t="shared" si="14"/>
        <v>69.589096826688362</v>
      </c>
      <c r="L251" s="2">
        <v>96</v>
      </c>
    </row>
    <row r="252" spans="1:12" x14ac:dyDescent="0.25">
      <c r="A252" s="1" t="s">
        <v>55</v>
      </c>
      <c r="B252" s="1" t="s">
        <v>250</v>
      </c>
      <c r="C252" s="1" t="s">
        <v>549</v>
      </c>
      <c r="D252" s="1" t="s">
        <v>893</v>
      </c>
      <c r="E252" s="2">
        <v>60402</v>
      </c>
      <c r="F252" s="2">
        <v>47</v>
      </c>
      <c r="G252" s="2">
        <v>120</v>
      </c>
      <c r="H252" s="2">
        <v>303</v>
      </c>
      <c r="I252" s="2">
        <v>1060</v>
      </c>
      <c r="J252" s="2">
        <v>1530</v>
      </c>
      <c r="K252" s="3">
        <f t="shared" si="14"/>
        <v>69.281045751633982</v>
      </c>
      <c r="L252" s="2">
        <v>47</v>
      </c>
    </row>
    <row r="253" spans="1:12" x14ac:dyDescent="0.25">
      <c r="A253" s="1" t="s">
        <v>55</v>
      </c>
      <c r="B253" s="1" t="s">
        <v>252</v>
      </c>
      <c r="C253" s="1" t="s">
        <v>551</v>
      </c>
      <c r="D253" s="1" t="s">
        <v>895</v>
      </c>
      <c r="E253" s="2">
        <v>60501</v>
      </c>
      <c r="F253" s="2">
        <v>382</v>
      </c>
      <c r="G253" s="2">
        <v>782</v>
      </c>
      <c r="H253" s="2">
        <v>1824</v>
      </c>
      <c r="I253" s="2">
        <v>6348</v>
      </c>
      <c r="J253" s="2">
        <v>9336</v>
      </c>
      <c r="K253" s="3">
        <f t="shared" si="14"/>
        <v>67.994858611825194</v>
      </c>
      <c r="L253" s="2">
        <v>382</v>
      </c>
    </row>
    <row r="254" spans="1:12" x14ac:dyDescent="0.25">
      <c r="A254" s="1" t="s">
        <v>55</v>
      </c>
      <c r="B254" s="1" t="s">
        <v>252</v>
      </c>
      <c r="C254" s="1" t="s">
        <v>552</v>
      </c>
      <c r="D254" s="1" t="s">
        <v>896</v>
      </c>
      <c r="E254" s="2">
        <v>60502</v>
      </c>
      <c r="F254" s="2">
        <v>63</v>
      </c>
      <c r="G254" s="2">
        <v>150</v>
      </c>
      <c r="H254" s="2">
        <v>557</v>
      </c>
      <c r="I254" s="2">
        <v>2470</v>
      </c>
      <c r="J254" s="2">
        <v>3240</v>
      </c>
      <c r="K254" s="3">
        <f t="shared" si="14"/>
        <v>76.23456790123457</v>
      </c>
      <c r="L254" s="2">
        <v>63</v>
      </c>
    </row>
    <row r="255" spans="1:12" x14ac:dyDescent="0.25">
      <c r="A255" s="1" t="s">
        <v>45</v>
      </c>
      <c r="B255" s="1" t="s">
        <v>234</v>
      </c>
      <c r="C255" s="1" t="s">
        <v>527</v>
      </c>
      <c r="D255" s="1" t="s">
        <v>871</v>
      </c>
      <c r="E255" s="2">
        <v>60601</v>
      </c>
      <c r="F255" s="2">
        <v>220</v>
      </c>
      <c r="G255" s="2">
        <v>535</v>
      </c>
      <c r="H255" s="2">
        <v>1573</v>
      </c>
      <c r="I255" s="2">
        <v>3888</v>
      </c>
      <c r="J255" s="2">
        <v>6216</v>
      </c>
      <c r="K255" s="3">
        <f t="shared" si="14"/>
        <v>62.548262548262542</v>
      </c>
      <c r="L255" s="2">
        <v>220</v>
      </c>
    </row>
    <row r="256" spans="1:12" x14ac:dyDescent="0.25">
      <c r="A256" s="1" t="s">
        <v>34</v>
      </c>
      <c r="B256" s="1" t="s">
        <v>218</v>
      </c>
      <c r="C256" s="1" t="s">
        <v>509</v>
      </c>
      <c r="D256" s="1" t="s">
        <v>853</v>
      </c>
      <c r="E256" s="2">
        <v>70101</v>
      </c>
      <c r="F256" s="14">
        <v>388</v>
      </c>
      <c r="G256" s="14">
        <v>3479</v>
      </c>
      <c r="H256" s="14">
        <v>129840</v>
      </c>
      <c r="I256" s="14">
        <v>319451</v>
      </c>
      <c r="J256" s="14">
        <v>453158</v>
      </c>
      <c r="K256" s="3">
        <f t="shared" si="14"/>
        <v>70.494397097701025</v>
      </c>
      <c r="L256" s="14">
        <v>388</v>
      </c>
    </row>
    <row r="257" spans="1:12" x14ac:dyDescent="0.25">
      <c r="A257" s="1" t="s">
        <v>130</v>
      </c>
      <c r="B257" s="1" t="s">
        <v>384</v>
      </c>
      <c r="C257" s="1" t="s">
        <v>715</v>
      </c>
      <c r="D257" s="1" t="s">
        <v>1059</v>
      </c>
      <c r="E257" s="2">
        <v>70102</v>
      </c>
      <c r="F257" s="2">
        <v>169</v>
      </c>
      <c r="G257" s="2">
        <v>1850</v>
      </c>
      <c r="H257" s="2">
        <v>18082</v>
      </c>
      <c r="I257" s="2">
        <v>7732</v>
      </c>
      <c r="J257" s="2">
        <v>27833</v>
      </c>
      <c r="K257" s="3">
        <f t="shared" si="14"/>
        <v>27.779973412855242</v>
      </c>
      <c r="L257" s="2">
        <v>169</v>
      </c>
    </row>
    <row r="258" spans="1:12" x14ac:dyDescent="0.25">
      <c r="A258" s="1" t="s">
        <v>34</v>
      </c>
      <c r="B258" s="1" t="s">
        <v>218</v>
      </c>
      <c r="C258" s="1" t="s">
        <v>508</v>
      </c>
      <c r="D258" s="1" t="s">
        <v>852</v>
      </c>
      <c r="E258" s="2">
        <v>70103</v>
      </c>
      <c r="F258" s="2">
        <v>106</v>
      </c>
      <c r="G258" s="2">
        <v>333</v>
      </c>
      <c r="H258" s="2">
        <v>1654</v>
      </c>
      <c r="I258" s="2">
        <v>4549</v>
      </c>
      <c r="J258" s="2">
        <v>6642</v>
      </c>
      <c r="K258" s="3">
        <f t="shared" si="14"/>
        <v>68.48840710629328</v>
      </c>
      <c r="L258" s="2">
        <v>106</v>
      </c>
    </row>
    <row r="259" spans="1:12" x14ac:dyDescent="0.25">
      <c r="A259" s="1" t="s">
        <v>19</v>
      </c>
      <c r="B259" s="1" t="s">
        <v>197</v>
      </c>
      <c r="C259" s="1" t="s">
        <v>485</v>
      </c>
      <c r="D259" s="1" t="s">
        <v>829</v>
      </c>
      <c r="E259" s="2">
        <v>70104</v>
      </c>
      <c r="F259" s="2">
        <v>77</v>
      </c>
      <c r="G259" s="2">
        <v>819</v>
      </c>
      <c r="H259" s="2">
        <v>32274</v>
      </c>
      <c r="I259" s="2">
        <v>7097</v>
      </c>
      <c r="J259" s="2">
        <v>40267</v>
      </c>
      <c r="K259" s="3">
        <f t="shared" si="14"/>
        <v>17.624854098889912</v>
      </c>
      <c r="L259" s="2">
        <v>77</v>
      </c>
    </row>
    <row r="260" spans="1:12" x14ac:dyDescent="0.25">
      <c r="A260" s="1" t="s">
        <v>19</v>
      </c>
      <c r="B260" s="1" t="s">
        <v>199</v>
      </c>
      <c r="C260" s="1" t="s">
        <v>487</v>
      </c>
      <c r="D260" s="1" t="s">
        <v>831</v>
      </c>
      <c r="E260" s="2">
        <v>70105</v>
      </c>
      <c r="F260" s="2">
        <v>185</v>
      </c>
      <c r="G260" s="2">
        <v>623</v>
      </c>
      <c r="H260" s="2">
        <v>8584</v>
      </c>
      <c r="I260" s="2">
        <v>7220</v>
      </c>
      <c r="J260" s="2">
        <v>16612</v>
      </c>
      <c r="K260" s="3">
        <f t="shared" si="14"/>
        <v>43.462557187575243</v>
      </c>
      <c r="L260" s="2">
        <v>185</v>
      </c>
    </row>
    <row r="261" spans="1:12" x14ac:dyDescent="0.25">
      <c r="A261" s="1" t="s">
        <v>135</v>
      </c>
      <c r="B261" s="1" t="s">
        <v>396</v>
      </c>
      <c r="C261" s="1" t="s">
        <v>731</v>
      </c>
      <c r="D261" s="1" t="s">
        <v>1075</v>
      </c>
      <c r="E261" s="2">
        <v>70201</v>
      </c>
      <c r="F261" s="2">
        <v>203</v>
      </c>
      <c r="G261" s="2">
        <v>1162</v>
      </c>
      <c r="H261" s="2">
        <v>26587</v>
      </c>
      <c r="I261" s="2">
        <v>12645</v>
      </c>
      <c r="J261" s="2">
        <v>40597</v>
      </c>
      <c r="K261" s="3">
        <f t="shared" ref="K261:K324" si="15">(I261/J261)*100</f>
        <v>31.147621745449172</v>
      </c>
      <c r="L261" s="2">
        <v>203</v>
      </c>
    </row>
    <row r="262" spans="1:12" x14ac:dyDescent="0.25">
      <c r="A262" s="1" t="s">
        <v>135</v>
      </c>
      <c r="B262" s="1" t="s">
        <v>396</v>
      </c>
      <c r="C262" s="1" t="s">
        <v>730</v>
      </c>
      <c r="D262" s="1" t="s">
        <v>1074</v>
      </c>
      <c r="E262" s="2">
        <v>70202</v>
      </c>
      <c r="F262" s="2">
        <v>7</v>
      </c>
      <c r="G262" s="2">
        <v>45</v>
      </c>
      <c r="H262" s="2">
        <v>1086</v>
      </c>
      <c r="I262" s="2">
        <v>1758</v>
      </c>
      <c r="J262" s="2">
        <v>2896</v>
      </c>
      <c r="K262" s="3">
        <f t="shared" si="15"/>
        <v>60.704419889502759</v>
      </c>
      <c r="L262" s="2">
        <v>7</v>
      </c>
    </row>
    <row r="263" spans="1:12" x14ac:dyDescent="0.25">
      <c r="A263" s="1" t="s">
        <v>139</v>
      </c>
      <c r="B263" s="1" t="s">
        <v>410</v>
      </c>
      <c r="C263" s="1" t="s">
        <v>748</v>
      </c>
      <c r="D263" s="1" t="s">
        <v>1092</v>
      </c>
      <c r="E263" s="2">
        <v>70301</v>
      </c>
      <c r="F263" s="2">
        <v>517</v>
      </c>
      <c r="G263" s="2">
        <v>1817</v>
      </c>
      <c r="H263" s="2">
        <v>7098</v>
      </c>
      <c r="I263" s="2">
        <v>8328</v>
      </c>
      <c r="J263" s="2">
        <v>17760</v>
      </c>
      <c r="K263" s="3">
        <f t="shared" si="15"/>
        <v>46.891891891891888</v>
      </c>
      <c r="L263" s="2">
        <v>517</v>
      </c>
    </row>
    <row r="264" spans="1:12" x14ac:dyDescent="0.25">
      <c r="A264" s="1" t="s">
        <v>130</v>
      </c>
      <c r="B264" s="1" t="s">
        <v>387</v>
      </c>
      <c r="C264" s="1" t="s">
        <v>720</v>
      </c>
      <c r="D264" s="1" t="s">
        <v>1064</v>
      </c>
      <c r="E264" s="2">
        <v>70302</v>
      </c>
      <c r="F264" s="2">
        <v>165</v>
      </c>
      <c r="G264" s="2">
        <v>743</v>
      </c>
      <c r="H264" s="2">
        <v>1567</v>
      </c>
      <c r="I264" s="2">
        <v>1972</v>
      </c>
      <c r="J264" s="2">
        <v>4447</v>
      </c>
      <c r="K264" s="3">
        <f t="shared" si="15"/>
        <v>44.344501911400947</v>
      </c>
      <c r="L264" s="2">
        <v>165</v>
      </c>
    </row>
    <row r="265" spans="1:12" x14ac:dyDescent="0.25">
      <c r="A265" s="1" t="s">
        <v>137</v>
      </c>
      <c r="B265" s="1" t="s">
        <v>408</v>
      </c>
      <c r="C265" s="1" t="s">
        <v>746</v>
      </c>
      <c r="D265" s="1" t="s">
        <v>1090</v>
      </c>
      <c r="E265" s="2">
        <v>70303</v>
      </c>
      <c r="F265" s="2">
        <v>120</v>
      </c>
      <c r="G265" s="2">
        <v>760</v>
      </c>
      <c r="H265" s="2">
        <v>720</v>
      </c>
      <c r="I265" s="2">
        <v>1297</v>
      </c>
      <c r="J265" s="2">
        <v>2897</v>
      </c>
      <c r="K265" s="3">
        <f t="shared" si="15"/>
        <v>44.770452191922679</v>
      </c>
      <c r="L265" s="2">
        <v>120</v>
      </c>
    </row>
    <row r="266" spans="1:12" x14ac:dyDescent="0.25">
      <c r="A266" s="1" t="s">
        <v>50</v>
      </c>
      <c r="B266" s="1" t="s">
        <v>244</v>
      </c>
      <c r="C266" s="1" t="s">
        <v>542</v>
      </c>
      <c r="D266" s="1" t="s">
        <v>886</v>
      </c>
      <c r="E266" s="2">
        <v>70401</v>
      </c>
      <c r="F266" s="2">
        <v>93</v>
      </c>
      <c r="G266" s="2">
        <v>142</v>
      </c>
      <c r="H266" s="2">
        <v>978</v>
      </c>
      <c r="I266" s="2">
        <v>2563</v>
      </c>
      <c r="J266" s="2">
        <v>3776</v>
      </c>
      <c r="K266" s="3">
        <f t="shared" si="15"/>
        <v>67.876059322033896</v>
      </c>
      <c r="L266" s="2">
        <v>93</v>
      </c>
    </row>
    <row r="267" spans="1:12" x14ac:dyDescent="0.25">
      <c r="A267" s="1" t="s">
        <v>50</v>
      </c>
      <c r="B267" s="1" t="s">
        <v>244</v>
      </c>
      <c r="C267" s="1" t="s">
        <v>543</v>
      </c>
      <c r="D267" s="1" t="s">
        <v>887</v>
      </c>
      <c r="E267" s="2">
        <v>70402</v>
      </c>
      <c r="F267" s="2">
        <v>205</v>
      </c>
      <c r="G267" s="2">
        <v>354</v>
      </c>
      <c r="H267" s="2">
        <v>2210</v>
      </c>
      <c r="I267" s="2">
        <v>2754</v>
      </c>
      <c r="J267" s="2">
        <v>5523</v>
      </c>
      <c r="K267" s="3">
        <f t="shared" si="15"/>
        <v>49.86420423682781</v>
      </c>
      <c r="L267" s="2">
        <v>205</v>
      </c>
    </row>
    <row r="268" spans="1:12" x14ac:dyDescent="0.25">
      <c r="A268" s="1" t="s">
        <v>130</v>
      </c>
      <c r="B268" s="1" t="s">
        <v>385</v>
      </c>
      <c r="C268" s="1" t="s">
        <v>716</v>
      </c>
      <c r="D268" s="1" t="s">
        <v>1060</v>
      </c>
      <c r="E268" s="2">
        <v>70403</v>
      </c>
      <c r="F268" s="2">
        <v>2993</v>
      </c>
      <c r="G268" s="2">
        <v>2422</v>
      </c>
      <c r="H268" s="2">
        <v>6958</v>
      </c>
      <c r="I268" s="2">
        <v>7702</v>
      </c>
      <c r="J268" s="2">
        <v>20075</v>
      </c>
      <c r="K268" s="3">
        <f t="shared" si="15"/>
        <v>38.366127023661271</v>
      </c>
      <c r="L268" s="2">
        <v>2993</v>
      </c>
    </row>
    <row r="269" spans="1:12" x14ac:dyDescent="0.25">
      <c r="A269" s="1" t="s">
        <v>21</v>
      </c>
      <c r="B269" s="1" t="s">
        <v>204</v>
      </c>
      <c r="C269" s="1" t="s">
        <v>492</v>
      </c>
      <c r="D269" s="1" t="s">
        <v>836</v>
      </c>
      <c r="E269" s="2">
        <v>70404</v>
      </c>
      <c r="F269" s="2">
        <v>208</v>
      </c>
      <c r="G269" s="2">
        <v>315</v>
      </c>
      <c r="H269" s="2">
        <v>733</v>
      </c>
      <c r="I269" s="2">
        <v>1701</v>
      </c>
      <c r="J269" s="2">
        <v>2957</v>
      </c>
      <c r="K269" s="3">
        <f t="shared" si="15"/>
        <v>57.524518092661481</v>
      </c>
      <c r="L269" s="2">
        <v>208</v>
      </c>
    </row>
    <row r="270" spans="1:12" x14ac:dyDescent="0.25">
      <c r="A270" s="1" t="s">
        <v>137</v>
      </c>
      <c r="B270" s="1" t="s">
        <v>407</v>
      </c>
      <c r="C270" s="1" t="s">
        <v>745</v>
      </c>
      <c r="D270" s="1" t="s">
        <v>1089</v>
      </c>
      <c r="E270" s="2">
        <v>70501</v>
      </c>
      <c r="F270" s="2">
        <v>246</v>
      </c>
      <c r="G270" s="2">
        <v>1992</v>
      </c>
      <c r="H270" s="2">
        <v>3194</v>
      </c>
      <c r="I270" s="2">
        <v>6175</v>
      </c>
      <c r="J270" s="2">
        <v>11607</v>
      </c>
      <c r="K270" s="3">
        <f t="shared" si="15"/>
        <v>53.200654777289571</v>
      </c>
      <c r="L270" s="2">
        <v>246</v>
      </c>
    </row>
    <row r="271" spans="1:12" x14ac:dyDescent="0.25">
      <c r="A271" s="1" t="s">
        <v>135</v>
      </c>
      <c r="B271" s="1" t="s">
        <v>398</v>
      </c>
      <c r="C271" s="1" t="s">
        <v>733</v>
      </c>
      <c r="D271" s="1" t="s">
        <v>1077</v>
      </c>
      <c r="E271" s="2">
        <v>70502</v>
      </c>
      <c r="F271" s="2">
        <v>188</v>
      </c>
      <c r="G271" s="2">
        <v>889</v>
      </c>
      <c r="H271" s="2">
        <v>4931</v>
      </c>
      <c r="I271" s="2">
        <v>6962</v>
      </c>
      <c r="J271" s="2">
        <v>12970</v>
      </c>
      <c r="K271" s="3">
        <f t="shared" si="15"/>
        <v>53.677717810331536</v>
      </c>
      <c r="L271" s="2">
        <v>188</v>
      </c>
    </row>
    <row r="272" spans="1:12" x14ac:dyDescent="0.25">
      <c r="A272" s="1" t="s">
        <v>137</v>
      </c>
      <c r="B272" s="1" t="s">
        <v>404</v>
      </c>
      <c r="C272" s="1" t="s">
        <v>742</v>
      </c>
      <c r="D272" s="1" t="s">
        <v>1086</v>
      </c>
      <c r="E272" s="2">
        <v>70503</v>
      </c>
      <c r="F272" s="2">
        <v>106</v>
      </c>
      <c r="G272" s="2">
        <v>252</v>
      </c>
      <c r="H272" s="2">
        <v>1809</v>
      </c>
      <c r="I272" s="2">
        <v>3181</v>
      </c>
      <c r="J272" s="2">
        <v>5348</v>
      </c>
      <c r="K272" s="3">
        <f t="shared" si="15"/>
        <v>59.480179506357523</v>
      </c>
      <c r="L272" s="2">
        <v>106</v>
      </c>
    </row>
    <row r="273" spans="1:12" x14ac:dyDescent="0.25">
      <c r="A273" s="1" t="s">
        <v>52</v>
      </c>
      <c r="B273" s="1" t="s">
        <v>246</v>
      </c>
      <c r="C273" s="1" t="s">
        <v>545</v>
      </c>
      <c r="D273" s="1" t="s">
        <v>889</v>
      </c>
      <c r="E273" s="2">
        <v>70601</v>
      </c>
      <c r="F273" s="2">
        <v>17</v>
      </c>
      <c r="G273" s="2">
        <v>216</v>
      </c>
      <c r="H273" s="2">
        <v>959</v>
      </c>
      <c r="I273" s="2">
        <v>4253</v>
      </c>
      <c r="J273" s="2">
        <v>5445</v>
      </c>
      <c r="K273" s="3">
        <f t="shared" si="15"/>
        <v>78.10835629017447</v>
      </c>
      <c r="L273" s="2">
        <v>17</v>
      </c>
    </row>
    <row r="274" spans="1:12" x14ac:dyDescent="0.25">
      <c r="A274" s="1" t="s">
        <v>41</v>
      </c>
      <c r="B274" s="1" t="s">
        <v>230</v>
      </c>
      <c r="C274" s="1" t="s">
        <v>523</v>
      </c>
      <c r="D274" s="1" t="s">
        <v>867</v>
      </c>
      <c r="E274" s="2">
        <v>70602</v>
      </c>
      <c r="F274" s="2">
        <v>234</v>
      </c>
      <c r="G274" s="2">
        <v>646</v>
      </c>
      <c r="H274" s="2">
        <v>1960</v>
      </c>
      <c r="I274" s="2">
        <v>3117</v>
      </c>
      <c r="J274" s="2">
        <v>5957</v>
      </c>
      <c r="K274" s="3">
        <f t="shared" si="15"/>
        <v>52.32499580325667</v>
      </c>
      <c r="L274" s="2">
        <v>234</v>
      </c>
    </row>
    <row r="275" spans="1:12" x14ac:dyDescent="0.25">
      <c r="A275" s="1" t="s">
        <v>137</v>
      </c>
      <c r="B275" s="1" t="s">
        <v>402</v>
      </c>
      <c r="C275" s="1" t="s">
        <v>739</v>
      </c>
      <c r="D275" s="1" t="s">
        <v>1083</v>
      </c>
      <c r="E275" s="2">
        <v>70603</v>
      </c>
      <c r="F275" s="2">
        <v>11</v>
      </c>
      <c r="G275" s="2">
        <v>83</v>
      </c>
      <c r="H275" s="2">
        <v>1035</v>
      </c>
      <c r="I275" s="2">
        <v>404</v>
      </c>
      <c r="J275" s="2">
        <v>1533</v>
      </c>
      <c r="K275" s="3">
        <f t="shared" si="15"/>
        <v>26.353555120678408</v>
      </c>
      <c r="L275" s="2">
        <v>11</v>
      </c>
    </row>
    <row r="276" spans="1:12" x14ac:dyDescent="0.25">
      <c r="A276" s="1" t="s">
        <v>105</v>
      </c>
      <c r="B276" s="1" t="s">
        <v>337</v>
      </c>
      <c r="C276" s="1" t="s">
        <v>656</v>
      </c>
      <c r="D276" s="1" t="s">
        <v>1000</v>
      </c>
      <c r="E276" s="2">
        <v>70701</v>
      </c>
      <c r="F276" s="2">
        <v>12</v>
      </c>
      <c r="G276" s="2">
        <v>53</v>
      </c>
      <c r="H276" s="2">
        <v>334</v>
      </c>
      <c r="I276" s="2">
        <v>1170</v>
      </c>
      <c r="J276" s="2">
        <v>1569</v>
      </c>
      <c r="K276" s="3">
        <f t="shared" si="15"/>
        <v>74.569789674952204</v>
      </c>
      <c r="L276" s="2">
        <v>12</v>
      </c>
    </row>
    <row r="277" spans="1:12" x14ac:dyDescent="0.25">
      <c r="A277" s="1" t="s">
        <v>137</v>
      </c>
      <c r="B277" s="1" t="s">
        <v>406</v>
      </c>
      <c r="C277" s="1" t="s">
        <v>744</v>
      </c>
      <c r="D277" s="1" t="s">
        <v>1088</v>
      </c>
      <c r="E277" s="2">
        <v>70702</v>
      </c>
      <c r="F277" s="2">
        <v>84</v>
      </c>
      <c r="G277" s="2">
        <v>670</v>
      </c>
      <c r="H277" s="2">
        <v>3019</v>
      </c>
      <c r="I277" s="2">
        <v>5775</v>
      </c>
      <c r="J277" s="2">
        <v>9548</v>
      </c>
      <c r="K277" s="3">
        <f t="shared" si="15"/>
        <v>60.483870967741936</v>
      </c>
      <c r="L277" s="2">
        <v>84</v>
      </c>
    </row>
    <row r="278" spans="1:12" x14ac:dyDescent="0.25">
      <c r="A278" s="1" t="s">
        <v>78</v>
      </c>
      <c r="B278" s="1" t="s">
        <v>287</v>
      </c>
      <c r="C278" s="1" t="s">
        <v>592</v>
      </c>
      <c r="D278" s="1" t="s">
        <v>936</v>
      </c>
      <c r="E278" s="2">
        <v>70703</v>
      </c>
      <c r="F278" s="2">
        <v>116</v>
      </c>
      <c r="G278" s="2">
        <v>589</v>
      </c>
      <c r="H278" s="2">
        <v>3050</v>
      </c>
      <c r="I278" s="2">
        <v>4536</v>
      </c>
      <c r="J278" s="2">
        <v>8291</v>
      </c>
      <c r="K278" s="3">
        <f t="shared" si="15"/>
        <v>54.709926426245325</v>
      </c>
      <c r="L278" s="2">
        <v>116</v>
      </c>
    </row>
    <row r="279" spans="1:12" x14ac:dyDescent="0.25">
      <c r="A279" s="1" t="s">
        <v>126</v>
      </c>
      <c r="B279" s="1" t="s">
        <v>376</v>
      </c>
      <c r="C279" s="1" t="s">
        <v>705</v>
      </c>
      <c r="D279" s="1" t="s">
        <v>1049</v>
      </c>
      <c r="E279" s="2">
        <v>70704</v>
      </c>
      <c r="F279" s="2">
        <v>24</v>
      </c>
      <c r="G279" s="2">
        <v>52</v>
      </c>
      <c r="H279" s="2">
        <v>345</v>
      </c>
      <c r="I279" s="2">
        <v>840</v>
      </c>
      <c r="J279" s="2">
        <v>1261</v>
      </c>
      <c r="K279" s="3">
        <f t="shared" si="15"/>
        <v>66.61379857256145</v>
      </c>
      <c r="L279" s="2">
        <v>24</v>
      </c>
    </row>
    <row r="280" spans="1:12" x14ac:dyDescent="0.25">
      <c r="A280" s="1" t="s">
        <v>128</v>
      </c>
      <c r="B280" s="1" t="s">
        <v>379</v>
      </c>
      <c r="C280" s="1" t="s">
        <v>709</v>
      </c>
      <c r="D280" s="1" t="s">
        <v>1053</v>
      </c>
      <c r="E280" s="2">
        <v>70705</v>
      </c>
      <c r="F280" s="2">
        <v>69</v>
      </c>
      <c r="G280" s="2">
        <v>267</v>
      </c>
      <c r="H280" s="2">
        <v>895</v>
      </c>
      <c r="I280" s="2">
        <v>2395</v>
      </c>
      <c r="J280" s="2">
        <v>3626</v>
      </c>
      <c r="K280" s="3">
        <f t="shared" si="15"/>
        <v>66.050744622173198</v>
      </c>
      <c r="L280" s="2">
        <v>69</v>
      </c>
    </row>
    <row r="281" spans="1:12" x14ac:dyDescent="0.25">
      <c r="A281" s="1" t="s">
        <v>126</v>
      </c>
      <c r="B281" s="1" t="s">
        <v>376</v>
      </c>
      <c r="C281" s="1" t="s">
        <v>706</v>
      </c>
      <c r="D281" s="1" t="s">
        <v>1050</v>
      </c>
      <c r="E281" s="2">
        <v>70706</v>
      </c>
      <c r="F281" s="2">
        <v>31</v>
      </c>
      <c r="G281" s="2">
        <v>266</v>
      </c>
      <c r="H281" s="2">
        <v>2419</v>
      </c>
      <c r="I281" s="2">
        <v>6589</v>
      </c>
      <c r="J281" s="2">
        <v>9305</v>
      </c>
      <c r="K281" s="3">
        <f t="shared" si="15"/>
        <v>70.811391724879101</v>
      </c>
      <c r="L281" s="2">
        <v>31</v>
      </c>
    </row>
    <row r="282" spans="1:12" x14ac:dyDescent="0.25">
      <c r="A282" s="1" t="s">
        <v>126</v>
      </c>
      <c r="B282" s="1" t="s">
        <v>376</v>
      </c>
      <c r="C282" s="1" t="s">
        <v>704</v>
      </c>
      <c r="D282" s="1" t="s">
        <v>1048</v>
      </c>
      <c r="E282" s="2">
        <v>70707</v>
      </c>
      <c r="F282" s="2">
        <v>6</v>
      </c>
      <c r="G282" s="2">
        <v>71</v>
      </c>
      <c r="H282" s="2">
        <v>394</v>
      </c>
      <c r="I282" s="2">
        <v>914</v>
      </c>
      <c r="J282" s="2">
        <v>1385</v>
      </c>
      <c r="K282" s="3">
        <f t="shared" si="15"/>
        <v>65.992779783393502</v>
      </c>
      <c r="L282" s="2">
        <v>6</v>
      </c>
    </row>
    <row r="283" spans="1:12" x14ac:dyDescent="0.25">
      <c r="A283" s="1" t="s">
        <v>128</v>
      </c>
      <c r="B283" s="1" t="s">
        <v>378</v>
      </c>
      <c r="C283" s="1" t="s">
        <v>708</v>
      </c>
      <c r="D283" s="1" t="s">
        <v>1052</v>
      </c>
      <c r="E283" s="2">
        <v>70801</v>
      </c>
      <c r="F283" s="2">
        <v>79</v>
      </c>
      <c r="G283" s="2">
        <v>399</v>
      </c>
      <c r="H283" s="2">
        <v>1365</v>
      </c>
      <c r="I283" s="2">
        <v>4354</v>
      </c>
      <c r="J283" s="2">
        <v>6197</v>
      </c>
      <c r="K283" s="3">
        <f t="shared" si="15"/>
        <v>70.259803130547041</v>
      </c>
      <c r="L283" s="2">
        <v>79</v>
      </c>
    </row>
    <row r="284" spans="1:12" x14ac:dyDescent="0.25">
      <c r="A284" s="1" t="s">
        <v>130</v>
      </c>
      <c r="B284" s="1" t="s">
        <v>382</v>
      </c>
      <c r="C284" s="1" t="s">
        <v>713</v>
      </c>
      <c r="D284" s="1" t="s">
        <v>1057</v>
      </c>
      <c r="E284" s="2">
        <v>70802</v>
      </c>
      <c r="F284" s="2">
        <v>5</v>
      </c>
      <c r="G284" s="2">
        <v>33</v>
      </c>
      <c r="H284" s="2">
        <v>106</v>
      </c>
      <c r="I284" s="2">
        <v>651</v>
      </c>
      <c r="J284" s="2">
        <v>795</v>
      </c>
      <c r="K284" s="3">
        <f t="shared" si="15"/>
        <v>81.886792452830193</v>
      </c>
      <c r="L284" s="2">
        <v>5</v>
      </c>
    </row>
    <row r="285" spans="1:12" x14ac:dyDescent="0.25">
      <c r="A285" s="1" t="s">
        <v>19</v>
      </c>
      <c r="B285" s="1" t="s">
        <v>198</v>
      </c>
      <c r="C285" s="1" t="s">
        <v>486</v>
      </c>
      <c r="D285" s="1" t="s">
        <v>830</v>
      </c>
      <c r="E285" s="2">
        <v>70803</v>
      </c>
      <c r="F285" s="2">
        <v>27</v>
      </c>
      <c r="G285" s="2">
        <v>83</v>
      </c>
      <c r="H285" s="2">
        <v>288</v>
      </c>
      <c r="I285" s="2">
        <v>593</v>
      </c>
      <c r="J285" s="2">
        <v>991</v>
      </c>
      <c r="K285" s="3">
        <f t="shared" si="15"/>
        <v>59.838546922300708</v>
      </c>
      <c r="L285" s="2">
        <v>27</v>
      </c>
    </row>
    <row r="286" spans="1:12" x14ac:dyDescent="0.25">
      <c r="A286" s="1" t="s">
        <v>130</v>
      </c>
      <c r="B286" s="1" t="s">
        <v>382</v>
      </c>
      <c r="C286" s="1" t="s">
        <v>712</v>
      </c>
      <c r="D286" s="1" t="s">
        <v>1056</v>
      </c>
      <c r="E286" s="2">
        <v>70804</v>
      </c>
      <c r="F286" s="2">
        <v>37</v>
      </c>
      <c r="G286" s="2">
        <v>96</v>
      </c>
      <c r="H286" s="2">
        <v>104</v>
      </c>
      <c r="I286" s="2">
        <v>369</v>
      </c>
      <c r="J286" s="2">
        <v>606</v>
      </c>
      <c r="K286" s="3">
        <f t="shared" si="15"/>
        <v>60.89108910891089</v>
      </c>
      <c r="L286" s="2">
        <v>37</v>
      </c>
    </row>
    <row r="287" spans="1:12" x14ac:dyDescent="0.25">
      <c r="A287" s="1" t="s">
        <v>124</v>
      </c>
      <c r="B287" s="1" t="s">
        <v>373</v>
      </c>
      <c r="C287" s="1" t="s">
        <v>701</v>
      </c>
      <c r="D287" s="1" t="s">
        <v>1045</v>
      </c>
      <c r="E287" s="2">
        <v>70805</v>
      </c>
      <c r="F287" s="2">
        <v>22</v>
      </c>
      <c r="G287" s="2">
        <v>85</v>
      </c>
      <c r="H287" s="2">
        <v>238</v>
      </c>
      <c r="I287" s="2">
        <v>404</v>
      </c>
      <c r="J287" s="2">
        <v>749</v>
      </c>
      <c r="K287" s="3">
        <f t="shared" si="15"/>
        <v>53.938584779706275</v>
      </c>
      <c r="L287" s="2">
        <v>22</v>
      </c>
    </row>
    <row r="288" spans="1:12" x14ac:dyDescent="0.25">
      <c r="A288" s="1" t="s">
        <v>19</v>
      </c>
      <c r="B288" s="1" t="s">
        <v>200</v>
      </c>
      <c r="C288" s="1" t="s">
        <v>488</v>
      </c>
      <c r="D288" s="1" t="s">
        <v>832</v>
      </c>
      <c r="E288" s="2">
        <v>70901</v>
      </c>
      <c r="F288" s="2">
        <v>110</v>
      </c>
      <c r="G288" s="2">
        <v>322</v>
      </c>
      <c r="H288" s="2">
        <v>1167</v>
      </c>
      <c r="I288" s="2">
        <v>2453</v>
      </c>
      <c r="J288" s="2">
        <v>4052</v>
      </c>
      <c r="K288" s="3">
        <f t="shared" si="15"/>
        <v>60.538005923000995</v>
      </c>
      <c r="L288" s="2">
        <v>110</v>
      </c>
    </row>
    <row r="289" spans="1:12" x14ac:dyDescent="0.25">
      <c r="A289" s="1" t="s">
        <v>135</v>
      </c>
      <c r="B289" s="1" t="s">
        <v>400</v>
      </c>
      <c r="C289" s="1" t="s">
        <v>736</v>
      </c>
      <c r="D289" s="1" t="s">
        <v>1080</v>
      </c>
      <c r="E289" s="2">
        <v>70902</v>
      </c>
      <c r="F289" s="2">
        <v>78</v>
      </c>
      <c r="G289" s="2">
        <v>208</v>
      </c>
      <c r="H289" s="2">
        <v>638</v>
      </c>
      <c r="I289" s="2">
        <v>2126</v>
      </c>
      <c r="J289" s="2">
        <v>3050</v>
      </c>
      <c r="K289" s="3">
        <f t="shared" si="15"/>
        <v>69.704918032786892</v>
      </c>
      <c r="L289" s="2">
        <v>78</v>
      </c>
    </row>
    <row r="290" spans="1:12" x14ac:dyDescent="0.25">
      <c r="A290" s="1" t="s">
        <v>135</v>
      </c>
      <c r="B290" s="1" t="s">
        <v>400</v>
      </c>
      <c r="C290" s="1" t="s">
        <v>737</v>
      </c>
      <c r="D290" s="1" t="s">
        <v>1081</v>
      </c>
      <c r="E290" s="2">
        <v>70903</v>
      </c>
      <c r="F290" s="2">
        <v>237</v>
      </c>
      <c r="G290" s="2">
        <v>334</v>
      </c>
      <c r="H290" s="2">
        <v>1747</v>
      </c>
      <c r="I290" s="2">
        <v>1992</v>
      </c>
      <c r="J290" s="2">
        <v>4310</v>
      </c>
      <c r="K290" s="3">
        <f t="shared" si="15"/>
        <v>46.218097447795827</v>
      </c>
      <c r="L290" s="2">
        <v>237</v>
      </c>
    </row>
    <row r="291" spans="1:12" x14ac:dyDescent="0.25">
      <c r="A291" s="1" t="s">
        <v>130</v>
      </c>
      <c r="B291" s="1" t="s">
        <v>383</v>
      </c>
      <c r="C291" s="1" t="s">
        <v>714</v>
      </c>
      <c r="D291" s="1" t="s">
        <v>1058</v>
      </c>
      <c r="E291" s="2">
        <v>70904</v>
      </c>
      <c r="F291" s="2">
        <v>32</v>
      </c>
      <c r="G291" s="2">
        <v>70</v>
      </c>
      <c r="H291" s="2">
        <v>121</v>
      </c>
      <c r="I291" s="2">
        <v>564</v>
      </c>
      <c r="J291" s="2">
        <v>787</v>
      </c>
      <c r="K291" s="3">
        <f t="shared" si="15"/>
        <v>71.664548919949183</v>
      </c>
      <c r="L291" s="2">
        <v>32</v>
      </c>
    </row>
    <row r="292" spans="1:12" x14ac:dyDescent="0.25">
      <c r="A292" s="1" t="s">
        <v>132</v>
      </c>
      <c r="B292" s="1" t="s">
        <v>391</v>
      </c>
      <c r="C292" s="1" t="s">
        <v>725</v>
      </c>
      <c r="D292" s="1" t="s">
        <v>1069</v>
      </c>
      <c r="E292" s="2">
        <v>71001</v>
      </c>
      <c r="F292" s="2">
        <v>127</v>
      </c>
      <c r="G292" s="2">
        <v>1359</v>
      </c>
      <c r="H292" s="2">
        <v>17773</v>
      </c>
      <c r="I292" s="2">
        <v>14125</v>
      </c>
      <c r="J292" s="2">
        <v>33384</v>
      </c>
      <c r="K292" s="3">
        <f t="shared" si="15"/>
        <v>42.310687754612985</v>
      </c>
      <c r="L292" s="2">
        <v>127</v>
      </c>
    </row>
    <row r="293" spans="1:12" x14ac:dyDescent="0.25">
      <c r="A293" s="1" t="s">
        <v>135</v>
      </c>
      <c r="B293" s="1" t="s">
        <v>397</v>
      </c>
      <c r="C293" s="1" t="s">
        <v>732</v>
      </c>
      <c r="D293" s="1" t="s">
        <v>1076</v>
      </c>
      <c r="E293" s="2">
        <v>71002</v>
      </c>
      <c r="F293" s="2">
        <v>48</v>
      </c>
      <c r="G293" s="2">
        <v>196</v>
      </c>
      <c r="H293" s="2">
        <v>1967</v>
      </c>
      <c r="I293" s="2">
        <v>2147</v>
      </c>
      <c r="J293" s="2">
        <v>4358</v>
      </c>
      <c r="K293" s="3">
        <f t="shared" si="15"/>
        <v>49.265718219366683</v>
      </c>
      <c r="L293" s="2">
        <v>48</v>
      </c>
    </row>
    <row r="294" spans="1:12" x14ac:dyDescent="0.25">
      <c r="A294" s="1" t="s">
        <v>135</v>
      </c>
      <c r="B294" s="1" t="s">
        <v>399</v>
      </c>
      <c r="C294" s="1" t="s">
        <v>735</v>
      </c>
      <c r="D294" s="1" t="s">
        <v>1079</v>
      </c>
      <c r="E294" s="2">
        <v>71003</v>
      </c>
      <c r="F294" s="2">
        <v>43</v>
      </c>
      <c r="G294" s="2">
        <v>176</v>
      </c>
      <c r="H294" s="2">
        <v>2713</v>
      </c>
      <c r="I294" s="2">
        <v>3262</v>
      </c>
      <c r="J294" s="2">
        <v>6194</v>
      </c>
      <c r="K294" s="3">
        <f t="shared" si="15"/>
        <v>52.663868259606076</v>
      </c>
      <c r="L294" s="2">
        <v>43</v>
      </c>
    </row>
    <row r="295" spans="1:12" x14ac:dyDescent="0.25">
      <c r="A295" s="1" t="s">
        <v>135</v>
      </c>
      <c r="B295" s="1" t="s">
        <v>399</v>
      </c>
      <c r="C295" s="1" t="s">
        <v>734</v>
      </c>
      <c r="D295" s="1" t="s">
        <v>1078</v>
      </c>
      <c r="E295" s="2">
        <v>71004</v>
      </c>
      <c r="F295" s="2">
        <v>42</v>
      </c>
      <c r="G295" s="2">
        <v>192</v>
      </c>
      <c r="H295" s="2">
        <v>1718</v>
      </c>
      <c r="I295" s="2">
        <v>1486</v>
      </c>
      <c r="J295" s="2">
        <v>3438</v>
      </c>
      <c r="K295" s="3">
        <f t="shared" si="15"/>
        <v>43.222803955788244</v>
      </c>
      <c r="L295" s="2">
        <v>42</v>
      </c>
    </row>
    <row r="296" spans="1:12" x14ac:dyDescent="0.25">
      <c r="A296" s="1" t="s">
        <v>36</v>
      </c>
      <c r="B296" s="1" t="s">
        <v>221</v>
      </c>
      <c r="C296" s="1" t="s">
        <v>512</v>
      </c>
      <c r="D296" s="1" t="s">
        <v>856</v>
      </c>
      <c r="E296" s="2">
        <v>71005</v>
      </c>
      <c r="F296" s="2">
        <v>179</v>
      </c>
      <c r="G296" s="2">
        <v>168</v>
      </c>
      <c r="H296" s="2">
        <v>1806</v>
      </c>
      <c r="I296" s="2">
        <v>1622</v>
      </c>
      <c r="J296" s="2">
        <v>3775</v>
      </c>
      <c r="K296" s="3">
        <f t="shared" si="15"/>
        <v>42.966887417218544</v>
      </c>
      <c r="L296" s="2">
        <v>179</v>
      </c>
    </row>
    <row r="297" spans="1:12" x14ac:dyDescent="0.25">
      <c r="A297" s="1" t="s">
        <v>41</v>
      </c>
      <c r="B297" s="1" t="s">
        <v>229</v>
      </c>
      <c r="C297" s="1" t="s">
        <v>522</v>
      </c>
      <c r="D297" s="1" t="s">
        <v>866</v>
      </c>
      <c r="E297" s="2">
        <v>71101</v>
      </c>
      <c r="F297" s="2">
        <v>414</v>
      </c>
      <c r="G297" s="2">
        <v>1945</v>
      </c>
      <c r="H297" s="2">
        <v>3829</v>
      </c>
      <c r="I297" s="2">
        <v>3219</v>
      </c>
      <c r="J297" s="2">
        <v>9407</v>
      </c>
      <c r="K297" s="3">
        <f t="shared" si="15"/>
        <v>34.219198469225041</v>
      </c>
      <c r="L297" s="2">
        <v>414</v>
      </c>
    </row>
    <row r="298" spans="1:12" x14ac:dyDescent="0.25">
      <c r="A298" s="1" t="s">
        <v>130</v>
      </c>
      <c r="B298" s="1" t="s">
        <v>386</v>
      </c>
      <c r="C298" s="1" t="s">
        <v>719</v>
      </c>
      <c r="D298" s="1" t="s">
        <v>1063</v>
      </c>
      <c r="E298" s="2">
        <v>71102</v>
      </c>
      <c r="F298" s="2">
        <v>54</v>
      </c>
      <c r="G298" s="2">
        <v>243</v>
      </c>
      <c r="H298" s="2">
        <v>2189</v>
      </c>
      <c r="I298" s="2">
        <v>1455</v>
      </c>
      <c r="J298" s="2">
        <v>3941</v>
      </c>
      <c r="K298" s="3">
        <f t="shared" si="15"/>
        <v>36.919563562547573</v>
      </c>
      <c r="L298" s="2">
        <v>54</v>
      </c>
    </row>
    <row r="299" spans="1:12" s="22" customFormat="1" x14ac:dyDescent="0.25">
      <c r="A299" s="41" t="s">
        <v>130</v>
      </c>
      <c r="B299" s="41" t="s">
        <v>386</v>
      </c>
      <c r="C299" s="41" t="s">
        <v>718</v>
      </c>
      <c r="D299" s="41" t="s">
        <v>1062</v>
      </c>
      <c r="E299" s="14">
        <v>71103</v>
      </c>
      <c r="F299" s="14">
        <v>32</v>
      </c>
      <c r="G299" s="14">
        <v>189</v>
      </c>
      <c r="H299" s="14">
        <v>1785</v>
      </c>
      <c r="I299" s="14">
        <v>427</v>
      </c>
      <c r="J299" s="14">
        <v>2433</v>
      </c>
      <c r="K299" s="3">
        <f t="shared" si="15"/>
        <v>17.550349362926429</v>
      </c>
      <c r="L299" s="14">
        <v>32</v>
      </c>
    </row>
    <row r="300" spans="1:12" s="22" customFormat="1" x14ac:dyDescent="0.25">
      <c r="A300" s="41" t="s">
        <v>152</v>
      </c>
      <c r="B300" s="41" t="s">
        <v>430</v>
      </c>
      <c r="C300" s="41" t="s">
        <v>772</v>
      </c>
      <c r="D300" s="41" t="s">
        <v>1116</v>
      </c>
      <c r="E300" s="14">
        <v>71104</v>
      </c>
      <c r="F300" s="14">
        <v>231</v>
      </c>
      <c r="G300" s="14">
        <v>884</v>
      </c>
      <c r="H300" s="14">
        <v>7698</v>
      </c>
      <c r="I300" s="14">
        <v>5635</v>
      </c>
      <c r="J300" s="14">
        <v>14448</v>
      </c>
      <c r="K300" s="3">
        <f t="shared" si="15"/>
        <v>39.001937984496124</v>
      </c>
      <c r="L300" s="14">
        <v>231</v>
      </c>
    </row>
    <row r="301" spans="1:12" s="22" customFormat="1" x14ac:dyDescent="0.25">
      <c r="A301" s="41" t="s">
        <v>141</v>
      </c>
      <c r="B301" s="41" t="s">
        <v>413</v>
      </c>
      <c r="C301" s="41" t="s">
        <v>751</v>
      </c>
      <c r="D301" s="41" t="s">
        <v>1095</v>
      </c>
      <c r="E301" s="14">
        <v>71105</v>
      </c>
      <c r="F301" s="14">
        <v>4</v>
      </c>
      <c r="G301" s="14">
        <v>50</v>
      </c>
      <c r="H301" s="14">
        <v>170</v>
      </c>
      <c r="I301" s="14">
        <v>1251</v>
      </c>
      <c r="J301" s="14">
        <v>1475</v>
      </c>
      <c r="K301" s="3">
        <f t="shared" si="15"/>
        <v>84.813559322033896</v>
      </c>
      <c r="L301" s="14">
        <v>4</v>
      </c>
    </row>
    <row r="302" spans="1:12" x14ac:dyDescent="0.25">
      <c r="A302" s="1" t="s">
        <v>130</v>
      </c>
      <c r="B302" s="1" t="s">
        <v>386</v>
      </c>
      <c r="C302" s="1" t="s">
        <v>717</v>
      </c>
      <c r="D302" s="1" t="s">
        <v>1061</v>
      </c>
      <c r="E302" s="2">
        <v>71106</v>
      </c>
      <c r="F302" s="2">
        <v>110</v>
      </c>
      <c r="G302" s="2">
        <v>178</v>
      </c>
      <c r="H302" s="2">
        <v>1711</v>
      </c>
      <c r="I302" s="2">
        <v>4552</v>
      </c>
      <c r="J302" s="2">
        <v>6551</v>
      </c>
      <c r="K302" s="3">
        <f t="shared" si="15"/>
        <v>69.485574721416583</v>
      </c>
      <c r="L302" s="2">
        <v>110</v>
      </c>
    </row>
    <row r="303" spans="1:12" x14ac:dyDescent="0.25">
      <c r="A303" s="1" t="s">
        <v>137</v>
      </c>
      <c r="B303" s="1" t="s">
        <v>405</v>
      </c>
      <c r="C303" s="1" t="s">
        <v>743</v>
      </c>
      <c r="D303" s="1" t="s">
        <v>1087</v>
      </c>
      <c r="E303" s="2">
        <v>71201</v>
      </c>
      <c r="F303" s="2">
        <v>94</v>
      </c>
      <c r="G303" s="2">
        <v>710</v>
      </c>
      <c r="H303" s="2">
        <v>1696</v>
      </c>
      <c r="I303" s="2">
        <v>1645</v>
      </c>
      <c r="J303" s="2">
        <v>4145</v>
      </c>
      <c r="K303" s="3">
        <f t="shared" si="15"/>
        <v>39.686369119420988</v>
      </c>
      <c r="L303" s="2">
        <v>94</v>
      </c>
    </row>
    <row r="304" spans="1:12" x14ac:dyDescent="0.25">
      <c r="A304" s="1" t="s">
        <v>152</v>
      </c>
      <c r="B304" s="1" t="s">
        <v>432</v>
      </c>
      <c r="C304" s="1" t="s">
        <v>774</v>
      </c>
      <c r="D304" s="1" t="s">
        <v>1118</v>
      </c>
      <c r="E304" s="2">
        <v>71301</v>
      </c>
      <c r="F304" s="2">
        <v>262</v>
      </c>
      <c r="G304" s="2">
        <v>755</v>
      </c>
      <c r="H304" s="2">
        <v>1221</v>
      </c>
      <c r="I304" s="2">
        <v>3516</v>
      </c>
      <c r="J304" s="2">
        <v>5754</v>
      </c>
      <c r="K304" s="3">
        <f t="shared" si="15"/>
        <v>61.105318039624613</v>
      </c>
      <c r="L304" s="2">
        <v>262</v>
      </c>
    </row>
    <row r="305" spans="1:12" x14ac:dyDescent="0.25">
      <c r="A305" s="1" t="s">
        <v>32</v>
      </c>
      <c r="B305" s="1" t="s">
        <v>216</v>
      </c>
      <c r="C305" s="1" t="s">
        <v>506</v>
      </c>
      <c r="D305" s="1" t="s">
        <v>850</v>
      </c>
      <c r="E305" s="2">
        <v>71302</v>
      </c>
      <c r="F305" s="2">
        <v>61</v>
      </c>
      <c r="G305" s="2">
        <v>142</v>
      </c>
      <c r="H305" s="2">
        <v>730</v>
      </c>
      <c r="I305" s="2">
        <v>1056</v>
      </c>
      <c r="J305" s="2">
        <v>1989</v>
      </c>
      <c r="K305" s="3">
        <f t="shared" si="15"/>
        <v>53.092006033182507</v>
      </c>
      <c r="L305" s="2">
        <v>61</v>
      </c>
    </row>
    <row r="306" spans="1:12" x14ac:dyDescent="0.25">
      <c r="A306" s="1" t="s">
        <v>137</v>
      </c>
      <c r="B306" s="1" t="s">
        <v>403</v>
      </c>
      <c r="C306" s="1" t="s">
        <v>740</v>
      </c>
      <c r="D306" s="1" t="s">
        <v>1084</v>
      </c>
      <c r="E306" s="2">
        <v>71401</v>
      </c>
      <c r="F306" s="2">
        <v>35</v>
      </c>
      <c r="G306" s="2">
        <v>230</v>
      </c>
      <c r="H306" s="2">
        <v>3029</v>
      </c>
      <c r="I306" s="2">
        <v>1565</v>
      </c>
      <c r="J306" s="2">
        <v>4859</v>
      </c>
      <c r="K306" s="3">
        <f t="shared" si="15"/>
        <v>32.208273307264868</v>
      </c>
      <c r="L306" s="2">
        <v>35</v>
      </c>
    </row>
    <row r="307" spans="1:12" x14ac:dyDescent="0.25">
      <c r="A307" s="1" t="s">
        <v>14</v>
      </c>
      <c r="B307" s="1" t="s">
        <v>190</v>
      </c>
      <c r="C307" s="1" t="s">
        <v>476</v>
      </c>
      <c r="D307" s="1" t="s">
        <v>820</v>
      </c>
      <c r="E307" s="2">
        <v>71402</v>
      </c>
      <c r="F307" s="2">
        <v>19</v>
      </c>
      <c r="G307" s="2">
        <v>140</v>
      </c>
      <c r="H307" s="2">
        <v>4060</v>
      </c>
      <c r="I307" s="2">
        <v>735</v>
      </c>
      <c r="J307" s="2">
        <v>4954</v>
      </c>
      <c r="K307" s="3">
        <f t="shared" si="15"/>
        <v>14.836495761001212</v>
      </c>
      <c r="L307" s="2">
        <v>19</v>
      </c>
    </row>
    <row r="308" spans="1:12" x14ac:dyDescent="0.25">
      <c r="A308" s="1" t="s">
        <v>137</v>
      </c>
      <c r="B308" s="1" t="s">
        <v>403</v>
      </c>
      <c r="C308" s="1" t="s">
        <v>741</v>
      </c>
      <c r="D308" s="1" t="s">
        <v>1085</v>
      </c>
      <c r="E308" s="2">
        <v>71403</v>
      </c>
      <c r="F308" s="2">
        <v>111</v>
      </c>
      <c r="G308" s="2">
        <v>320</v>
      </c>
      <c r="H308" s="2">
        <v>614</v>
      </c>
      <c r="I308" s="2">
        <v>1388</v>
      </c>
      <c r="J308" s="2">
        <v>2433</v>
      </c>
      <c r="K308" s="3">
        <f t="shared" si="15"/>
        <v>57.048910809699962</v>
      </c>
      <c r="L308" s="2">
        <v>111</v>
      </c>
    </row>
    <row r="309" spans="1:12" x14ac:dyDescent="0.25">
      <c r="A309" s="1" t="s">
        <v>132</v>
      </c>
      <c r="B309" s="1" t="s">
        <v>392</v>
      </c>
      <c r="C309" s="1" t="s">
        <v>726</v>
      </c>
      <c r="D309" s="1" t="s">
        <v>1070</v>
      </c>
      <c r="E309" s="2">
        <v>71501</v>
      </c>
      <c r="F309" s="2">
        <v>935</v>
      </c>
      <c r="G309" s="2">
        <v>2506</v>
      </c>
      <c r="H309" s="2">
        <v>5089</v>
      </c>
      <c r="I309" s="2">
        <v>2273</v>
      </c>
      <c r="J309" s="2">
        <v>10803</v>
      </c>
      <c r="K309" s="3">
        <f t="shared" si="15"/>
        <v>21.040451726372304</v>
      </c>
      <c r="L309" s="2">
        <v>935</v>
      </c>
    </row>
    <row r="310" spans="1:12" x14ac:dyDescent="0.25">
      <c r="A310" s="1" t="s">
        <v>139</v>
      </c>
      <c r="B310" s="1" t="s">
        <v>411</v>
      </c>
      <c r="C310" s="1" t="s">
        <v>749</v>
      </c>
      <c r="D310" s="1" t="s">
        <v>1093</v>
      </c>
      <c r="E310" s="2">
        <v>71502</v>
      </c>
      <c r="F310" s="2">
        <v>70</v>
      </c>
      <c r="G310" s="2">
        <v>276</v>
      </c>
      <c r="H310" s="2">
        <v>553</v>
      </c>
      <c r="I310" s="2">
        <v>741</v>
      </c>
      <c r="J310" s="2">
        <v>1640</v>
      </c>
      <c r="K310" s="3">
        <f t="shared" si="15"/>
        <v>45.182926829268297</v>
      </c>
      <c r="L310" s="2">
        <v>70</v>
      </c>
    </row>
    <row r="311" spans="1:12" x14ac:dyDescent="0.25">
      <c r="A311" s="1" t="s">
        <v>152</v>
      </c>
      <c r="B311" s="1" t="s">
        <v>431</v>
      </c>
      <c r="C311" s="1" t="s">
        <v>773</v>
      </c>
      <c r="D311" s="1" t="s">
        <v>1117</v>
      </c>
      <c r="E311" s="2">
        <v>71503</v>
      </c>
      <c r="F311" s="2">
        <v>297</v>
      </c>
      <c r="G311" s="2">
        <v>1291</v>
      </c>
      <c r="H311" s="2">
        <v>2079</v>
      </c>
      <c r="I311" s="2">
        <v>2787</v>
      </c>
      <c r="J311" s="2">
        <v>6454</v>
      </c>
      <c r="K311" s="3">
        <f t="shared" si="15"/>
        <v>43.182522466687324</v>
      </c>
      <c r="L311" s="2">
        <v>297</v>
      </c>
    </row>
    <row r="312" spans="1:12" x14ac:dyDescent="0.25">
      <c r="A312" s="1" t="s">
        <v>140</v>
      </c>
      <c r="B312" s="1" t="s">
        <v>412</v>
      </c>
      <c r="C312" s="1" t="s">
        <v>750</v>
      </c>
      <c r="D312" s="1" t="s">
        <v>1094</v>
      </c>
      <c r="E312" s="2">
        <v>80101</v>
      </c>
      <c r="F312" s="2">
        <v>293</v>
      </c>
      <c r="G312" s="2">
        <v>11189</v>
      </c>
      <c r="H312" s="2">
        <v>12021</v>
      </c>
      <c r="I312" s="2">
        <v>8942</v>
      </c>
      <c r="J312" s="2">
        <v>32445</v>
      </c>
      <c r="K312" s="3">
        <f t="shared" si="15"/>
        <v>27.560486977962707</v>
      </c>
      <c r="L312" s="2">
        <v>293</v>
      </c>
    </row>
    <row r="313" spans="1:12" x14ac:dyDescent="0.25">
      <c r="A313" s="1" t="s">
        <v>35</v>
      </c>
      <c r="B313" s="1" t="s">
        <v>220</v>
      </c>
      <c r="C313" s="1" t="s">
        <v>511</v>
      </c>
      <c r="D313" s="1" t="s">
        <v>855</v>
      </c>
      <c r="E313" s="2">
        <v>80102</v>
      </c>
      <c r="F313" s="2">
        <v>74</v>
      </c>
      <c r="G313" s="2">
        <v>346</v>
      </c>
      <c r="H313" s="2">
        <v>605</v>
      </c>
      <c r="I313" s="2">
        <v>1046</v>
      </c>
      <c r="J313" s="2">
        <v>2071</v>
      </c>
      <c r="K313" s="3">
        <f t="shared" si="15"/>
        <v>50.507001448575572</v>
      </c>
      <c r="L313" s="2">
        <v>74</v>
      </c>
    </row>
    <row r="314" spans="1:12" x14ac:dyDescent="0.25">
      <c r="A314" s="1" t="s">
        <v>113</v>
      </c>
      <c r="B314" s="1" t="s">
        <v>355</v>
      </c>
      <c r="C314" s="1" t="s">
        <v>676</v>
      </c>
      <c r="D314" s="1" t="s">
        <v>1020</v>
      </c>
      <c r="E314" s="2">
        <v>80201</v>
      </c>
      <c r="F314" s="2">
        <v>1336</v>
      </c>
      <c r="G314" s="2">
        <v>15877</v>
      </c>
      <c r="H314" s="2">
        <v>5023</v>
      </c>
      <c r="I314" s="2">
        <v>5206</v>
      </c>
      <c r="J314" s="2">
        <v>27442</v>
      </c>
      <c r="K314" s="3">
        <f t="shared" si="15"/>
        <v>18.970920486844982</v>
      </c>
      <c r="L314" s="2">
        <v>1336</v>
      </c>
    </row>
    <row r="315" spans="1:12" x14ac:dyDescent="0.25">
      <c r="A315" s="1" t="s">
        <v>115</v>
      </c>
      <c r="B315" s="1" t="s">
        <v>359</v>
      </c>
      <c r="C315" s="1" t="s">
        <v>683</v>
      </c>
      <c r="D315" s="1" t="s">
        <v>1027</v>
      </c>
      <c r="E315" s="2">
        <v>80202</v>
      </c>
      <c r="F315" s="2">
        <v>163</v>
      </c>
      <c r="G315" s="2">
        <v>1323</v>
      </c>
      <c r="H315" s="2">
        <v>5315</v>
      </c>
      <c r="I315" s="2">
        <v>4090</v>
      </c>
      <c r="J315" s="2">
        <v>10891</v>
      </c>
      <c r="K315" s="3">
        <f t="shared" si="15"/>
        <v>37.553943623175101</v>
      </c>
      <c r="L315" s="2">
        <v>163</v>
      </c>
    </row>
    <row r="316" spans="1:12" x14ac:dyDescent="0.25">
      <c r="A316" s="1" t="s">
        <v>111</v>
      </c>
      <c r="B316" s="1" t="s">
        <v>351</v>
      </c>
      <c r="C316" s="1" t="s">
        <v>672</v>
      </c>
      <c r="D316" s="1" t="s">
        <v>1016</v>
      </c>
      <c r="E316" s="2">
        <v>80301</v>
      </c>
      <c r="F316" s="2">
        <v>105</v>
      </c>
      <c r="G316" s="2">
        <v>1858</v>
      </c>
      <c r="H316" s="2">
        <v>627</v>
      </c>
      <c r="I316" s="2">
        <v>827</v>
      </c>
      <c r="J316" s="2">
        <v>3417</v>
      </c>
      <c r="K316" s="3">
        <f t="shared" si="15"/>
        <v>24.202516827626571</v>
      </c>
      <c r="L316" s="2">
        <v>105</v>
      </c>
    </row>
    <row r="317" spans="1:12" x14ac:dyDescent="0.25">
      <c r="A317" s="1" t="s">
        <v>111</v>
      </c>
      <c r="B317" s="1" t="s">
        <v>351</v>
      </c>
      <c r="C317" s="1" t="s">
        <v>671</v>
      </c>
      <c r="D317" s="1" t="s">
        <v>1015</v>
      </c>
      <c r="E317" s="2">
        <v>80302</v>
      </c>
      <c r="F317" s="2">
        <v>1969</v>
      </c>
      <c r="G317" s="2">
        <v>3059</v>
      </c>
      <c r="H317" s="2">
        <v>5432</v>
      </c>
      <c r="I317" s="2">
        <v>2591</v>
      </c>
      <c r="J317" s="2">
        <v>13051</v>
      </c>
      <c r="K317" s="3">
        <f t="shared" si="15"/>
        <v>19.852884836411004</v>
      </c>
      <c r="L317" s="2">
        <v>1969</v>
      </c>
    </row>
    <row r="318" spans="1:12" x14ac:dyDescent="0.25">
      <c r="A318" s="1" t="s">
        <v>92</v>
      </c>
      <c r="B318" s="1" t="s">
        <v>304</v>
      </c>
      <c r="C318" s="1" t="s">
        <v>613</v>
      </c>
      <c r="D318" s="1" t="s">
        <v>957</v>
      </c>
      <c r="E318" s="2">
        <v>80303</v>
      </c>
      <c r="F318" s="2">
        <v>44</v>
      </c>
      <c r="G318" s="2">
        <v>250</v>
      </c>
      <c r="H318" s="2">
        <v>1496</v>
      </c>
      <c r="I318" s="2">
        <v>965</v>
      </c>
      <c r="J318" s="2">
        <v>2755</v>
      </c>
      <c r="K318" s="3">
        <f t="shared" si="15"/>
        <v>35.027223230490016</v>
      </c>
      <c r="L318" s="2">
        <v>44</v>
      </c>
    </row>
    <row r="319" spans="1:12" x14ac:dyDescent="0.25">
      <c r="A319" s="1" t="s">
        <v>109</v>
      </c>
      <c r="B319" s="1" t="s">
        <v>348</v>
      </c>
      <c r="C319" s="1" t="s">
        <v>668</v>
      </c>
      <c r="D319" s="1" t="s">
        <v>1012</v>
      </c>
      <c r="E319" s="2">
        <v>80304</v>
      </c>
      <c r="F319" s="2">
        <v>596</v>
      </c>
      <c r="G319" s="2">
        <v>766</v>
      </c>
      <c r="H319" s="2">
        <v>2620</v>
      </c>
      <c r="I319" s="2">
        <v>2893</v>
      </c>
      <c r="J319" s="2">
        <v>6875</v>
      </c>
      <c r="K319" s="3">
        <f t="shared" si="15"/>
        <v>42.08</v>
      </c>
      <c r="L319" s="2">
        <v>596</v>
      </c>
    </row>
    <row r="320" spans="1:12" x14ac:dyDescent="0.25">
      <c r="A320" s="1" t="s">
        <v>111</v>
      </c>
      <c r="B320" s="1" t="s">
        <v>350</v>
      </c>
      <c r="C320" s="1" t="s">
        <v>670</v>
      </c>
      <c r="D320" s="1" t="s">
        <v>1014</v>
      </c>
      <c r="E320" s="2">
        <v>80401</v>
      </c>
      <c r="F320" s="2">
        <v>220</v>
      </c>
      <c r="G320" s="2">
        <v>830</v>
      </c>
      <c r="H320" s="2">
        <v>836</v>
      </c>
      <c r="I320" s="2">
        <v>2409</v>
      </c>
      <c r="J320" s="2">
        <v>4295</v>
      </c>
      <c r="K320" s="3">
        <f t="shared" si="15"/>
        <v>56.088474970896399</v>
      </c>
      <c r="L320" s="2">
        <v>220</v>
      </c>
    </row>
    <row r="321" spans="1:12" x14ac:dyDescent="0.25">
      <c r="A321" s="1" t="s">
        <v>113</v>
      </c>
      <c r="B321" s="1" t="s">
        <v>354</v>
      </c>
      <c r="C321" s="1" t="s">
        <v>675</v>
      </c>
      <c r="D321" s="1" t="s">
        <v>1019</v>
      </c>
      <c r="E321" s="2">
        <v>80402</v>
      </c>
      <c r="F321" s="2">
        <v>50</v>
      </c>
      <c r="G321" s="2">
        <v>247</v>
      </c>
      <c r="H321" s="2">
        <v>739</v>
      </c>
      <c r="I321" s="2">
        <v>419</v>
      </c>
      <c r="J321" s="2">
        <v>1455</v>
      </c>
      <c r="K321" s="3">
        <f t="shared" si="15"/>
        <v>28.797250859106526</v>
      </c>
      <c r="L321" s="2">
        <v>50</v>
      </c>
    </row>
    <row r="322" spans="1:12" x14ac:dyDescent="0.25">
      <c r="A322" s="1" t="s">
        <v>35</v>
      </c>
      <c r="B322" s="1" t="s">
        <v>219</v>
      </c>
      <c r="C322" s="1" t="s">
        <v>510</v>
      </c>
      <c r="D322" s="1" t="s">
        <v>854</v>
      </c>
      <c r="E322" s="2">
        <v>80501</v>
      </c>
      <c r="F322" s="2">
        <v>308</v>
      </c>
      <c r="G322" s="2">
        <v>650</v>
      </c>
      <c r="H322" s="2">
        <v>2864</v>
      </c>
      <c r="I322" s="2">
        <v>1569</v>
      </c>
      <c r="J322" s="2">
        <v>5391</v>
      </c>
      <c r="K322" s="3">
        <f t="shared" si="15"/>
        <v>29.104062326099054</v>
      </c>
      <c r="L322" s="2">
        <v>308</v>
      </c>
    </row>
    <row r="323" spans="1:12" x14ac:dyDescent="0.25">
      <c r="A323" s="1" t="s">
        <v>27</v>
      </c>
      <c r="B323" s="1" t="s">
        <v>211</v>
      </c>
      <c r="C323" s="1" t="s">
        <v>499</v>
      </c>
      <c r="D323" s="1" t="s">
        <v>843</v>
      </c>
      <c r="E323" s="2">
        <v>80601</v>
      </c>
      <c r="F323" s="2">
        <v>53</v>
      </c>
      <c r="G323" s="2">
        <v>164</v>
      </c>
      <c r="H323" s="2">
        <v>280</v>
      </c>
      <c r="I323" s="2">
        <v>556</v>
      </c>
      <c r="J323" s="2">
        <v>1053</v>
      </c>
      <c r="K323" s="3">
        <f t="shared" si="15"/>
        <v>52.801519468186129</v>
      </c>
      <c r="L323" s="2">
        <v>53</v>
      </c>
    </row>
    <row r="324" spans="1:12" x14ac:dyDescent="0.25">
      <c r="A324" s="1" t="s">
        <v>133</v>
      </c>
      <c r="B324" s="1" t="s">
        <v>393</v>
      </c>
      <c r="C324" s="1" t="s">
        <v>727</v>
      </c>
      <c r="D324" s="1" t="s">
        <v>1071</v>
      </c>
      <c r="E324" s="2">
        <v>80602</v>
      </c>
      <c r="F324" s="2">
        <v>394</v>
      </c>
      <c r="G324" s="2">
        <v>1069</v>
      </c>
      <c r="H324" s="2">
        <v>1602</v>
      </c>
      <c r="I324" s="2">
        <v>2205</v>
      </c>
      <c r="J324" s="2">
        <v>5270</v>
      </c>
      <c r="K324" s="3">
        <f t="shared" si="15"/>
        <v>41.840607210626182</v>
      </c>
      <c r="L324" s="2">
        <v>394</v>
      </c>
    </row>
    <row r="325" spans="1:12" x14ac:dyDescent="0.25">
      <c r="A325" s="1" t="s">
        <v>46</v>
      </c>
      <c r="B325" s="1" t="s">
        <v>235</v>
      </c>
      <c r="C325" s="1" t="s">
        <v>528</v>
      </c>
      <c r="D325" s="1" t="s">
        <v>872</v>
      </c>
      <c r="E325" s="2">
        <v>80701</v>
      </c>
      <c r="F325" s="2">
        <v>25</v>
      </c>
      <c r="G325" s="2">
        <v>261</v>
      </c>
      <c r="H325" s="2">
        <v>820</v>
      </c>
      <c r="I325" s="2">
        <v>379</v>
      </c>
      <c r="J325" s="2">
        <v>1485</v>
      </c>
      <c r="K325" s="3">
        <f t="shared" ref="K325:K347" si="16">(I325/J325)*100</f>
        <v>25.521885521885523</v>
      </c>
      <c r="L325" s="2">
        <v>25</v>
      </c>
    </row>
    <row r="326" spans="1:12" x14ac:dyDescent="0.25">
      <c r="A326" s="1" t="s">
        <v>46</v>
      </c>
      <c r="B326" s="1" t="s">
        <v>235</v>
      </c>
      <c r="C326" s="1" t="s">
        <v>529</v>
      </c>
      <c r="D326" s="1" t="s">
        <v>873</v>
      </c>
      <c r="E326" s="2">
        <v>80702</v>
      </c>
      <c r="F326" s="2">
        <v>99</v>
      </c>
      <c r="G326" s="2">
        <v>245</v>
      </c>
      <c r="H326" s="2">
        <v>816</v>
      </c>
      <c r="I326" s="2">
        <v>344</v>
      </c>
      <c r="J326" s="2">
        <v>1504</v>
      </c>
      <c r="K326" s="3">
        <f t="shared" si="16"/>
        <v>22.872340425531913</v>
      </c>
      <c r="L326" s="2">
        <v>99</v>
      </c>
    </row>
    <row r="327" spans="1:12" x14ac:dyDescent="0.25">
      <c r="A327" s="1" t="s">
        <v>113</v>
      </c>
      <c r="B327" s="1" t="s">
        <v>353</v>
      </c>
      <c r="C327" s="1" t="s">
        <v>674</v>
      </c>
      <c r="D327" s="1" t="s">
        <v>1018</v>
      </c>
      <c r="E327" s="2">
        <v>80703</v>
      </c>
      <c r="F327" s="2">
        <v>2</v>
      </c>
      <c r="G327" s="2">
        <v>19</v>
      </c>
      <c r="H327" s="2">
        <v>100</v>
      </c>
      <c r="I327" s="2">
        <v>184</v>
      </c>
      <c r="J327" s="2">
        <v>305</v>
      </c>
      <c r="K327" s="3">
        <f t="shared" si="16"/>
        <v>60.327868852459019</v>
      </c>
      <c r="L327" s="2">
        <v>2</v>
      </c>
    </row>
    <row r="328" spans="1:12" x14ac:dyDescent="0.25">
      <c r="A328" s="1" t="s">
        <v>51</v>
      </c>
      <c r="B328" s="1" t="s">
        <v>245</v>
      </c>
      <c r="C328" s="1" t="s">
        <v>544</v>
      </c>
      <c r="D328" s="1" t="s">
        <v>888</v>
      </c>
      <c r="E328" s="2">
        <v>80801</v>
      </c>
      <c r="F328" s="2">
        <v>50</v>
      </c>
      <c r="G328" s="2">
        <v>862</v>
      </c>
      <c r="H328" s="2">
        <v>1662</v>
      </c>
      <c r="I328" s="2">
        <v>385</v>
      </c>
      <c r="J328" s="2">
        <v>2959</v>
      </c>
      <c r="K328" s="3">
        <f t="shared" si="16"/>
        <v>13.011152416356877</v>
      </c>
      <c r="L328" s="2">
        <v>50</v>
      </c>
    </row>
    <row r="329" spans="1:12" x14ac:dyDescent="0.25">
      <c r="A329" s="1" t="s">
        <v>81</v>
      </c>
      <c r="B329" s="1" t="s">
        <v>290</v>
      </c>
      <c r="C329" s="1" t="s">
        <v>595</v>
      </c>
      <c r="D329" s="1" t="s">
        <v>939</v>
      </c>
      <c r="E329" s="2">
        <v>80802</v>
      </c>
      <c r="F329" s="2">
        <v>137</v>
      </c>
      <c r="G329" s="2">
        <v>347</v>
      </c>
      <c r="H329" s="2">
        <v>1039</v>
      </c>
      <c r="I329" s="2">
        <v>541</v>
      </c>
      <c r="J329" s="2">
        <v>2064</v>
      </c>
      <c r="K329" s="3">
        <f t="shared" si="16"/>
        <v>26.211240310077521</v>
      </c>
      <c r="L329" s="2">
        <v>137</v>
      </c>
    </row>
    <row r="330" spans="1:12" x14ac:dyDescent="0.25">
      <c r="A330" s="1" t="s">
        <v>42</v>
      </c>
      <c r="B330" s="1" t="s">
        <v>231</v>
      </c>
      <c r="C330" s="1" t="s">
        <v>524</v>
      </c>
      <c r="D330" s="1" t="s">
        <v>868</v>
      </c>
      <c r="E330" s="2">
        <v>80803</v>
      </c>
      <c r="F330" s="2">
        <v>24</v>
      </c>
      <c r="G330" s="2">
        <v>143</v>
      </c>
      <c r="H330" s="2">
        <v>596</v>
      </c>
      <c r="I330" s="2">
        <v>255</v>
      </c>
      <c r="J330" s="2">
        <v>1018</v>
      </c>
      <c r="K330" s="3">
        <f t="shared" si="16"/>
        <v>25.04911591355599</v>
      </c>
      <c r="L330" s="2">
        <v>24</v>
      </c>
    </row>
    <row r="331" spans="1:12" x14ac:dyDescent="0.25">
      <c r="A331" s="1" t="s">
        <v>164</v>
      </c>
      <c r="B331" s="1" t="s">
        <v>449</v>
      </c>
      <c r="C331" s="1" t="s">
        <v>793</v>
      </c>
      <c r="D331" s="1" t="s">
        <v>1137</v>
      </c>
      <c r="E331" s="2">
        <v>80901</v>
      </c>
      <c r="F331" s="2">
        <v>193</v>
      </c>
      <c r="G331" s="2">
        <v>146</v>
      </c>
      <c r="H331" s="2">
        <v>205</v>
      </c>
      <c r="I331" s="2">
        <v>378</v>
      </c>
      <c r="J331" s="2">
        <v>922</v>
      </c>
      <c r="K331" s="3">
        <f t="shared" si="16"/>
        <v>40.997830802603033</v>
      </c>
      <c r="L331" s="2">
        <v>193</v>
      </c>
    </row>
    <row r="332" spans="1:12" x14ac:dyDescent="0.25">
      <c r="A332" s="1" t="s">
        <v>83</v>
      </c>
      <c r="B332" s="1" t="s">
        <v>292</v>
      </c>
      <c r="C332" s="1" t="s">
        <v>597</v>
      </c>
      <c r="D332" s="1" t="s">
        <v>941</v>
      </c>
      <c r="E332" s="2">
        <v>90101</v>
      </c>
      <c r="F332" s="2">
        <v>152</v>
      </c>
      <c r="G332" s="2">
        <v>2102</v>
      </c>
      <c r="H332" s="2">
        <v>7263</v>
      </c>
      <c r="I332" s="2">
        <v>6047</v>
      </c>
      <c r="J332" s="2">
        <v>15564</v>
      </c>
      <c r="K332" s="3">
        <f t="shared" si="16"/>
        <v>38.852480082241073</v>
      </c>
      <c r="L332" s="2">
        <v>152</v>
      </c>
    </row>
    <row r="333" spans="1:12" x14ac:dyDescent="0.25">
      <c r="A333" s="1" t="s">
        <v>114</v>
      </c>
      <c r="B333" s="1" t="s">
        <v>356</v>
      </c>
      <c r="C333" s="1" t="s">
        <v>677</v>
      </c>
      <c r="D333" s="1" t="s">
        <v>1021</v>
      </c>
      <c r="E333" s="2">
        <v>90102</v>
      </c>
      <c r="F333" s="2">
        <v>52</v>
      </c>
      <c r="G333" s="2">
        <v>253</v>
      </c>
      <c r="H333" s="2">
        <v>1311</v>
      </c>
      <c r="I333" s="2">
        <v>614</v>
      </c>
      <c r="J333" s="2">
        <v>2230</v>
      </c>
      <c r="K333" s="3">
        <f t="shared" si="16"/>
        <v>27.533632286995513</v>
      </c>
      <c r="L333" s="2">
        <v>52</v>
      </c>
    </row>
    <row r="334" spans="1:12" x14ac:dyDescent="0.25">
      <c r="A334" s="1" t="s">
        <v>119</v>
      </c>
      <c r="B334" s="1" t="s">
        <v>364</v>
      </c>
      <c r="C334" s="1" t="s">
        <v>690</v>
      </c>
      <c r="D334" s="1" t="s">
        <v>1034</v>
      </c>
      <c r="E334" s="2">
        <v>90103</v>
      </c>
      <c r="F334" s="2">
        <v>32</v>
      </c>
      <c r="G334" s="2">
        <v>158</v>
      </c>
      <c r="H334" s="2">
        <v>269</v>
      </c>
      <c r="I334" s="2">
        <v>343</v>
      </c>
      <c r="J334" s="2">
        <v>802</v>
      </c>
      <c r="K334" s="3">
        <f t="shared" si="16"/>
        <v>42.768079800498754</v>
      </c>
      <c r="L334" s="2">
        <v>32</v>
      </c>
    </row>
    <row r="335" spans="1:12" x14ac:dyDescent="0.25">
      <c r="A335" s="1" t="s">
        <v>114</v>
      </c>
      <c r="B335" s="1" t="s">
        <v>356</v>
      </c>
      <c r="C335" s="1" t="s">
        <v>678</v>
      </c>
      <c r="D335" s="1" t="s">
        <v>1022</v>
      </c>
      <c r="E335" s="2">
        <v>90104</v>
      </c>
      <c r="F335" s="2">
        <v>72</v>
      </c>
      <c r="G335" s="2">
        <v>203</v>
      </c>
      <c r="H335" s="2">
        <v>338</v>
      </c>
      <c r="I335" s="2">
        <v>622</v>
      </c>
      <c r="J335" s="2">
        <v>1235</v>
      </c>
      <c r="K335" s="3">
        <f t="shared" si="16"/>
        <v>50.364372469635633</v>
      </c>
      <c r="L335" s="2">
        <v>72</v>
      </c>
    </row>
    <row r="336" spans="1:12" x14ac:dyDescent="0.25">
      <c r="A336" s="1" t="s">
        <v>114</v>
      </c>
      <c r="B336" s="1" t="s">
        <v>357</v>
      </c>
      <c r="C336" s="1" t="s">
        <v>680</v>
      </c>
      <c r="D336" s="1" t="s">
        <v>1024</v>
      </c>
      <c r="E336" s="2">
        <v>90201</v>
      </c>
      <c r="F336" s="2">
        <v>48</v>
      </c>
      <c r="G336" s="2">
        <v>323</v>
      </c>
      <c r="H336" s="2">
        <v>1087</v>
      </c>
      <c r="I336" s="2">
        <v>531</v>
      </c>
      <c r="J336" s="2">
        <v>1989</v>
      </c>
      <c r="K336" s="3">
        <f t="shared" si="16"/>
        <v>26.696832579185521</v>
      </c>
      <c r="L336" s="2">
        <v>48</v>
      </c>
    </row>
    <row r="337" spans="1:12" x14ac:dyDescent="0.25">
      <c r="A337" s="1" t="s">
        <v>114</v>
      </c>
      <c r="B337" s="1" t="s">
        <v>357</v>
      </c>
      <c r="C337" s="1" t="s">
        <v>679</v>
      </c>
      <c r="D337" s="1" t="s">
        <v>1023</v>
      </c>
      <c r="E337" s="2">
        <v>90202</v>
      </c>
      <c r="F337" s="2">
        <v>14</v>
      </c>
      <c r="G337" s="2">
        <v>297</v>
      </c>
      <c r="H337" s="2">
        <v>250</v>
      </c>
      <c r="I337" s="2">
        <v>51</v>
      </c>
      <c r="J337" s="2">
        <v>612</v>
      </c>
      <c r="K337" s="3">
        <f t="shared" si="16"/>
        <v>8.3333333333333321</v>
      </c>
      <c r="L337" s="2">
        <v>14</v>
      </c>
    </row>
    <row r="338" spans="1:12" x14ac:dyDescent="0.25">
      <c r="A338" s="1" t="s">
        <v>119</v>
      </c>
      <c r="B338" s="1" t="s">
        <v>365</v>
      </c>
      <c r="C338" s="1" t="s">
        <v>691</v>
      </c>
      <c r="D338" s="1" t="s">
        <v>1035</v>
      </c>
      <c r="E338" s="2">
        <v>90203</v>
      </c>
      <c r="F338" s="2">
        <v>114</v>
      </c>
      <c r="G338" s="2">
        <v>369</v>
      </c>
      <c r="H338" s="2">
        <v>884</v>
      </c>
      <c r="I338" s="2">
        <v>1147</v>
      </c>
      <c r="J338" s="2">
        <v>2514</v>
      </c>
      <c r="K338" s="3">
        <f t="shared" si="16"/>
        <v>45.624502784407319</v>
      </c>
      <c r="L338" s="2">
        <v>114</v>
      </c>
    </row>
    <row r="339" spans="1:12" x14ac:dyDescent="0.25">
      <c r="A339" s="1" t="s">
        <v>112</v>
      </c>
      <c r="B339" s="1" t="s">
        <v>352</v>
      </c>
      <c r="C339" s="1" t="s">
        <v>673</v>
      </c>
      <c r="D339" s="1" t="s">
        <v>1017</v>
      </c>
      <c r="E339" s="2">
        <v>90301</v>
      </c>
      <c r="F339" s="2">
        <v>99</v>
      </c>
      <c r="G339" s="2">
        <v>457</v>
      </c>
      <c r="H339" s="2">
        <v>834</v>
      </c>
      <c r="I339" s="2">
        <v>575</v>
      </c>
      <c r="J339" s="2">
        <v>1965</v>
      </c>
      <c r="K339" s="3">
        <f t="shared" si="16"/>
        <v>29.262086513994912</v>
      </c>
      <c r="L339" s="2">
        <v>99</v>
      </c>
    </row>
    <row r="340" spans="1:12" x14ac:dyDescent="0.25">
      <c r="A340" s="1" t="s">
        <v>91</v>
      </c>
      <c r="B340" s="1" t="s">
        <v>303</v>
      </c>
      <c r="C340" s="1" t="s">
        <v>612</v>
      </c>
      <c r="D340" s="1" t="s">
        <v>956</v>
      </c>
      <c r="E340" s="2">
        <v>90302</v>
      </c>
      <c r="F340" s="2">
        <v>35</v>
      </c>
      <c r="G340" s="2">
        <v>213</v>
      </c>
      <c r="H340" s="2">
        <v>1042</v>
      </c>
      <c r="I340" s="2">
        <v>560</v>
      </c>
      <c r="J340" s="2">
        <v>1850</v>
      </c>
      <c r="K340" s="3">
        <f t="shared" si="16"/>
        <v>30.270270270270274</v>
      </c>
      <c r="L340" s="2">
        <v>35</v>
      </c>
    </row>
    <row r="341" spans="1:12" x14ac:dyDescent="0.25">
      <c r="A341" s="1" t="s">
        <v>91</v>
      </c>
      <c r="B341" s="1" t="s">
        <v>303</v>
      </c>
      <c r="C341" s="1" t="s">
        <v>611</v>
      </c>
      <c r="D341" s="1" t="s">
        <v>955</v>
      </c>
      <c r="E341" s="2">
        <v>90303</v>
      </c>
      <c r="F341" s="2">
        <v>174</v>
      </c>
      <c r="G341" s="2">
        <v>1219</v>
      </c>
      <c r="H341" s="2">
        <v>1205</v>
      </c>
      <c r="I341" s="2">
        <v>277</v>
      </c>
      <c r="J341" s="2">
        <v>2875</v>
      </c>
      <c r="K341" s="3">
        <f t="shared" si="16"/>
        <v>9.6347826086956516</v>
      </c>
      <c r="L341" s="2">
        <v>174</v>
      </c>
    </row>
    <row r="342" spans="1:12" x14ac:dyDescent="0.25">
      <c r="A342" s="1" t="s">
        <v>114</v>
      </c>
      <c r="B342" s="1" t="s">
        <v>358</v>
      </c>
      <c r="C342" s="1" t="s">
        <v>681</v>
      </c>
      <c r="D342" s="1" t="s">
        <v>1025</v>
      </c>
      <c r="E342" s="2">
        <v>90401</v>
      </c>
      <c r="F342" s="2">
        <v>26</v>
      </c>
      <c r="G342" s="2">
        <v>106</v>
      </c>
      <c r="H342" s="2">
        <v>329</v>
      </c>
      <c r="I342" s="2">
        <v>399</v>
      </c>
      <c r="J342" s="2">
        <v>860</v>
      </c>
      <c r="K342" s="3">
        <f t="shared" si="16"/>
        <v>46.395348837209305</v>
      </c>
      <c r="L342" s="2">
        <v>26</v>
      </c>
    </row>
    <row r="343" spans="1:12" x14ac:dyDescent="0.25">
      <c r="A343" s="1" t="s">
        <v>114</v>
      </c>
      <c r="B343" s="1" t="s">
        <v>358</v>
      </c>
      <c r="C343" s="1" t="s">
        <v>682</v>
      </c>
      <c r="D343" s="1" t="s">
        <v>1026</v>
      </c>
      <c r="E343" s="2">
        <v>90402</v>
      </c>
      <c r="F343" s="2">
        <v>44</v>
      </c>
      <c r="G343" s="2">
        <v>197</v>
      </c>
      <c r="H343" s="2">
        <v>301</v>
      </c>
      <c r="I343" s="2">
        <v>107</v>
      </c>
      <c r="J343" s="2">
        <v>649</v>
      </c>
      <c r="K343" s="3">
        <f t="shared" si="16"/>
        <v>16.486902927580893</v>
      </c>
      <c r="L343" s="2">
        <v>44</v>
      </c>
    </row>
    <row r="344" spans="1:12" x14ac:dyDescent="0.25">
      <c r="A344" s="1" t="s">
        <v>116</v>
      </c>
      <c r="B344" s="1" t="s">
        <v>360</v>
      </c>
      <c r="C344" s="1" t="s">
        <v>686</v>
      </c>
      <c r="D344" s="1" t="s">
        <v>1030</v>
      </c>
      <c r="E344" s="2">
        <v>90501</v>
      </c>
      <c r="F344" s="2">
        <v>13</v>
      </c>
      <c r="G344" s="2">
        <v>140</v>
      </c>
      <c r="H344" s="2">
        <v>229</v>
      </c>
      <c r="I344" s="2">
        <v>107</v>
      </c>
      <c r="J344" s="2">
        <v>489</v>
      </c>
      <c r="K344" s="3">
        <f t="shared" si="16"/>
        <v>21.881390593047033</v>
      </c>
      <c r="L344" s="2">
        <v>13</v>
      </c>
    </row>
    <row r="345" spans="1:12" x14ac:dyDescent="0.25">
      <c r="A345" s="1" t="s">
        <v>116</v>
      </c>
      <c r="B345" s="1" t="s">
        <v>360</v>
      </c>
      <c r="C345" s="1" t="s">
        <v>684</v>
      </c>
      <c r="D345" s="1" t="s">
        <v>1028</v>
      </c>
      <c r="E345" s="2">
        <v>90502</v>
      </c>
      <c r="F345" s="2">
        <v>12</v>
      </c>
      <c r="G345" s="2">
        <v>151</v>
      </c>
      <c r="H345" s="2">
        <v>370</v>
      </c>
      <c r="I345" s="2">
        <v>175</v>
      </c>
      <c r="J345" s="2">
        <v>708</v>
      </c>
      <c r="K345" s="3">
        <f t="shared" si="16"/>
        <v>24.717514124293785</v>
      </c>
      <c r="L345" s="2">
        <v>12</v>
      </c>
    </row>
    <row r="346" spans="1:12" x14ac:dyDescent="0.25">
      <c r="A346" s="1" t="s">
        <v>116</v>
      </c>
      <c r="B346" s="1" t="s">
        <v>360</v>
      </c>
      <c r="C346" s="1" t="s">
        <v>685</v>
      </c>
      <c r="D346" s="1" t="s">
        <v>1029</v>
      </c>
      <c r="E346" s="2">
        <v>90503</v>
      </c>
      <c r="F346" s="2">
        <v>24</v>
      </c>
      <c r="G346" s="2">
        <v>125</v>
      </c>
      <c r="H346" s="2">
        <v>362</v>
      </c>
      <c r="I346" s="2">
        <v>90</v>
      </c>
      <c r="J346" s="2">
        <v>601</v>
      </c>
      <c r="K346" s="3">
        <f t="shared" si="16"/>
        <v>14.975041597337771</v>
      </c>
      <c r="L346" s="2">
        <v>24</v>
      </c>
    </row>
    <row r="347" spans="1:12" x14ac:dyDescent="0.25">
      <c r="E347" s="1" t="s">
        <v>213</v>
      </c>
      <c r="F347" s="2">
        <f>SUM(F248:F250)</f>
        <v>373</v>
      </c>
      <c r="G347" s="2">
        <f t="shared" ref="G347:J347" si="17">SUM(G248:G250)</f>
        <v>2105</v>
      </c>
      <c r="H347" s="2">
        <f t="shared" si="17"/>
        <v>9943</v>
      </c>
      <c r="I347" s="2">
        <f t="shared" si="17"/>
        <v>33611</v>
      </c>
      <c r="J347" s="2">
        <f t="shared" si="17"/>
        <v>46032</v>
      </c>
      <c r="K347" s="3">
        <f t="shared" si="16"/>
        <v>73.016597149808831</v>
      </c>
      <c r="L347" s="2">
        <f>SUM(L248:L250)</f>
        <v>373</v>
      </c>
    </row>
  </sheetData>
  <sortState xmlns:xlrd2="http://schemas.microsoft.com/office/spreadsheetml/2017/richdata2" ref="A4:J346">
    <sortCondition ref="E1:E346"/>
  </sortState>
  <mergeCells count="14">
    <mergeCell ref="A1:A3"/>
    <mergeCell ref="F1:I1"/>
    <mergeCell ref="E1:E3"/>
    <mergeCell ref="D1:D3"/>
    <mergeCell ref="C1:C3"/>
    <mergeCell ref="B1:B3"/>
    <mergeCell ref="V1:V3"/>
    <mergeCell ref="W1:W3"/>
    <mergeCell ref="J1:J3"/>
    <mergeCell ref="K1:K3"/>
    <mergeCell ref="L1:L3"/>
    <mergeCell ref="P1:P3"/>
    <mergeCell ref="Q1:T2"/>
    <mergeCell ref="U1:U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D224-9CF1-420E-BCB5-DD04BAC62BE2}">
  <sheetPr>
    <tabColor rgb="FFC00000"/>
  </sheetPr>
  <dimension ref="A1:D344"/>
  <sheetViews>
    <sheetView workbookViewId="0">
      <selection activeCell="C338" sqref="C1:C338"/>
    </sheetView>
  </sheetViews>
  <sheetFormatPr baseColWidth="10" defaultColWidth="9.140625" defaultRowHeight="15" x14ac:dyDescent="0.25"/>
  <cols>
    <col min="2" max="2" width="20.28515625" customWidth="1"/>
    <col min="3" max="3" width="21.28515625" customWidth="1"/>
    <col min="4" max="4" width="21.85546875" customWidth="1"/>
  </cols>
  <sheetData>
    <row r="1" spans="1:4" ht="30" x14ac:dyDescent="0.25">
      <c r="A1" s="16" t="s">
        <v>1142</v>
      </c>
      <c r="B1" s="17" t="s">
        <v>453</v>
      </c>
      <c r="C1" s="15" t="s">
        <v>1168</v>
      </c>
      <c r="D1" s="15" t="s">
        <v>1169</v>
      </c>
    </row>
    <row r="2" spans="1:4" x14ac:dyDescent="0.25">
      <c r="A2" s="2">
        <v>10101</v>
      </c>
      <c r="B2" s="1" t="s">
        <v>710</v>
      </c>
      <c r="C2" s="3">
        <v>77.732347853436082</v>
      </c>
      <c r="D2" s="3">
        <v>83.436902227361642</v>
      </c>
    </row>
    <row r="3" spans="1:4" x14ac:dyDescent="0.25">
      <c r="A3" s="2">
        <v>10102</v>
      </c>
      <c r="B3" s="1" t="s">
        <v>660</v>
      </c>
      <c r="C3" s="3">
        <v>44.897959183673471</v>
      </c>
      <c r="D3" s="3">
        <v>63.645287958115183</v>
      </c>
    </row>
    <row r="4" spans="1:4" x14ac:dyDescent="0.25">
      <c r="A4" s="2">
        <v>10103</v>
      </c>
      <c r="B4" s="1" t="s">
        <v>754</v>
      </c>
      <c r="C4" s="3">
        <v>3.7768240343347639</v>
      </c>
      <c r="D4" s="3">
        <v>12.849162011173185</v>
      </c>
    </row>
    <row r="5" spans="1:4" x14ac:dyDescent="0.25">
      <c r="A5" s="2">
        <v>10201</v>
      </c>
      <c r="B5" s="1" t="s">
        <v>576</v>
      </c>
      <c r="C5" s="3">
        <v>12.844759653270291</v>
      </c>
      <c r="D5" s="3">
        <v>29.551020408163264</v>
      </c>
    </row>
    <row r="6" spans="1:4" x14ac:dyDescent="0.25">
      <c r="A6" s="2">
        <v>10202</v>
      </c>
      <c r="B6" s="1" t="s">
        <v>645</v>
      </c>
      <c r="C6" s="3">
        <v>13.136337039204212</v>
      </c>
      <c r="D6" s="3">
        <v>33.471074380165291</v>
      </c>
    </row>
    <row r="7" spans="1:4" x14ac:dyDescent="0.25">
      <c r="A7" s="2">
        <v>10301</v>
      </c>
      <c r="B7" s="1" t="s">
        <v>583</v>
      </c>
      <c r="C7" s="3">
        <v>27.803557617942769</v>
      </c>
      <c r="D7" s="3">
        <v>42.485095701286475</v>
      </c>
    </row>
    <row r="8" spans="1:4" x14ac:dyDescent="0.25">
      <c r="A8" s="2">
        <v>10302</v>
      </c>
      <c r="B8" s="1" t="s">
        <v>711</v>
      </c>
      <c r="C8" s="3">
        <v>17.372101582627899</v>
      </c>
      <c r="D8" s="3">
        <v>37.786609599510854</v>
      </c>
    </row>
    <row r="9" spans="1:4" x14ac:dyDescent="0.25">
      <c r="A9" s="2">
        <v>10303</v>
      </c>
      <c r="B9" s="1" t="s">
        <v>700</v>
      </c>
      <c r="C9" s="3">
        <v>26.892028254288597</v>
      </c>
      <c r="D9" s="3">
        <v>49.036570979158469</v>
      </c>
    </row>
    <row r="10" spans="1:4" x14ac:dyDescent="0.25">
      <c r="A10" s="2">
        <v>10304</v>
      </c>
      <c r="B10" s="1" t="s">
        <v>659</v>
      </c>
      <c r="C10" s="3">
        <v>39.377389404696892</v>
      </c>
      <c r="D10" s="3">
        <v>43.111954459203034</v>
      </c>
    </row>
    <row r="11" spans="1:4" x14ac:dyDescent="0.25">
      <c r="A11" s="2">
        <v>10401</v>
      </c>
      <c r="B11" s="1" t="s">
        <v>699</v>
      </c>
      <c r="C11" s="3">
        <v>33.45195729537366</v>
      </c>
      <c r="D11" s="3">
        <v>52.354048964218457</v>
      </c>
    </row>
    <row r="12" spans="1:4" x14ac:dyDescent="0.25">
      <c r="A12" s="2">
        <v>10402</v>
      </c>
      <c r="B12" s="1" t="s">
        <v>331</v>
      </c>
      <c r="C12" s="3">
        <v>28.064363464268808</v>
      </c>
      <c r="D12" s="3">
        <v>58.314757021845743</v>
      </c>
    </row>
    <row r="13" spans="1:4" x14ac:dyDescent="0.25">
      <c r="A13" s="2">
        <v>10403</v>
      </c>
      <c r="B13" s="1" t="s">
        <v>658</v>
      </c>
      <c r="C13" s="3">
        <v>26.766169154228859</v>
      </c>
      <c r="D13" s="3">
        <v>40.776233828461905</v>
      </c>
    </row>
    <row r="14" spans="1:4" x14ac:dyDescent="0.25">
      <c r="A14" s="2">
        <v>10404</v>
      </c>
      <c r="B14" s="1" t="s">
        <v>657</v>
      </c>
      <c r="C14" s="3">
        <v>22.761194029850746</v>
      </c>
      <c r="D14" s="3">
        <v>59.714045416316232</v>
      </c>
    </row>
    <row r="15" spans="1:4" x14ac:dyDescent="0.25">
      <c r="A15" s="2">
        <v>10405</v>
      </c>
      <c r="B15" s="1" t="s">
        <v>649</v>
      </c>
      <c r="C15" s="3">
        <v>22.112211221122113</v>
      </c>
      <c r="D15" s="3">
        <v>49.895760945100761</v>
      </c>
    </row>
    <row r="16" spans="1:4" x14ac:dyDescent="0.25">
      <c r="A16" s="2">
        <v>10501</v>
      </c>
      <c r="B16" s="1" t="s">
        <v>653</v>
      </c>
      <c r="C16" s="3">
        <v>46.718210231946045</v>
      </c>
      <c r="D16" s="3">
        <v>65.990700077499355</v>
      </c>
    </row>
    <row r="17" spans="1:4" x14ac:dyDescent="0.25">
      <c r="A17" s="2">
        <v>10502</v>
      </c>
      <c r="B17" s="1" t="s">
        <v>652</v>
      </c>
      <c r="C17" s="3">
        <v>26.936026936026934</v>
      </c>
      <c r="D17" s="3">
        <v>48.41373315949587</v>
      </c>
    </row>
    <row r="18" spans="1:4" x14ac:dyDescent="0.25">
      <c r="A18" s="2">
        <v>10601</v>
      </c>
      <c r="B18" s="1" t="s">
        <v>582</v>
      </c>
      <c r="C18" s="3">
        <v>19.33424532603739</v>
      </c>
      <c r="D18" s="3">
        <v>44.543117550829628</v>
      </c>
    </row>
    <row r="19" spans="1:4" x14ac:dyDescent="0.25">
      <c r="A19" s="2">
        <v>10602</v>
      </c>
      <c r="B19" s="1" t="s">
        <v>278</v>
      </c>
      <c r="C19" s="3">
        <v>20.711864406779661</v>
      </c>
      <c r="D19" s="3">
        <v>44.868035190615835</v>
      </c>
    </row>
    <row r="20" spans="1:4" x14ac:dyDescent="0.25">
      <c r="A20" s="2">
        <v>10701</v>
      </c>
      <c r="B20" s="1" t="s">
        <v>790</v>
      </c>
      <c r="C20" s="3">
        <v>42.01156069364162</v>
      </c>
      <c r="D20" s="3">
        <v>53.279175747969084</v>
      </c>
    </row>
    <row r="21" spans="1:4" x14ac:dyDescent="0.25">
      <c r="A21" s="2">
        <v>10702</v>
      </c>
      <c r="B21" s="1" t="s">
        <v>489</v>
      </c>
      <c r="C21" s="3">
        <v>16.058941058941059</v>
      </c>
      <c r="D21" s="3">
        <v>33.452780025430584</v>
      </c>
    </row>
    <row r="22" spans="1:4" x14ac:dyDescent="0.25">
      <c r="A22" s="2">
        <v>10703</v>
      </c>
      <c r="B22" s="1" t="s">
        <v>491</v>
      </c>
      <c r="C22" s="3">
        <v>13.781935948182799</v>
      </c>
      <c r="D22" s="3">
        <v>27.880127732743798</v>
      </c>
    </row>
    <row r="23" spans="1:4" x14ac:dyDescent="0.25">
      <c r="A23" s="2">
        <v>10704</v>
      </c>
      <c r="B23" s="1" t="s">
        <v>776</v>
      </c>
      <c r="C23" s="3">
        <v>15.827338129496402</v>
      </c>
      <c r="D23" s="3">
        <v>36.65</v>
      </c>
    </row>
    <row r="24" spans="1:4" x14ac:dyDescent="0.25">
      <c r="A24" s="2">
        <v>10801</v>
      </c>
      <c r="B24" s="1" t="s">
        <v>702</v>
      </c>
      <c r="C24" s="3">
        <v>40.425531914893611</v>
      </c>
      <c r="D24" s="3">
        <v>59.46030749921556</v>
      </c>
    </row>
    <row r="25" spans="1:4" x14ac:dyDescent="0.25">
      <c r="A25" s="2">
        <v>10901</v>
      </c>
      <c r="B25" s="1" t="s">
        <v>559</v>
      </c>
      <c r="C25" s="3">
        <v>26.735751295336783</v>
      </c>
      <c r="D25" s="3">
        <v>44.566010211524436</v>
      </c>
    </row>
    <row r="26" spans="1:4" x14ac:dyDescent="0.25">
      <c r="A26" s="2">
        <v>10902</v>
      </c>
      <c r="B26" s="1" t="s">
        <v>490</v>
      </c>
      <c r="C26" s="3">
        <v>26.455026455026452</v>
      </c>
      <c r="D26" s="3">
        <v>40.429184549356222</v>
      </c>
    </row>
    <row r="27" spans="1:4" x14ac:dyDescent="0.25">
      <c r="A27" s="2">
        <v>10903</v>
      </c>
      <c r="B27" s="1" t="s">
        <v>558</v>
      </c>
      <c r="C27" s="3">
        <v>35.969868173258</v>
      </c>
      <c r="D27" s="3">
        <v>61.406249999999993</v>
      </c>
    </row>
    <row r="28" spans="1:4" x14ac:dyDescent="0.25">
      <c r="A28" s="2">
        <v>11001</v>
      </c>
      <c r="B28" s="1" t="s">
        <v>697</v>
      </c>
      <c r="C28" s="3">
        <v>39.889415481832543</v>
      </c>
      <c r="D28" s="3">
        <v>55.389030612244895</v>
      </c>
    </row>
    <row r="29" spans="1:4" x14ac:dyDescent="0.25">
      <c r="A29" s="2">
        <v>11002</v>
      </c>
      <c r="B29" s="1" t="s">
        <v>650</v>
      </c>
      <c r="C29" s="3">
        <v>23.217247097844112</v>
      </c>
      <c r="D29" s="3">
        <v>68.215158924205383</v>
      </c>
    </row>
    <row r="30" spans="1:4" x14ac:dyDescent="0.25">
      <c r="A30" s="2">
        <v>11003</v>
      </c>
      <c r="B30" s="1" t="s">
        <v>703</v>
      </c>
      <c r="C30" s="3">
        <v>35.408338092518562</v>
      </c>
      <c r="D30" s="3">
        <v>67.48251748251748</v>
      </c>
    </row>
    <row r="31" spans="1:4" x14ac:dyDescent="0.25">
      <c r="A31" s="2">
        <v>20101</v>
      </c>
      <c r="B31" s="1" t="s">
        <v>635</v>
      </c>
      <c r="C31" s="3">
        <v>89.065522083565156</v>
      </c>
      <c r="D31" s="3">
        <v>92.319004028996019</v>
      </c>
    </row>
    <row r="32" spans="1:4" x14ac:dyDescent="0.25">
      <c r="A32" s="2">
        <v>20102</v>
      </c>
      <c r="B32" s="1" t="s">
        <v>623</v>
      </c>
      <c r="C32" s="3">
        <v>15.516175561508344</v>
      </c>
      <c r="D32" s="3">
        <v>32.762030323005931</v>
      </c>
    </row>
    <row r="33" spans="1:4" x14ac:dyDescent="0.25">
      <c r="A33" s="2">
        <v>20103</v>
      </c>
      <c r="B33" s="1" t="s">
        <v>622</v>
      </c>
      <c r="C33" s="3">
        <v>32.439228834870079</v>
      </c>
      <c r="D33" s="3">
        <v>56.504599211563736</v>
      </c>
    </row>
    <row r="34" spans="1:4" x14ac:dyDescent="0.25">
      <c r="A34" s="2">
        <v>20104</v>
      </c>
      <c r="B34" s="1" t="s">
        <v>624</v>
      </c>
      <c r="C34" s="3">
        <v>6.7263319815410432</v>
      </c>
      <c r="D34" s="3">
        <v>14.057802049456955</v>
      </c>
    </row>
    <row r="35" spans="1:4" x14ac:dyDescent="0.25">
      <c r="A35" s="2">
        <v>20105</v>
      </c>
      <c r="B35" s="1" t="s">
        <v>625</v>
      </c>
      <c r="C35" s="3">
        <v>63.026957158207843</v>
      </c>
      <c r="D35" s="3">
        <v>84.334235208024225</v>
      </c>
    </row>
    <row r="36" spans="1:4" x14ac:dyDescent="0.25">
      <c r="A36" s="2">
        <v>20201</v>
      </c>
      <c r="B36" s="1" t="s">
        <v>780</v>
      </c>
      <c r="C36" s="3">
        <v>38.180921863445896</v>
      </c>
      <c r="D36" s="3">
        <v>58.637257043022494</v>
      </c>
    </row>
    <row r="37" spans="1:4" x14ac:dyDescent="0.25">
      <c r="A37" s="2">
        <v>20202</v>
      </c>
      <c r="B37" s="1" t="s">
        <v>495</v>
      </c>
      <c r="C37" s="3">
        <v>14.442013129102845</v>
      </c>
      <c r="D37" s="3">
        <v>39.290485379248921</v>
      </c>
    </row>
    <row r="38" spans="1:4" x14ac:dyDescent="0.25">
      <c r="A38" s="2">
        <v>20203</v>
      </c>
      <c r="B38" s="1" t="s">
        <v>695</v>
      </c>
      <c r="C38" s="3">
        <v>22.596299666363361</v>
      </c>
      <c r="D38" s="3">
        <v>49.410870391486128</v>
      </c>
    </row>
    <row r="39" spans="1:4" x14ac:dyDescent="0.25">
      <c r="A39" s="2">
        <v>20204</v>
      </c>
      <c r="B39" s="1" t="s">
        <v>694</v>
      </c>
      <c r="C39" s="3">
        <v>34.737951013958387</v>
      </c>
      <c r="D39" s="3">
        <v>50.707785642062689</v>
      </c>
    </row>
    <row r="40" spans="1:4" x14ac:dyDescent="0.25">
      <c r="A40" s="2">
        <v>20205</v>
      </c>
      <c r="B40" s="1" t="s">
        <v>687</v>
      </c>
      <c r="C40" s="3">
        <v>51.925391095066189</v>
      </c>
      <c r="D40" s="3">
        <v>56.954677383344496</v>
      </c>
    </row>
    <row r="41" spans="1:4" x14ac:dyDescent="0.25">
      <c r="A41" s="2">
        <v>20206</v>
      </c>
      <c r="B41" s="1" t="s">
        <v>620</v>
      </c>
      <c r="C41" s="3">
        <v>29.478346456692911</v>
      </c>
      <c r="D41" s="3">
        <v>70.665603826225592</v>
      </c>
    </row>
    <row r="42" spans="1:4" x14ac:dyDescent="0.25">
      <c r="A42" s="2">
        <v>20301</v>
      </c>
      <c r="B42" s="1" t="s">
        <v>479</v>
      </c>
      <c r="C42" s="3">
        <v>9.3850267379679142</v>
      </c>
      <c r="D42" s="3">
        <v>26.964149504195273</v>
      </c>
    </row>
    <row r="43" spans="1:4" x14ac:dyDescent="0.25">
      <c r="A43" s="2">
        <v>20302</v>
      </c>
      <c r="B43" s="1" t="s">
        <v>571</v>
      </c>
      <c r="C43" s="3">
        <v>10.260014054813773</v>
      </c>
      <c r="D43" s="3">
        <v>33.900248423466465</v>
      </c>
    </row>
    <row r="44" spans="1:4" x14ac:dyDescent="0.25">
      <c r="A44" s="2">
        <v>20303</v>
      </c>
      <c r="B44" s="1" t="s">
        <v>604</v>
      </c>
      <c r="C44" s="3">
        <v>6.057175205208039</v>
      </c>
      <c r="D44" s="3">
        <v>21.769772905246672</v>
      </c>
    </row>
    <row r="45" spans="1:4" x14ac:dyDescent="0.25">
      <c r="A45" s="2">
        <v>20304</v>
      </c>
      <c r="B45" s="1" t="s">
        <v>615</v>
      </c>
      <c r="C45" s="3">
        <v>10.526315789473683</v>
      </c>
      <c r="D45" s="3">
        <v>39.896373056994818</v>
      </c>
    </row>
    <row r="46" spans="1:4" x14ac:dyDescent="0.25">
      <c r="A46" s="2">
        <v>20305</v>
      </c>
      <c r="B46" s="1" t="s">
        <v>779</v>
      </c>
      <c r="C46" s="3">
        <v>9.9223468507333905</v>
      </c>
      <c r="D46" s="3">
        <v>25.315729047072331</v>
      </c>
    </row>
    <row r="47" spans="1:4" x14ac:dyDescent="0.25">
      <c r="A47" s="2">
        <v>20306</v>
      </c>
      <c r="B47" s="1" t="s">
        <v>761</v>
      </c>
      <c r="C47" s="3">
        <v>3.4579439252336446</v>
      </c>
      <c r="D47" s="3">
        <v>28.571428571428569</v>
      </c>
    </row>
    <row r="48" spans="1:4" x14ac:dyDescent="0.25">
      <c r="A48" s="2">
        <v>20307</v>
      </c>
      <c r="B48" s="1" t="s">
        <v>570</v>
      </c>
      <c r="C48" s="3">
        <v>17.647058823529413</v>
      </c>
      <c r="D48" s="3">
        <v>30.585325638911787</v>
      </c>
    </row>
    <row r="49" spans="1:4" x14ac:dyDescent="0.25">
      <c r="A49" s="2">
        <v>20308</v>
      </c>
      <c r="B49" s="1" t="s">
        <v>599</v>
      </c>
      <c r="C49" s="3">
        <v>1.0035842293906809</v>
      </c>
      <c r="D49" s="3">
        <v>9.6945923227794903</v>
      </c>
    </row>
    <row r="50" spans="1:4" x14ac:dyDescent="0.25">
      <c r="A50" s="2">
        <v>20401</v>
      </c>
      <c r="B50" s="1" t="s">
        <v>777</v>
      </c>
      <c r="C50" s="3">
        <v>10.995809219716623</v>
      </c>
      <c r="D50" s="3">
        <v>23.273773470623865</v>
      </c>
    </row>
    <row r="51" spans="1:4" x14ac:dyDescent="0.25">
      <c r="A51" s="2">
        <v>20402</v>
      </c>
      <c r="B51" s="1" t="s">
        <v>505</v>
      </c>
      <c r="C51" s="3">
        <v>16.969421737814109</v>
      </c>
      <c r="D51" s="3">
        <v>34.493947335579684</v>
      </c>
    </row>
    <row r="52" spans="1:4" x14ac:dyDescent="0.25">
      <c r="A52" s="2">
        <v>20403</v>
      </c>
      <c r="B52" s="1" t="s">
        <v>497</v>
      </c>
      <c r="C52" s="3">
        <v>15.934168692724892</v>
      </c>
      <c r="D52" s="3">
        <v>32.469922151450817</v>
      </c>
    </row>
    <row r="53" spans="1:4" x14ac:dyDescent="0.25">
      <c r="A53" s="2">
        <v>20404</v>
      </c>
      <c r="B53" s="1" t="s">
        <v>696</v>
      </c>
      <c r="C53" s="3">
        <v>13.42504743833017</v>
      </c>
      <c r="D53" s="3">
        <v>20.419469726948954</v>
      </c>
    </row>
    <row r="54" spans="1:4" x14ac:dyDescent="0.25">
      <c r="A54" s="2">
        <v>20405</v>
      </c>
      <c r="B54" s="1" t="s">
        <v>778</v>
      </c>
      <c r="C54" s="3">
        <v>9.7125867195242819</v>
      </c>
      <c r="D54" s="3">
        <v>27.81827016520894</v>
      </c>
    </row>
    <row r="55" spans="1:4" x14ac:dyDescent="0.25">
      <c r="A55" s="2">
        <v>20501</v>
      </c>
      <c r="B55" s="1" t="s">
        <v>638</v>
      </c>
      <c r="C55" s="3">
        <v>23.743016759776538</v>
      </c>
      <c r="D55" s="3">
        <v>42.18847839699437</v>
      </c>
    </row>
    <row r="56" spans="1:4" x14ac:dyDescent="0.25">
      <c r="A56" s="2">
        <v>20502</v>
      </c>
      <c r="B56" s="1" t="s">
        <v>759</v>
      </c>
      <c r="C56" s="3">
        <v>24.899890789952675</v>
      </c>
      <c r="D56" s="3">
        <v>37.321121923297078</v>
      </c>
    </row>
    <row r="57" spans="1:4" x14ac:dyDescent="0.25">
      <c r="A57" s="2">
        <v>20503</v>
      </c>
      <c r="B57" s="1" t="s">
        <v>632</v>
      </c>
      <c r="C57" s="3">
        <v>17.595459236326107</v>
      </c>
      <c r="D57" s="3">
        <v>33.479999999999997</v>
      </c>
    </row>
    <row r="58" spans="1:4" x14ac:dyDescent="0.25">
      <c r="A58" s="2">
        <v>20601</v>
      </c>
      <c r="B58" s="1" t="s">
        <v>636</v>
      </c>
      <c r="C58" s="3">
        <v>26.210826210826209</v>
      </c>
      <c r="D58" s="3">
        <v>42.857142857142854</v>
      </c>
    </row>
    <row r="59" spans="1:4" x14ac:dyDescent="0.25">
      <c r="A59" s="2">
        <v>20602</v>
      </c>
      <c r="B59" s="1" t="s">
        <v>639</v>
      </c>
      <c r="C59" s="3">
        <v>32.236701559495835</v>
      </c>
      <c r="D59" s="3">
        <v>53.804434519062049</v>
      </c>
    </row>
    <row r="60" spans="1:4" x14ac:dyDescent="0.25">
      <c r="A60" s="2">
        <v>20603</v>
      </c>
      <c r="B60" s="1" t="s">
        <v>651</v>
      </c>
      <c r="C60" s="3">
        <v>21.107382550335572</v>
      </c>
      <c r="D60" s="3">
        <v>37.066473988439306</v>
      </c>
    </row>
    <row r="61" spans="1:4" x14ac:dyDescent="0.25">
      <c r="A61" s="2">
        <v>20604</v>
      </c>
      <c r="B61" s="1" t="s">
        <v>631</v>
      </c>
      <c r="C61" s="3">
        <v>19.766309639727361</v>
      </c>
      <c r="D61" s="3">
        <v>34.076204169662113</v>
      </c>
    </row>
    <row r="62" spans="1:4" x14ac:dyDescent="0.25">
      <c r="A62" s="2">
        <v>20605</v>
      </c>
      <c r="B62" s="1" t="s">
        <v>566</v>
      </c>
      <c r="C62" s="3">
        <v>23.74245472837022</v>
      </c>
      <c r="D62" s="3">
        <v>36.491228070175438</v>
      </c>
    </row>
    <row r="63" spans="1:4" x14ac:dyDescent="0.25">
      <c r="A63" s="2">
        <v>20606</v>
      </c>
      <c r="B63" s="1" t="s">
        <v>634</v>
      </c>
      <c r="C63" s="3">
        <v>26.149840902516637</v>
      </c>
      <c r="D63" s="3">
        <v>36.170212765957451</v>
      </c>
    </row>
    <row r="64" spans="1:4" x14ac:dyDescent="0.25">
      <c r="A64" s="2">
        <v>20607</v>
      </c>
      <c r="B64" s="1" t="s">
        <v>641</v>
      </c>
      <c r="C64" s="3">
        <v>21.283950617283949</v>
      </c>
      <c r="D64" s="3">
        <v>60.553783705421857</v>
      </c>
    </row>
    <row r="65" spans="1:4" x14ac:dyDescent="0.25">
      <c r="A65" s="2">
        <v>20608</v>
      </c>
      <c r="B65" s="1" t="s">
        <v>640</v>
      </c>
      <c r="C65" s="3">
        <v>23.343848580441641</v>
      </c>
      <c r="D65" s="3">
        <v>34.528465884398088</v>
      </c>
    </row>
    <row r="66" spans="1:4" x14ac:dyDescent="0.25">
      <c r="A66" s="2">
        <v>20701</v>
      </c>
      <c r="B66" s="1" t="s">
        <v>667</v>
      </c>
      <c r="C66" s="3">
        <v>26.356756756756756</v>
      </c>
      <c r="D66" s="3">
        <v>35.64243997404283</v>
      </c>
    </row>
    <row r="67" spans="1:4" x14ac:dyDescent="0.25">
      <c r="A67" s="2">
        <v>20702</v>
      </c>
      <c r="B67" s="1" t="s">
        <v>665</v>
      </c>
      <c r="C67" s="3">
        <v>10.403587443946188</v>
      </c>
      <c r="D67" s="3">
        <v>44.882659713168188</v>
      </c>
    </row>
    <row r="68" spans="1:4" x14ac:dyDescent="0.25">
      <c r="A68" s="2">
        <v>20801</v>
      </c>
      <c r="B68" s="1" t="s">
        <v>617</v>
      </c>
      <c r="C68" s="3">
        <v>29.293660469369094</v>
      </c>
      <c r="D68" s="3">
        <v>54.681576500321881</v>
      </c>
    </row>
    <row r="69" spans="1:4" x14ac:dyDescent="0.25">
      <c r="A69" s="2">
        <v>20802</v>
      </c>
      <c r="B69" s="1" t="s">
        <v>630</v>
      </c>
      <c r="C69" s="3">
        <v>27.352618088612228</v>
      </c>
      <c r="D69" s="3">
        <v>60.434782608695649</v>
      </c>
    </row>
    <row r="70" spans="1:4" x14ac:dyDescent="0.25">
      <c r="A70" s="2">
        <v>20803</v>
      </c>
      <c r="B70" s="1" t="s">
        <v>530</v>
      </c>
      <c r="C70" s="3">
        <v>27.545909849749584</v>
      </c>
      <c r="D70" s="3">
        <v>45.47603696539867</v>
      </c>
    </row>
    <row r="71" spans="1:4" x14ac:dyDescent="0.25">
      <c r="A71" s="2">
        <v>20804</v>
      </c>
      <c r="B71" s="1" t="s">
        <v>628</v>
      </c>
      <c r="C71" s="3">
        <v>28.799999999999997</v>
      </c>
      <c r="D71" s="3">
        <v>63.738317757009341</v>
      </c>
    </row>
    <row r="72" spans="1:4" x14ac:dyDescent="0.25">
      <c r="A72" s="2">
        <v>20805</v>
      </c>
      <c r="B72" s="1" t="s">
        <v>782</v>
      </c>
      <c r="C72" s="3">
        <v>10.664993726474279</v>
      </c>
      <c r="D72" s="3">
        <v>33.236994219653177</v>
      </c>
    </row>
    <row r="73" spans="1:4" x14ac:dyDescent="0.25">
      <c r="A73" s="2">
        <v>20806</v>
      </c>
      <c r="B73" s="1" t="s">
        <v>629</v>
      </c>
      <c r="C73" s="3">
        <v>27.944433259512785</v>
      </c>
      <c r="D73" s="3">
        <v>48.496687616782744</v>
      </c>
    </row>
    <row r="74" spans="1:4" x14ac:dyDescent="0.25">
      <c r="A74" s="2">
        <v>20807</v>
      </c>
      <c r="B74" s="1" t="s">
        <v>781</v>
      </c>
      <c r="C74" s="3">
        <v>19.351291918636612</v>
      </c>
      <c r="D74" s="3">
        <v>43.832943013270878</v>
      </c>
    </row>
    <row r="75" spans="1:4" x14ac:dyDescent="0.25">
      <c r="A75" s="2">
        <v>20901</v>
      </c>
      <c r="B75" s="1" t="s">
        <v>575</v>
      </c>
      <c r="C75" s="3">
        <v>27.779197546639406</v>
      </c>
      <c r="D75" s="3">
        <v>50.857013982859719</v>
      </c>
    </row>
    <row r="76" spans="1:4" x14ac:dyDescent="0.25">
      <c r="A76" s="2">
        <v>20902</v>
      </c>
      <c r="B76" s="1" t="s">
        <v>481</v>
      </c>
      <c r="C76" s="3">
        <v>6.8555363321799305</v>
      </c>
      <c r="D76" s="3">
        <v>31.77161795721603</v>
      </c>
    </row>
    <row r="77" spans="1:4" x14ac:dyDescent="0.25">
      <c r="A77" s="2">
        <v>20903</v>
      </c>
      <c r="B77" s="1" t="s">
        <v>603</v>
      </c>
      <c r="C77" s="3">
        <v>10.277536860364267</v>
      </c>
      <c r="D77" s="3">
        <v>21.41477547078706</v>
      </c>
    </row>
    <row r="78" spans="1:4" x14ac:dyDescent="0.25">
      <c r="A78" s="2">
        <v>20904</v>
      </c>
      <c r="B78" s="1" t="s">
        <v>614</v>
      </c>
      <c r="C78" s="3">
        <v>17.990275526742302</v>
      </c>
      <c r="D78" s="3">
        <v>21.947101857062464</v>
      </c>
    </row>
    <row r="79" spans="1:4" x14ac:dyDescent="0.25">
      <c r="A79" s="2">
        <v>20905</v>
      </c>
      <c r="B79" s="1" t="s">
        <v>482</v>
      </c>
      <c r="C79" s="3">
        <v>15.211726384364821</v>
      </c>
      <c r="D79" s="3">
        <v>22.771872444807851</v>
      </c>
    </row>
    <row r="80" spans="1:4" x14ac:dyDescent="0.25">
      <c r="A80" s="2">
        <v>21001</v>
      </c>
      <c r="B80" s="1" t="s">
        <v>196</v>
      </c>
      <c r="C80" s="3">
        <v>7.7033101757253784</v>
      </c>
      <c r="D80" s="3">
        <v>23.180291153415453</v>
      </c>
    </row>
    <row r="81" spans="1:4" x14ac:dyDescent="0.25">
      <c r="A81" s="2">
        <v>21002</v>
      </c>
      <c r="B81" s="1" t="s">
        <v>619</v>
      </c>
      <c r="C81" s="3">
        <v>24.328314142308827</v>
      </c>
      <c r="D81" s="3">
        <v>41.474966170500679</v>
      </c>
    </row>
    <row r="82" spans="1:4" x14ac:dyDescent="0.25">
      <c r="A82" s="2">
        <v>21003</v>
      </c>
      <c r="B82" s="1" t="s">
        <v>513</v>
      </c>
      <c r="C82" s="3">
        <v>35.342828751242131</v>
      </c>
      <c r="D82" s="3">
        <v>51.454639352728528</v>
      </c>
    </row>
    <row r="83" spans="1:4" x14ac:dyDescent="0.25">
      <c r="A83" s="2">
        <v>21004</v>
      </c>
      <c r="B83" s="1" t="s">
        <v>483</v>
      </c>
      <c r="C83" s="3">
        <v>12.469982847341338</v>
      </c>
      <c r="D83" s="3">
        <v>27.395171537484114</v>
      </c>
    </row>
    <row r="84" spans="1:4" x14ac:dyDescent="0.25">
      <c r="A84" s="2">
        <v>21005</v>
      </c>
      <c r="B84" s="1" t="s">
        <v>484</v>
      </c>
      <c r="C84" s="3">
        <v>10.737463126843657</v>
      </c>
      <c r="D84" s="3">
        <v>12.619392185238784</v>
      </c>
    </row>
    <row r="85" spans="1:4" x14ac:dyDescent="0.25">
      <c r="A85" s="2">
        <v>21006</v>
      </c>
      <c r="B85" s="1" t="s">
        <v>618</v>
      </c>
      <c r="C85" s="3">
        <v>29.774730656219393</v>
      </c>
      <c r="D85" s="3">
        <v>49.492250133618384</v>
      </c>
    </row>
    <row r="86" spans="1:4" x14ac:dyDescent="0.25">
      <c r="A86" s="2">
        <v>21101</v>
      </c>
      <c r="B86" s="1" t="s">
        <v>516</v>
      </c>
      <c r="C86" s="3">
        <v>37.358118111531503</v>
      </c>
      <c r="D86" s="3">
        <v>55.683393401718881</v>
      </c>
    </row>
    <row r="87" spans="1:4" x14ac:dyDescent="0.25">
      <c r="A87" s="2">
        <v>21102</v>
      </c>
      <c r="B87" s="1" t="s">
        <v>515</v>
      </c>
      <c r="C87" s="3">
        <v>35.7285736267118</v>
      </c>
      <c r="D87" s="3">
        <v>42.651723408754492</v>
      </c>
    </row>
    <row r="88" spans="1:4" x14ac:dyDescent="0.25">
      <c r="A88" s="2">
        <v>21103</v>
      </c>
      <c r="B88" s="1" t="s">
        <v>626</v>
      </c>
      <c r="C88" s="3">
        <v>52.296360485268636</v>
      </c>
      <c r="D88" s="3">
        <v>68.945963975983986</v>
      </c>
    </row>
    <row r="89" spans="1:4" x14ac:dyDescent="0.25">
      <c r="A89" s="2">
        <v>21104</v>
      </c>
      <c r="B89" s="1" t="s">
        <v>666</v>
      </c>
      <c r="C89" s="3">
        <v>32.608695652173914</v>
      </c>
      <c r="D89" s="3">
        <v>40.644883920894237</v>
      </c>
    </row>
    <row r="90" spans="1:4" x14ac:dyDescent="0.25">
      <c r="A90" s="2">
        <v>21105</v>
      </c>
      <c r="B90" s="1" t="s">
        <v>637</v>
      </c>
      <c r="C90" s="3">
        <v>9.9061445959818162</v>
      </c>
      <c r="D90" s="3">
        <v>37.045701849836782</v>
      </c>
    </row>
    <row r="91" spans="1:4" x14ac:dyDescent="0.25">
      <c r="A91" s="2">
        <v>21201</v>
      </c>
      <c r="B91" s="1" t="s">
        <v>564</v>
      </c>
      <c r="C91" s="3">
        <v>17.894074273896234</v>
      </c>
      <c r="D91" s="3">
        <v>33.738757630830882</v>
      </c>
    </row>
    <row r="92" spans="1:4" x14ac:dyDescent="0.25">
      <c r="A92" s="2">
        <v>21202</v>
      </c>
      <c r="B92" s="1" t="s">
        <v>621</v>
      </c>
      <c r="C92" s="3">
        <v>22.033243138770779</v>
      </c>
      <c r="D92" s="3">
        <v>48.137809446852273</v>
      </c>
    </row>
    <row r="93" spans="1:4" x14ac:dyDescent="0.25">
      <c r="A93" s="2">
        <v>21203</v>
      </c>
      <c r="B93" s="1" t="s">
        <v>698</v>
      </c>
      <c r="C93" s="3">
        <v>31.441768393269548</v>
      </c>
      <c r="D93" s="3">
        <v>49.676584734799484</v>
      </c>
    </row>
    <row r="94" spans="1:4" x14ac:dyDescent="0.25">
      <c r="A94" s="2">
        <v>21204</v>
      </c>
      <c r="B94" s="1" t="s">
        <v>688</v>
      </c>
      <c r="C94" s="3">
        <v>14.650766609880749</v>
      </c>
      <c r="D94" s="3">
        <v>35.225846925972398</v>
      </c>
    </row>
    <row r="95" spans="1:4" x14ac:dyDescent="0.25">
      <c r="A95" s="2">
        <v>21301</v>
      </c>
      <c r="B95" s="1" t="s">
        <v>607</v>
      </c>
      <c r="C95" s="3">
        <v>11.507430997876858</v>
      </c>
      <c r="D95" s="3">
        <v>32.050368258493705</v>
      </c>
    </row>
    <row r="96" spans="1:4" x14ac:dyDescent="0.25">
      <c r="A96" s="2">
        <v>21302</v>
      </c>
      <c r="B96" s="1" t="s">
        <v>471</v>
      </c>
      <c r="C96" s="3">
        <v>19.852262234533701</v>
      </c>
      <c r="D96" s="3">
        <v>43.330782963529714</v>
      </c>
    </row>
    <row r="97" spans="1:4" x14ac:dyDescent="0.25">
      <c r="A97" s="2">
        <v>21303</v>
      </c>
      <c r="B97" s="1" t="s">
        <v>633</v>
      </c>
      <c r="C97" s="3">
        <v>9.8831030818278425</v>
      </c>
      <c r="D97" s="3">
        <v>23.153942428035045</v>
      </c>
    </row>
    <row r="98" spans="1:4" x14ac:dyDescent="0.25">
      <c r="A98" s="2">
        <v>21304</v>
      </c>
      <c r="B98" s="1" t="s">
        <v>616</v>
      </c>
      <c r="C98" s="3">
        <v>18.134308858113403</v>
      </c>
      <c r="D98" s="3">
        <v>42.180354856411192</v>
      </c>
    </row>
    <row r="99" spans="1:4" x14ac:dyDescent="0.25">
      <c r="A99" s="2">
        <v>21305</v>
      </c>
      <c r="B99" s="1" t="s">
        <v>608</v>
      </c>
      <c r="C99" s="3">
        <v>34.813925570228093</v>
      </c>
      <c r="D99" s="3">
        <v>46.27153097250455</v>
      </c>
    </row>
    <row r="100" spans="1:4" x14ac:dyDescent="0.25">
      <c r="A100" s="2">
        <v>21306</v>
      </c>
      <c r="B100" s="1" t="s">
        <v>609</v>
      </c>
      <c r="C100" s="3">
        <v>14.15625</v>
      </c>
      <c r="D100" s="3">
        <v>22.366071428571431</v>
      </c>
    </row>
    <row r="101" spans="1:4" x14ac:dyDescent="0.25">
      <c r="A101" s="2">
        <v>21307</v>
      </c>
      <c r="B101" s="1" t="s">
        <v>594</v>
      </c>
      <c r="C101" s="3">
        <v>14.229559748427672</v>
      </c>
      <c r="D101" s="3">
        <v>23.351482153660012</v>
      </c>
    </row>
    <row r="102" spans="1:4" x14ac:dyDescent="0.25">
      <c r="A102" s="2">
        <v>21401</v>
      </c>
      <c r="B102" s="1" t="s">
        <v>567</v>
      </c>
      <c r="C102" s="3">
        <v>36.049170954831332</v>
      </c>
      <c r="D102" s="3">
        <v>48.78565921356978</v>
      </c>
    </row>
    <row r="103" spans="1:4" x14ac:dyDescent="0.25">
      <c r="A103" s="2">
        <v>21402</v>
      </c>
      <c r="B103" s="1" t="s">
        <v>568</v>
      </c>
      <c r="C103" s="3">
        <v>46.022304832713758</v>
      </c>
      <c r="D103" s="3">
        <v>63.985190171659376</v>
      </c>
    </row>
    <row r="104" spans="1:4" x14ac:dyDescent="0.25">
      <c r="A104" s="2">
        <v>21501</v>
      </c>
      <c r="B104" s="1" t="s">
        <v>758</v>
      </c>
      <c r="C104" s="3">
        <v>5.462555066079295</v>
      </c>
      <c r="D104" s="3">
        <v>20.26618269812462</v>
      </c>
    </row>
    <row r="105" spans="1:4" x14ac:dyDescent="0.25">
      <c r="A105" s="2">
        <v>21502</v>
      </c>
      <c r="B105" s="1" t="s">
        <v>669</v>
      </c>
      <c r="C105" s="3">
        <v>43.441396508728182</v>
      </c>
      <c r="D105" s="3">
        <v>64.829764829764827</v>
      </c>
    </row>
    <row r="106" spans="1:4" x14ac:dyDescent="0.25">
      <c r="A106" s="2">
        <v>21601</v>
      </c>
      <c r="B106" s="1" t="s">
        <v>642</v>
      </c>
      <c r="C106" s="3">
        <v>9.52112676056338</v>
      </c>
      <c r="D106" s="3">
        <v>37.35563520509757</v>
      </c>
    </row>
    <row r="107" spans="1:4" x14ac:dyDescent="0.25">
      <c r="A107" s="2">
        <v>21602</v>
      </c>
      <c r="B107" s="1" t="s">
        <v>664</v>
      </c>
      <c r="C107" s="3">
        <v>18.329938900203665</v>
      </c>
      <c r="D107" s="3">
        <v>38.949275362318843</v>
      </c>
    </row>
    <row r="108" spans="1:4" x14ac:dyDescent="0.25">
      <c r="A108" s="2">
        <v>21701</v>
      </c>
      <c r="B108" s="1" t="s">
        <v>644</v>
      </c>
      <c r="C108" s="3">
        <v>39.657853810264385</v>
      </c>
      <c r="D108" s="3">
        <v>53.381252750476747</v>
      </c>
    </row>
    <row r="109" spans="1:4" x14ac:dyDescent="0.25">
      <c r="A109" s="2">
        <v>21702</v>
      </c>
      <c r="B109" s="1" t="s">
        <v>655</v>
      </c>
      <c r="C109" s="3">
        <v>15.403323875152006</v>
      </c>
      <c r="D109" s="3">
        <v>43.293858441200769</v>
      </c>
    </row>
    <row r="110" spans="1:4" x14ac:dyDescent="0.25">
      <c r="A110" s="2">
        <v>21703</v>
      </c>
      <c r="B110" s="1" t="s">
        <v>563</v>
      </c>
      <c r="C110" s="3">
        <v>5.5598455598455594</v>
      </c>
      <c r="D110" s="3">
        <v>21.573948439620079</v>
      </c>
    </row>
    <row r="111" spans="1:4" x14ac:dyDescent="0.25">
      <c r="A111" s="2">
        <v>21801</v>
      </c>
      <c r="B111" s="1" t="s">
        <v>474</v>
      </c>
      <c r="C111" s="3">
        <v>6.7892503536067892</v>
      </c>
      <c r="D111" s="3">
        <v>24.540757749712974</v>
      </c>
    </row>
    <row r="112" spans="1:4" x14ac:dyDescent="0.25">
      <c r="A112" s="2">
        <v>21802</v>
      </c>
      <c r="B112" s="1" t="s">
        <v>470</v>
      </c>
      <c r="C112" s="3">
        <v>21.902017291066283</v>
      </c>
      <c r="D112" s="3">
        <v>37.603878116343495</v>
      </c>
    </row>
    <row r="113" spans="1:4" x14ac:dyDescent="0.25">
      <c r="A113" s="2">
        <v>21803</v>
      </c>
      <c r="B113" s="1" t="s">
        <v>468</v>
      </c>
      <c r="C113" s="3">
        <v>0.13003901170351106</v>
      </c>
      <c r="D113" s="3">
        <v>12.145289443813848</v>
      </c>
    </row>
    <row r="114" spans="1:4" x14ac:dyDescent="0.25">
      <c r="A114" s="2">
        <v>21901</v>
      </c>
      <c r="B114" s="1" t="s">
        <v>610</v>
      </c>
      <c r="C114" s="3">
        <v>21.038251366120221</v>
      </c>
      <c r="D114" s="3">
        <v>41.373477672530449</v>
      </c>
    </row>
    <row r="115" spans="1:4" x14ac:dyDescent="0.25">
      <c r="A115" s="2">
        <v>21902</v>
      </c>
      <c r="B115" s="1" t="s">
        <v>602</v>
      </c>
      <c r="C115" s="3">
        <v>29.211956521739129</v>
      </c>
      <c r="D115" s="3">
        <v>44.54277286135693</v>
      </c>
    </row>
    <row r="116" spans="1:4" x14ac:dyDescent="0.25">
      <c r="A116" s="2">
        <v>22001</v>
      </c>
      <c r="B116" s="1" t="s">
        <v>366</v>
      </c>
      <c r="C116" s="3">
        <v>36.149462428764465</v>
      </c>
      <c r="D116" s="3">
        <v>50.595322802523604</v>
      </c>
    </row>
    <row r="117" spans="1:4" x14ac:dyDescent="0.25">
      <c r="A117" s="2">
        <v>22002</v>
      </c>
      <c r="B117" s="1" t="s">
        <v>692</v>
      </c>
      <c r="C117" s="3">
        <v>25.890736342042754</v>
      </c>
      <c r="D117" s="3">
        <v>39.545758183032731</v>
      </c>
    </row>
    <row r="118" spans="1:4" x14ac:dyDescent="0.25">
      <c r="A118" s="2">
        <v>30101</v>
      </c>
      <c r="B118" s="1" t="s">
        <v>3</v>
      </c>
      <c r="C118" s="3">
        <v>56.130479884539056</v>
      </c>
      <c r="D118" s="3">
        <v>60.558337612414206</v>
      </c>
    </row>
    <row r="119" spans="1:4" x14ac:dyDescent="0.25">
      <c r="A119" s="2">
        <v>30201</v>
      </c>
      <c r="B119" s="1" t="s">
        <v>459</v>
      </c>
      <c r="C119" s="3">
        <v>40.852438836744113</v>
      </c>
      <c r="D119" s="3">
        <v>52.660395900603675</v>
      </c>
    </row>
    <row r="120" spans="1:4" x14ac:dyDescent="0.25">
      <c r="A120" s="2">
        <v>30202</v>
      </c>
      <c r="B120" s="1" t="s">
        <v>788</v>
      </c>
      <c r="C120" s="3">
        <v>5.6603773584905666</v>
      </c>
      <c r="D120" s="3">
        <v>40.387906446092416</v>
      </c>
    </row>
    <row r="121" spans="1:4" x14ac:dyDescent="0.25">
      <c r="A121" s="2">
        <v>30203</v>
      </c>
      <c r="B121" s="1" t="s">
        <v>507</v>
      </c>
      <c r="C121" s="3">
        <v>48.11715481171548</v>
      </c>
      <c r="D121" s="3">
        <v>65.572916666666671</v>
      </c>
    </row>
    <row r="122" spans="1:4" x14ac:dyDescent="0.25">
      <c r="A122" s="2">
        <v>30301</v>
      </c>
      <c r="B122" s="1" t="s">
        <v>747</v>
      </c>
      <c r="C122" s="3">
        <v>11.229073091057575</v>
      </c>
      <c r="D122" s="3">
        <v>25.645581615730865</v>
      </c>
    </row>
    <row r="123" spans="1:4" x14ac:dyDescent="0.25">
      <c r="A123" s="2">
        <v>30302</v>
      </c>
      <c r="B123" s="1" t="s">
        <v>560</v>
      </c>
      <c r="C123" s="3">
        <v>16.361788617886177</v>
      </c>
      <c r="D123" s="3">
        <v>32.296791970084634</v>
      </c>
    </row>
    <row r="124" spans="1:4" x14ac:dyDescent="0.25">
      <c r="A124" s="2">
        <v>30303</v>
      </c>
      <c r="B124" s="1" t="s">
        <v>707</v>
      </c>
      <c r="C124" s="3">
        <v>8.9227642276422774</v>
      </c>
      <c r="D124" s="3">
        <v>18.080149114631876</v>
      </c>
    </row>
    <row r="125" spans="1:4" x14ac:dyDescent="0.25">
      <c r="A125" s="2">
        <v>30401</v>
      </c>
      <c r="B125" s="1" t="s">
        <v>540</v>
      </c>
      <c r="C125" s="3">
        <v>40.570767450829152</v>
      </c>
      <c r="D125" s="3">
        <v>53.101736972704714</v>
      </c>
    </row>
    <row r="126" spans="1:4" x14ac:dyDescent="0.25">
      <c r="A126" s="2">
        <v>30402</v>
      </c>
      <c r="B126" s="1" t="s">
        <v>580</v>
      </c>
      <c r="C126" s="3">
        <v>16.122913505311075</v>
      </c>
      <c r="D126" s="3">
        <v>23.765615704937538</v>
      </c>
    </row>
    <row r="127" spans="1:4" x14ac:dyDescent="0.25">
      <c r="A127" s="2">
        <v>30403</v>
      </c>
      <c r="B127" s="1" t="s">
        <v>469</v>
      </c>
      <c r="C127" s="3">
        <v>38.702096890817067</v>
      </c>
      <c r="D127" s="3">
        <v>23.571165191740413</v>
      </c>
    </row>
    <row r="128" spans="1:4" x14ac:dyDescent="0.25">
      <c r="A128" s="2">
        <v>30404</v>
      </c>
      <c r="B128" s="1" t="s">
        <v>579</v>
      </c>
      <c r="C128" s="3">
        <v>17.718940936863543</v>
      </c>
      <c r="D128" s="3">
        <v>24.622844827586206</v>
      </c>
    </row>
    <row r="129" spans="1:4" x14ac:dyDescent="0.25">
      <c r="A129" s="2">
        <v>30501</v>
      </c>
      <c r="B129" s="1" t="s">
        <v>299</v>
      </c>
      <c r="C129" s="3">
        <v>47.900763358778626</v>
      </c>
      <c r="D129" s="3">
        <v>67.059655741570396</v>
      </c>
    </row>
    <row r="130" spans="1:4" x14ac:dyDescent="0.25">
      <c r="A130" s="2">
        <v>30502</v>
      </c>
      <c r="B130" s="1" t="s">
        <v>728</v>
      </c>
      <c r="C130" s="3">
        <v>22.204871955028107</v>
      </c>
      <c r="D130" s="3">
        <v>35.662784248474765</v>
      </c>
    </row>
    <row r="131" spans="1:4" x14ac:dyDescent="0.25">
      <c r="A131" s="2">
        <v>30601</v>
      </c>
      <c r="B131" s="1" t="s">
        <v>192</v>
      </c>
      <c r="C131" s="3">
        <v>5.3587647593097181</v>
      </c>
      <c r="D131" s="3">
        <v>17.102564102564102</v>
      </c>
    </row>
    <row r="132" spans="1:4" x14ac:dyDescent="0.25">
      <c r="A132" s="2">
        <v>30602</v>
      </c>
      <c r="B132" s="1" t="s">
        <v>587</v>
      </c>
      <c r="C132" s="3">
        <v>21.366496853461193</v>
      </c>
      <c r="D132" s="3">
        <v>34.358731661145292</v>
      </c>
    </row>
    <row r="133" spans="1:4" x14ac:dyDescent="0.25">
      <c r="A133" s="2">
        <v>30701</v>
      </c>
      <c r="B133" s="1" t="s">
        <v>189</v>
      </c>
      <c r="C133" s="3">
        <v>38.377192982456144</v>
      </c>
      <c r="D133" s="3">
        <v>52.410241739379202</v>
      </c>
    </row>
    <row r="134" spans="1:4" x14ac:dyDescent="0.25">
      <c r="A134" s="2">
        <v>30702</v>
      </c>
      <c r="B134" s="1" t="s">
        <v>591</v>
      </c>
      <c r="C134" s="3">
        <v>43.279234290470249</v>
      </c>
      <c r="D134" s="3">
        <v>66.057180851063833</v>
      </c>
    </row>
    <row r="135" spans="1:4" x14ac:dyDescent="0.25">
      <c r="A135" s="2">
        <v>30703</v>
      </c>
      <c r="B135" s="1" t="s">
        <v>475</v>
      </c>
      <c r="C135" s="3">
        <v>22.807017543859647</v>
      </c>
      <c r="D135" s="3">
        <v>46.550416982562545</v>
      </c>
    </row>
    <row r="136" spans="1:4" x14ac:dyDescent="0.25">
      <c r="A136" s="2">
        <v>30801</v>
      </c>
      <c r="B136" s="1" t="s">
        <v>586</v>
      </c>
      <c r="C136" s="3">
        <v>65.083892617449663</v>
      </c>
      <c r="D136" s="3">
        <v>81.429473019880078</v>
      </c>
    </row>
    <row r="137" spans="1:4" x14ac:dyDescent="0.25">
      <c r="A137" s="2">
        <v>30802</v>
      </c>
      <c r="B137" s="1" t="s">
        <v>581</v>
      </c>
      <c r="C137" s="3">
        <v>43.474041727316838</v>
      </c>
      <c r="D137" s="3">
        <v>62.558320373250389</v>
      </c>
    </row>
    <row r="138" spans="1:4" x14ac:dyDescent="0.25">
      <c r="A138" s="2">
        <v>30803</v>
      </c>
      <c r="B138" s="1" t="s">
        <v>596</v>
      </c>
      <c r="C138" s="3">
        <v>40.408163265306122</v>
      </c>
      <c r="D138" s="3">
        <v>59.181240063593009</v>
      </c>
    </row>
    <row r="139" spans="1:4" x14ac:dyDescent="0.25">
      <c r="A139" s="2">
        <v>30901</v>
      </c>
      <c r="B139" s="1" t="s">
        <v>239</v>
      </c>
      <c r="C139" s="3">
        <v>51.877209095210262</v>
      </c>
      <c r="D139" s="3">
        <v>58.001667649630882</v>
      </c>
    </row>
    <row r="140" spans="1:4" x14ac:dyDescent="0.25">
      <c r="A140" s="2">
        <v>30902</v>
      </c>
      <c r="B140" s="1" t="s">
        <v>538</v>
      </c>
      <c r="C140" s="3">
        <v>49.116607773851591</v>
      </c>
      <c r="D140" s="3">
        <v>34.066427289048477</v>
      </c>
    </row>
    <row r="141" spans="1:4" x14ac:dyDescent="0.25">
      <c r="A141" s="2">
        <v>30903</v>
      </c>
      <c r="B141" s="1" t="s">
        <v>536</v>
      </c>
      <c r="C141" s="3">
        <v>30.02814462004763</v>
      </c>
      <c r="D141" s="3">
        <v>58.225518625920145</v>
      </c>
    </row>
    <row r="142" spans="1:4" x14ac:dyDescent="0.25">
      <c r="A142" s="2">
        <v>30904</v>
      </c>
      <c r="B142" s="1" t="s">
        <v>539</v>
      </c>
      <c r="C142" s="3">
        <v>30.247344885410843</v>
      </c>
      <c r="D142" s="3">
        <v>37.818032594676986</v>
      </c>
    </row>
    <row r="143" spans="1:4" x14ac:dyDescent="0.25">
      <c r="A143" s="2">
        <v>30905</v>
      </c>
      <c r="B143" s="1" t="s">
        <v>537</v>
      </c>
      <c r="C143" s="3">
        <v>59.323664348083469</v>
      </c>
      <c r="D143" s="3">
        <v>71.354872329338193</v>
      </c>
    </row>
    <row r="144" spans="1:4" x14ac:dyDescent="0.25">
      <c r="A144" s="2">
        <v>31001</v>
      </c>
      <c r="B144" s="1" t="s">
        <v>535</v>
      </c>
      <c r="C144" s="3">
        <v>45.613850555368565</v>
      </c>
      <c r="D144" s="3">
        <v>55.449915600248147</v>
      </c>
    </row>
    <row r="145" spans="1:4" x14ac:dyDescent="0.25">
      <c r="A145" s="2">
        <v>31002</v>
      </c>
      <c r="B145" s="1" t="s">
        <v>755</v>
      </c>
      <c r="C145" s="3">
        <v>44.686150780471607</v>
      </c>
      <c r="D145" s="3">
        <v>54.256446485340874</v>
      </c>
    </row>
    <row r="146" spans="1:4" x14ac:dyDescent="0.25">
      <c r="A146" s="2">
        <v>31003</v>
      </c>
      <c r="B146" s="1" t="s">
        <v>721</v>
      </c>
      <c r="C146" s="3">
        <v>19.880261927034613</v>
      </c>
      <c r="D146" s="3">
        <v>39.44840409048652</v>
      </c>
    </row>
    <row r="147" spans="1:4" x14ac:dyDescent="0.25">
      <c r="A147" s="2">
        <v>31101</v>
      </c>
      <c r="B147" s="1" t="s">
        <v>314</v>
      </c>
      <c r="C147" s="3">
        <v>6.9148280537409095</v>
      </c>
      <c r="D147" s="3">
        <v>14.567337621913259</v>
      </c>
    </row>
    <row r="148" spans="1:4" x14ac:dyDescent="0.25">
      <c r="A148" s="2">
        <v>31201</v>
      </c>
      <c r="B148" s="1" t="s">
        <v>518</v>
      </c>
      <c r="C148" s="3">
        <v>16.007612603087335</v>
      </c>
      <c r="D148" s="3">
        <v>25.247617267800411</v>
      </c>
    </row>
    <row r="149" spans="1:4" x14ac:dyDescent="0.25">
      <c r="A149" s="2">
        <v>31202</v>
      </c>
      <c r="B149" s="1" t="s">
        <v>752</v>
      </c>
      <c r="C149" s="3">
        <v>16.983016983016981</v>
      </c>
      <c r="D149" s="3">
        <v>30.20242914979757</v>
      </c>
    </row>
    <row r="150" spans="1:4" x14ac:dyDescent="0.25">
      <c r="A150" s="2">
        <v>31203</v>
      </c>
      <c r="B150" s="1" t="s">
        <v>729</v>
      </c>
      <c r="C150" s="3">
        <v>26.52370203160271</v>
      </c>
      <c r="D150" s="3">
        <v>42.365547084277765</v>
      </c>
    </row>
    <row r="151" spans="1:4" x14ac:dyDescent="0.25">
      <c r="A151" s="2">
        <v>31204</v>
      </c>
      <c r="B151" s="1" t="s">
        <v>722</v>
      </c>
      <c r="C151" s="3">
        <v>23.585295332507229</v>
      </c>
      <c r="D151" s="3">
        <v>40.409207161125323</v>
      </c>
    </row>
    <row r="152" spans="1:4" x14ac:dyDescent="0.25">
      <c r="A152" s="2">
        <v>31205</v>
      </c>
      <c r="B152" s="1" t="s">
        <v>738</v>
      </c>
      <c r="C152" s="3">
        <v>27.20193498908619</v>
      </c>
      <c r="D152" s="3">
        <v>45.766168568851242</v>
      </c>
    </row>
    <row r="153" spans="1:4" x14ac:dyDescent="0.25">
      <c r="A153" s="2">
        <v>31206</v>
      </c>
      <c r="B153" s="1" t="s">
        <v>527</v>
      </c>
      <c r="C153" s="3">
        <v>24.753507014028056</v>
      </c>
      <c r="D153" s="3">
        <v>35.471449004290903</v>
      </c>
    </row>
    <row r="154" spans="1:4" x14ac:dyDescent="0.25">
      <c r="A154" s="2">
        <v>31301</v>
      </c>
      <c r="B154" s="1" t="s">
        <v>417</v>
      </c>
      <c r="C154" s="3">
        <v>20.135135135135133</v>
      </c>
      <c r="D154" s="3">
        <v>41.997383340601829</v>
      </c>
    </row>
    <row r="155" spans="1:4" x14ac:dyDescent="0.25">
      <c r="A155" s="2">
        <v>31302</v>
      </c>
      <c r="B155" s="1" t="s">
        <v>757</v>
      </c>
      <c r="C155" s="3">
        <v>13.18181818181818</v>
      </c>
      <c r="D155" s="3">
        <v>16.336368505623998</v>
      </c>
    </row>
    <row r="156" spans="1:4" x14ac:dyDescent="0.25">
      <c r="A156" s="2">
        <v>31303</v>
      </c>
      <c r="B156" s="1" t="s">
        <v>756</v>
      </c>
      <c r="C156" s="3">
        <v>5.169340463458111</v>
      </c>
      <c r="D156" s="3">
        <v>13.067292644757433</v>
      </c>
    </row>
    <row r="157" spans="1:4" x14ac:dyDescent="0.25">
      <c r="A157" s="2">
        <v>31304</v>
      </c>
      <c r="B157" s="39" t="s">
        <v>794</v>
      </c>
      <c r="C157" s="3">
        <v>1.2054244098442994</v>
      </c>
      <c r="D157" s="3">
        <v>9.4553706505295008</v>
      </c>
    </row>
    <row r="158" spans="1:4" x14ac:dyDescent="0.25">
      <c r="A158" s="2">
        <v>31401</v>
      </c>
      <c r="B158" s="1" t="s">
        <v>180</v>
      </c>
      <c r="C158" s="3">
        <v>55.589708561020032</v>
      </c>
      <c r="D158" s="3">
        <v>62.33433468810744</v>
      </c>
    </row>
    <row r="159" spans="1:4" x14ac:dyDescent="0.25">
      <c r="A159" s="2">
        <v>31402</v>
      </c>
      <c r="B159" s="1" t="s">
        <v>466</v>
      </c>
      <c r="C159" s="3">
        <v>32.34714003944773</v>
      </c>
      <c r="D159" s="3">
        <v>47.547516860821581</v>
      </c>
    </row>
    <row r="160" spans="1:4" x14ac:dyDescent="0.25">
      <c r="A160" s="2">
        <v>31403</v>
      </c>
      <c r="B160" s="1" t="s">
        <v>480</v>
      </c>
      <c r="C160" s="3">
        <v>31.065239551478086</v>
      </c>
      <c r="D160" s="3">
        <v>55.904783914952624</v>
      </c>
    </row>
    <row r="161" spans="1:4" x14ac:dyDescent="0.25">
      <c r="A161" s="2">
        <v>31404</v>
      </c>
      <c r="B161" s="1" t="s">
        <v>585</v>
      </c>
      <c r="C161" s="3">
        <v>17.827298050139277</v>
      </c>
      <c r="D161" s="3">
        <v>58.55670103092784</v>
      </c>
    </row>
    <row r="162" spans="1:4" x14ac:dyDescent="0.25">
      <c r="A162" s="2">
        <v>31405</v>
      </c>
      <c r="B162" s="1" t="s">
        <v>584</v>
      </c>
      <c r="C162" s="3">
        <v>22.396576319543509</v>
      </c>
      <c r="D162" s="3">
        <v>49.195837275307476</v>
      </c>
    </row>
    <row r="163" spans="1:4" x14ac:dyDescent="0.25">
      <c r="A163" s="2">
        <v>31501</v>
      </c>
      <c r="B163" s="1" t="s">
        <v>285</v>
      </c>
      <c r="C163" s="3">
        <v>3.6770921386305999</v>
      </c>
      <c r="D163" s="3">
        <v>12.394892556835876</v>
      </c>
    </row>
    <row r="164" spans="1:4" x14ac:dyDescent="0.25">
      <c r="A164" s="2">
        <v>31601</v>
      </c>
      <c r="B164" s="1" t="s">
        <v>390</v>
      </c>
      <c r="C164" s="3">
        <v>38.885467980295566</v>
      </c>
      <c r="D164" s="3">
        <v>55.73525007487271</v>
      </c>
    </row>
    <row r="165" spans="1:4" x14ac:dyDescent="0.25">
      <c r="A165" s="2">
        <v>31602</v>
      </c>
      <c r="B165" s="1" t="s">
        <v>724</v>
      </c>
      <c r="C165" s="3">
        <v>39.968466692944418</v>
      </c>
      <c r="D165" s="3">
        <v>54.970760233918128</v>
      </c>
    </row>
    <row r="166" spans="1:4" x14ac:dyDescent="0.25">
      <c r="A166" s="2">
        <v>40101</v>
      </c>
      <c r="B166" s="1" t="s">
        <v>1</v>
      </c>
      <c r="C166" s="3">
        <v>66.185287524112397</v>
      </c>
      <c r="D166" s="3">
        <v>75.396107071148421</v>
      </c>
    </row>
    <row r="167" spans="1:4" x14ac:dyDescent="0.25">
      <c r="A167" s="2">
        <v>40102</v>
      </c>
      <c r="B167" s="1" t="s">
        <v>601</v>
      </c>
      <c r="C167" s="3">
        <v>16.292974588938712</v>
      </c>
      <c r="D167" s="3">
        <v>35.373808329152034</v>
      </c>
    </row>
    <row r="168" spans="1:4" x14ac:dyDescent="0.25">
      <c r="A168" s="2">
        <v>40103</v>
      </c>
      <c r="B168" s="1" t="s">
        <v>588</v>
      </c>
      <c r="C168" s="3">
        <v>0.18399264029438822</v>
      </c>
      <c r="D168" s="3">
        <v>6.0093652445369408</v>
      </c>
    </row>
    <row r="169" spans="1:4" x14ac:dyDescent="0.25">
      <c r="A169" s="2">
        <v>40104</v>
      </c>
      <c r="B169" s="1" t="s">
        <v>593</v>
      </c>
      <c r="C169" s="3">
        <v>6.6473988439306355</v>
      </c>
      <c r="D169" s="3">
        <v>26.775256222547583</v>
      </c>
    </row>
    <row r="170" spans="1:4" x14ac:dyDescent="0.25">
      <c r="A170" s="2">
        <v>40201</v>
      </c>
      <c r="B170" s="1" t="s">
        <v>784</v>
      </c>
      <c r="C170" s="3">
        <v>23.569330497315914</v>
      </c>
      <c r="D170" s="3">
        <v>37.059735656796875</v>
      </c>
    </row>
    <row r="171" spans="1:4" x14ac:dyDescent="0.25">
      <c r="A171" s="2">
        <v>40202</v>
      </c>
      <c r="B171" s="1" t="s">
        <v>455</v>
      </c>
      <c r="C171" s="3">
        <v>19.292604501607716</v>
      </c>
      <c r="D171" s="3">
        <v>32.803095442820293</v>
      </c>
    </row>
    <row r="172" spans="1:4" x14ac:dyDescent="0.25">
      <c r="A172" s="2">
        <v>40301</v>
      </c>
      <c r="B172" s="1" t="s">
        <v>573</v>
      </c>
      <c r="C172" s="3">
        <v>3.0580075662042874</v>
      </c>
      <c r="D172" s="3">
        <v>13.199057210199271</v>
      </c>
    </row>
    <row r="173" spans="1:4" x14ac:dyDescent="0.25">
      <c r="A173" s="2">
        <v>40302</v>
      </c>
      <c r="B173" s="1" t="s">
        <v>763</v>
      </c>
      <c r="C173" s="3">
        <v>6.395348837209303</v>
      </c>
      <c r="D173" s="3">
        <v>26.527570789865873</v>
      </c>
    </row>
    <row r="174" spans="1:4" x14ac:dyDescent="0.25">
      <c r="A174" s="2">
        <v>40401</v>
      </c>
      <c r="B174" s="1" t="s">
        <v>762</v>
      </c>
      <c r="C174" s="3">
        <v>29.00369003690037</v>
      </c>
      <c r="D174" s="3">
        <v>40.764972320080524</v>
      </c>
    </row>
    <row r="175" spans="1:4" x14ac:dyDescent="0.25">
      <c r="A175" s="2">
        <v>40402</v>
      </c>
      <c r="B175" s="1" t="s">
        <v>520</v>
      </c>
      <c r="C175" s="3">
        <v>18.123393316195372</v>
      </c>
      <c r="D175" s="3">
        <v>31.477272727272727</v>
      </c>
    </row>
    <row r="176" spans="1:4" x14ac:dyDescent="0.25">
      <c r="A176" s="2">
        <v>40501</v>
      </c>
      <c r="B176" s="1" t="s">
        <v>463</v>
      </c>
      <c r="C176" s="3">
        <v>69.340974212034382</v>
      </c>
      <c r="D176" s="3">
        <v>69.714765100671144</v>
      </c>
    </row>
    <row r="177" spans="1:4" x14ac:dyDescent="0.25">
      <c r="A177" s="2">
        <v>40502</v>
      </c>
      <c r="B177" s="1" t="s">
        <v>764</v>
      </c>
      <c r="C177" s="3">
        <v>4.251386321626617</v>
      </c>
      <c r="D177" s="3">
        <v>39.905213270142184</v>
      </c>
    </row>
    <row r="178" spans="1:4" x14ac:dyDescent="0.25">
      <c r="A178" s="2">
        <v>40503</v>
      </c>
      <c r="B178" s="1" t="s">
        <v>565</v>
      </c>
      <c r="C178" s="3">
        <v>4.7945205479452051</v>
      </c>
      <c r="D178" s="3">
        <v>55.113636363636367</v>
      </c>
    </row>
    <row r="179" spans="1:4" x14ac:dyDescent="0.25">
      <c r="A179" s="2">
        <v>40504</v>
      </c>
      <c r="B179" s="1" t="s">
        <v>562</v>
      </c>
      <c r="C179" s="3">
        <v>1.1834319526627219</v>
      </c>
      <c r="D179" s="3">
        <v>86.127167630057798</v>
      </c>
    </row>
    <row r="180" spans="1:4" x14ac:dyDescent="0.25">
      <c r="A180" s="2">
        <v>40505</v>
      </c>
      <c r="B180" s="1" t="s">
        <v>454</v>
      </c>
      <c r="C180" s="3">
        <v>10.848400556328233</v>
      </c>
      <c r="D180" s="3">
        <v>57.846506300114555</v>
      </c>
    </row>
    <row r="181" spans="1:4" x14ac:dyDescent="0.25">
      <c r="A181" s="2">
        <v>40601</v>
      </c>
      <c r="B181" s="1" t="s">
        <v>179</v>
      </c>
      <c r="C181" s="3">
        <v>23.916872138076787</v>
      </c>
      <c r="D181" s="3">
        <v>44.238121245221187</v>
      </c>
    </row>
    <row r="182" spans="1:4" x14ac:dyDescent="0.25">
      <c r="A182" s="2">
        <v>40602</v>
      </c>
      <c r="B182" s="1" t="s">
        <v>465</v>
      </c>
      <c r="C182" s="3">
        <v>13.089244851258581</v>
      </c>
      <c r="D182" s="3">
        <v>30.016958733747877</v>
      </c>
    </row>
    <row r="183" spans="1:4" x14ac:dyDescent="0.25">
      <c r="A183" s="2">
        <v>40603</v>
      </c>
      <c r="B183" s="1" t="s">
        <v>569</v>
      </c>
      <c r="C183" s="3">
        <v>29.70639032815199</v>
      </c>
      <c r="D183" s="3">
        <v>40</v>
      </c>
    </row>
    <row r="184" spans="1:4" x14ac:dyDescent="0.25">
      <c r="A184" s="2">
        <v>40701</v>
      </c>
      <c r="B184" s="1" t="s">
        <v>462</v>
      </c>
      <c r="C184" s="3">
        <v>42.968423981082211</v>
      </c>
      <c r="D184" s="3">
        <v>63.817530748871242</v>
      </c>
    </row>
    <row r="185" spans="1:4" x14ac:dyDescent="0.25">
      <c r="A185" s="2">
        <v>40702</v>
      </c>
      <c r="B185" s="1" t="s">
        <v>577</v>
      </c>
      <c r="C185" s="3">
        <v>34.017971758664956</v>
      </c>
      <c r="D185" s="3">
        <v>56.112132352941181</v>
      </c>
    </row>
    <row r="186" spans="1:4" x14ac:dyDescent="0.25">
      <c r="A186" s="2">
        <v>40801</v>
      </c>
      <c r="B186" s="1" t="s">
        <v>768</v>
      </c>
      <c r="C186" s="3">
        <v>9.931245225362872</v>
      </c>
      <c r="D186" s="3">
        <v>35.918914391020273</v>
      </c>
    </row>
    <row r="187" spans="1:4" x14ac:dyDescent="0.25">
      <c r="A187" s="2">
        <v>40802</v>
      </c>
      <c r="B187" s="1" t="s">
        <v>456</v>
      </c>
      <c r="C187" s="3">
        <v>12.307692307692308</v>
      </c>
      <c r="D187" s="3">
        <v>33.019607843137258</v>
      </c>
    </row>
    <row r="188" spans="1:4" x14ac:dyDescent="0.25">
      <c r="A188" s="2">
        <v>40901</v>
      </c>
      <c r="B188" s="1" t="s">
        <v>210</v>
      </c>
      <c r="C188" s="3">
        <v>9.8353360035603021</v>
      </c>
      <c r="D188" s="3">
        <v>40.622568093385212</v>
      </c>
    </row>
    <row r="189" spans="1:4" x14ac:dyDescent="0.25">
      <c r="A189" s="2">
        <v>40902</v>
      </c>
      <c r="B189" s="1" t="s">
        <v>765</v>
      </c>
      <c r="C189" s="3">
        <v>1.5810276679841897</v>
      </c>
      <c r="D189" s="3">
        <v>45.65826330532213</v>
      </c>
    </row>
    <row r="190" spans="1:4" x14ac:dyDescent="0.25">
      <c r="A190" s="2">
        <v>40903</v>
      </c>
      <c r="B190" s="1" t="s">
        <v>766</v>
      </c>
      <c r="C190" s="3">
        <v>18.305084745762713</v>
      </c>
      <c r="D190" s="3">
        <v>22.895927601809955</v>
      </c>
    </row>
    <row r="191" spans="1:4" x14ac:dyDescent="0.25">
      <c r="A191" s="2">
        <v>41001</v>
      </c>
      <c r="B191" s="1" t="s">
        <v>589</v>
      </c>
      <c r="C191" s="3">
        <v>4.2715308242900019</v>
      </c>
      <c r="D191" s="3">
        <v>13.165680473372781</v>
      </c>
    </row>
    <row r="192" spans="1:4" x14ac:dyDescent="0.25">
      <c r="A192" s="2">
        <v>41101</v>
      </c>
      <c r="B192" s="1" t="s">
        <v>598</v>
      </c>
      <c r="C192" s="3">
        <v>11.591148577449948</v>
      </c>
      <c r="D192" s="3">
        <v>33.264462809917354</v>
      </c>
    </row>
    <row r="193" spans="1:4" x14ac:dyDescent="0.25">
      <c r="A193" s="2">
        <v>41201</v>
      </c>
      <c r="B193" s="1" t="s">
        <v>467</v>
      </c>
      <c r="C193" s="3">
        <v>4.7690763052208842</v>
      </c>
      <c r="D193" s="3">
        <v>26.301969365426697</v>
      </c>
    </row>
    <row r="194" spans="1:4" x14ac:dyDescent="0.25">
      <c r="A194" s="2">
        <v>41202</v>
      </c>
      <c r="B194" s="1" t="s">
        <v>572</v>
      </c>
      <c r="C194" s="3">
        <v>2.3351648351648353</v>
      </c>
      <c r="D194" s="3">
        <v>33.121019108280251</v>
      </c>
    </row>
    <row r="195" spans="1:4" x14ac:dyDescent="0.25">
      <c r="A195" s="2">
        <v>41301</v>
      </c>
      <c r="B195" s="1" t="s">
        <v>518</v>
      </c>
      <c r="C195" s="3">
        <v>5.5143160127253443</v>
      </c>
      <c r="D195" s="3">
        <v>18.089123867069485</v>
      </c>
    </row>
    <row r="196" spans="1:4" x14ac:dyDescent="0.25">
      <c r="A196" s="2">
        <v>41401</v>
      </c>
      <c r="B196" s="1" t="s">
        <v>464</v>
      </c>
      <c r="C196" s="3">
        <v>19.363086936308694</v>
      </c>
      <c r="D196" s="3">
        <v>32.938133218366026</v>
      </c>
    </row>
    <row r="197" spans="1:4" x14ac:dyDescent="0.25">
      <c r="A197" s="2">
        <v>41501</v>
      </c>
      <c r="B197" s="1" t="s">
        <v>526</v>
      </c>
      <c r="C197" s="3">
        <v>15.469613259668508</v>
      </c>
      <c r="D197" s="3">
        <v>47.349823321554766</v>
      </c>
    </row>
    <row r="198" spans="1:4" x14ac:dyDescent="0.25">
      <c r="A198" s="2">
        <v>41502</v>
      </c>
      <c r="B198" s="1" t="s">
        <v>521</v>
      </c>
      <c r="C198" s="3">
        <v>12.435233160621761</v>
      </c>
      <c r="D198" s="3">
        <v>56.838905775075986</v>
      </c>
    </row>
    <row r="199" spans="1:4" x14ac:dyDescent="0.25">
      <c r="A199" s="2">
        <v>41503</v>
      </c>
      <c r="B199" s="1" t="s">
        <v>270</v>
      </c>
      <c r="C199" s="3">
        <v>1.2244897959183674</v>
      </c>
      <c r="D199" s="3">
        <v>39.299610894941637</v>
      </c>
    </row>
    <row r="200" spans="1:4" x14ac:dyDescent="0.25">
      <c r="A200" s="2">
        <v>41601</v>
      </c>
      <c r="B200" s="1" t="s">
        <v>473</v>
      </c>
      <c r="C200" s="3">
        <v>4.2590949423247562</v>
      </c>
      <c r="D200" s="3">
        <v>20.977222630418808</v>
      </c>
    </row>
    <row r="201" spans="1:4" x14ac:dyDescent="0.25">
      <c r="A201" s="2">
        <v>50101</v>
      </c>
      <c r="B201" s="1" t="s">
        <v>2</v>
      </c>
      <c r="C201" s="3">
        <v>79.773669728326169</v>
      </c>
      <c r="D201" s="3">
        <v>82.442600810341503</v>
      </c>
    </row>
    <row r="202" spans="1:4" x14ac:dyDescent="0.25">
      <c r="A202" s="2">
        <v>50102</v>
      </c>
      <c r="B202" s="1" t="s">
        <v>493</v>
      </c>
      <c r="C202" s="3">
        <v>6.0172299536116638</v>
      </c>
      <c r="D202" s="3">
        <v>9.2180481829318097</v>
      </c>
    </row>
    <row r="203" spans="1:4" x14ac:dyDescent="0.25">
      <c r="A203" s="2">
        <v>50103</v>
      </c>
      <c r="B203" s="1" t="s">
        <v>503</v>
      </c>
      <c r="C203" s="3">
        <v>27.606310013717422</v>
      </c>
      <c r="D203" s="3">
        <v>40.539250775471245</v>
      </c>
    </row>
    <row r="204" spans="1:4" x14ac:dyDescent="0.25">
      <c r="A204" s="2">
        <v>50104</v>
      </c>
      <c r="B204" s="1" t="s">
        <v>504</v>
      </c>
      <c r="C204" s="3">
        <v>5.0816696914700543</v>
      </c>
      <c r="D204" s="3">
        <v>16.707616707616708</v>
      </c>
    </row>
    <row r="205" spans="1:4" x14ac:dyDescent="0.25">
      <c r="A205" s="2">
        <v>50201</v>
      </c>
      <c r="B205" s="1" t="s">
        <v>785</v>
      </c>
      <c r="C205" s="3">
        <v>32.900302114803623</v>
      </c>
      <c r="D205" s="3">
        <v>37.999288846746474</v>
      </c>
    </row>
    <row r="206" spans="1:4" x14ac:dyDescent="0.25">
      <c r="A206" s="2">
        <v>50202</v>
      </c>
      <c r="B206" s="1" t="s">
        <v>237</v>
      </c>
      <c r="C206" s="3">
        <v>18.255838868652237</v>
      </c>
      <c r="D206" s="3">
        <v>35.860728172499115</v>
      </c>
    </row>
    <row r="207" spans="1:4" x14ac:dyDescent="0.25">
      <c r="A207" s="2">
        <v>50203</v>
      </c>
      <c r="B207" s="1" t="s">
        <v>457</v>
      </c>
      <c r="C207" s="3">
        <v>53.03408816181804</v>
      </c>
      <c r="D207" s="3">
        <v>62.027845414247359</v>
      </c>
    </row>
    <row r="208" spans="1:4" x14ac:dyDescent="0.25">
      <c r="A208" s="2">
        <v>50204</v>
      </c>
      <c r="B208" s="1" t="s">
        <v>689</v>
      </c>
      <c r="C208" s="3">
        <v>4.8479506390480394</v>
      </c>
      <c r="D208" s="3">
        <v>11.642480211081795</v>
      </c>
    </row>
    <row r="209" spans="1:4" x14ac:dyDescent="0.25">
      <c r="A209" s="2">
        <v>50301</v>
      </c>
      <c r="B209" s="1" t="s">
        <v>519</v>
      </c>
      <c r="C209" s="3">
        <v>22.003909062853616</v>
      </c>
      <c r="D209" s="3">
        <v>36.791502609651133</v>
      </c>
    </row>
    <row r="210" spans="1:4" x14ac:dyDescent="0.25">
      <c r="A210" s="2">
        <v>50302</v>
      </c>
      <c r="B210" s="1" t="s">
        <v>646</v>
      </c>
      <c r="C210" s="3">
        <v>20.608317815021728</v>
      </c>
      <c r="D210" s="3">
        <v>35.238368753589889</v>
      </c>
    </row>
    <row r="211" spans="1:4" x14ac:dyDescent="0.25">
      <c r="A211" s="2">
        <v>50303</v>
      </c>
      <c r="B211" s="1" t="s">
        <v>783</v>
      </c>
      <c r="C211" s="3">
        <v>1.6166281755196306</v>
      </c>
      <c r="D211" s="3">
        <v>5.1148426944605285</v>
      </c>
    </row>
    <row r="212" spans="1:4" x14ac:dyDescent="0.25">
      <c r="A212" s="2">
        <v>50401</v>
      </c>
      <c r="B212" s="1" t="s">
        <v>531</v>
      </c>
      <c r="C212" s="3">
        <v>15.748950069995335</v>
      </c>
      <c r="D212" s="3">
        <v>26.997075573341544</v>
      </c>
    </row>
    <row r="213" spans="1:4" x14ac:dyDescent="0.25">
      <c r="A213" s="2">
        <v>50402</v>
      </c>
      <c r="B213" s="1" t="s">
        <v>786</v>
      </c>
      <c r="C213" s="3">
        <v>15.646970830216903</v>
      </c>
      <c r="D213" s="3">
        <v>21.133720930232556</v>
      </c>
    </row>
    <row r="214" spans="1:4" x14ac:dyDescent="0.25">
      <c r="A214" s="2">
        <v>50403</v>
      </c>
      <c r="B214" s="1" t="s">
        <v>532</v>
      </c>
      <c r="C214" s="3">
        <v>7.2309151256519684</v>
      </c>
      <c r="D214" s="3">
        <v>15.744137821024088</v>
      </c>
    </row>
    <row r="215" spans="1:4" x14ac:dyDescent="0.25">
      <c r="A215" s="2">
        <v>50404</v>
      </c>
      <c r="B215" s="1" t="s">
        <v>663</v>
      </c>
      <c r="C215" s="3">
        <v>11.250736304731985</v>
      </c>
      <c r="D215" s="3">
        <v>15.644717683222781</v>
      </c>
    </row>
    <row r="216" spans="1:4" x14ac:dyDescent="0.25">
      <c r="A216" s="2">
        <v>50405</v>
      </c>
      <c r="B216" s="39" t="s">
        <v>795</v>
      </c>
      <c r="C216" s="3">
        <v>14.018779342723004</v>
      </c>
      <c r="D216" s="3">
        <v>16.484949040056883</v>
      </c>
    </row>
    <row r="217" spans="1:4" x14ac:dyDescent="0.25">
      <c r="A217" s="2">
        <v>50501</v>
      </c>
      <c r="B217" s="1" t="s">
        <v>494</v>
      </c>
      <c r="C217" s="3">
        <v>5.0259755950223512</v>
      </c>
      <c r="D217" s="3">
        <v>9.2099442625851538</v>
      </c>
    </row>
    <row r="218" spans="1:4" x14ac:dyDescent="0.25">
      <c r="A218" s="2">
        <v>50502</v>
      </c>
      <c r="B218" s="1" t="s">
        <v>553</v>
      </c>
      <c r="C218" s="3">
        <v>15.323269723725435</v>
      </c>
      <c r="D218" s="3">
        <v>23.831106870229007</v>
      </c>
    </row>
    <row r="219" spans="1:4" x14ac:dyDescent="0.25">
      <c r="A219" s="2">
        <v>50601</v>
      </c>
      <c r="B219" s="1" t="s">
        <v>789</v>
      </c>
      <c r="C219" s="3">
        <v>21.064301552106429</v>
      </c>
      <c r="D219" s="3">
        <v>39.166072701354246</v>
      </c>
    </row>
    <row r="220" spans="1:4" x14ac:dyDescent="0.25">
      <c r="A220" s="2">
        <v>50602</v>
      </c>
      <c r="B220" s="1" t="s">
        <v>574</v>
      </c>
      <c r="C220" s="3">
        <v>24.007682458386682</v>
      </c>
      <c r="D220" s="3">
        <v>42.47422680412371</v>
      </c>
    </row>
    <row r="221" spans="1:4" x14ac:dyDescent="0.25">
      <c r="A221" s="2">
        <v>50701</v>
      </c>
      <c r="B221" s="1" t="s">
        <v>460</v>
      </c>
      <c r="C221" s="3">
        <v>13.705945176219295</v>
      </c>
      <c r="D221" s="3">
        <v>20.991296651423514</v>
      </c>
    </row>
    <row r="222" spans="1:4" x14ac:dyDescent="0.25">
      <c r="A222" s="2">
        <v>50702</v>
      </c>
      <c r="B222" s="1" t="s">
        <v>458</v>
      </c>
      <c r="C222" s="3">
        <v>8.281649033199562</v>
      </c>
      <c r="D222" s="3">
        <v>11.941996019334661</v>
      </c>
    </row>
    <row r="223" spans="1:4" x14ac:dyDescent="0.25">
      <c r="A223" s="2">
        <v>50801</v>
      </c>
      <c r="B223" s="1" t="s">
        <v>769</v>
      </c>
      <c r="C223" s="3">
        <v>59.065995945641568</v>
      </c>
      <c r="D223" s="3">
        <v>71.497858402620309</v>
      </c>
    </row>
    <row r="224" spans="1:4" x14ac:dyDescent="0.25">
      <c r="A224" s="2">
        <v>50802</v>
      </c>
      <c r="B224" s="1" t="s">
        <v>770</v>
      </c>
      <c r="C224" s="3">
        <v>20.3579418344519</v>
      </c>
      <c r="D224" s="3">
        <v>36.550253265795789</v>
      </c>
    </row>
    <row r="225" spans="1:4" x14ac:dyDescent="0.25">
      <c r="A225" s="2">
        <v>50901</v>
      </c>
      <c r="B225" s="1" t="s">
        <v>496</v>
      </c>
      <c r="C225" s="3">
        <v>27.668581796189901</v>
      </c>
      <c r="D225" s="3">
        <v>68.451380552220883</v>
      </c>
    </row>
    <row r="226" spans="1:4" x14ac:dyDescent="0.25">
      <c r="A226" s="2">
        <v>50902</v>
      </c>
      <c r="B226" s="1" t="s">
        <v>771</v>
      </c>
      <c r="C226" s="3">
        <v>20.967741935483872</v>
      </c>
      <c r="D226" s="3">
        <v>58.599695585996955</v>
      </c>
    </row>
    <row r="227" spans="1:4" x14ac:dyDescent="0.25">
      <c r="A227" s="2">
        <v>51001</v>
      </c>
      <c r="B227" s="1" t="s">
        <v>557</v>
      </c>
      <c r="C227" s="3">
        <v>16.647531572904708</v>
      </c>
      <c r="D227" s="3">
        <v>38.073807380738074</v>
      </c>
    </row>
    <row r="228" spans="1:4" x14ac:dyDescent="0.25">
      <c r="A228" s="2">
        <v>51002</v>
      </c>
      <c r="B228" s="1" t="s">
        <v>547</v>
      </c>
      <c r="C228" s="3">
        <v>16.201117318435752</v>
      </c>
      <c r="D228" s="3">
        <v>30.555555555555557</v>
      </c>
    </row>
    <row r="229" spans="1:4" x14ac:dyDescent="0.25">
      <c r="A229" s="2">
        <v>51003</v>
      </c>
      <c r="B229" s="1" t="s">
        <v>525</v>
      </c>
      <c r="C229" s="3">
        <v>21.3986013986014</v>
      </c>
      <c r="D229" s="3">
        <v>30.869565217391305</v>
      </c>
    </row>
    <row r="230" spans="1:4" x14ac:dyDescent="0.25">
      <c r="A230" s="2">
        <v>51101</v>
      </c>
      <c r="B230" s="1" t="s">
        <v>647</v>
      </c>
      <c r="C230" s="3">
        <v>23.173307053357735</v>
      </c>
      <c r="D230" s="3">
        <v>42.889137737961924</v>
      </c>
    </row>
    <row r="231" spans="1:4" x14ac:dyDescent="0.25">
      <c r="A231" s="2">
        <v>51102</v>
      </c>
      <c r="B231" s="1" t="s">
        <v>643</v>
      </c>
      <c r="C231" s="3">
        <v>22.805532034998588</v>
      </c>
      <c r="D231" s="3">
        <v>48.589274176179195</v>
      </c>
    </row>
    <row r="232" spans="1:4" x14ac:dyDescent="0.25">
      <c r="A232" s="2">
        <v>51103</v>
      </c>
      <c r="B232" s="1" t="s">
        <v>648</v>
      </c>
      <c r="C232" s="3">
        <v>2.7705175117616312</v>
      </c>
      <c r="D232" s="3">
        <v>12.752795622174636</v>
      </c>
    </row>
    <row r="233" spans="1:4" x14ac:dyDescent="0.25">
      <c r="A233" s="2">
        <v>51201</v>
      </c>
      <c r="B233" s="1" t="s">
        <v>760</v>
      </c>
      <c r="C233" s="3">
        <v>16.140460560591851</v>
      </c>
      <c r="D233" s="3">
        <v>20.15379929952794</v>
      </c>
    </row>
    <row r="234" spans="1:4" x14ac:dyDescent="0.25">
      <c r="A234" s="2">
        <v>51202</v>
      </c>
      <c r="B234" s="1" t="s">
        <v>452</v>
      </c>
      <c r="C234" s="3">
        <v>5.1348716282092948</v>
      </c>
      <c r="D234" s="3">
        <v>23.33433825746156</v>
      </c>
    </row>
    <row r="235" spans="1:4" x14ac:dyDescent="0.25">
      <c r="A235" s="2">
        <v>51203</v>
      </c>
      <c r="B235" s="1" t="s">
        <v>501</v>
      </c>
      <c r="C235" s="3">
        <v>58.333333333333336</v>
      </c>
      <c r="D235" s="3">
        <v>74.290578887627703</v>
      </c>
    </row>
    <row r="236" spans="1:4" x14ac:dyDescent="0.25">
      <c r="A236" s="2">
        <v>51204</v>
      </c>
      <c r="B236" s="39" t="s">
        <v>796</v>
      </c>
      <c r="C236" s="3">
        <v>6.5918653576437585</v>
      </c>
      <c r="D236" s="3">
        <v>28.346758726505563</v>
      </c>
    </row>
    <row r="237" spans="1:4" x14ac:dyDescent="0.25">
      <c r="A237" s="2">
        <v>51301</v>
      </c>
      <c r="B237" s="1" t="s">
        <v>578</v>
      </c>
      <c r="C237" s="3">
        <v>13.790446841294299</v>
      </c>
      <c r="D237" s="3">
        <v>25.600549073438572</v>
      </c>
    </row>
    <row r="238" spans="1:4" x14ac:dyDescent="0.25">
      <c r="A238" s="2">
        <v>51302</v>
      </c>
      <c r="B238" s="1" t="s">
        <v>461</v>
      </c>
      <c r="C238" s="3">
        <v>12.332751599767306</v>
      </c>
      <c r="D238" s="3">
        <v>22.446750409612235</v>
      </c>
    </row>
    <row r="239" spans="1:4" x14ac:dyDescent="0.25">
      <c r="A239" s="2">
        <v>51401</v>
      </c>
      <c r="B239" s="1" t="s">
        <v>533</v>
      </c>
      <c r="C239" s="3">
        <v>18.882978723404257</v>
      </c>
      <c r="D239" s="3">
        <v>53.232758620689658</v>
      </c>
    </row>
    <row r="240" spans="1:4" x14ac:dyDescent="0.25">
      <c r="A240" s="2">
        <v>51402</v>
      </c>
      <c r="B240" s="1" t="s">
        <v>556</v>
      </c>
      <c r="C240" s="3">
        <v>6.4801178203240068</v>
      </c>
      <c r="D240" s="3">
        <v>30.997304582210244</v>
      </c>
    </row>
    <row r="241" spans="1:4" x14ac:dyDescent="0.25">
      <c r="A241" s="2">
        <v>51501</v>
      </c>
      <c r="B241" s="1" t="s">
        <v>791</v>
      </c>
      <c r="C241" s="3">
        <v>62.878913367566668</v>
      </c>
      <c r="D241" s="3">
        <v>78.00180142728469</v>
      </c>
    </row>
    <row r="242" spans="1:4" x14ac:dyDescent="0.25">
      <c r="A242" s="2">
        <v>51601</v>
      </c>
      <c r="B242" s="1" t="s">
        <v>554</v>
      </c>
      <c r="C242" s="3">
        <v>23.926380368098162</v>
      </c>
      <c r="D242" s="3">
        <v>62.968515742128936</v>
      </c>
    </row>
    <row r="243" spans="1:4" x14ac:dyDescent="0.25">
      <c r="A243" s="2">
        <v>60101</v>
      </c>
      <c r="B243" s="1" t="s">
        <v>29</v>
      </c>
      <c r="C243" s="3">
        <v>75.645413829516073</v>
      </c>
      <c r="D243" s="3">
        <v>76.239530181958216</v>
      </c>
    </row>
    <row r="244" spans="1:4" x14ac:dyDescent="0.25">
      <c r="A244" s="2">
        <v>60201</v>
      </c>
      <c r="B244" s="1" t="s">
        <v>792</v>
      </c>
      <c r="C244" s="3">
        <v>47.210216110019651</v>
      </c>
      <c r="D244" s="3">
        <v>61.904761904761905</v>
      </c>
    </row>
    <row r="245" spans="1:4" x14ac:dyDescent="0.25">
      <c r="A245" s="2">
        <v>60202</v>
      </c>
      <c r="B245" s="1" t="s">
        <v>775</v>
      </c>
      <c r="C245" s="3">
        <v>72.658677319130049</v>
      </c>
      <c r="D245" s="3">
        <v>83.474496517974785</v>
      </c>
    </row>
    <row r="246" spans="1:4" x14ac:dyDescent="0.25">
      <c r="A246" s="2">
        <v>60301</v>
      </c>
      <c r="B246" s="1" t="s">
        <v>548</v>
      </c>
      <c r="C246" s="3">
        <v>71.402114012105883</v>
      </c>
      <c r="D246" s="3">
        <v>79.200234363556461</v>
      </c>
    </row>
    <row r="247" spans="1:4" x14ac:dyDescent="0.25">
      <c r="A247" s="2">
        <v>60302</v>
      </c>
      <c r="B247" s="1" t="s">
        <v>550</v>
      </c>
      <c r="C247" s="3">
        <v>72.64080100125156</v>
      </c>
      <c r="D247" s="3">
        <v>75.170794192997434</v>
      </c>
    </row>
    <row r="248" spans="1:4" x14ac:dyDescent="0.25">
      <c r="A248" s="2">
        <v>60303</v>
      </c>
      <c r="B248" s="1" t="s">
        <v>502</v>
      </c>
      <c r="C248" s="3">
        <v>48.527553698124208</v>
      </c>
      <c r="D248" s="3">
        <v>60.270655270655269</v>
      </c>
    </row>
    <row r="249" spans="1:4" x14ac:dyDescent="0.25">
      <c r="A249" s="2">
        <v>60401</v>
      </c>
      <c r="B249" s="1" t="s">
        <v>546</v>
      </c>
      <c r="C249" s="3">
        <v>47.933685728015377</v>
      </c>
      <c r="D249" s="3">
        <v>69.589096826688362</v>
      </c>
    </row>
    <row r="250" spans="1:4" x14ac:dyDescent="0.25">
      <c r="A250" s="2">
        <v>60402</v>
      </c>
      <c r="B250" s="1" t="s">
        <v>549</v>
      </c>
      <c r="C250" s="3">
        <v>55.188679245283026</v>
      </c>
      <c r="D250" s="3">
        <v>69.281045751633982</v>
      </c>
    </row>
    <row r="251" spans="1:4" x14ac:dyDescent="0.25">
      <c r="A251" s="2">
        <v>60501</v>
      </c>
      <c r="B251" s="1" t="s">
        <v>551</v>
      </c>
      <c r="C251" s="3">
        <v>53.855644663787785</v>
      </c>
      <c r="D251" s="3">
        <v>67.994858611825194</v>
      </c>
    </row>
    <row r="252" spans="1:4" x14ac:dyDescent="0.25">
      <c r="A252" s="2">
        <v>60502</v>
      </c>
      <c r="B252" s="1" t="s">
        <v>552</v>
      </c>
      <c r="C252" s="3">
        <v>57.300952966492467</v>
      </c>
      <c r="D252" s="3">
        <v>76.23456790123457</v>
      </c>
    </row>
    <row r="253" spans="1:4" x14ac:dyDescent="0.25">
      <c r="A253" s="2">
        <v>60601</v>
      </c>
      <c r="B253" s="1" t="s">
        <v>527</v>
      </c>
      <c r="C253" s="3">
        <v>44.967682363804244</v>
      </c>
      <c r="D253" s="3">
        <v>62.548262548262542</v>
      </c>
    </row>
    <row r="254" spans="1:4" x14ac:dyDescent="0.25">
      <c r="A254" s="2">
        <v>70101</v>
      </c>
      <c r="B254" s="1" t="s">
        <v>509</v>
      </c>
      <c r="C254" s="3">
        <v>53.689230692401814</v>
      </c>
      <c r="D254" s="3">
        <v>70.494397097701025</v>
      </c>
    </row>
    <row r="255" spans="1:4" x14ac:dyDescent="0.25">
      <c r="A255" s="2">
        <v>70102</v>
      </c>
      <c r="B255" s="1" t="s">
        <v>715</v>
      </c>
      <c r="C255" s="3">
        <v>36.712155872840583</v>
      </c>
      <c r="D255" s="3">
        <v>27.779973412855242</v>
      </c>
    </row>
    <row r="256" spans="1:4" x14ac:dyDescent="0.25">
      <c r="A256" s="2">
        <v>70103</v>
      </c>
      <c r="B256" s="1" t="s">
        <v>508</v>
      </c>
      <c r="C256" s="3">
        <v>50.276090557702922</v>
      </c>
      <c r="D256" s="3">
        <v>68.48840710629328</v>
      </c>
    </row>
    <row r="257" spans="1:4" x14ac:dyDescent="0.25">
      <c r="A257" s="2">
        <v>70104</v>
      </c>
      <c r="B257" s="1" t="s">
        <v>485</v>
      </c>
      <c r="C257" s="3">
        <v>9.0128554002064369</v>
      </c>
      <c r="D257" s="3">
        <v>17.624854098889912</v>
      </c>
    </row>
    <row r="258" spans="1:4" x14ac:dyDescent="0.25">
      <c r="A258" s="2">
        <v>70105</v>
      </c>
      <c r="B258" s="1" t="s">
        <v>487</v>
      </c>
      <c r="C258" s="3">
        <v>37.360032693093586</v>
      </c>
      <c r="D258" s="3">
        <v>43.462557187575243</v>
      </c>
    </row>
    <row r="259" spans="1:4" x14ac:dyDescent="0.25">
      <c r="A259" s="2">
        <v>70201</v>
      </c>
      <c r="B259" s="1" t="s">
        <v>396</v>
      </c>
      <c r="C259" s="3">
        <v>31.255922129382373</v>
      </c>
      <c r="D259" s="3">
        <v>31.147621745449172</v>
      </c>
    </row>
    <row r="260" spans="1:4" x14ac:dyDescent="0.25">
      <c r="A260" s="2">
        <v>70202</v>
      </c>
      <c r="B260" s="1" t="s">
        <v>730</v>
      </c>
      <c r="C260" s="3">
        <v>39.53125</v>
      </c>
      <c r="D260" s="3">
        <v>60.704419889502759</v>
      </c>
    </row>
    <row r="261" spans="1:4" x14ac:dyDescent="0.25">
      <c r="A261" s="2">
        <v>70301</v>
      </c>
      <c r="B261" s="1" t="s">
        <v>748</v>
      </c>
      <c r="C261" s="3">
        <v>35.575057736720552</v>
      </c>
      <c r="D261" s="3">
        <v>46.891891891891888</v>
      </c>
    </row>
    <row r="262" spans="1:4" x14ac:dyDescent="0.25">
      <c r="A262" s="2">
        <v>70302</v>
      </c>
      <c r="B262" s="1" t="s">
        <v>720</v>
      </c>
      <c r="C262" s="3">
        <v>8.7916343919442301</v>
      </c>
      <c r="D262" s="3">
        <v>44.344501911400947</v>
      </c>
    </row>
    <row r="263" spans="1:4" x14ac:dyDescent="0.25">
      <c r="A263" s="2">
        <v>70303</v>
      </c>
      <c r="B263" s="1" t="s">
        <v>746</v>
      </c>
      <c r="C263" s="3">
        <v>10.096575943810359</v>
      </c>
      <c r="D263" s="3">
        <v>44.770452191922679</v>
      </c>
    </row>
    <row r="264" spans="1:4" x14ac:dyDescent="0.25">
      <c r="A264" s="2">
        <v>70401</v>
      </c>
      <c r="B264" s="1" t="s">
        <v>542</v>
      </c>
      <c r="C264" s="3">
        <v>52.160201829076001</v>
      </c>
      <c r="D264" s="3">
        <v>67.876059322033896</v>
      </c>
    </row>
    <row r="265" spans="1:4" x14ac:dyDescent="0.25">
      <c r="A265" s="2">
        <v>70402</v>
      </c>
      <c r="B265" s="1" t="s">
        <v>543</v>
      </c>
      <c r="C265" s="3">
        <v>17.625191340476711</v>
      </c>
      <c r="D265" s="3">
        <v>49.86420423682781</v>
      </c>
    </row>
    <row r="266" spans="1:4" x14ac:dyDescent="0.25">
      <c r="A266" s="2">
        <v>70403</v>
      </c>
      <c r="B266" s="1" t="s">
        <v>716</v>
      </c>
      <c r="C266" s="3">
        <v>18.443316412859559</v>
      </c>
      <c r="D266" s="3">
        <v>38.366127023661271</v>
      </c>
    </row>
    <row r="267" spans="1:4" x14ac:dyDescent="0.25">
      <c r="A267" s="2">
        <v>70404</v>
      </c>
      <c r="B267" s="1" t="s">
        <v>492</v>
      </c>
      <c r="C267" s="3">
        <v>27.883211678832115</v>
      </c>
      <c r="D267" s="3">
        <v>57.524518092661481</v>
      </c>
    </row>
    <row r="268" spans="1:4" x14ac:dyDescent="0.25">
      <c r="A268" s="2">
        <v>70501</v>
      </c>
      <c r="B268" s="1" t="s">
        <v>745</v>
      </c>
      <c r="C268" s="3">
        <v>27.989487516425754</v>
      </c>
      <c r="D268" s="3">
        <v>53.200654777289571</v>
      </c>
    </row>
    <row r="269" spans="1:4" x14ac:dyDescent="0.25">
      <c r="A269" s="2">
        <v>70502</v>
      </c>
      <c r="B269" s="1" t="s">
        <v>733</v>
      </c>
      <c r="C269" s="3">
        <v>46.28237259816207</v>
      </c>
      <c r="D269" s="3">
        <v>53.677717810331536</v>
      </c>
    </row>
    <row r="270" spans="1:4" x14ac:dyDescent="0.25">
      <c r="A270" s="2">
        <v>70503</v>
      </c>
      <c r="B270" s="1" t="s">
        <v>742</v>
      </c>
      <c r="C270" s="3">
        <v>34.240725914064583</v>
      </c>
      <c r="D270" s="3">
        <v>59.480179506357523</v>
      </c>
    </row>
    <row r="271" spans="1:4" x14ac:dyDescent="0.25">
      <c r="A271" s="2">
        <v>70601</v>
      </c>
      <c r="B271" s="1" t="s">
        <v>545</v>
      </c>
      <c r="C271" s="3">
        <v>54.770575382374368</v>
      </c>
      <c r="D271" s="3">
        <v>78.10835629017447</v>
      </c>
    </row>
    <row r="272" spans="1:4" x14ac:dyDescent="0.25">
      <c r="A272" s="2">
        <v>70602</v>
      </c>
      <c r="B272" s="1" t="s">
        <v>523</v>
      </c>
      <c r="C272" s="3">
        <v>26.155082362394538</v>
      </c>
      <c r="D272" s="3">
        <v>52.32499580325667</v>
      </c>
    </row>
    <row r="273" spans="1:4" x14ac:dyDescent="0.25">
      <c r="A273" s="2">
        <v>70603</v>
      </c>
      <c r="B273" s="1" t="s">
        <v>739</v>
      </c>
      <c r="C273" s="3">
        <v>13.958641063515509</v>
      </c>
      <c r="D273" s="3">
        <v>26.353555120678408</v>
      </c>
    </row>
    <row r="274" spans="1:4" x14ac:dyDescent="0.25">
      <c r="A274" s="2">
        <v>70701</v>
      </c>
      <c r="B274" s="1" t="s">
        <v>656</v>
      </c>
      <c r="C274" s="3">
        <v>40.616246498599438</v>
      </c>
      <c r="D274" s="3">
        <v>74.569789674952204</v>
      </c>
    </row>
    <row r="275" spans="1:4" x14ac:dyDescent="0.25">
      <c r="A275" s="2">
        <v>70702</v>
      </c>
      <c r="B275" s="1" t="s">
        <v>744</v>
      </c>
      <c r="C275" s="3">
        <v>39.879154078549853</v>
      </c>
      <c r="D275" s="3">
        <v>60.483870967741936</v>
      </c>
    </row>
    <row r="276" spans="1:4" x14ac:dyDescent="0.25">
      <c r="A276" s="2">
        <v>70703</v>
      </c>
      <c r="B276" s="1" t="s">
        <v>592</v>
      </c>
      <c r="C276" s="3">
        <v>47.761194029850742</v>
      </c>
      <c r="D276" s="3">
        <v>54.709926426245325</v>
      </c>
    </row>
    <row r="277" spans="1:4" x14ac:dyDescent="0.25">
      <c r="A277" s="2">
        <v>70704</v>
      </c>
      <c r="B277" s="1" t="s">
        <v>705</v>
      </c>
      <c r="C277" s="3">
        <v>9.8478066248880936</v>
      </c>
      <c r="D277" s="3">
        <v>66.61379857256145</v>
      </c>
    </row>
    <row r="278" spans="1:4" x14ac:dyDescent="0.25">
      <c r="A278" s="2">
        <v>70705</v>
      </c>
      <c r="B278" s="1" t="s">
        <v>709</v>
      </c>
      <c r="C278" s="3">
        <v>16.610878661087867</v>
      </c>
      <c r="D278" s="3">
        <v>66.050744622173198</v>
      </c>
    </row>
    <row r="279" spans="1:4" x14ac:dyDescent="0.25">
      <c r="A279" s="2">
        <v>70706</v>
      </c>
      <c r="B279" s="1" t="s">
        <v>706</v>
      </c>
      <c r="C279" s="3">
        <v>62.81347026510629</v>
      </c>
      <c r="D279" s="3">
        <v>70.811391724879101</v>
      </c>
    </row>
    <row r="280" spans="1:4" x14ac:dyDescent="0.25">
      <c r="A280" s="2">
        <v>70707</v>
      </c>
      <c r="B280" s="1" t="s">
        <v>704</v>
      </c>
      <c r="C280" s="3">
        <v>27.739387956564659</v>
      </c>
      <c r="D280" s="3">
        <v>65.992779783393502</v>
      </c>
    </row>
    <row r="281" spans="1:4" x14ac:dyDescent="0.25">
      <c r="A281" s="2">
        <v>70801</v>
      </c>
      <c r="B281" s="1" t="s">
        <v>198</v>
      </c>
      <c r="C281" s="3">
        <v>59.677725118483416</v>
      </c>
      <c r="D281" s="3">
        <v>70.259803130547041</v>
      </c>
    </row>
    <row r="282" spans="1:4" x14ac:dyDescent="0.25">
      <c r="A282" s="2">
        <v>70802</v>
      </c>
      <c r="B282" s="1" t="s">
        <v>713</v>
      </c>
      <c r="C282" s="3">
        <v>61.805555555555557</v>
      </c>
      <c r="D282" s="3">
        <v>81.886792452830193</v>
      </c>
    </row>
    <row r="283" spans="1:4" x14ac:dyDescent="0.25">
      <c r="A283" s="2">
        <v>70803</v>
      </c>
      <c r="B283" s="1" t="s">
        <v>486</v>
      </c>
      <c r="C283" s="3">
        <v>37.241379310344833</v>
      </c>
      <c r="D283" s="3">
        <v>59.838546922300708</v>
      </c>
    </row>
    <row r="284" spans="1:4" x14ac:dyDescent="0.25">
      <c r="A284" s="2">
        <v>70804</v>
      </c>
      <c r="B284" s="1" t="s">
        <v>712</v>
      </c>
      <c r="C284" s="3">
        <v>38.666666666666664</v>
      </c>
      <c r="D284" s="3">
        <v>60.89108910891089</v>
      </c>
    </row>
    <row r="285" spans="1:4" x14ac:dyDescent="0.25">
      <c r="A285" s="2">
        <v>70805</v>
      </c>
      <c r="B285" s="1" t="s">
        <v>701</v>
      </c>
      <c r="C285" s="3">
        <v>29.291338582677167</v>
      </c>
      <c r="D285" s="3">
        <v>53.938584779706275</v>
      </c>
    </row>
    <row r="286" spans="1:4" x14ac:dyDescent="0.25">
      <c r="A286" s="2">
        <v>70901</v>
      </c>
      <c r="B286" s="1" t="s">
        <v>488</v>
      </c>
      <c r="C286" s="3">
        <v>40.271055179090034</v>
      </c>
      <c r="D286" s="3">
        <v>60.538005923000995</v>
      </c>
    </row>
    <row r="287" spans="1:4" x14ac:dyDescent="0.25">
      <c r="A287" s="2">
        <v>70902</v>
      </c>
      <c r="B287" s="1" t="s">
        <v>736</v>
      </c>
      <c r="C287" s="3">
        <v>36.95652173913043</v>
      </c>
      <c r="D287" s="3">
        <v>69.704918032786892</v>
      </c>
    </row>
    <row r="288" spans="1:4" x14ac:dyDescent="0.25">
      <c r="A288" s="2">
        <v>70903</v>
      </c>
      <c r="B288" s="1" t="s">
        <v>737</v>
      </c>
      <c r="C288" s="3">
        <v>21.322537112010799</v>
      </c>
      <c r="D288" s="3">
        <v>46.218097447795827</v>
      </c>
    </row>
    <row r="289" spans="1:4" x14ac:dyDescent="0.25">
      <c r="A289" s="2">
        <v>70904</v>
      </c>
      <c r="B289" s="1" t="s">
        <v>714</v>
      </c>
      <c r="C289" s="3">
        <v>52.602739726027394</v>
      </c>
      <c r="D289" s="3">
        <v>71.664548919949183</v>
      </c>
    </row>
    <row r="290" spans="1:4" x14ac:dyDescent="0.25">
      <c r="A290" s="2">
        <v>71001</v>
      </c>
      <c r="B290" s="1" t="s">
        <v>725</v>
      </c>
      <c r="C290" s="3">
        <v>45.41244353338648</v>
      </c>
      <c r="D290" s="3">
        <v>42.310687754612985</v>
      </c>
    </row>
    <row r="291" spans="1:4" x14ac:dyDescent="0.25">
      <c r="A291" s="2">
        <v>71002</v>
      </c>
      <c r="B291" s="1" t="s">
        <v>732</v>
      </c>
      <c r="C291" s="3">
        <v>38.442521631644006</v>
      </c>
      <c r="D291" s="3">
        <v>49.265718219366683</v>
      </c>
    </row>
    <row r="292" spans="1:4" x14ac:dyDescent="0.25">
      <c r="A292" s="2">
        <v>71003</v>
      </c>
      <c r="B292" s="1" t="s">
        <v>735</v>
      </c>
      <c r="C292" s="3">
        <v>11.695137976346912</v>
      </c>
      <c r="D292" s="3">
        <v>52.663868259606076</v>
      </c>
    </row>
    <row r="293" spans="1:4" x14ac:dyDescent="0.25">
      <c r="A293" s="2">
        <v>71004</v>
      </c>
      <c r="B293" s="1" t="s">
        <v>734</v>
      </c>
      <c r="C293" s="3">
        <v>18.684792918115715</v>
      </c>
      <c r="D293" s="3">
        <v>43.222803955788244</v>
      </c>
    </row>
    <row r="294" spans="1:4" x14ac:dyDescent="0.25">
      <c r="A294" s="2">
        <v>71005</v>
      </c>
      <c r="B294" s="1" t="s">
        <v>494</v>
      </c>
      <c r="C294" s="3">
        <v>46.591889559965487</v>
      </c>
      <c r="D294" s="3">
        <v>42.966887417218544</v>
      </c>
    </row>
    <row r="295" spans="1:4" x14ac:dyDescent="0.25">
      <c r="A295" s="2">
        <v>71101</v>
      </c>
      <c r="B295" s="1" t="s">
        <v>522</v>
      </c>
      <c r="C295" s="3">
        <v>12.344520065712274</v>
      </c>
      <c r="D295" s="3">
        <v>34.219198469225041</v>
      </c>
    </row>
    <row r="296" spans="1:4" x14ac:dyDescent="0.25">
      <c r="A296" s="2">
        <v>71102</v>
      </c>
      <c r="B296" s="1" t="s">
        <v>511</v>
      </c>
      <c r="C296" s="3">
        <v>10.141287284144427</v>
      </c>
      <c r="D296" s="3">
        <v>36.919563562547573</v>
      </c>
    </row>
    <row r="297" spans="1:4" x14ac:dyDescent="0.25">
      <c r="A297" s="2">
        <v>71103</v>
      </c>
      <c r="B297" s="1" t="s">
        <v>529</v>
      </c>
      <c r="C297" s="3">
        <v>25.97321218767134</v>
      </c>
      <c r="D297" s="3">
        <v>17.550349362926429</v>
      </c>
    </row>
    <row r="298" spans="1:4" x14ac:dyDescent="0.25">
      <c r="A298" s="2">
        <v>71104</v>
      </c>
      <c r="B298" s="1" t="s">
        <v>772</v>
      </c>
      <c r="C298" s="3">
        <v>60.645724258289704</v>
      </c>
      <c r="D298" s="3">
        <v>39.001937984496124</v>
      </c>
    </row>
    <row r="299" spans="1:4" x14ac:dyDescent="0.25">
      <c r="A299" s="2">
        <v>71105</v>
      </c>
      <c r="B299" s="1" t="s">
        <v>751</v>
      </c>
      <c r="C299" s="3">
        <v>3.2047477744807122</v>
      </c>
      <c r="D299" s="3">
        <v>84.813559322033896</v>
      </c>
    </row>
    <row r="300" spans="1:4" x14ac:dyDescent="0.25">
      <c r="A300" s="2">
        <v>71106</v>
      </c>
      <c r="B300" s="1" t="s">
        <v>717</v>
      </c>
      <c r="C300" s="3">
        <v>41.320680110715699</v>
      </c>
      <c r="D300" s="3">
        <v>69.485574721416583</v>
      </c>
    </row>
    <row r="301" spans="1:4" x14ac:dyDescent="0.25">
      <c r="A301" s="2">
        <v>71201</v>
      </c>
      <c r="B301" s="1" t="s">
        <v>743</v>
      </c>
      <c r="C301" s="3">
        <v>17.760497667185071</v>
      </c>
      <c r="D301" s="3">
        <v>39.686369119420988</v>
      </c>
    </row>
    <row r="302" spans="1:4" x14ac:dyDescent="0.25">
      <c r="A302" s="2">
        <v>71301</v>
      </c>
      <c r="B302" s="1" t="s">
        <v>774</v>
      </c>
      <c r="C302" s="3">
        <v>51.325716749299424</v>
      </c>
      <c r="D302" s="3">
        <v>61.105318039624613</v>
      </c>
    </row>
    <row r="303" spans="1:4" x14ac:dyDescent="0.25">
      <c r="A303" s="2">
        <v>71302</v>
      </c>
      <c r="B303" s="1" t="s">
        <v>506</v>
      </c>
      <c r="C303" s="3">
        <v>20.527201346045988</v>
      </c>
      <c r="D303" s="3">
        <v>53.092006033182507</v>
      </c>
    </row>
    <row r="304" spans="1:4" x14ac:dyDescent="0.25">
      <c r="A304" s="2">
        <v>71401</v>
      </c>
      <c r="B304" s="1" t="s">
        <v>740</v>
      </c>
      <c r="C304" s="3">
        <v>14.866051822573562</v>
      </c>
      <c r="D304" s="3">
        <v>32.208273307264868</v>
      </c>
    </row>
    <row r="305" spans="1:4" x14ac:dyDescent="0.25">
      <c r="A305" s="2">
        <v>71402</v>
      </c>
      <c r="B305" s="1" t="s">
        <v>476</v>
      </c>
      <c r="C305" s="3">
        <v>3.3238855964957486</v>
      </c>
      <c r="D305" s="3">
        <v>14.836495761001212</v>
      </c>
    </row>
    <row r="306" spans="1:4" x14ac:dyDescent="0.25">
      <c r="A306" s="2">
        <v>71403</v>
      </c>
      <c r="B306" s="1" t="s">
        <v>741</v>
      </c>
      <c r="C306" s="3">
        <v>17.22520107238606</v>
      </c>
      <c r="D306" s="3">
        <v>57.048910809699962</v>
      </c>
    </row>
    <row r="307" spans="1:4" x14ac:dyDescent="0.25">
      <c r="A307" s="2">
        <v>71501</v>
      </c>
      <c r="B307" s="1" t="s">
        <v>726</v>
      </c>
      <c r="C307" s="3">
        <v>11.863792791161023</v>
      </c>
      <c r="D307" s="3">
        <v>21.040451726372304</v>
      </c>
    </row>
    <row r="308" spans="1:4" x14ac:dyDescent="0.25">
      <c r="A308" s="2">
        <v>71502</v>
      </c>
      <c r="B308" s="1" t="s">
        <v>749</v>
      </c>
      <c r="C308" s="3">
        <v>3.5532994923857872</v>
      </c>
      <c r="D308" s="3">
        <v>45.182926829268297</v>
      </c>
    </row>
    <row r="309" spans="1:4" x14ac:dyDescent="0.25">
      <c r="A309" s="2">
        <v>71503</v>
      </c>
      <c r="B309" s="1" t="s">
        <v>552</v>
      </c>
      <c r="C309" s="3">
        <v>13.898229096615108</v>
      </c>
      <c r="D309" s="3">
        <v>43.182522466687324</v>
      </c>
    </row>
    <row r="310" spans="1:4" x14ac:dyDescent="0.25">
      <c r="A310" s="2">
        <v>80101</v>
      </c>
      <c r="B310" s="1" t="s">
        <v>750</v>
      </c>
      <c r="C310" s="3">
        <v>29.372269859246074</v>
      </c>
      <c r="D310" s="3">
        <v>27.560486977962707</v>
      </c>
    </row>
    <row r="311" spans="1:4" x14ac:dyDescent="0.25">
      <c r="A311" s="2">
        <v>80102</v>
      </c>
      <c r="B311" s="1" t="s">
        <v>511</v>
      </c>
      <c r="C311" s="3">
        <v>28.130081300813011</v>
      </c>
      <c r="D311" s="3">
        <v>50.507001448575572</v>
      </c>
    </row>
    <row r="312" spans="1:4" x14ac:dyDescent="0.25">
      <c r="A312" s="2">
        <v>80201</v>
      </c>
      <c r="B312" s="1" t="s">
        <v>676</v>
      </c>
      <c r="C312" s="3">
        <v>12.65570757606698</v>
      </c>
      <c r="D312" s="3">
        <v>18.970920486844982</v>
      </c>
    </row>
    <row r="313" spans="1:4" x14ac:dyDescent="0.25">
      <c r="A313" s="2">
        <v>80202</v>
      </c>
      <c r="B313" s="1" t="s">
        <v>683</v>
      </c>
      <c r="C313" s="3">
        <v>30.331497678436453</v>
      </c>
      <c r="D313" s="3">
        <v>37.553943623175101</v>
      </c>
    </row>
    <row r="314" spans="1:4" x14ac:dyDescent="0.25">
      <c r="A314" s="2">
        <v>80301</v>
      </c>
      <c r="B314" s="1" t="s">
        <v>672</v>
      </c>
      <c r="C314" s="3">
        <v>5.6380823767724513</v>
      </c>
      <c r="D314" s="3">
        <v>24.202516827626571</v>
      </c>
    </row>
    <row r="315" spans="1:4" x14ac:dyDescent="0.25">
      <c r="A315" s="2">
        <v>80302</v>
      </c>
      <c r="B315" s="1" t="s">
        <v>671</v>
      </c>
      <c r="C315" s="3">
        <v>4.9936251593710157</v>
      </c>
      <c r="D315" s="3">
        <v>19.852884836411004</v>
      </c>
    </row>
    <row r="316" spans="1:4" x14ac:dyDescent="0.25">
      <c r="A316" s="2">
        <v>80303</v>
      </c>
      <c r="B316" s="1" t="s">
        <v>613</v>
      </c>
      <c r="C316" s="3">
        <v>22.672064777327936</v>
      </c>
      <c r="D316" s="3">
        <v>35.027223230490016</v>
      </c>
    </row>
    <row r="317" spans="1:4" x14ac:dyDescent="0.25">
      <c r="A317" s="2">
        <v>80304</v>
      </c>
      <c r="B317" s="1" t="s">
        <v>668</v>
      </c>
      <c r="C317" s="3">
        <v>37.059913526868435</v>
      </c>
      <c r="D317" s="3">
        <v>42.08</v>
      </c>
    </row>
    <row r="318" spans="1:4" x14ac:dyDescent="0.25">
      <c r="A318" s="2">
        <v>80401</v>
      </c>
      <c r="B318" s="1" t="s">
        <v>670</v>
      </c>
      <c r="C318" s="3">
        <v>41.137026239067055</v>
      </c>
      <c r="D318" s="3">
        <v>56.088474970896399</v>
      </c>
    </row>
    <row r="319" spans="1:4" x14ac:dyDescent="0.25">
      <c r="A319" s="2">
        <v>80402</v>
      </c>
      <c r="B319" s="1" t="s">
        <v>675</v>
      </c>
      <c r="C319" s="3">
        <v>27.078891257995735</v>
      </c>
      <c r="D319" s="3">
        <v>28.797250859106526</v>
      </c>
    </row>
    <row r="320" spans="1:4" x14ac:dyDescent="0.25">
      <c r="A320" s="2">
        <v>80501</v>
      </c>
      <c r="B320" s="1" t="s">
        <v>510</v>
      </c>
      <c r="C320" s="3">
        <v>9.1136079900124844</v>
      </c>
      <c r="D320" s="3">
        <v>29.104062326099054</v>
      </c>
    </row>
    <row r="321" spans="1:4" x14ac:dyDescent="0.25">
      <c r="A321" s="2">
        <v>80601</v>
      </c>
      <c r="B321" s="1" t="s">
        <v>499</v>
      </c>
      <c r="C321" s="3">
        <v>30.787037037037035</v>
      </c>
      <c r="D321" s="3">
        <v>52.801519468186129</v>
      </c>
    </row>
    <row r="322" spans="1:4" x14ac:dyDescent="0.25">
      <c r="A322" s="2">
        <v>80602</v>
      </c>
      <c r="B322" s="1" t="s">
        <v>727</v>
      </c>
      <c r="C322" s="3">
        <v>24.799732977303073</v>
      </c>
      <c r="D322" s="3">
        <v>41.840607210626182</v>
      </c>
    </row>
    <row r="323" spans="1:4" x14ac:dyDescent="0.25">
      <c r="A323" s="2">
        <v>80701</v>
      </c>
      <c r="B323" s="1" t="s">
        <v>528</v>
      </c>
      <c r="C323" s="3">
        <v>10.36682615629984</v>
      </c>
      <c r="D323" s="3">
        <v>25.521885521885523</v>
      </c>
    </row>
    <row r="324" spans="1:4" x14ac:dyDescent="0.25">
      <c r="A324" s="2">
        <v>80702</v>
      </c>
      <c r="B324" s="1" t="s">
        <v>529</v>
      </c>
      <c r="C324" s="3">
        <v>5.8620689655172411</v>
      </c>
      <c r="D324" s="3">
        <v>22.872340425531913</v>
      </c>
    </row>
    <row r="325" spans="1:4" x14ac:dyDescent="0.25">
      <c r="A325" s="2">
        <v>80703</v>
      </c>
      <c r="B325" s="1" t="s">
        <v>674</v>
      </c>
      <c r="C325" s="3">
        <v>48.717948717948715</v>
      </c>
      <c r="D325" s="3">
        <v>60.327868852459019</v>
      </c>
    </row>
    <row r="326" spans="1:4" x14ac:dyDescent="0.25">
      <c r="A326" s="2">
        <v>80801</v>
      </c>
      <c r="B326" s="1" t="s">
        <v>544</v>
      </c>
      <c r="C326" s="3">
        <v>3.4050179211469538</v>
      </c>
      <c r="D326" s="3">
        <v>13.011152416356877</v>
      </c>
    </row>
    <row r="327" spans="1:4" x14ac:dyDescent="0.25">
      <c r="A327" s="2">
        <v>80802</v>
      </c>
      <c r="B327" s="1" t="s">
        <v>595</v>
      </c>
      <c r="C327" s="3">
        <v>6.0471976401179939</v>
      </c>
      <c r="D327" s="3">
        <v>26.211240310077521</v>
      </c>
    </row>
    <row r="328" spans="1:4" x14ac:dyDescent="0.25">
      <c r="A328" s="2">
        <v>80803</v>
      </c>
      <c r="B328" s="1" t="s">
        <v>524</v>
      </c>
      <c r="C328" s="3">
        <v>26.373626373626376</v>
      </c>
      <c r="D328" s="3">
        <v>25.04911591355599</v>
      </c>
    </row>
    <row r="329" spans="1:4" x14ac:dyDescent="0.25">
      <c r="A329" s="2">
        <v>80901</v>
      </c>
      <c r="B329" s="39" t="s">
        <v>793</v>
      </c>
      <c r="C329" s="3">
        <v>1.7432646592709984</v>
      </c>
      <c r="D329" s="3">
        <v>40.997830802603033</v>
      </c>
    </row>
    <row r="330" spans="1:4" x14ac:dyDescent="0.25">
      <c r="A330" s="2">
        <v>90101</v>
      </c>
      <c r="B330" s="1" t="s">
        <v>597</v>
      </c>
      <c r="C330" s="3">
        <v>26.503576072821843</v>
      </c>
      <c r="D330" s="3">
        <v>38.852480082241073</v>
      </c>
    </row>
    <row r="331" spans="1:4" x14ac:dyDescent="0.25">
      <c r="A331" s="2">
        <v>90102</v>
      </c>
      <c r="B331" s="1" t="s">
        <v>677</v>
      </c>
      <c r="C331" s="3">
        <v>19.637462235649547</v>
      </c>
      <c r="D331" s="3">
        <v>27.533632286995513</v>
      </c>
    </row>
    <row r="332" spans="1:4" x14ac:dyDescent="0.25">
      <c r="A332" s="2">
        <v>90103</v>
      </c>
      <c r="B332" s="1" t="s">
        <v>690</v>
      </c>
      <c r="C332" s="3">
        <v>7.522935779816514</v>
      </c>
      <c r="D332" s="3">
        <v>42.768079800498754</v>
      </c>
    </row>
    <row r="333" spans="1:4" x14ac:dyDescent="0.25">
      <c r="A333" s="2">
        <v>90104</v>
      </c>
      <c r="B333" s="1" t="s">
        <v>678</v>
      </c>
      <c r="C333" s="3">
        <v>20.974576271186439</v>
      </c>
      <c r="D333" s="3">
        <v>50.364372469635633</v>
      </c>
    </row>
    <row r="334" spans="1:4" x14ac:dyDescent="0.25">
      <c r="A334" s="2">
        <v>90201</v>
      </c>
      <c r="B334" s="1" t="s">
        <v>680</v>
      </c>
      <c r="C334" s="3">
        <v>16.49782923299566</v>
      </c>
      <c r="D334" s="3">
        <v>26.696832579185521</v>
      </c>
    </row>
    <row r="335" spans="1:4" x14ac:dyDescent="0.25">
      <c r="A335" s="2">
        <v>90202</v>
      </c>
      <c r="B335" s="1" t="s">
        <v>494</v>
      </c>
      <c r="C335" s="3">
        <v>1.9639934533551555</v>
      </c>
      <c r="D335" s="3">
        <v>8.3333333333333321</v>
      </c>
    </row>
    <row r="336" spans="1:4" x14ac:dyDescent="0.25">
      <c r="A336" s="2">
        <v>90203</v>
      </c>
      <c r="B336" s="1" t="s">
        <v>691</v>
      </c>
      <c r="C336" s="3">
        <v>13.594954449894884</v>
      </c>
      <c r="D336" s="3">
        <v>45.624502784407319</v>
      </c>
    </row>
    <row r="337" spans="1:4" x14ac:dyDescent="0.25">
      <c r="A337" s="2">
        <v>90301</v>
      </c>
      <c r="B337" s="1" t="s">
        <v>673</v>
      </c>
      <c r="C337" s="3">
        <v>18.323586744639375</v>
      </c>
      <c r="D337" s="3">
        <v>29.262086513994912</v>
      </c>
    </row>
    <row r="338" spans="1:4" x14ac:dyDescent="0.25">
      <c r="A338" s="2">
        <v>90302</v>
      </c>
      <c r="B338" s="1" t="s">
        <v>551</v>
      </c>
      <c r="C338" s="3">
        <v>7.526080476900149</v>
      </c>
      <c r="D338" s="3">
        <v>30.270270270270274</v>
      </c>
    </row>
    <row r="339" spans="1:4" x14ac:dyDescent="0.25">
      <c r="A339" s="2">
        <v>90303</v>
      </c>
      <c r="B339" s="1" t="s">
        <v>611</v>
      </c>
      <c r="C339" s="3">
        <v>0.30248033877797942</v>
      </c>
      <c r="D339" s="3">
        <v>9.6347826086956516</v>
      </c>
    </row>
    <row r="340" spans="1:4" x14ac:dyDescent="0.25">
      <c r="A340" s="2">
        <v>90401</v>
      </c>
      <c r="B340" s="1" t="s">
        <v>613</v>
      </c>
      <c r="C340" s="3">
        <v>22.094926350245501</v>
      </c>
      <c r="D340" s="3">
        <v>46.395348837209305</v>
      </c>
    </row>
    <row r="341" spans="1:4" x14ac:dyDescent="0.25">
      <c r="A341" s="2">
        <v>90402</v>
      </c>
      <c r="B341" s="1" t="s">
        <v>236</v>
      </c>
      <c r="C341" s="3">
        <v>25.581395348837212</v>
      </c>
      <c r="D341" s="3">
        <v>16.486902927580893</v>
      </c>
    </row>
    <row r="342" spans="1:4" x14ac:dyDescent="0.25">
      <c r="A342" s="2">
        <v>90501</v>
      </c>
      <c r="B342" s="1" t="s">
        <v>686</v>
      </c>
      <c r="C342" s="3">
        <v>5.1502145922746783</v>
      </c>
      <c r="D342" s="3">
        <v>21.881390593047033</v>
      </c>
    </row>
    <row r="343" spans="1:4" x14ac:dyDescent="0.25">
      <c r="A343" s="2">
        <v>90502</v>
      </c>
      <c r="B343" s="1" t="s">
        <v>684</v>
      </c>
      <c r="C343" s="3">
        <v>7.3005093378607802</v>
      </c>
      <c r="D343" s="3">
        <v>24.717514124293785</v>
      </c>
    </row>
    <row r="344" spans="1:4" x14ac:dyDescent="0.25">
      <c r="A344" s="2">
        <v>90503</v>
      </c>
      <c r="B344" s="1" t="s">
        <v>685</v>
      </c>
      <c r="C344" s="3">
        <v>8.3690987124463518</v>
      </c>
      <c r="D344" s="3">
        <v>14.975041597337771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6AD5-3DEA-4BC4-A8A4-3EAAFD81E431}">
  <sheetPr>
    <tabColor rgb="FFC00000"/>
  </sheetPr>
  <dimension ref="A1:D344"/>
  <sheetViews>
    <sheetView topLeftCell="A306" workbookViewId="0">
      <selection activeCell="D345" sqref="D345"/>
    </sheetView>
  </sheetViews>
  <sheetFormatPr baseColWidth="10" defaultColWidth="9.140625" defaultRowHeight="15" x14ac:dyDescent="0.25"/>
  <cols>
    <col min="2" max="2" width="14.28515625" customWidth="1"/>
    <col min="3" max="3" width="32.140625" customWidth="1"/>
    <col min="4" max="4" width="31.42578125" customWidth="1"/>
  </cols>
  <sheetData>
    <row r="1" spans="1:4" ht="30" x14ac:dyDescent="0.25">
      <c r="A1" s="19" t="s">
        <v>1142</v>
      </c>
      <c r="B1" s="17" t="s">
        <v>453</v>
      </c>
      <c r="C1" s="18" t="s">
        <v>1198</v>
      </c>
      <c r="D1" s="18" t="s">
        <v>1197</v>
      </c>
    </row>
    <row r="2" spans="1:4" x14ac:dyDescent="0.25">
      <c r="A2" s="2">
        <v>10101</v>
      </c>
      <c r="B2" s="1" t="s">
        <v>710</v>
      </c>
      <c r="C2" s="2">
        <v>3453</v>
      </c>
      <c r="D2" s="2">
        <v>1401</v>
      </c>
    </row>
    <row r="3" spans="1:4" x14ac:dyDescent="0.25">
      <c r="A3" s="2">
        <v>10102</v>
      </c>
      <c r="B3" s="1" t="s">
        <v>660</v>
      </c>
      <c r="C3" s="2">
        <v>247</v>
      </c>
      <c r="D3" s="2">
        <v>107</v>
      </c>
    </row>
    <row r="4" spans="1:4" x14ac:dyDescent="0.25">
      <c r="A4" s="2">
        <v>10103</v>
      </c>
      <c r="B4" s="1" t="s">
        <v>754</v>
      </c>
      <c r="C4" s="2">
        <v>2544</v>
      </c>
      <c r="D4" s="2">
        <v>1195</v>
      </c>
    </row>
    <row r="5" spans="1:4" x14ac:dyDescent="0.25">
      <c r="A5" s="2">
        <v>10201</v>
      </c>
      <c r="B5" s="1" t="s">
        <v>576</v>
      </c>
      <c r="C5" s="2">
        <v>1252</v>
      </c>
      <c r="D5" s="2">
        <v>487</v>
      </c>
    </row>
    <row r="6" spans="1:4" x14ac:dyDescent="0.25">
      <c r="A6" s="2">
        <v>10202</v>
      </c>
      <c r="B6" s="1" t="s">
        <v>645</v>
      </c>
      <c r="C6" s="2">
        <v>1292</v>
      </c>
      <c r="D6" s="2">
        <v>688</v>
      </c>
    </row>
    <row r="7" spans="1:4" x14ac:dyDescent="0.25">
      <c r="A7" s="2">
        <v>10301</v>
      </c>
      <c r="B7" s="1" t="s">
        <v>583</v>
      </c>
      <c r="C7" s="2">
        <v>547</v>
      </c>
      <c r="D7" s="2">
        <v>200</v>
      </c>
    </row>
    <row r="8" spans="1:4" x14ac:dyDescent="0.25">
      <c r="A8" s="2">
        <v>10302</v>
      </c>
      <c r="B8" s="1" t="s">
        <v>711</v>
      </c>
      <c r="C8" s="2">
        <v>924</v>
      </c>
      <c r="D8" s="2">
        <v>401</v>
      </c>
    </row>
    <row r="9" spans="1:4" x14ac:dyDescent="0.25">
      <c r="A9" s="2">
        <v>10303</v>
      </c>
      <c r="B9" s="1" t="s">
        <v>700</v>
      </c>
      <c r="C9" s="2">
        <v>553</v>
      </c>
      <c r="D9" s="2">
        <v>158</v>
      </c>
    </row>
    <row r="10" spans="1:4" x14ac:dyDescent="0.25">
      <c r="A10" s="2">
        <v>10304</v>
      </c>
      <c r="B10" s="1" t="s">
        <v>659</v>
      </c>
      <c r="C10" s="2">
        <v>257</v>
      </c>
      <c r="D10" s="2">
        <v>241</v>
      </c>
    </row>
    <row r="11" spans="1:4" x14ac:dyDescent="0.25">
      <c r="A11" s="2">
        <v>10401</v>
      </c>
      <c r="B11" s="1" t="s">
        <v>699</v>
      </c>
      <c r="C11" s="2">
        <v>770</v>
      </c>
      <c r="D11" s="2">
        <v>206</v>
      </c>
    </row>
    <row r="12" spans="1:4" x14ac:dyDescent="0.25">
      <c r="A12" s="2">
        <v>10402</v>
      </c>
      <c r="B12" s="1" t="s">
        <v>331</v>
      </c>
      <c r="C12" s="2">
        <v>206</v>
      </c>
      <c r="D12" s="2">
        <v>81</v>
      </c>
    </row>
    <row r="13" spans="1:4" x14ac:dyDescent="0.25">
      <c r="A13" s="2">
        <v>10403</v>
      </c>
      <c r="B13" s="1" t="s">
        <v>658</v>
      </c>
      <c r="C13" s="2">
        <v>651</v>
      </c>
      <c r="D13" s="2">
        <v>246</v>
      </c>
    </row>
    <row r="14" spans="1:4" x14ac:dyDescent="0.25">
      <c r="A14" s="2">
        <v>10404</v>
      </c>
      <c r="B14" s="1" t="s">
        <v>657</v>
      </c>
      <c r="C14" s="2">
        <v>145</v>
      </c>
      <c r="D14" s="2">
        <v>22</v>
      </c>
    </row>
    <row r="15" spans="1:4" x14ac:dyDescent="0.25">
      <c r="A15" s="2">
        <v>10405</v>
      </c>
      <c r="B15" s="1" t="s">
        <v>649</v>
      </c>
      <c r="C15" s="2">
        <v>413</v>
      </c>
      <c r="D15" s="2">
        <v>141</v>
      </c>
    </row>
    <row r="16" spans="1:4" x14ac:dyDescent="0.25">
      <c r="A16" s="2">
        <v>10501</v>
      </c>
      <c r="B16" s="1" t="s">
        <v>653</v>
      </c>
      <c r="C16" s="2">
        <v>983</v>
      </c>
      <c r="D16" s="2">
        <v>400</v>
      </c>
    </row>
    <row r="17" spans="1:4" x14ac:dyDescent="0.25">
      <c r="A17" s="2">
        <v>10502</v>
      </c>
      <c r="B17" s="1" t="s">
        <v>652</v>
      </c>
      <c r="C17" s="2">
        <v>489</v>
      </c>
      <c r="D17" s="2">
        <v>71</v>
      </c>
    </row>
    <row r="18" spans="1:4" x14ac:dyDescent="0.25">
      <c r="A18" s="2">
        <v>10601</v>
      </c>
      <c r="B18" s="1" t="s">
        <v>582</v>
      </c>
      <c r="C18" s="2">
        <v>1052</v>
      </c>
      <c r="D18" s="2">
        <v>247</v>
      </c>
    </row>
    <row r="19" spans="1:4" x14ac:dyDescent="0.25">
      <c r="A19" s="2">
        <v>10602</v>
      </c>
      <c r="B19" s="1" t="s">
        <v>278</v>
      </c>
      <c r="C19" s="2">
        <v>972</v>
      </c>
      <c r="D19" s="2">
        <v>255</v>
      </c>
    </row>
    <row r="20" spans="1:4" x14ac:dyDescent="0.25">
      <c r="A20" s="2">
        <v>10701</v>
      </c>
      <c r="B20" s="1" t="s">
        <v>790</v>
      </c>
      <c r="C20" s="2">
        <v>636</v>
      </c>
      <c r="D20" s="2">
        <v>314</v>
      </c>
    </row>
    <row r="21" spans="1:4" x14ac:dyDescent="0.25">
      <c r="A21" s="2">
        <v>10702</v>
      </c>
      <c r="B21" s="1" t="s">
        <v>489</v>
      </c>
      <c r="C21" s="2">
        <v>3145</v>
      </c>
      <c r="D21" s="2">
        <v>1247</v>
      </c>
    </row>
    <row r="22" spans="1:4" x14ac:dyDescent="0.25">
      <c r="A22" s="2">
        <v>10703</v>
      </c>
      <c r="B22" s="1" t="s">
        <v>491</v>
      </c>
      <c r="C22" s="2">
        <v>1317</v>
      </c>
      <c r="D22" s="2">
        <v>1037</v>
      </c>
    </row>
    <row r="23" spans="1:4" x14ac:dyDescent="0.25">
      <c r="A23" s="2">
        <v>10704</v>
      </c>
      <c r="B23" s="1" t="s">
        <v>776</v>
      </c>
      <c r="C23" s="2">
        <v>1443</v>
      </c>
      <c r="D23" s="2">
        <v>735</v>
      </c>
    </row>
    <row r="24" spans="1:4" x14ac:dyDescent="0.25">
      <c r="A24" s="2">
        <v>10801</v>
      </c>
      <c r="B24" s="1" t="s">
        <v>702</v>
      </c>
      <c r="C24" s="2">
        <v>480</v>
      </c>
      <c r="D24" s="2">
        <v>119</v>
      </c>
    </row>
    <row r="25" spans="1:4" x14ac:dyDescent="0.25">
      <c r="A25" s="2">
        <v>10901</v>
      </c>
      <c r="B25" s="1" t="s">
        <v>559</v>
      </c>
      <c r="C25" s="2">
        <v>297</v>
      </c>
      <c r="D25" s="2">
        <v>93</v>
      </c>
    </row>
    <row r="26" spans="1:4" x14ac:dyDescent="0.25">
      <c r="A26" s="2">
        <v>10902</v>
      </c>
      <c r="B26" s="1" t="s">
        <v>490</v>
      </c>
      <c r="C26" s="2">
        <v>1037</v>
      </c>
      <c r="D26" s="2">
        <v>703</v>
      </c>
    </row>
    <row r="27" spans="1:4" x14ac:dyDescent="0.25">
      <c r="A27" s="2">
        <v>10903</v>
      </c>
      <c r="B27" s="1" t="s">
        <v>558</v>
      </c>
      <c r="C27" s="2">
        <v>189</v>
      </c>
      <c r="D27" s="2">
        <v>58</v>
      </c>
    </row>
    <row r="28" spans="1:4" x14ac:dyDescent="0.25">
      <c r="A28" s="2">
        <v>11001</v>
      </c>
      <c r="B28" s="1" t="s">
        <v>697</v>
      </c>
      <c r="C28" s="2">
        <v>272</v>
      </c>
      <c r="D28" s="2">
        <v>175</v>
      </c>
    </row>
    <row r="29" spans="1:4" x14ac:dyDescent="0.25">
      <c r="A29" s="2">
        <v>11002</v>
      </c>
      <c r="B29" s="1" t="s">
        <v>650</v>
      </c>
      <c r="C29" s="2">
        <v>115</v>
      </c>
      <c r="D29" s="2">
        <v>15</v>
      </c>
    </row>
    <row r="30" spans="1:4" x14ac:dyDescent="0.25">
      <c r="A30" s="2">
        <v>11003</v>
      </c>
      <c r="B30" s="1" t="s">
        <v>703</v>
      </c>
      <c r="C30" s="2">
        <v>280</v>
      </c>
      <c r="D30" s="2">
        <v>41</v>
      </c>
    </row>
    <row r="31" spans="1:4" x14ac:dyDescent="0.25">
      <c r="A31" s="2">
        <v>20101</v>
      </c>
      <c r="B31" s="1" t="s">
        <v>635</v>
      </c>
      <c r="C31" s="2">
        <v>2093</v>
      </c>
      <c r="D31" s="2">
        <v>1201</v>
      </c>
    </row>
    <row r="32" spans="1:4" x14ac:dyDescent="0.25">
      <c r="A32" s="2">
        <v>20102</v>
      </c>
      <c r="B32" s="1" t="s">
        <v>623</v>
      </c>
      <c r="C32" s="2">
        <v>629</v>
      </c>
      <c r="D32" s="2">
        <v>464</v>
      </c>
    </row>
    <row r="33" spans="1:4" x14ac:dyDescent="0.25">
      <c r="A33" s="2">
        <v>20103</v>
      </c>
      <c r="B33" s="1" t="s">
        <v>622</v>
      </c>
      <c r="C33" s="2">
        <v>504</v>
      </c>
      <c r="D33" s="2">
        <v>192</v>
      </c>
    </row>
    <row r="34" spans="1:4" x14ac:dyDescent="0.25">
      <c r="A34" s="2">
        <v>20104</v>
      </c>
      <c r="B34" s="1" t="s">
        <v>624</v>
      </c>
      <c r="C34" s="2">
        <v>1235</v>
      </c>
      <c r="D34" s="2">
        <v>1130</v>
      </c>
    </row>
    <row r="35" spans="1:4" x14ac:dyDescent="0.25">
      <c r="A35" s="2">
        <v>20105</v>
      </c>
      <c r="B35" s="1" t="s">
        <v>625</v>
      </c>
      <c r="C35" s="2">
        <v>7118</v>
      </c>
      <c r="D35" s="2">
        <v>2972</v>
      </c>
    </row>
    <row r="36" spans="1:4" x14ac:dyDescent="0.25">
      <c r="A36" s="2">
        <v>20201</v>
      </c>
      <c r="B36" s="1" t="s">
        <v>780</v>
      </c>
      <c r="C36" s="2">
        <v>1674</v>
      </c>
      <c r="D36" s="2">
        <v>846</v>
      </c>
    </row>
    <row r="37" spans="1:4" x14ac:dyDescent="0.25">
      <c r="A37" s="2">
        <v>20202</v>
      </c>
      <c r="B37" s="1" t="s">
        <v>495</v>
      </c>
      <c r="C37" s="2">
        <v>812</v>
      </c>
      <c r="D37" s="2">
        <v>518</v>
      </c>
    </row>
    <row r="38" spans="1:4" x14ac:dyDescent="0.25">
      <c r="A38" s="2">
        <v>20203</v>
      </c>
      <c r="B38" s="1" t="s">
        <v>695</v>
      </c>
      <c r="C38" s="2">
        <v>547</v>
      </c>
      <c r="D38" s="2">
        <v>171</v>
      </c>
    </row>
    <row r="39" spans="1:4" x14ac:dyDescent="0.25">
      <c r="A39" s="2">
        <v>20204</v>
      </c>
      <c r="B39" s="1" t="s">
        <v>694</v>
      </c>
      <c r="C39" s="2">
        <v>485</v>
      </c>
      <c r="D39" s="2">
        <v>257</v>
      </c>
    </row>
    <row r="40" spans="1:4" x14ac:dyDescent="0.25">
      <c r="A40" s="2">
        <v>20205</v>
      </c>
      <c r="B40" s="1" t="s">
        <v>687</v>
      </c>
      <c r="C40" s="2">
        <v>83</v>
      </c>
      <c r="D40" s="2">
        <v>214</v>
      </c>
    </row>
    <row r="41" spans="1:4" x14ac:dyDescent="0.25">
      <c r="A41" s="2">
        <v>20206</v>
      </c>
      <c r="B41" s="1" t="s">
        <v>620</v>
      </c>
      <c r="C41" s="2">
        <v>193</v>
      </c>
      <c r="D41" s="2">
        <v>113</v>
      </c>
    </row>
    <row r="42" spans="1:4" x14ac:dyDescent="0.25">
      <c r="A42" s="2">
        <v>20301</v>
      </c>
      <c r="B42" s="1" t="s">
        <v>479</v>
      </c>
      <c r="C42" s="2">
        <v>1208</v>
      </c>
      <c r="D42" s="2">
        <v>684</v>
      </c>
    </row>
    <row r="43" spans="1:4" x14ac:dyDescent="0.25">
      <c r="A43" s="2">
        <v>20302</v>
      </c>
      <c r="B43" s="1" t="s">
        <v>571</v>
      </c>
      <c r="C43" s="2">
        <v>1362</v>
      </c>
      <c r="D43" s="2">
        <v>373</v>
      </c>
    </row>
    <row r="44" spans="1:4" x14ac:dyDescent="0.25">
      <c r="A44" s="2">
        <v>20303</v>
      </c>
      <c r="B44" s="1" t="s">
        <v>604</v>
      </c>
      <c r="C44" s="2">
        <v>1435</v>
      </c>
      <c r="D44" s="2">
        <v>719</v>
      </c>
    </row>
    <row r="45" spans="1:4" x14ac:dyDescent="0.25">
      <c r="A45" s="2">
        <v>20304</v>
      </c>
      <c r="B45" s="1" t="s">
        <v>615</v>
      </c>
      <c r="C45" s="2">
        <v>302</v>
      </c>
      <c r="D45" s="2">
        <v>109</v>
      </c>
    </row>
    <row r="46" spans="1:4" x14ac:dyDescent="0.25">
      <c r="A46" s="2">
        <v>20305</v>
      </c>
      <c r="B46" s="1" t="s">
        <v>779</v>
      </c>
      <c r="C46" s="2">
        <v>445</v>
      </c>
      <c r="D46" s="2">
        <v>476</v>
      </c>
    </row>
    <row r="47" spans="1:4" x14ac:dyDescent="0.25">
      <c r="A47" s="2">
        <v>20306</v>
      </c>
      <c r="B47" s="1" t="s">
        <v>761</v>
      </c>
      <c r="C47" s="2">
        <v>261</v>
      </c>
      <c r="D47" s="2">
        <v>152</v>
      </c>
    </row>
    <row r="48" spans="1:4" x14ac:dyDescent="0.25">
      <c r="A48" s="2">
        <v>20307</v>
      </c>
      <c r="B48" s="1" t="s">
        <v>570</v>
      </c>
      <c r="C48" s="2">
        <v>40</v>
      </c>
      <c r="D48" s="2">
        <v>95</v>
      </c>
    </row>
    <row r="49" spans="1:4" x14ac:dyDescent="0.25">
      <c r="A49" s="2">
        <v>20308</v>
      </c>
      <c r="B49" s="1" t="s">
        <v>599</v>
      </c>
      <c r="C49" s="2">
        <v>1802</v>
      </c>
      <c r="D49" s="2">
        <v>690</v>
      </c>
    </row>
    <row r="50" spans="1:4" x14ac:dyDescent="0.25">
      <c r="A50" s="2">
        <v>20401</v>
      </c>
      <c r="B50" s="1" t="s">
        <v>777</v>
      </c>
      <c r="C50" s="2">
        <v>1076</v>
      </c>
      <c r="D50" s="2">
        <v>800</v>
      </c>
    </row>
    <row r="51" spans="1:4" x14ac:dyDescent="0.25">
      <c r="A51" s="2">
        <v>20402</v>
      </c>
      <c r="B51" s="1" t="s">
        <v>505</v>
      </c>
      <c r="C51" s="2">
        <v>1008</v>
      </c>
      <c r="D51" s="2">
        <v>609</v>
      </c>
    </row>
    <row r="52" spans="1:4" x14ac:dyDescent="0.25">
      <c r="A52" s="2">
        <v>20403</v>
      </c>
      <c r="B52" s="1" t="s">
        <v>497</v>
      </c>
      <c r="C52" s="2">
        <v>1065</v>
      </c>
      <c r="D52" s="2">
        <v>610</v>
      </c>
    </row>
    <row r="53" spans="1:4" x14ac:dyDescent="0.25">
      <c r="A53" s="2">
        <v>20404</v>
      </c>
      <c r="B53" s="1" t="s">
        <v>696</v>
      </c>
      <c r="C53" s="2">
        <v>357</v>
      </c>
      <c r="D53" s="2">
        <v>274</v>
      </c>
    </row>
    <row r="54" spans="1:4" x14ac:dyDescent="0.25">
      <c r="A54" s="2">
        <v>20405</v>
      </c>
      <c r="B54" s="1" t="s">
        <v>778</v>
      </c>
      <c r="C54" s="2">
        <v>479</v>
      </c>
      <c r="D54" s="2">
        <v>465</v>
      </c>
    </row>
    <row r="55" spans="1:4" x14ac:dyDescent="0.25">
      <c r="A55" s="2">
        <v>20501</v>
      </c>
      <c r="B55" s="1" t="s">
        <v>638</v>
      </c>
      <c r="C55" s="2">
        <v>563</v>
      </c>
      <c r="D55" s="2">
        <v>325</v>
      </c>
    </row>
    <row r="56" spans="1:4" x14ac:dyDescent="0.25">
      <c r="A56" s="2">
        <v>20502</v>
      </c>
      <c r="B56" s="1" t="s">
        <v>759</v>
      </c>
      <c r="C56" s="2">
        <v>473</v>
      </c>
      <c r="D56" s="2">
        <v>253</v>
      </c>
    </row>
    <row r="57" spans="1:4" x14ac:dyDescent="0.25">
      <c r="A57" s="2">
        <v>20503</v>
      </c>
      <c r="B57" s="1" t="s">
        <v>632</v>
      </c>
      <c r="C57" s="2">
        <v>167</v>
      </c>
      <c r="D57" s="2">
        <v>202</v>
      </c>
    </row>
    <row r="58" spans="1:4" x14ac:dyDescent="0.25">
      <c r="A58" s="2">
        <v>20601</v>
      </c>
      <c r="B58" s="1" t="s">
        <v>636</v>
      </c>
      <c r="C58" s="2">
        <v>1697</v>
      </c>
      <c r="D58" s="2">
        <v>739</v>
      </c>
    </row>
    <row r="59" spans="1:4" x14ac:dyDescent="0.25">
      <c r="A59" s="2">
        <v>20602</v>
      </c>
      <c r="B59" s="1" t="s">
        <v>639</v>
      </c>
      <c r="C59" s="2">
        <v>1150</v>
      </c>
      <c r="D59" s="2">
        <v>723</v>
      </c>
    </row>
    <row r="60" spans="1:4" x14ac:dyDescent="0.25">
      <c r="A60" s="2">
        <v>20603</v>
      </c>
      <c r="B60" s="1" t="s">
        <v>651</v>
      </c>
      <c r="C60" s="2">
        <v>713</v>
      </c>
      <c r="D60" s="2">
        <v>427</v>
      </c>
    </row>
    <row r="61" spans="1:4" x14ac:dyDescent="0.25">
      <c r="A61" s="2">
        <v>20604</v>
      </c>
      <c r="B61" s="1" t="s">
        <v>631</v>
      </c>
      <c r="C61" s="2">
        <v>222</v>
      </c>
      <c r="D61" s="2">
        <v>107</v>
      </c>
    </row>
    <row r="62" spans="1:4" x14ac:dyDescent="0.25">
      <c r="A62" s="2">
        <v>20605</v>
      </c>
      <c r="B62" s="1" t="s">
        <v>566</v>
      </c>
      <c r="C62" s="2">
        <v>89</v>
      </c>
      <c r="D62" s="2">
        <v>90</v>
      </c>
    </row>
    <row r="63" spans="1:4" x14ac:dyDescent="0.25">
      <c r="A63" s="2">
        <v>20606</v>
      </c>
      <c r="B63" s="1" t="s">
        <v>634</v>
      </c>
      <c r="C63" s="2">
        <v>258</v>
      </c>
      <c r="D63" s="2">
        <v>117</v>
      </c>
    </row>
    <row r="64" spans="1:4" x14ac:dyDescent="0.25">
      <c r="A64" s="2">
        <v>20607</v>
      </c>
      <c r="B64" s="1" t="s">
        <v>641</v>
      </c>
      <c r="C64" s="2">
        <v>178</v>
      </c>
      <c r="D64" s="2">
        <v>170</v>
      </c>
    </row>
    <row r="65" spans="1:4" x14ac:dyDescent="0.25">
      <c r="A65" s="2">
        <v>20608</v>
      </c>
      <c r="B65" s="1" t="s">
        <v>640</v>
      </c>
      <c r="C65" s="2">
        <v>1363</v>
      </c>
      <c r="D65" s="2">
        <v>702</v>
      </c>
    </row>
    <row r="66" spans="1:4" x14ac:dyDescent="0.25">
      <c r="A66" s="2">
        <v>20701</v>
      </c>
      <c r="B66" s="1" t="s">
        <v>667</v>
      </c>
      <c r="C66" s="2">
        <v>1010</v>
      </c>
      <c r="D66" s="2">
        <v>551</v>
      </c>
    </row>
    <row r="67" spans="1:4" x14ac:dyDescent="0.25">
      <c r="A67" s="2">
        <v>20702</v>
      </c>
      <c r="B67" s="1" t="s">
        <v>665</v>
      </c>
      <c r="C67" s="2">
        <v>546</v>
      </c>
      <c r="D67" s="2">
        <v>125</v>
      </c>
    </row>
    <row r="68" spans="1:4" x14ac:dyDescent="0.25">
      <c r="A68" s="2">
        <v>20801</v>
      </c>
      <c r="B68" s="1" t="s">
        <v>617</v>
      </c>
      <c r="C68" s="2">
        <v>3146</v>
      </c>
      <c r="D68" s="2">
        <v>1883</v>
      </c>
    </row>
    <row r="69" spans="1:4" x14ac:dyDescent="0.25">
      <c r="A69" s="2">
        <v>20802</v>
      </c>
      <c r="B69" s="1" t="s">
        <v>630</v>
      </c>
      <c r="C69" s="2">
        <v>251</v>
      </c>
      <c r="D69" s="2">
        <v>128</v>
      </c>
    </row>
    <row r="70" spans="1:4" x14ac:dyDescent="0.25">
      <c r="A70" s="2">
        <v>20803</v>
      </c>
      <c r="B70" s="1" t="s">
        <v>530</v>
      </c>
      <c r="C70" s="2">
        <v>416</v>
      </c>
      <c r="D70" s="2">
        <v>381</v>
      </c>
    </row>
    <row r="71" spans="1:4" x14ac:dyDescent="0.25">
      <c r="A71" s="2">
        <v>20804</v>
      </c>
      <c r="B71" s="1" t="s">
        <v>628</v>
      </c>
      <c r="C71" s="2">
        <v>84</v>
      </c>
      <c r="D71" s="2">
        <v>36</v>
      </c>
    </row>
    <row r="72" spans="1:4" x14ac:dyDescent="0.25">
      <c r="A72" s="2">
        <v>20805</v>
      </c>
      <c r="B72" s="1" t="s">
        <v>782</v>
      </c>
      <c r="C72" s="2">
        <v>594</v>
      </c>
      <c r="D72" s="2">
        <v>238</v>
      </c>
    </row>
    <row r="73" spans="1:4" x14ac:dyDescent="0.25">
      <c r="A73" s="2">
        <v>20806</v>
      </c>
      <c r="B73" s="1" t="s">
        <v>629</v>
      </c>
      <c r="C73" s="2">
        <v>836</v>
      </c>
      <c r="D73" s="2">
        <v>419</v>
      </c>
    </row>
    <row r="74" spans="1:4" x14ac:dyDescent="0.25">
      <c r="A74" s="2">
        <v>20807</v>
      </c>
      <c r="B74" s="1" t="s">
        <v>781</v>
      </c>
      <c r="C74" s="2">
        <v>166</v>
      </c>
      <c r="D74" s="2">
        <v>144</v>
      </c>
    </row>
    <row r="75" spans="1:4" x14ac:dyDescent="0.25">
      <c r="A75" s="2">
        <v>20901</v>
      </c>
      <c r="B75" s="1" t="s">
        <v>575</v>
      </c>
      <c r="C75" s="2">
        <v>569</v>
      </c>
      <c r="D75" s="2">
        <v>223</v>
      </c>
    </row>
    <row r="76" spans="1:4" x14ac:dyDescent="0.25">
      <c r="A76" s="2">
        <v>20902</v>
      </c>
      <c r="B76" s="1" t="s">
        <v>481</v>
      </c>
      <c r="C76" s="2">
        <v>1159</v>
      </c>
      <c r="D76" s="2">
        <v>430</v>
      </c>
    </row>
    <row r="77" spans="1:4" x14ac:dyDescent="0.25">
      <c r="A77" s="2">
        <v>20903</v>
      </c>
      <c r="B77" s="1" t="s">
        <v>603</v>
      </c>
      <c r="C77" s="2">
        <v>351</v>
      </c>
      <c r="D77" s="2">
        <v>581</v>
      </c>
    </row>
    <row r="78" spans="1:4" x14ac:dyDescent="0.25">
      <c r="A78" s="2">
        <v>20904</v>
      </c>
      <c r="B78" s="1" t="s">
        <v>614</v>
      </c>
      <c r="C78" s="2">
        <v>134</v>
      </c>
      <c r="D78" s="2">
        <v>210</v>
      </c>
    </row>
    <row r="79" spans="1:4" x14ac:dyDescent="0.25">
      <c r="A79" s="2">
        <v>20905</v>
      </c>
      <c r="B79" s="1" t="s">
        <v>482</v>
      </c>
      <c r="C79" s="2">
        <v>358</v>
      </c>
      <c r="D79" s="2">
        <v>348</v>
      </c>
    </row>
    <row r="80" spans="1:4" x14ac:dyDescent="0.25">
      <c r="A80" s="2">
        <v>21001</v>
      </c>
      <c r="B80" s="1" t="s">
        <v>196</v>
      </c>
      <c r="C80" s="2">
        <v>1715</v>
      </c>
      <c r="D80" s="2">
        <v>1034</v>
      </c>
    </row>
    <row r="81" spans="1:4" x14ac:dyDescent="0.25">
      <c r="A81" s="2">
        <v>21002</v>
      </c>
      <c r="B81" s="1" t="s">
        <v>619</v>
      </c>
      <c r="C81" s="2">
        <v>409</v>
      </c>
      <c r="D81" s="2">
        <v>290</v>
      </c>
    </row>
    <row r="82" spans="1:4" x14ac:dyDescent="0.25">
      <c r="A82" s="2">
        <v>21003</v>
      </c>
      <c r="B82" s="1" t="s">
        <v>513</v>
      </c>
      <c r="C82" s="2">
        <v>247</v>
      </c>
      <c r="D82" s="2">
        <v>306</v>
      </c>
    </row>
    <row r="83" spans="1:4" x14ac:dyDescent="0.25">
      <c r="A83" s="2">
        <v>21004</v>
      </c>
      <c r="B83" s="1" t="s">
        <v>483</v>
      </c>
      <c r="C83" s="2">
        <v>720</v>
      </c>
      <c r="D83" s="2">
        <v>540</v>
      </c>
    </row>
    <row r="84" spans="1:4" x14ac:dyDescent="0.25">
      <c r="A84" s="2">
        <v>21005</v>
      </c>
      <c r="B84" s="1" t="s">
        <v>484</v>
      </c>
      <c r="C84" s="2">
        <v>573</v>
      </c>
      <c r="D84" s="2">
        <v>901</v>
      </c>
    </row>
    <row r="85" spans="1:4" x14ac:dyDescent="0.25">
      <c r="A85" s="2">
        <v>21006</v>
      </c>
      <c r="B85" s="1" t="s">
        <v>618</v>
      </c>
      <c r="C85" s="2">
        <v>191</v>
      </c>
      <c r="D85" s="2">
        <v>84</v>
      </c>
    </row>
    <row r="86" spans="1:4" x14ac:dyDescent="0.25">
      <c r="A86" s="2">
        <v>21101</v>
      </c>
      <c r="B86" s="1" t="s">
        <v>516</v>
      </c>
      <c r="C86" s="2">
        <v>538</v>
      </c>
      <c r="D86" s="2">
        <v>195</v>
      </c>
    </row>
    <row r="87" spans="1:4" x14ac:dyDescent="0.25">
      <c r="A87" s="2">
        <v>21102</v>
      </c>
      <c r="B87" s="1" t="s">
        <v>515</v>
      </c>
      <c r="C87" s="2">
        <v>1194</v>
      </c>
      <c r="D87" s="2">
        <v>552</v>
      </c>
    </row>
    <row r="88" spans="1:4" x14ac:dyDescent="0.25">
      <c r="A88" s="2">
        <v>21103</v>
      </c>
      <c r="B88" s="1" t="s">
        <v>626</v>
      </c>
      <c r="C88" s="2">
        <v>236</v>
      </c>
      <c r="D88" s="2">
        <v>95</v>
      </c>
    </row>
    <row r="89" spans="1:4" x14ac:dyDescent="0.25">
      <c r="A89" s="2">
        <v>21104</v>
      </c>
      <c r="B89" s="1" t="s">
        <v>666</v>
      </c>
      <c r="C89" s="2">
        <v>2449</v>
      </c>
      <c r="D89" s="2">
        <v>1599</v>
      </c>
    </row>
    <row r="90" spans="1:4" x14ac:dyDescent="0.25">
      <c r="A90" s="2">
        <v>21105</v>
      </c>
      <c r="B90" s="1" t="s">
        <v>637</v>
      </c>
      <c r="C90" s="2">
        <v>6396</v>
      </c>
      <c r="D90" s="2">
        <v>1767</v>
      </c>
    </row>
    <row r="91" spans="1:4" x14ac:dyDescent="0.25">
      <c r="A91" s="2">
        <v>21201</v>
      </c>
      <c r="B91" s="1" t="s">
        <v>564</v>
      </c>
      <c r="C91" s="2">
        <v>2422</v>
      </c>
      <c r="D91" s="2">
        <v>1891</v>
      </c>
    </row>
    <row r="92" spans="1:4" x14ac:dyDescent="0.25">
      <c r="A92" s="2">
        <v>21202</v>
      </c>
      <c r="B92" s="1" t="s">
        <v>621</v>
      </c>
      <c r="C92" s="2">
        <v>1403</v>
      </c>
      <c r="D92" s="2">
        <v>910</v>
      </c>
    </row>
    <row r="93" spans="1:4" x14ac:dyDescent="0.25">
      <c r="A93" s="2">
        <v>21203</v>
      </c>
      <c r="B93" s="1" t="s">
        <v>698</v>
      </c>
      <c r="C93" s="2">
        <v>981</v>
      </c>
      <c r="D93" s="2">
        <v>681</v>
      </c>
    </row>
    <row r="94" spans="1:4" x14ac:dyDescent="0.25">
      <c r="A94" s="2">
        <v>21204</v>
      </c>
      <c r="B94" s="1" t="s">
        <v>688</v>
      </c>
      <c r="C94" s="2">
        <v>210</v>
      </c>
      <c r="D94" s="2">
        <v>215</v>
      </c>
    </row>
    <row r="95" spans="1:4" x14ac:dyDescent="0.25">
      <c r="A95" s="2">
        <v>21301</v>
      </c>
      <c r="B95" s="1" t="s">
        <v>607</v>
      </c>
      <c r="C95" s="2">
        <v>1950</v>
      </c>
      <c r="D95" s="2">
        <v>1335</v>
      </c>
    </row>
    <row r="96" spans="1:4" x14ac:dyDescent="0.25">
      <c r="A96" s="2">
        <v>21302</v>
      </c>
      <c r="B96" s="1" t="s">
        <v>471</v>
      </c>
      <c r="C96" s="2">
        <v>812</v>
      </c>
      <c r="D96" s="2">
        <v>353</v>
      </c>
    </row>
    <row r="97" spans="1:4" x14ac:dyDescent="0.25">
      <c r="A97" s="2">
        <v>21303</v>
      </c>
      <c r="B97" s="1" t="s">
        <v>633</v>
      </c>
      <c r="C97" s="2">
        <v>845</v>
      </c>
      <c r="D97" s="2">
        <v>856</v>
      </c>
    </row>
    <row r="98" spans="1:4" x14ac:dyDescent="0.25">
      <c r="A98" s="2">
        <v>21304</v>
      </c>
      <c r="B98" s="1" t="s">
        <v>616</v>
      </c>
      <c r="C98" s="2">
        <v>666</v>
      </c>
      <c r="D98" s="2">
        <v>375</v>
      </c>
    </row>
    <row r="99" spans="1:4" x14ac:dyDescent="0.25">
      <c r="A99" s="2">
        <v>21305</v>
      </c>
      <c r="B99" s="1" t="s">
        <v>608</v>
      </c>
      <c r="C99" s="2">
        <v>901</v>
      </c>
      <c r="D99" s="2">
        <v>630</v>
      </c>
    </row>
    <row r="100" spans="1:4" x14ac:dyDescent="0.25">
      <c r="A100" s="2">
        <v>21306</v>
      </c>
      <c r="B100" s="1" t="s">
        <v>609</v>
      </c>
      <c r="C100" s="2">
        <v>865</v>
      </c>
      <c r="D100" s="2">
        <v>563</v>
      </c>
    </row>
    <row r="101" spans="1:4" x14ac:dyDescent="0.25">
      <c r="A101" s="2">
        <v>21307</v>
      </c>
      <c r="B101" s="1" t="s">
        <v>594</v>
      </c>
      <c r="C101" s="2">
        <v>174</v>
      </c>
      <c r="D101" s="2">
        <v>98</v>
      </c>
    </row>
    <row r="102" spans="1:4" x14ac:dyDescent="0.25">
      <c r="A102" s="2">
        <v>21401</v>
      </c>
      <c r="B102" s="1" t="s">
        <v>567</v>
      </c>
      <c r="C102" s="2">
        <v>1031</v>
      </c>
      <c r="D102" s="2">
        <v>583</v>
      </c>
    </row>
    <row r="103" spans="1:4" x14ac:dyDescent="0.25">
      <c r="A103" s="2">
        <v>21402</v>
      </c>
      <c r="B103" s="1" t="s">
        <v>568</v>
      </c>
      <c r="C103" s="2">
        <v>283</v>
      </c>
      <c r="D103" s="2">
        <v>153</v>
      </c>
    </row>
    <row r="104" spans="1:4" x14ac:dyDescent="0.25">
      <c r="A104" s="2">
        <v>21501</v>
      </c>
      <c r="B104" s="1" t="s">
        <v>758</v>
      </c>
      <c r="C104" s="2">
        <v>402</v>
      </c>
      <c r="D104" s="2">
        <v>282</v>
      </c>
    </row>
    <row r="105" spans="1:4" x14ac:dyDescent="0.25">
      <c r="A105" s="2">
        <v>21502</v>
      </c>
      <c r="B105" s="1" t="s">
        <v>669</v>
      </c>
      <c r="C105" s="2">
        <v>180</v>
      </c>
      <c r="D105" s="2">
        <v>116</v>
      </c>
    </row>
    <row r="106" spans="1:4" x14ac:dyDescent="0.25">
      <c r="A106" s="2">
        <v>21601</v>
      </c>
      <c r="B106" s="1" t="s">
        <v>642</v>
      </c>
      <c r="C106" s="2">
        <v>676</v>
      </c>
      <c r="D106" s="2">
        <v>315</v>
      </c>
    </row>
    <row r="107" spans="1:4" x14ac:dyDescent="0.25">
      <c r="A107" s="2">
        <v>21602</v>
      </c>
      <c r="B107" s="1" t="s">
        <v>664</v>
      </c>
      <c r="C107" s="2">
        <v>196</v>
      </c>
      <c r="D107" s="2">
        <v>177</v>
      </c>
    </row>
    <row r="108" spans="1:4" x14ac:dyDescent="0.25">
      <c r="A108" s="2">
        <v>21701</v>
      </c>
      <c r="B108" s="1" t="s">
        <v>644</v>
      </c>
      <c r="C108" s="2">
        <v>391</v>
      </c>
      <c r="D108" s="2">
        <v>490</v>
      </c>
    </row>
    <row r="109" spans="1:4" x14ac:dyDescent="0.25">
      <c r="A109" s="2">
        <v>21702</v>
      </c>
      <c r="B109" s="1" t="s">
        <v>655</v>
      </c>
      <c r="C109" s="2">
        <v>477</v>
      </c>
      <c r="D109" s="2">
        <v>228</v>
      </c>
    </row>
    <row r="110" spans="1:4" x14ac:dyDescent="0.25">
      <c r="A110" s="2">
        <v>21703</v>
      </c>
      <c r="B110" s="1" t="s">
        <v>563</v>
      </c>
      <c r="C110" s="2">
        <v>306</v>
      </c>
      <c r="D110" s="2">
        <v>142</v>
      </c>
    </row>
    <row r="111" spans="1:4" x14ac:dyDescent="0.25">
      <c r="A111" s="2">
        <v>21801</v>
      </c>
      <c r="B111" s="1" t="s">
        <v>474</v>
      </c>
      <c r="C111" s="2">
        <v>1162</v>
      </c>
      <c r="D111" s="2">
        <v>354</v>
      </c>
    </row>
    <row r="112" spans="1:4" x14ac:dyDescent="0.25">
      <c r="A112" s="2">
        <v>21802</v>
      </c>
      <c r="B112" s="1" t="s">
        <v>470</v>
      </c>
      <c r="C112" s="2">
        <v>546</v>
      </c>
      <c r="D112" s="2">
        <v>240</v>
      </c>
    </row>
    <row r="113" spans="1:4" x14ac:dyDescent="0.25">
      <c r="A113" s="2">
        <v>21803</v>
      </c>
      <c r="B113" s="1" t="s">
        <v>468</v>
      </c>
      <c r="C113" s="2">
        <v>298</v>
      </c>
      <c r="D113" s="2">
        <v>107</v>
      </c>
    </row>
    <row r="114" spans="1:4" x14ac:dyDescent="0.25">
      <c r="A114" s="2">
        <v>21901</v>
      </c>
      <c r="B114" s="1" t="s">
        <v>610</v>
      </c>
      <c r="C114" s="2">
        <v>254</v>
      </c>
      <c r="D114" s="2">
        <v>261</v>
      </c>
    </row>
    <row r="115" spans="1:4" x14ac:dyDescent="0.25">
      <c r="A115" s="2">
        <v>21902</v>
      </c>
      <c r="B115" s="1" t="s">
        <v>602</v>
      </c>
      <c r="C115" s="2">
        <v>133</v>
      </c>
      <c r="D115" s="2">
        <v>97</v>
      </c>
    </row>
    <row r="116" spans="1:4" x14ac:dyDescent="0.25">
      <c r="A116" s="2">
        <v>22001</v>
      </c>
      <c r="B116" s="1" t="s">
        <v>366</v>
      </c>
      <c r="C116" s="2">
        <v>2741</v>
      </c>
      <c r="D116" s="2">
        <v>1250</v>
      </c>
    </row>
    <row r="117" spans="1:4" x14ac:dyDescent="0.25">
      <c r="A117" s="2">
        <v>22002</v>
      </c>
      <c r="B117" s="1" t="s">
        <v>692</v>
      </c>
      <c r="C117" s="2">
        <v>1574</v>
      </c>
      <c r="D117" s="2">
        <v>691</v>
      </c>
    </row>
    <row r="118" spans="1:4" x14ac:dyDescent="0.25">
      <c r="A118" s="2">
        <v>30101</v>
      </c>
      <c r="B118" s="1" t="s">
        <v>3</v>
      </c>
      <c r="C118" s="2">
        <v>6236</v>
      </c>
      <c r="D118" s="2">
        <v>4032</v>
      </c>
    </row>
    <row r="119" spans="1:4" x14ac:dyDescent="0.25">
      <c r="A119" s="2">
        <v>30201</v>
      </c>
      <c r="B119" s="1" t="s">
        <v>459</v>
      </c>
      <c r="C119" s="2">
        <v>1387</v>
      </c>
      <c r="D119" s="2">
        <v>569</v>
      </c>
    </row>
    <row r="120" spans="1:4" x14ac:dyDescent="0.25">
      <c r="A120" s="2">
        <v>30202</v>
      </c>
      <c r="B120" s="1" t="s">
        <v>788</v>
      </c>
      <c r="C120" s="2">
        <v>392</v>
      </c>
      <c r="D120" s="2">
        <v>130</v>
      </c>
    </row>
    <row r="121" spans="1:4" x14ac:dyDescent="0.25">
      <c r="A121" s="2">
        <v>30203</v>
      </c>
      <c r="B121" s="1" t="s">
        <v>507</v>
      </c>
      <c r="C121" s="2">
        <v>191</v>
      </c>
      <c r="D121" s="2">
        <v>67</v>
      </c>
    </row>
    <row r="122" spans="1:4" x14ac:dyDescent="0.25">
      <c r="A122" s="2">
        <v>30301</v>
      </c>
      <c r="B122" s="1" t="s">
        <v>747</v>
      </c>
      <c r="C122" s="2">
        <v>2151</v>
      </c>
      <c r="D122" s="2">
        <v>1032</v>
      </c>
    </row>
    <row r="123" spans="1:4" x14ac:dyDescent="0.25">
      <c r="A123" s="2">
        <v>30302</v>
      </c>
      <c r="B123" s="1" t="s">
        <v>560</v>
      </c>
      <c r="C123" s="2">
        <v>1224</v>
      </c>
      <c r="D123" s="2">
        <v>550</v>
      </c>
    </row>
    <row r="124" spans="1:4" x14ac:dyDescent="0.25">
      <c r="A124" s="2">
        <v>30303</v>
      </c>
      <c r="B124" s="1" t="s">
        <v>707</v>
      </c>
      <c r="C124" s="2">
        <v>1504</v>
      </c>
      <c r="D124" s="2">
        <v>1664</v>
      </c>
    </row>
    <row r="125" spans="1:4" x14ac:dyDescent="0.25">
      <c r="A125" s="2">
        <v>30401</v>
      </c>
      <c r="B125" s="1" t="s">
        <v>540</v>
      </c>
      <c r="C125" s="2">
        <v>449</v>
      </c>
      <c r="D125" s="2">
        <v>496</v>
      </c>
    </row>
    <row r="126" spans="1:4" x14ac:dyDescent="0.25">
      <c r="A126" s="2">
        <v>30402</v>
      </c>
      <c r="B126" s="1" t="s">
        <v>580</v>
      </c>
      <c r="C126" s="2">
        <v>741</v>
      </c>
      <c r="D126" s="2">
        <v>448</v>
      </c>
    </row>
    <row r="127" spans="1:4" x14ac:dyDescent="0.25">
      <c r="A127" s="2">
        <v>30403</v>
      </c>
      <c r="B127" s="1" t="s">
        <v>469</v>
      </c>
      <c r="C127" s="2">
        <v>1026</v>
      </c>
      <c r="D127" s="2">
        <v>2606</v>
      </c>
    </row>
    <row r="128" spans="1:4" x14ac:dyDescent="0.25">
      <c r="A128" s="2">
        <v>30404</v>
      </c>
      <c r="B128" s="1" t="s">
        <v>579</v>
      </c>
      <c r="C128" s="2">
        <v>371</v>
      </c>
      <c r="D128" s="2">
        <v>331</v>
      </c>
    </row>
    <row r="129" spans="1:4" x14ac:dyDescent="0.25">
      <c r="A129" s="2">
        <v>30501</v>
      </c>
      <c r="B129" s="1" t="s">
        <v>299</v>
      </c>
      <c r="C129" s="2">
        <v>234</v>
      </c>
      <c r="D129" s="2">
        <v>147</v>
      </c>
    </row>
    <row r="130" spans="1:4" x14ac:dyDescent="0.25">
      <c r="A130" s="2">
        <v>30502</v>
      </c>
      <c r="B130" s="1" t="s">
        <v>728</v>
      </c>
      <c r="C130" s="2">
        <v>491</v>
      </c>
      <c r="D130" s="2">
        <v>254</v>
      </c>
    </row>
    <row r="131" spans="1:4" x14ac:dyDescent="0.25">
      <c r="A131" s="2">
        <v>30601</v>
      </c>
      <c r="B131" s="1" t="s">
        <v>192</v>
      </c>
      <c r="C131" s="2">
        <v>935</v>
      </c>
      <c r="D131" s="2">
        <v>523</v>
      </c>
    </row>
    <row r="132" spans="1:4" x14ac:dyDescent="0.25">
      <c r="A132" s="2">
        <v>30602</v>
      </c>
      <c r="B132" s="1" t="s">
        <v>587</v>
      </c>
      <c r="C132" s="2">
        <v>360</v>
      </c>
      <c r="D132" s="2">
        <v>326</v>
      </c>
    </row>
    <row r="133" spans="1:4" x14ac:dyDescent="0.25">
      <c r="A133" s="2">
        <v>30701</v>
      </c>
      <c r="B133" s="1" t="s">
        <v>189</v>
      </c>
      <c r="C133" s="2">
        <v>980</v>
      </c>
      <c r="D133" s="2">
        <v>627</v>
      </c>
    </row>
    <row r="134" spans="1:4" x14ac:dyDescent="0.25">
      <c r="A134" s="2">
        <v>30702</v>
      </c>
      <c r="B134" s="1" t="s">
        <v>591</v>
      </c>
      <c r="C134" s="2">
        <v>345</v>
      </c>
      <c r="D134" s="2">
        <v>139</v>
      </c>
    </row>
    <row r="135" spans="1:4" x14ac:dyDescent="0.25">
      <c r="A135" s="2">
        <v>30703</v>
      </c>
      <c r="B135" s="1" t="s">
        <v>475</v>
      </c>
      <c r="C135" s="2">
        <v>257</v>
      </c>
      <c r="D135" s="2">
        <v>68</v>
      </c>
    </row>
    <row r="136" spans="1:4" x14ac:dyDescent="0.25">
      <c r="A136" s="2">
        <v>30801</v>
      </c>
      <c r="B136" s="1" t="s">
        <v>586</v>
      </c>
      <c r="C136" s="2">
        <v>22</v>
      </c>
      <c r="D136" s="2">
        <v>22</v>
      </c>
    </row>
    <row r="137" spans="1:4" x14ac:dyDescent="0.25">
      <c r="A137" s="2">
        <v>30802</v>
      </c>
      <c r="B137" s="1" t="s">
        <v>581</v>
      </c>
      <c r="C137" s="2">
        <v>88</v>
      </c>
      <c r="D137" s="2">
        <v>100</v>
      </c>
    </row>
    <row r="138" spans="1:4" x14ac:dyDescent="0.25">
      <c r="A138" s="2">
        <v>30803</v>
      </c>
      <c r="B138" s="1" t="s">
        <v>596</v>
      </c>
      <c r="C138" s="2">
        <v>40</v>
      </c>
      <c r="D138" s="2">
        <v>411</v>
      </c>
    </row>
    <row r="139" spans="1:4" x14ac:dyDescent="0.25">
      <c r="A139" s="2">
        <v>30901</v>
      </c>
      <c r="B139" s="1" t="s">
        <v>239</v>
      </c>
      <c r="C139" s="2">
        <v>786</v>
      </c>
      <c r="D139" s="2">
        <v>575</v>
      </c>
    </row>
    <row r="140" spans="1:4" x14ac:dyDescent="0.25">
      <c r="A140" s="2">
        <v>30902</v>
      </c>
      <c r="B140" s="1" t="s">
        <v>538</v>
      </c>
      <c r="C140" s="2">
        <v>1058</v>
      </c>
      <c r="D140" s="2">
        <v>492</v>
      </c>
    </row>
    <row r="141" spans="1:4" x14ac:dyDescent="0.25">
      <c r="A141" s="2">
        <v>30903</v>
      </c>
      <c r="B141" s="1" t="s">
        <v>536</v>
      </c>
      <c r="C141" s="2">
        <v>551</v>
      </c>
      <c r="D141" s="2">
        <v>189</v>
      </c>
    </row>
    <row r="142" spans="1:4" x14ac:dyDescent="0.25">
      <c r="A142" s="2">
        <v>30904</v>
      </c>
      <c r="B142" s="1" t="s">
        <v>539</v>
      </c>
      <c r="C142" s="2">
        <v>611</v>
      </c>
      <c r="D142" s="2">
        <v>151</v>
      </c>
    </row>
    <row r="143" spans="1:4" x14ac:dyDescent="0.25">
      <c r="A143" s="2">
        <v>30905</v>
      </c>
      <c r="B143" s="1" t="s">
        <v>537</v>
      </c>
      <c r="C143" s="2">
        <v>28</v>
      </c>
      <c r="D143" s="2">
        <v>43</v>
      </c>
    </row>
    <row r="144" spans="1:4" x14ac:dyDescent="0.25">
      <c r="A144" s="2">
        <v>31001</v>
      </c>
      <c r="B144" s="1" t="s">
        <v>535</v>
      </c>
      <c r="C144" s="2">
        <v>2451</v>
      </c>
      <c r="D144" s="2">
        <v>2068</v>
      </c>
    </row>
    <row r="145" spans="1:4" x14ac:dyDescent="0.25">
      <c r="A145" s="2">
        <v>31002</v>
      </c>
      <c r="B145" s="1" t="s">
        <v>755</v>
      </c>
      <c r="C145" s="2">
        <v>1255</v>
      </c>
      <c r="D145" s="2">
        <v>926</v>
      </c>
    </row>
    <row r="146" spans="1:4" x14ac:dyDescent="0.25">
      <c r="A146" s="2">
        <v>31003</v>
      </c>
      <c r="B146" s="1" t="s">
        <v>721</v>
      </c>
      <c r="C146" s="2">
        <v>7639</v>
      </c>
      <c r="D146" s="2">
        <v>6640</v>
      </c>
    </row>
    <row r="147" spans="1:4" x14ac:dyDescent="0.25">
      <c r="A147" s="2">
        <v>31101</v>
      </c>
      <c r="B147" s="1" t="s">
        <v>314</v>
      </c>
      <c r="C147" s="2">
        <v>3053</v>
      </c>
      <c r="D147" s="2">
        <v>1608</v>
      </c>
    </row>
    <row r="148" spans="1:4" x14ac:dyDescent="0.25">
      <c r="A148" s="2">
        <v>31201</v>
      </c>
      <c r="B148" s="1" t="s">
        <v>518</v>
      </c>
      <c r="C148" s="2">
        <v>1701</v>
      </c>
      <c r="D148" s="2">
        <v>608</v>
      </c>
    </row>
    <row r="149" spans="1:4" x14ac:dyDescent="0.25">
      <c r="A149" s="2">
        <v>31202</v>
      </c>
      <c r="B149" s="1" t="s">
        <v>752</v>
      </c>
      <c r="C149" s="2">
        <v>1169</v>
      </c>
      <c r="D149" s="2">
        <v>588</v>
      </c>
    </row>
    <row r="150" spans="1:4" x14ac:dyDescent="0.25">
      <c r="A150" s="2">
        <v>31203</v>
      </c>
      <c r="B150" s="1" t="s">
        <v>729</v>
      </c>
      <c r="C150" s="2">
        <v>539</v>
      </c>
      <c r="D150" s="2">
        <v>403</v>
      </c>
    </row>
    <row r="151" spans="1:4" x14ac:dyDescent="0.25">
      <c r="A151" s="2">
        <v>31204</v>
      </c>
      <c r="B151" s="1" t="s">
        <v>722</v>
      </c>
      <c r="C151" s="2">
        <v>1799</v>
      </c>
      <c r="D151" s="2">
        <v>1093</v>
      </c>
    </row>
    <row r="152" spans="1:4" x14ac:dyDescent="0.25">
      <c r="A152" s="2">
        <v>31205</v>
      </c>
      <c r="B152" s="1" t="s">
        <v>738</v>
      </c>
      <c r="C152" s="2">
        <v>4354</v>
      </c>
      <c r="D152" s="2">
        <v>3391</v>
      </c>
    </row>
    <row r="153" spans="1:4" x14ac:dyDescent="0.25">
      <c r="A153" s="2">
        <v>31206</v>
      </c>
      <c r="B153" s="1" t="s">
        <v>527</v>
      </c>
      <c r="C153" s="2">
        <v>3921</v>
      </c>
      <c r="D153" s="2">
        <v>2776</v>
      </c>
    </row>
    <row r="154" spans="1:4" x14ac:dyDescent="0.25">
      <c r="A154" s="2">
        <v>31301</v>
      </c>
      <c r="B154" s="1" t="s">
        <v>417</v>
      </c>
      <c r="C154" s="2">
        <v>1333</v>
      </c>
      <c r="D154" s="2">
        <v>506</v>
      </c>
    </row>
    <row r="155" spans="1:4" x14ac:dyDescent="0.25">
      <c r="A155" s="2">
        <v>31302</v>
      </c>
      <c r="B155" s="1" t="s">
        <v>757</v>
      </c>
      <c r="C155" s="2">
        <v>629</v>
      </c>
      <c r="D155" s="2">
        <v>451</v>
      </c>
    </row>
    <row r="156" spans="1:4" x14ac:dyDescent="0.25">
      <c r="A156" s="2">
        <v>31303</v>
      </c>
      <c r="B156" s="1" t="s">
        <v>756</v>
      </c>
      <c r="C156" s="2">
        <v>383</v>
      </c>
      <c r="D156" s="2">
        <v>216</v>
      </c>
    </row>
    <row r="157" spans="1:4" x14ac:dyDescent="0.25">
      <c r="A157" s="2">
        <v>31304</v>
      </c>
      <c r="B157" s="39" t="s">
        <v>794</v>
      </c>
      <c r="C157" s="2">
        <v>1249</v>
      </c>
      <c r="D157" s="2">
        <v>968</v>
      </c>
    </row>
    <row r="158" spans="1:4" x14ac:dyDescent="0.25">
      <c r="A158" s="2">
        <v>31401</v>
      </c>
      <c r="B158" s="1" t="s">
        <v>180</v>
      </c>
      <c r="C158" s="2">
        <v>118</v>
      </c>
      <c r="D158" s="2">
        <v>154</v>
      </c>
    </row>
    <row r="159" spans="1:4" x14ac:dyDescent="0.25">
      <c r="A159" s="2">
        <v>31402</v>
      </c>
      <c r="B159" s="1" t="s">
        <v>466</v>
      </c>
      <c r="C159" s="2">
        <v>121</v>
      </c>
      <c r="D159" s="2">
        <v>108</v>
      </c>
    </row>
    <row r="160" spans="1:4" x14ac:dyDescent="0.25">
      <c r="A160" s="2">
        <v>31403</v>
      </c>
      <c r="B160" s="1" t="s">
        <v>480</v>
      </c>
      <c r="C160" s="2">
        <v>150</v>
      </c>
      <c r="D160" s="2">
        <v>52</v>
      </c>
    </row>
    <row r="161" spans="1:4" x14ac:dyDescent="0.25">
      <c r="A161" s="2">
        <v>31404</v>
      </c>
      <c r="B161" s="1" t="s">
        <v>585</v>
      </c>
      <c r="C161" s="2">
        <v>27</v>
      </c>
      <c r="D161" s="2">
        <v>7</v>
      </c>
    </row>
    <row r="162" spans="1:4" x14ac:dyDescent="0.25">
      <c r="A162" s="2">
        <v>31405</v>
      </c>
      <c r="B162" s="1" t="s">
        <v>584</v>
      </c>
      <c r="C162" s="2">
        <v>138</v>
      </c>
      <c r="D162" s="2">
        <v>77</v>
      </c>
    </row>
    <row r="163" spans="1:4" x14ac:dyDescent="0.25">
      <c r="A163" s="2">
        <v>31501</v>
      </c>
      <c r="B163" s="1" t="s">
        <v>285</v>
      </c>
      <c r="C163" s="2">
        <v>307</v>
      </c>
      <c r="D163" s="2">
        <v>298</v>
      </c>
    </row>
    <row r="164" spans="1:4" x14ac:dyDescent="0.25">
      <c r="A164" s="2">
        <v>31601</v>
      </c>
      <c r="B164" s="1" t="s">
        <v>390</v>
      </c>
      <c r="C164" s="2">
        <v>863</v>
      </c>
      <c r="D164" s="2">
        <v>523</v>
      </c>
    </row>
    <row r="165" spans="1:4" x14ac:dyDescent="0.25">
      <c r="A165" s="2">
        <v>31602</v>
      </c>
      <c r="B165" s="1" t="s">
        <v>724</v>
      </c>
      <c r="C165" s="2">
        <v>1403</v>
      </c>
      <c r="D165" s="2">
        <v>824</v>
      </c>
    </row>
    <row r="166" spans="1:4" x14ac:dyDescent="0.25">
      <c r="A166" s="2">
        <v>40101</v>
      </c>
      <c r="B166" s="1" t="s">
        <v>1</v>
      </c>
      <c r="C166" s="2">
        <v>2150</v>
      </c>
      <c r="D166" s="2">
        <v>984</v>
      </c>
    </row>
    <row r="167" spans="1:4" x14ac:dyDescent="0.25">
      <c r="A167" s="2">
        <v>40102</v>
      </c>
      <c r="B167" s="1" t="s">
        <v>601</v>
      </c>
      <c r="C167" s="2">
        <v>1401</v>
      </c>
      <c r="D167" s="2">
        <v>583</v>
      </c>
    </row>
    <row r="168" spans="1:4" x14ac:dyDescent="0.25">
      <c r="A168" s="2">
        <v>40103</v>
      </c>
      <c r="B168" s="1" t="s">
        <v>588</v>
      </c>
      <c r="C168" s="2">
        <v>2534</v>
      </c>
      <c r="D168" s="2">
        <v>1559</v>
      </c>
    </row>
    <row r="169" spans="1:4" x14ac:dyDescent="0.25">
      <c r="A169" s="2">
        <v>40104</v>
      </c>
      <c r="B169" s="1" t="s">
        <v>593</v>
      </c>
      <c r="C169" s="2">
        <v>412</v>
      </c>
      <c r="D169" s="2">
        <v>345</v>
      </c>
    </row>
    <row r="170" spans="1:4" x14ac:dyDescent="0.25">
      <c r="A170" s="2">
        <v>40201</v>
      </c>
      <c r="B170" s="1" t="s">
        <v>784</v>
      </c>
      <c r="C170" s="2">
        <v>1815</v>
      </c>
      <c r="D170" s="2">
        <v>1152</v>
      </c>
    </row>
    <row r="171" spans="1:4" x14ac:dyDescent="0.25">
      <c r="A171" s="2">
        <v>40202</v>
      </c>
      <c r="B171" s="1" t="s">
        <v>455</v>
      </c>
      <c r="C171" s="2">
        <v>373</v>
      </c>
      <c r="D171" s="2">
        <v>492</v>
      </c>
    </row>
    <row r="172" spans="1:4" x14ac:dyDescent="0.25">
      <c r="A172" s="2">
        <v>40301</v>
      </c>
      <c r="B172" s="1" t="s">
        <v>573</v>
      </c>
      <c r="C172" s="2">
        <v>1348</v>
      </c>
      <c r="D172" s="2">
        <v>891</v>
      </c>
    </row>
    <row r="173" spans="1:4" x14ac:dyDescent="0.25">
      <c r="A173" s="2">
        <v>40302</v>
      </c>
      <c r="B173" s="1" t="s">
        <v>763</v>
      </c>
      <c r="C173" s="2">
        <v>174</v>
      </c>
      <c r="D173" s="2">
        <v>101</v>
      </c>
    </row>
    <row r="174" spans="1:4" x14ac:dyDescent="0.25">
      <c r="A174" s="2">
        <v>40401</v>
      </c>
      <c r="B174" s="1" t="s">
        <v>762</v>
      </c>
      <c r="C174" s="2">
        <v>246</v>
      </c>
      <c r="D174" s="2">
        <v>121</v>
      </c>
    </row>
    <row r="175" spans="1:4" x14ac:dyDescent="0.25">
      <c r="A175" s="2">
        <v>40402</v>
      </c>
      <c r="B175" s="1" t="s">
        <v>520</v>
      </c>
      <c r="C175" s="2">
        <v>393</v>
      </c>
      <c r="D175" s="2">
        <v>390</v>
      </c>
    </row>
    <row r="176" spans="1:4" x14ac:dyDescent="0.25">
      <c r="A176" s="2">
        <v>40501</v>
      </c>
      <c r="B176" s="1" t="s">
        <v>463</v>
      </c>
      <c r="C176" s="2">
        <v>3</v>
      </c>
      <c r="D176" s="2">
        <v>9</v>
      </c>
    </row>
    <row r="177" spans="1:4" x14ac:dyDescent="0.25">
      <c r="A177" s="2">
        <v>40502</v>
      </c>
      <c r="B177" s="1" t="s">
        <v>764</v>
      </c>
      <c r="C177" s="2">
        <v>449</v>
      </c>
      <c r="D177" s="2">
        <v>140</v>
      </c>
    </row>
    <row r="178" spans="1:4" x14ac:dyDescent="0.25">
      <c r="A178" s="2">
        <v>40503</v>
      </c>
      <c r="B178" s="1" t="s">
        <v>565</v>
      </c>
      <c r="C178" s="2">
        <v>194</v>
      </c>
      <c r="D178" s="2">
        <v>20</v>
      </c>
    </row>
    <row r="179" spans="1:4" x14ac:dyDescent="0.25">
      <c r="A179" s="2">
        <v>40504</v>
      </c>
      <c r="B179" s="1" t="s">
        <v>562</v>
      </c>
      <c r="C179" s="2">
        <v>40</v>
      </c>
      <c r="D179" s="2">
        <v>3</v>
      </c>
    </row>
    <row r="180" spans="1:4" x14ac:dyDescent="0.25">
      <c r="A180" s="2">
        <v>40505</v>
      </c>
      <c r="B180" s="1" t="s">
        <v>454</v>
      </c>
      <c r="C180" s="2">
        <v>81</v>
      </c>
      <c r="D180" s="2">
        <v>47</v>
      </c>
    </row>
    <row r="181" spans="1:4" x14ac:dyDescent="0.25">
      <c r="A181" s="2">
        <v>40601</v>
      </c>
      <c r="B181" s="1" t="s">
        <v>179</v>
      </c>
      <c r="C181" s="2">
        <v>457</v>
      </c>
      <c r="D181" s="2">
        <v>315</v>
      </c>
    </row>
    <row r="182" spans="1:4" x14ac:dyDescent="0.25">
      <c r="A182" s="2">
        <v>40602</v>
      </c>
      <c r="B182" s="1" t="s">
        <v>465</v>
      </c>
      <c r="C182" s="2">
        <v>303</v>
      </c>
      <c r="D182" s="2">
        <v>123</v>
      </c>
    </row>
    <row r="183" spans="1:4" x14ac:dyDescent="0.25">
      <c r="A183" s="2">
        <v>40603</v>
      </c>
      <c r="B183" s="1" t="s">
        <v>569</v>
      </c>
      <c r="C183" s="2">
        <v>117</v>
      </c>
      <c r="D183" s="2">
        <v>55</v>
      </c>
    </row>
    <row r="184" spans="1:4" x14ac:dyDescent="0.25">
      <c r="A184" s="2">
        <v>40701</v>
      </c>
      <c r="B184" s="1" t="s">
        <v>462</v>
      </c>
      <c r="C184" s="2">
        <v>266</v>
      </c>
      <c r="D184" s="2">
        <v>76</v>
      </c>
    </row>
    <row r="185" spans="1:4" x14ac:dyDescent="0.25">
      <c r="A185" s="2">
        <v>40702</v>
      </c>
      <c r="B185" s="1" t="s">
        <v>577</v>
      </c>
      <c r="C185" s="2">
        <v>102</v>
      </c>
      <c r="D185" s="2">
        <v>55</v>
      </c>
    </row>
    <row r="186" spans="1:4" x14ac:dyDescent="0.25">
      <c r="A186" s="2">
        <v>40801</v>
      </c>
      <c r="B186" s="1" t="s">
        <v>768</v>
      </c>
      <c r="C186" s="2">
        <v>686</v>
      </c>
      <c r="D186" s="2">
        <v>397</v>
      </c>
    </row>
    <row r="187" spans="1:4" x14ac:dyDescent="0.25">
      <c r="A187" s="2">
        <v>40802</v>
      </c>
      <c r="B187" s="1" t="s">
        <v>456</v>
      </c>
      <c r="C187" s="2">
        <v>271</v>
      </c>
      <c r="D187" s="2">
        <v>152</v>
      </c>
    </row>
    <row r="188" spans="1:4" x14ac:dyDescent="0.25">
      <c r="A188" s="2">
        <v>40901</v>
      </c>
      <c r="B188" s="1" t="s">
        <v>210</v>
      </c>
      <c r="C188" s="2">
        <v>364</v>
      </c>
      <c r="D188" s="2">
        <v>194</v>
      </c>
    </row>
    <row r="189" spans="1:4" x14ac:dyDescent="0.25">
      <c r="A189" s="2">
        <v>40902</v>
      </c>
      <c r="B189" s="1" t="s">
        <v>765</v>
      </c>
      <c r="C189" s="2">
        <v>54</v>
      </c>
      <c r="D189" s="2">
        <v>13</v>
      </c>
    </row>
    <row r="190" spans="1:4" x14ac:dyDescent="0.25">
      <c r="A190" s="2">
        <v>40903</v>
      </c>
      <c r="B190" s="1" t="s">
        <v>766</v>
      </c>
      <c r="C190" s="2">
        <v>58</v>
      </c>
      <c r="D190" s="2">
        <v>326</v>
      </c>
    </row>
    <row r="191" spans="1:4" x14ac:dyDescent="0.25">
      <c r="A191" s="2">
        <v>41001</v>
      </c>
      <c r="B191" s="1" t="s">
        <v>589</v>
      </c>
      <c r="C191" s="2">
        <v>2368</v>
      </c>
      <c r="D191" s="2">
        <v>1108</v>
      </c>
    </row>
    <row r="192" spans="1:4" x14ac:dyDescent="0.25">
      <c r="A192" s="2">
        <v>41101</v>
      </c>
      <c r="B192" s="1" t="s">
        <v>598</v>
      </c>
      <c r="C192" s="2">
        <v>218</v>
      </c>
      <c r="D192" s="2">
        <v>97</v>
      </c>
    </row>
    <row r="193" spans="1:4" x14ac:dyDescent="0.25">
      <c r="A193" s="2">
        <v>41201</v>
      </c>
      <c r="B193" s="1" t="s">
        <v>467</v>
      </c>
      <c r="C193" s="2">
        <v>768</v>
      </c>
      <c r="D193" s="2">
        <v>449</v>
      </c>
    </row>
    <row r="194" spans="1:4" x14ac:dyDescent="0.25">
      <c r="A194" s="2">
        <v>41202</v>
      </c>
      <c r="B194" s="1" t="s">
        <v>572</v>
      </c>
      <c r="C194" s="2">
        <v>169</v>
      </c>
      <c r="D194" s="2">
        <v>211</v>
      </c>
    </row>
    <row r="195" spans="1:4" x14ac:dyDescent="0.25">
      <c r="A195" s="2">
        <v>41301</v>
      </c>
      <c r="B195" s="1" t="s">
        <v>518</v>
      </c>
      <c r="C195" s="2">
        <v>755</v>
      </c>
      <c r="D195" s="2">
        <v>732</v>
      </c>
    </row>
    <row r="196" spans="1:4" x14ac:dyDescent="0.25">
      <c r="A196" s="2">
        <v>41401</v>
      </c>
      <c r="B196" s="1" t="s">
        <v>464</v>
      </c>
      <c r="C196" s="2">
        <v>1133</v>
      </c>
      <c r="D196" s="2">
        <v>574</v>
      </c>
    </row>
    <row r="197" spans="1:4" x14ac:dyDescent="0.25">
      <c r="A197" s="2">
        <v>41501</v>
      </c>
      <c r="B197" s="1" t="s">
        <v>526</v>
      </c>
      <c r="C197" s="2">
        <v>60</v>
      </c>
      <c r="D197" s="2">
        <v>41</v>
      </c>
    </row>
    <row r="198" spans="1:4" x14ac:dyDescent="0.25">
      <c r="A198" s="2">
        <v>41502</v>
      </c>
      <c r="B198" s="1" t="s">
        <v>521</v>
      </c>
      <c r="C198" s="2">
        <v>86</v>
      </c>
      <c r="D198" s="2">
        <v>26</v>
      </c>
    </row>
    <row r="199" spans="1:4" x14ac:dyDescent="0.25">
      <c r="A199" s="2">
        <v>41503</v>
      </c>
      <c r="B199" s="1" t="s">
        <v>270</v>
      </c>
      <c r="C199" s="2">
        <v>103</v>
      </c>
      <c r="D199" s="2">
        <v>11</v>
      </c>
    </row>
    <row r="200" spans="1:4" x14ac:dyDescent="0.25">
      <c r="A200" s="2">
        <v>41601</v>
      </c>
      <c r="B200" s="1" t="s">
        <v>473</v>
      </c>
      <c r="C200" s="2">
        <v>1097</v>
      </c>
      <c r="D200" s="2">
        <v>632</v>
      </c>
    </row>
    <row r="201" spans="1:4" x14ac:dyDescent="0.25">
      <c r="A201" s="2">
        <v>50101</v>
      </c>
      <c r="B201" s="1" t="s">
        <v>2</v>
      </c>
      <c r="C201" s="2">
        <v>1117</v>
      </c>
      <c r="D201" s="2">
        <v>1118</v>
      </c>
    </row>
    <row r="202" spans="1:4" x14ac:dyDescent="0.25">
      <c r="A202" s="2">
        <v>50102</v>
      </c>
      <c r="B202" s="1" t="s">
        <v>493</v>
      </c>
      <c r="C202" s="2">
        <v>2087</v>
      </c>
      <c r="D202" s="2">
        <v>1094</v>
      </c>
    </row>
    <row r="203" spans="1:4" x14ac:dyDescent="0.25">
      <c r="A203" s="2">
        <v>50103</v>
      </c>
      <c r="B203" s="1" t="s">
        <v>503</v>
      </c>
      <c r="C203" s="2">
        <v>279</v>
      </c>
      <c r="D203" s="2">
        <v>173</v>
      </c>
    </row>
    <row r="204" spans="1:4" x14ac:dyDescent="0.25">
      <c r="A204" s="2">
        <v>50104</v>
      </c>
      <c r="B204" s="1" t="s">
        <v>504</v>
      </c>
      <c r="C204" s="2">
        <v>408</v>
      </c>
      <c r="D204" s="2">
        <v>329</v>
      </c>
    </row>
    <row r="205" spans="1:4" x14ac:dyDescent="0.25">
      <c r="A205" s="2">
        <v>50201</v>
      </c>
      <c r="B205" s="1" t="s">
        <v>785</v>
      </c>
      <c r="C205" s="2">
        <v>537</v>
      </c>
      <c r="D205" s="2">
        <v>588</v>
      </c>
    </row>
    <row r="206" spans="1:4" x14ac:dyDescent="0.25">
      <c r="A206" s="2">
        <v>50202</v>
      </c>
      <c r="B206" s="1" t="s">
        <v>237</v>
      </c>
      <c r="C206" s="2">
        <v>273</v>
      </c>
      <c r="D206" s="2">
        <v>166</v>
      </c>
    </row>
    <row r="207" spans="1:4" x14ac:dyDescent="0.25">
      <c r="A207" s="2">
        <v>50203</v>
      </c>
      <c r="B207" s="1" t="s">
        <v>457</v>
      </c>
      <c r="C207" s="2">
        <v>509</v>
      </c>
      <c r="D207" s="2">
        <v>429</v>
      </c>
    </row>
    <row r="208" spans="1:4" x14ac:dyDescent="0.25">
      <c r="A208" s="2">
        <v>50204</v>
      </c>
      <c r="B208" s="1" t="s">
        <v>689</v>
      </c>
      <c r="C208" s="2">
        <v>372</v>
      </c>
      <c r="D208" s="2">
        <v>213</v>
      </c>
    </row>
    <row r="209" spans="1:4" x14ac:dyDescent="0.25">
      <c r="A209" s="2">
        <v>50301</v>
      </c>
      <c r="B209" s="1" t="s">
        <v>519</v>
      </c>
      <c r="C209" s="2">
        <v>1958</v>
      </c>
      <c r="D209" s="2">
        <v>1085</v>
      </c>
    </row>
    <row r="210" spans="1:4" x14ac:dyDescent="0.25">
      <c r="A210" s="2">
        <v>50302</v>
      </c>
      <c r="B210" s="1" t="s">
        <v>646</v>
      </c>
      <c r="C210" s="2">
        <v>622</v>
      </c>
      <c r="D210" s="2">
        <v>362</v>
      </c>
    </row>
    <row r="211" spans="1:4" x14ac:dyDescent="0.25">
      <c r="A211" s="2">
        <v>50303</v>
      </c>
      <c r="B211" s="1" t="s">
        <v>783</v>
      </c>
      <c r="C211" s="2">
        <v>1863</v>
      </c>
      <c r="D211" s="2">
        <v>1197</v>
      </c>
    </row>
    <row r="212" spans="1:4" x14ac:dyDescent="0.25">
      <c r="A212" s="2">
        <v>50401</v>
      </c>
      <c r="B212" s="1" t="s">
        <v>531</v>
      </c>
      <c r="C212" s="2">
        <v>919</v>
      </c>
      <c r="D212" s="2">
        <v>930</v>
      </c>
    </row>
    <row r="213" spans="1:4" x14ac:dyDescent="0.25">
      <c r="A213" s="2">
        <v>50402</v>
      </c>
      <c r="B213" s="1" t="s">
        <v>786</v>
      </c>
      <c r="C213" s="2">
        <v>1664</v>
      </c>
      <c r="D213" s="2">
        <v>1037</v>
      </c>
    </row>
    <row r="214" spans="1:4" x14ac:dyDescent="0.25">
      <c r="A214" s="2">
        <v>50403</v>
      </c>
      <c r="B214" s="1" t="s">
        <v>532</v>
      </c>
      <c r="C214" s="2">
        <v>2044</v>
      </c>
      <c r="D214" s="2">
        <v>1464</v>
      </c>
    </row>
    <row r="215" spans="1:4" x14ac:dyDescent="0.25">
      <c r="A215" s="2">
        <v>50404</v>
      </c>
      <c r="B215" s="1" t="s">
        <v>663</v>
      </c>
      <c r="C215" s="2">
        <v>1480</v>
      </c>
      <c r="D215" s="2">
        <v>1093</v>
      </c>
    </row>
    <row r="216" spans="1:4" x14ac:dyDescent="0.25">
      <c r="A216" s="2">
        <v>50405</v>
      </c>
      <c r="B216" s="39" t="s">
        <v>795</v>
      </c>
      <c r="C216" s="2">
        <v>1242</v>
      </c>
      <c r="D216" s="2">
        <v>1058</v>
      </c>
    </row>
    <row r="217" spans="1:4" x14ac:dyDescent="0.25">
      <c r="A217" s="2">
        <v>50501</v>
      </c>
      <c r="B217" s="1" t="s">
        <v>494</v>
      </c>
      <c r="C217" s="2">
        <v>2967</v>
      </c>
      <c r="D217" s="2">
        <v>2897</v>
      </c>
    </row>
    <row r="218" spans="1:4" x14ac:dyDescent="0.25">
      <c r="A218" s="2">
        <v>50502</v>
      </c>
      <c r="B218" s="1" t="s">
        <v>553</v>
      </c>
      <c r="C218" s="2">
        <v>906</v>
      </c>
      <c r="D218" s="2">
        <v>782</v>
      </c>
    </row>
    <row r="219" spans="1:4" x14ac:dyDescent="0.25">
      <c r="A219" s="2">
        <v>50601</v>
      </c>
      <c r="B219" s="1" t="s">
        <v>789</v>
      </c>
      <c r="C219" s="2">
        <v>1796</v>
      </c>
      <c r="D219" s="2">
        <v>1463</v>
      </c>
    </row>
    <row r="220" spans="1:4" x14ac:dyDescent="0.25">
      <c r="A220" s="2">
        <v>50602</v>
      </c>
      <c r="B220" s="1" t="s">
        <v>574</v>
      </c>
      <c r="C220" s="2">
        <v>495</v>
      </c>
      <c r="D220" s="2">
        <v>466</v>
      </c>
    </row>
    <row r="221" spans="1:4" x14ac:dyDescent="0.25">
      <c r="A221" s="2">
        <v>50701</v>
      </c>
      <c r="B221" s="1" t="s">
        <v>460</v>
      </c>
      <c r="C221" s="2">
        <v>919</v>
      </c>
      <c r="D221" s="2">
        <v>450</v>
      </c>
    </row>
    <row r="222" spans="1:4" x14ac:dyDescent="0.25">
      <c r="A222" s="2">
        <v>50702</v>
      </c>
      <c r="B222" s="1" t="s">
        <v>458</v>
      </c>
      <c r="C222" s="2">
        <v>247</v>
      </c>
      <c r="D222" s="2">
        <v>264</v>
      </c>
    </row>
    <row r="223" spans="1:4" x14ac:dyDescent="0.25">
      <c r="A223" s="2">
        <v>50801</v>
      </c>
      <c r="B223" s="1" t="s">
        <v>769</v>
      </c>
      <c r="C223" s="2">
        <v>1151</v>
      </c>
      <c r="D223" s="2">
        <v>683</v>
      </c>
    </row>
    <row r="224" spans="1:4" x14ac:dyDescent="0.25">
      <c r="A224" s="2">
        <v>50802</v>
      </c>
      <c r="B224" s="1" t="s">
        <v>770</v>
      </c>
      <c r="C224" s="2">
        <v>176</v>
      </c>
      <c r="D224" s="2">
        <v>156</v>
      </c>
    </row>
    <row r="225" spans="1:4" x14ac:dyDescent="0.25">
      <c r="A225" s="2">
        <v>50901</v>
      </c>
      <c r="B225" s="1" t="s">
        <v>496</v>
      </c>
      <c r="C225" s="2">
        <v>393</v>
      </c>
      <c r="D225" s="2">
        <v>207</v>
      </c>
    </row>
    <row r="226" spans="1:4" x14ac:dyDescent="0.25">
      <c r="A226" s="2">
        <v>50902</v>
      </c>
      <c r="B226" s="1" t="s">
        <v>771</v>
      </c>
      <c r="C226" s="2">
        <v>88</v>
      </c>
      <c r="D226" s="2">
        <v>59</v>
      </c>
    </row>
    <row r="227" spans="1:4" x14ac:dyDescent="0.25">
      <c r="A227" s="2">
        <v>51001</v>
      </c>
      <c r="B227" s="1" t="s">
        <v>557</v>
      </c>
      <c r="C227" s="2">
        <v>138</v>
      </c>
      <c r="D227" s="2">
        <v>183</v>
      </c>
    </row>
    <row r="228" spans="1:4" x14ac:dyDescent="0.25">
      <c r="A228" s="2">
        <v>51002</v>
      </c>
      <c r="B228" s="1" t="s">
        <v>547</v>
      </c>
      <c r="C228" s="2">
        <v>162</v>
      </c>
      <c r="D228" s="2">
        <v>99</v>
      </c>
    </row>
    <row r="229" spans="1:4" x14ac:dyDescent="0.25">
      <c r="A229" s="2">
        <v>51003</v>
      </c>
      <c r="B229" s="1" t="s">
        <v>525</v>
      </c>
      <c r="C229" s="2">
        <v>156</v>
      </c>
      <c r="D229" s="2">
        <v>95</v>
      </c>
    </row>
    <row r="230" spans="1:4" x14ac:dyDescent="0.25">
      <c r="A230" s="2">
        <v>51101</v>
      </c>
      <c r="B230" s="1" t="s">
        <v>647</v>
      </c>
      <c r="C230" s="2">
        <v>1312</v>
      </c>
      <c r="D230" s="2">
        <v>509</v>
      </c>
    </row>
    <row r="231" spans="1:4" x14ac:dyDescent="0.25">
      <c r="A231" s="2">
        <v>51102</v>
      </c>
      <c r="B231" s="1" t="s">
        <v>643</v>
      </c>
      <c r="C231" s="2">
        <v>605</v>
      </c>
      <c r="D231" s="2">
        <v>548</v>
      </c>
    </row>
    <row r="232" spans="1:4" x14ac:dyDescent="0.25">
      <c r="A232" s="2">
        <v>51103</v>
      </c>
      <c r="B232" s="1" t="s">
        <v>648</v>
      </c>
      <c r="C232" s="2">
        <v>1416</v>
      </c>
      <c r="D232" s="2">
        <v>763</v>
      </c>
    </row>
    <row r="233" spans="1:4" x14ac:dyDescent="0.25">
      <c r="A233" s="2">
        <v>51201</v>
      </c>
      <c r="B233" s="1" t="s">
        <v>760</v>
      </c>
      <c r="C233" s="2">
        <v>1393</v>
      </c>
      <c r="D233" s="2">
        <v>814</v>
      </c>
    </row>
    <row r="234" spans="1:4" x14ac:dyDescent="0.25">
      <c r="A234" s="2">
        <v>51202</v>
      </c>
      <c r="B234" s="1" t="s">
        <v>452</v>
      </c>
      <c r="C234" s="2">
        <v>951</v>
      </c>
      <c r="D234" s="2">
        <v>441</v>
      </c>
    </row>
    <row r="235" spans="1:4" x14ac:dyDescent="0.25">
      <c r="A235" s="2">
        <v>51203</v>
      </c>
      <c r="B235" s="1" t="s">
        <v>501</v>
      </c>
      <c r="C235" s="2">
        <v>521</v>
      </c>
      <c r="D235" s="2">
        <v>201</v>
      </c>
    </row>
    <row r="236" spans="1:4" x14ac:dyDescent="0.25">
      <c r="A236" s="2">
        <v>51204</v>
      </c>
      <c r="B236" s="39" t="s">
        <v>796</v>
      </c>
      <c r="C236" s="2">
        <v>630</v>
      </c>
      <c r="D236" s="2">
        <v>412</v>
      </c>
    </row>
    <row r="237" spans="1:4" x14ac:dyDescent="0.25">
      <c r="A237" s="2">
        <v>51301</v>
      </c>
      <c r="B237" s="1" t="s">
        <v>578</v>
      </c>
      <c r="C237" s="2">
        <v>257</v>
      </c>
      <c r="D237" s="2">
        <v>117</v>
      </c>
    </row>
    <row r="238" spans="1:4" x14ac:dyDescent="0.25">
      <c r="A238" s="2">
        <v>51302</v>
      </c>
      <c r="B238" s="1" t="s">
        <v>461</v>
      </c>
      <c r="C238" s="2">
        <v>300</v>
      </c>
      <c r="D238" s="2">
        <v>160</v>
      </c>
    </row>
    <row r="239" spans="1:4" x14ac:dyDescent="0.25">
      <c r="A239" s="2">
        <v>51401</v>
      </c>
      <c r="B239" s="1" t="s">
        <v>533</v>
      </c>
      <c r="C239" s="2">
        <v>308</v>
      </c>
      <c r="D239" s="2">
        <v>35</v>
      </c>
    </row>
    <row r="240" spans="1:4" x14ac:dyDescent="0.25">
      <c r="A240" s="2">
        <v>51402</v>
      </c>
      <c r="B240" s="1" t="s">
        <v>556</v>
      </c>
      <c r="C240" s="2">
        <v>108</v>
      </c>
      <c r="D240" s="2">
        <v>87</v>
      </c>
    </row>
    <row r="241" spans="1:4" x14ac:dyDescent="0.25">
      <c r="A241" s="2">
        <v>51501</v>
      </c>
      <c r="B241" s="1" t="s">
        <v>791</v>
      </c>
      <c r="C241" s="2">
        <v>736</v>
      </c>
      <c r="D241" s="2">
        <v>444</v>
      </c>
    </row>
    <row r="242" spans="1:4" x14ac:dyDescent="0.25">
      <c r="A242" s="2">
        <v>51601</v>
      </c>
      <c r="B242" s="1" t="s">
        <v>554</v>
      </c>
      <c r="C242" s="2">
        <v>79</v>
      </c>
      <c r="D242" s="2">
        <v>22</v>
      </c>
    </row>
    <row r="243" spans="1:4" x14ac:dyDescent="0.25">
      <c r="A243" s="2">
        <v>60101</v>
      </c>
      <c r="B243" s="1" t="s">
        <v>29</v>
      </c>
      <c r="C243" s="2">
        <v>1314</v>
      </c>
      <c r="D243" s="2">
        <v>411</v>
      </c>
    </row>
    <row r="244" spans="1:4" x14ac:dyDescent="0.25">
      <c r="A244" s="2">
        <v>60201</v>
      </c>
      <c r="B244" s="1" t="s">
        <v>792</v>
      </c>
      <c r="C244" s="2">
        <v>363</v>
      </c>
      <c r="D244" s="2">
        <v>253</v>
      </c>
    </row>
    <row r="245" spans="1:4" x14ac:dyDescent="0.25">
      <c r="A245" s="2">
        <v>60202</v>
      </c>
      <c r="B245" s="1" t="s">
        <v>775</v>
      </c>
      <c r="C245" s="2">
        <v>226</v>
      </c>
      <c r="D245" s="2">
        <v>68</v>
      </c>
    </row>
    <row r="246" spans="1:4" x14ac:dyDescent="0.25">
      <c r="A246" s="2">
        <v>60301</v>
      </c>
      <c r="B246" s="1" t="s">
        <v>548</v>
      </c>
      <c r="C246" s="2">
        <v>410</v>
      </c>
      <c r="D246" s="2">
        <v>131</v>
      </c>
    </row>
    <row r="247" spans="1:4" x14ac:dyDescent="0.25">
      <c r="A247" s="2">
        <v>60302</v>
      </c>
      <c r="B247" s="1" t="s">
        <v>550</v>
      </c>
      <c r="C247" s="2">
        <v>126</v>
      </c>
      <c r="D247" s="2">
        <v>80</v>
      </c>
    </row>
    <row r="248" spans="1:4" x14ac:dyDescent="0.25">
      <c r="A248" s="2">
        <v>60303</v>
      </c>
      <c r="B248" s="1" t="s">
        <v>502</v>
      </c>
      <c r="C248" s="2">
        <v>265</v>
      </c>
      <c r="D248" s="2">
        <v>162</v>
      </c>
    </row>
    <row r="249" spans="1:4" x14ac:dyDescent="0.25">
      <c r="A249" s="2">
        <v>60401</v>
      </c>
      <c r="B249" s="1" t="s">
        <v>546</v>
      </c>
      <c r="C249" s="2">
        <v>318</v>
      </c>
      <c r="D249" s="2">
        <v>96</v>
      </c>
    </row>
    <row r="250" spans="1:4" x14ac:dyDescent="0.25">
      <c r="A250" s="2">
        <v>60402</v>
      </c>
      <c r="B250" s="1" t="s">
        <v>549</v>
      </c>
      <c r="C250" s="2">
        <v>126</v>
      </c>
      <c r="D250" s="2">
        <v>47</v>
      </c>
    </row>
    <row r="251" spans="1:4" x14ac:dyDescent="0.25">
      <c r="A251" s="2">
        <v>60501</v>
      </c>
      <c r="B251" s="1" t="s">
        <v>551</v>
      </c>
      <c r="C251" s="2">
        <v>577</v>
      </c>
      <c r="D251" s="2">
        <v>382</v>
      </c>
    </row>
    <row r="252" spans="1:4" x14ac:dyDescent="0.25">
      <c r="A252" s="2">
        <v>60502</v>
      </c>
      <c r="B252" s="1" t="s">
        <v>552</v>
      </c>
      <c r="C252" s="2">
        <v>203</v>
      </c>
      <c r="D252" s="2">
        <v>63</v>
      </c>
    </row>
    <row r="253" spans="1:4" x14ac:dyDescent="0.25">
      <c r="A253" s="2">
        <v>60601</v>
      </c>
      <c r="B253" s="1" t="s">
        <v>527</v>
      </c>
      <c r="C253" s="2">
        <v>455</v>
      </c>
      <c r="D253" s="2">
        <v>220</v>
      </c>
    </row>
    <row r="254" spans="1:4" x14ac:dyDescent="0.25">
      <c r="A254" s="2">
        <v>70101</v>
      </c>
      <c r="B254" s="1" t="s">
        <v>509</v>
      </c>
      <c r="C254" s="2">
        <v>451</v>
      </c>
      <c r="D254" s="2">
        <v>388</v>
      </c>
    </row>
    <row r="255" spans="1:4" x14ac:dyDescent="0.25">
      <c r="A255" s="2">
        <v>70102</v>
      </c>
      <c r="B255" s="1" t="s">
        <v>715</v>
      </c>
      <c r="C255" s="2">
        <v>168</v>
      </c>
      <c r="D255" s="2">
        <v>169</v>
      </c>
    </row>
    <row r="256" spans="1:4" x14ac:dyDescent="0.25">
      <c r="A256" s="2">
        <v>70103</v>
      </c>
      <c r="B256" s="1" t="s">
        <v>508</v>
      </c>
      <c r="C256" s="2">
        <v>283</v>
      </c>
      <c r="D256" s="2">
        <v>106</v>
      </c>
    </row>
    <row r="257" spans="1:4" x14ac:dyDescent="0.25">
      <c r="A257" s="2">
        <v>70104</v>
      </c>
      <c r="B257" s="1" t="s">
        <v>485</v>
      </c>
      <c r="C257" s="2">
        <v>134</v>
      </c>
      <c r="D257" s="2">
        <v>77</v>
      </c>
    </row>
    <row r="258" spans="1:4" x14ac:dyDescent="0.25">
      <c r="A258" s="2">
        <v>70105</v>
      </c>
      <c r="B258" s="1" t="s">
        <v>487</v>
      </c>
      <c r="C258" s="2">
        <v>878</v>
      </c>
      <c r="D258" s="2">
        <v>185</v>
      </c>
    </row>
    <row r="259" spans="1:4" x14ac:dyDescent="0.25">
      <c r="A259" s="2">
        <v>70201</v>
      </c>
      <c r="B259" s="1" t="s">
        <v>396</v>
      </c>
      <c r="C259" s="2">
        <v>181</v>
      </c>
      <c r="D259" s="2">
        <v>203</v>
      </c>
    </row>
    <row r="260" spans="1:4" x14ac:dyDescent="0.25">
      <c r="A260" s="2">
        <v>70202</v>
      </c>
      <c r="B260" s="1" t="s">
        <v>730</v>
      </c>
      <c r="C260" s="2">
        <v>34</v>
      </c>
      <c r="D260" s="2">
        <v>7</v>
      </c>
    </row>
    <row r="261" spans="1:4" x14ac:dyDescent="0.25">
      <c r="A261" s="2">
        <v>70301</v>
      </c>
      <c r="B261" s="1" t="s">
        <v>748</v>
      </c>
      <c r="C261" s="2">
        <v>264</v>
      </c>
      <c r="D261" s="2">
        <v>517</v>
      </c>
    </row>
    <row r="262" spans="1:4" x14ac:dyDescent="0.25">
      <c r="A262" s="2">
        <v>70302</v>
      </c>
      <c r="B262" s="1" t="s">
        <v>720</v>
      </c>
      <c r="C262" s="2">
        <v>231</v>
      </c>
      <c r="D262" s="2">
        <v>165</v>
      </c>
    </row>
    <row r="263" spans="1:4" x14ac:dyDescent="0.25">
      <c r="A263" s="2">
        <v>70303</v>
      </c>
      <c r="B263" s="1" t="s">
        <v>746</v>
      </c>
      <c r="C263" s="2">
        <v>97</v>
      </c>
      <c r="D263" s="2">
        <v>120</v>
      </c>
    </row>
    <row r="264" spans="1:4" x14ac:dyDescent="0.25">
      <c r="A264" s="2">
        <v>70401</v>
      </c>
      <c r="B264" s="1" t="s">
        <v>542</v>
      </c>
      <c r="C264" s="2">
        <v>208</v>
      </c>
      <c r="D264" s="2">
        <v>93</v>
      </c>
    </row>
    <row r="265" spans="1:4" x14ac:dyDescent="0.25">
      <c r="A265" s="2">
        <v>70402</v>
      </c>
      <c r="B265" s="1" t="s">
        <v>543</v>
      </c>
      <c r="C265" s="2">
        <v>382</v>
      </c>
      <c r="D265" s="2">
        <v>205</v>
      </c>
    </row>
    <row r="266" spans="1:4" x14ac:dyDescent="0.25">
      <c r="A266" s="2">
        <v>70403</v>
      </c>
      <c r="B266" s="1" t="s">
        <v>716</v>
      </c>
      <c r="C266" s="2">
        <v>4041</v>
      </c>
      <c r="D266" s="2">
        <v>2993</v>
      </c>
    </row>
    <row r="267" spans="1:4" x14ac:dyDescent="0.25">
      <c r="A267" s="2">
        <v>70404</v>
      </c>
      <c r="B267" s="1" t="s">
        <v>492</v>
      </c>
      <c r="C267" s="2">
        <v>213</v>
      </c>
      <c r="D267" s="2">
        <v>208</v>
      </c>
    </row>
    <row r="268" spans="1:4" x14ac:dyDescent="0.25">
      <c r="A268" s="2">
        <v>70501</v>
      </c>
      <c r="B268" s="1" t="s">
        <v>745</v>
      </c>
      <c r="C268" s="2">
        <v>54</v>
      </c>
      <c r="D268" s="2">
        <v>246</v>
      </c>
    </row>
    <row r="269" spans="1:4" x14ac:dyDescent="0.25">
      <c r="A269" s="2">
        <v>70502</v>
      </c>
      <c r="B269" s="1" t="s">
        <v>733</v>
      </c>
      <c r="C269" s="2">
        <v>117</v>
      </c>
      <c r="D269" s="2">
        <v>188</v>
      </c>
    </row>
    <row r="270" spans="1:4" x14ac:dyDescent="0.25">
      <c r="A270" s="2">
        <v>70503</v>
      </c>
      <c r="B270" s="1" t="s">
        <v>742</v>
      </c>
      <c r="C270" s="2">
        <v>201</v>
      </c>
      <c r="D270" s="2">
        <v>106</v>
      </c>
    </row>
    <row r="271" spans="1:4" x14ac:dyDescent="0.25">
      <c r="A271" s="2">
        <v>70601</v>
      </c>
      <c r="B271" s="1" t="s">
        <v>545</v>
      </c>
      <c r="C271" s="2">
        <v>96</v>
      </c>
      <c r="D271" s="2">
        <v>17</v>
      </c>
    </row>
    <row r="272" spans="1:4" x14ac:dyDescent="0.25">
      <c r="A272" s="2">
        <v>70602</v>
      </c>
      <c r="B272" s="1" t="s">
        <v>523</v>
      </c>
      <c r="C272" s="2">
        <v>767</v>
      </c>
      <c r="D272" s="2">
        <v>234</v>
      </c>
    </row>
    <row r="273" spans="1:4" x14ac:dyDescent="0.25">
      <c r="A273" s="2">
        <v>70603</v>
      </c>
      <c r="B273" s="1" t="s">
        <v>739</v>
      </c>
      <c r="C273" s="2">
        <v>39</v>
      </c>
      <c r="D273" s="2">
        <v>11</v>
      </c>
    </row>
    <row r="274" spans="1:4" x14ac:dyDescent="0.25">
      <c r="A274" s="2">
        <v>70701</v>
      </c>
      <c r="B274" s="1" t="s">
        <v>656</v>
      </c>
      <c r="C274" s="2">
        <v>98</v>
      </c>
      <c r="D274" s="2">
        <v>12</v>
      </c>
    </row>
    <row r="275" spans="1:4" x14ac:dyDescent="0.25">
      <c r="A275" s="2">
        <v>70702</v>
      </c>
      <c r="B275" s="1" t="s">
        <v>744</v>
      </c>
      <c r="C275" s="2">
        <v>246</v>
      </c>
      <c r="D275" s="2">
        <v>84</v>
      </c>
    </row>
    <row r="276" spans="1:4" x14ac:dyDescent="0.25">
      <c r="A276" s="2">
        <v>70703</v>
      </c>
      <c r="B276" s="1" t="s">
        <v>592</v>
      </c>
      <c r="C276" s="2">
        <v>329</v>
      </c>
      <c r="D276" s="2">
        <v>116</v>
      </c>
    </row>
    <row r="277" spans="1:4" x14ac:dyDescent="0.25">
      <c r="A277" s="2">
        <v>70704</v>
      </c>
      <c r="B277" s="1" t="s">
        <v>705</v>
      </c>
      <c r="C277" s="2">
        <v>162</v>
      </c>
      <c r="D277" s="2">
        <v>24</v>
      </c>
    </row>
    <row r="278" spans="1:4" x14ac:dyDescent="0.25">
      <c r="A278" s="2">
        <v>70705</v>
      </c>
      <c r="B278" s="1" t="s">
        <v>709</v>
      </c>
      <c r="C278" s="2">
        <v>400</v>
      </c>
      <c r="D278" s="2">
        <v>69</v>
      </c>
    </row>
    <row r="279" spans="1:4" x14ac:dyDescent="0.25">
      <c r="A279" s="2">
        <v>70706</v>
      </c>
      <c r="B279" s="1" t="s">
        <v>706</v>
      </c>
      <c r="C279" s="2">
        <v>115</v>
      </c>
      <c r="D279" s="2">
        <v>31</v>
      </c>
    </row>
    <row r="280" spans="1:4" x14ac:dyDescent="0.25">
      <c r="A280" s="2">
        <v>70707</v>
      </c>
      <c r="B280" s="1" t="s">
        <v>704</v>
      </c>
      <c r="C280" s="2">
        <v>91</v>
      </c>
      <c r="D280" s="2">
        <v>6</v>
      </c>
    </row>
    <row r="281" spans="1:4" x14ac:dyDescent="0.25">
      <c r="A281" s="2">
        <v>70801</v>
      </c>
      <c r="B281" s="1" t="s">
        <v>198</v>
      </c>
      <c r="C281" s="2">
        <v>545</v>
      </c>
      <c r="D281" s="2">
        <v>79</v>
      </c>
    </row>
    <row r="282" spans="1:4" x14ac:dyDescent="0.25">
      <c r="A282" s="2">
        <v>70802</v>
      </c>
      <c r="B282" s="1" t="s">
        <v>713</v>
      </c>
      <c r="C282" s="2">
        <v>33</v>
      </c>
      <c r="D282" s="2">
        <v>5</v>
      </c>
    </row>
    <row r="283" spans="1:4" x14ac:dyDescent="0.25">
      <c r="A283" s="2">
        <v>70803</v>
      </c>
      <c r="B283" s="1" t="s">
        <v>486</v>
      </c>
      <c r="C283" s="2">
        <v>143</v>
      </c>
      <c r="D283" s="2">
        <v>27</v>
      </c>
    </row>
    <row r="284" spans="1:4" x14ac:dyDescent="0.25">
      <c r="A284" s="2">
        <v>70804</v>
      </c>
      <c r="B284" s="1" t="s">
        <v>712</v>
      </c>
      <c r="C284" s="2">
        <v>196</v>
      </c>
      <c r="D284" s="2">
        <v>37</v>
      </c>
    </row>
    <row r="285" spans="1:4" x14ac:dyDescent="0.25">
      <c r="A285" s="2">
        <v>70805</v>
      </c>
      <c r="B285" s="1" t="s">
        <v>701</v>
      </c>
      <c r="C285" s="2">
        <v>142</v>
      </c>
      <c r="D285" s="2">
        <v>22</v>
      </c>
    </row>
    <row r="286" spans="1:4" x14ac:dyDescent="0.25">
      <c r="A286" s="2">
        <v>70901</v>
      </c>
      <c r="B286" s="1" t="s">
        <v>488</v>
      </c>
      <c r="C286" s="2">
        <v>403</v>
      </c>
      <c r="D286" s="2">
        <v>110</v>
      </c>
    </row>
    <row r="287" spans="1:4" x14ac:dyDescent="0.25">
      <c r="A287" s="2">
        <v>70902</v>
      </c>
      <c r="B287" s="1" t="s">
        <v>736</v>
      </c>
      <c r="C287" s="2">
        <v>224</v>
      </c>
      <c r="D287" s="2">
        <v>78</v>
      </c>
    </row>
    <row r="288" spans="1:4" x14ac:dyDescent="0.25">
      <c r="A288" s="2">
        <v>70903</v>
      </c>
      <c r="B288" s="1" t="s">
        <v>737</v>
      </c>
      <c r="C288" s="2">
        <v>196</v>
      </c>
      <c r="D288" s="2">
        <v>237</v>
      </c>
    </row>
    <row r="289" spans="1:4" x14ac:dyDescent="0.25">
      <c r="A289" s="2">
        <v>70904</v>
      </c>
      <c r="B289" s="1" t="s">
        <v>714</v>
      </c>
      <c r="C289" s="2">
        <v>81</v>
      </c>
      <c r="D289" s="2">
        <v>32</v>
      </c>
    </row>
    <row r="290" spans="1:4" x14ac:dyDescent="0.25">
      <c r="A290" s="2">
        <v>71001</v>
      </c>
      <c r="B290" s="1" t="s">
        <v>725</v>
      </c>
      <c r="C290" s="2">
        <v>495</v>
      </c>
      <c r="D290" s="2">
        <v>127</v>
      </c>
    </row>
    <row r="291" spans="1:4" x14ac:dyDescent="0.25">
      <c r="A291" s="2">
        <v>71002</v>
      </c>
      <c r="B291" s="1" t="s">
        <v>732</v>
      </c>
      <c r="C291" s="2">
        <v>92</v>
      </c>
      <c r="D291" s="2">
        <v>48</v>
      </c>
    </row>
    <row r="292" spans="1:4" x14ac:dyDescent="0.25">
      <c r="A292" s="2">
        <v>71003</v>
      </c>
      <c r="B292" s="1" t="s">
        <v>735</v>
      </c>
      <c r="C292" s="2">
        <v>97</v>
      </c>
      <c r="D292" s="2">
        <v>43</v>
      </c>
    </row>
    <row r="293" spans="1:4" x14ac:dyDescent="0.25">
      <c r="A293" s="2">
        <v>71004</v>
      </c>
      <c r="B293" s="1" t="s">
        <v>734</v>
      </c>
      <c r="C293" s="2">
        <v>48</v>
      </c>
      <c r="D293" s="2">
        <v>42</v>
      </c>
    </row>
    <row r="294" spans="1:4" x14ac:dyDescent="0.25">
      <c r="A294" s="2">
        <v>71005</v>
      </c>
      <c r="B294" s="1" t="s">
        <v>494</v>
      </c>
      <c r="C294" s="2">
        <v>46</v>
      </c>
      <c r="D294" s="2">
        <v>179</v>
      </c>
    </row>
    <row r="295" spans="1:4" x14ac:dyDescent="0.25">
      <c r="A295" s="2">
        <v>71101</v>
      </c>
      <c r="B295" s="1" t="s">
        <v>522</v>
      </c>
      <c r="C295" s="2">
        <v>629</v>
      </c>
      <c r="D295" s="2">
        <v>414</v>
      </c>
    </row>
    <row r="296" spans="1:4" x14ac:dyDescent="0.25">
      <c r="A296" s="2">
        <v>71102</v>
      </c>
      <c r="B296" s="1" t="s">
        <v>511</v>
      </c>
      <c r="C296" s="2">
        <v>337</v>
      </c>
      <c r="D296" s="2">
        <v>54</v>
      </c>
    </row>
    <row r="297" spans="1:4" x14ac:dyDescent="0.25">
      <c r="A297" s="2">
        <v>71103</v>
      </c>
      <c r="B297" s="1" t="s">
        <v>529</v>
      </c>
      <c r="C297" s="2">
        <v>523</v>
      </c>
      <c r="D297" s="2">
        <v>32</v>
      </c>
    </row>
    <row r="298" spans="1:4" x14ac:dyDescent="0.25">
      <c r="A298" s="2">
        <v>71104</v>
      </c>
      <c r="B298" s="1" t="s">
        <v>772</v>
      </c>
      <c r="C298" s="2">
        <v>43</v>
      </c>
      <c r="D298" s="2">
        <v>231</v>
      </c>
    </row>
    <row r="299" spans="1:4" x14ac:dyDescent="0.25">
      <c r="A299" s="2">
        <v>71105</v>
      </c>
      <c r="B299" s="1" t="s">
        <v>751</v>
      </c>
      <c r="C299" s="2">
        <v>109</v>
      </c>
      <c r="D299" s="2">
        <v>4</v>
      </c>
    </row>
    <row r="300" spans="1:4" x14ac:dyDescent="0.25">
      <c r="A300" s="2">
        <v>71106</v>
      </c>
      <c r="B300" s="1" t="s">
        <v>717</v>
      </c>
      <c r="C300" s="2">
        <v>48</v>
      </c>
      <c r="D300" s="2">
        <v>110</v>
      </c>
    </row>
    <row r="301" spans="1:4" x14ac:dyDescent="0.25">
      <c r="A301" s="2">
        <v>71201</v>
      </c>
      <c r="B301" s="1" t="s">
        <v>743</v>
      </c>
      <c r="C301" s="2">
        <v>205</v>
      </c>
      <c r="D301" s="2">
        <v>94</v>
      </c>
    </row>
    <row r="302" spans="1:4" x14ac:dyDescent="0.25">
      <c r="A302" s="2">
        <v>71301</v>
      </c>
      <c r="B302" s="1" t="s">
        <v>774</v>
      </c>
      <c r="C302" s="2">
        <v>602</v>
      </c>
      <c r="D302" s="2">
        <v>262</v>
      </c>
    </row>
    <row r="303" spans="1:4" x14ac:dyDescent="0.25">
      <c r="A303" s="2">
        <v>71302</v>
      </c>
      <c r="B303" s="1" t="s">
        <v>506</v>
      </c>
      <c r="C303" s="2">
        <v>120</v>
      </c>
      <c r="D303" s="2">
        <v>61</v>
      </c>
    </row>
    <row r="304" spans="1:4" x14ac:dyDescent="0.25">
      <c r="A304" s="2">
        <v>71401</v>
      </c>
      <c r="B304" s="1" t="s">
        <v>740</v>
      </c>
      <c r="C304" s="2">
        <v>234</v>
      </c>
      <c r="D304" s="2">
        <v>35</v>
      </c>
    </row>
    <row r="305" spans="1:4" x14ac:dyDescent="0.25">
      <c r="A305" s="2">
        <v>71402</v>
      </c>
      <c r="B305" s="1" t="s">
        <v>476</v>
      </c>
      <c r="C305" s="2">
        <v>12</v>
      </c>
      <c r="D305" s="2">
        <v>19</v>
      </c>
    </row>
    <row r="306" spans="1:4" x14ac:dyDescent="0.25">
      <c r="A306" s="2">
        <v>71403</v>
      </c>
      <c r="B306" s="1" t="s">
        <v>741</v>
      </c>
      <c r="C306" s="2">
        <v>154</v>
      </c>
      <c r="D306" s="2">
        <v>111</v>
      </c>
    </row>
    <row r="307" spans="1:4" x14ac:dyDescent="0.25">
      <c r="A307" s="2">
        <v>71501</v>
      </c>
      <c r="B307" s="1" t="s">
        <v>726</v>
      </c>
      <c r="C307" s="2">
        <v>623</v>
      </c>
      <c r="D307" s="2">
        <v>935</v>
      </c>
    </row>
    <row r="308" spans="1:4" x14ac:dyDescent="0.25">
      <c r="A308" s="2">
        <v>71502</v>
      </c>
      <c r="B308" s="1" t="s">
        <v>749</v>
      </c>
      <c r="C308" s="2">
        <v>141</v>
      </c>
      <c r="D308" s="2">
        <v>70</v>
      </c>
    </row>
    <row r="309" spans="1:4" x14ac:dyDescent="0.25">
      <c r="A309" s="2">
        <v>71503</v>
      </c>
      <c r="B309" s="1" t="s">
        <v>552</v>
      </c>
      <c r="C309" s="2">
        <v>972</v>
      </c>
      <c r="D309" s="2">
        <v>297</v>
      </c>
    </row>
    <row r="310" spans="1:4" x14ac:dyDescent="0.25">
      <c r="A310" s="2">
        <v>80101</v>
      </c>
      <c r="B310" s="1" t="s">
        <v>750</v>
      </c>
      <c r="C310" s="2">
        <v>917</v>
      </c>
      <c r="D310" s="2">
        <v>293</v>
      </c>
    </row>
    <row r="311" spans="1:4" x14ac:dyDescent="0.25">
      <c r="A311" s="2">
        <v>80102</v>
      </c>
      <c r="B311" s="1" t="s">
        <v>511</v>
      </c>
      <c r="C311" s="2">
        <v>73</v>
      </c>
      <c r="D311" s="2">
        <v>74</v>
      </c>
    </row>
    <row r="312" spans="1:4" x14ac:dyDescent="0.25">
      <c r="A312" s="2">
        <v>80201</v>
      </c>
      <c r="B312" s="1" t="s">
        <v>676</v>
      </c>
      <c r="C312" s="2">
        <v>1309</v>
      </c>
      <c r="D312" s="2">
        <v>1336</v>
      </c>
    </row>
    <row r="313" spans="1:4" x14ac:dyDescent="0.25">
      <c r="A313" s="2">
        <v>80202</v>
      </c>
      <c r="B313" s="1" t="s">
        <v>683</v>
      </c>
      <c r="C313" s="2">
        <v>289</v>
      </c>
      <c r="D313" s="2">
        <v>163</v>
      </c>
    </row>
    <row r="314" spans="1:4" x14ac:dyDescent="0.25">
      <c r="A314" s="2">
        <v>80301</v>
      </c>
      <c r="B314" s="1" t="s">
        <v>672</v>
      </c>
      <c r="C314" s="2">
        <v>303</v>
      </c>
      <c r="D314" s="2">
        <v>105</v>
      </c>
    </row>
    <row r="315" spans="1:4" x14ac:dyDescent="0.25">
      <c r="A315" s="2">
        <v>80302</v>
      </c>
      <c r="B315" s="1" t="s">
        <v>671</v>
      </c>
      <c r="C315" s="2">
        <v>2386</v>
      </c>
      <c r="D315" s="2">
        <v>1969</v>
      </c>
    </row>
    <row r="316" spans="1:4" x14ac:dyDescent="0.25">
      <c r="A316" s="2">
        <v>80303</v>
      </c>
      <c r="B316" s="1" t="s">
        <v>613</v>
      </c>
      <c r="C316" s="2">
        <v>47</v>
      </c>
      <c r="D316" s="2">
        <v>44</v>
      </c>
    </row>
    <row r="317" spans="1:4" x14ac:dyDescent="0.25">
      <c r="A317" s="2">
        <v>80304</v>
      </c>
      <c r="B317" s="1" t="s">
        <v>668</v>
      </c>
      <c r="C317" s="2">
        <v>581</v>
      </c>
      <c r="D317" s="2">
        <v>596</v>
      </c>
    </row>
    <row r="318" spans="1:4" x14ac:dyDescent="0.25">
      <c r="A318" s="2">
        <v>80401</v>
      </c>
      <c r="B318" s="1" t="s">
        <v>670</v>
      </c>
      <c r="C318" s="2">
        <v>182</v>
      </c>
      <c r="D318" s="2">
        <v>220</v>
      </c>
    </row>
    <row r="319" spans="1:4" x14ac:dyDescent="0.25">
      <c r="A319" s="2">
        <v>80402</v>
      </c>
      <c r="B319" s="1" t="s">
        <v>675</v>
      </c>
      <c r="C319" s="2">
        <v>67</v>
      </c>
      <c r="D319" s="2">
        <v>50</v>
      </c>
    </row>
    <row r="320" spans="1:4" x14ac:dyDescent="0.25">
      <c r="A320" s="2">
        <v>80501</v>
      </c>
      <c r="B320" s="1" t="s">
        <v>510</v>
      </c>
      <c r="C320" s="2">
        <v>554</v>
      </c>
      <c r="D320" s="2">
        <v>308</v>
      </c>
    </row>
    <row r="321" spans="1:4" x14ac:dyDescent="0.25">
      <c r="A321" s="2">
        <v>80601</v>
      </c>
      <c r="B321" s="1" t="s">
        <v>499</v>
      </c>
      <c r="C321" s="2">
        <v>85</v>
      </c>
      <c r="D321" s="2">
        <v>53</v>
      </c>
    </row>
    <row r="322" spans="1:4" x14ac:dyDescent="0.25">
      <c r="A322" s="2">
        <v>80602</v>
      </c>
      <c r="B322" s="1" t="s">
        <v>727</v>
      </c>
      <c r="C322" s="2">
        <v>337</v>
      </c>
      <c r="D322" s="2">
        <v>394</v>
      </c>
    </row>
    <row r="323" spans="1:4" x14ac:dyDescent="0.25">
      <c r="A323" s="2">
        <v>80701</v>
      </c>
      <c r="B323" s="1" t="s">
        <v>528</v>
      </c>
      <c r="C323" s="2">
        <v>38</v>
      </c>
      <c r="D323" s="2">
        <v>25</v>
      </c>
    </row>
    <row r="324" spans="1:4" x14ac:dyDescent="0.25">
      <c r="A324" s="2">
        <v>80702</v>
      </c>
      <c r="B324" s="1" t="s">
        <v>529</v>
      </c>
      <c r="C324" s="2">
        <v>40</v>
      </c>
      <c r="D324" s="2">
        <v>99</v>
      </c>
    </row>
    <row r="325" spans="1:4" x14ac:dyDescent="0.25">
      <c r="A325" s="2">
        <v>80703</v>
      </c>
      <c r="B325" s="1" t="s">
        <v>674</v>
      </c>
      <c r="C325" s="2">
        <v>12</v>
      </c>
      <c r="D325" s="2">
        <v>2</v>
      </c>
    </row>
    <row r="326" spans="1:4" x14ac:dyDescent="0.25">
      <c r="A326" s="2">
        <v>80801</v>
      </c>
      <c r="B326" s="1" t="s">
        <v>544</v>
      </c>
      <c r="C326" s="2">
        <v>104</v>
      </c>
      <c r="D326" s="2">
        <v>50</v>
      </c>
    </row>
    <row r="327" spans="1:4" x14ac:dyDescent="0.25">
      <c r="A327" s="2">
        <v>80802</v>
      </c>
      <c r="B327" s="1" t="s">
        <v>595</v>
      </c>
      <c r="C327" s="2">
        <v>127</v>
      </c>
      <c r="D327" s="2">
        <v>137</v>
      </c>
    </row>
    <row r="328" spans="1:4" x14ac:dyDescent="0.25">
      <c r="A328" s="2">
        <v>80803</v>
      </c>
      <c r="B328" s="1" t="s">
        <v>524</v>
      </c>
      <c r="C328" s="2">
        <v>57</v>
      </c>
      <c r="D328" s="2">
        <v>24</v>
      </c>
    </row>
    <row r="329" spans="1:4" x14ac:dyDescent="0.25">
      <c r="A329" s="2">
        <v>80901</v>
      </c>
      <c r="B329" s="39" t="s">
        <v>793</v>
      </c>
      <c r="C329" s="2">
        <v>128</v>
      </c>
      <c r="D329" s="2">
        <v>193</v>
      </c>
    </row>
    <row r="330" spans="1:4" x14ac:dyDescent="0.25">
      <c r="A330" s="2">
        <v>90101</v>
      </c>
      <c r="B330" s="1" t="s">
        <v>597</v>
      </c>
      <c r="C330" s="2">
        <v>691</v>
      </c>
      <c r="D330" s="2">
        <v>152</v>
      </c>
    </row>
    <row r="331" spans="1:4" x14ac:dyDescent="0.25">
      <c r="A331" s="2">
        <v>90102</v>
      </c>
      <c r="B331" s="1" t="s">
        <v>677</v>
      </c>
      <c r="C331" s="2">
        <v>81</v>
      </c>
      <c r="D331" s="2">
        <v>52</v>
      </c>
    </row>
    <row r="332" spans="1:4" x14ac:dyDescent="0.25">
      <c r="A332" s="2">
        <v>90103</v>
      </c>
      <c r="B332" s="1" t="s">
        <v>690</v>
      </c>
      <c r="C332" s="2">
        <v>110</v>
      </c>
      <c r="D332" s="2">
        <v>32</v>
      </c>
    </row>
    <row r="333" spans="1:4" x14ac:dyDescent="0.25">
      <c r="A333" s="2">
        <v>90104</v>
      </c>
      <c r="B333" s="1" t="s">
        <v>678</v>
      </c>
      <c r="C333" s="2">
        <v>191</v>
      </c>
      <c r="D333" s="2">
        <v>72</v>
      </c>
    </row>
    <row r="334" spans="1:4" x14ac:dyDescent="0.25">
      <c r="A334" s="2">
        <v>90201</v>
      </c>
      <c r="B334" s="1" t="s">
        <v>680</v>
      </c>
      <c r="C334" s="2">
        <v>100</v>
      </c>
      <c r="D334" s="2">
        <v>48</v>
      </c>
    </row>
    <row r="335" spans="1:4" x14ac:dyDescent="0.25">
      <c r="A335" s="2">
        <v>90202</v>
      </c>
      <c r="B335" s="1" t="s">
        <v>494</v>
      </c>
      <c r="C335" s="2">
        <v>179</v>
      </c>
      <c r="D335" s="2">
        <v>14</v>
      </c>
    </row>
    <row r="336" spans="1:4" x14ac:dyDescent="0.25">
      <c r="A336" s="2">
        <v>90203</v>
      </c>
      <c r="B336" s="1" t="s">
        <v>691</v>
      </c>
      <c r="C336" s="2">
        <v>173</v>
      </c>
      <c r="D336" s="2">
        <v>114</v>
      </c>
    </row>
    <row r="337" spans="1:4" x14ac:dyDescent="0.25">
      <c r="A337" s="2">
        <v>90301</v>
      </c>
      <c r="B337" s="1" t="s">
        <v>673</v>
      </c>
      <c r="C337" s="2">
        <v>96</v>
      </c>
      <c r="D337" s="2">
        <v>99</v>
      </c>
    </row>
    <row r="338" spans="1:4" x14ac:dyDescent="0.25">
      <c r="A338" s="2">
        <v>90302</v>
      </c>
      <c r="B338" s="1" t="s">
        <v>551</v>
      </c>
      <c r="C338" s="2">
        <v>213</v>
      </c>
      <c r="D338" s="2">
        <v>35</v>
      </c>
    </row>
    <row r="339" spans="1:4" x14ac:dyDescent="0.25">
      <c r="A339" s="2">
        <v>90303</v>
      </c>
      <c r="B339" s="1" t="s">
        <v>611</v>
      </c>
      <c r="C339" s="2">
        <v>832</v>
      </c>
      <c r="D339" s="2">
        <v>174</v>
      </c>
    </row>
    <row r="340" spans="1:4" x14ac:dyDescent="0.25">
      <c r="A340" s="2">
        <v>90401</v>
      </c>
      <c r="B340" s="1" t="s">
        <v>613</v>
      </c>
      <c r="C340" s="2">
        <v>82</v>
      </c>
      <c r="D340" s="2">
        <v>26</v>
      </c>
    </row>
    <row r="341" spans="1:4" x14ac:dyDescent="0.25">
      <c r="A341" s="2">
        <v>90402</v>
      </c>
      <c r="B341" s="1" t="s">
        <v>236</v>
      </c>
      <c r="C341" s="3">
        <v>26</v>
      </c>
      <c r="D341" s="2">
        <v>44</v>
      </c>
    </row>
    <row r="342" spans="1:4" x14ac:dyDescent="0.25">
      <c r="A342" s="2">
        <v>90501</v>
      </c>
      <c r="B342" s="1" t="s">
        <v>686</v>
      </c>
      <c r="C342" s="3">
        <v>103</v>
      </c>
      <c r="D342" s="2">
        <v>13</v>
      </c>
    </row>
    <row r="343" spans="1:4" x14ac:dyDescent="0.25">
      <c r="A343" s="2">
        <v>90502</v>
      </c>
      <c r="B343" s="1" t="s">
        <v>684</v>
      </c>
      <c r="C343" s="3">
        <v>89</v>
      </c>
      <c r="D343" s="2">
        <v>12</v>
      </c>
    </row>
    <row r="344" spans="1:4" x14ac:dyDescent="0.25">
      <c r="A344" s="2">
        <v>90503</v>
      </c>
      <c r="B344" s="1" t="s">
        <v>685</v>
      </c>
      <c r="C344" s="3">
        <v>67</v>
      </c>
      <c r="D344" s="2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76D3-2182-4022-A5C4-5A0FF610578D}">
  <sheetPr>
    <tabColor rgb="FFC00000"/>
  </sheetPr>
  <dimension ref="A1:D14"/>
  <sheetViews>
    <sheetView workbookViewId="0">
      <selection activeCell="C4" sqref="C4:C14"/>
    </sheetView>
  </sheetViews>
  <sheetFormatPr baseColWidth="10" defaultRowHeight="15" x14ac:dyDescent="0.25"/>
  <cols>
    <col min="1" max="1" width="19.7109375" customWidth="1"/>
    <col min="2" max="2" width="15.140625" customWidth="1"/>
    <col min="3" max="3" width="13.42578125" style="22" customWidth="1"/>
    <col min="4" max="4" width="16" customWidth="1"/>
  </cols>
  <sheetData>
    <row r="1" spans="1:4" x14ac:dyDescent="0.25">
      <c r="A1" s="90" t="s">
        <v>1158</v>
      </c>
      <c r="B1" s="90" t="s">
        <v>1159</v>
      </c>
      <c r="C1" s="91" t="s">
        <v>1168</v>
      </c>
      <c r="D1" s="91" t="s">
        <v>1169</v>
      </c>
    </row>
    <row r="2" spans="1:4" x14ac:dyDescent="0.25">
      <c r="A2" s="90"/>
      <c r="B2" s="90"/>
      <c r="C2" s="91"/>
      <c r="D2" s="91"/>
    </row>
    <row r="3" spans="1:4" x14ac:dyDescent="0.25">
      <c r="A3" s="90"/>
      <c r="B3" s="90"/>
      <c r="C3" s="91"/>
      <c r="D3" s="91"/>
    </row>
    <row r="4" spans="1:4" x14ac:dyDescent="0.25">
      <c r="A4" s="77">
        <v>1</v>
      </c>
      <c r="B4" s="75" t="s">
        <v>20</v>
      </c>
      <c r="C4" s="23">
        <v>50.164244641227071</v>
      </c>
      <c r="D4" s="3">
        <v>64.304829457909165</v>
      </c>
    </row>
    <row r="5" spans="1:4" x14ac:dyDescent="0.25">
      <c r="A5" s="77">
        <v>2</v>
      </c>
      <c r="B5" s="75" t="s">
        <v>8</v>
      </c>
      <c r="C5" s="23">
        <v>52.742228524712843</v>
      </c>
      <c r="D5" s="3">
        <v>65.202208184790607</v>
      </c>
    </row>
    <row r="6" spans="1:4" x14ac:dyDescent="0.25">
      <c r="A6" s="77">
        <v>3</v>
      </c>
      <c r="B6" s="76" t="s">
        <v>3</v>
      </c>
      <c r="C6" s="23">
        <v>42.192726399900891</v>
      </c>
      <c r="D6" s="3">
        <v>51.03693871988434</v>
      </c>
    </row>
    <row r="7" spans="1:4" x14ac:dyDescent="0.25">
      <c r="A7" s="77">
        <v>4</v>
      </c>
      <c r="B7" s="76" t="s">
        <v>1</v>
      </c>
      <c r="C7" s="23">
        <v>41.639868210783831</v>
      </c>
      <c r="D7" s="3">
        <v>54.90671456174433</v>
      </c>
    </row>
    <row r="8" spans="1:4" x14ac:dyDescent="0.25">
      <c r="A8" s="77">
        <v>5</v>
      </c>
      <c r="B8" s="76" t="s">
        <v>2</v>
      </c>
      <c r="C8" s="23">
        <v>36.363298693366133</v>
      </c>
      <c r="D8" s="3">
        <v>46.350721822581441</v>
      </c>
    </row>
    <row r="9" spans="1:4" x14ac:dyDescent="0.25">
      <c r="A9" s="77">
        <v>6</v>
      </c>
      <c r="B9" s="76" t="s">
        <v>29</v>
      </c>
      <c r="C9" s="23">
        <v>67.17492554337494</v>
      </c>
      <c r="D9" s="3">
        <v>74.006265054226418</v>
      </c>
    </row>
    <row r="10" spans="1:4" x14ac:dyDescent="0.25">
      <c r="A10" s="77">
        <v>7</v>
      </c>
      <c r="B10" s="75" t="s">
        <v>14</v>
      </c>
      <c r="C10" s="23">
        <v>43.773009084226814</v>
      </c>
      <c r="D10" s="3">
        <v>57.163750189511163</v>
      </c>
    </row>
    <row r="11" spans="1:4" x14ac:dyDescent="0.25">
      <c r="A11" s="77">
        <v>8</v>
      </c>
      <c r="B11" s="75" t="s">
        <v>27</v>
      </c>
      <c r="C11" s="23">
        <v>20.766854830120355</v>
      </c>
      <c r="D11" s="3">
        <v>28.566015094577953</v>
      </c>
    </row>
    <row r="12" spans="1:4" x14ac:dyDescent="0.25">
      <c r="A12" s="77">
        <v>9</v>
      </c>
      <c r="B12" s="75" t="s">
        <v>83</v>
      </c>
      <c r="C12" s="23">
        <v>19.246993889217425</v>
      </c>
      <c r="D12" s="3">
        <v>33.325701857310477</v>
      </c>
    </row>
    <row r="13" spans="1:4" x14ac:dyDescent="0.25">
      <c r="A13" s="78">
        <v>10</v>
      </c>
      <c r="B13" s="76" t="s">
        <v>213</v>
      </c>
      <c r="C13" s="23">
        <v>65.076052935039257</v>
      </c>
      <c r="D13" s="3">
        <v>73.016597149808831</v>
      </c>
    </row>
    <row r="14" spans="1:4" x14ac:dyDescent="0.25">
      <c r="A14" s="78">
        <v>11</v>
      </c>
      <c r="B14" s="3" t="s">
        <v>1195</v>
      </c>
      <c r="C14" s="23">
        <v>45.856571119215459</v>
      </c>
      <c r="D14" s="3">
        <v>57.25012287127754</v>
      </c>
    </row>
  </sheetData>
  <mergeCells count="4">
    <mergeCell ref="B1:B3"/>
    <mergeCell ref="A1:A3"/>
    <mergeCell ref="D1:D3"/>
    <mergeCell ref="C1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B9E9-130A-48FD-A150-550F5FA713B8}">
  <sheetPr>
    <tabColor rgb="FFC00000"/>
  </sheetPr>
  <dimension ref="A1:D12"/>
  <sheetViews>
    <sheetView zoomScale="90" zoomScaleNormal="90" workbookViewId="0">
      <selection activeCell="G13" sqref="G13"/>
    </sheetView>
  </sheetViews>
  <sheetFormatPr baseColWidth="10" defaultRowHeight="15" x14ac:dyDescent="0.25"/>
  <cols>
    <col min="1" max="1" width="17.5703125" customWidth="1"/>
    <col min="2" max="2" width="15.28515625" customWidth="1"/>
    <col min="3" max="3" width="33.7109375" customWidth="1"/>
    <col min="4" max="4" width="29.5703125" customWidth="1"/>
  </cols>
  <sheetData>
    <row r="1" spans="1:4" ht="30" x14ac:dyDescent="0.25">
      <c r="A1" s="68" t="s">
        <v>1158</v>
      </c>
      <c r="B1" s="69" t="s">
        <v>1159</v>
      </c>
      <c r="C1" s="70" t="s">
        <v>1199</v>
      </c>
      <c r="D1" s="70" t="s">
        <v>1200</v>
      </c>
    </row>
    <row r="2" spans="1:4" x14ac:dyDescent="0.25">
      <c r="A2" s="71">
        <v>1</v>
      </c>
      <c r="B2" s="72" t="s">
        <v>20</v>
      </c>
      <c r="C2" s="43">
        <v>25961</v>
      </c>
      <c r="D2" s="21">
        <v>11084</v>
      </c>
    </row>
    <row r="3" spans="1:4" x14ac:dyDescent="0.25">
      <c r="A3" s="71">
        <v>2</v>
      </c>
      <c r="B3" s="72" t="s">
        <v>8</v>
      </c>
      <c r="C3" s="43">
        <v>79253</v>
      </c>
      <c r="D3" s="21">
        <v>44442</v>
      </c>
    </row>
    <row r="4" spans="1:4" x14ac:dyDescent="0.25">
      <c r="A4" s="71">
        <v>3</v>
      </c>
      <c r="B4" s="73" t="s">
        <v>3</v>
      </c>
      <c r="C4" s="43">
        <v>57060</v>
      </c>
      <c r="D4" s="21">
        <v>40277</v>
      </c>
    </row>
    <row r="5" spans="1:4" x14ac:dyDescent="0.25">
      <c r="A5" s="71">
        <v>4</v>
      </c>
      <c r="B5" s="73" t="s">
        <v>1</v>
      </c>
      <c r="C5" s="43">
        <v>21048</v>
      </c>
      <c r="D5" s="21">
        <v>12424</v>
      </c>
    </row>
    <row r="6" spans="1:4" x14ac:dyDescent="0.25">
      <c r="A6" s="71">
        <v>5</v>
      </c>
      <c r="B6" s="73" t="s">
        <v>2</v>
      </c>
      <c r="C6" s="43">
        <v>35584</v>
      </c>
      <c r="D6" s="21">
        <v>24693</v>
      </c>
    </row>
    <row r="7" spans="1:4" x14ac:dyDescent="0.25">
      <c r="A7" s="71">
        <v>6</v>
      </c>
      <c r="B7" s="73" t="s">
        <v>29</v>
      </c>
      <c r="C7" s="43">
        <v>4383</v>
      </c>
      <c r="D7" s="21">
        <v>1913</v>
      </c>
    </row>
    <row r="8" spans="1:4" x14ac:dyDescent="0.25">
      <c r="A8" s="71">
        <v>7</v>
      </c>
      <c r="B8" s="72" t="s">
        <v>14</v>
      </c>
      <c r="C8" s="43">
        <v>17773</v>
      </c>
      <c r="D8" s="21">
        <v>10375</v>
      </c>
    </row>
    <row r="9" spans="1:4" x14ac:dyDescent="0.25">
      <c r="A9" s="71">
        <v>8</v>
      </c>
      <c r="B9" s="72" t="s">
        <v>27</v>
      </c>
      <c r="C9" s="43">
        <v>7636</v>
      </c>
      <c r="D9" s="21">
        <v>6135</v>
      </c>
    </row>
    <row r="10" spans="1:4" x14ac:dyDescent="0.25">
      <c r="A10" s="71">
        <v>9</v>
      </c>
      <c r="B10" s="72" t="s">
        <v>83</v>
      </c>
      <c r="C10" s="59">
        <v>3033</v>
      </c>
      <c r="D10" s="21">
        <v>911</v>
      </c>
    </row>
    <row r="11" spans="1:4" x14ac:dyDescent="0.25">
      <c r="A11" s="74">
        <v>10</v>
      </c>
      <c r="B11" s="73" t="s">
        <v>213</v>
      </c>
      <c r="C11" s="21">
        <v>801</v>
      </c>
      <c r="D11" s="21">
        <v>373</v>
      </c>
    </row>
    <row r="12" spans="1:4" x14ac:dyDescent="0.25">
      <c r="A12" s="74">
        <v>11</v>
      </c>
      <c r="B12" s="73" t="s">
        <v>1195</v>
      </c>
      <c r="C12" s="21">
        <v>251731</v>
      </c>
      <c r="D12" s="21">
        <v>152254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F056-B4D7-46AF-8221-ABAE74C657BB}">
  <sheetPr>
    <tabColor rgb="FFC00000"/>
  </sheetPr>
  <dimension ref="A1:J2"/>
  <sheetViews>
    <sheetView workbookViewId="0">
      <selection activeCell="I17" sqref="I17"/>
    </sheetView>
  </sheetViews>
  <sheetFormatPr baseColWidth="10" defaultColWidth="9.140625" defaultRowHeight="15" x14ac:dyDescent="0.25"/>
  <cols>
    <col min="1" max="1" width="14.7109375" customWidth="1"/>
    <col min="2" max="2" width="31.5703125" customWidth="1"/>
    <col min="3" max="8" width="14.7109375" customWidth="1"/>
  </cols>
  <sheetData>
    <row r="1" spans="1:10" s="11" customFormat="1" ht="31.15" customHeight="1" x14ac:dyDescent="0.25">
      <c r="A1" s="10" t="s">
        <v>1143</v>
      </c>
      <c r="B1" s="10" t="s">
        <v>1157</v>
      </c>
      <c r="C1" s="6" t="s">
        <v>1149</v>
      </c>
      <c r="D1" s="6" t="s">
        <v>1150</v>
      </c>
      <c r="E1" s="7" t="s">
        <v>1151</v>
      </c>
      <c r="F1" s="7" t="s">
        <v>1152</v>
      </c>
      <c r="G1" s="8" t="s">
        <v>1153</v>
      </c>
      <c r="H1" s="8" t="s">
        <v>1154</v>
      </c>
      <c r="I1" s="9" t="s">
        <v>1155</v>
      </c>
      <c r="J1" s="9" t="s">
        <v>1156</v>
      </c>
    </row>
    <row r="2" spans="1:10" x14ac:dyDescent="0.25">
      <c r="A2" s="42">
        <v>1</v>
      </c>
      <c r="B2" s="1" t="s">
        <v>1194</v>
      </c>
      <c r="C2" s="1">
        <v>100</v>
      </c>
      <c r="D2" s="24">
        <v>85</v>
      </c>
      <c r="E2" s="24">
        <v>85</v>
      </c>
      <c r="F2" s="24">
        <v>68</v>
      </c>
      <c r="G2" s="24">
        <v>68</v>
      </c>
      <c r="H2" s="24">
        <v>50</v>
      </c>
      <c r="I2" s="24">
        <v>50</v>
      </c>
      <c r="J2" s="2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0E0F-A032-4EEE-B127-BAB5BF0013D6}">
  <sheetPr>
    <tabColor rgb="FFC00000"/>
  </sheetPr>
  <dimension ref="A1:C5"/>
  <sheetViews>
    <sheetView workbookViewId="0">
      <selection activeCell="J12" sqref="J12"/>
    </sheetView>
  </sheetViews>
  <sheetFormatPr baseColWidth="10" defaultColWidth="11.5703125" defaultRowHeight="15" x14ac:dyDescent="0.25"/>
  <sheetData>
    <row r="1" spans="1:3" ht="15.75" thickBot="1" x14ac:dyDescent="0.3">
      <c r="A1" s="4" t="s">
        <v>1144</v>
      </c>
      <c r="B1" s="5">
        <v>2012</v>
      </c>
      <c r="C1" s="5">
        <v>2024</v>
      </c>
    </row>
    <row r="2" spans="1:3" ht="30.75" thickBot="1" x14ac:dyDescent="0.3">
      <c r="A2" s="4" t="s">
        <v>1145</v>
      </c>
      <c r="B2" s="5">
        <f>COUNTIF( Clasificación!D2:D344, "Verde")</f>
        <v>1</v>
      </c>
      <c r="C2" s="5">
        <f>COUNTIF(Clasificación!F2:F344, "Verde")</f>
        <v>2</v>
      </c>
    </row>
    <row r="3" spans="1:3" ht="30.75" thickBot="1" x14ac:dyDescent="0.3">
      <c r="A3" s="4" t="s">
        <v>1146</v>
      </c>
      <c r="B3" s="5">
        <f>COUNTIF(Clasificación!D2:D344, "Amarillo")</f>
        <v>7</v>
      </c>
      <c r="C3" s="5">
        <f>COUNTIF(Clasificación!F2:F344, "Amarillo")</f>
        <v>32</v>
      </c>
    </row>
    <row r="4" spans="1:3" ht="60.75" thickBot="1" x14ac:dyDescent="0.3">
      <c r="A4" s="4" t="s">
        <v>1147</v>
      </c>
      <c r="B4" s="5">
        <f>COUNTIF(Clasificación!D2:D344, "Naranja")</f>
        <v>26</v>
      </c>
      <c r="C4" s="5">
        <f>COUNTIF(Clasificación!F2:F344, "Naranja")</f>
        <v>82</v>
      </c>
    </row>
    <row r="5" spans="1:3" ht="45.75" thickBot="1" x14ac:dyDescent="0.3">
      <c r="A5" s="4" t="s">
        <v>1148</v>
      </c>
      <c r="B5" s="5">
        <f>COUNTIF(Clasificación!D2:D344, "Rojo")</f>
        <v>309</v>
      </c>
      <c r="C5" s="5">
        <f>COUNTIF(Clasificación!F2:F344, "Rojo")</f>
        <v>227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99CE-28A8-4C42-AD7B-969531A7E5B8}">
  <dimension ref="A1"/>
  <sheetViews>
    <sheetView workbookViewId="0">
      <selection activeCell="L14" sqref="L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0E31-E227-46A1-9B49-224DE6DF42FF}">
  <sheetPr>
    <outlinePr summaryBelow="0" summaryRight="0"/>
  </sheetPr>
  <dimension ref="A1:AB1000"/>
  <sheetViews>
    <sheetView workbookViewId="0">
      <selection activeCell="C1" sqref="C1"/>
    </sheetView>
  </sheetViews>
  <sheetFormatPr baseColWidth="10" defaultColWidth="14.42578125" defaultRowHeight="15" customHeight="1" x14ac:dyDescent="0.25"/>
  <cols>
    <col min="1" max="16384" width="14.42578125" style="31"/>
  </cols>
  <sheetData>
    <row r="1" spans="1:28" x14ac:dyDescent="0.25">
      <c r="A1" s="27" t="s">
        <v>1173</v>
      </c>
      <c r="B1" s="27" t="s">
        <v>453</v>
      </c>
      <c r="C1" s="28" t="s">
        <v>1192</v>
      </c>
      <c r="D1" s="29" t="s">
        <v>1174</v>
      </c>
      <c r="E1" s="28" t="s">
        <v>1193</v>
      </c>
      <c r="F1" s="29" t="s">
        <v>1174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x14ac:dyDescent="0.25">
      <c r="A2" s="32">
        <v>10101</v>
      </c>
      <c r="B2" s="32" t="s">
        <v>710</v>
      </c>
      <c r="C2" s="33">
        <v>77.817713181069664</v>
      </c>
      <c r="D2" s="33" t="str">
        <f>IF(C2&lt;=50,"Rojo",
   IF(C2&lt;=68,"Naranja",
   IF(C2&lt;=85,"Amarillo","Verde")))</f>
        <v>Amarillo</v>
      </c>
      <c r="E2" s="33">
        <v>83.436902227361642</v>
      </c>
      <c r="F2" s="33" t="str">
        <f>IF(E2&lt;=50,"Rojo",
   IF(E2&lt;=68,"Naranja",
   IF(E2&lt;=85,"Amarillo","Verde")))</f>
        <v>Amarillo</v>
      </c>
    </row>
    <row r="3" spans="1:28" x14ac:dyDescent="0.25">
      <c r="A3" s="32">
        <v>10102</v>
      </c>
      <c r="B3" s="32" t="s">
        <v>660</v>
      </c>
      <c r="C3" s="33">
        <v>44.897959183673471</v>
      </c>
      <c r="D3" s="33" t="str">
        <f t="shared" ref="D3:D66" si="0">IF(C3&lt;=50,"Rojo",
   IF(C3&lt;=68,"Naranja",
   IF(C3&lt;=85,"Amarillo","Verde")))</f>
        <v>Rojo</v>
      </c>
      <c r="E3" s="33">
        <v>63.645287958115183</v>
      </c>
      <c r="F3" s="33" t="str">
        <f t="shared" ref="F3:F66" si="1">IF(E3&lt;=50,"Rojo",
   IF(E3&lt;=68,"Naranja",
   IF(E3&lt;=85,"Amarillo","Verde")))</f>
        <v>Naranja</v>
      </c>
    </row>
    <row r="4" spans="1:28" x14ac:dyDescent="0.25">
      <c r="A4" s="32">
        <v>10103</v>
      </c>
      <c r="B4" s="32" t="s">
        <v>754</v>
      </c>
      <c r="C4" s="33">
        <v>4.1879468845760979</v>
      </c>
      <c r="D4" s="33" t="str">
        <f t="shared" si="0"/>
        <v>Rojo</v>
      </c>
      <c r="E4" s="33">
        <v>12.849162011173185</v>
      </c>
      <c r="F4" s="33" t="str">
        <f t="shared" si="1"/>
        <v>Rojo</v>
      </c>
    </row>
    <row r="5" spans="1:28" x14ac:dyDescent="0.25">
      <c r="A5" s="32">
        <v>10201</v>
      </c>
      <c r="B5" s="32" t="s">
        <v>273</v>
      </c>
      <c r="C5" s="33">
        <v>12.844759653270291</v>
      </c>
      <c r="D5" s="33" t="str">
        <f t="shared" si="0"/>
        <v>Rojo</v>
      </c>
      <c r="E5" s="33">
        <v>29.551020408163264</v>
      </c>
      <c r="F5" s="33" t="str">
        <f t="shared" si="1"/>
        <v>Rojo</v>
      </c>
    </row>
    <row r="6" spans="1:28" x14ac:dyDescent="0.25">
      <c r="A6" s="32">
        <v>10202</v>
      </c>
      <c r="B6" s="32" t="s">
        <v>645</v>
      </c>
      <c r="C6" s="33">
        <v>13.136337039204212</v>
      </c>
      <c r="D6" s="33" t="str">
        <f t="shared" si="0"/>
        <v>Rojo</v>
      </c>
      <c r="E6" s="33">
        <v>33.471074380165291</v>
      </c>
      <c r="F6" s="33" t="str">
        <f t="shared" si="1"/>
        <v>Rojo</v>
      </c>
    </row>
    <row r="7" spans="1:28" x14ac:dyDescent="0.25">
      <c r="A7" s="32">
        <v>10301</v>
      </c>
      <c r="B7" s="32" t="s">
        <v>279</v>
      </c>
      <c r="C7" s="33">
        <v>27.803557617942769</v>
      </c>
      <c r="D7" s="33" t="str">
        <f t="shared" si="0"/>
        <v>Rojo</v>
      </c>
      <c r="E7" s="33">
        <v>42.485095701286475</v>
      </c>
      <c r="F7" s="33" t="str">
        <f t="shared" si="1"/>
        <v>Rojo</v>
      </c>
    </row>
    <row r="8" spans="1:28" x14ac:dyDescent="0.25">
      <c r="A8" s="32">
        <v>10302</v>
      </c>
      <c r="B8" s="32" t="s">
        <v>711</v>
      </c>
      <c r="C8" s="33">
        <v>17.372101582627899</v>
      </c>
      <c r="D8" s="33" t="str">
        <f t="shared" si="0"/>
        <v>Rojo</v>
      </c>
      <c r="E8" s="33">
        <v>37.786609599510854</v>
      </c>
      <c r="F8" s="33" t="str">
        <f t="shared" si="1"/>
        <v>Rojo</v>
      </c>
    </row>
    <row r="9" spans="1:28" x14ac:dyDescent="0.25">
      <c r="A9" s="32">
        <v>10303</v>
      </c>
      <c r="B9" s="32" t="s">
        <v>1175</v>
      </c>
      <c r="C9" s="33">
        <v>26.892028254288597</v>
      </c>
      <c r="D9" s="33" t="str">
        <f t="shared" si="0"/>
        <v>Rojo</v>
      </c>
      <c r="E9" s="33">
        <v>49.036570979158469</v>
      </c>
      <c r="F9" s="33" t="str">
        <f t="shared" si="1"/>
        <v>Rojo</v>
      </c>
    </row>
    <row r="10" spans="1:28" x14ac:dyDescent="0.25">
      <c r="A10" s="32">
        <v>10304</v>
      </c>
      <c r="B10" s="32" t="s">
        <v>659</v>
      </c>
      <c r="C10" s="33">
        <v>39.377389404696892</v>
      </c>
      <c r="D10" s="33" t="str">
        <f t="shared" si="0"/>
        <v>Rojo</v>
      </c>
      <c r="E10" s="33">
        <v>43.111954459203034</v>
      </c>
      <c r="F10" s="33" t="str">
        <f t="shared" si="1"/>
        <v>Rojo</v>
      </c>
    </row>
    <row r="11" spans="1:28" x14ac:dyDescent="0.25">
      <c r="A11" s="32">
        <v>10401</v>
      </c>
      <c r="B11" s="32" t="s">
        <v>699</v>
      </c>
      <c r="C11" s="33">
        <v>33.45195729537366</v>
      </c>
      <c r="D11" s="33" t="str">
        <f t="shared" si="0"/>
        <v>Rojo</v>
      </c>
      <c r="E11" s="33">
        <v>52.354048964218457</v>
      </c>
      <c r="F11" s="33" t="str">
        <f t="shared" si="1"/>
        <v>Naranja</v>
      </c>
    </row>
    <row r="12" spans="1:28" x14ac:dyDescent="0.25">
      <c r="A12" s="32">
        <v>10402</v>
      </c>
      <c r="B12" s="32" t="s">
        <v>331</v>
      </c>
      <c r="C12" s="33">
        <v>28.064363464268808</v>
      </c>
      <c r="D12" s="33" t="str">
        <f t="shared" si="0"/>
        <v>Rojo</v>
      </c>
      <c r="E12" s="33">
        <v>58.314757021845743</v>
      </c>
      <c r="F12" s="33" t="str">
        <f t="shared" si="1"/>
        <v>Naranja</v>
      </c>
    </row>
    <row r="13" spans="1:28" x14ac:dyDescent="0.25">
      <c r="A13" s="32">
        <v>10403</v>
      </c>
      <c r="B13" s="32" t="s">
        <v>658</v>
      </c>
      <c r="C13" s="33">
        <v>26.766169154228859</v>
      </c>
      <c r="D13" s="33" t="str">
        <f t="shared" si="0"/>
        <v>Rojo</v>
      </c>
      <c r="E13" s="33">
        <v>40.776233828461905</v>
      </c>
      <c r="F13" s="33" t="str">
        <f t="shared" si="1"/>
        <v>Rojo</v>
      </c>
    </row>
    <row r="14" spans="1:28" x14ac:dyDescent="0.25">
      <c r="A14" s="32">
        <v>10404</v>
      </c>
      <c r="B14" s="32" t="s">
        <v>1001</v>
      </c>
      <c r="C14" s="33">
        <v>22.761194029850746</v>
      </c>
      <c r="D14" s="33" t="str">
        <f t="shared" si="0"/>
        <v>Rojo</v>
      </c>
      <c r="E14" s="33">
        <v>59.714045416316232</v>
      </c>
      <c r="F14" s="33" t="str">
        <f t="shared" si="1"/>
        <v>Naranja</v>
      </c>
    </row>
    <row r="15" spans="1:28" x14ac:dyDescent="0.25">
      <c r="A15" s="32">
        <v>10405</v>
      </c>
      <c r="B15" s="32" t="s">
        <v>649</v>
      </c>
      <c r="C15" s="33">
        <v>22.112211221122113</v>
      </c>
      <c r="D15" s="33" t="str">
        <f t="shared" si="0"/>
        <v>Rojo</v>
      </c>
      <c r="E15" s="33">
        <v>49.895760945100761</v>
      </c>
      <c r="F15" s="33" t="str">
        <f t="shared" si="1"/>
        <v>Rojo</v>
      </c>
    </row>
    <row r="16" spans="1:28" x14ac:dyDescent="0.25">
      <c r="A16" s="32">
        <v>10501</v>
      </c>
      <c r="B16" s="32" t="s">
        <v>653</v>
      </c>
      <c r="C16" s="33">
        <v>46.718210231946045</v>
      </c>
      <c r="D16" s="33" t="str">
        <f t="shared" si="0"/>
        <v>Rojo</v>
      </c>
      <c r="E16" s="33">
        <v>65.990700077499355</v>
      </c>
      <c r="F16" s="33" t="str">
        <f t="shared" si="1"/>
        <v>Naranja</v>
      </c>
    </row>
    <row r="17" spans="1:6" x14ac:dyDescent="0.25">
      <c r="A17" s="32">
        <v>10502</v>
      </c>
      <c r="B17" s="32" t="s">
        <v>1176</v>
      </c>
      <c r="C17" s="33">
        <v>26.936026936026934</v>
      </c>
      <c r="D17" s="33" t="str">
        <f t="shared" si="0"/>
        <v>Rojo</v>
      </c>
      <c r="E17" s="33">
        <v>48.41373315949587</v>
      </c>
      <c r="F17" s="33" t="str">
        <f t="shared" si="1"/>
        <v>Rojo</v>
      </c>
    </row>
    <row r="18" spans="1:6" x14ac:dyDescent="0.25">
      <c r="A18" s="32">
        <v>10601</v>
      </c>
      <c r="B18" s="32" t="s">
        <v>582</v>
      </c>
      <c r="C18" s="33">
        <v>19.33424532603739</v>
      </c>
      <c r="D18" s="33" t="str">
        <f t="shared" si="0"/>
        <v>Rojo</v>
      </c>
      <c r="E18" s="33">
        <v>44.543117550829628</v>
      </c>
      <c r="F18" s="33" t="str">
        <f t="shared" si="1"/>
        <v>Rojo</v>
      </c>
    </row>
    <row r="19" spans="1:6" x14ac:dyDescent="0.25">
      <c r="A19" s="32">
        <v>10602</v>
      </c>
      <c r="B19" s="32" t="s">
        <v>278</v>
      </c>
      <c r="C19" s="33">
        <v>20.711864406779661</v>
      </c>
      <c r="D19" s="33" t="str">
        <f t="shared" si="0"/>
        <v>Rojo</v>
      </c>
      <c r="E19" s="33">
        <v>44.868035190615835</v>
      </c>
      <c r="F19" s="33" t="str">
        <f t="shared" si="1"/>
        <v>Rojo</v>
      </c>
    </row>
    <row r="20" spans="1:6" x14ac:dyDescent="0.25">
      <c r="A20" s="32">
        <v>10701</v>
      </c>
      <c r="B20" s="32" t="s">
        <v>790</v>
      </c>
      <c r="C20" s="33">
        <v>42.01156069364162</v>
      </c>
      <c r="D20" s="33" t="str">
        <f t="shared" si="0"/>
        <v>Rojo</v>
      </c>
      <c r="E20" s="33">
        <v>53.279175747969084</v>
      </c>
      <c r="F20" s="33" t="str">
        <f t="shared" si="1"/>
        <v>Naranja</v>
      </c>
    </row>
    <row r="21" spans="1:6" x14ac:dyDescent="0.25">
      <c r="A21" s="32">
        <v>10702</v>
      </c>
      <c r="B21" s="32" t="s">
        <v>489</v>
      </c>
      <c r="C21" s="33">
        <v>16.058941058941059</v>
      </c>
      <c r="D21" s="33" t="str">
        <f t="shared" si="0"/>
        <v>Rojo</v>
      </c>
      <c r="E21" s="33">
        <v>33.452780025430584</v>
      </c>
      <c r="F21" s="33" t="str">
        <f t="shared" si="1"/>
        <v>Rojo</v>
      </c>
    </row>
    <row r="22" spans="1:6" x14ac:dyDescent="0.25">
      <c r="A22" s="32">
        <v>10703</v>
      </c>
      <c r="B22" s="32" t="s">
        <v>491</v>
      </c>
      <c r="C22" s="33">
        <v>13.781935948182799</v>
      </c>
      <c r="D22" s="33" t="str">
        <f t="shared" si="0"/>
        <v>Rojo</v>
      </c>
      <c r="E22" s="33">
        <v>27.880127732743798</v>
      </c>
      <c r="F22" s="33" t="str">
        <f t="shared" si="1"/>
        <v>Rojo</v>
      </c>
    </row>
    <row r="23" spans="1:6" x14ac:dyDescent="0.25">
      <c r="A23" s="32">
        <v>10704</v>
      </c>
      <c r="B23" s="32" t="s">
        <v>776</v>
      </c>
      <c r="C23" s="33">
        <v>15.827338129496402</v>
      </c>
      <c r="D23" s="33" t="str">
        <f t="shared" si="0"/>
        <v>Rojo</v>
      </c>
      <c r="E23" s="33">
        <v>36.65</v>
      </c>
      <c r="F23" s="33" t="str">
        <f t="shared" si="1"/>
        <v>Rojo</v>
      </c>
    </row>
    <row r="24" spans="1:6" x14ac:dyDescent="0.25">
      <c r="A24" s="32">
        <v>10801</v>
      </c>
      <c r="B24" s="32" t="s">
        <v>702</v>
      </c>
      <c r="C24" s="33">
        <v>40.425531914893611</v>
      </c>
      <c r="D24" s="33" t="str">
        <f t="shared" si="0"/>
        <v>Rojo</v>
      </c>
      <c r="E24" s="33">
        <v>59.46030749921556</v>
      </c>
      <c r="F24" s="33" t="str">
        <f t="shared" si="1"/>
        <v>Naranja</v>
      </c>
    </row>
    <row r="25" spans="1:6" x14ac:dyDescent="0.25">
      <c r="A25" s="32">
        <v>10901</v>
      </c>
      <c r="B25" s="32" t="s">
        <v>559</v>
      </c>
      <c r="C25" s="33">
        <v>26.735751295336783</v>
      </c>
      <c r="D25" s="33" t="str">
        <f t="shared" si="0"/>
        <v>Rojo</v>
      </c>
      <c r="E25" s="33">
        <v>44.566010211524436</v>
      </c>
      <c r="F25" s="33" t="str">
        <f t="shared" si="1"/>
        <v>Rojo</v>
      </c>
    </row>
    <row r="26" spans="1:6" x14ac:dyDescent="0.25">
      <c r="A26" s="32">
        <v>10902</v>
      </c>
      <c r="B26" s="32" t="s">
        <v>490</v>
      </c>
      <c r="C26" s="33">
        <v>26.455026455026452</v>
      </c>
      <c r="D26" s="33" t="str">
        <f t="shared" si="0"/>
        <v>Rojo</v>
      </c>
      <c r="E26" s="33">
        <v>40.429184549356222</v>
      </c>
      <c r="F26" s="33" t="str">
        <f t="shared" si="1"/>
        <v>Rojo</v>
      </c>
    </row>
    <row r="27" spans="1:6" x14ac:dyDescent="0.25">
      <c r="A27" s="32">
        <v>10903</v>
      </c>
      <c r="B27" s="32" t="s">
        <v>558</v>
      </c>
      <c r="C27" s="33">
        <v>35.969868173258</v>
      </c>
      <c r="D27" s="33" t="str">
        <f t="shared" si="0"/>
        <v>Rojo</v>
      </c>
      <c r="E27" s="33">
        <v>61.406249999999993</v>
      </c>
      <c r="F27" s="33" t="str">
        <f t="shared" si="1"/>
        <v>Naranja</v>
      </c>
    </row>
    <row r="28" spans="1:6" x14ac:dyDescent="0.25">
      <c r="A28" s="32">
        <v>11001</v>
      </c>
      <c r="B28" s="32" t="s">
        <v>697</v>
      </c>
      <c r="C28" s="33">
        <v>39.889415481832543</v>
      </c>
      <c r="D28" s="33" t="str">
        <f t="shared" si="0"/>
        <v>Rojo</v>
      </c>
      <c r="E28" s="33">
        <v>55.389030612244895</v>
      </c>
      <c r="F28" s="33" t="str">
        <f t="shared" si="1"/>
        <v>Naranja</v>
      </c>
    </row>
    <row r="29" spans="1:6" x14ac:dyDescent="0.25">
      <c r="A29" s="32">
        <v>11002</v>
      </c>
      <c r="B29" s="32" t="s">
        <v>1177</v>
      </c>
      <c r="C29" s="33">
        <v>23.217247097844112</v>
      </c>
      <c r="D29" s="33" t="str">
        <f t="shared" si="0"/>
        <v>Rojo</v>
      </c>
      <c r="E29" s="33">
        <v>68.215158924205383</v>
      </c>
      <c r="F29" s="33" t="str">
        <f t="shared" si="1"/>
        <v>Amarillo</v>
      </c>
    </row>
    <row r="30" spans="1:6" x14ac:dyDescent="0.25">
      <c r="A30" s="32">
        <v>11003</v>
      </c>
      <c r="B30" s="32" t="s">
        <v>703</v>
      </c>
      <c r="C30" s="33">
        <v>35.408338092518562</v>
      </c>
      <c r="D30" s="33" t="str">
        <f t="shared" si="0"/>
        <v>Rojo</v>
      </c>
      <c r="E30" s="33">
        <v>67.48251748251748</v>
      </c>
      <c r="F30" s="33" t="str">
        <f t="shared" si="1"/>
        <v>Naranja</v>
      </c>
    </row>
    <row r="31" spans="1:6" x14ac:dyDescent="0.25">
      <c r="A31" s="32">
        <v>20101</v>
      </c>
      <c r="B31" s="32" t="s">
        <v>635</v>
      </c>
      <c r="C31" s="33">
        <v>89.065522083565156</v>
      </c>
      <c r="D31" s="33" t="str">
        <f t="shared" si="0"/>
        <v>Verde</v>
      </c>
      <c r="E31" s="33">
        <v>92.319004028996019</v>
      </c>
      <c r="F31" s="33" t="str">
        <f t="shared" si="1"/>
        <v>Verde</v>
      </c>
    </row>
    <row r="32" spans="1:6" x14ac:dyDescent="0.25">
      <c r="A32" s="32">
        <v>20102</v>
      </c>
      <c r="B32" s="34" t="s">
        <v>623</v>
      </c>
      <c r="C32" s="33">
        <v>15.516175561508344</v>
      </c>
      <c r="D32" s="33" t="str">
        <f t="shared" si="0"/>
        <v>Rojo</v>
      </c>
      <c r="E32" s="33">
        <v>32.762030323005931</v>
      </c>
      <c r="F32" s="33" t="str">
        <f t="shared" si="1"/>
        <v>Rojo</v>
      </c>
    </row>
    <row r="33" spans="1:6" x14ac:dyDescent="0.25">
      <c r="A33" s="32">
        <v>20103</v>
      </c>
      <c r="B33" s="34" t="s">
        <v>622</v>
      </c>
      <c r="C33" s="33">
        <v>32.017362546506824</v>
      </c>
      <c r="D33" s="33" t="str">
        <f t="shared" si="0"/>
        <v>Rojo</v>
      </c>
      <c r="E33" s="33">
        <v>56.504599211563736</v>
      </c>
      <c r="F33" s="33" t="str">
        <f t="shared" si="1"/>
        <v>Naranja</v>
      </c>
    </row>
    <row r="34" spans="1:6" x14ac:dyDescent="0.25">
      <c r="A34" s="32">
        <v>20104</v>
      </c>
      <c r="B34" s="34" t="s">
        <v>624</v>
      </c>
      <c r="C34" s="33">
        <v>6.7748764996471422</v>
      </c>
      <c r="D34" s="33" t="str">
        <f t="shared" si="0"/>
        <v>Rojo</v>
      </c>
      <c r="E34" s="33">
        <v>14.057802049456955</v>
      </c>
      <c r="F34" s="33" t="str">
        <f t="shared" si="1"/>
        <v>Rojo</v>
      </c>
    </row>
    <row r="35" spans="1:6" x14ac:dyDescent="0.25">
      <c r="A35" s="32">
        <v>20105</v>
      </c>
      <c r="B35" s="34" t="s">
        <v>625</v>
      </c>
      <c r="C35" s="33">
        <v>63.026957158207843</v>
      </c>
      <c r="D35" s="33" t="str">
        <f t="shared" si="0"/>
        <v>Naranja</v>
      </c>
      <c r="E35" s="33">
        <v>84.334235208024225</v>
      </c>
      <c r="F35" s="33" t="str">
        <f t="shared" si="1"/>
        <v>Amarillo</v>
      </c>
    </row>
    <row r="36" spans="1:6" x14ac:dyDescent="0.25">
      <c r="A36" s="32">
        <v>20201</v>
      </c>
      <c r="B36" s="34" t="s">
        <v>780</v>
      </c>
      <c r="C36" s="33">
        <v>38.180921863445896</v>
      </c>
      <c r="D36" s="33" t="str">
        <f t="shared" si="0"/>
        <v>Rojo</v>
      </c>
      <c r="E36" s="33">
        <v>58.637257043022494</v>
      </c>
      <c r="F36" s="33" t="str">
        <f t="shared" si="1"/>
        <v>Naranja</v>
      </c>
    </row>
    <row r="37" spans="1:6" x14ac:dyDescent="0.25">
      <c r="A37" s="32">
        <v>20202</v>
      </c>
      <c r="B37" s="34" t="s">
        <v>839</v>
      </c>
      <c r="C37" s="33">
        <v>14.442013129102845</v>
      </c>
      <c r="D37" s="33" t="str">
        <f t="shared" si="0"/>
        <v>Rojo</v>
      </c>
      <c r="E37" s="33">
        <v>39.290485379248921</v>
      </c>
      <c r="F37" s="33" t="str">
        <f t="shared" si="1"/>
        <v>Rojo</v>
      </c>
    </row>
    <row r="38" spans="1:6" x14ac:dyDescent="0.25">
      <c r="A38" s="32">
        <v>20203</v>
      </c>
      <c r="B38" s="34" t="s">
        <v>694</v>
      </c>
      <c r="C38" s="33">
        <v>51.925391095066189</v>
      </c>
      <c r="D38" s="33" t="str">
        <f t="shared" si="0"/>
        <v>Naranja</v>
      </c>
      <c r="E38" s="33">
        <v>49.410870391486128</v>
      </c>
      <c r="F38" s="33" t="str">
        <f t="shared" si="1"/>
        <v>Rojo</v>
      </c>
    </row>
    <row r="39" spans="1:6" x14ac:dyDescent="0.25">
      <c r="A39" s="32">
        <v>20204</v>
      </c>
      <c r="B39" s="34" t="s">
        <v>687</v>
      </c>
      <c r="C39" s="33">
        <v>29.478346456692911</v>
      </c>
      <c r="D39" s="33" t="str">
        <f t="shared" si="0"/>
        <v>Rojo</v>
      </c>
      <c r="E39" s="33">
        <v>50.707785642062689</v>
      </c>
      <c r="F39" s="33" t="str">
        <f t="shared" si="1"/>
        <v>Naranja</v>
      </c>
    </row>
    <row r="40" spans="1:6" x14ac:dyDescent="0.25">
      <c r="A40" s="32">
        <v>20205</v>
      </c>
      <c r="B40" s="34" t="s">
        <v>620</v>
      </c>
      <c r="C40" s="33">
        <v>22.596299666363361</v>
      </c>
      <c r="D40" s="33" t="str">
        <f t="shared" si="0"/>
        <v>Rojo</v>
      </c>
      <c r="E40" s="33">
        <v>56.954677383344496</v>
      </c>
      <c r="F40" s="33" t="str">
        <f t="shared" si="1"/>
        <v>Naranja</v>
      </c>
    </row>
    <row r="41" spans="1:6" x14ac:dyDescent="0.25">
      <c r="A41" s="32">
        <v>20206</v>
      </c>
      <c r="B41" s="34" t="s">
        <v>695</v>
      </c>
      <c r="C41" s="33">
        <v>34.737951013958387</v>
      </c>
      <c r="D41" s="33" t="str">
        <f t="shared" si="0"/>
        <v>Rojo</v>
      </c>
      <c r="E41" s="33">
        <v>70.665603826225592</v>
      </c>
      <c r="F41" s="33" t="str">
        <f t="shared" si="1"/>
        <v>Amarillo</v>
      </c>
    </row>
    <row r="42" spans="1:6" x14ac:dyDescent="0.25">
      <c r="A42" s="32">
        <v>20301</v>
      </c>
      <c r="B42" s="34" t="s">
        <v>823</v>
      </c>
      <c r="C42" s="33">
        <v>9.3850267379679142</v>
      </c>
      <c r="D42" s="33" t="str">
        <f t="shared" si="0"/>
        <v>Rojo</v>
      </c>
      <c r="E42" s="33">
        <v>26.964149504195273</v>
      </c>
      <c r="F42" s="33" t="str">
        <f t="shared" si="1"/>
        <v>Rojo</v>
      </c>
    </row>
    <row r="43" spans="1:6" x14ac:dyDescent="0.25">
      <c r="A43" s="32">
        <v>20302</v>
      </c>
      <c r="B43" s="34" t="s">
        <v>571</v>
      </c>
      <c r="C43" s="33">
        <v>10.260014054813773</v>
      </c>
      <c r="D43" s="33" t="str">
        <f t="shared" si="0"/>
        <v>Rojo</v>
      </c>
      <c r="E43" s="33">
        <v>33.900248423466465</v>
      </c>
      <c r="F43" s="33" t="str">
        <f t="shared" si="1"/>
        <v>Rojo</v>
      </c>
    </row>
    <row r="44" spans="1:6" x14ac:dyDescent="0.25">
      <c r="A44" s="32">
        <v>20303</v>
      </c>
      <c r="B44" s="34" t="s">
        <v>604</v>
      </c>
      <c r="C44" s="33">
        <v>6.057175205208039</v>
      </c>
      <c r="D44" s="33" t="str">
        <f t="shared" si="0"/>
        <v>Rojo</v>
      </c>
      <c r="E44" s="33">
        <v>21.769772905246672</v>
      </c>
      <c r="F44" s="33" t="str">
        <f t="shared" si="1"/>
        <v>Rojo</v>
      </c>
    </row>
    <row r="45" spans="1:6" x14ac:dyDescent="0.25">
      <c r="A45" s="32">
        <v>20304</v>
      </c>
      <c r="B45" s="34" t="s">
        <v>615</v>
      </c>
      <c r="C45" s="33">
        <v>10.526315789473683</v>
      </c>
      <c r="D45" s="33" t="str">
        <f t="shared" si="0"/>
        <v>Rojo</v>
      </c>
      <c r="E45" s="33">
        <v>39.896373056994818</v>
      </c>
      <c r="F45" s="33" t="str">
        <f t="shared" si="1"/>
        <v>Rojo</v>
      </c>
    </row>
    <row r="46" spans="1:6" x14ac:dyDescent="0.25">
      <c r="A46" s="32">
        <v>20305</v>
      </c>
      <c r="B46" s="34" t="s">
        <v>779</v>
      </c>
      <c r="C46" s="33">
        <v>9.9223468507333905</v>
      </c>
      <c r="D46" s="33" t="str">
        <f t="shared" si="0"/>
        <v>Rojo</v>
      </c>
      <c r="E46" s="33">
        <v>25.315729047072331</v>
      </c>
      <c r="F46" s="33" t="str">
        <f t="shared" si="1"/>
        <v>Rojo</v>
      </c>
    </row>
    <row r="47" spans="1:6" x14ac:dyDescent="0.25">
      <c r="A47" s="32">
        <v>20306</v>
      </c>
      <c r="B47" s="34" t="s">
        <v>1178</v>
      </c>
      <c r="C47" s="33">
        <v>3.4579439252336446</v>
      </c>
      <c r="D47" s="33" t="str">
        <f t="shared" si="0"/>
        <v>Rojo</v>
      </c>
      <c r="E47" s="33">
        <v>28.571428571428569</v>
      </c>
      <c r="F47" s="33" t="str">
        <f t="shared" si="1"/>
        <v>Rojo</v>
      </c>
    </row>
    <row r="48" spans="1:6" x14ac:dyDescent="0.25">
      <c r="A48" s="32">
        <v>20307</v>
      </c>
      <c r="B48" s="34" t="s">
        <v>570</v>
      </c>
      <c r="C48" s="33">
        <v>17.647058823529413</v>
      </c>
      <c r="D48" s="33" t="str">
        <f t="shared" si="0"/>
        <v>Rojo</v>
      </c>
      <c r="E48" s="33">
        <v>30.585325638911787</v>
      </c>
      <c r="F48" s="33" t="str">
        <f t="shared" si="1"/>
        <v>Rojo</v>
      </c>
    </row>
    <row r="49" spans="1:6" x14ac:dyDescent="0.25">
      <c r="A49" s="32">
        <v>20308</v>
      </c>
      <c r="B49" s="34" t="s">
        <v>599</v>
      </c>
      <c r="C49" s="33">
        <v>1.0035842293906809</v>
      </c>
      <c r="D49" s="33" t="str">
        <f t="shared" si="0"/>
        <v>Rojo</v>
      </c>
      <c r="E49" s="33">
        <v>9.6945923227794903</v>
      </c>
      <c r="F49" s="33" t="str">
        <f t="shared" si="1"/>
        <v>Rojo</v>
      </c>
    </row>
    <row r="50" spans="1:6" x14ac:dyDescent="0.25">
      <c r="A50" s="32">
        <v>20401</v>
      </c>
      <c r="B50" s="34" t="s">
        <v>777</v>
      </c>
      <c r="C50" s="33">
        <v>10.995809219716623</v>
      </c>
      <c r="D50" s="33" t="str">
        <f t="shared" si="0"/>
        <v>Rojo</v>
      </c>
      <c r="E50" s="33">
        <v>23.273773470623865</v>
      </c>
      <c r="F50" s="33" t="str">
        <f t="shared" si="1"/>
        <v>Rojo</v>
      </c>
    </row>
    <row r="51" spans="1:6" x14ac:dyDescent="0.25">
      <c r="A51" s="32">
        <v>20402</v>
      </c>
      <c r="B51" s="34" t="s">
        <v>505</v>
      </c>
      <c r="C51" s="33">
        <v>16.969421737814109</v>
      </c>
      <c r="D51" s="33" t="str">
        <f t="shared" si="0"/>
        <v>Rojo</v>
      </c>
      <c r="E51" s="33">
        <v>34.493947335579684</v>
      </c>
      <c r="F51" s="33" t="str">
        <f t="shared" si="1"/>
        <v>Rojo</v>
      </c>
    </row>
    <row r="52" spans="1:6" x14ac:dyDescent="0.25">
      <c r="A52" s="32">
        <v>20403</v>
      </c>
      <c r="B52" s="34" t="s">
        <v>497</v>
      </c>
      <c r="C52" s="33">
        <v>15.934168692724892</v>
      </c>
      <c r="D52" s="33" t="str">
        <f t="shared" si="0"/>
        <v>Rojo</v>
      </c>
      <c r="E52" s="33">
        <v>32.469922151450817</v>
      </c>
      <c r="F52" s="33" t="str">
        <f t="shared" si="1"/>
        <v>Rojo</v>
      </c>
    </row>
    <row r="53" spans="1:6" x14ac:dyDescent="0.25">
      <c r="A53" s="32">
        <v>20404</v>
      </c>
      <c r="B53" s="34" t="s">
        <v>696</v>
      </c>
      <c r="C53" s="33">
        <v>13.42504743833017</v>
      </c>
      <c r="D53" s="33" t="str">
        <f t="shared" si="0"/>
        <v>Rojo</v>
      </c>
      <c r="E53" s="33">
        <v>20.419469726948954</v>
      </c>
      <c r="F53" s="33" t="str">
        <f t="shared" si="1"/>
        <v>Rojo</v>
      </c>
    </row>
    <row r="54" spans="1:6" x14ac:dyDescent="0.25">
      <c r="A54" s="32">
        <v>20405</v>
      </c>
      <c r="B54" s="34" t="s">
        <v>778</v>
      </c>
      <c r="C54" s="33">
        <v>9.7125867195242819</v>
      </c>
      <c r="D54" s="33" t="str">
        <f t="shared" si="0"/>
        <v>Rojo</v>
      </c>
      <c r="E54" s="33">
        <v>27.81827016520894</v>
      </c>
      <c r="F54" s="33" t="str">
        <f t="shared" si="1"/>
        <v>Rojo</v>
      </c>
    </row>
    <row r="55" spans="1:6" x14ac:dyDescent="0.25">
      <c r="A55" s="32">
        <v>20501</v>
      </c>
      <c r="B55" s="34" t="s">
        <v>638</v>
      </c>
      <c r="C55" s="33">
        <v>23.743016759776538</v>
      </c>
      <c r="D55" s="33" t="str">
        <f t="shared" si="0"/>
        <v>Rojo</v>
      </c>
      <c r="E55" s="33">
        <v>42.18847839699437</v>
      </c>
      <c r="F55" s="33" t="str">
        <f t="shared" si="1"/>
        <v>Rojo</v>
      </c>
    </row>
    <row r="56" spans="1:6" x14ac:dyDescent="0.25">
      <c r="A56" s="32">
        <v>20502</v>
      </c>
      <c r="B56" s="34" t="s">
        <v>759</v>
      </c>
      <c r="C56" s="33">
        <v>24.899890789952675</v>
      </c>
      <c r="D56" s="33" t="str">
        <f t="shared" si="0"/>
        <v>Rojo</v>
      </c>
      <c r="E56" s="33">
        <v>37.321121923297078</v>
      </c>
      <c r="F56" s="33" t="str">
        <f t="shared" si="1"/>
        <v>Rojo</v>
      </c>
    </row>
    <row r="57" spans="1:6" x14ac:dyDescent="0.25">
      <c r="A57" s="32">
        <v>20503</v>
      </c>
      <c r="B57" s="34" t="s">
        <v>632</v>
      </c>
      <c r="C57" s="33">
        <v>17.595459236326107</v>
      </c>
      <c r="D57" s="33" t="str">
        <f t="shared" si="0"/>
        <v>Rojo</v>
      </c>
      <c r="E57" s="33">
        <v>33.479999999999997</v>
      </c>
      <c r="F57" s="33" t="str">
        <f t="shared" si="1"/>
        <v>Rojo</v>
      </c>
    </row>
    <row r="58" spans="1:6" x14ac:dyDescent="0.25">
      <c r="A58" s="32">
        <v>20601</v>
      </c>
      <c r="B58" s="34" t="s">
        <v>636</v>
      </c>
      <c r="C58" s="33">
        <v>26.210826210826209</v>
      </c>
      <c r="D58" s="33" t="str">
        <f t="shared" si="0"/>
        <v>Rojo</v>
      </c>
      <c r="E58" s="33">
        <v>42.857142857142854</v>
      </c>
      <c r="F58" s="33" t="str">
        <f t="shared" si="1"/>
        <v>Rojo</v>
      </c>
    </row>
    <row r="59" spans="1:6" x14ac:dyDescent="0.25">
      <c r="A59" s="32">
        <v>20602</v>
      </c>
      <c r="B59" s="34" t="s">
        <v>639</v>
      </c>
      <c r="C59" s="33">
        <v>32.236701559495835</v>
      </c>
      <c r="D59" s="33" t="str">
        <f t="shared" si="0"/>
        <v>Rojo</v>
      </c>
      <c r="E59" s="33">
        <v>53.804434519062049</v>
      </c>
      <c r="F59" s="33" t="str">
        <f t="shared" si="1"/>
        <v>Naranja</v>
      </c>
    </row>
    <row r="60" spans="1:6" x14ac:dyDescent="0.25">
      <c r="A60" s="32">
        <v>20603</v>
      </c>
      <c r="B60" s="34" t="s">
        <v>651</v>
      </c>
      <c r="C60" s="33">
        <v>21.107382550335572</v>
      </c>
      <c r="D60" s="33" t="str">
        <f t="shared" si="0"/>
        <v>Rojo</v>
      </c>
      <c r="E60" s="33">
        <v>37.066473988439306</v>
      </c>
      <c r="F60" s="33" t="str">
        <f t="shared" si="1"/>
        <v>Rojo</v>
      </c>
    </row>
    <row r="61" spans="1:6" x14ac:dyDescent="0.25">
      <c r="A61" s="32">
        <v>20604</v>
      </c>
      <c r="B61" s="34" t="s">
        <v>631</v>
      </c>
      <c r="C61" s="33">
        <v>19.766309639727361</v>
      </c>
      <c r="D61" s="33" t="str">
        <f t="shared" si="0"/>
        <v>Rojo</v>
      </c>
      <c r="E61" s="33">
        <v>34.076204169662113</v>
      </c>
      <c r="F61" s="33" t="str">
        <f t="shared" si="1"/>
        <v>Rojo</v>
      </c>
    </row>
    <row r="62" spans="1:6" x14ac:dyDescent="0.25">
      <c r="A62" s="32">
        <v>20605</v>
      </c>
      <c r="B62" s="34" t="s">
        <v>566</v>
      </c>
      <c r="C62" s="33">
        <v>23.74245472837022</v>
      </c>
      <c r="D62" s="33" t="str">
        <f t="shared" si="0"/>
        <v>Rojo</v>
      </c>
      <c r="E62" s="33">
        <v>36.491228070175438</v>
      </c>
      <c r="F62" s="33" t="str">
        <f t="shared" si="1"/>
        <v>Rojo</v>
      </c>
    </row>
    <row r="63" spans="1:6" x14ac:dyDescent="0.25">
      <c r="A63" s="32">
        <v>20606</v>
      </c>
      <c r="B63" s="34" t="s">
        <v>634</v>
      </c>
      <c r="C63" s="33">
        <v>26.149840902516637</v>
      </c>
      <c r="D63" s="33" t="str">
        <f t="shared" si="0"/>
        <v>Rojo</v>
      </c>
      <c r="E63" s="33">
        <v>36.170212765957451</v>
      </c>
      <c r="F63" s="33" t="str">
        <f t="shared" si="1"/>
        <v>Rojo</v>
      </c>
    </row>
    <row r="64" spans="1:6" x14ac:dyDescent="0.25">
      <c r="A64" s="32">
        <v>20607</v>
      </c>
      <c r="B64" s="34" t="s">
        <v>641</v>
      </c>
      <c r="C64" s="33">
        <v>21.283950617283949</v>
      </c>
      <c r="D64" s="33" t="str">
        <f t="shared" si="0"/>
        <v>Rojo</v>
      </c>
      <c r="E64" s="33">
        <v>60.553783705421857</v>
      </c>
      <c r="F64" s="33" t="str">
        <f t="shared" si="1"/>
        <v>Naranja</v>
      </c>
    </row>
    <row r="65" spans="1:6" x14ac:dyDescent="0.25">
      <c r="A65" s="32">
        <v>20608</v>
      </c>
      <c r="B65" s="34" t="s">
        <v>640</v>
      </c>
      <c r="C65" s="33">
        <v>23.343848580441641</v>
      </c>
      <c r="D65" s="33" t="str">
        <f t="shared" si="0"/>
        <v>Rojo</v>
      </c>
      <c r="E65" s="33">
        <v>34.528465884398088</v>
      </c>
      <c r="F65" s="33" t="str">
        <f t="shared" si="1"/>
        <v>Rojo</v>
      </c>
    </row>
    <row r="66" spans="1:6" x14ac:dyDescent="0.25">
      <c r="A66" s="32">
        <v>20701</v>
      </c>
      <c r="B66" s="34" t="s">
        <v>667</v>
      </c>
      <c r="C66" s="33">
        <v>26.356756756756756</v>
      </c>
      <c r="D66" s="33" t="str">
        <f t="shared" si="0"/>
        <v>Rojo</v>
      </c>
      <c r="E66" s="33">
        <v>35.64243997404283</v>
      </c>
      <c r="F66" s="33" t="str">
        <f t="shared" si="1"/>
        <v>Rojo</v>
      </c>
    </row>
    <row r="67" spans="1:6" x14ac:dyDescent="0.25">
      <c r="A67" s="32">
        <v>20702</v>
      </c>
      <c r="B67" s="34" t="s">
        <v>665</v>
      </c>
      <c r="C67" s="33">
        <v>10.403587443946188</v>
      </c>
      <c r="D67" s="33" t="str">
        <f t="shared" ref="D67:D130" si="2">IF(C67&lt;=50,"Rojo",
   IF(C67&lt;=68,"Naranja",
   IF(C67&lt;=85,"Amarillo","Verde")))</f>
        <v>Rojo</v>
      </c>
      <c r="E67" s="33">
        <v>44.882659713168188</v>
      </c>
      <c r="F67" s="33" t="str">
        <f t="shared" ref="F67:F130" si="3">IF(E67&lt;=50,"Rojo",
   IF(E67&lt;=68,"Naranja",
   IF(E67&lt;=85,"Amarillo","Verde")))</f>
        <v>Rojo</v>
      </c>
    </row>
    <row r="68" spans="1:6" x14ac:dyDescent="0.25">
      <c r="A68" s="32">
        <v>20801</v>
      </c>
      <c r="B68" s="34" t="s">
        <v>617</v>
      </c>
      <c r="C68" s="33">
        <v>29.293660469369094</v>
      </c>
      <c r="D68" s="33" t="str">
        <f t="shared" si="2"/>
        <v>Rojo</v>
      </c>
      <c r="E68" s="33">
        <v>54.681576500321881</v>
      </c>
      <c r="F68" s="33" t="str">
        <f t="shared" si="3"/>
        <v>Naranja</v>
      </c>
    </row>
    <row r="69" spans="1:6" x14ac:dyDescent="0.25">
      <c r="A69" s="32">
        <v>20802</v>
      </c>
      <c r="B69" s="34" t="s">
        <v>630</v>
      </c>
      <c r="C69" s="33">
        <v>27.352618088612228</v>
      </c>
      <c r="D69" s="33" t="str">
        <f t="shared" si="2"/>
        <v>Rojo</v>
      </c>
      <c r="E69" s="33">
        <v>60.434782608695649</v>
      </c>
      <c r="F69" s="33" t="str">
        <f t="shared" si="3"/>
        <v>Naranja</v>
      </c>
    </row>
    <row r="70" spans="1:6" x14ac:dyDescent="0.25">
      <c r="A70" s="32">
        <v>20803</v>
      </c>
      <c r="B70" s="34" t="s">
        <v>530</v>
      </c>
      <c r="C70" s="33">
        <v>27.545909849749584</v>
      </c>
      <c r="D70" s="33" t="str">
        <f t="shared" si="2"/>
        <v>Rojo</v>
      </c>
      <c r="E70" s="33">
        <v>45.47603696539867</v>
      </c>
      <c r="F70" s="33" t="str">
        <f t="shared" si="3"/>
        <v>Rojo</v>
      </c>
    </row>
    <row r="71" spans="1:6" x14ac:dyDescent="0.25">
      <c r="A71" s="32">
        <v>20804</v>
      </c>
      <c r="B71" s="34" t="s">
        <v>628</v>
      </c>
      <c r="C71" s="33">
        <v>28.799999999999997</v>
      </c>
      <c r="D71" s="33" t="str">
        <f t="shared" si="2"/>
        <v>Rojo</v>
      </c>
      <c r="E71" s="33">
        <v>63.738317757009341</v>
      </c>
      <c r="F71" s="33" t="str">
        <f t="shared" si="3"/>
        <v>Naranja</v>
      </c>
    </row>
    <row r="72" spans="1:6" x14ac:dyDescent="0.25">
      <c r="A72" s="32">
        <v>20805</v>
      </c>
      <c r="B72" s="34" t="s">
        <v>1126</v>
      </c>
      <c r="C72" s="33">
        <v>10.664993726474279</v>
      </c>
      <c r="D72" s="33" t="str">
        <f t="shared" si="2"/>
        <v>Rojo</v>
      </c>
      <c r="E72" s="33">
        <v>33.236994219653177</v>
      </c>
      <c r="F72" s="33" t="str">
        <f t="shared" si="3"/>
        <v>Rojo</v>
      </c>
    </row>
    <row r="73" spans="1:6" x14ac:dyDescent="0.25">
      <c r="A73" s="32">
        <v>20806</v>
      </c>
      <c r="B73" s="34" t="s">
        <v>973</v>
      </c>
      <c r="C73" s="33">
        <v>27.944433259512785</v>
      </c>
      <c r="D73" s="33" t="str">
        <f t="shared" si="2"/>
        <v>Rojo</v>
      </c>
      <c r="E73" s="33">
        <v>48.496687616782744</v>
      </c>
      <c r="F73" s="33" t="str">
        <f t="shared" si="3"/>
        <v>Rojo</v>
      </c>
    </row>
    <row r="74" spans="1:6" x14ac:dyDescent="0.25">
      <c r="A74" s="32">
        <v>20807</v>
      </c>
      <c r="B74" s="34" t="s">
        <v>781</v>
      </c>
      <c r="C74" s="33">
        <v>19.351291918636612</v>
      </c>
      <c r="D74" s="33" t="str">
        <f t="shared" si="2"/>
        <v>Rojo</v>
      </c>
      <c r="E74" s="33">
        <v>43.832943013270878</v>
      </c>
      <c r="F74" s="33" t="str">
        <f t="shared" si="3"/>
        <v>Rojo</v>
      </c>
    </row>
    <row r="75" spans="1:6" x14ac:dyDescent="0.25">
      <c r="A75" s="32">
        <v>20901</v>
      </c>
      <c r="B75" s="34" t="s">
        <v>575</v>
      </c>
      <c r="C75" s="33">
        <v>27.779197546639406</v>
      </c>
      <c r="D75" s="33" t="str">
        <f t="shared" si="2"/>
        <v>Rojo</v>
      </c>
      <c r="E75" s="33">
        <v>50.857013982859719</v>
      </c>
      <c r="F75" s="33" t="str">
        <f t="shared" si="3"/>
        <v>Naranja</v>
      </c>
    </row>
    <row r="76" spans="1:6" x14ac:dyDescent="0.25">
      <c r="A76" s="32">
        <v>20902</v>
      </c>
      <c r="B76" s="34" t="s">
        <v>481</v>
      </c>
      <c r="C76" s="33">
        <v>6.8555363321799305</v>
      </c>
      <c r="D76" s="33" t="str">
        <f t="shared" si="2"/>
        <v>Rojo</v>
      </c>
      <c r="E76" s="33">
        <v>31.77161795721603</v>
      </c>
      <c r="F76" s="33" t="str">
        <f t="shared" si="3"/>
        <v>Rojo</v>
      </c>
    </row>
    <row r="77" spans="1:6" x14ac:dyDescent="0.25">
      <c r="A77" s="32">
        <v>20903</v>
      </c>
      <c r="B77" s="34" t="s">
        <v>603</v>
      </c>
      <c r="C77" s="33">
        <v>10.277536860364267</v>
      </c>
      <c r="D77" s="33" t="str">
        <f t="shared" si="2"/>
        <v>Rojo</v>
      </c>
      <c r="E77" s="33">
        <v>21.41477547078706</v>
      </c>
      <c r="F77" s="33" t="str">
        <f t="shared" si="3"/>
        <v>Rojo</v>
      </c>
    </row>
    <row r="78" spans="1:6" x14ac:dyDescent="0.25">
      <c r="A78" s="32">
        <v>20904</v>
      </c>
      <c r="B78" s="34" t="s">
        <v>614</v>
      </c>
      <c r="C78" s="33">
        <v>17.990275526742302</v>
      </c>
      <c r="D78" s="33" t="str">
        <f t="shared" si="2"/>
        <v>Rojo</v>
      </c>
      <c r="E78" s="33">
        <v>21.947101857062464</v>
      </c>
      <c r="F78" s="33" t="str">
        <f t="shared" si="3"/>
        <v>Rojo</v>
      </c>
    </row>
    <row r="79" spans="1:6" x14ac:dyDescent="0.25">
      <c r="A79" s="32">
        <v>20905</v>
      </c>
      <c r="B79" s="34" t="s">
        <v>482</v>
      </c>
      <c r="C79" s="33">
        <v>15.211726384364821</v>
      </c>
      <c r="D79" s="33" t="str">
        <f t="shared" si="2"/>
        <v>Rojo</v>
      </c>
      <c r="E79" s="33">
        <v>22.771872444807851</v>
      </c>
      <c r="F79" s="33" t="str">
        <f t="shared" si="3"/>
        <v>Rojo</v>
      </c>
    </row>
    <row r="80" spans="1:6" x14ac:dyDescent="0.25">
      <c r="A80" s="32">
        <v>21001</v>
      </c>
      <c r="B80" s="34" t="s">
        <v>196</v>
      </c>
      <c r="C80" s="33">
        <v>7.7033101757253784</v>
      </c>
      <c r="D80" s="33" t="str">
        <f t="shared" si="2"/>
        <v>Rojo</v>
      </c>
      <c r="E80" s="33">
        <v>23.180291153415453</v>
      </c>
      <c r="F80" s="33" t="str">
        <f t="shared" si="3"/>
        <v>Rojo</v>
      </c>
    </row>
    <row r="81" spans="1:6" x14ac:dyDescent="0.25">
      <c r="A81" s="32">
        <v>21002</v>
      </c>
      <c r="B81" s="34" t="s">
        <v>619</v>
      </c>
      <c r="C81" s="33">
        <v>24.328314142308827</v>
      </c>
      <c r="D81" s="33" t="str">
        <f t="shared" si="2"/>
        <v>Rojo</v>
      </c>
      <c r="E81" s="33">
        <v>41.474966170500679</v>
      </c>
      <c r="F81" s="33" t="str">
        <f t="shared" si="3"/>
        <v>Rojo</v>
      </c>
    </row>
    <row r="82" spans="1:6" x14ac:dyDescent="0.25">
      <c r="A82" s="32">
        <v>21003</v>
      </c>
      <c r="B82" s="34" t="s">
        <v>513</v>
      </c>
      <c r="C82" s="33">
        <v>35.342828751242131</v>
      </c>
      <c r="D82" s="33" t="str">
        <f t="shared" si="2"/>
        <v>Rojo</v>
      </c>
      <c r="E82" s="33">
        <v>51.454639352728528</v>
      </c>
      <c r="F82" s="33" t="str">
        <f t="shared" si="3"/>
        <v>Naranja</v>
      </c>
    </row>
    <row r="83" spans="1:6" x14ac:dyDescent="0.25">
      <c r="A83" s="32">
        <v>21004</v>
      </c>
      <c r="B83" s="34" t="s">
        <v>483</v>
      </c>
      <c r="C83" s="33">
        <v>12.469982847341338</v>
      </c>
      <c r="D83" s="33" t="str">
        <f t="shared" si="2"/>
        <v>Rojo</v>
      </c>
      <c r="E83" s="33">
        <v>27.395171537484114</v>
      </c>
      <c r="F83" s="33" t="str">
        <f t="shared" si="3"/>
        <v>Rojo</v>
      </c>
    </row>
    <row r="84" spans="1:6" x14ac:dyDescent="0.25">
      <c r="A84" s="32">
        <v>21005</v>
      </c>
      <c r="B84" s="34" t="s">
        <v>484</v>
      </c>
      <c r="C84" s="33">
        <v>10.737463126843657</v>
      </c>
      <c r="D84" s="33" t="str">
        <f t="shared" si="2"/>
        <v>Rojo</v>
      </c>
      <c r="E84" s="33">
        <v>12.619392185238784</v>
      </c>
      <c r="F84" s="33" t="str">
        <f t="shared" si="3"/>
        <v>Rojo</v>
      </c>
    </row>
    <row r="85" spans="1:6" x14ac:dyDescent="0.25">
      <c r="A85" s="32">
        <v>21006</v>
      </c>
      <c r="B85" s="34" t="s">
        <v>618</v>
      </c>
      <c r="C85" s="33">
        <v>29.774730656219393</v>
      </c>
      <c r="D85" s="33" t="str">
        <f t="shared" si="2"/>
        <v>Rojo</v>
      </c>
      <c r="E85" s="33">
        <v>49.492250133618384</v>
      </c>
      <c r="F85" s="33" t="str">
        <f t="shared" si="3"/>
        <v>Rojo</v>
      </c>
    </row>
    <row r="86" spans="1:6" x14ac:dyDescent="0.25">
      <c r="A86" s="32">
        <v>21101</v>
      </c>
      <c r="B86" s="34" t="s">
        <v>516</v>
      </c>
      <c r="C86" s="33">
        <v>37.358118111531503</v>
      </c>
      <c r="D86" s="33" t="str">
        <f t="shared" si="2"/>
        <v>Rojo</v>
      </c>
      <c r="E86" s="33">
        <v>55.683393401718881</v>
      </c>
      <c r="F86" s="33" t="str">
        <f t="shared" si="3"/>
        <v>Naranja</v>
      </c>
    </row>
    <row r="87" spans="1:6" x14ac:dyDescent="0.25">
      <c r="A87" s="32">
        <v>21102</v>
      </c>
      <c r="B87" s="34" t="s">
        <v>515</v>
      </c>
      <c r="C87" s="33">
        <v>35.7285736267118</v>
      </c>
      <c r="D87" s="33" t="str">
        <f t="shared" si="2"/>
        <v>Rojo</v>
      </c>
      <c r="E87" s="33">
        <v>42.651723408754492</v>
      </c>
      <c r="F87" s="33" t="str">
        <f t="shared" si="3"/>
        <v>Rojo</v>
      </c>
    </row>
    <row r="88" spans="1:6" x14ac:dyDescent="0.25">
      <c r="A88" s="32">
        <v>21103</v>
      </c>
      <c r="B88" s="34" t="s">
        <v>626</v>
      </c>
      <c r="C88" s="33">
        <v>52.296360485268636</v>
      </c>
      <c r="D88" s="33" t="str">
        <f t="shared" si="2"/>
        <v>Naranja</v>
      </c>
      <c r="E88" s="33">
        <v>68.945963975983986</v>
      </c>
      <c r="F88" s="33" t="str">
        <f t="shared" si="3"/>
        <v>Amarillo</v>
      </c>
    </row>
    <row r="89" spans="1:6" x14ac:dyDescent="0.25">
      <c r="A89" s="32">
        <v>21104</v>
      </c>
      <c r="B89" s="34" t="s">
        <v>666</v>
      </c>
      <c r="C89" s="33">
        <v>32.608695652173914</v>
      </c>
      <c r="D89" s="33" t="str">
        <f t="shared" si="2"/>
        <v>Rojo</v>
      </c>
      <c r="E89" s="33">
        <v>40.644883920894237</v>
      </c>
      <c r="F89" s="33" t="str">
        <f t="shared" si="3"/>
        <v>Rojo</v>
      </c>
    </row>
    <row r="90" spans="1:6" x14ac:dyDescent="0.25">
      <c r="A90" s="32">
        <v>21105</v>
      </c>
      <c r="B90" s="34" t="s">
        <v>637</v>
      </c>
      <c r="C90" s="33">
        <v>9.9061445959818162</v>
      </c>
      <c r="D90" s="33" t="str">
        <f t="shared" si="2"/>
        <v>Rojo</v>
      </c>
      <c r="E90" s="33">
        <v>37.045701849836782</v>
      </c>
      <c r="F90" s="33" t="str">
        <f t="shared" si="3"/>
        <v>Rojo</v>
      </c>
    </row>
    <row r="91" spans="1:6" x14ac:dyDescent="0.25">
      <c r="A91" s="32">
        <v>21201</v>
      </c>
      <c r="B91" s="34" t="s">
        <v>564</v>
      </c>
      <c r="C91" s="33">
        <v>18.625130196004168</v>
      </c>
      <c r="D91" s="33" t="str">
        <f t="shared" si="2"/>
        <v>Rojo</v>
      </c>
      <c r="E91" s="33">
        <v>33.738757630830882</v>
      </c>
      <c r="F91" s="33" t="str">
        <f t="shared" si="3"/>
        <v>Rojo</v>
      </c>
    </row>
    <row r="92" spans="1:6" x14ac:dyDescent="0.25">
      <c r="A92" s="32">
        <v>21202</v>
      </c>
      <c r="B92" s="34" t="s">
        <v>621</v>
      </c>
      <c r="C92" s="33">
        <v>22.033243138770779</v>
      </c>
      <c r="D92" s="33" t="str">
        <f t="shared" si="2"/>
        <v>Rojo</v>
      </c>
      <c r="E92" s="33">
        <v>48.137809446852273</v>
      </c>
      <c r="F92" s="33" t="str">
        <f t="shared" si="3"/>
        <v>Rojo</v>
      </c>
    </row>
    <row r="93" spans="1:6" x14ac:dyDescent="0.25">
      <c r="A93" s="32">
        <v>21203</v>
      </c>
      <c r="B93" s="34" t="s">
        <v>698</v>
      </c>
      <c r="C93" s="33">
        <v>31.441768393269548</v>
      </c>
      <c r="D93" s="33" t="str">
        <f t="shared" si="2"/>
        <v>Rojo</v>
      </c>
      <c r="E93" s="33">
        <v>49.676584734799484</v>
      </c>
      <c r="F93" s="33" t="str">
        <f t="shared" si="3"/>
        <v>Rojo</v>
      </c>
    </row>
    <row r="94" spans="1:6" x14ac:dyDescent="0.25">
      <c r="A94" s="32">
        <v>21204</v>
      </c>
      <c r="B94" s="34" t="s">
        <v>688</v>
      </c>
      <c r="C94" s="33">
        <v>12.620357634112791</v>
      </c>
      <c r="D94" s="33" t="str">
        <f t="shared" si="2"/>
        <v>Rojo</v>
      </c>
      <c r="E94" s="33">
        <v>35.225846925972398</v>
      </c>
      <c r="F94" s="33" t="str">
        <f t="shared" si="3"/>
        <v>Rojo</v>
      </c>
    </row>
    <row r="95" spans="1:6" x14ac:dyDescent="0.25">
      <c r="A95" s="32">
        <v>21301</v>
      </c>
      <c r="B95" s="34" t="s">
        <v>1179</v>
      </c>
      <c r="C95" s="33">
        <v>11.507430997876858</v>
      </c>
      <c r="D95" s="33" t="str">
        <f t="shared" si="2"/>
        <v>Rojo</v>
      </c>
      <c r="E95" s="33">
        <v>32.050368258493705</v>
      </c>
      <c r="F95" s="33" t="str">
        <f t="shared" si="3"/>
        <v>Rojo</v>
      </c>
    </row>
    <row r="96" spans="1:6" x14ac:dyDescent="0.25">
      <c r="A96" s="32">
        <v>21302</v>
      </c>
      <c r="B96" s="34" t="s">
        <v>471</v>
      </c>
      <c r="C96" s="33">
        <v>19.852262234533701</v>
      </c>
      <c r="D96" s="33" t="str">
        <f t="shared" si="2"/>
        <v>Rojo</v>
      </c>
      <c r="E96" s="33">
        <v>43.330782963529714</v>
      </c>
      <c r="F96" s="33" t="str">
        <f t="shared" si="3"/>
        <v>Rojo</v>
      </c>
    </row>
    <row r="97" spans="1:6" x14ac:dyDescent="0.25">
      <c r="A97" s="32">
        <v>21303</v>
      </c>
      <c r="B97" s="34" t="s">
        <v>633</v>
      </c>
      <c r="C97" s="33">
        <v>9.8831030818278425</v>
      </c>
      <c r="D97" s="33" t="str">
        <f t="shared" si="2"/>
        <v>Rojo</v>
      </c>
      <c r="E97" s="33">
        <v>23.153942428035045</v>
      </c>
      <c r="F97" s="33" t="str">
        <f t="shared" si="3"/>
        <v>Rojo</v>
      </c>
    </row>
    <row r="98" spans="1:6" x14ac:dyDescent="0.25">
      <c r="A98" s="32">
        <v>21304</v>
      </c>
      <c r="B98" s="34" t="s">
        <v>616</v>
      </c>
      <c r="C98" s="33">
        <v>18.134308858113403</v>
      </c>
      <c r="D98" s="33" t="str">
        <f t="shared" si="2"/>
        <v>Rojo</v>
      </c>
      <c r="E98" s="33">
        <v>42.180354856411192</v>
      </c>
      <c r="F98" s="33" t="str">
        <f t="shared" si="3"/>
        <v>Rojo</v>
      </c>
    </row>
    <row r="99" spans="1:6" x14ac:dyDescent="0.25">
      <c r="A99" s="32">
        <v>21305</v>
      </c>
      <c r="B99" s="34" t="s">
        <v>608</v>
      </c>
      <c r="C99" s="33">
        <v>34.813925570228093</v>
      </c>
      <c r="D99" s="33" t="str">
        <f t="shared" si="2"/>
        <v>Rojo</v>
      </c>
      <c r="E99" s="33">
        <v>46.27153097250455</v>
      </c>
      <c r="F99" s="33" t="str">
        <f t="shared" si="3"/>
        <v>Rojo</v>
      </c>
    </row>
    <row r="100" spans="1:6" x14ac:dyDescent="0.25">
      <c r="A100" s="32">
        <v>21306</v>
      </c>
      <c r="B100" s="34" t="s">
        <v>609</v>
      </c>
      <c r="C100" s="33">
        <v>14.15625</v>
      </c>
      <c r="D100" s="33" t="str">
        <f t="shared" si="2"/>
        <v>Rojo</v>
      </c>
      <c r="E100" s="33">
        <v>22.366071428571431</v>
      </c>
      <c r="F100" s="33" t="str">
        <f t="shared" si="3"/>
        <v>Rojo</v>
      </c>
    </row>
    <row r="101" spans="1:6" x14ac:dyDescent="0.25">
      <c r="A101" s="32">
        <v>21307</v>
      </c>
      <c r="B101" s="34" t="s">
        <v>594</v>
      </c>
      <c r="C101" s="33">
        <v>14.229559748427672</v>
      </c>
      <c r="D101" s="33" t="str">
        <f t="shared" si="2"/>
        <v>Rojo</v>
      </c>
      <c r="E101" s="33">
        <v>23.351482153660012</v>
      </c>
      <c r="F101" s="33" t="str">
        <f t="shared" si="3"/>
        <v>Rojo</v>
      </c>
    </row>
    <row r="102" spans="1:6" x14ac:dyDescent="0.25">
      <c r="A102" s="32">
        <v>21401</v>
      </c>
      <c r="B102" s="34" t="s">
        <v>567</v>
      </c>
      <c r="C102" s="33">
        <v>36.049170954831332</v>
      </c>
      <c r="D102" s="33" t="str">
        <f t="shared" si="2"/>
        <v>Rojo</v>
      </c>
      <c r="E102" s="33">
        <v>48.78565921356978</v>
      </c>
      <c r="F102" s="33" t="str">
        <f t="shared" si="3"/>
        <v>Rojo</v>
      </c>
    </row>
    <row r="103" spans="1:6" x14ac:dyDescent="0.25">
      <c r="A103" s="32">
        <v>21402</v>
      </c>
      <c r="B103" s="34" t="s">
        <v>568</v>
      </c>
      <c r="C103" s="33">
        <v>46.022304832713758</v>
      </c>
      <c r="D103" s="33" t="str">
        <f t="shared" si="2"/>
        <v>Rojo</v>
      </c>
      <c r="E103" s="33">
        <v>63.985190171659376</v>
      </c>
      <c r="F103" s="33" t="str">
        <f t="shared" si="3"/>
        <v>Naranja</v>
      </c>
    </row>
    <row r="104" spans="1:6" x14ac:dyDescent="0.25">
      <c r="A104" s="32">
        <v>21501</v>
      </c>
      <c r="B104" s="34" t="s">
        <v>758</v>
      </c>
      <c r="C104" s="33">
        <v>5.462555066079295</v>
      </c>
      <c r="D104" s="33" t="str">
        <f t="shared" si="2"/>
        <v>Rojo</v>
      </c>
      <c r="E104" s="33">
        <v>20.26618269812462</v>
      </c>
      <c r="F104" s="33" t="str">
        <f t="shared" si="3"/>
        <v>Rojo</v>
      </c>
    </row>
    <row r="105" spans="1:6" x14ac:dyDescent="0.25">
      <c r="A105" s="32">
        <v>21502</v>
      </c>
      <c r="B105" s="34" t="s">
        <v>669</v>
      </c>
      <c r="C105" s="33">
        <v>43.441396508728182</v>
      </c>
      <c r="D105" s="33" t="str">
        <f t="shared" si="2"/>
        <v>Rojo</v>
      </c>
      <c r="E105" s="33">
        <v>64.829764829764827</v>
      </c>
      <c r="F105" s="33" t="str">
        <f t="shared" si="3"/>
        <v>Naranja</v>
      </c>
    </row>
    <row r="106" spans="1:6" x14ac:dyDescent="0.25">
      <c r="A106" s="32">
        <v>21601</v>
      </c>
      <c r="B106" s="34" t="s">
        <v>1180</v>
      </c>
      <c r="C106" s="33">
        <v>9.52112676056338</v>
      </c>
      <c r="D106" s="33" t="str">
        <f t="shared" si="2"/>
        <v>Rojo</v>
      </c>
      <c r="E106" s="33">
        <v>37.35563520509757</v>
      </c>
      <c r="F106" s="33" t="str">
        <f t="shared" si="3"/>
        <v>Rojo</v>
      </c>
    </row>
    <row r="107" spans="1:6" x14ac:dyDescent="0.25">
      <c r="A107" s="32">
        <v>21602</v>
      </c>
      <c r="B107" s="34" t="s">
        <v>664</v>
      </c>
      <c r="C107" s="33">
        <v>18.329938900203665</v>
      </c>
      <c r="D107" s="33" t="str">
        <f t="shared" si="2"/>
        <v>Rojo</v>
      </c>
      <c r="E107" s="33">
        <v>38.949275362318843</v>
      </c>
      <c r="F107" s="33" t="str">
        <f t="shared" si="3"/>
        <v>Rojo</v>
      </c>
    </row>
    <row r="108" spans="1:6" x14ac:dyDescent="0.25">
      <c r="A108" s="32">
        <v>21701</v>
      </c>
      <c r="B108" s="34" t="s">
        <v>644</v>
      </c>
      <c r="C108" s="33">
        <v>39.657853810264385</v>
      </c>
      <c r="D108" s="33" t="str">
        <f t="shared" si="2"/>
        <v>Rojo</v>
      </c>
      <c r="E108" s="33">
        <v>53.381252750476747</v>
      </c>
      <c r="F108" s="33" t="str">
        <f t="shared" si="3"/>
        <v>Naranja</v>
      </c>
    </row>
    <row r="109" spans="1:6" x14ac:dyDescent="0.25">
      <c r="A109" s="32">
        <v>21702</v>
      </c>
      <c r="B109" s="34" t="s">
        <v>655</v>
      </c>
      <c r="C109" s="33">
        <v>15.403323875152006</v>
      </c>
      <c r="D109" s="33" t="str">
        <f t="shared" si="2"/>
        <v>Rojo</v>
      </c>
      <c r="E109" s="33">
        <v>43.293858441200769</v>
      </c>
      <c r="F109" s="33" t="str">
        <f t="shared" si="3"/>
        <v>Rojo</v>
      </c>
    </row>
    <row r="110" spans="1:6" x14ac:dyDescent="0.25">
      <c r="A110" s="32">
        <v>21703</v>
      </c>
      <c r="B110" s="34" t="s">
        <v>563</v>
      </c>
      <c r="C110" s="33">
        <v>5.5598455598455594</v>
      </c>
      <c r="D110" s="33" t="str">
        <f t="shared" si="2"/>
        <v>Rojo</v>
      </c>
      <c r="E110" s="33">
        <v>21.573948439620079</v>
      </c>
      <c r="F110" s="33" t="str">
        <f t="shared" si="3"/>
        <v>Rojo</v>
      </c>
    </row>
    <row r="111" spans="1:6" x14ac:dyDescent="0.25">
      <c r="A111" s="32">
        <v>21801</v>
      </c>
      <c r="B111" s="34" t="s">
        <v>474</v>
      </c>
      <c r="C111" s="33">
        <v>6.7892503536067892</v>
      </c>
      <c r="D111" s="33" t="str">
        <f t="shared" si="2"/>
        <v>Rojo</v>
      </c>
      <c r="E111" s="33">
        <v>24.540757749712974</v>
      </c>
      <c r="F111" s="33" t="str">
        <f t="shared" si="3"/>
        <v>Rojo</v>
      </c>
    </row>
    <row r="112" spans="1:6" x14ac:dyDescent="0.25">
      <c r="A112" s="32">
        <v>21802</v>
      </c>
      <c r="B112" s="34" t="s">
        <v>470</v>
      </c>
      <c r="C112" s="33">
        <v>21.902017291066283</v>
      </c>
      <c r="D112" s="33" t="str">
        <f t="shared" si="2"/>
        <v>Rojo</v>
      </c>
      <c r="E112" s="33">
        <v>37.603878116343495</v>
      </c>
      <c r="F112" s="33" t="str">
        <f t="shared" si="3"/>
        <v>Rojo</v>
      </c>
    </row>
    <row r="113" spans="1:6" x14ac:dyDescent="0.25">
      <c r="A113" s="32">
        <v>21803</v>
      </c>
      <c r="B113" s="34" t="s">
        <v>468</v>
      </c>
      <c r="C113" s="33">
        <v>0.13003901170351106</v>
      </c>
      <c r="D113" s="33" t="str">
        <f t="shared" si="2"/>
        <v>Rojo</v>
      </c>
      <c r="E113" s="33">
        <v>12.145289443813848</v>
      </c>
      <c r="F113" s="33" t="str">
        <f t="shared" si="3"/>
        <v>Rojo</v>
      </c>
    </row>
    <row r="114" spans="1:6" x14ac:dyDescent="0.25">
      <c r="A114" s="32">
        <v>21901</v>
      </c>
      <c r="B114" s="34" t="s">
        <v>610</v>
      </c>
      <c r="C114" s="33">
        <v>21.038251366120221</v>
      </c>
      <c r="D114" s="33" t="str">
        <f t="shared" si="2"/>
        <v>Rojo</v>
      </c>
      <c r="E114" s="33">
        <v>41.373477672530449</v>
      </c>
      <c r="F114" s="33" t="str">
        <f t="shared" si="3"/>
        <v>Rojo</v>
      </c>
    </row>
    <row r="115" spans="1:6" x14ac:dyDescent="0.25">
      <c r="A115" s="32">
        <v>21902</v>
      </c>
      <c r="B115" s="34" t="s">
        <v>602</v>
      </c>
      <c r="C115" s="33">
        <v>29.211956521739129</v>
      </c>
      <c r="D115" s="33" t="str">
        <f t="shared" si="2"/>
        <v>Rojo</v>
      </c>
      <c r="E115" s="33">
        <v>44.54277286135693</v>
      </c>
      <c r="F115" s="33" t="str">
        <f t="shared" si="3"/>
        <v>Rojo</v>
      </c>
    </row>
    <row r="116" spans="1:6" x14ac:dyDescent="0.25">
      <c r="A116" s="32">
        <v>22001</v>
      </c>
      <c r="B116" s="34" t="s">
        <v>366</v>
      </c>
      <c r="C116" s="33">
        <v>36.149462428764465</v>
      </c>
      <c r="D116" s="33" t="str">
        <f t="shared" si="2"/>
        <v>Rojo</v>
      </c>
      <c r="E116" s="33">
        <v>50.595322802523604</v>
      </c>
      <c r="F116" s="33" t="str">
        <f t="shared" si="3"/>
        <v>Naranja</v>
      </c>
    </row>
    <row r="117" spans="1:6" x14ac:dyDescent="0.25">
      <c r="A117" s="32">
        <v>22002</v>
      </c>
      <c r="B117" s="34" t="s">
        <v>692</v>
      </c>
      <c r="C117" s="33">
        <v>25.890736342042754</v>
      </c>
      <c r="D117" s="33" t="str">
        <f t="shared" si="2"/>
        <v>Rojo</v>
      </c>
      <c r="E117" s="33">
        <v>39.545758183032731</v>
      </c>
      <c r="F117" s="33" t="str">
        <f t="shared" si="3"/>
        <v>Rojo</v>
      </c>
    </row>
    <row r="118" spans="1:6" x14ac:dyDescent="0.25">
      <c r="A118" s="32">
        <v>30101</v>
      </c>
      <c r="B118" s="34" t="s">
        <v>3</v>
      </c>
      <c r="C118" s="33">
        <v>56.130479884539056</v>
      </c>
      <c r="D118" s="33" t="str">
        <f t="shared" si="2"/>
        <v>Naranja</v>
      </c>
      <c r="E118" s="33">
        <v>60.558337612414206</v>
      </c>
      <c r="F118" s="33" t="str">
        <f t="shared" si="3"/>
        <v>Naranja</v>
      </c>
    </row>
    <row r="119" spans="1:6" x14ac:dyDescent="0.25">
      <c r="A119" s="32">
        <v>30201</v>
      </c>
      <c r="B119" s="34" t="s">
        <v>459</v>
      </c>
      <c r="C119" s="33">
        <v>40.852438836744113</v>
      </c>
      <c r="D119" s="33" t="str">
        <f t="shared" si="2"/>
        <v>Rojo</v>
      </c>
      <c r="E119" s="33">
        <v>52.660395900603675</v>
      </c>
      <c r="F119" s="33" t="str">
        <f t="shared" si="3"/>
        <v>Naranja</v>
      </c>
    </row>
    <row r="120" spans="1:6" x14ac:dyDescent="0.25">
      <c r="A120" s="32">
        <v>30202</v>
      </c>
      <c r="B120" s="34" t="s">
        <v>788</v>
      </c>
      <c r="C120" s="33">
        <v>5.6603773584905666</v>
      </c>
      <c r="D120" s="33" t="str">
        <f t="shared" si="2"/>
        <v>Rojo</v>
      </c>
      <c r="E120" s="33">
        <v>40.387906446092416</v>
      </c>
      <c r="F120" s="33" t="str">
        <f t="shared" si="3"/>
        <v>Rojo</v>
      </c>
    </row>
    <row r="121" spans="1:6" x14ac:dyDescent="0.25">
      <c r="A121" s="32">
        <v>30203</v>
      </c>
      <c r="B121" s="34" t="s">
        <v>507</v>
      </c>
      <c r="C121" s="33">
        <v>48.11715481171548</v>
      </c>
      <c r="D121" s="33" t="str">
        <f t="shared" si="2"/>
        <v>Rojo</v>
      </c>
      <c r="E121" s="33">
        <v>65.572916666666671</v>
      </c>
      <c r="F121" s="33" t="str">
        <f t="shared" si="3"/>
        <v>Naranja</v>
      </c>
    </row>
    <row r="122" spans="1:6" x14ac:dyDescent="0.25">
      <c r="A122" s="32">
        <v>30301</v>
      </c>
      <c r="B122" s="34" t="s">
        <v>259</v>
      </c>
      <c r="C122" s="33">
        <v>11.229073091057575</v>
      </c>
      <c r="D122" s="33" t="str">
        <f t="shared" si="2"/>
        <v>Rojo</v>
      </c>
      <c r="E122" s="33">
        <v>25.645581615730865</v>
      </c>
      <c r="F122" s="33" t="str">
        <f t="shared" si="3"/>
        <v>Rojo</v>
      </c>
    </row>
    <row r="123" spans="1:6" x14ac:dyDescent="0.25">
      <c r="A123" s="32">
        <v>30302</v>
      </c>
      <c r="B123" s="34" t="s">
        <v>560</v>
      </c>
      <c r="C123" s="33">
        <v>16.361788617886177</v>
      </c>
      <c r="D123" s="33" t="str">
        <f t="shared" si="2"/>
        <v>Rojo</v>
      </c>
      <c r="E123" s="33">
        <v>32.296791970084634</v>
      </c>
      <c r="F123" s="33" t="str">
        <f t="shared" si="3"/>
        <v>Rojo</v>
      </c>
    </row>
    <row r="124" spans="1:6" x14ac:dyDescent="0.25">
      <c r="A124" s="32">
        <v>30303</v>
      </c>
      <c r="B124" s="34" t="s">
        <v>707</v>
      </c>
      <c r="C124" s="33">
        <v>8.9227642276422774</v>
      </c>
      <c r="D124" s="33" t="str">
        <f t="shared" si="2"/>
        <v>Rojo</v>
      </c>
      <c r="E124" s="33">
        <v>18.080149114631876</v>
      </c>
      <c r="F124" s="33" t="str">
        <f t="shared" si="3"/>
        <v>Rojo</v>
      </c>
    </row>
    <row r="125" spans="1:6" x14ac:dyDescent="0.25">
      <c r="A125" s="32">
        <v>30401</v>
      </c>
      <c r="B125" s="34" t="s">
        <v>540</v>
      </c>
      <c r="C125" s="33">
        <v>40.570767450829152</v>
      </c>
      <c r="D125" s="33" t="str">
        <f t="shared" si="2"/>
        <v>Rojo</v>
      </c>
      <c r="E125" s="33">
        <v>53.101736972704714</v>
      </c>
      <c r="F125" s="33" t="str">
        <f t="shared" si="3"/>
        <v>Naranja</v>
      </c>
    </row>
    <row r="126" spans="1:6" x14ac:dyDescent="0.25">
      <c r="A126" s="32">
        <v>30402</v>
      </c>
      <c r="B126" s="34" t="s">
        <v>580</v>
      </c>
      <c r="C126" s="33">
        <v>16.122913505311075</v>
      </c>
      <c r="D126" s="33" t="str">
        <f t="shared" si="2"/>
        <v>Rojo</v>
      </c>
      <c r="E126" s="33">
        <v>23.765615704937538</v>
      </c>
      <c r="F126" s="33" t="str">
        <f t="shared" si="3"/>
        <v>Rojo</v>
      </c>
    </row>
    <row r="127" spans="1:6" x14ac:dyDescent="0.25">
      <c r="A127" s="32">
        <v>30403</v>
      </c>
      <c r="B127" s="34" t="s">
        <v>469</v>
      </c>
      <c r="C127" s="33">
        <v>38.702096890817067</v>
      </c>
      <c r="D127" s="33" t="str">
        <f t="shared" si="2"/>
        <v>Rojo</v>
      </c>
      <c r="E127" s="33">
        <v>23.571165191740413</v>
      </c>
      <c r="F127" s="33" t="str">
        <f t="shared" si="3"/>
        <v>Rojo</v>
      </c>
    </row>
    <row r="128" spans="1:6" x14ac:dyDescent="0.25">
      <c r="A128" s="32">
        <v>30404</v>
      </c>
      <c r="B128" s="34" t="s">
        <v>579</v>
      </c>
      <c r="C128" s="33">
        <v>17.718940936863543</v>
      </c>
      <c r="D128" s="33" t="str">
        <f t="shared" si="2"/>
        <v>Rojo</v>
      </c>
      <c r="E128" s="33">
        <v>24.622844827586206</v>
      </c>
      <c r="F128" s="33" t="str">
        <f t="shared" si="3"/>
        <v>Rojo</v>
      </c>
    </row>
    <row r="129" spans="1:6" x14ac:dyDescent="0.25">
      <c r="A129" s="32">
        <v>30501</v>
      </c>
      <c r="B129" s="34" t="s">
        <v>299</v>
      </c>
      <c r="C129" s="33">
        <v>47.900763358778626</v>
      </c>
      <c r="D129" s="33" t="str">
        <f t="shared" si="2"/>
        <v>Rojo</v>
      </c>
      <c r="E129" s="33">
        <v>67.059655741570396</v>
      </c>
      <c r="F129" s="33" t="str">
        <f t="shared" si="3"/>
        <v>Naranja</v>
      </c>
    </row>
    <row r="130" spans="1:6" x14ac:dyDescent="0.25">
      <c r="A130" s="32">
        <v>30502</v>
      </c>
      <c r="B130" s="34" t="s">
        <v>728</v>
      </c>
      <c r="C130" s="33">
        <v>22.204871955028107</v>
      </c>
      <c r="D130" s="33" t="str">
        <f t="shared" si="2"/>
        <v>Rojo</v>
      </c>
      <c r="E130" s="33">
        <v>35.662784248474765</v>
      </c>
      <c r="F130" s="33" t="str">
        <f t="shared" si="3"/>
        <v>Rojo</v>
      </c>
    </row>
    <row r="131" spans="1:6" x14ac:dyDescent="0.25">
      <c r="A131" s="32">
        <v>30601</v>
      </c>
      <c r="B131" s="34" t="s">
        <v>192</v>
      </c>
      <c r="C131" s="33">
        <v>5.3587647593097181</v>
      </c>
      <c r="D131" s="33" t="str">
        <f t="shared" ref="D131:D194" si="4">IF(C131&lt;=50,"Rojo",
   IF(C131&lt;=68,"Naranja",
   IF(C131&lt;=85,"Amarillo","Verde")))</f>
        <v>Rojo</v>
      </c>
      <c r="E131" s="33">
        <v>17.102564102564102</v>
      </c>
      <c r="F131" s="33" t="str">
        <f t="shared" ref="F131:F194" si="5">IF(E131&lt;=50,"Rojo",
   IF(E131&lt;=68,"Naranja",
   IF(E131&lt;=85,"Amarillo","Verde")))</f>
        <v>Rojo</v>
      </c>
    </row>
    <row r="132" spans="1:6" x14ac:dyDescent="0.25">
      <c r="A132" s="32">
        <v>30602</v>
      </c>
      <c r="B132" s="34" t="s">
        <v>587</v>
      </c>
      <c r="C132" s="33">
        <v>21.366496853461193</v>
      </c>
      <c r="D132" s="33" t="str">
        <f t="shared" si="4"/>
        <v>Rojo</v>
      </c>
      <c r="E132" s="33">
        <v>34.358731661145292</v>
      </c>
      <c r="F132" s="33" t="str">
        <f t="shared" si="5"/>
        <v>Rojo</v>
      </c>
    </row>
    <row r="133" spans="1:6" x14ac:dyDescent="0.25">
      <c r="A133" s="32">
        <v>30701</v>
      </c>
      <c r="B133" s="34" t="s">
        <v>189</v>
      </c>
      <c r="C133" s="33">
        <v>38.377192982456144</v>
      </c>
      <c r="D133" s="33" t="str">
        <f t="shared" si="4"/>
        <v>Rojo</v>
      </c>
      <c r="E133" s="33">
        <v>52.410241739379202</v>
      </c>
      <c r="F133" s="33" t="str">
        <f t="shared" si="5"/>
        <v>Naranja</v>
      </c>
    </row>
    <row r="134" spans="1:6" x14ac:dyDescent="0.25">
      <c r="A134" s="32">
        <v>30702</v>
      </c>
      <c r="B134" s="34" t="s">
        <v>1181</v>
      </c>
      <c r="C134" s="33">
        <v>43.279234290470249</v>
      </c>
      <c r="D134" s="33" t="str">
        <f t="shared" si="4"/>
        <v>Rojo</v>
      </c>
      <c r="E134" s="33">
        <v>66.057180851063833</v>
      </c>
      <c r="F134" s="33" t="str">
        <f t="shared" si="5"/>
        <v>Naranja</v>
      </c>
    </row>
    <row r="135" spans="1:6" x14ac:dyDescent="0.25">
      <c r="A135" s="32">
        <v>30703</v>
      </c>
      <c r="B135" s="34" t="s">
        <v>475</v>
      </c>
      <c r="C135" s="33">
        <v>22.807017543859647</v>
      </c>
      <c r="D135" s="33" t="str">
        <f t="shared" si="4"/>
        <v>Rojo</v>
      </c>
      <c r="E135" s="33">
        <v>46.550416982562545</v>
      </c>
      <c r="F135" s="33" t="str">
        <f t="shared" si="5"/>
        <v>Rojo</v>
      </c>
    </row>
    <row r="136" spans="1:6" x14ac:dyDescent="0.25">
      <c r="A136" s="32">
        <v>30801</v>
      </c>
      <c r="B136" s="34" t="s">
        <v>586</v>
      </c>
      <c r="C136" s="33">
        <v>65.083892617449663</v>
      </c>
      <c r="D136" s="33" t="str">
        <f t="shared" si="4"/>
        <v>Naranja</v>
      </c>
      <c r="E136" s="33">
        <v>81.429473019880078</v>
      </c>
      <c r="F136" s="33" t="str">
        <f t="shared" si="5"/>
        <v>Amarillo</v>
      </c>
    </row>
    <row r="137" spans="1:6" x14ac:dyDescent="0.25">
      <c r="A137" s="32">
        <v>30802</v>
      </c>
      <c r="B137" s="34" t="s">
        <v>581</v>
      </c>
      <c r="C137" s="33">
        <v>43.474041727316838</v>
      </c>
      <c r="D137" s="33" t="str">
        <f t="shared" si="4"/>
        <v>Rojo</v>
      </c>
      <c r="E137" s="33">
        <v>62.558320373250389</v>
      </c>
      <c r="F137" s="33" t="str">
        <f t="shared" si="5"/>
        <v>Naranja</v>
      </c>
    </row>
    <row r="138" spans="1:6" x14ac:dyDescent="0.25">
      <c r="A138" s="32">
        <v>30803</v>
      </c>
      <c r="B138" s="34" t="s">
        <v>596</v>
      </c>
      <c r="C138" s="33">
        <v>40.408163265306122</v>
      </c>
      <c r="D138" s="33" t="str">
        <f t="shared" si="4"/>
        <v>Rojo</v>
      </c>
      <c r="E138" s="33">
        <v>59.181240063593009</v>
      </c>
      <c r="F138" s="33" t="str">
        <f t="shared" si="5"/>
        <v>Naranja</v>
      </c>
    </row>
    <row r="139" spans="1:6" x14ac:dyDescent="0.25">
      <c r="A139" s="32">
        <v>30901</v>
      </c>
      <c r="B139" s="34" t="s">
        <v>239</v>
      </c>
      <c r="C139" s="33">
        <v>51.877209095210262</v>
      </c>
      <c r="D139" s="33" t="str">
        <f t="shared" si="4"/>
        <v>Naranja</v>
      </c>
      <c r="E139" s="33">
        <v>58.001667649630882</v>
      </c>
      <c r="F139" s="33" t="str">
        <f t="shared" si="5"/>
        <v>Naranja</v>
      </c>
    </row>
    <row r="140" spans="1:6" x14ac:dyDescent="0.25">
      <c r="A140" s="32">
        <v>30902</v>
      </c>
      <c r="B140" s="34" t="s">
        <v>538</v>
      </c>
      <c r="C140" s="33">
        <v>49.116607773851591</v>
      </c>
      <c r="D140" s="33" t="str">
        <f t="shared" si="4"/>
        <v>Rojo</v>
      </c>
      <c r="E140" s="33">
        <v>34.066427289048477</v>
      </c>
      <c r="F140" s="33" t="str">
        <f t="shared" si="5"/>
        <v>Rojo</v>
      </c>
    </row>
    <row r="141" spans="1:6" x14ac:dyDescent="0.25">
      <c r="A141" s="32">
        <v>30903</v>
      </c>
      <c r="B141" s="34" t="s">
        <v>536</v>
      </c>
      <c r="C141" s="33">
        <v>30.02814462004763</v>
      </c>
      <c r="D141" s="33" t="str">
        <f t="shared" si="4"/>
        <v>Rojo</v>
      </c>
      <c r="E141" s="33">
        <v>58.225518625920145</v>
      </c>
      <c r="F141" s="33" t="str">
        <f t="shared" si="5"/>
        <v>Naranja</v>
      </c>
    </row>
    <row r="142" spans="1:6" x14ac:dyDescent="0.25">
      <c r="A142" s="32">
        <v>30904</v>
      </c>
      <c r="B142" s="34" t="s">
        <v>539</v>
      </c>
      <c r="C142" s="33">
        <v>30.247344885410843</v>
      </c>
      <c r="D142" s="33" t="str">
        <f t="shared" si="4"/>
        <v>Rojo</v>
      </c>
      <c r="E142" s="33">
        <v>37.818032594676986</v>
      </c>
      <c r="F142" s="33" t="str">
        <f t="shared" si="5"/>
        <v>Rojo</v>
      </c>
    </row>
    <row r="143" spans="1:6" x14ac:dyDescent="0.25">
      <c r="A143" s="32">
        <v>30905</v>
      </c>
      <c r="B143" s="34" t="s">
        <v>537</v>
      </c>
      <c r="C143" s="33">
        <v>59.323664348083469</v>
      </c>
      <c r="D143" s="33" t="str">
        <f t="shared" si="4"/>
        <v>Naranja</v>
      </c>
      <c r="E143" s="33">
        <v>71.354872329338193</v>
      </c>
      <c r="F143" s="33" t="str">
        <f t="shared" si="5"/>
        <v>Amarillo</v>
      </c>
    </row>
    <row r="144" spans="1:6" x14ac:dyDescent="0.25">
      <c r="A144" s="32">
        <v>31001</v>
      </c>
      <c r="B144" s="34" t="s">
        <v>535</v>
      </c>
      <c r="C144" s="33">
        <v>45.613850555368565</v>
      </c>
      <c r="D144" s="33" t="str">
        <f t="shared" si="4"/>
        <v>Rojo</v>
      </c>
      <c r="E144" s="33">
        <v>55.449915600248147</v>
      </c>
      <c r="F144" s="33" t="str">
        <f t="shared" si="5"/>
        <v>Naranja</v>
      </c>
    </row>
    <row r="145" spans="1:6" x14ac:dyDescent="0.25">
      <c r="A145" s="32">
        <v>31002</v>
      </c>
      <c r="B145" s="34" t="s">
        <v>755</v>
      </c>
      <c r="C145" s="33">
        <v>44.686150780471607</v>
      </c>
      <c r="D145" s="33" t="str">
        <f t="shared" si="4"/>
        <v>Rojo</v>
      </c>
      <c r="E145" s="33">
        <v>54.256446485340874</v>
      </c>
      <c r="F145" s="33" t="str">
        <f t="shared" si="5"/>
        <v>Naranja</v>
      </c>
    </row>
    <row r="146" spans="1:6" x14ac:dyDescent="0.25">
      <c r="A146" s="32">
        <v>31003</v>
      </c>
      <c r="B146" s="34" t="s">
        <v>721</v>
      </c>
      <c r="C146" s="33">
        <v>19.880261927034613</v>
      </c>
      <c r="D146" s="33" t="str">
        <f t="shared" si="4"/>
        <v>Rojo</v>
      </c>
      <c r="E146" s="33">
        <v>39.44840409048652</v>
      </c>
      <c r="F146" s="33" t="str">
        <f t="shared" si="5"/>
        <v>Rojo</v>
      </c>
    </row>
    <row r="147" spans="1:6" x14ac:dyDescent="0.25">
      <c r="A147" s="32">
        <v>31101</v>
      </c>
      <c r="B147" s="34" t="s">
        <v>314</v>
      </c>
      <c r="C147" s="33">
        <v>6.9148280537409095</v>
      </c>
      <c r="D147" s="33" t="str">
        <f t="shared" si="4"/>
        <v>Rojo</v>
      </c>
      <c r="E147" s="33">
        <v>14.567337621913259</v>
      </c>
      <c r="F147" s="33" t="str">
        <f t="shared" si="5"/>
        <v>Rojo</v>
      </c>
    </row>
    <row r="148" spans="1:6" x14ac:dyDescent="0.25">
      <c r="A148" s="32">
        <v>31201</v>
      </c>
      <c r="B148" s="34" t="s">
        <v>518</v>
      </c>
      <c r="C148" s="33">
        <v>16.007612603087335</v>
      </c>
      <c r="D148" s="33" t="str">
        <f t="shared" si="4"/>
        <v>Rojo</v>
      </c>
      <c r="E148" s="33">
        <v>25.247617267800411</v>
      </c>
      <c r="F148" s="33" t="str">
        <f t="shared" si="5"/>
        <v>Rojo</v>
      </c>
    </row>
    <row r="149" spans="1:6" x14ac:dyDescent="0.25">
      <c r="A149" s="32">
        <v>31202</v>
      </c>
      <c r="B149" s="34" t="s">
        <v>752</v>
      </c>
      <c r="C149" s="33">
        <v>16.983016983016981</v>
      </c>
      <c r="D149" s="33" t="str">
        <f t="shared" si="4"/>
        <v>Rojo</v>
      </c>
      <c r="E149" s="33">
        <v>30.20242914979757</v>
      </c>
      <c r="F149" s="33" t="str">
        <f t="shared" si="5"/>
        <v>Rojo</v>
      </c>
    </row>
    <row r="150" spans="1:6" x14ac:dyDescent="0.25">
      <c r="A150" s="32">
        <v>31203</v>
      </c>
      <c r="B150" s="34" t="s">
        <v>729</v>
      </c>
      <c r="C150" s="33">
        <v>26.52370203160271</v>
      </c>
      <c r="D150" s="33" t="str">
        <f t="shared" si="4"/>
        <v>Rojo</v>
      </c>
      <c r="E150" s="33">
        <v>42.365547084277765</v>
      </c>
      <c r="F150" s="33" t="str">
        <f t="shared" si="5"/>
        <v>Rojo</v>
      </c>
    </row>
    <row r="151" spans="1:6" x14ac:dyDescent="0.25">
      <c r="A151" s="32">
        <v>31204</v>
      </c>
      <c r="B151" s="34" t="s">
        <v>722</v>
      </c>
      <c r="C151" s="33">
        <v>23.585295332507229</v>
      </c>
      <c r="D151" s="33" t="str">
        <f t="shared" si="4"/>
        <v>Rojo</v>
      </c>
      <c r="E151" s="33">
        <v>40.409207161125323</v>
      </c>
      <c r="F151" s="33" t="str">
        <f t="shared" si="5"/>
        <v>Rojo</v>
      </c>
    </row>
    <row r="152" spans="1:6" x14ac:dyDescent="0.25">
      <c r="A152" s="32">
        <v>31205</v>
      </c>
      <c r="B152" s="34" t="s">
        <v>738</v>
      </c>
      <c r="C152" s="33">
        <v>27.20193498908619</v>
      </c>
      <c r="D152" s="33" t="str">
        <f t="shared" si="4"/>
        <v>Rojo</v>
      </c>
      <c r="E152" s="33">
        <v>45.766168568851242</v>
      </c>
      <c r="F152" s="33" t="str">
        <f t="shared" si="5"/>
        <v>Rojo</v>
      </c>
    </row>
    <row r="153" spans="1:6" x14ac:dyDescent="0.25">
      <c r="A153" s="32">
        <v>31206</v>
      </c>
      <c r="B153" s="34" t="s">
        <v>527</v>
      </c>
      <c r="C153" s="33">
        <v>24.753507014028056</v>
      </c>
      <c r="D153" s="33" t="str">
        <f t="shared" si="4"/>
        <v>Rojo</v>
      </c>
      <c r="E153" s="33">
        <v>35.471449004290903</v>
      </c>
      <c r="F153" s="33" t="str">
        <f t="shared" si="5"/>
        <v>Rojo</v>
      </c>
    </row>
    <row r="154" spans="1:6" x14ac:dyDescent="0.25">
      <c r="A154" s="32">
        <v>31301</v>
      </c>
      <c r="B154" s="34" t="s">
        <v>417</v>
      </c>
      <c r="C154" s="33">
        <v>15.371002401719124</v>
      </c>
      <c r="D154" s="33" t="str">
        <f t="shared" si="4"/>
        <v>Rojo</v>
      </c>
      <c r="E154" s="33">
        <v>41.997383340601829</v>
      </c>
      <c r="F154" s="33" t="str">
        <f t="shared" si="5"/>
        <v>Rojo</v>
      </c>
    </row>
    <row r="155" spans="1:6" x14ac:dyDescent="0.25">
      <c r="A155" s="32">
        <v>31302</v>
      </c>
      <c r="B155" s="34" t="s">
        <v>757</v>
      </c>
      <c r="C155" s="33">
        <v>13.18181818181818</v>
      </c>
      <c r="D155" s="33" t="str">
        <f t="shared" si="4"/>
        <v>Rojo</v>
      </c>
      <c r="E155" s="33">
        <v>16.336368505623998</v>
      </c>
      <c r="F155" s="33" t="str">
        <f t="shared" si="5"/>
        <v>Rojo</v>
      </c>
    </row>
    <row r="156" spans="1:6" x14ac:dyDescent="0.25">
      <c r="A156" s="32">
        <v>31303</v>
      </c>
      <c r="B156" s="34" t="s">
        <v>756</v>
      </c>
      <c r="C156" s="33">
        <v>5.169340463458111</v>
      </c>
      <c r="D156" s="33" t="str">
        <f t="shared" si="4"/>
        <v>Rojo</v>
      </c>
      <c r="E156" s="33">
        <v>13.067292644757433</v>
      </c>
      <c r="F156" s="33" t="str">
        <f t="shared" si="5"/>
        <v>Rojo</v>
      </c>
    </row>
    <row r="157" spans="1:6" x14ac:dyDescent="0.25">
      <c r="A157" s="32">
        <v>31304</v>
      </c>
      <c r="B157" s="34" t="s">
        <v>794</v>
      </c>
      <c r="C157" s="33">
        <v>15.371002401719124</v>
      </c>
      <c r="D157" s="33" t="str">
        <f t="shared" si="4"/>
        <v>Rojo</v>
      </c>
      <c r="E157" s="33">
        <v>9.4553706505295008</v>
      </c>
      <c r="F157" s="33" t="str">
        <f t="shared" si="5"/>
        <v>Rojo</v>
      </c>
    </row>
    <row r="158" spans="1:6" x14ac:dyDescent="0.25">
      <c r="A158" s="32">
        <v>31401</v>
      </c>
      <c r="B158" s="34" t="s">
        <v>180</v>
      </c>
      <c r="C158" s="33">
        <v>55.589708561020032</v>
      </c>
      <c r="D158" s="33" t="str">
        <f t="shared" si="4"/>
        <v>Naranja</v>
      </c>
      <c r="E158" s="33">
        <v>62.33433468810744</v>
      </c>
      <c r="F158" s="33" t="str">
        <f t="shared" si="5"/>
        <v>Naranja</v>
      </c>
    </row>
    <row r="159" spans="1:6" x14ac:dyDescent="0.25">
      <c r="A159" s="32">
        <v>31402</v>
      </c>
      <c r="B159" s="34" t="s">
        <v>466</v>
      </c>
      <c r="C159" s="33">
        <v>32.34714003944773</v>
      </c>
      <c r="D159" s="33" t="str">
        <f t="shared" si="4"/>
        <v>Rojo</v>
      </c>
      <c r="E159" s="33">
        <v>47.547516860821581</v>
      </c>
      <c r="F159" s="33" t="str">
        <f t="shared" si="5"/>
        <v>Rojo</v>
      </c>
    </row>
    <row r="160" spans="1:6" x14ac:dyDescent="0.25">
      <c r="A160" s="32">
        <v>31403</v>
      </c>
      <c r="B160" s="34" t="s">
        <v>480</v>
      </c>
      <c r="C160" s="33">
        <v>31.065239551478086</v>
      </c>
      <c r="D160" s="33" t="str">
        <f t="shared" si="4"/>
        <v>Rojo</v>
      </c>
      <c r="E160" s="33">
        <v>55.904783914952624</v>
      </c>
      <c r="F160" s="33" t="str">
        <f t="shared" si="5"/>
        <v>Naranja</v>
      </c>
    </row>
    <row r="161" spans="1:6" x14ac:dyDescent="0.25">
      <c r="A161" s="32">
        <v>31404</v>
      </c>
      <c r="B161" s="34" t="s">
        <v>585</v>
      </c>
      <c r="C161" s="33">
        <v>17.827298050139277</v>
      </c>
      <c r="D161" s="33" t="str">
        <f t="shared" si="4"/>
        <v>Rojo</v>
      </c>
      <c r="E161" s="33">
        <v>58.55670103092784</v>
      </c>
      <c r="F161" s="33" t="str">
        <f t="shared" si="5"/>
        <v>Naranja</v>
      </c>
    </row>
    <row r="162" spans="1:6" x14ac:dyDescent="0.25">
      <c r="A162" s="32">
        <v>31405</v>
      </c>
      <c r="B162" s="34" t="s">
        <v>928</v>
      </c>
      <c r="C162" s="33">
        <v>22.396576319543509</v>
      </c>
      <c r="D162" s="33" t="str">
        <f t="shared" si="4"/>
        <v>Rojo</v>
      </c>
      <c r="E162" s="33">
        <v>49.195837275307476</v>
      </c>
      <c r="F162" s="33" t="str">
        <f t="shared" si="5"/>
        <v>Rojo</v>
      </c>
    </row>
    <row r="163" spans="1:6" x14ac:dyDescent="0.25">
      <c r="A163" s="32">
        <v>31501</v>
      </c>
      <c r="B163" s="34" t="s">
        <v>1182</v>
      </c>
      <c r="C163" s="33">
        <v>3.6770921386305999</v>
      </c>
      <c r="D163" s="33" t="str">
        <f t="shared" si="4"/>
        <v>Rojo</v>
      </c>
      <c r="E163" s="33">
        <v>12.394892556835876</v>
      </c>
      <c r="F163" s="33" t="str">
        <f t="shared" si="5"/>
        <v>Rojo</v>
      </c>
    </row>
    <row r="164" spans="1:6" x14ac:dyDescent="0.25">
      <c r="A164" s="32">
        <v>31601</v>
      </c>
      <c r="B164" s="34" t="s">
        <v>390</v>
      </c>
      <c r="C164" s="33">
        <v>38.885467980295566</v>
      </c>
      <c r="D164" s="33" t="str">
        <f t="shared" si="4"/>
        <v>Rojo</v>
      </c>
      <c r="E164" s="33">
        <v>55.73525007487271</v>
      </c>
      <c r="F164" s="33" t="str">
        <f t="shared" si="5"/>
        <v>Naranja</v>
      </c>
    </row>
    <row r="165" spans="1:6" x14ac:dyDescent="0.25">
      <c r="A165" s="32">
        <v>31602</v>
      </c>
      <c r="B165" s="34" t="s">
        <v>724</v>
      </c>
      <c r="C165" s="33">
        <v>39.968466692944418</v>
      </c>
      <c r="D165" s="33" t="str">
        <f t="shared" si="4"/>
        <v>Rojo</v>
      </c>
      <c r="E165" s="33">
        <v>54.970760233918128</v>
      </c>
      <c r="F165" s="33" t="str">
        <f t="shared" si="5"/>
        <v>Naranja</v>
      </c>
    </row>
    <row r="166" spans="1:6" x14ac:dyDescent="0.25">
      <c r="A166" s="32">
        <v>40101</v>
      </c>
      <c r="B166" s="34" t="s">
        <v>1</v>
      </c>
      <c r="C166" s="33">
        <v>66.185287524112397</v>
      </c>
      <c r="D166" s="33" t="str">
        <f t="shared" si="4"/>
        <v>Naranja</v>
      </c>
      <c r="E166" s="33">
        <v>75.396107071148421</v>
      </c>
      <c r="F166" s="33" t="str">
        <f t="shared" si="5"/>
        <v>Amarillo</v>
      </c>
    </row>
    <row r="167" spans="1:6" x14ac:dyDescent="0.25">
      <c r="A167" s="32">
        <v>40102</v>
      </c>
      <c r="B167" s="34" t="s">
        <v>601</v>
      </c>
      <c r="C167" s="33">
        <v>16.292974588938712</v>
      </c>
      <c r="D167" s="33" t="str">
        <f t="shared" si="4"/>
        <v>Rojo</v>
      </c>
      <c r="E167" s="33">
        <v>35.373808329152034</v>
      </c>
      <c r="F167" s="33" t="str">
        <f t="shared" si="5"/>
        <v>Rojo</v>
      </c>
    </row>
    <row r="168" spans="1:6" x14ac:dyDescent="0.25">
      <c r="A168" s="32">
        <v>40103</v>
      </c>
      <c r="B168" s="34" t="s">
        <v>588</v>
      </c>
      <c r="C168" s="33">
        <v>0.18399264029438822</v>
      </c>
      <c r="D168" s="33" t="str">
        <f t="shared" si="4"/>
        <v>Rojo</v>
      </c>
      <c r="E168" s="33">
        <v>6.0093652445369408</v>
      </c>
      <c r="F168" s="33" t="str">
        <f t="shared" si="5"/>
        <v>Rojo</v>
      </c>
    </row>
    <row r="169" spans="1:6" x14ac:dyDescent="0.25">
      <c r="A169" s="32">
        <v>40104</v>
      </c>
      <c r="B169" s="34" t="s">
        <v>593</v>
      </c>
      <c r="C169" s="33">
        <v>6.6473988439306355</v>
      </c>
      <c r="D169" s="33" t="str">
        <f t="shared" si="4"/>
        <v>Rojo</v>
      </c>
      <c r="E169" s="33">
        <v>26.775256222547583</v>
      </c>
      <c r="F169" s="33" t="str">
        <f t="shared" si="5"/>
        <v>Rojo</v>
      </c>
    </row>
    <row r="170" spans="1:6" x14ac:dyDescent="0.25">
      <c r="A170" s="32">
        <v>40201</v>
      </c>
      <c r="B170" s="34" t="s">
        <v>784</v>
      </c>
      <c r="C170" s="33">
        <v>23.839073327127934</v>
      </c>
      <c r="D170" s="33" t="str">
        <f t="shared" si="4"/>
        <v>Rojo</v>
      </c>
      <c r="E170" s="33">
        <v>37.059735656796875</v>
      </c>
      <c r="F170" s="33" t="str">
        <f t="shared" si="5"/>
        <v>Rojo</v>
      </c>
    </row>
    <row r="171" spans="1:6" x14ac:dyDescent="0.25">
      <c r="A171" s="32">
        <v>40202</v>
      </c>
      <c r="B171" s="34" t="s">
        <v>455</v>
      </c>
      <c r="C171" s="33">
        <v>19.292604501607716</v>
      </c>
      <c r="D171" s="33" t="str">
        <f t="shared" si="4"/>
        <v>Rojo</v>
      </c>
      <c r="E171" s="33">
        <v>32.803095442820293</v>
      </c>
      <c r="F171" s="33" t="str">
        <f t="shared" si="5"/>
        <v>Rojo</v>
      </c>
    </row>
    <row r="172" spans="1:6" x14ac:dyDescent="0.25">
      <c r="A172" s="32">
        <v>40301</v>
      </c>
      <c r="B172" s="34" t="s">
        <v>573</v>
      </c>
      <c r="C172" s="33">
        <v>3.0580075662042874</v>
      </c>
      <c r="D172" s="33" t="str">
        <f t="shared" si="4"/>
        <v>Rojo</v>
      </c>
      <c r="E172" s="33">
        <v>13.199057210199271</v>
      </c>
      <c r="F172" s="33" t="str">
        <f t="shared" si="5"/>
        <v>Rojo</v>
      </c>
    </row>
    <row r="173" spans="1:6" x14ac:dyDescent="0.25">
      <c r="A173" s="32">
        <v>40302</v>
      </c>
      <c r="B173" s="34" t="s">
        <v>763</v>
      </c>
      <c r="C173" s="33">
        <v>6.395348837209303</v>
      </c>
      <c r="D173" s="33" t="str">
        <f t="shared" si="4"/>
        <v>Rojo</v>
      </c>
      <c r="E173" s="33">
        <v>26.527570789865873</v>
      </c>
      <c r="F173" s="33" t="str">
        <f t="shared" si="5"/>
        <v>Rojo</v>
      </c>
    </row>
    <row r="174" spans="1:6" x14ac:dyDescent="0.25">
      <c r="A174" s="32">
        <v>40401</v>
      </c>
      <c r="B174" s="34" t="s">
        <v>762</v>
      </c>
      <c r="C174" s="33">
        <v>29.00369003690037</v>
      </c>
      <c r="D174" s="33" t="str">
        <f t="shared" si="4"/>
        <v>Rojo</v>
      </c>
      <c r="E174" s="33">
        <v>40.764972320080524</v>
      </c>
      <c r="F174" s="33" t="str">
        <f t="shared" si="5"/>
        <v>Rojo</v>
      </c>
    </row>
    <row r="175" spans="1:6" x14ac:dyDescent="0.25">
      <c r="A175" s="32">
        <v>40402</v>
      </c>
      <c r="B175" s="34" t="s">
        <v>520</v>
      </c>
      <c r="C175" s="33">
        <v>18.123393316195372</v>
      </c>
      <c r="D175" s="33" t="str">
        <f t="shared" si="4"/>
        <v>Rojo</v>
      </c>
      <c r="E175" s="33">
        <v>31.477272727272727</v>
      </c>
      <c r="F175" s="33" t="str">
        <f t="shared" si="5"/>
        <v>Rojo</v>
      </c>
    </row>
    <row r="176" spans="1:6" x14ac:dyDescent="0.25">
      <c r="A176" s="32">
        <v>40501</v>
      </c>
      <c r="B176" s="34" t="s">
        <v>463</v>
      </c>
      <c r="C176" s="33">
        <v>69.340974212034382</v>
      </c>
      <c r="D176" s="33" t="str">
        <f t="shared" si="4"/>
        <v>Amarillo</v>
      </c>
      <c r="E176" s="33">
        <v>69.714765100671144</v>
      </c>
      <c r="F176" s="33" t="str">
        <f t="shared" si="5"/>
        <v>Amarillo</v>
      </c>
    </row>
    <row r="177" spans="1:6" x14ac:dyDescent="0.25">
      <c r="A177" s="32">
        <v>40502</v>
      </c>
      <c r="B177" s="34" t="s">
        <v>764</v>
      </c>
      <c r="C177" s="33">
        <v>4.251386321626617</v>
      </c>
      <c r="D177" s="33" t="str">
        <f t="shared" si="4"/>
        <v>Rojo</v>
      </c>
      <c r="E177" s="33">
        <v>39.905213270142184</v>
      </c>
      <c r="F177" s="33" t="str">
        <f t="shared" si="5"/>
        <v>Rojo</v>
      </c>
    </row>
    <row r="178" spans="1:6" x14ac:dyDescent="0.25">
      <c r="A178" s="32">
        <v>40503</v>
      </c>
      <c r="B178" s="34" t="s">
        <v>565</v>
      </c>
      <c r="C178" s="33">
        <v>4.7945205479452051</v>
      </c>
      <c r="D178" s="33" t="str">
        <f t="shared" si="4"/>
        <v>Rojo</v>
      </c>
      <c r="E178" s="33">
        <v>55.113636363636367</v>
      </c>
      <c r="F178" s="33" t="str">
        <f t="shared" si="5"/>
        <v>Naranja</v>
      </c>
    </row>
    <row r="179" spans="1:6" x14ac:dyDescent="0.25">
      <c r="A179" s="32">
        <v>40504</v>
      </c>
      <c r="B179" s="34" t="s">
        <v>562</v>
      </c>
      <c r="C179" s="33">
        <v>1.1834319526627219</v>
      </c>
      <c r="D179" s="33" t="str">
        <f t="shared" si="4"/>
        <v>Rojo</v>
      </c>
      <c r="E179" s="33">
        <v>86.127167630057798</v>
      </c>
      <c r="F179" s="33" t="str">
        <f t="shared" si="5"/>
        <v>Verde</v>
      </c>
    </row>
    <row r="180" spans="1:6" x14ac:dyDescent="0.25">
      <c r="A180" s="32">
        <v>40505</v>
      </c>
      <c r="B180" s="34" t="s">
        <v>454</v>
      </c>
      <c r="C180" s="33">
        <v>10.848400556328233</v>
      </c>
      <c r="D180" s="33" t="str">
        <f t="shared" si="4"/>
        <v>Rojo</v>
      </c>
      <c r="E180" s="33">
        <v>57.846506300114555</v>
      </c>
      <c r="F180" s="33" t="str">
        <f t="shared" si="5"/>
        <v>Naranja</v>
      </c>
    </row>
    <row r="181" spans="1:6" x14ac:dyDescent="0.25">
      <c r="A181" s="32">
        <v>40601</v>
      </c>
      <c r="B181" s="34" t="s">
        <v>179</v>
      </c>
      <c r="C181" s="33">
        <v>23.916872138076787</v>
      </c>
      <c r="D181" s="33" t="str">
        <f t="shared" si="4"/>
        <v>Rojo</v>
      </c>
      <c r="E181" s="33">
        <v>44.238121245221187</v>
      </c>
      <c r="F181" s="33" t="str">
        <f t="shared" si="5"/>
        <v>Rojo</v>
      </c>
    </row>
    <row r="182" spans="1:6" x14ac:dyDescent="0.25">
      <c r="A182" s="32">
        <v>40602</v>
      </c>
      <c r="B182" s="34" t="s">
        <v>465</v>
      </c>
      <c r="C182" s="33">
        <v>13.089244851258581</v>
      </c>
      <c r="D182" s="33" t="str">
        <f t="shared" si="4"/>
        <v>Rojo</v>
      </c>
      <c r="E182" s="33">
        <v>30.016958733747877</v>
      </c>
      <c r="F182" s="33" t="str">
        <f t="shared" si="5"/>
        <v>Rojo</v>
      </c>
    </row>
    <row r="183" spans="1:6" x14ac:dyDescent="0.25">
      <c r="A183" s="32">
        <v>40603</v>
      </c>
      <c r="B183" s="34" t="s">
        <v>569</v>
      </c>
      <c r="C183" s="33">
        <v>29.70639032815199</v>
      </c>
      <c r="D183" s="33" t="str">
        <f t="shared" si="4"/>
        <v>Rojo</v>
      </c>
      <c r="E183" s="33">
        <v>40</v>
      </c>
      <c r="F183" s="33" t="str">
        <f t="shared" si="5"/>
        <v>Rojo</v>
      </c>
    </row>
    <row r="184" spans="1:6" x14ac:dyDescent="0.25">
      <c r="A184" s="32">
        <v>40701</v>
      </c>
      <c r="B184" s="34" t="s">
        <v>462</v>
      </c>
      <c r="C184" s="33">
        <v>42.968423981082211</v>
      </c>
      <c r="D184" s="33" t="str">
        <f t="shared" si="4"/>
        <v>Rojo</v>
      </c>
      <c r="E184" s="33">
        <v>63.817530748871242</v>
      </c>
      <c r="F184" s="33" t="str">
        <f t="shared" si="5"/>
        <v>Naranja</v>
      </c>
    </row>
    <row r="185" spans="1:6" x14ac:dyDescent="0.25">
      <c r="A185" s="32">
        <v>40702</v>
      </c>
      <c r="B185" s="34" t="s">
        <v>577</v>
      </c>
      <c r="C185" s="33">
        <v>34.017971758664956</v>
      </c>
      <c r="D185" s="33" t="str">
        <f t="shared" si="4"/>
        <v>Rojo</v>
      </c>
      <c r="E185" s="33">
        <v>56.112132352941181</v>
      </c>
      <c r="F185" s="33" t="str">
        <f t="shared" si="5"/>
        <v>Naranja</v>
      </c>
    </row>
    <row r="186" spans="1:6" x14ac:dyDescent="0.25">
      <c r="A186" s="32">
        <v>40801</v>
      </c>
      <c r="B186" s="34" t="s">
        <v>1183</v>
      </c>
      <c r="C186" s="33">
        <v>9.931245225362872</v>
      </c>
      <c r="D186" s="33" t="str">
        <f t="shared" si="4"/>
        <v>Rojo</v>
      </c>
      <c r="E186" s="33">
        <v>35.918914391020273</v>
      </c>
      <c r="F186" s="33" t="str">
        <f t="shared" si="5"/>
        <v>Rojo</v>
      </c>
    </row>
    <row r="187" spans="1:6" x14ac:dyDescent="0.25">
      <c r="A187" s="32">
        <v>40802</v>
      </c>
      <c r="B187" s="34" t="s">
        <v>456</v>
      </c>
      <c r="C187" s="33">
        <v>12.307692307692308</v>
      </c>
      <c r="D187" s="33" t="str">
        <f t="shared" si="4"/>
        <v>Rojo</v>
      </c>
      <c r="E187" s="33">
        <v>33.019607843137258</v>
      </c>
      <c r="F187" s="33" t="str">
        <f t="shared" si="5"/>
        <v>Rojo</v>
      </c>
    </row>
    <row r="188" spans="1:6" x14ac:dyDescent="0.25">
      <c r="A188" s="32">
        <v>40901</v>
      </c>
      <c r="B188" s="34" t="s">
        <v>210</v>
      </c>
      <c r="C188" s="33">
        <v>9.8353360035603021</v>
      </c>
      <c r="D188" s="33" t="str">
        <f t="shared" si="4"/>
        <v>Rojo</v>
      </c>
      <c r="E188" s="33">
        <v>40.622568093385212</v>
      </c>
      <c r="F188" s="33" t="str">
        <f t="shared" si="5"/>
        <v>Rojo</v>
      </c>
    </row>
    <row r="189" spans="1:6" x14ac:dyDescent="0.25">
      <c r="A189" s="32">
        <v>40902</v>
      </c>
      <c r="B189" s="34" t="s">
        <v>765</v>
      </c>
      <c r="C189" s="33">
        <v>1.5810276679841897</v>
      </c>
      <c r="D189" s="33" t="str">
        <f t="shared" si="4"/>
        <v>Rojo</v>
      </c>
      <c r="E189" s="33">
        <v>45.65826330532213</v>
      </c>
      <c r="F189" s="33" t="str">
        <f t="shared" si="5"/>
        <v>Rojo</v>
      </c>
    </row>
    <row r="190" spans="1:6" x14ac:dyDescent="0.25">
      <c r="A190" s="32">
        <v>40903</v>
      </c>
      <c r="B190" s="34" t="s">
        <v>1184</v>
      </c>
      <c r="C190" s="33">
        <v>18.305084745762713</v>
      </c>
      <c r="D190" s="33" t="str">
        <f t="shared" si="4"/>
        <v>Rojo</v>
      </c>
      <c r="E190" s="33">
        <v>22.895927601809955</v>
      </c>
      <c r="F190" s="33" t="str">
        <f t="shared" si="5"/>
        <v>Rojo</v>
      </c>
    </row>
    <row r="191" spans="1:6" x14ac:dyDescent="0.25">
      <c r="A191" s="32">
        <v>41001</v>
      </c>
      <c r="B191" s="34" t="s">
        <v>589</v>
      </c>
      <c r="C191" s="33">
        <v>4.2715308242900019</v>
      </c>
      <c r="D191" s="33" t="str">
        <f t="shared" si="4"/>
        <v>Rojo</v>
      </c>
      <c r="E191" s="33">
        <v>13.165680473372781</v>
      </c>
      <c r="F191" s="33" t="str">
        <f t="shared" si="5"/>
        <v>Rojo</v>
      </c>
    </row>
    <row r="192" spans="1:6" x14ac:dyDescent="0.25">
      <c r="A192" s="32">
        <v>41101</v>
      </c>
      <c r="B192" s="34" t="s">
        <v>598</v>
      </c>
      <c r="C192" s="33">
        <v>11.591148577449948</v>
      </c>
      <c r="D192" s="33" t="str">
        <f t="shared" si="4"/>
        <v>Rojo</v>
      </c>
      <c r="E192" s="33">
        <v>33.264462809917354</v>
      </c>
      <c r="F192" s="33" t="str">
        <f t="shared" si="5"/>
        <v>Rojo</v>
      </c>
    </row>
    <row r="193" spans="1:6" x14ac:dyDescent="0.25">
      <c r="A193" s="32">
        <v>41201</v>
      </c>
      <c r="B193" s="34" t="s">
        <v>467</v>
      </c>
      <c r="C193" s="33">
        <v>4.7690763052208842</v>
      </c>
      <c r="D193" s="33" t="str">
        <f t="shared" si="4"/>
        <v>Rojo</v>
      </c>
      <c r="E193" s="33">
        <v>26.301969365426697</v>
      </c>
      <c r="F193" s="33" t="str">
        <f t="shared" si="5"/>
        <v>Rojo</v>
      </c>
    </row>
    <row r="194" spans="1:6" x14ac:dyDescent="0.25">
      <c r="A194" s="32">
        <v>41202</v>
      </c>
      <c r="B194" s="34" t="s">
        <v>572</v>
      </c>
      <c r="C194" s="33">
        <v>2.3351648351648353</v>
      </c>
      <c r="D194" s="33" t="str">
        <f t="shared" si="4"/>
        <v>Rojo</v>
      </c>
      <c r="E194" s="33">
        <v>33.121019108280251</v>
      </c>
      <c r="F194" s="33" t="str">
        <f t="shared" si="5"/>
        <v>Rojo</v>
      </c>
    </row>
    <row r="195" spans="1:6" x14ac:dyDescent="0.25">
      <c r="A195" s="32">
        <v>41301</v>
      </c>
      <c r="B195" s="34" t="s">
        <v>518</v>
      </c>
      <c r="C195" s="33">
        <v>5.5143160127253443</v>
      </c>
      <c r="D195" s="33" t="str">
        <f t="shared" ref="D195:D258" si="6">IF(C195&lt;=50,"Rojo",
   IF(C195&lt;=68,"Naranja",
   IF(C195&lt;=85,"Amarillo","Verde")))</f>
        <v>Rojo</v>
      </c>
      <c r="E195" s="33">
        <v>18.089123867069485</v>
      </c>
      <c r="F195" s="33" t="str">
        <f t="shared" ref="F195:F258" si="7">IF(E195&lt;=50,"Rojo",
   IF(E195&lt;=68,"Naranja",
   IF(E195&lt;=85,"Amarillo","Verde")))</f>
        <v>Rojo</v>
      </c>
    </row>
    <row r="196" spans="1:6" x14ac:dyDescent="0.25">
      <c r="A196" s="32">
        <v>41401</v>
      </c>
      <c r="B196" s="34" t="s">
        <v>464</v>
      </c>
      <c r="C196" s="33">
        <v>18.974700399467377</v>
      </c>
      <c r="D196" s="33" t="str">
        <f t="shared" si="6"/>
        <v>Rojo</v>
      </c>
      <c r="E196" s="33">
        <v>32.938133218366026</v>
      </c>
      <c r="F196" s="33" t="str">
        <f t="shared" si="7"/>
        <v>Rojo</v>
      </c>
    </row>
    <row r="197" spans="1:6" x14ac:dyDescent="0.25">
      <c r="A197" s="32">
        <v>41501</v>
      </c>
      <c r="B197" s="34" t="s">
        <v>526</v>
      </c>
      <c r="C197" s="33">
        <v>15.469613259668508</v>
      </c>
      <c r="D197" s="33" t="str">
        <f t="shared" si="6"/>
        <v>Rojo</v>
      </c>
      <c r="E197" s="33">
        <v>47.349823321554766</v>
      </c>
      <c r="F197" s="33" t="str">
        <f t="shared" si="7"/>
        <v>Rojo</v>
      </c>
    </row>
    <row r="198" spans="1:6" x14ac:dyDescent="0.25">
      <c r="A198" s="32">
        <v>41502</v>
      </c>
      <c r="B198" s="34" t="s">
        <v>521</v>
      </c>
      <c r="C198" s="33">
        <v>12.435233160621761</v>
      </c>
      <c r="D198" s="33" t="str">
        <f t="shared" si="6"/>
        <v>Rojo</v>
      </c>
      <c r="E198" s="33">
        <v>56.838905775075986</v>
      </c>
      <c r="F198" s="33" t="str">
        <f t="shared" si="7"/>
        <v>Naranja</v>
      </c>
    </row>
    <row r="199" spans="1:6" x14ac:dyDescent="0.25">
      <c r="A199" s="32">
        <v>41503</v>
      </c>
      <c r="B199" s="34" t="s">
        <v>270</v>
      </c>
      <c r="C199" s="33">
        <v>1.2244897959183674</v>
      </c>
      <c r="D199" s="33" t="str">
        <f t="shared" si="6"/>
        <v>Rojo</v>
      </c>
      <c r="E199" s="33">
        <v>39.299610894941637</v>
      </c>
      <c r="F199" s="33" t="str">
        <f t="shared" si="7"/>
        <v>Rojo</v>
      </c>
    </row>
    <row r="200" spans="1:6" x14ac:dyDescent="0.25">
      <c r="A200" s="32">
        <v>41601</v>
      </c>
      <c r="B200" s="34" t="s">
        <v>817</v>
      </c>
      <c r="C200" s="33">
        <v>4.2590949423247562</v>
      </c>
      <c r="D200" s="33" t="str">
        <f t="shared" si="6"/>
        <v>Rojo</v>
      </c>
      <c r="E200" s="33">
        <v>20.977222630418808</v>
      </c>
      <c r="F200" s="33" t="str">
        <f t="shared" si="7"/>
        <v>Rojo</v>
      </c>
    </row>
    <row r="201" spans="1:6" x14ac:dyDescent="0.25">
      <c r="A201" s="32">
        <v>50101</v>
      </c>
      <c r="B201" s="34" t="s">
        <v>2</v>
      </c>
      <c r="C201" s="33">
        <v>79.773669728326169</v>
      </c>
      <c r="D201" s="33" t="str">
        <f t="shared" si="6"/>
        <v>Amarillo</v>
      </c>
      <c r="E201" s="33">
        <v>82.442600810341503</v>
      </c>
      <c r="F201" s="33" t="str">
        <f t="shared" si="7"/>
        <v>Amarillo</v>
      </c>
    </row>
    <row r="202" spans="1:6" x14ac:dyDescent="0.25">
      <c r="A202" s="32">
        <v>50102</v>
      </c>
      <c r="B202" s="34" t="s">
        <v>493</v>
      </c>
      <c r="C202" s="33">
        <v>6.0172299536116638</v>
      </c>
      <c r="D202" s="33" t="str">
        <f t="shared" si="6"/>
        <v>Rojo</v>
      </c>
      <c r="E202" s="33">
        <v>9.2180481829318097</v>
      </c>
      <c r="F202" s="33" t="str">
        <f t="shared" si="7"/>
        <v>Rojo</v>
      </c>
    </row>
    <row r="203" spans="1:6" x14ac:dyDescent="0.25">
      <c r="A203" s="32">
        <v>50103</v>
      </c>
      <c r="B203" s="34" t="s">
        <v>503</v>
      </c>
      <c r="C203" s="33">
        <v>27.606310013717422</v>
      </c>
      <c r="D203" s="33" t="str">
        <f t="shared" si="6"/>
        <v>Rojo</v>
      </c>
      <c r="E203" s="33">
        <v>40.539250775471245</v>
      </c>
      <c r="F203" s="33" t="str">
        <f t="shared" si="7"/>
        <v>Rojo</v>
      </c>
    </row>
    <row r="204" spans="1:6" x14ac:dyDescent="0.25">
      <c r="A204" s="32">
        <v>50104</v>
      </c>
      <c r="B204" s="34" t="s">
        <v>504</v>
      </c>
      <c r="C204" s="33">
        <v>5.0816696914700543</v>
      </c>
      <c r="D204" s="33" t="str">
        <f t="shared" si="6"/>
        <v>Rojo</v>
      </c>
      <c r="E204" s="33">
        <v>16.707616707616708</v>
      </c>
      <c r="F204" s="33" t="str">
        <f t="shared" si="7"/>
        <v>Rojo</v>
      </c>
    </row>
    <row r="205" spans="1:6" x14ac:dyDescent="0.25">
      <c r="A205" s="32">
        <v>50201</v>
      </c>
      <c r="B205" s="34" t="s">
        <v>785</v>
      </c>
      <c r="C205" s="33">
        <v>32.900302114803623</v>
      </c>
      <c r="D205" s="33" t="str">
        <f t="shared" si="6"/>
        <v>Rojo</v>
      </c>
      <c r="E205" s="33">
        <v>37.999288846746474</v>
      </c>
      <c r="F205" s="33" t="str">
        <f t="shared" si="7"/>
        <v>Rojo</v>
      </c>
    </row>
    <row r="206" spans="1:6" x14ac:dyDescent="0.25">
      <c r="A206" s="32">
        <v>50202</v>
      </c>
      <c r="B206" s="34" t="s">
        <v>237</v>
      </c>
      <c r="C206" s="33">
        <v>18.255838868652237</v>
      </c>
      <c r="D206" s="33" t="str">
        <f t="shared" si="6"/>
        <v>Rojo</v>
      </c>
      <c r="E206" s="33">
        <v>35.860728172499115</v>
      </c>
      <c r="F206" s="33" t="str">
        <f t="shared" si="7"/>
        <v>Rojo</v>
      </c>
    </row>
    <row r="207" spans="1:6" x14ac:dyDescent="0.25">
      <c r="A207" s="32">
        <v>50203</v>
      </c>
      <c r="B207" s="34" t="s">
        <v>457</v>
      </c>
      <c r="C207" s="33">
        <v>53.03408816181804</v>
      </c>
      <c r="D207" s="33" t="str">
        <f t="shared" si="6"/>
        <v>Naranja</v>
      </c>
      <c r="E207" s="33">
        <v>62.027845414247359</v>
      </c>
      <c r="F207" s="33" t="str">
        <f t="shared" si="7"/>
        <v>Naranja</v>
      </c>
    </row>
    <row r="208" spans="1:6" x14ac:dyDescent="0.25">
      <c r="A208" s="32">
        <v>50204</v>
      </c>
      <c r="B208" s="34" t="s">
        <v>689</v>
      </c>
      <c r="C208" s="33">
        <v>4.8479506390480394</v>
      </c>
      <c r="D208" s="33" t="str">
        <f t="shared" si="6"/>
        <v>Rojo</v>
      </c>
      <c r="E208" s="33">
        <v>11.642480211081795</v>
      </c>
      <c r="F208" s="33" t="str">
        <f t="shared" si="7"/>
        <v>Rojo</v>
      </c>
    </row>
    <row r="209" spans="1:6" x14ac:dyDescent="0.25">
      <c r="A209" s="32">
        <v>50301</v>
      </c>
      <c r="B209" s="34" t="s">
        <v>519</v>
      </c>
      <c r="C209" s="33">
        <v>22.003909062853616</v>
      </c>
      <c r="D209" s="33" t="str">
        <f t="shared" si="6"/>
        <v>Rojo</v>
      </c>
      <c r="E209" s="33">
        <v>36.791502609651133</v>
      </c>
      <c r="F209" s="33" t="str">
        <f t="shared" si="7"/>
        <v>Rojo</v>
      </c>
    </row>
    <row r="210" spans="1:6" x14ac:dyDescent="0.25">
      <c r="A210" s="32">
        <v>50302</v>
      </c>
      <c r="B210" s="34" t="s">
        <v>646</v>
      </c>
      <c r="C210" s="33">
        <v>20.608317815021728</v>
      </c>
      <c r="D210" s="33" t="str">
        <f t="shared" si="6"/>
        <v>Rojo</v>
      </c>
      <c r="E210" s="33">
        <v>35.238368753589889</v>
      </c>
      <c r="F210" s="33" t="str">
        <f t="shared" si="7"/>
        <v>Rojo</v>
      </c>
    </row>
    <row r="211" spans="1:6" x14ac:dyDescent="0.25">
      <c r="A211" s="32">
        <v>50303</v>
      </c>
      <c r="B211" s="34" t="s">
        <v>783</v>
      </c>
      <c r="C211" s="33">
        <v>1.6166281755196306</v>
      </c>
      <c r="D211" s="33" t="str">
        <f t="shared" si="6"/>
        <v>Rojo</v>
      </c>
      <c r="E211" s="33">
        <v>5.1148426944605285</v>
      </c>
      <c r="F211" s="33" t="str">
        <f t="shared" si="7"/>
        <v>Rojo</v>
      </c>
    </row>
    <row r="212" spans="1:6" x14ac:dyDescent="0.25">
      <c r="A212" s="32">
        <v>50401</v>
      </c>
      <c r="B212" s="34" t="s">
        <v>531</v>
      </c>
      <c r="C212" s="33">
        <v>14.018779342723004</v>
      </c>
      <c r="D212" s="33" t="str">
        <f t="shared" si="6"/>
        <v>Rojo</v>
      </c>
      <c r="E212" s="33">
        <v>26.997075573341544</v>
      </c>
      <c r="F212" s="33" t="str">
        <f t="shared" si="7"/>
        <v>Rojo</v>
      </c>
    </row>
    <row r="213" spans="1:6" x14ac:dyDescent="0.25">
      <c r="A213" s="32">
        <v>50402</v>
      </c>
      <c r="B213" s="34" t="s">
        <v>786</v>
      </c>
      <c r="C213" s="33">
        <v>15.935405240706885</v>
      </c>
      <c r="D213" s="33" t="str">
        <f t="shared" si="6"/>
        <v>Rojo</v>
      </c>
      <c r="E213" s="33">
        <v>21.133720930232556</v>
      </c>
      <c r="F213" s="33" t="str">
        <f t="shared" si="7"/>
        <v>Rojo</v>
      </c>
    </row>
    <row r="214" spans="1:6" x14ac:dyDescent="0.25">
      <c r="A214" s="32">
        <v>50403</v>
      </c>
      <c r="B214" s="34" t="s">
        <v>532</v>
      </c>
      <c r="C214" s="33">
        <v>7.2309151256519684</v>
      </c>
      <c r="D214" s="33" t="str">
        <f t="shared" si="6"/>
        <v>Rojo</v>
      </c>
      <c r="E214" s="33">
        <v>15.744137821024088</v>
      </c>
      <c r="F214" s="33" t="str">
        <f t="shared" si="7"/>
        <v>Rojo</v>
      </c>
    </row>
    <row r="215" spans="1:6" x14ac:dyDescent="0.25">
      <c r="A215" s="32">
        <v>50404</v>
      </c>
      <c r="B215" s="34" t="s">
        <v>663</v>
      </c>
      <c r="C215" s="33">
        <v>11.250736304731985</v>
      </c>
      <c r="D215" s="33" t="str">
        <f t="shared" si="6"/>
        <v>Rojo</v>
      </c>
      <c r="E215" s="33">
        <v>15.644717683222781</v>
      </c>
      <c r="F215" s="33" t="str">
        <f t="shared" si="7"/>
        <v>Rojo</v>
      </c>
    </row>
    <row r="216" spans="1:6" x14ac:dyDescent="0.25">
      <c r="A216" s="32">
        <v>50405</v>
      </c>
      <c r="B216" s="34" t="s">
        <v>795</v>
      </c>
      <c r="C216" s="33">
        <v>14.018779342723004</v>
      </c>
      <c r="D216" s="33" t="str">
        <f t="shared" si="6"/>
        <v>Rojo</v>
      </c>
      <c r="E216" s="33">
        <v>16.484949040056883</v>
      </c>
      <c r="F216" s="33" t="str">
        <f t="shared" si="7"/>
        <v>Rojo</v>
      </c>
    </row>
    <row r="217" spans="1:6" x14ac:dyDescent="0.25">
      <c r="A217" s="32">
        <v>50501</v>
      </c>
      <c r="B217" s="34" t="s">
        <v>494</v>
      </c>
      <c r="C217" s="33">
        <v>5.0259755950223512</v>
      </c>
      <c r="D217" s="33" t="str">
        <f t="shared" si="6"/>
        <v>Rojo</v>
      </c>
      <c r="E217" s="33">
        <v>9.2099442625851538</v>
      </c>
      <c r="F217" s="33" t="str">
        <f t="shared" si="7"/>
        <v>Rojo</v>
      </c>
    </row>
    <row r="218" spans="1:6" x14ac:dyDescent="0.25">
      <c r="A218" s="32">
        <v>50502</v>
      </c>
      <c r="B218" s="34" t="s">
        <v>553</v>
      </c>
      <c r="C218" s="33">
        <v>15.323269723725435</v>
      </c>
      <c r="D218" s="33" t="str">
        <f t="shared" si="6"/>
        <v>Rojo</v>
      </c>
      <c r="E218" s="33">
        <v>23.831106870229007</v>
      </c>
      <c r="F218" s="33" t="str">
        <f t="shared" si="7"/>
        <v>Rojo</v>
      </c>
    </row>
    <row r="219" spans="1:6" x14ac:dyDescent="0.25">
      <c r="A219" s="32">
        <v>50601</v>
      </c>
      <c r="B219" s="34" t="s">
        <v>789</v>
      </c>
      <c r="C219" s="33">
        <v>21.064301552106429</v>
      </c>
      <c r="D219" s="33" t="str">
        <f t="shared" si="6"/>
        <v>Rojo</v>
      </c>
      <c r="E219" s="33">
        <v>39.166072701354246</v>
      </c>
      <c r="F219" s="33" t="str">
        <f t="shared" si="7"/>
        <v>Rojo</v>
      </c>
    </row>
    <row r="220" spans="1:6" x14ac:dyDescent="0.25">
      <c r="A220" s="32">
        <v>50602</v>
      </c>
      <c r="B220" s="34" t="s">
        <v>1185</v>
      </c>
      <c r="C220" s="33">
        <v>24.007682458386682</v>
      </c>
      <c r="D220" s="33" t="str">
        <f t="shared" si="6"/>
        <v>Rojo</v>
      </c>
      <c r="E220" s="33">
        <v>42.47422680412371</v>
      </c>
      <c r="F220" s="33" t="str">
        <f t="shared" si="7"/>
        <v>Rojo</v>
      </c>
    </row>
    <row r="221" spans="1:6" x14ac:dyDescent="0.25">
      <c r="A221" s="32">
        <v>50701</v>
      </c>
      <c r="B221" s="34" t="s">
        <v>460</v>
      </c>
      <c r="C221" s="33">
        <v>13.705945176219295</v>
      </c>
      <c r="D221" s="33" t="str">
        <f t="shared" si="6"/>
        <v>Rojo</v>
      </c>
      <c r="E221" s="33">
        <v>20.991296651423514</v>
      </c>
      <c r="F221" s="33" t="str">
        <f t="shared" si="7"/>
        <v>Rojo</v>
      </c>
    </row>
    <row r="222" spans="1:6" x14ac:dyDescent="0.25">
      <c r="A222" s="32">
        <v>50702</v>
      </c>
      <c r="B222" s="34" t="s">
        <v>458</v>
      </c>
      <c r="C222" s="33">
        <v>8.281649033199562</v>
      </c>
      <c r="D222" s="33" t="str">
        <f t="shared" si="6"/>
        <v>Rojo</v>
      </c>
      <c r="E222" s="33">
        <v>11.941996019334661</v>
      </c>
      <c r="F222" s="33" t="str">
        <f t="shared" si="7"/>
        <v>Rojo</v>
      </c>
    </row>
    <row r="223" spans="1:6" x14ac:dyDescent="0.25">
      <c r="A223" s="32">
        <v>50801</v>
      </c>
      <c r="B223" s="34" t="s">
        <v>769</v>
      </c>
      <c r="C223" s="33">
        <v>59.065995945641568</v>
      </c>
      <c r="D223" s="33" t="str">
        <f t="shared" si="6"/>
        <v>Naranja</v>
      </c>
      <c r="E223" s="33">
        <v>71.497858402620309</v>
      </c>
      <c r="F223" s="33" t="str">
        <f t="shared" si="7"/>
        <v>Amarillo</v>
      </c>
    </row>
    <row r="224" spans="1:6" x14ac:dyDescent="0.25">
      <c r="A224" s="32">
        <v>50802</v>
      </c>
      <c r="B224" s="34" t="s">
        <v>770</v>
      </c>
      <c r="C224" s="33">
        <v>20.3579418344519</v>
      </c>
      <c r="D224" s="33" t="str">
        <f t="shared" si="6"/>
        <v>Rojo</v>
      </c>
      <c r="E224" s="33">
        <v>36.550253265795789</v>
      </c>
      <c r="F224" s="33" t="str">
        <f t="shared" si="7"/>
        <v>Rojo</v>
      </c>
    </row>
    <row r="225" spans="1:6" x14ac:dyDescent="0.25">
      <c r="A225" s="32">
        <v>50901</v>
      </c>
      <c r="B225" s="34" t="s">
        <v>496</v>
      </c>
      <c r="C225" s="33">
        <v>27.668581796189901</v>
      </c>
      <c r="D225" s="33" t="str">
        <f t="shared" si="6"/>
        <v>Rojo</v>
      </c>
      <c r="E225" s="33">
        <v>68.451380552220883</v>
      </c>
      <c r="F225" s="33" t="str">
        <f t="shared" si="7"/>
        <v>Amarillo</v>
      </c>
    </row>
    <row r="226" spans="1:6" x14ac:dyDescent="0.25">
      <c r="A226" s="32">
        <v>50902</v>
      </c>
      <c r="B226" s="34" t="s">
        <v>771</v>
      </c>
      <c r="C226" s="33">
        <v>20.967741935483872</v>
      </c>
      <c r="D226" s="33" t="str">
        <f t="shared" si="6"/>
        <v>Rojo</v>
      </c>
      <c r="E226" s="33">
        <v>58.599695585996955</v>
      </c>
      <c r="F226" s="33" t="str">
        <f t="shared" si="7"/>
        <v>Naranja</v>
      </c>
    </row>
    <row r="227" spans="1:6" x14ac:dyDescent="0.25">
      <c r="A227" s="32">
        <v>51001</v>
      </c>
      <c r="B227" s="34" t="s">
        <v>557</v>
      </c>
      <c r="C227" s="33">
        <v>16.647531572904708</v>
      </c>
      <c r="D227" s="33" t="str">
        <f t="shared" si="6"/>
        <v>Rojo</v>
      </c>
      <c r="E227" s="33">
        <v>38.073807380738074</v>
      </c>
      <c r="F227" s="33" t="str">
        <f t="shared" si="7"/>
        <v>Rojo</v>
      </c>
    </row>
    <row r="228" spans="1:6" x14ac:dyDescent="0.25">
      <c r="A228" s="32">
        <v>51002</v>
      </c>
      <c r="B228" s="34" t="s">
        <v>547</v>
      </c>
      <c r="C228" s="33">
        <v>16.201117318435752</v>
      </c>
      <c r="D228" s="33" t="str">
        <f t="shared" si="6"/>
        <v>Rojo</v>
      </c>
      <c r="E228" s="33">
        <v>30.555555555555557</v>
      </c>
      <c r="F228" s="33" t="str">
        <f t="shared" si="7"/>
        <v>Rojo</v>
      </c>
    </row>
    <row r="229" spans="1:6" x14ac:dyDescent="0.25">
      <c r="A229" s="32">
        <v>51003</v>
      </c>
      <c r="B229" s="34" t="s">
        <v>525</v>
      </c>
      <c r="C229" s="33">
        <v>21.3986013986014</v>
      </c>
      <c r="D229" s="33" t="str">
        <f t="shared" si="6"/>
        <v>Rojo</v>
      </c>
      <c r="E229" s="33">
        <v>30.869565217391305</v>
      </c>
      <c r="F229" s="33" t="str">
        <f t="shared" si="7"/>
        <v>Rojo</v>
      </c>
    </row>
    <row r="230" spans="1:6" x14ac:dyDescent="0.25">
      <c r="A230" s="32">
        <v>51101</v>
      </c>
      <c r="B230" s="34" t="s">
        <v>647</v>
      </c>
      <c r="C230" s="33">
        <v>23.173307053357735</v>
      </c>
      <c r="D230" s="33" t="str">
        <f t="shared" si="6"/>
        <v>Rojo</v>
      </c>
      <c r="E230" s="33">
        <v>42.889137737961924</v>
      </c>
      <c r="F230" s="33" t="str">
        <f t="shared" si="7"/>
        <v>Rojo</v>
      </c>
    </row>
    <row r="231" spans="1:6" x14ac:dyDescent="0.25">
      <c r="A231" s="32">
        <v>51102</v>
      </c>
      <c r="B231" s="34" t="s">
        <v>643</v>
      </c>
      <c r="C231" s="33">
        <v>22.805532034998588</v>
      </c>
      <c r="D231" s="33" t="str">
        <f t="shared" si="6"/>
        <v>Rojo</v>
      </c>
      <c r="E231" s="33">
        <v>48.589274176179195</v>
      </c>
      <c r="F231" s="33" t="str">
        <f t="shared" si="7"/>
        <v>Rojo</v>
      </c>
    </row>
    <row r="232" spans="1:6" x14ac:dyDescent="0.25">
      <c r="A232" s="32">
        <v>51103</v>
      </c>
      <c r="B232" s="34" t="s">
        <v>648</v>
      </c>
      <c r="C232" s="33">
        <v>2.7705175117616312</v>
      </c>
      <c r="D232" s="33" t="str">
        <f t="shared" si="6"/>
        <v>Rojo</v>
      </c>
      <c r="E232" s="33">
        <v>12.752795622174636</v>
      </c>
      <c r="F232" s="33" t="str">
        <f t="shared" si="7"/>
        <v>Rojo</v>
      </c>
    </row>
    <row r="233" spans="1:6" x14ac:dyDescent="0.25">
      <c r="A233" s="32">
        <v>51201</v>
      </c>
      <c r="B233" s="34" t="s">
        <v>760</v>
      </c>
      <c r="C233" s="33">
        <v>16.140460560591851</v>
      </c>
      <c r="D233" s="33" t="str">
        <f t="shared" si="6"/>
        <v>Rojo</v>
      </c>
      <c r="E233" s="33">
        <v>20.15379929952794</v>
      </c>
      <c r="F233" s="33" t="str">
        <f t="shared" si="7"/>
        <v>Rojo</v>
      </c>
    </row>
    <row r="234" spans="1:6" x14ac:dyDescent="0.25">
      <c r="A234" s="32">
        <v>51202</v>
      </c>
      <c r="B234" s="34" t="s">
        <v>452</v>
      </c>
      <c r="C234" s="33">
        <v>5.7323619631901845</v>
      </c>
      <c r="D234" s="33" t="str">
        <f t="shared" si="6"/>
        <v>Rojo</v>
      </c>
      <c r="E234" s="33">
        <v>23.33433825746156</v>
      </c>
      <c r="F234" s="33" t="str">
        <f t="shared" si="7"/>
        <v>Rojo</v>
      </c>
    </row>
    <row r="235" spans="1:6" x14ac:dyDescent="0.25">
      <c r="A235" s="32">
        <v>51203</v>
      </c>
      <c r="B235" s="34" t="s">
        <v>501</v>
      </c>
      <c r="C235" s="33">
        <v>58.333333333333336</v>
      </c>
      <c r="D235" s="33" t="str">
        <f t="shared" si="6"/>
        <v>Naranja</v>
      </c>
      <c r="E235" s="33">
        <v>74.290578887627703</v>
      </c>
      <c r="F235" s="33" t="str">
        <f t="shared" si="7"/>
        <v>Amarillo</v>
      </c>
    </row>
    <row r="236" spans="1:6" x14ac:dyDescent="0.25">
      <c r="A236" s="32">
        <v>51204</v>
      </c>
      <c r="B236" s="34" t="s">
        <v>1186</v>
      </c>
      <c r="C236" s="33">
        <v>5.7323619631901845</v>
      </c>
      <c r="D236" s="33" t="str">
        <f t="shared" si="6"/>
        <v>Rojo</v>
      </c>
      <c r="E236" s="33">
        <v>28.346758726505563</v>
      </c>
      <c r="F236" s="33" t="str">
        <f t="shared" si="7"/>
        <v>Rojo</v>
      </c>
    </row>
    <row r="237" spans="1:6" x14ac:dyDescent="0.25">
      <c r="A237" s="32">
        <v>51301</v>
      </c>
      <c r="B237" s="34" t="s">
        <v>578</v>
      </c>
      <c r="C237" s="33">
        <v>13.790446841294299</v>
      </c>
      <c r="D237" s="33" t="str">
        <f t="shared" si="6"/>
        <v>Rojo</v>
      </c>
      <c r="E237" s="33">
        <v>25.600549073438572</v>
      </c>
      <c r="F237" s="33" t="str">
        <f t="shared" si="7"/>
        <v>Rojo</v>
      </c>
    </row>
    <row r="238" spans="1:6" x14ac:dyDescent="0.25">
      <c r="A238" s="32">
        <v>51302</v>
      </c>
      <c r="B238" s="34" t="s">
        <v>461</v>
      </c>
      <c r="C238" s="33">
        <v>12.332751599767306</v>
      </c>
      <c r="D238" s="33" t="str">
        <f t="shared" si="6"/>
        <v>Rojo</v>
      </c>
      <c r="E238" s="33">
        <v>22.446750409612235</v>
      </c>
      <c r="F238" s="33" t="str">
        <f t="shared" si="7"/>
        <v>Rojo</v>
      </c>
    </row>
    <row r="239" spans="1:6" x14ac:dyDescent="0.25">
      <c r="A239" s="32">
        <v>51401</v>
      </c>
      <c r="B239" s="34" t="s">
        <v>533</v>
      </c>
      <c r="C239" s="33">
        <v>18.882978723404257</v>
      </c>
      <c r="D239" s="33" t="str">
        <f t="shared" si="6"/>
        <v>Rojo</v>
      </c>
      <c r="E239" s="33">
        <v>53.232758620689658</v>
      </c>
      <c r="F239" s="33" t="str">
        <f t="shared" si="7"/>
        <v>Naranja</v>
      </c>
    </row>
    <row r="240" spans="1:6" x14ac:dyDescent="0.25">
      <c r="A240" s="32">
        <v>51402</v>
      </c>
      <c r="B240" s="34" t="s">
        <v>556</v>
      </c>
      <c r="C240" s="33">
        <v>6.4801178203240068</v>
      </c>
      <c r="D240" s="33" t="str">
        <f t="shared" si="6"/>
        <v>Rojo</v>
      </c>
      <c r="E240" s="33">
        <v>30.997304582210244</v>
      </c>
      <c r="F240" s="33" t="str">
        <f t="shared" si="7"/>
        <v>Rojo</v>
      </c>
    </row>
    <row r="241" spans="1:6" x14ac:dyDescent="0.25">
      <c r="A241" s="32">
        <v>51501</v>
      </c>
      <c r="B241" s="34" t="s">
        <v>791</v>
      </c>
      <c r="C241" s="33">
        <v>62.878913367566668</v>
      </c>
      <c r="D241" s="33" t="str">
        <f t="shared" si="6"/>
        <v>Naranja</v>
      </c>
      <c r="E241" s="33">
        <v>78.00180142728469</v>
      </c>
      <c r="F241" s="33" t="str">
        <f t="shared" si="7"/>
        <v>Amarillo</v>
      </c>
    </row>
    <row r="242" spans="1:6" x14ac:dyDescent="0.25">
      <c r="A242" s="32">
        <v>51601</v>
      </c>
      <c r="B242" s="34" t="s">
        <v>554</v>
      </c>
      <c r="C242" s="33">
        <v>23.926380368098162</v>
      </c>
      <c r="D242" s="33" t="str">
        <f t="shared" si="6"/>
        <v>Rojo</v>
      </c>
      <c r="E242" s="33">
        <v>62.968515742128936</v>
      </c>
      <c r="F242" s="33" t="str">
        <f t="shared" si="7"/>
        <v>Naranja</v>
      </c>
    </row>
    <row r="243" spans="1:6" x14ac:dyDescent="0.25">
      <c r="A243" s="32">
        <v>60101</v>
      </c>
      <c r="B243" s="34" t="s">
        <v>29</v>
      </c>
      <c r="C243" s="33">
        <v>75.645413829516073</v>
      </c>
      <c r="D243" s="33" t="str">
        <f t="shared" si="6"/>
        <v>Amarillo</v>
      </c>
      <c r="E243" s="33">
        <v>76.239530181958216</v>
      </c>
      <c r="F243" s="33" t="str">
        <f t="shared" si="7"/>
        <v>Amarillo</v>
      </c>
    </row>
    <row r="244" spans="1:6" x14ac:dyDescent="0.25">
      <c r="A244" s="32">
        <v>60201</v>
      </c>
      <c r="B244" s="34" t="s">
        <v>792</v>
      </c>
      <c r="C244" s="33">
        <v>47.210216110019651</v>
      </c>
      <c r="D244" s="33" t="str">
        <f t="shared" si="6"/>
        <v>Rojo</v>
      </c>
      <c r="E244" s="33">
        <v>61.904761904761905</v>
      </c>
      <c r="F244" s="33" t="str">
        <f t="shared" si="7"/>
        <v>Naranja</v>
      </c>
    </row>
    <row r="245" spans="1:6" x14ac:dyDescent="0.25">
      <c r="A245" s="32">
        <v>60202</v>
      </c>
      <c r="B245" s="34" t="s">
        <v>775</v>
      </c>
      <c r="C245" s="33">
        <v>72.658677319130049</v>
      </c>
      <c r="D245" s="33" t="str">
        <f t="shared" si="6"/>
        <v>Amarillo</v>
      </c>
      <c r="E245" s="33">
        <v>83.474496517974785</v>
      </c>
      <c r="F245" s="33" t="str">
        <f t="shared" si="7"/>
        <v>Amarillo</v>
      </c>
    </row>
    <row r="246" spans="1:6" x14ac:dyDescent="0.25">
      <c r="A246" s="32">
        <v>60301</v>
      </c>
      <c r="B246" s="34" t="s">
        <v>548</v>
      </c>
      <c r="C246" s="33">
        <v>71.402114012105883</v>
      </c>
      <c r="D246" s="33" t="str">
        <f t="shared" si="6"/>
        <v>Amarillo</v>
      </c>
      <c r="E246" s="33">
        <v>79.200234363556461</v>
      </c>
      <c r="F246" s="33" t="str">
        <f t="shared" si="7"/>
        <v>Amarillo</v>
      </c>
    </row>
    <row r="247" spans="1:6" x14ac:dyDescent="0.25">
      <c r="A247" s="32">
        <v>60302</v>
      </c>
      <c r="B247" s="34" t="s">
        <v>550</v>
      </c>
      <c r="C247" s="33">
        <v>72.64080100125156</v>
      </c>
      <c r="D247" s="33" t="str">
        <f t="shared" si="6"/>
        <v>Amarillo</v>
      </c>
      <c r="E247" s="33">
        <v>75.170794192997434</v>
      </c>
      <c r="F247" s="33" t="str">
        <f t="shared" si="7"/>
        <v>Amarillo</v>
      </c>
    </row>
    <row r="248" spans="1:6" x14ac:dyDescent="0.25">
      <c r="A248" s="32">
        <v>60303</v>
      </c>
      <c r="B248" s="34" t="s">
        <v>502</v>
      </c>
      <c r="C248" s="33">
        <v>48.527553698124208</v>
      </c>
      <c r="D248" s="33" t="str">
        <f t="shared" si="6"/>
        <v>Rojo</v>
      </c>
      <c r="E248" s="33">
        <v>60.270655270655269</v>
      </c>
      <c r="F248" s="33" t="str">
        <f t="shared" si="7"/>
        <v>Naranja</v>
      </c>
    </row>
    <row r="249" spans="1:6" x14ac:dyDescent="0.25">
      <c r="A249" s="32">
        <v>60401</v>
      </c>
      <c r="B249" s="34" t="s">
        <v>546</v>
      </c>
      <c r="C249" s="33">
        <v>47.933685728015377</v>
      </c>
      <c r="D249" s="33" t="str">
        <f t="shared" si="6"/>
        <v>Rojo</v>
      </c>
      <c r="E249" s="33">
        <v>69.589096826688362</v>
      </c>
      <c r="F249" s="33" t="str">
        <f t="shared" si="7"/>
        <v>Amarillo</v>
      </c>
    </row>
    <row r="250" spans="1:6" x14ac:dyDescent="0.25">
      <c r="A250" s="32">
        <v>60402</v>
      </c>
      <c r="B250" s="34" t="s">
        <v>549</v>
      </c>
      <c r="C250" s="33">
        <v>55.188679245283026</v>
      </c>
      <c r="D250" s="33" t="str">
        <f t="shared" si="6"/>
        <v>Naranja</v>
      </c>
      <c r="E250" s="33">
        <v>69.281045751633982</v>
      </c>
      <c r="F250" s="33" t="str">
        <f t="shared" si="7"/>
        <v>Amarillo</v>
      </c>
    </row>
    <row r="251" spans="1:6" x14ac:dyDescent="0.25">
      <c r="A251" s="32">
        <v>60501</v>
      </c>
      <c r="B251" s="34" t="s">
        <v>551</v>
      </c>
      <c r="C251" s="33">
        <v>53.855644663787785</v>
      </c>
      <c r="D251" s="33" t="str">
        <f t="shared" si="6"/>
        <v>Naranja</v>
      </c>
      <c r="E251" s="33">
        <v>67.994858611825194</v>
      </c>
      <c r="F251" s="33" t="str">
        <f t="shared" si="7"/>
        <v>Naranja</v>
      </c>
    </row>
    <row r="252" spans="1:6" x14ac:dyDescent="0.25">
      <c r="A252" s="32">
        <v>60502</v>
      </c>
      <c r="B252" s="34" t="s">
        <v>552</v>
      </c>
      <c r="C252" s="33">
        <v>57.300952966492467</v>
      </c>
      <c r="D252" s="33" t="str">
        <f t="shared" si="6"/>
        <v>Naranja</v>
      </c>
      <c r="E252" s="33">
        <v>76.23456790123457</v>
      </c>
      <c r="F252" s="33" t="str">
        <f t="shared" si="7"/>
        <v>Amarillo</v>
      </c>
    </row>
    <row r="253" spans="1:6" x14ac:dyDescent="0.25">
      <c r="A253" s="32">
        <v>60601</v>
      </c>
      <c r="B253" s="34" t="s">
        <v>527</v>
      </c>
      <c r="C253" s="33">
        <v>44.967682363804244</v>
      </c>
      <c r="D253" s="33" t="str">
        <f t="shared" si="6"/>
        <v>Rojo</v>
      </c>
      <c r="E253" s="33">
        <v>62.548262548262542</v>
      </c>
      <c r="F253" s="33" t="str">
        <f t="shared" si="7"/>
        <v>Naranja</v>
      </c>
    </row>
    <row r="254" spans="1:6" x14ac:dyDescent="0.25">
      <c r="A254" s="32">
        <v>70101</v>
      </c>
      <c r="B254" s="34" t="s">
        <v>509</v>
      </c>
      <c r="C254" s="33">
        <v>53.348104178550862</v>
      </c>
      <c r="D254" s="33" t="str">
        <f t="shared" si="6"/>
        <v>Naranja</v>
      </c>
      <c r="E254" s="33">
        <v>70.494397097701025</v>
      </c>
      <c r="F254" s="33" t="str">
        <f t="shared" si="7"/>
        <v>Amarillo</v>
      </c>
    </row>
    <row r="255" spans="1:6" x14ac:dyDescent="0.25">
      <c r="A255" s="32">
        <v>70102</v>
      </c>
      <c r="B255" s="34" t="s">
        <v>715</v>
      </c>
      <c r="C255" s="33">
        <v>44.761253783810176</v>
      </c>
      <c r="D255" s="33" t="str">
        <f t="shared" si="6"/>
        <v>Rojo</v>
      </c>
      <c r="E255" s="33">
        <v>27.779973412855242</v>
      </c>
      <c r="F255" s="33" t="str">
        <f t="shared" si="7"/>
        <v>Rojo</v>
      </c>
    </row>
    <row r="256" spans="1:6" x14ac:dyDescent="0.25">
      <c r="A256" s="32">
        <v>70103</v>
      </c>
      <c r="B256" s="34" t="s">
        <v>508</v>
      </c>
      <c r="C256" s="33">
        <v>50.276090557702922</v>
      </c>
      <c r="D256" s="33" t="str">
        <f t="shared" si="6"/>
        <v>Naranja</v>
      </c>
      <c r="E256" s="33">
        <v>68.48840710629328</v>
      </c>
      <c r="F256" s="33" t="str">
        <f t="shared" si="7"/>
        <v>Amarillo</v>
      </c>
    </row>
    <row r="257" spans="1:6" x14ac:dyDescent="0.25">
      <c r="A257" s="32">
        <v>70104</v>
      </c>
      <c r="B257" s="34" t="s">
        <v>485</v>
      </c>
      <c r="C257" s="33">
        <v>9.0128554002064369</v>
      </c>
      <c r="D257" s="33" t="str">
        <f t="shared" si="6"/>
        <v>Rojo</v>
      </c>
      <c r="E257" s="33">
        <v>17.624854098889912</v>
      </c>
      <c r="F257" s="33" t="str">
        <f t="shared" si="7"/>
        <v>Rojo</v>
      </c>
    </row>
    <row r="258" spans="1:6" x14ac:dyDescent="0.25">
      <c r="A258" s="32">
        <v>70105</v>
      </c>
      <c r="B258" s="34" t="s">
        <v>487</v>
      </c>
      <c r="C258" s="33">
        <v>37.360032693093586</v>
      </c>
      <c r="D258" s="33" t="str">
        <f t="shared" si="6"/>
        <v>Rojo</v>
      </c>
      <c r="E258" s="33">
        <v>43.462557187575243</v>
      </c>
      <c r="F258" s="33" t="str">
        <f t="shared" si="7"/>
        <v>Rojo</v>
      </c>
    </row>
    <row r="259" spans="1:6" x14ac:dyDescent="0.25">
      <c r="A259" s="32">
        <v>70201</v>
      </c>
      <c r="B259" s="34" t="s">
        <v>396</v>
      </c>
      <c r="C259" s="33">
        <v>31.255922129382373</v>
      </c>
      <c r="D259" s="33" t="str">
        <f t="shared" ref="D259:D322" si="8">IF(C259&lt;=50,"Rojo",
   IF(C259&lt;=68,"Naranja",
   IF(C259&lt;=85,"Amarillo","Verde")))</f>
        <v>Rojo</v>
      </c>
      <c r="E259" s="33">
        <v>31.147621745449172</v>
      </c>
      <c r="F259" s="33" t="str">
        <f t="shared" ref="F259:F322" si="9">IF(E259&lt;=50,"Rojo",
   IF(E259&lt;=68,"Naranja",
   IF(E259&lt;=85,"Amarillo","Verde")))</f>
        <v>Rojo</v>
      </c>
    </row>
    <row r="260" spans="1:6" x14ac:dyDescent="0.25">
      <c r="A260" s="32">
        <v>70202</v>
      </c>
      <c r="B260" s="34" t="s">
        <v>730</v>
      </c>
      <c r="C260" s="33">
        <v>39.53125</v>
      </c>
      <c r="D260" s="33" t="str">
        <f t="shared" si="8"/>
        <v>Rojo</v>
      </c>
      <c r="E260" s="33">
        <v>60.704419889502759</v>
      </c>
      <c r="F260" s="33" t="str">
        <f t="shared" si="9"/>
        <v>Naranja</v>
      </c>
    </row>
    <row r="261" spans="1:6" x14ac:dyDescent="0.25">
      <c r="A261" s="32">
        <v>70301</v>
      </c>
      <c r="B261" s="34" t="s">
        <v>510</v>
      </c>
      <c r="C261" s="33">
        <v>35.575057736720552</v>
      </c>
      <c r="D261" s="33" t="str">
        <f t="shared" si="8"/>
        <v>Rojo</v>
      </c>
      <c r="E261" s="33">
        <v>46.891891891891888</v>
      </c>
      <c r="F261" s="33" t="str">
        <f t="shared" si="9"/>
        <v>Rojo</v>
      </c>
    </row>
    <row r="262" spans="1:6" x14ac:dyDescent="0.25">
      <c r="A262" s="32">
        <v>70302</v>
      </c>
      <c r="B262" s="34" t="s">
        <v>1064</v>
      </c>
      <c r="C262" s="33">
        <v>8.7916343919442301</v>
      </c>
      <c r="D262" s="33" t="str">
        <f t="shared" si="8"/>
        <v>Rojo</v>
      </c>
      <c r="E262" s="33">
        <v>44.344501911400947</v>
      </c>
      <c r="F262" s="33" t="str">
        <f t="shared" si="9"/>
        <v>Rojo</v>
      </c>
    </row>
    <row r="263" spans="1:6" x14ac:dyDescent="0.25">
      <c r="A263" s="32">
        <v>70303</v>
      </c>
      <c r="B263" s="34" t="s">
        <v>746</v>
      </c>
      <c r="C263" s="33">
        <v>10.096575943810359</v>
      </c>
      <c r="D263" s="33" t="str">
        <f t="shared" si="8"/>
        <v>Rojo</v>
      </c>
      <c r="E263" s="33">
        <v>44.770452191922679</v>
      </c>
      <c r="F263" s="33" t="str">
        <f t="shared" si="9"/>
        <v>Rojo</v>
      </c>
    </row>
    <row r="264" spans="1:6" x14ac:dyDescent="0.25">
      <c r="A264" s="32">
        <v>70401</v>
      </c>
      <c r="B264" s="34" t="s">
        <v>542</v>
      </c>
      <c r="C264" s="33">
        <v>52.160201829076001</v>
      </c>
      <c r="D264" s="33" t="str">
        <f t="shared" si="8"/>
        <v>Naranja</v>
      </c>
      <c r="E264" s="33">
        <v>67.876059322033896</v>
      </c>
      <c r="F264" s="33" t="str">
        <f t="shared" si="9"/>
        <v>Naranja</v>
      </c>
    </row>
    <row r="265" spans="1:6" x14ac:dyDescent="0.25">
      <c r="A265" s="32">
        <v>70402</v>
      </c>
      <c r="B265" s="34" t="s">
        <v>543</v>
      </c>
      <c r="C265" s="33">
        <v>17.625191340476711</v>
      </c>
      <c r="D265" s="33" t="str">
        <f t="shared" si="8"/>
        <v>Rojo</v>
      </c>
      <c r="E265" s="33">
        <v>49.86420423682781</v>
      </c>
      <c r="F265" s="33" t="str">
        <f t="shared" si="9"/>
        <v>Rojo</v>
      </c>
    </row>
    <row r="266" spans="1:6" x14ac:dyDescent="0.25">
      <c r="A266" s="32">
        <v>70403</v>
      </c>
      <c r="B266" s="34" t="s">
        <v>716</v>
      </c>
      <c r="C266" s="33">
        <v>18.443316412859559</v>
      </c>
      <c r="D266" s="33" t="str">
        <f t="shared" si="8"/>
        <v>Rojo</v>
      </c>
      <c r="E266" s="33">
        <v>38.366127023661271</v>
      </c>
      <c r="F266" s="33" t="str">
        <f t="shared" si="9"/>
        <v>Rojo</v>
      </c>
    </row>
    <row r="267" spans="1:6" x14ac:dyDescent="0.25">
      <c r="A267" s="32">
        <v>70404</v>
      </c>
      <c r="B267" s="34" t="s">
        <v>492</v>
      </c>
      <c r="C267" s="33">
        <v>27.883211678832115</v>
      </c>
      <c r="D267" s="33" t="str">
        <f t="shared" si="8"/>
        <v>Rojo</v>
      </c>
      <c r="E267" s="33">
        <v>57.524518092661481</v>
      </c>
      <c r="F267" s="33" t="str">
        <f t="shared" si="9"/>
        <v>Naranja</v>
      </c>
    </row>
    <row r="268" spans="1:6" x14ac:dyDescent="0.25">
      <c r="A268" s="32">
        <v>70501</v>
      </c>
      <c r="B268" s="34" t="s">
        <v>1089</v>
      </c>
      <c r="C268" s="33">
        <v>27.989487516425754</v>
      </c>
      <c r="D268" s="33" t="str">
        <f t="shared" si="8"/>
        <v>Rojo</v>
      </c>
      <c r="E268" s="33">
        <v>53.200654777289571</v>
      </c>
      <c r="F268" s="33" t="str">
        <f t="shared" si="9"/>
        <v>Naranja</v>
      </c>
    </row>
    <row r="269" spans="1:6" x14ac:dyDescent="0.25">
      <c r="A269" s="32">
        <v>70502</v>
      </c>
      <c r="B269" s="34" t="s">
        <v>733</v>
      </c>
      <c r="C269" s="33">
        <v>46.28237259816207</v>
      </c>
      <c r="D269" s="33" t="str">
        <f t="shared" si="8"/>
        <v>Rojo</v>
      </c>
      <c r="E269" s="33">
        <v>53.677717810331536</v>
      </c>
      <c r="F269" s="33" t="str">
        <f t="shared" si="9"/>
        <v>Naranja</v>
      </c>
    </row>
    <row r="270" spans="1:6" x14ac:dyDescent="0.25">
      <c r="A270" s="32">
        <v>70503</v>
      </c>
      <c r="B270" s="34" t="s">
        <v>742</v>
      </c>
      <c r="C270" s="33">
        <v>34.240725914064583</v>
      </c>
      <c r="D270" s="33" t="str">
        <f t="shared" si="8"/>
        <v>Rojo</v>
      </c>
      <c r="E270" s="33">
        <v>59.480179506357523</v>
      </c>
      <c r="F270" s="33" t="str">
        <f t="shared" si="9"/>
        <v>Naranja</v>
      </c>
    </row>
    <row r="271" spans="1:6" x14ac:dyDescent="0.25">
      <c r="A271" s="32">
        <v>70601</v>
      </c>
      <c r="B271" s="34" t="s">
        <v>545</v>
      </c>
      <c r="C271" s="33">
        <v>54.770575382374368</v>
      </c>
      <c r="D271" s="33" t="str">
        <f t="shared" si="8"/>
        <v>Naranja</v>
      </c>
      <c r="E271" s="33">
        <v>78.10835629017447</v>
      </c>
      <c r="F271" s="33" t="str">
        <f t="shared" si="9"/>
        <v>Amarillo</v>
      </c>
    </row>
    <row r="272" spans="1:6" x14ac:dyDescent="0.25">
      <c r="A272" s="32">
        <v>70602</v>
      </c>
      <c r="B272" s="34" t="s">
        <v>613</v>
      </c>
      <c r="C272" s="33">
        <v>26.155082362394538</v>
      </c>
      <c r="D272" s="33" t="str">
        <f t="shared" si="8"/>
        <v>Rojo</v>
      </c>
      <c r="E272" s="33">
        <v>52.32499580325667</v>
      </c>
      <c r="F272" s="33" t="str">
        <f t="shared" si="9"/>
        <v>Naranja</v>
      </c>
    </row>
    <row r="273" spans="1:6" x14ac:dyDescent="0.25">
      <c r="A273" s="32">
        <v>70603</v>
      </c>
      <c r="B273" s="34" t="s">
        <v>739</v>
      </c>
      <c r="C273" s="33">
        <v>13.958641063515509</v>
      </c>
      <c r="D273" s="33" t="str">
        <f t="shared" si="8"/>
        <v>Rojo</v>
      </c>
      <c r="E273" s="33">
        <v>26.353555120678408</v>
      </c>
      <c r="F273" s="33" t="str">
        <f t="shared" si="9"/>
        <v>Rojo</v>
      </c>
    </row>
    <row r="274" spans="1:6" x14ac:dyDescent="0.25">
      <c r="A274" s="32">
        <v>70701</v>
      </c>
      <c r="B274" s="34" t="s">
        <v>656</v>
      </c>
      <c r="C274" s="33">
        <v>40.616246498599438</v>
      </c>
      <c r="D274" s="33" t="str">
        <f t="shared" si="8"/>
        <v>Rojo</v>
      </c>
      <c r="E274" s="33">
        <v>74.569789674952204</v>
      </c>
      <c r="F274" s="33" t="str">
        <f t="shared" si="9"/>
        <v>Amarillo</v>
      </c>
    </row>
    <row r="275" spans="1:6" x14ac:dyDescent="0.25">
      <c r="A275" s="32">
        <v>70702</v>
      </c>
      <c r="B275" s="34" t="s">
        <v>1187</v>
      </c>
      <c r="C275" s="33">
        <v>39.879154078549853</v>
      </c>
      <c r="D275" s="33" t="str">
        <f t="shared" si="8"/>
        <v>Rojo</v>
      </c>
      <c r="E275" s="33">
        <v>60.483870967741936</v>
      </c>
      <c r="F275" s="33" t="str">
        <f t="shared" si="9"/>
        <v>Naranja</v>
      </c>
    </row>
    <row r="276" spans="1:6" x14ac:dyDescent="0.25">
      <c r="A276" s="32">
        <v>70703</v>
      </c>
      <c r="B276" s="34" t="s">
        <v>592</v>
      </c>
      <c r="C276" s="33">
        <v>47.761194029850742</v>
      </c>
      <c r="D276" s="33" t="str">
        <f t="shared" si="8"/>
        <v>Rojo</v>
      </c>
      <c r="E276" s="33">
        <v>54.709926426245325</v>
      </c>
      <c r="F276" s="33" t="str">
        <f t="shared" si="9"/>
        <v>Naranja</v>
      </c>
    </row>
    <row r="277" spans="1:6" x14ac:dyDescent="0.25">
      <c r="A277" s="32">
        <v>70704</v>
      </c>
      <c r="B277" s="34" t="s">
        <v>705</v>
      </c>
      <c r="C277" s="33">
        <v>9.8478066248880936</v>
      </c>
      <c r="D277" s="33" t="str">
        <f t="shared" si="8"/>
        <v>Rojo</v>
      </c>
      <c r="E277" s="33">
        <v>66.61379857256145</v>
      </c>
      <c r="F277" s="33" t="str">
        <f t="shared" si="9"/>
        <v>Naranja</v>
      </c>
    </row>
    <row r="278" spans="1:6" x14ac:dyDescent="0.25">
      <c r="A278" s="32">
        <v>70705</v>
      </c>
      <c r="B278" s="34" t="s">
        <v>1188</v>
      </c>
      <c r="C278" s="33">
        <v>16.610878661087867</v>
      </c>
      <c r="D278" s="33" t="str">
        <f t="shared" si="8"/>
        <v>Rojo</v>
      </c>
      <c r="E278" s="33">
        <v>66.050744622173198</v>
      </c>
      <c r="F278" s="33" t="str">
        <f t="shared" si="9"/>
        <v>Naranja</v>
      </c>
    </row>
    <row r="279" spans="1:6" x14ac:dyDescent="0.25">
      <c r="A279" s="32">
        <v>70706</v>
      </c>
      <c r="B279" s="34" t="s">
        <v>706</v>
      </c>
      <c r="C279" s="33">
        <v>62.81347026510629</v>
      </c>
      <c r="D279" s="33" t="str">
        <f t="shared" si="8"/>
        <v>Naranja</v>
      </c>
      <c r="E279" s="33">
        <v>70.811391724879101</v>
      </c>
      <c r="F279" s="33" t="str">
        <f t="shared" si="9"/>
        <v>Amarillo</v>
      </c>
    </row>
    <row r="280" spans="1:6" x14ac:dyDescent="0.25">
      <c r="A280" s="32">
        <v>70707</v>
      </c>
      <c r="B280" s="34" t="s">
        <v>704</v>
      </c>
      <c r="C280" s="33">
        <v>27.739387956564659</v>
      </c>
      <c r="D280" s="33" t="str">
        <f t="shared" si="8"/>
        <v>Rojo</v>
      </c>
      <c r="E280" s="33">
        <v>65.992779783393502</v>
      </c>
      <c r="F280" s="33" t="str">
        <f t="shared" si="9"/>
        <v>Naranja</v>
      </c>
    </row>
    <row r="281" spans="1:6" x14ac:dyDescent="0.25">
      <c r="A281" s="32">
        <v>70801</v>
      </c>
      <c r="B281" s="34" t="s">
        <v>198</v>
      </c>
      <c r="C281" s="33">
        <v>59.677725118483416</v>
      </c>
      <c r="D281" s="33" t="str">
        <f t="shared" si="8"/>
        <v>Naranja</v>
      </c>
      <c r="E281" s="33">
        <v>70.259803130547041</v>
      </c>
      <c r="F281" s="33" t="str">
        <f t="shared" si="9"/>
        <v>Amarillo</v>
      </c>
    </row>
    <row r="282" spans="1:6" x14ac:dyDescent="0.25">
      <c r="A282" s="32">
        <v>70802</v>
      </c>
      <c r="B282" s="34" t="s">
        <v>713</v>
      </c>
      <c r="C282" s="33">
        <v>61.805555555555557</v>
      </c>
      <c r="D282" s="33" t="str">
        <f t="shared" si="8"/>
        <v>Naranja</v>
      </c>
      <c r="E282" s="33">
        <v>81.886792452830193</v>
      </c>
      <c r="F282" s="33" t="str">
        <f t="shared" si="9"/>
        <v>Amarillo</v>
      </c>
    </row>
    <row r="283" spans="1:6" x14ac:dyDescent="0.25">
      <c r="A283" s="32">
        <v>70803</v>
      </c>
      <c r="B283" s="34" t="s">
        <v>830</v>
      </c>
      <c r="C283" s="33">
        <v>37.241379310344833</v>
      </c>
      <c r="D283" s="33" t="str">
        <f t="shared" si="8"/>
        <v>Rojo</v>
      </c>
      <c r="E283" s="33">
        <v>59.838546922300708</v>
      </c>
      <c r="F283" s="33" t="str">
        <f t="shared" si="9"/>
        <v>Naranja</v>
      </c>
    </row>
    <row r="284" spans="1:6" x14ac:dyDescent="0.25">
      <c r="A284" s="32">
        <v>70804</v>
      </c>
      <c r="B284" s="34" t="s">
        <v>712</v>
      </c>
      <c r="C284" s="33">
        <v>38.666666666666664</v>
      </c>
      <c r="D284" s="33" t="str">
        <f t="shared" si="8"/>
        <v>Rojo</v>
      </c>
      <c r="E284" s="33">
        <v>60.89108910891089</v>
      </c>
      <c r="F284" s="33" t="str">
        <f t="shared" si="9"/>
        <v>Naranja</v>
      </c>
    </row>
    <row r="285" spans="1:6" x14ac:dyDescent="0.25">
      <c r="A285" s="32">
        <v>70805</v>
      </c>
      <c r="B285" s="34" t="s">
        <v>701</v>
      </c>
      <c r="C285" s="33">
        <v>29.291338582677167</v>
      </c>
      <c r="D285" s="33" t="str">
        <f t="shared" si="8"/>
        <v>Rojo</v>
      </c>
      <c r="E285" s="33">
        <v>53.938584779706275</v>
      </c>
      <c r="F285" s="33" t="str">
        <f t="shared" si="9"/>
        <v>Naranja</v>
      </c>
    </row>
    <row r="286" spans="1:6" x14ac:dyDescent="0.25">
      <c r="A286" s="32">
        <v>70901</v>
      </c>
      <c r="B286" s="34" t="s">
        <v>488</v>
      </c>
      <c r="C286" s="33">
        <v>40.271055179090034</v>
      </c>
      <c r="D286" s="33" t="str">
        <f t="shared" si="8"/>
        <v>Rojo</v>
      </c>
      <c r="E286" s="33">
        <v>60.538005923000995</v>
      </c>
      <c r="F286" s="33" t="str">
        <f t="shared" si="9"/>
        <v>Naranja</v>
      </c>
    </row>
    <row r="287" spans="1:6" x14ac:dyDescent="0.25">
      <c r="A287" s="32">
        <v>70902</v>
      </c>
      <c r="B287" s="34" t="s">
        <v>1189</v>
      </c>
      <c r="C287" s="33">
        <v>36.95652173913043</v>
      </c>
      <c r="D287" s="33" t="str">
        <f t="shared" si="8"/>
        <v>Rojo</v>
      </c>
      <c r="E287" s="33">
        <v>69.704918032786892</v>
      </c>
      <c r="F287" s="33" t="str">
        <f t="shared" si="9"/>
        <v>Amarillo</v>
      </c>
    </row>
    <row r="288" spans="1:6" x14ac:dyDescent="0.25">
      <c r="A288" s="32">
        <v>70903</v>
      </c>
      <c r="B288" s="34" t="s">
        <v>737</v>
      </c>
      <c r="C288" s="33">
        <v>21.322537112010799</v>
      </c>
      <c r="D288" s="33" t="str">
        <f t="shared" si="8"/>
        <v>Rojo</v>
      </c>
      <c r="E288" s="33">
        <v>46.218097447795827</v>
      </c>
      <c r="F288" s="33" t="str">
        <f t="shared" si="9"/>
        <v>Rojo</v>
      </c>
    </row>
    <row r="289" spans="1:6" x14ac:dyDescent="0.25">
      <c r="A289" s="32">
        <v>70904</v>
      </c>
      <c r="B289" s="34" t="s">
        <v>714</v>
      </c>
      <c r="C289" s="33">
        <v>52.602739726027394</v>
      </c>
      <c r="D289" s="33" t="str">
        <f t="shared" si="8"/>
        <v>Naranja</v>
      </c>
      <c r="E289" s="33">
        <v>71.664548919949183</v>
      </c>
      <c r="F289" s="33" t="str">
        <f t="shared" si="9"/>
        <v>Amarillo</v>
      </c>
    </row>
    <row r="290" spans="1:6" x14ac:dyDescent="0.25">
      <c r="A290" s="32">
        <v>71001</v>
      </c>
      <c r="B290" s="34" t="s">
        <v>725</v>
      </c>
      <c r="C290" s="33">
        <v>45.41244353338648</v>
      </c>
      <c r="D290" s="33" t="str">
        <f t="shared" si="8"/>
        <v>Rojo</v>
      </c>
      <c r="E290" s="33">
        <v>42.310687754612985</v>
      </c>
      <c r="F290" s="33" t="str">
        <f t="shared" si="9"/>
        <v>Rojo</v>
      </c>
    </row>
    <row r="291" spans="1:6" x14ac:dyDescent="0.25">
      <c r="A291" s="32">
        <v>71002</v>
      </c>
      <c r="B291" s="34" t="s">
        <v>732</v>
      </c>
      <c r="C291" s="33">
        <v>38.442521631644006</v>
      </c>
      <c r="D291" s="33" t="str">
        <f t="shared" si="8"/>
        <v>Rojo</v>
      </c>
      <c r="E291" s="33">
        <v>49.265718219366683</v>
      </c>
      <c r="F291" s="33" t="str">
        <f t="shared" si="9"/>
        <v>Rojo</v>
      </c>
    </row>
    <row r="292" spans="1:6" x14ac:dyDescent="0.25">
      <c r="A292" s="32">
        <v>71003</v>
      </c>
      <c r="B292" s="34" t="s">
        <v>735</v>
      </c>
      <c r="C292" s="33">
        <v>11.695137976346912</v>
      </c>
      <c r="D292" s="33" t="str">
        <f t="shared" si="8"/>
        <v>Rojo</v>
      </c>
      <c r="E292" s="33">
        <v>52.663868259606076</v>
      </c>
      <c r="F292" s="33" t="str">
        <f t="shared" si="9"/>
        <v>Naranja</v>
      </c>
    </row>
    <row r="293" spans="1:6" x14ac:dyDescent="0.25">
      <c r="A293" s="32">
        <v>71004</v>
      </c>
      <c r="B293" s="34" t="s">
        <v>734</v>
      </c>
      <c r="C293" s="33">
        <v>18.684792918115715</v>
      </c>
      <c r="D293" s="33" t="str">
        <f t="shared" si="8"/>
        <v>Rojo</v>
      </c>
      <c r="E293" s="33">
        <v>43.222803955788244</v>
      </c>
      <c r="F293" s="33" t="str">
        <f t="shared" si="9"/>
        <v>Rojo</v>
      </c>
    </row>
    <row r="294" spans="1:6" x14ac:dyDescent="0.25">
      <c r="A294" s="32">
        <v>71005</v>
      </c>
      <c r="B294" s="34" t="s">
        <v>494</v>
      </c>
      <c r="C294" s="33">
        <v>46.591889559965487</v>
      </c>
      <c r="D294" s="33" t="str">
        <f t="shared" si="8"/>
        <v>Rojo</v>
      </c>
      <c r="E294" s="33">
        <v>42.966887417218544</v>
      </c>
      <c r="F294" s="33" t="str">
        <f t="shared" si="9"/>
        <v>Rojo</v>
      </c>
    </row>
    <row r="295" spans="1:6" x14ac:dyDescent="0.25">
      <c r="A295" s="32">
        <v>71101</v>
      </c>
      <c r="B295" s="34" t="s">
        <v>522</v>
      </c>
      <c r="C295" s="33">
        <v>12.344520065712274</v>
      </c>
      <c r="D295" s="33" t="str">
        <f t="shared" si="8"/>
        <v>Rojo</v>
      </c>
      <c r="E295" s="33">
        <v>34.219198469225041</v>
      </c>
      <c r="F295" s="33" t="str">
        <f t="shared" si="9"/>
        <v>Rojo</v>
      </c>
    </row>
    <row r="296" spans="1:6" x14ac:dyDescent="0.25">
      <c r="A296" s="32">
        <v>71102</v>
      </c>
      <c r="B296" s="34" t="s">
        <v>511</v>
      </c>
      <c r="C296" s="33">
        <v>10.141287284144427</v>
      </c>
      <c r="D296" s="33" t="str">
        <f t="shared" si="8"/>
        <v>Rojo</v>
      </c>
      <c r="E296" s="33">
        <v>36.919563562547573</v>
      </c>
      <c r="F296" s="33" t="str">
        <f t="shared" si="9"/>
        <v>Rojo</v>
      </c>
    </row>
    <row r="297" spans="1:6" x14ac:dyDescent="0.25">
      <c r="A297" s="32">
        <v>71103</v>
      </c>
      <c r="B297" s="34" t="s">
        <v>772</v>
      </c>
      <c r="C297" s="33">
        <v>60.645724258289704</v>
      </c>
      <c r="D297" s="33" t="str">
        <f t="shared" si="8"/>
        <v>Naranja</v>
      </c>
      <c r="E297" s="33">
        <v>17.550349362926429</v>
      </c>
      <c r="F297" s="33" t="str">
        <f t="shared" si="9"/>
        <v>Rojo</v>
      </c>
    </row>
    <row r="298" spans="1:6" x14ac:dyDescent="0.25">
      <c r="A298" s="32">
        <v>71104</v>
      </c>
      <c r="B298" s="34" t="s">
        <v>751</v>
      </c>
      <c r="C298" s="33">
        <v>3.2047477744807122</v>
      </c>
      <c r="D298" s="33" t="str">
        <f t="shared" si="8"/>
        <v>Rojo</v>
      </c>
      <c r="E298" s="33">
        <v>39.001937984496124</v>
      </c>
      <c r="F298" s="33" t="str">
        <f t="shared" si="9"/>
        <v>Rojo</v>
      </c>
    </row>
    <row r="299" spans="1:6" x14ac:dyDescent="0.25">
      <c r="A299" s="32">
        <v>71105</v>
      </c>
      <c r="B299" s="34" t="s">
        <v>529</v>
      </c>
      <c r="C299" s="33">
        <v>25.97321218767134</v>
      </c>
      <c r="D299" s="33" t="str">
        <f t="shared" si="8"/>
        <v>Rojo</v>
      </c>
      <c r="E299" s="33">
        <v>84.813559322033896</v>
      </c>
      <c r="F299" s="33" t="str">
        <f t="shared" si="9"/>
        <v>Amarillo</v>
      </c>
    </row>
    <row r="300" spans="1:6" x14ac:dyDescent="0.25">
      <c r="A300" s="32">
        <v>71106</v>
      </c>
      <c r="B300" s="34" t="s">
        <v>717</v>
      </c>
      <c r="C300" s="33">
        <v>41.320680110715699</v>
      </c>
      <c r="D300" s="33" t="str">
        <f t="shared" si="8"/>
        <v>Rojo</v>
      </c>
      <c r="E300" s="33">
        <v>69.485574721416583</v>
      </c>
      <c r="F300" s="33" t="str">
        <f t="shared" si="9"/>
        <v>Amarillo</v>
      </c>
    </row>
    <row r="301" spans="1:6" x14ac:dyDescent="0.25">
      <c r="A301" s="32">
        <v>71201</v>
      </c>
      <c r="B301" s="34" t="s">
        <v>743</v>
      </c>
      <c r="C301" s="33">
        <v>17.760497667185071</v>
      </c>
      <c r="D301" s="33" t="str">
        <f t="shared" si="8"/>
        <v>Rojo</v>
      </c>
      <c r="E301" s="33">
        <v>39.686369119420988</v>
      </c>
      <c r="F301" s="33" t="str">
        <f t="shared" si="9"/>
        <v>Rojo</v>
      </c>
    </row>
    <row r="302" spans="1:6" x14ac:dyDescent="0.25">
      <c r="A302" s="32">
        <v>71301</v>
      </c>
      <c r="B302" s="34" t="s">
        <v>774</v>
      </c>
      <c r="C302" s="33">
        <v>51.325716749299424</v>
      </c>
      <c r="D302" s="33" t="str">
        <f t="shared" si="8"/>
        <v>Naranja</v>
      </c>
      <c r="E302" s="33">
        <v>61.105318039624613</v>
      </c>
      <c r="F302" s="33" t="str">
        <f t="shared" si="9"/>
        <v>Naranja</v>
      </c>
    </row>
    <row r="303" spans="1:6" x14ac:dyDescent="0.25">
      <c r="A303" s="32">
        <v>71302</v>
      </c>
      <c r="B303" s="34" t="s">
        <v>506</v>
      </c>
      <c r="C303" s="33">
        <v>20.527201346045988</v>
      </c>
      <c r="D303" s="33" t="str">
        <f t="shared" si="8"/>
        <v>Rojo</v>
      </c>
      <c r="E303" s="33">
        <v>53.092006033182507</v>
      </c>
      <c r="F303" s="33" t="str">
        <f t="shared" si="9"/>
        <v>Naranja</v>
      </c>
    </row>
    <row r="304" spans="1:6" x14ac:dyDescent="0.25">
      <c r="A304" s="32">
        <v>71401</v>
      </c>
      <c r="B304" s="34" t="s">
        <v>1190</v>
      </c>
      <c r="C304" s="33">
        <v>14.866051822573562</v>
      </c>
      <c r="D304" s="33" t="str">
        <f t="shared" si="8"/>
        <v>Rojo</v>
      </c>
      <c r="E304" s="33">
        <v>32.208273307264868</v>
      </c>
      <c r="F304" s="33" t="str">
        <f t="shared" si="9"/>
        <v>Rojo</v>
      </c>
    </row>
    <row r="305" spans="1:6" x14ac:dyDescent="0.25">
      <c r="A305" s="32">
        <v>71402</v>
      </c>
      <c r="B305" s="34" t="s">
        <v>476</v>
      </c>
      <c r="C305" s="33">
        <v>3.3238855964957486</v>
      </c>
      <c r="D305" s="33" t="str">
        <f t="shared" si="8"/>
        <v>Rojo</v>
      </c>
      <c r="E305" s="33">
        <v>14.836495761001212</v>
      </c>
      <c r="F305" s="33" t="str">
        <f t="shared" si="9"/>
        <v>Rojo</v>
      </c>
    </row>
    <row r="306" spans="1:6" x14ac:dyDescent="0.25">
      <c r="A306" s="32">
        <v>71403</v>
      </c>
      <c r="B306" s="34" t="s">
        <v>741</v>
      </c>
      <c r="C306" s="33">
        <v>17.22520107238606</v>
      </c>
      <c r="D306" s="33" t="str">
        <f t="shared" si="8"/>
        <v>Rojo</v>
      </c>
      <c r="E306" s="33">
        <v>57.048910809699962</v>
      </c>
      <c r="F306" s="33" t="str">
        <f t="shared" si="9"/>
        <v>Naranja</v>
      </c>
    </row>
    <row r="307" spans="1:6" x14ac:dyDescent="0.25">
      <c r="A307" s="32">
        <v>71501</v>
      </c>
      <c r="B307" s="34" t="s">
        <v>726</v>
      </c>
      <c r="C307" s="33">
        <v>11.863792791161023</v>
      </c>
      <c r="D307" s="33" t="str">
        <f t="shared" si="8"/>
        <v>Rojo</v>
      </c>
      <c r="E307" s="33">
        <v>21.040451726372304</v>
      </c>
      <c r="F307" s="33" t="str">
        <f t="shared" si="9"/>
        <v>Rojo</v>
      </c>
    </row>
    <row r="308" spans="1:6" x14ac:dyDescent="0.25">
      <c r="A308" s="32">
        <v>71502</v>
      </c>
      <c r="B308" s="34" t="s">
        <v>749</v>
      </c>
      <c r="C308" s="33">
        <v>3.5532994923857872</v>
      </c>
      <c r="D308" s="33" t="str">
        <f t="shared" si="8"/>
        <v>Rojo</v>
      </c>
      <c r="E308" s="33">
        <v>45.182926829268297</v>
      </c>
      <c r="F308" s="33" t="str">
        <f t="shared" si="9"/>
        <v>Rojo</v>
      </c>
    </row>
    <row r="309" spans="1:6" x14ac:dyDescent="0.25">
      <c r="A309" s="32">
        <v>71503</v>
      </c>
      <c r="B309" s="34" t="s">
        <v>552</v>
      </c>
      <c r="C309" s="33">
        <v>13.898229096615108</v>
      </c>
      <c r="D309" s="33" t="str">
        <f t="shared" si="8"/>
        <v>Rojo</v>
      </c>
      <c r="E309" s="33">
        <v>43.182522466687324</v>
      </c>
      <c r="F309" s="33" t="str">
        <f t="shared" si="9"/>
        <v>Rojo</v>
      </c>
    </row>
    <row r="310" spans="1:6" x14ac:dyDescent="0.25">
      <c r="A310" s="32">
        <v>80101</v>
      </c>
      <c r="B310" s="34" t="s">
        <v>750</v>
      </c>
      <c r="C310" s="33">
        <v>29.372269859246074</v>
      </c>
      <c r="D310" s="33" t="str">
        <f t="shared" si="8"/>
        <v>Rojo</v>
      </c>
      <c r="E310" s="33">
        <v>27.560486977962707</v>
      </c>
      <c r="F310" s="33" t="str">
        <f t="shared" si="9"/>
        <v>Rojo</v>
      </c>
    </row>
    <row r="311" spans="1:6" x14ac:dyDescent="0.25">
      <c r="A311" s="32">
        <v>80102</v>
      </c>
      <c r="B311" s="34" t="s">
        <v>511</v>
      </c>
      <c r="C311" s="33">
        <v>28.130081300813011</v>
      </c>
      <c r="D311" s="33" t="str">
        <f t="shared" si="8"/>
        <v>Rojo</v>
      </c>
      <c r="E311" s="33">
        <v>50.507001448575572</v>
      </c>
      <c r="F311" s="33" t="str">
        <f t="shared" si="9"/>
        <v>Naranja</v>
      </c>
    </row>
    <row r="312" spans="1:6" x14ac:dyDescent="0.25">
      <c r="A312" s="32">
        <v>80201</v>
      </c>
      <c r="B312" s="34" t="s">
        <v>676</v>
      </c>
      <c r="C312" s="33">
        <v>12.65570757606698</v>
      </c>
      <c r="D312" s="33" t="str">
        <f t="shared" si="8"/>
        <v>Rojo</v>
      </c>
      <c r="E312" s="33">
        <v>18.970920486844982</v>
      </c>
      <c r="F312" s="33" t="str">
        <f t="shared" si="9"/>
        <v>Rojo</v>
      </c>
    </row>
    <row r="313" spans="1:6" x14ac:dyDescent="0.25">
      <c r="A313" s="32">
        <v>80202</v>
      </c>
      <c r="B313" s="34" t="s">
        <v>683</v>
      </c>
      <c r="C313" s="33">
        <v>30.331497678436453</v>
      </c>
      <c r="D313" s="33" t="str">
        <f t="shared" si="8"/>
        <v>Rojo</v>
      </c>
      <c r="E313" s="33">
        <v>37.553943623175101</v>
      </c>
      <c r="F313" s="33" t="str">
        <f t="shared" si="9"/>
        <v>Rojo</v>
      </c>
    </row>
    <row r="314" spans="1:6" x14ac:dyDescent="0.25">
      <c r="A314" s="32">
        <v>80301</v>
      </c>
      <c r="B314" s="34" t="s">
        <v>672</v>
      </c>
      <c r="C314" s="33">
        <v>5.6380823767724513</v>
      </c>
      <c r="D314" s="33" t="str">
        <f t="shared" si="8"/>
        <v>Rojo</v>
      </c>
      <c r="E314" s="33">
        <v>24.202516827626571</v>
      </c>
      <c r="F314" s="33" t="str">
        <f t="shared" si="9"/>
        <v>Rojo</v>
      </c>
    </row>
    <row r="315" spans="1:6" x14ac:dyDescent="0.25">
      <c r="A315" s="32">
        <v>80302</v>
      </c>
      <c r="B315" s="34" t="s">
        <v>671</v>
      </c>
      <c r="C315" s="33">
        <v>4.9936251593710157</v>
      </c>
      <c r="D315" s="33" t="str">
        <f t="shared" si="8"/>
        <v>Rojo</v>
      </c>
      <c r="E315" s="33">
        <v>19.852884836411004</v>
      </c>
      <c r="F315" s="33" t="str">
        <f t="shared" si="9"/>
        <v>Rojo</v>
      </c>
    </row>
    <row r="316" spans="1:6" x14ac:dyDescent="0.25">
      <c r="A316" s="32">
        <v>80303</v>
      </c>
      <c r="B316" s="34" t="s">
        <v>613</v>
      </c>
      <c r="C316" s="33">
        <v>22.672064777327936</v>
      </c>
      <c r="D316" s="33" t="str">
        <f t="shared" si="8"/>
        <v>Rojo</v>
      </c>
      <c r="E316" s="33">
        <v>35.027223230490016</v>
      </c>
      <c r="F316" s="33" t="str">
        <f t="shared" si="9"/>
        <v>Rojo</v>
      </c>
    </row>
    <row r="317" spans="1:6" x14ac:dyDescent="0.25">
      <c r="A317" s="32">
        <v>80304</v>
      </c>
      <c r="B317" s="34" t="s">
        <v>668</v>
      </c>
      <c r="C317" s="33">
        <v>37.059913526868435</v>
      </c>
      <c r="D317" s="33" t="str">
        <f t="shared" si="8"/>
        <v>Rojo</v>
      </c>
      <c r="E317" s="33">
        <v>42.08</v>
      </c>
      <c r="F317" s="33" t="str">
        <f t="shared" si="9"/>
        <v>Rojo</v>
      </c>
    </row>
    <row r="318" spans="1:6" x14ac:dyDescent="0.25">
      <c r="A318" s="32">
        <v>80401</v>
      </c>
      <c r="B318" s="34" t="s">
        <v>670</v>
      </c>
      <c r="C318" s="33">
        <v>38.038793103448278</v>
      </c>
      <c r="D318" s="33" t="str">
        <f t="shared" si="8"/>
        <v>Rojo</v>
      </c>
      <c r="E318" s="33">
        <v>56.088474970896399</v>
      </c>
      <c r="F318" s="33" t="str">
        <f t="shared" si="9"/>
        <v>Naranja</v>
      </c>
    </row>
    <row r="319" spans="1:6" x14ac:dyDescent="0.25">
      <c r="A319" s="32">
        <v>80402</v>
      </c>
      <c r="B319" s="34" t="s">
        <v>675</v>
      </c>
      <c r="C319" s="33">
        <v>27.078891257995735</v>
      </c>
      <c r="D319" s="33" t="str">
        <f t="shared" si="8"/>
        <v>Rojo</v>
      </c>
      <c r="E319" s="33">
        <v>28.797250859106526</v>
      </c>
      <c r="F319" s="33" t="str">
        <f t="shared" si="9"/>
        <v>Rojo</v>
      </c>
    </row>
    <row r="320" spans="1:6" x14ac:dyDescent="0.25">
      <c r="A320" s="32">
        <v>80501</v>
      </c>
      <c r="B320" s="34" t="s">
        <v>510</v>
      </c>
      <c r="C320" s="33">
        <v>8.6127698667891597</v>
      </c>
      <c r="D320" s="33" t="str">
        <f t="shared" si="8"/>
        <v>Rojo</v>
      </c>
      <c r="E320" s="33">
        <v>29.104062326099054</v>
      </c>
      <c r="F320" s="33" t="str">
        <f t="shared" si="9"/>
        <v>Rojo</v>
      </c>
    </row>
    <row r="321" spans="1:6" x14ac:dyDescent="0.25">
      <c r="A321" s="32">
        <v>80601</v>
      </c>
      <c r="B321" s="34" t="s">
        <v>499</v>
      </c>
      <c r="C321" s="33">
        <v>30.787037037037035</v>
      </c>
      <c r="D321" s="33" t="str">
        <f t="shared" si="8"/>
        <v>Rojo</v>
      </c>
      <c r="E321" s="33">
        <v>52.801519468186129</v>
      </c>
      <c r="F321" s="33" t="str">
        <f t="shared" si="9"/>
        <v>Naranja</v>
      </c>
    </row>
    <row r="322" spans="1:6" x14ac:dyDescent="0.25">
      <c r="A322" s="32">
        <v>80602</v>
      </c>
      <c r="B322" s="34" t="s">
        <v>727</v>
      </c>
      <c r="C322" s="33">
        <v>24.799732977303073</v>
      </c>
      <c r="D322" s="33" t="str">
        <f t="shared" si="8"/>
        <v>Rojo</v>
      </c>
      <c r="E322" s="33">
        <v>41.840607210626182</v>
      </c>
      <c r="F322" s="33" t="str">
        <f t="shared" si="9"/>
        <v>Rojo</v>
      </c>
    </row>
    <row r="323" spans="1:6" x14ac:dyDescent="0.25">
      <c r="A323" s="32">
        <v>80701</v>
      </c>
      <c r="B323" s="34" t="s">
        <v>528</v>
      </c>
      <c r="C323" s="33">
        <v>10.36682615629984</v>
      </c>
      <c r="D323" s="33" t="str">
        <f t="shared" ref="D323:D344" si="10">IF(C323&lt;=50,"Rojo",
   IF(C323&lt;=68,"Naranja",
   IF(C323&lt;=85,"Amarillo","Verde")))</f>
        <v>Rojo</v>
      </c>
      <c r="E323" s="33">
        <v>25.521885521885523</v>
      </c>
      <c r="F323" s="33" t="str">
        <f t="shared" ref="F323:F344" si="11">IF(E323&lt;=50,"Rojo",
   IF(E323&lt;=68,"Naranja",
   IF(E323&lt;=85,"Amarillo","Verde")))</f>
        <v>Rojo</v>
      </c>
    </row>
    <row r="324" spans="1:6" x14ac:dyDescent="0.25">
      <c r="A324" s="32">
        <v>80702</v>
      </c>
      <c r="B324" s="34" t="s">
        <v>529</v>
      </c>
      <c r="C324" s="33">
        <v>5.8620689655172411</v>
      </c>
      <c r="D324" s="33" t="str">
        <f t="shared" si="10"/>
        <v>Rojo</v>
      </c>
      <c r="E324" s="33">
        <v>22.872340425531913</v>
      </c>
      <c r="F324" s="33" t="str">
        <f t="shared" si="11"/>
        <v>Rojo</v>
      </c>
    </row>
    <row r="325" spans="1:6" x14ac:dyDescent="0.25">
      <c r="A325" s="32">
        <v>80703</v>
      </c>
      <c r="B325" s="34" t="s">
        <v>674</v>
      </c>
      <c r="C325" s="33">
        <v>48.717948717948715</v>
      </c>
      <c r="D325" s="33" t="str">
        <f t="shared" si="10"/>
        <v>Rojo</v>
      </c>
      <c r="E325" s="33">
        <v>60.327868852459019</v>
      </c>
      <c r="F325" s="33" t="str">
        <f t="shared" si="11"/>
        <v>Naranja</v>
      </c>
    </row>
    <row r="326" spans="1:6" x14ac:dyDescent="0.25">
      <c r="A326" s="32">
        <v>80801</v>
      </c>
      <c r="B326" s="34" t="s">
        <v>544</v>
      </c>
      <c r="C326" s="33">
        <v>3.4050179211469538</v>
      </c>
      <c r="D326" s="33" t="str">
        <f t="shared" si="10"/>
        <v>Rojo</v>
      </c>
      <c r="E326" s="33">
        <v>13.011152416356877</v>
      </c>
      <c r="F326" s="33" t="str">
        <f t="shared" si="11"/>
        <v>Rojo</v>
      </c>
    </row>
    <row r="327" spans="1:6" x14ac:dyDescent="0.25">
      <c r="A327" s="32">
        <v>80802</v>
      </c>
      <c r="B327" s="34" t="s">
        <v>595</v>
      </c>
      <c r="C327" s="33">
        <v>6.0471976401179939</v>
      </c>
      <c r="D327" s="33" t="str">
        <f t="shared" si="10"/>
        <v>Rojo</v>
      </c>
      <c r="E327" s="33">
        <v>26.211240310077521</v>
      </c>
      <c r="F327" s="33" t="str">
        <f t="shared" si="11"/>
        <v>Rojo</v>
      </c>
    </row>
    <row r="328" spans="1:6" x14ac:dyDescent="0.25">
      <c r="A328" s="32">
        <v>80803</v>
      </c>
      <c r="B328" s="34" t="s">
        <v>524</v>
      </c>
      <c r="C328" s="33">
        <v>26.373626373626376</v>
      </c>
      <c r="D328" s="33" t="str">
        <f t="shared" si="10"/>
        <v>Rojo</v>
      </c>
      <c r="E328" s="33">
        <v>25.04911591355599</v>
      </c>
      <c r="F328" s="33" t="str">
        <f t="shared" si="11"/>
        <v>Rojo</v>
      </c>
    </row>
    <row r="329" spans="1:6" x14ac:dyDescent="0.25">
      <c r="A329" s="32">
        <v>80901</v>
      </c>
      <c r="B329" s="34" t="s">
        <v>1191</v>
      </c>
      <c r="C329" s="33">
        <v>22.154723530870321</v>
      </c>
      <c r="D329" s="33" t="str">
        <f t="shared" si="10"/>
        <v>Rojo</v>
      </c>
      <c r="E329" s="33">
        <v>40.997830802603033</v>
      </c>
      <c r="F329" s="33" t="str">
        <f t="shared" si="11"/>
        <v>Rojo</v>
      </c>
    </row>
    <row r="330" spans="1:6" x14ac:dyDescent="0.25">
      <c r="A330" s="32">
        <v>90101</v>
      </c>
      <c r="B330" s="34" t="s">
        <v>597</v>
      </c>
      <c r="C330" s="33">
        <v>26.503576072821843</v>
      </c>
      <c r="D330" s="33" t="str">
        <f t="shared" si="10"/>
        <v>Rojo</v>
      </c>
      <c r="E330" s="33">
        <v>38.852480082241073</v>
      </c>
      <c r="F330" s="33" t="str">
        <f t="shared" si="11"/>
        <v>Rojo</v>
      </c>
    </row>
    <row r="331" spans="1:6" x14ac:dyDescent="0.25">
      <c r="A331" s="32">
        <v>90102</v>
      </c>
      <c r="B331" s="34" t="s">
        <v>677</v>
      </c>
      <c r="C331" s="33">
        <v>19.637462235649547</v>
      </c>
      <c r="D331" s="33" t="str">
        <f t="shared" si="10"/>
        <v>Rojo</v>
      </c>
      <c r="E331" s="33">
        <v>27.533632286995513</v>
      </c>
      <c r="F331" s="33" t="str">
        <f t="shared" si="11"/>
        <v>Rojo</v>
      </c>
    </row>
    <row r="332" spans="1:6" x14ac:dyDescent="0.25">
      <c r="A332" s="32">
        <v>90103</v>
      </c>
      <c r="B332" s="34" t="s">
        <v>690</v>
      </c>
      <c r="C332" s="33">
        <v>7.522935779816514</v>
      </c>
      <c r="D332" s="33" t="str">
        <f t="shared" si="10"/>
        <v>Rojo</v>
      </c>
      <c r="E332" s="33">
        <v>42.768079800498754</v>
      </c>
      <c r="F332" s="33" t="str">
        <f t="shared" si="11"/>
        <v>Rojo</v>
      </c>
    </row>
    <row r="333" spans="1:6" x14ac:dyDescent="0.25">
      <c r="A333" s="32">
        <v>90104</v>
      </c>
      <c r="B333" s="34" t="s">
        <v>678</v>
      </c>
      <c r="C333" s="33">
        <v>20.974576271186439</v>
      </c>
      <c r="D333" s="33" t="str">
        <f t="shared" si="10"/>
        <v>Rojo</v>
      </c>
      <c r="E333" s="33">
        <v>50.364372469635633</v>
      </c>
      <c r="F333" s="33" t="str">
        <f t="shared" si="11"/>
        <v>Naranja</v>
      </c>
    </row>
    <row r="334" spans="1:6" x14ac:dyDescent="0.25">
      <c r="A334" s="32">
        <v>90201</v>
      </c>
      <c r="B334" s="34" t="s">
        <v>680</v>
      </c>
      <c r="C334" s="33">
        <v>16.49782923299566</v>
      </c>
      <c r="D334" s="33" t="str">
        <f t="shared" si="10"/>
        <v>Rojo</v>
      </c>
      <c r="E334" s="33">
        <v>26.696832579185521</v>
      </c>
      <c r="F334" s="33" t="str">
        <f t="shared" si="11"/>
        <v>Rojo</v>
      </c>
    </row>
    <row r="335" spans="1:6" x14ac:dyDescent="0.25">
      <c r="A335" s="32">
        <v>90202</v>
      </c>
      <c r="B335" s="34" t="s">
        <v>494</v>
      </c>
      <c r="C335" s="33">
        <v>1.9639934533551555</v>
      </c>
      <c r="D335" s="33" t="str">
        <f t="shared" si="10"/>
        <v>Rojo</v>
      </c>
      <c r="E335" s="33">
        <v>8.3333333333333321</v>
      </c>
      <c r="F335" s="33" t="str">
        <f t="shared" si="11"/>
        <v>Rojo</v>
      </c>
    </row>
    <row r="336" spans="1:6" x14ac:dyDescent="0.25">
      <c r="A336" s="32">
        <v>90203</v>
      </c>
      <c r="B336" s="34" t="s">
        <v>691</v>
      </c>
      <c r="C336" s="33">
        <v>13.594954449894884</v>
      </c>
      <c r="D336" s="33" t="str">
        <f t="shared" si="10"/>
        <v>Rojo</v>
      </c>
      <c r="E336" s="33">
        <v>45.624502784407319</v>
      </c>
      <c r="F336" s="33" t="str">
        <f t="shared" si="11"/>
        <v>Rojo</v>
      </c>
    </row>
    <row r="337" spans="1:6" x14ac:dyDescent="0.25">
      <c r="A337" s="32">
        <v>90301</v>
      </c>
      <c r="B337" s="34" t="s">
        <v>673</v>
      </c>
      <c r="C337" s="33">
        <v>18.323586744639375</v>
      </c>
      <c r="D337" s="33" t="str">
        <f t="shared" si="10"/>
        <v>Rojo</v>
      </c>
      <c r="E337" s="33">
        <v>29.262086513994912</v>
      </c>
      <c r="F337" s="33" t="str">
        <f t="shared" si="11"/>
        <v>Rojo</v>
      </c>
    </row>
    <row r="338" spans="1:6" x14ac:dyDescent="0.25">
      <c r="A338" s="32">
        <v>90302</v>
      </c>
      <c r="B338" s="34" t="s">
        <v>551</v>
      </c>
      <c r="C338" s="33">
        <v>7.526080476900149</v>
      </c>
      <c r="D338" s="33" t="str">
        <f t="shared" si="10"/>
        <v>Rojo</v>
      </c>
      <c r="E338" s="33">
        <v>30.270270270270274</v>
      </c>
      <c r="F338" s="33" t="str">
        <f t="shared" si="11"/>
        <v>Rojo</v>
      </c>
    </row>
    <row r="339" spans="1:6" x14ac:dyDescent="0.25">
      <c r="A339" s="32">
        <v>90303</v>
      </c>
      <c r="B339" s="34" t="s">
        <v>611</v>
      </c>
      <c r="C339" s="33">
        <v>0.30248033877797942</v>
      </c>
      <c r="D339" s="33" t="str">
        <f t="shared" si="10"/>
        <v>Rojo</v>
      </c>
      <c r="E339" s="33">
        <v>9.6347826086956516</v>
      </c>
      <c r="F339" s="33" t="str">
        <f t="shared" si="11"/>
        <v>Rojo</v>
      </c>
    </row>
    <row r="340" spans="1:6" x14ac:dyDescent="0.25">
      <c r="A340" s="32">
        <v>90401</v>
      </c>
      <c r="B340" s="34" t="s">
        <v>613</v>
      </c>
      <c r="C340" s="33">
        <v>22.094926350245501</v>
      </c>
      <c r="D340" s="33" t="str">
        <f t="shared" si="10"/>
        <v>Rojo</v>
      </c>
      <c r="E340" s="33">
        <v>46.395348837209305</v>
      </c>
      <c r="F340" s="33" t="str">
        <f t="shared" si="11"/>
        <v>Rojo</v>
      </c>
    </row>
    <row r="341" spans="1:6" x14ac:dyDescent="0.25">
      <c r="A341" s="32">
        <v>90402</v>
      </c>
      <c r="B341" s="34" t="s">
        <v>236</v>
      </c>
      <c r="C341" s="33">
        <v>25.581395348837212</v>
      </c>
      <c r="D341" s="33" t="str">
        <f t="shared" si="10"/>
        <v>Rojo</v>
      </c>
      <c r="E341" s="33">
        <v>16.486902927580893</v>
      </c>
      <c r="F341" s="33" t="str">
        <f t="shared" si="11"/>
        <v>Rojo</v>
      </c>
    </row>
    <row r="342" spans="1:6" x14ac:dyDescent="0.25">
      <c r="A342" s="32">
        <v>90501</v>
      </c>
      <c r="B342" s="34" t="s">
        <v>686</v>
      </c>
      <c r="C342" s="33">
        <v>5.1502145922746783</v>
      </c>
      <c r="D342" s="33" t="str">
        <f t="shared" si="10"/>
        <v>Rojo</v>
      </c>
      <c r="E342" s="33">
        <v>21.881390593047033</v>
      </c>
      <c r="F342" s="33" t="str">
        <f t="shared" si="11"/>
        <v>Rojo</v>
      </c>
    </row>
    <row r="343" spans="1:6" x14ac:dyDescent="0.25">
      <c r="A343" s="32">
        <v>90502</v>
      </c>
      <c r="B343" s="34" t="s">
        <v>684</v>
      </c>
      <c r="C343" s="33">
        <v>7.3005093378607802</v>
      </c>
      <c r="D343" s="33" t="str">
        <f t="shared" si="10"/>
        <v>Rojo</v>
      </c>
      <c r="E343" s="33">
        <v>24.717514124293785</v>
      </c>
      <c r="F343" s="33" t="str">
        <f t="shared" si="11"/>
        <v>Rojo</v>
      </c>
    </row>
    <row r="344" spans="1:6" x14ac:dyDescent="0.25">
      <c r="A344" s="32">
        <v>90503</v>
      </c>
      <c r="B344" s="34" t="s">
        <v>685</v>
      </c>
      <c r="C344" s="33">
        <v>8.3690987124463518</v>
      </c>
      <c r="D344" s="33" t="str">
        <f t="shared" si="10"/>
        <v>Rojo</v>
      </c>
      <c r="E344" s="33">
        <v>14.975041597337771</v>
      </c>
      <c r="F344" s="33" t="str">
        <f t="shared" si="11"/>
        <v>Rojo</v>
      </c>
    </row>
    <row r="345" spans="1:6" x14ac:dyDescent="0.25">
      <c r="A345" s="32"/>
      <c r="B345" s="32"/>
      <c r="C345" s="32"/>
      <c r="D345" s="32"/>
      <c r="E345" s="32"/>
      <c r="F345" s="32"/>
    </row>
    <row r="346" spans="1:6" x14ac:dyDescent="0.25">
      <c r="A346" s="32"/>
      <c r="B346" s="32"/>
      <c r="C346" s="32"/>
      <c r="D346" s="32"/>
      <c r="E346" s="32"/>
      <c r="F346" s="32"/>
    </row>
    <row r="347" spans="1:6" x14ac:dyDescent="0.25">
      <c r="A347" s="32"/>
      <c r="B347" s="32"/>
      <c r="C347" s="32"/>
      <c r="D347" s="32"/>
      <c r="E347" s="32"/>
      <c r="F347" s="32"/>
    </row>
    <row r="348" spans="1:6" x14ac:dyDescent="0.25">
      <c r="A348" s="32"/>
      <c r="B348" s="32"/>
      <c r="C348" s="32"/>
      <c r="D348" s="32"/>
      <c r="E348" s="32"/>
      <c r="F348" s="32"/>
    </row>
    <row r="349" spans="1:6" x14ac:dyDescent="0.25">
      <c r="A349" s="32"/>
      <c r="B349" s="32"/>
      <c r="C349" s="32"/>
      <c r="D349" s="32"/>
      <c r="E349" s="32"/>
      <c r="F349" s="32"/>
    </row>
    <row r="350" spans="1:6" x14ac:dyDescent="0.25">
      <c r="A350" s="32"/>
      <c r="B350" s="32"/>
      <c r="C350" s="32"/>
      <c r="D350" s="32"/>
      <c r="E350" s="32"/>
      <c r="F350" s="32"/>
    </row>
    <row r="351" spans="1:6" x14ac:dyDescent="0.25">
      <c r="A351" s="32"/>
      <c r="B351" s="32"/>
      <c r="C351" s="32"/>
      <c r="D351" s="32"/>
      <c r="E351" s="32"/>
      <c r="F351" s="32"/>
    </row>
    <row r="352" spans="1:6" x14ac:dyDescent="0.25">
      <c r="A352" s="32"/>
      <c r="B352" s="32"/>
      <c r="C352" s="32"/>
      <c r="D352" s="32"/>
      <c r="E352" s="32"/>
      <c r="F352" s="32"/>
    </row>
    <row r="353" spans="1:6" x14ac:dyDescent="0.25">
      <c r="A353" s="32"/>
      <c r="B353" s="32"/>
      <c r="C353" s="32"/>
      <c r="D353" s="32"/>
      <c r="E353" s="32"/>
      <c r="F353" s="32"/>
    </row>
    <row r="354" spans="1:6" x14ac:dyDescent="0.25">
      <c r="A354" s="32"/>
      <c r="B354" s="32"/>
      <c r="C354" s="32"/>
      <c r="D354" s="32"/>
      <c r="E354" s="32"/>
      <c r="F354" s="32"/>
    </row>
    <row r="355" spans="1:6" x14ac:dyDescent="0.25">
      <c r="A355" s="32"/>
      <c r="B355" s="32"/>
      <c r="C355" s="32"/>
      <c r="D355" s="32"/>
      <c r="E355" s="32"/>
      <c r="F355" s="32"/>
    </row>
    <row r="356" spans="1:6" x14ac:dyDescent="0.25">
      <c r="A356" s="32"/>
      <c r="B356" s="32"/>
      <c r="C356" s="32"/>
      <c r="D356" s="32"/>
      <c r="E356" s="32"/>
      <c r="F356" s="32"/>
    </row>
    <row r="357" spans="1:6" x14ac:dyDescent="0.25">
      <c r="A357" s="32"/>
      <c r="B357" s="32"/>
      <c r="C357" s="32"/>
      <c r="D357" s="32"/>
      <c r="E357" s="32"/>
      <c r="F357" s="32"/>
    </row>
    <row r="358" spans="1:6" x14ac:dyDescent="0.25">
      <c r="A358" s="32"/>
      <c r="B358" s="32"/>
      <c r="C358" s="32"/>
      <c r="D358" s="32"/>
      <c r="E358" s="32"/>
      <c r="F358" s="32"/>
    </row>
    <row r="359" spans="1:6" x14ac:dyDescent="0.25">
      <c r="A359" s="32"/>
      <c r="B359" s="32"/>
      <c r="C359" s="32"/>
      <c r="D359" s="32"/>
      <c r="E359" s="32"/>
      <c r="F359" s="32"/>
    </row>
    <row r="360" spans="1:6" x14ac:dyDescent="0.25">
      <c r="A360" s="32"/>
      <c r="B360" s="32"/>
      <c r="C360" s="32"/>
      <c r="D360" s="32"/>
      <c r="E360" s="32"/>
      <c r="F360" s="32"/>
    </row>
    <row r="361" spans="1:6" x14ac:dyDescent="0.25">
      <c r="A361" s="32"/>
      <c r="B361" s="32"/>
      <c r="C361" s="32"/>
      <c r="D361" s="32"/>
      <c r="E361" s="32"/>
      <c r="F361" s="32"/>
    </row>
    <row r="362" spans="1:6" x14ac:dyDescent="0.25">
      <c r="A362" s="32"/>
      <c r="B362" s="32"/>
      <c r="C362" s="32"/>
      <c r="D362" s="32"/>
      <c r="E362" s="32"/>
      <c r="F362" s="32"/>
    </row>
    <row r="363" spans="1:6" x14ac:dyDescent="0.25">
      <c r="A363" s="32"/>
      <c r="B363" s="32"/>
      <c r="C363" s="32"/>
      <c r="D363" s="32"/>
      <c r="E363" s="32"/>
      <c r="F363" s="32"/>
    </row>
    <row r="364" spans="1:6" x14ac:dyDescent="0.25">
      <c r="A364" s="32"/>
      <c r="B364" s="32"/>
      <c r="C364" s="32"/>
      <c r="D364" s="32"/>
      <c r="E364" s="32"/>
      <c r="F364" s="32"/>
    </row>
    <row r="365" spans="1:6" x14ac:dyDescent="0.25">
      <c r="A365" s="32"/>
      <c r="B365" s="32"/>
      <c r="C365" s="32"/>
      <c r="D365" s="32"/>
      <c r="E365" s="32"/>
      <c r="F365" s="32"/>
    </row>
    <row r="366" spans="1:6" x14ac:dyDescent="0.25">
      <c r="A366" s="32"/>
      <c r="B366" s="32"/>
      <c r="C366" s="32"/>
      <c r="D366" s="32"/>
      <c r="E366" s="32"/>
      <c r="F366" s="32"/>
    </row>
    <row r="367" spans="1:6" x14ac:dyDescent="0.25">
      <c r="A367" s="32"/>
      <c r="B367" s="32"/>
      <c r="C367" s="32"/>
      <c r="D367" s="32"/>
      <c r="E367" s="32"/>
      <c r="F367" s="32"/>
    </row>
    <row r="368" spans="1:6" x14ac:dyDescent="0.25">
      <c r="A368" s="32"/>
      <c r="B368" s="32"/>
      <c r="C368" s="32"/>
      <c r="D368" s="32"/>
      <c r="E368" s="32"/>
      <c r="F368" s="32"/>
    </row>
    <row r="369" spans="1:6" x14ac:dyDescent="0.25">
      <c r="A369" s="32"/>
      <c r="B369" s="32"/>
      <c r="C369" s="32"/>
      <c r="D369" s="32"/>
      <c r="E369" s="32"/>
      <c r="F369" s="32"/>
    </row>
    <row r="370" spans="1:6" x14ac:dyDescent="0.25">
      <c r="A370" s="32"/>
      <c r="B370" s="32"/>
      <c r="C370" s="32"/>
      <c r="D370" s="32"/>
      <c r="E370" s="32"/>
      <c r="F370" s="32"/>
    </row>
    <row r="371" spans="1:6" x14ac:dyDescent="0.25">
      <c r="A371" s="32"/>
      <c r="B371" s="32"/>
      <c r="C371" s="32"/>
      <c r="D371" s="32"/>
      <c r="E371" s="32"/>
      <c r="F371" s="32"/>
    </row>
    <row r="372" spans="1:6" x14ac:dyDescent="0.25">
      <c r="A372" s="32"/>
      <c r="B372" s="32"/>
      <c r="C372" s="32"/>
      <c r="D372" s="32"/>
      <c r="E372" s="32"/>
      <c r="F372" s="32"/>
    </row>
    <row r="373" spans="1:6" x14ac:dyDescent="0.25">
      <c r="A373" s="32"/>
      <c r="B373" s="32"/>
      <c r="C373" s="32"/>
      <c r="D373" s="32"/>
      <c r="E373" s="32"/>
      <c r="F373" s="32"/>
    </row>
    <row r="374" spans="1:6" x14ac:dyDescent="0.25">
      <c r="A374" s="32"/>
      <c r="B374" s="32"/>
      <c r="C374" s="32"/>
      <c r="D374" s="32"/>
      <c r="E374" s="32"/>
      <c r="F374" s="32"/>
    </row>
    <row r="375" spans="1:6" x14ac:dyDescent="0.25">
      <c r="A375" s="32"/>
      <c r="B375" s="32"/>
      <c r="C375" s="32"/>
      <c r="D375" s="32"/>
      <c r="E375" s="32"/>
      <c r="F375" s="32"/>
    </row>
    <row r="376" spans="1:6" x14ac:dyDescent="0.25">
      <c r="A376" s="32"/>
      <c r="B376" s="32"/>
      <c r="C376" s="32"/>
      <c r="D376" s="32"/>
      <c r="E376" s="32"/>
      <c r="F376" s="32"/>
    </row>
    <row r="377" spans="1:6" x14ac:dyDescent="0.25">
      <c r="A377" s="32"/>
      <c r="B377" s="32"/>
      <c r="C377" s="32"/>
      <c r="D377" s="32"/>
      <c r="E377" s="32"/>
      <c r="F377" s="32"/>
    </row>
    <row r="378" spans="1:6" x14ac:dyDescent="0.25">
      <c r="A378" s="32"/>
      <c r="B378" s="32"/>
      <c r="C378" s="32"/>
      <c r="D378" s="32"/>
      <c r="E378" s="32"/>
      <c r="F378" s="32"/>
    </row>
    <row r="379" spans="1:6" x14ac:dyDescent="0.25">
      <c r="A379" s="32"/>
      <c r="B379" s="32"/>
      <c r="C379" s="32"/>
      <c r="D379" s="32"/>
      <c r="E379" s="32"/>
      <c r="F379" s="32"/>
    </row>
    <row r="380" spans="1:6" x14ac:dyDescent="0.25">
      <c r="A380" s="32"/>
      <c r="B380" s="32"/>
      <c r="C380" s="32"/>
      <c r="D380" s="32"/>
      <c r="E380" s="32"/>
      <c r="F380" s="32"/>
    </row>
    <row r="381" spans="1:6" x14ac:dyDescent="0.25">
      <c r="A381" s="32"/>
      <c r="B381" s="32"/>
      <c r="C381" s="32"/>
      <c r="D381" s="32"/>
      <c r="E381" s="32"/>
      <c r="F381" s="32"/>
    </row>
    <row r="382" spans="1:6" x14ac:dyDescent="0.25">
      <c r="A382" s="32"/>
      <c r="B382" s="32"/>
      <c r="C382" s="32"/>
      <c r="D382" s="32"/>
      <c r="E382" s="32"/>
      <c r="F382" s="32"/>
    </row>
    <row r="383" spans="1:6" x14ac:dyDescent="0.25">
      <c r="A383" s="32"/>
      <c r="B383" s="32"/>
      <c r="C383" s="32"/>
      <c r="D383" s="32"/>
      <c r="E383" s="32"/>
      <c r="F383" s="32"/>
    </row>
    <row r="384" spans="1:6" x14ac:dyDescent="0.25">
      <c r="A384" s="32"/>
      <c r="B384" s="32"/>
      <c r="C384" s="32"/>
      <c r="D384" s="32"/>
      <c r="E384" s="32"/>
      <c r="F384" s="32"/>
    </row>
    <row r="385" spans="1:6" x14ac:dyDescent="0.25">
      <c r="A385" s="32"/>
      <c r="B385" s="32"/>
      <c r="C385" s="32"/>
      <c r="D385" s="32"/>
      <c r="E385" s="32"/>
      <c r="F385" s="32"/>
    </row>
    <row r="386" spans="1:6" x14ac:dyDescent="0.25">
      <c r="A386" s="32"/>
      <c r="B386" s="32"/>
      <c r="C386" s="32"/>
      <c r="D386" s="32"/>
      <c r="E386" s="32"/>
      <c r="F386" s="32"/>
    </row>
    <row r="387" spans="1:6" x14ac:dyDescent="0.25">
      <c r="A387" s="32"/>
      <c r="B387" s="32"/>
      <c r="C387" s="32"/>
      <c r="D387" s="32"/>
      <c r="E387" s="32"/>
      <c r="F387" s="32"/>
    </row>
    <row r="388" spans="1:6" x14ac:dyDescent="0.25">
      <c r="A388" s="32"/>
      <c r="B388" s="32"/>
      <c r="C388" s="32"/>
      <c r="D388" s="32"/>
      <c r="E388" s="32"/>
      <c r="F388" s="32"/>
    </row>
    <row r="389" spans="1:6" x14ac:dyDescent="0.25">
      <c r="A389" s="32"/>
      <c r="B389" s="32"/>
      <c r="C389" s="32"/>
      <c r="D389" s="32"/>
      <c r="E389" s="32"/>
      <c r="F389" s="32"/>
    </row>
    <row r="390" spans="1:6" x14ac:dyDescent="0.25">
      <c r="A390" s="32"/>
      <c r="B390" s="32"/>
      <c r="C390" s="32"/>
      <c r="D390" s="32"/>
      <c r="E390" s="32"/>
      <c r="F390" s="32"/>
    </row>
    <row r="391" spans="1:6" x14ac:dyDescent="0.25">
      <c r="A391" s="32"/>
      <c r="B391" s="32"/>
      <c r="C391" s="32"/>
      <c r="D391" s="32"/>
      <c r="E391" s="32"/>
      <c r="F391" s="32"/>
    </row>
    <row r="392" spans="1:6" x14ac:dyDescent="0.25">
      <c r="A392" s="32"/>
      <c r="B392" s="32"/>
      <c r="C392" s="32"/>
      <c r="D392" s="32"/>
      <c r="E392" s="32"/>
      <c r="F392" s="32"/>
    </row>
    <row r="393" spans="1:6" x14ac:dyDescent="0.25">
      <c r="A393" s="32"/>
      <c r="B393" s="32"/>
      <c r="C393" s="32"/>
      <c r="D393" s="32"/>
      <c r="E393" s="32"/>
      <c r="F393" s="32"/>
    </row>
    <row r="394" spans="1:6" x14ac:dyDescent="0.25">
      <c r="A394" s="32"/>
      <c r="B394" s="32"/>
      <c r="C394" s="32"/>
      <c r="D394" s="32"/>
      <c r="E394" s="32"/>
      <c r="F394" s="32"/>
    </row>
    <row r="395" spans="1:6" x14ac:dyDescent="0.25">
      <c r="A395" s="32"/>
      <c r="B395" s="32"/>
      <c r="C395" s="32"/>
      <c r="D395" s="32"/>
      <c r="E395" s="32"/>
      <c r="F395" s="32"/>
    </row>
    <row r="396" spans="1:6" x14ac:dyDescent="0.25">
      <c r="A396" s="32"/>
      <c r="B396" s="32"/>
      <c r="C396" s="32"/>
      <c r="D396" s="32"/>
      <c r="E396" s="32"/>
      <c r="F396" s="32"/>
    </row>
    <row r="397" spans="1:6" x14ac:dyDescent="0.25">
      <c r="A397" s="32"/>
      <c r="B397" s="32"/>
      <c r="C397" s="32"/>
      <c r="D397" s="32"/>
      <c r="E397" s="32"/>
      <c r="F397" s="32"/>
    </row>
    <row r="398" spans="1:6" x14ac:dyDescent="0.25">
      <c r="A398" s="32"/>
      <c r="B398" s="32"/>
      <c r="C398" s="32"/>
      <c r="D398" s="32"/>
      <c r="E398" s="32"/>
      <c r="F398" s="32"/>
    </row>
    <row r="399" spans="1:6" x14ac:dyDescent="0.25">
      <c r="A399" s="32"/>
      <c r="B399" s="32"/>
      <c r="C399" s="32"/>
      <c r="D399" s="32"/>
      <c r="E399" s="32"/>
      <c r="F399" s="32"/>
    </row>
    <row r="400" spans="1:6" x14ac:dyDescent="0.25">
      <c r="A400" s="32"/>
      <c r="B400" s="32"/>
      <c r="C400" s="32"/>
      <c r="D400" s="32"/>
      <c r="E400" s="32"/>
      <c r="F400" s="32"/>
    </row>
    <row r="401" spans="1:6" x14ac:dyDescent="0.25">
      <c r="A401" s="32"/>
      <c r="B401" s="32"/>
      <c r="C401" s="32"/>
      <c r="D401" s="32"/>
      <c r="E401" s="32"/>
      <c r="F401" s="32"/>
    </row>
    <row r="402" spans="1:6" x14ac:dyDescent="0.25">
      <c r="A402" s="32"/>
      <c r="B402" s="32"/>
      <c r="C402" s="32"/>
      <c r="D402" s="32"/>
      <c r="E402" s="32"/>
      <c r="F402" s="32"/>
    </row>
    <row r="403" spans="1:6" x14ac:dyDescent="0.25">
      <c r="A403" s="32"/>
      <c r="B403" s="32"/>
      <c r="C403" s="32"/>
      <c r="D403" s="32"/>
      <c r="E403" s="32"/>
      <c r="F403" s="32"/>
    </row>
    <row r="404" spans="1:6" x14ac:dyDescent="0.25">
      <c r="A404" s="32"/>
      <c r="B404" s="32"/>
      <c r="C404" s="32"/>
      <c r="D404" s="32"/>
      <c r="E404" s="32"/>
      <c r="F404" s="32"/>
    </row>
    <row r="405" spans="1:6" x14ac:dyDescent="0.25">
      <c r="A405" s="32"/>
      <c r="B405" s="32"/>
      <c r="C405" s="32"/>
      <c r="D405" s="32"/>
      <c r="E405" s="32"/>
      <c r="F405" s="32"/>
    </row>
    <row r="406" spans="1:6" x14ac:dyDescent="0.25">
      <c r="A406" s="32"/>
      <c r="B406" s="32"/>
      <c r="C406" s="32"/>
      <c r="D406" s="32"/>
      <c r="E406" s="32"/>
      <c r="F406" s="32"/>
    </row>
    <row r="407" spans="1:6" x14ac:dyDescent="0.25">
      <c r="A407" s="32"/>
      <c r="B407" s="32"/>
      <c r="C407" s="32"/>
      <c r="D407" s="32"/>
      <c r="E407" s="32"/>
      <c r="F407" s="32"/>
    </row>
    <row r="408" spans="1:6" x14ac:dyDescent="0.25">
      <c r="A408" s="32"/>
      <c r="B408" s="32"/>
      <c r="C408" s="32"/>
      <c r="D408" s="32"/>
      <c r="E408" s="32"/>
      <c r="F408" s="32"/>
    </row>
    <row r="409" spans="1:6" x14ac:dyDescent="0.25">
      <c r="A409" s="32"/>
      <c r="B409" s="32"/>
      <c r="C409" s="32"/>
      <c r="D409" s="32"/>
      <c r="E409" s="32"/>
      <c r="F409" s="32"/>
    </row>
    <row r="410" spans="1:6" x14ac:dyDescent="0.25">
      <c r="A410" s="32"/>
      <c r="B410" s="32"/>
      <c r="C410" s="32"/>
      <c r="D410" s="32"/>
      <c r="E410" s="32"/>
      <c r="F410" s="32"/>
    </row>
    <row r="411" spans="1:6" x14ac:dyDescent="0.25">
      <c r="A411" s="32"/>
      <c r="B411" s="32"/>
      <c r="C411" s="32"/>
      <c r="D411" s="32"/>
      <c r="E411" s="32"/>
      <c r="F411" s="32"/>
    </row>
    <row r="412" spans="1:6" x14ac:dyDescent="0.25">
      <c r="A412" s="32"/>
      <c r="B412" s="32"/>
      <c r="C412" s="32"/>
      <c r="D412" s="32"/>
      <c r="E412" s="32"/>
      <c r="F412" s="32"/>
    </row>
    <row r="413" spans="1:6" x14ac:dyDescent="0.25">
      <c r="A413" s="32"/>
      <c r="B413" s="32"/>
      <c r="C413" s="32"/>
      <c r="D413" s="32"/>
      <c r="E413" s="32"/>
      <c r="F413" s="32"/>
    </row>
    <row r="414" spans="1:6" x14ac:dyDescent="0.25">
      <c r="A414" s="32"/>
      <c r="B414" s="32"/>
      <c r="C414" s="32"/>
      <c r="D414" s="32"/>
      <c r="E414" s="32"/>
      <c r="F414" s="32"/>
    </row>
    <row r="415" spans="1:6" x14ac:dyDescent="0.25">
      <c r="A415" s="32"/>
      <c r="B415" s="32"/>
      <c r="C415" s="32"/>
      <c r="D415" s="32"/>
      <c r="E415" s="32"/>
      <c r="F415" s="32"/>
    </row>
    <row r="416" spans="1:6" x14ac:dyDescent="0.25">
      <c r="A416" s="32"/>
      <c r="B416" s="32"/>
      <c r="C416" s="32"/>
      <c r="D416" s="32"/>
      <c r="E416" s="32"/>
      <c r="F416" s="32"/>
    </row>
    <row r="417" spans="1:6" x14ac:dyDescent="0.25">
      <c r="A417" s="32"/>
      <c r="B417" s="32"/>
      <c r="C417" s="32"/>
      <c r="D417" s="32"/>
      <c r="E417" s="32"/>
      <c r="F417" s="32"/>
    </row>
    <row r="418" spans="1:6" x14ac:dyDescent="0.25">
      <c r="A418" s="32"/>
      <c r="B418" s="32"/>
      <c r="C418" s="32"/>
      <c r="D418" s="32"/>
      <c r="E418" s="32"/>
      <c r="F418" s="32"/>
    </row>
    <row r="419" spans="1:6" x14ac:dyDescent="0.25">
      <c r="A419" s="32"/>
      <c r="B419" s="32"/>
      <c r="C419" s="32"/>
      <c r="D419" s="32"/>
      <c r="E419" s="32"/>
      <c r="F419" s="32"/>
    </row>
    <row r="420" spans="1:6" x14ac:dyDescent="0.25">
      <c r="A420" s="32"/>
      <c r="B420" s="32"/>
      <c r="C420" s="32"/>
      <c r="D420" s="32"/>
      <c r="E420" s="32"/>
      <c r="F420" s="32"/>
    </row>
    <row r="421" spans="1:6" x14ac:dyDescent="0.25">
      <c r="A421" s="32"/>
      <c r="B421" s="32"/>
      <c r="C421" s="32"/>
      <c r="D421" s="32"/>
      <c r="E421" s="32"/>
      <c r="F421" s="32"/>
    </row>
    <row r="422" spans="1:6" x14ac:dyDescent="0.25">
      <c r="A422" s="32"/>
      <c r="B422" s="32"/>
      <c r="C422" s="32"/>
      <c r="D422" s="32"/>
      <c r="E422" s="32"/>
      <c r="F422" s="32"/>
    </row>
    <row r="423" spans="1:6" x14ac:dyDescent="0.25">
      <c r="A423" s="32"/>
      <c r="B423" s="32"/>
      <c r="C423" s="32"/>
      <c r="D423" s="32"/>
      <c r="E423" s="32"/>
      <c r="F423" s="32"/>
    </row>
    <row r="424" spans="1:6" x14ac:dyDescent="0.25">
      <c r="A424" s="32"/>
      <c r="B424" s="32"/>
      <c r="C424" s="32"/>
      <c r="D424" s="32"/>
      <c r="E424" s="32"/>
      <c r="F424" s="32"/>
    </row>
    <row r="425" spans="1:6" x14ac:dyDescent="0.25">
      <c r="A425" s="32"/>
      <c r="B425" s="32"/>
      <c r="C425" s="32"/>
      <c r="D425" s="32"/>
      <c r="E425" s="32"/>
      <c r="F425" s="32"/>
    </row>
    <row r="426" spans="1:6" x14ac:dyDescent="0.25">
      <c r="A426" s="32"/>
      <c r="B426" s="32"/>
      <c r="C426" s="32"/>
      <c r="D426" s="32"/>
      <c r="E426" s="32"/>
      <c r="F426" s="32"/>
    </row>
    <row r="427" spans="1:6" x14ac:dyDescent="0.25">
      <c r="A427" s="32"/>
      <c r="B427" s="32"/>
      <c r="C427" s="32"/>
      <c r="D427" s="32"/>
      <c r="E427" s="32"/>
      <c r="F427" s="32"/>
    </row>
    <row r="428" spans="1:6" x14ac:dyDescent="0.25">
      <c r="A428" s="32"/>
      <c r="B428" s="32"/>
      <c r="C428" s="32"/>
      <c r="D428" s="32"/>
      <c r="E428" s="32"/>
      <c r="F428" s="32"/>
    </row>
    <row r="429" spans="1:6" x14ac:dyDescent="0.25">
      <c r="A429" s="32"/>
      <c r="B429" s="32"/>
      <c r="C429" s="32"/>
      <c r="D429" s="32"/>
      <c r="E429" s="32"/>
      <c r="F429" s="32"/>
    </row>
    <row r="430" spans="1:6" x14ac:dyDescent="0.25">
      <c r="A430" s="32"/>
      <c r="B430" s="32"/>
      <c r="C430" s="32"/>
      <c r="D430" s="32"/>
      <c r="E430" s="32"/>
      <c r="F430" s="32"/>
    </row>
    <row r="431" spans="1:6" x14ac:dyDescent="0.25">
      <c r="A431" s="32"/>
      <c r="B431" s="32"/>
      <c r="C431" s="32"/>
      <c r="D431" s="32"/>
      <c r="E431" s="32"/>
      <c r="F431" s="32"/>
    </row>
    <row r="432" spans="1:6" x14ac:dyDescent="0.25">
      <c r="A432" s="32"/>
      <c r="B432" s="32"/>
      <c r="C432" s="32"/>
      <c r="D432" s="32"/>
      <c r="E432" s="32"/>
      <c r="F432" s="32"/>
    </row>
    <row r="433" spans="1:6" x14ac:dyDescent="0.25">
      <c r="A433" s="32"/>
      <c r="B433" s="32"/>
      <c r="C433" s="32"/>
      <c r="D433" s="32"/>
      <c r="E433" s="32"/>
      <c r="F433" s="32"/>
    </row>
    <row r="434" spans="1:6" x14ac:dyDescent="0.25">
      <c r="A434" s="32"/>
      <c r="B434" s="32"/>
      <c r="C434" s="32"/>
      <c r="D434" s="32"/>
      <c r="E434" s="32"/>
      <c r="F434" s="32"/>
    </row>
    <row r="435" spans="1:6" x14ac:dyDescent="0.25">
      <c r="A435" s="32"/>
      <c r="B435" s="32"/>
      <c r="C435" s="32"/>
      <c r="D435" s="32"/>
      <c r="E435" s="32"/>
      <c r="F435" s="32"/>
    </row>
    <row r="436" spans="1:6" x14ac:dyDescent="0.25">
      <c r="A436" s="32"/>
      <c r="B436" s="32"/>
      <c r="C436" s="32"/>
      <c r="D436" s="32"/>
      <c r="E436" s="32"/>
      <c r="F436" s="32"/>
    </row>
    <row r="437" spans="1:6" x14ac:dyDescent="0.25">
      <c r="A437" s="32"/>
      <c r="B437" s="32"/>
      <c r="C437" s="32"/>
      <c r="D437" s="32"/>
      <c r="E437" s="32"/>
      <c r="F437" s="32"/>
    </row>
    <row r="438" spans="1:6" x14ac:dyDescent="0.25">
      <c r="A438" s="32"/>
      <c r="B438" s="32"/>
      <c r="C438" s="32"/>
      <c r="D438" s="32"/>
      <c r="E438" s="32"/>
      <c r="F438" s="32"/>
    </row>
    <row r="439" spans="1:6" x14ac:dyDescent="0.25">
      <c r="A439" s="32"/>
      <c r="B439" s="32"/>
      <c r="C439" s="32"/>
      <c r="D439" s="32"/>
      <c r="E439" s="32"/>
      <c r="F439" s="32"/>
    </row>
    <row r="440" spans="1:6" x14ac:dyDescent="0.25">
      <c r="A440" s="32"/>
      <c r="B440" s="32"/>
      <c r="C440" s="32"/>
      <c r="D440" s="32"/>
      <c r="E440" s="32"/>
      <c r="F440" s="32"/>
    </row>
    <row r="441" spans="1:6" x14ac:dyDescent="0.25">
      <c r="A441" s="32"/>
      <c r="B441" s="32"/>
      <c r="C441" s="32"/>
      <c r="D441" s="32"/>
      <c r="E441" s="32"/>
      <c r="F441" s="32"/>
    </row>
    <row r="442" spans="1:6" x14ac:dyDescent="0.25">
      <c r="A442" s="32"/>
      <c r="B442" s="32"/>
      <c r="C442" s="32"/>
      <c r="D442" s="32"/>
      <c r="E442" s="32"/>
      <c r="F442" s="32"/>
    </row>
    <row r="443" spans="1:6" x14ac:dyDescent="0.25">
      <c r="A443" s="32"/>
      <c r="B443" s="32"/>
      <c r="C443" s="32"/>
      <c r="D443" s="32"/>
      <c r="E443" s="32"/>
      <c r="F443" s="32"/>
    </row>
    <row r="444" spans="1:6" x14ac:dyDescent="0.25">
      <c r="A444" s="32"/>
      <c r="B444" s="32"/>
      <c r="C444" s="32"/>
      <c r="D444" s="32"/>
      <c r="E444" s="32"/>
      <c r="F444" s="32"/>
    </row>
    <row r="445" spans="1:6" x14ac:dyDescent="0.25">
      <c r="A445" s="32"/>
      <c r="B445" s="32"/>
      <c r="C445" s="32"/>
      <c r="D445" s="32"/>
      <c r="E445" s="32"/>
      <c r="F445" s="32"/>
    </row>
    <row r="446" spans="1:6" x14ac:dyDescent="0.25">
      <c r="A446" s="32"/>
      <c r="B446" s="32"/>
      <c r="C446" s="32"/>
      <c r="D446" s="32"/>
      <c r="E446" s="32"/>
      <c r="F446" s="32"/>
    </row>
    <row r="447" spans="1:6" x14ac:dyDescent="0.25">
      <c r="A447" s="32"/>
      <c r="B447" s="32"/>
      <c r="C447" s="32"/>
      <c r="D447" s="32"/>
      <c r="E447" s="32"/>
      <c r="F447" s="32"/>
    </row>
    <row r="448" spans="1:6" x14ac:dyDescent="0.25">
      <c r="A448" s="32"/>
      <c r="B448" s="32"/>
      <c r="C448" s="32"/>
      <c r="D448" s="32"/>
      <c r="E448" s="32"/>
      <c r="F448" s="32"/>
    </row>
    <row r="449" spans="1:6" x14ac:dyDescent="0.25">
      <c r="A449" s="32"/>
      <c r="B449" s="32"/>
      <c r="C449" s="32"/>
      <c r="D449" s="32"/>
      <c r="E449" s="32"/>
      <c r="F449" s="32"/>
    </row>
    <row r="450" spans="1:6" x14ac:dyDescent="0.25">
      <c r="A450" s="32"/>
      <c r="B450" s="32"/>
      <c r="C450" s="32"/>
      <c r="D450" s="32"/>
      <c r="E450" s="32"/>
      <c r="F450" s="32"/>
    </row>
    <row r="451" spans="1:6" x14ac:dyDescent="0.25">
      <c r="A451" s="32"/>
      <c r="B451" s="32"/>
      <c r="C451" s="32"/>
      <c r="D451" s="32"/>
      <c r="E451" s="32"/>
      <c r="F451" s="32"/>
    </row>
    <row r="452" spans="1:6" x14ac:dyDescent="0.25">
      <c r="A452" s="32"/>
      <c r="B452" s="32"/>
      <c r="C452" s="32"/>
      <c r="D452" s="32"/>
      <c r="E452" s="32"/>
      <c r="F452" s="32"/>
    </row>
    <row r="453" spans="1:6" x14ac:dyDescent="0.25">
      <c r="A453" s="32"/>
      <c r="B453" s="32"/>
      <c r="C453" s="32"/>
      <c r="D453" s="32"/>
      <c r="E453" s="32"/>
      <c r="F453" s="32"/>
    </row>
    <row r="454" spans="1:6" x14ac:dyDescent="0.25">
      <c r="A454" s="32"/>
      <c r="B454" s="32"/>
      <c r="C454" s="32"/>
      <c r="D454" s="32"/>
      <c r="E454" s="32"/>
      <c r="F454" s="32"/>
    </row>
    <row r="455" spans="1:6" x14ac:dyDescent="0.25">
      <c r="A455" s="32"/>
      <c r="B455" s="32"/>
      <c r="C455" s="32"/>
      <c r="D455" s="32"/>
      <c r="E455" s="32"/>
      <c r="F455" s="32"/>
    </row>
    <row r="456" spans="1:6" x14ac:dyDescent="0.25">
      <c r="A456" s="32"/>
      <c r="B456" s="32"/>
      <c r="C456" s="32"/>
      <c r="D456" s="32"/>
      <c r="E456" s="32"/>
      <c r="F456" s="32"/>
    </row>
    <row r="457" spans="1:6" x14ac:dyDescent="0.25">
      <c r="A457" s="32"/>
      <c r="B457" s="32"/>
      <c r="C457" s="32"/>
      <c r="D457" s="32"/>
      <c r="E457" s="32"/>
      <c r="F457" s="32"/>
    </row>
    <row r="458" spans="1:6" x14ac:dyDescent="0.25">
      <c r="A458" s="32"/>
      <c r="B458" s="32"/>
      <c r="C458" s="32"/>
      <c r="D458" s="32"/>
      <c r="E458" s="32"/>
      <c r="F458" s="32"/>
    </row>
    <row r="459" spans="1:6" x14ac:dyDescent="0.25">
      <c r="A459" s="32"/>
      <c r="B459" s="32"/>
      <c r="C459" s="32"/>
      <c r="D459" s="32"/>
      <c r="E459" s="32"/>
      <c r="F459" s="32"/>
    </row>
    <row r="460" spans="1:6" x14ac:dyDescent="0.25">
      <c r="A460" s="32"/>
      <c r="B460" s="32"/>
      <c r="C460" s="32"/>
      <c r="D460" s="32"/>
      <c r="E460" s="32"/>
      <c r="F460" s="32"/>
    </row>
    <row r="461" spans="1:6" x14ac:dyDescent="0.25">
      <c r="A461" s="32"/>
      <c r="B461" s="32"/>
      <c r="C461" s="32"/>
      <c r="D461" s="32"/>
      <c r="E461" s="32"/>
      <c r="F461" s="32"/>
    </row>
    <row r="462" spans="1:6" x14ac:dyDescent="0.25">
      <c r="A462" s="32"/>
      <c r="B462" s="32"/>
      <c r="C462" s="32"/>
      <c r="D462" s="32"/>
      <c r="E462" s="32"/>
      <c r="F462" s="32"/>
    </row>
    <row r="463" spans="1:6" x14ac:dyDescent="0.25">
      <c r="A463" s="32"/>
      <c r="B463" s="32"/>
      <c r="C463" s="32"/>
      <c r="D463" s="32"/>
      <c r="E463" s="32"/>
      <c r="F463" s="32"/>
    </row>
    <row r="464" spans="1:6" x14ac:dyDescent="0.25">
      <c r="A464" s="32"/>
      <c r="B464" s="32"/>
      <c r="C464" s="32"/>
      <c r="D464" s="32"/>
      <c r="E464" s="32"/>
      <c r="F464" s="32"/>
    </row>
    <row r="465" spans="1:6" x14ac:dyDescent="0.25">
      <c r="A465" s="32"/>
      <c r="B465" s="32"/>
      <c r="C465" s="32"/>
      <c r="D465" s="32"/>
      <c r="E465" s="32"/>
      <c r="F465" s="32"/>
    </row>
    <row r="466" spans="1:6" x14ac:dyDescent="0.25">
      <c r="A466" s="32"/>
      <c r="B466" s="32"/>
      <c r="C466" s="32"/>
      <c r="D466" s="32"/>
      <c r="E466" s="32"/>
      <c r="F466" s="32"/>
    </row>
    <row r="467" spans="1:6" x14ac:dyDescent="0.25">
      <c r="A467" s="32"/>
      <c r="B467" s="32"/>
      <c r="C467" s="32"/>
      <c r="D467" s="32"/>
      <c r="E467" s="32"/>
      <c r="F467" s="32"/>
    </row>
    <row r="468" spans="1:6" x14ac:dyDescent="0.25">
      <c r="A468" s="32"/>
      <c r="B468" s="32"/>
      <c r="C468" s="32"/>
      <c r="D468" s="32"/>
      <c r="E468" s="32"/>
      <c r="F468" s="32"/>
    </row>
    <row r="469" spans="1:6" x14ac:dyDescent="0.25">
      <c r="A469" s="32"/>
      <c r="B469" s="32"/>
      <c r="C469" s="32"/>
      <c r="D469" s="32"/>
      <c r="E469" s="32"/>
      <c r="F469" s="32"/>
    </row>
    <row r="470" spans="1:6" x14ac:dyDescent="0.25">
      <c r="A470" s="32"/>
      <c r="B470" s="32"/>
      <c r="C470" s="32"/>
      <c r="D470" s="32"/>
      <c r="E470" s="32"/>
      <c r="F470" s="32"/>
    </row>
    <row r="471" spans="1:6" x14ac:dyDescent="0.25">
      <c r="A471" s="32"/>
      <c r="B471" s="32"/>
      <c r="C471" s="32"/>
      <c r="D471" s="32"/>
      <c r="E471" s="32"/>
      <c r="F471" s="32"/>
    </row>
    <row r="472" spans="1:6" x14ac:dyDescent="0.25">
      <c r="A472" s="32"/>
      <c r="B472" s="32"/>
      <c r="C472" s="32"/>
      <c r="D472" s="32"/>
      <c r="E472" s="32"/>
      <c r="F472" s="32"/>
    </row>
    <row r="473" spans="1:6" x14ac:dyDescent="0.25">
      <c r="A473" s="32"/>
      <c r="B473" s="32"/>
      <c r="C473" s="32"/>
      <c r="D473" s="32"/>
      <c r="E473" s="32"/>
      <c r="F473" s="32"/>
    </row>
    <row r="474" spans="1:6" x14ac:dyDescent="0.25">
      <c r="A474" s="32"/>
      <c r="B474" s="32"/>
      <c r="C474" s="32"/>
      <c r="D474" s="32"/>
      <c r="E474" s="32"/>
      <c r="F474" s="32"/>
    </row>
    <row r="475" spans="1:6" x14ac:dyDescent="0.25">
      <c r="A475" s="32"/>
      <c r="B475" s="32"/>
      <c r="C475" s="32"/>
      <c r="D475" s="32"/>
      <c r="E475" s="32"/>
      <c r="F475" s="32"/>
    </row>
    <row r="476" spans="1:6" x14ac:dyDescent="0.25">
      <c r="A476" s="32"/>
      <c r="B476" s="32"/>
      <c r="C476" s="32"/>
      <c r="D476" s="32"/>
      <c r="E476" s="32"/>
      <c r="F476" s="32"/>
    </row>
    <row r="477" spans="1:6" x14ac:dyDescent="0.25">
      <c r="A477" s="32"/>
      <c r="B477" s="32"/>
      <c r="C477" s="32"/>
      <c r="D477" s="32"/>
      <c r="E477" s="32"/>
      <c r="F477" s="32"/>
    </row>
    <row r="478" spans="1:6" x14ac:dyDescent="0.25">
      <c r="A478" s="32"/>
      <c r="B478" s="32"/>
      <c r="C478" s="32"/>
      <c r="D478" s="32"/>
      <c r="E478" s="32"/>
      <c r="F478" s="32"/>
    </row>
    <row r="479" spans="1:6" x14ac:dyDescent="0.25">
      <c r="A479" s="32"/>
      <c r="B479" s="32"/>
      <c r="C479" s="32"/>
      <c r="D479" s="32"/>
      <c r="E479" s="32"/>
      <c r="F479" s="32"/>
    </row>
    <row r="480" spans="1:6" x14ac:dyDescent="0.25">
      <c r="A480" s="32"/>
      <c r="B480" s="32"/>
      <c r="C480" s="32"/>
      <c r="D480" s="32"/>
      <c r="E480" s="32"/>
      <c r="F480" s="32"/>
    </row>
    <row r="481" spans="1:6" x14ac:dyDescent="0.25">
      <c r="A481" s="32"/>
      <c r="B481" s="32"/>
      <c r="C481" s="32"/>
      <c r="D481" s="32"/>
      <c r="E481" s="32"/>
      <c r="F481" s="32"/>
    </row>
    <row r="482" spans="1:6" x14ac:dyDescent="0.25">
      <c r="A482" s="32"/>
      <c r="B482" s="32"/>
      <c r="C482" s="32"/>
      <c r="D482" s="32"/>
      <c r="E482" s="32"/>
      <c r="F482" s="32"/>
    </row>
    <row r="483" spans="1:6" x14ac:dyDescent="0.25">
      <c r="A483" s="32"/>
      <c r="B483" s="32"/>
      <c r="C483" s="32"/>
      <c r="D483" s="32"/>
      <c r="E483" s="32"/>
      <c r="F483" s="32"/>
    </row>
    <row r="484" spans="1:6" x14ac:dyDescent="0.25">
      <c r="A484" s="32"/>
      <c r="B484" s="32"/>
      <c r="C484" s="32"/>
      <c r="D484" s="32"/>
      <c r="E484" s="32"/>
      <c r="F484" s="32"/>
    </row>
    <row r="485" spans="1:6" x14ac:dyDescent="0.25">
      <c r="A485" s="32"/>
      <c r="B485" s="32"/>
      <c r="C485" s="32"/>
      <c r="D485" s="32"/>
      <c r="E485" s="32"/>
      <c r="F485" s="32"/>
    </row>
    <row r="486" spans="1:6" x14ac:dyDescent="0.25">
      <c r="A486" s="32"/>
      <c r="B486" s="32"/>
      <c r="C486" s="32"/>
      <c r="D486" s="32"/>
      <c r="E486" s="32"/>
      <c r="F486" s="32"/>
    </row>
    <row r="487" spans="1:6" x14ac:dyDescent="0.25">
      <c r="A487" s="32"/>
      <c r="B487" s="32"/>
      <c r="C487" s="32"/>
      <c r="D487" s="32"/>
      <c r="E487" s="32"/>
      <c r="F487" s="32"/>
    </row>
    <row r="488" spans="1:6" x14ac:dyDescent="0.25">
      <c r="A488" s="32"/>
      <c r="B488" s="32"/>
      <c r="C488" s="32"/>
      <c r="D488" s="32"/>
      <c r="E488" s="32"/>
      <c r="F488" s="32"/>
    </row>
    <row r="489" spans="1:6" x14ac:dyDescent="0.25">
      <c r="A489" s="32"/>
      <c r="B489" s="32"/>
      <c r="C489" s="32"/>
      <c r="D489" s="32"/>
      <c r="E489" s="32"/>
      <c r="F489" s="32"/>
    </row>
    <row r="490" spans="1:6" x14ac:dyDescent="0.25">
      <c r="A490" s="32"/>
      <c r="B490" s="32"/>
      <c r="C490" s="32"/>
      <c r="D490" s="32"/>
      <c r="E490" s="32"/>
      <c r="F490" s="32"/>
    </row>
    <row r="491" spans="1:6" x14ac:dyDescent="0.25">
      <c r="A491" s="32"/>
      <c r="B491" s="32"/>
      <c r="C491" s="32"/>
      <c r="D491" s="32"/>
      <c r="E491" s="32"/>
      <c r="F491" s="32"/>
    </row>
    <row r="492" spans="1:6" x14ac:dyDescent="0.25">
      <c r="A492" s="32"/>
      <c r="B492" s="32"/>
      <c r="C492" s="32"/>
      <c r="D492" s="32"/>
      <c r="E492" s="32"/>
      <c r="F492" s="32"/>
    </row>
    <row r="493" spans="1:6" x14ac:dyDescent="0.25">
      <c r="A493" s="32"/>
      <c r="B493" s="32"/>
      <c r="C493" s="32"/>
      <c r="D493" s="32"/>
      <c r="E493" s="32"/>
      <c r="F493" s="32"/>
    </row>
    <row r="494" spans="1:6" x14ac:dyDescent="0.25">
      <c r="A494" s="32"/>
      <c r="B494" s="32"/>
      <c r="C494" s="32"/>
      <c r="D494" s="32"/>
      <c r="E494" s="32"/>
      <c r="F494" s="32"/>
    </row>
    <row r="495" spans="1:6" x14ac:dyDescent="0.25">
      <c r="A495" s="32"/>
      <c r="B495" s="32"/>
      <c r="C495" s="32"/>
      <c r="D495" s="32"/>
      <c r="E495" s="32"/>
      <c r="F495" s="32"/>
    </row>
    <row r="496" spans="1:6" x14ac:dyDescent="0.25">
      <c r="A496" s="32"/>
      <c r="B496" s="32"/>
      <c r="C496" s="32"/>
      <c r="D496" s="32"/>
      <c r="E496" s="32"/>
      <c r="F496" s="32"/>
    </row>
    <row r="497" spans="1:6" x14ac:dyDescent="0.25">
      <c r="A497" s="32"/>
      <c r="B497" s="32"/>
      <c r="C497" s="32"/>
      <c r="D497" s="32"/>
      <c r="E497" s="32"/>
      <c r="F497" s="32"/>
    </row>
    <row r="498" spans="1:6" x14ac:dyDescent="0.25">
      <c r="A498" s="32"/>
      <c r="B498" s="32"/>
      <c r="C498" s="32"/>
      <c r="D498" s="32"/>
      <c r="E498" s="32"/>
      <c r="F498" s="32"/>
    </row>
    <row r="499" spans="1:6" x14ac:dyDescent="0.25">
      <c r="A499" s="32"/>
      <c r="B499" s="32"/>
      <c r="C499" s="32"/>
      <c r="D499" s="32"/>
      <c r="E499" s="32"/>
      <c r="F499" s="32"/>
    </row>
    <row r="500" spans="1:6" x14ac:dyDescent="0.25">
      <c r="A500" s="32"/>
      <c r="B500" s="32"/>
      <c r="C500" s="32"/>
      <c r="D500" s="32"/>
      <c r="E500" s="32"/>
      <c r="F500" s="32"/>
    </row>
    <row r="501" spans="1:6" x14ac:dyDescent="0.25">
      <c r="A501" s="32"/>
      <c r="B501" s="32"/>
      <c r="C501" s="32"/>
      <c r="D501" s="32"/>
      <c r="E501" s="32"/>
      <c r="F501" s="32"/>
    </row>
    <row r="502" spans="1:6" x14ac:dyDescent="0.25">
      <c r="A502" s="32"/>
      <c r="B502" s="32"/>
      <c r="C502" s="32"/>
      <c r="D502" s="32"/>
      <c r="E502" s="32"/>
      <c r="F502" s="32"/>
    </row>
    <row r="503" spans="1:6" x14ac:dyDescent="0.25">
      <c r="A503" s="32"/>
      <c r="B503" s="32"/>
      <c r="C503" s="32"/>
      <c r="D503" s="32"/>
      <c r="E503" s="32"/>
      <c r="F503" s="32"/>
    </row>
    <row r="504" spans="1:6" x14ac:dyDescent="0.25">
      <c r="A504" s="32"/>
      <c r="B504" s="32"/>
      <c r="C504" s="32"/>
      <c r="D504" s="32"/>
      <c r="E504" s="32"/>
      <c r="F504" s="32"/>
    </row>
    <row r="505" spans="1:6" x14ac:dyDescent="0.25">
      <c r="A505" s="32"/>
      <c r="B505" s="32"/>
      <c r="C505" s="32"/>
      <c r="D505" s="32"/>
      <c r="E505" s="32"/>
      <c r="F505" s="32"/>
    </row>
    <row r="506" spans="1:6" x14ac:dyDescent="0.25">
      <c r="A506" s="32"/>
      <c r="B506" s="32"/>
      <c r="C506" s="32"/>
      <c r="D506" s="32"/>
      <c r="E506" s="32"/>
      <c r="F506" s="32"/>
    </row>
    <row r="507" spans="1:6" x14ac:dyDescent="0.25">
      <c r="A507" s="32"/>
      <c r="B507" s="32"/>
      <c r="C507" s="32"/>
      <c r="D507" s="32"/>
      <c r="E507" s="32"/>
      <c r="F507" s="32"/>
    </row>
    <row r="508" spans="1:6" x14ac:dyDescent="0.25">
      <c r="A508" s="32"/>
      <c r="B508" s="32"/>
      <c r="C508" s="32"/>
      <c r="D508" s="32"/>
      <c r="E508" s="32"/>
      <c r="F508" s="32"/>
    </row>
    <row r="509" spans="1:6" x14ac:dyDescent="0.25">
      <c r="A509" s="32"/>
      <c r="B509" s="32"/>
      <c r="C509" s="32"/>
      <c r="D509" s="32"/>
      <c r="E509" s="32"/>
      <c r="F509" s="32"/>
    </row>
    <row r="510" spans="1:6" x14ac:dyDescent="0.25">
      <c r="A510" s="32"/>
      <c r="B510" s="32"/>
      <c r="C510" s="32"/>
      <c r="D510" s="32"/>
      <c r="E510" s="32"/>
      <c r="F510" s="32"/>
    </row>
    <row r="511" spans="1:6" x14ac:dyDescent="0.25">
      <c r="A511" s="32"/>
      <c r="B511" s="32"/>
      <c r="C511" s="32"/>
      <c r="D511" s="32"/>
      <c r="E511" s="32"/>
      <c r="F511" s="32"/>
    </row>
    <row r="512" spans="1:6" x14ac:dyDescent="0.25">
      <c r="A512" s="32"/>
      <c r="B512" s="32"/>
      <c r="C512" s="32"/>
      <c r="D512" s="32"/>
      <c r="E512" s="32"/>
      <c r="F512" s="32"/>
    </row>
    <row r="513" spans="1:6" x14ac:dyDescent="0.25">
      <c r="A513" s="32"/>
      <c r="B513" s="32"/>
      <c r="C513" s="32"/>
      <c r="D513" s="32"/>
      <c r="E513" s="32"/>
      <c r="F513" s="32"/>
    </row>
    <row r="514" spans="1:6" x14ac:dyDescent="0.25">
      <c r="A514" s="32"/>
      <c r="B514" s="32"/>
      <c r="C514" s="32"/>
      <c r="D514" s="32"/>
      <c r="E514" s="32"/>
      <c r="F514" s="32"/>
    </row>
    <row r="515" spans="1:6" x14ac:dyDescent="0.25">
      <c r="A515" s="32"/>
      <c r="B515" s="32"/>
      <c r="C515" s="32"/>
      <c r="D515" s="32"/>
      <c r="E515" s="32"/>
      <c r="F515" s="32"/>
    </row>
    <row r="516" spans="1:6" x14ac:dyDescent="0.25">
      <c r="A516" s="32"/>
      <c r="B516" s="32"/>
      <c r="C516" s="32"/>
      <c r="D516" s="32"/>
      <c r="E516" s="32"/>
      <c r="F516" s="32"/>
    </row>
    <row r="517" spans="1:6" x14ac:dyDescent="0.25">
      <c r="A517" s="32"/>
      <c r="B517" s="32"/>
      <c r="C517" s="32"/>
      <c r="D517" s="32"/>
      <c r="E517" s="32"/>
      <c r="F517" s="32"/>
    </row>
    <row r="518" spans="1:6" x14ac:dyDescent="0.25">
      <c r="A518" s="32"/>
      <c r="B518" s="32"/>
      <c r="C518" s="32"/>
      <c r="D518" s="32"/>
      <c r="E518" s="32"/>
      <c r="F518" s="32"/>
    </row>
    <row r="519" spans="1:6" x14ac:dyDescent="0.25">
      <c r="A519" s="32"/>
      <c r="B519" s="32"/>
      <c r="C519" s="32"/>
      <c r="D519" s="32"/>
      <c r="E519" s="32"/>
      <c r="F519" s="32"/>
    </row>
    <row r="520" spans="1:6" x14ac:dyDescent="0.25">
      <c r="A520" s="32"/>
      <c r="B520" s="32"/>
      <c r="C520" s="32"/>
      <c r="D520" s="32"/>
      <c r="E520" s="32"/>
      <c r="F520" s="32"/>
    </row>
    <row r="521" spans="1:6" x14ac:dyDescent="0.25">
      <c r="A521" s="32"/>
      <c r="B521" s="32"/>
      <c r="C521" s="32"/>
      <c r="D521" s="32"/>
      <c r="E521" s="32"/>
      <c r="F521" s="32"/>
    </row>
    <row r="522" spans="1:6" x14ac:dyDescent="0.25">
      <c r="A522" s="32"/>
      <c r="B522" s="32"/>
      <c r="C522" s="32"/>
      <c r="D522" s="32"/>
      <c r="E522" s="32"/>
      <c r="F522" s="32"/>
    </row>
    <row r="523" spans="1:6" x14ac:dyDescent="0.25">
      <c r="A523" s="32"/>
      <c r="B523" s="32"/>
      <c r="C523" s="32"/>
      <c r="D523" s="32"/>
      <c r="E523" s="32"/>
      <c r="F523" s="32"/>
    </row>
    <row r="524" spans="1:6" x14ac:dyDescent="0.25">
      <c r="A524" s="32"/>
      <c r="B524" s="32"/>
      <c r="C524" s="32"/>
      <c r="D524" s="32"/>
      <c r="E524" s="32"/>
      <c r="F524" s="32"/>
    </row>
    <row r="525" spans="1:6" x14ac:dyDescent="0.25">
      <c r="A525" s="32"/>
      <c r="B525" s="32"/>
      <c r="C525" s="32"/>
      <c r="D525" s="32"/>
      <c r="E525" s="32"/>
      <c r="F525" s="32"/>
    </row>
    <row r="526" spans="1:6" x14ac:dyDescent="0.25">
      <c r="A526" s="32"/>
      <c r="B526" s="32"/>
      <c r="C526" s="32"/>
      <c r="D526" s="32"/>
      <c r="E526" s="32"/>
      <c r="F526" s="32"/>
    </row>
    <row r="527" spans="1:6" x14ac:dyDescent="0.25">
      <c r="A527" s="32"/>
      <c r="B527" s="32"/>
      <c r="C527" s="32"/>
      <c r="D527" s="32"/>
      <c r="E527" s="32"/>
      <c r="F527" s="32"/>
    </row>
    <row r="528" spans="1:6" x14ac:dyDescent="0.25">
      <c r="A528" s="32"/>
      <c r="B528" s="32"/>
      <c r="C528" s="32"/>
      <c r="D528" s="32"/>
      <c r="E528" s="32"/>
      <c r="F528" s="32"/>
    </row>
    <row r="529" spans="1:6" x14ac:dyDescent="0.25">
      <c r="A529" s="32"/>
      <c r="B529" s="32"/>
      <c r="C529" s="32"/>
      <c r="D529" s="32"/>
      <c r="E529" s="32"/>
      <c r="F529" s="32"/>
    </row>
    <row r="530" spans="1:6" x14ac:dyDescent="0.25">
      <c r="A530" s="32"/>
      <c r="B530" s="32"/>
      <c r="C530" s="32"/>
      <c r="D530" s="32"/>
      <c r="E530" s="32"/>
      <c r="F530" s="32"/>
    </row>
    <row r="531" spans="1:6" x14ac:dyDescent="0.25">
      <c r="A531" s="32"/>
      <c r="B531" s="32"/>
      <c r="C531" s="32"/>
      <c r="D531" s="32"/>
      <c r="E531" s="32"/>
      <c r="F531" s="32"/>
    </row>
    <row r="532" spans="1:6" x14ac:dyDescent="0.25">
      <c r="A532" s="32"/>
      <c r="B532" s="32"/>
      <c r="C532" s="32"/>
      <c r="D532" s="32"/>
      <c r="E532" s="32"/>
      <c r="F532" s="32"/>
    </row>
    <row r="533" spans="1:6" x14ac:dyDescent="0.25">
      <c r="A533" s="32"/>
      <c r="B533" s="32"/>
      <c r="C533" s="32"/>
      <c r="D533" s="32"/>
      <c r="E533" s="32"/>
      <c r="F533" s="32"/>
    </row>
    <row r="534" spans="1:6" x14ac:dyDescent="0.25">
      <c r="A534" s="32"/>
      <c r="B534" s="32"/>
      <c r="C534" s="32"/>
      <c r="D534" s="32"/>
      <c r="E534" s="32"/>
      <c r="F534" s="32"/>
    </row>
    <row r="535" spans="1:6" x14ac:dyDescent="0.25">
      <c r="A535" s="32"/>
      <c r="B535" s="32"/>
      <c r="C535" s="32"/>
      <c r="D535" s="32"/>
      <c r="E535" s="32"/>
      <c r="F535" s="32"/>
    </row>
    <row r="536" spans="1:6" x14ac:dyDescent="0.25">
      <c r="A536" s="32"/>
      <c r="B536" s="32"/>
      <c r="C536" s="32"/>
      <c r="D536" s="32"/>
      <c r="E536" s="32"/>
      <c r="F536" s="32"/>
    </row>
    <row r="537" spans="1:6" x14ac:dyDescent="0.25">
      <c r="A537" s="32"/>
      <c r="B537" s="32"/>
      <c r="C537" s="32"/>
      <c r="D537" s="32"/>
      <c r="E537" s="32"/>
      <c r="F537" s="32"/>
    </row>
    <row r="538" spans="1:6" x14ac:dyDescent="0.25">
      <c r="A538" s="32"/>
      <c r="B538" s="32"/>
      <c r="C538" s="32"/>
      <c r="D538" s="32"/>
      <c r="E538" s="32"/>
      <c r="F538" s="32"/>
    </row>
    <row r="539" spans="1:6" x14ac:dyDescent="0.25">
      <c r="A539" s="32"/>
      <c r="B539" s="32"/>
      <c r="C539" s="32"/>
      <c r="D539" s="32"/>
      <c r="E539" s="32"/>
      <c r="F539" s="32"/>
    </row>
    <row r="540" spans="1:6" x14ac:dyDescent="0.25">
      <c r="A540" s="32"/>
      <c r="B540" s="32"/>
      <c r="C540" s="32"/>
      <c r="D540" s="32"/>
      <c r="E540" s="32"/>
      <c r="F540" s="32"/>
    </row>
    <row r="541" spans="1:6" x14ac:dyDescent="0.25">
      <c r="A541" s="32"/>
      <c r="B541" s="32"/>
      <c r="C541" s="32"/>
      <c r="D541" s="32"/>
      <c r="E541" s="32"/>
      <c r="F541" s="32"/>
    </row>
    <row r="542" spans="1:6" x14ac:dyDescent="0.25">
      <c r="A542" s="32"/>
      <c r="B542" s="32"/>
      <c r="C542" s="32"/>
      <c r="D542" s="32"/>
      <c r="E542" s="32"/>
      <c r="F542" s="32"/>
    </row>
    <row r="543" spans="1:6" x14ac:dyDescent="0.25">
      <c r="A543" s="32"/>
      <c r="B543" s="32"/>
      <c r="C543" s="32"/>
      <c r="D543" s="32"/>
      <c r="E543" s="32"/>
      <c r="F543" s="32"/>
    </row>
    <row r="544" spans="1:6" x14ac:dyDescent="0.25">
      <c r="A544" s="32"/>
      <c r="B544" s="32"/>
      <c r="C544" s="32"/>
      <c r="D544" s="32"/>
      <c r="E544" s="32"/>
      <c r="F544" s="32"/>
    </row>
    <row r="545" spans="1:6" x14ac:dyDescent="0.25">
      <c r="A545" s="32"/>
      <c r="B545" s="32"/>
      <c r="C545" s="32"/>
      <c r="D545" s="32"/>
      <c r="E545" s="32"/>
      <c r="F545" s="32"/>
    </row>
    <row r="546" spans="1:6" x14ac:dyDescent="0.25">
      <c r="A546" s="32"/>
      <c r="B546" s="32"/>
      <c r="C546" s="32"/>
      <c r="D546" s="32"/>
      <c r="E546" s="32"/>
      <c r="F546" s="32"/>
    </row>
    <row r="547" spans="1:6" x14ac:dyDescent="0.25">
      <c r="A547" s="32"/>
      <c r="B547" s="32"/>
      <c r="C547" s="32"/>
      <c r="D547" s="32"/>
      <c r="E547" s="32"/>
      <c r="F547" s="32"/>
    </row>
    <row r="548" spans="1:6" x14ac:dyDescent="0.25">
      <c r="A548" s="32"/>
      <c r="B548" s="32"/>
      <c r="C548" s="32"/>
      <c r="D548" s="32"/>
      <c r="E548" s="32"/>
      <c r="F548" s="32"/>
    </row>
    <row r="549" spans="1:6" x14ac:dyDescent="0.25">
      <c r="A549" s="32"/>
      <c r="B549" s="32"/>
      <c r="C549" s="32"/>
      <c r="D549" s="32"/>
      <c r="E549" s="32"/>
      <c r="F549" s="32"/>
    </row>
    <row r="550" spans="1:6" x14ac:dyDescent="0.25">
      <c r="A550" s="32"/>
      <c r="B550" s="32"/>
      <c r="C550" s="32"/>
      <c r="D550" s="32"/>
      <c r="E550" s="32"/>
      <c r="F550" s="32"/>
    </row>
    <row r="551" spans="1:6" x14ac:dyDescent="0.25">
      <c r="A551" s="32"/>
      <c r="B551" s="32"/>
      <c r="C551" s="32"/>
      <c r="D551" s="32"/>
      <c r="E551" s="32"/>
      <c r="F551" s="32"/>
    </row>
    <row r="552" spans="1:6" x14ac:dyDescent="0.25">
      <c r="A552" s="32"/>
      <c r="B552" s="32"/>
      <c r="C552" s="32"/>
      <c r="D552" s="32"/>
      <c r="E552" s="32"/>
      <c r="F552" s="32"/>
    </row>
    <row r="553" spans="1:6" x14ac:dyDescent="0.25">
      <c r="A553" s="32"/>
      <c r="B553" s="32"/>
      <c r="C553" s="32"/>
      <c r="D553" s="32"/>
      <c r="E553" s="32"/>
      <c r="F553" s="32"/>
    </row>
    <row r="554" spans="1:6" x14ac:dyDescent="0.25">
      <c r="A554" s="32"/>
      <c r="B554" s="32"/>
      <c r="C554" s="32"/>
      <c r="D554" s="32"/>
      <c r="E554" s="32"/>
      <c r="F554" s="32"/>
    </row>
    <row r="555" spans="1:6" x14ac:dyDescent="0.25">
      <c r="A555" s="32"/>
      <c r="B555" s="32"/>
      <c r="C555" s="32"/>
      <c r="D555" s="32"/>
      <c r="E555" s="32"/>
      <c r="F555" s="32"/>
    </row>
    <row r="556" spans="1:6" x14ac:dyDescent="0.25">
      <c r="A556" s="32"/>
      <c r="B556" s="32"/>
      <c r="C556" s="32"/>
      <c r="D556" s="32"/>
      <c r="E556" s="32"/>
      <c r="F556" s="32"/>
    </row>
    <row r="557" spans="1:6" x14ac:dyDescent="0.25">
      <c r="A557" s="32"/>
      <c r="B557" s="32"/>
      <c r="C557" s="32"/>
      <c r="D557" s="32"/>
      <c r="E557" s="32"/>
      <c r="F557" s="32"/>
    </row>
    <row r="558" spans="1:6" x14ac:dyDescent="0.25">
      <c r="A558" s="32"/>
      <c r="B558" s="32"/>
      <c r="C558" s="32"/>
      <c r="D558" s="32"/>
      <c r="E558" s="32"/>
      <c r="F558" s="32"/>
    </row>
    <row r="559" spans="1:6" x14ac:dyDescent="0.25">
      <c r="A559" s="32"/>
      <c r="B559" s="32"/>
      <c r="C559" s="32"/>
      <c r="D559" s="32"/>
      <c r="E559" s="32"/>
      <c r="F559" s="32"/>
    </row>
    <row r="560" spans="1:6" x14ac:dyDescent="0.25">
      <c r="A560" s="32"/>
      <c r="B560" s="32"/>
      <c r="C560" s="32"/>
      <c r="D560" s="32"/>
      <c r="E560" s="32"/>
      <c r="F560" s="32"/>
    </row>
    <row r="561" spans="1:6" x14ac:dyDescent="0.25">
      <c r="A561" s="32"/>
      <c r="B561" s="32"/>
      <c r="C561" s="32"/>
      <c r="D561" s="32"/>
      <c r="E561" s="32"/>
      <c r="F561" s="32"/>
    </row>
    <row r="562" spans="1:6" x14ac:dyDescent="0.25">
      <c r="A562" s="32"/>
      <c r="B562" s="32"/>
      <c r="C562" s="32"/>
      <c r="D562" s="32"/>
      <c r="E562" s="32"/>
      <c r="F562" s="32"/>
    </row>
    <row r="563" spans="1:6" x14ac:dyDescent="0.25">
      <c r="A563" s="32"/>
      <c r="B563" s="32"/>
      <c r="C563" s="32"/>
      <c r="D563" s="32"/>
      <c r="E563" s="32"/>
      <c r="F563" s="32"/>
    </row>
    <row r="564" spans="1:6" x14ac:dyDescent="0.25">
      <c r="A564" s="32"/>
      <c r="B564" s="32"/>
      <c r="C564" s="32"/>
      <c r="D564" s="32"/>
      <c r="E564" s="32"/>
      <c r="F564" s="32"/>
    </row>
    <row r="565" spans="1:6" x14ac:dyDescent="0.25">
      <c r="A565" s="32"/>
      <c r="B565" s="32"/>
      <c r="C565" s="32"/>
      <c r="D565" s="32"/>
      <c r="E565" s="32"/>
      <c r="F565" s="32"/>
    </row>
    <row r="566" spans="1:6" x14ac:dyDescent="0.25">
      <c r="A566" s="32"/>
      <c r="B566" s="32"/>
      <c r="C566" s="32"/>
      <c r="D566" s="32"/>
      <c r="E566" s="32"/>
      <c r="F566" s="32"/>
    </row>
    <row r="567" spans="1:6" x14ac:dyDescent="0.25">
      <c r="A567" s="32"/>
      <c r="B567" s="32"/>
      <c r="C567" s="32"/>
      <c r="D567" s="32"/>
      <c r="E567" s="32"/>
      <c r="F567" s="32"/>
    </row>
    <row r="568" spans="1:6" x14ac:dyDescent="0.25">
      <c r="A568" s="32"/>
      <c r="B568" s="32"/>
      <c r="C568" s="32"/>
      <c r="D568" s="32"/>
      <c r="E568" s="32"/>
      <c r="F568" s="32"/>
    </row>
    <row r="569" spans="1:6" x14ac:dyDescent="0.25">
      <c r="A569" s="32"/>
      <c r="B569" s="32"/>
      <c r="C569" s="32"/>
      <c r="D569" s="32"/>
      <c r="E569" s="32"/>
      <c r="F569" s="32"/>
    </row>
    <row r="570" spans="1:6" x14ac:dyDescent="0.25">
      <c r="A570" s="32"/>
      <c r="B570" s="32"/>
      <c r="C570" s="32"/>
      <c r="D570" s="32"/>
      <c r="E570" s="32"/>
      <c r="F570" s="32"/>
    </row>
    <row r="571" spans="1:6" x14ac:dyDescent="0.25">
      <c r="A571" s="32"/>
      <c r="B571" s="32"/>
      <c r="C571" s="32"/>
      <c r="D571" s="32"/>
      <c r="E571" s="32"/>
      <c r="F571" s="32"/>
    </row>
    <row r="572" spans="1:6" x14ac:dyDescent="0.25">
      <c r="A572" s="32"/>
      <c r="B572" s="32"/>
      <c r="C572" s="32"/>
      <c r="D572" s="32"/>
      <c r="E572" s="32"/>
      <c r="F572" s="32"/>
    </row>
    <row r="573" spans="1:6" x14ac:dyDescent="0.25">
      <c r="A573" s="32"/>
      <c r="B573" s="32"/>
      <c r="C573" s="32"/>
      <c r="D573" s="32"/>
      <c r="E573" s="32"/>
      <c r="F573" s="32"/>
    </row>
    <row r="574" spans="1:6" x14ac:dyDescent="0.25">
      <c r="A574" s="32"/>
      <c r="B574" s="32"/>
      <c r="C574" s="32"/>
      <c r="D574" s="32"/>
      <c r="E574" s="32"/>
      <c r="F574" s="32"/>
    </row>
    <row r="575" spans="1:6" x14ac:dyDescent="0.25">
      <c r="A575" s="32"/>
      <c r="B575" s="32"/>
      <c r="C575" s="32"/>
      <c r="D575" s="32"/>
      <c r="E575" s="32"/>
      <c r="F575" s="32"/>
    </row>
    <row r="576" spans="1:6" x14ac:dyDescent="0.25">
      <c r="A576" s="32"/>
      <c r="B576" s="32"/>
      <c r="C576" s="32"/>
      <c r="D576" s="32"/>
      <c r="E576" s="32"/>
      <c r="F576" s="32"/>
    </row>
    <row r="577" spans="1:6" x14ac:dyDescent="0.25">
      <c r="A577" s="32"/>
      <c r="B577" s="32"/>
      <c r="C577" s="32"/>
      <c r="D577" s="32"/>
      <c r="E577" s="32"/>
      <c r="F577" s="32"/>
    </row>
    <row r="578" spans="1:6" x14ac:dyDescent="0.25">
      <c r="A578" s="32"/>
      <c r="B578" s="32"/>
      <c r="C578" s="32"/>
      <c r="D578" s="32"/>
      <c r="E578" s="32"/>
      <c r="F578" s="32"/>
    </row>
    <row r="579" spans="1:6" x14ac:dyDescent="0.25">
      <c r="A579" s="32"/>
      <c r="B579" s="32"/>
      <c r="C579" s="32"/>
      <c r="D579" s="32"/>
      <c r="E579" s="32"/>
      <c r="F579" s="32"/>
    </row>
    <row r="580" spans="1:6" x14ac:dyDescent="0.25">
      <c r="A580" s="32"/>
      <c r="B580" s="32"/>
      <c r="C580" s="32"/>
      <c r="D580" s="32"/>
      <c r="E580" s="32"/>
      <c r="F580" s="32"/>
    </row>
    <row r="581" spans="1:6" x14ac:dyDescent="0.25">
      <c r="A581" s="32"/>
      <c r="B581" s="32"/>
      <c r="C581" s="32"/>
      <c r="D581" s="32"/>
      <c r="E581" s="32"/>
      <c r="F581" s="32"/>
    </row>
    <row r="582" spans="1:6" x14ac:dyDescent="0.25">
      <c r="A582" s="32"/>
      <c r="B582" s="32"/>
      <c r="C582" s="32"/>
      <c r="D582" s="32"/>
      <c r="E582" s="32"/>
      <c r="F582" s="32"/>
    </row>
    <row r="583" spans="1:6" x14ac:dyDescent="0.25">
      <c r="A583" s="32"/>
      <c r="B583" s="32"/>
      <c r="C583" s="32"/>
      <c r="D583" s="32"/>
      <c r="E583" s="32"/>
      <c r="F583" s="32"/>
    </row>
    <row r="584" spans="1:6" x14ac:dyDescent="0.25">
      <c r="A584" s="32"/>
      <c r="B584" s="32"/>
      <c r="C584" s="32"/>
      <c r="D584" s="32"/>
      <c r="E584" s="32"/>
      <c r="F584" s="32"/>
    </row>
    <row r="585" spans="1:6" x14ac:dyDescent="0.25">
      <c r="A585" s="32"/>
      <c r="B585" s="32"/>
      <c r="C585" s="32"/>
      <c r="D585" s="32"/>
      <c r="E585" s="32"/>
      <c r="F585" s="32"/>
    </row>
    <row r="586" spans="1:6" x14ac:dyDescent="0.25">
      <c r="A586" s="32"/>
      <c r="B586" s="32"/>
      <c r="C586" s="32"/>
      <c r="D586" s="32"/>
      <c r="E586" s="32"/>
      <c r="F586" s="32"/>
    </row>
    <row r="587" spans="1:6" x14ac:dyDescent="0.25">
      <c r="A587" s="32"/>
      <c r="B587" s="32"/>
      <c r="C587" s="32"/>
      <c r="D587" s="32"/>
      <c r="E587" s="32"/>
      <c r="F587" s="32"/>
    </row>
    <row r="588" spans="1:6" x14ac:dyDescent="0.25">
      <c r="A588" s="32"/>
      <c r="B588" s="32"/>
      <c r="C588" s="32"/>
      <c r="D588" s="32"/>
      <c r="E588" s="32"/>
      <c r="F588" s="32"/>
    </row>
    <row r="589" spans="1:6" x14ac:dyDescent="0.25">
      <c r="A589" s="32"/>
      <c r="B589" s="32"/>
      <c r="C589" s="32"/>
      <c r="D589" s="32"/>
      <c r="E589" s="32"/>
      <c r="F589" s="32"/>
    </row>
    <row r="590" spans="1:6" x14ac:dyDescent="0.25">
      <c r="A590" s="32"/>
      <c r="B590" s="32"/>
      <c r="C590" s="32"/>
      <c r="D590" s="32"/>
      <c r="E590" s="32"/>
      <c r="F590" s="32"/>
    </row>
    <row r="591" spans="1:6" x14ac:dyDescent="0.25">
      <c r="A591" s="32"/>
      <c r="B591" s="32"/>
      <c r="C591" s="32"/>
      <c r="D591" s="32"/>
      <c r="E591" s="32"/>
      <c r="F591" s="32"/>
    </row>
    <row r="592" spans="1:6" x14ac:dyDescent="0.25">
      <c r="A592" s="32"/>
      <c r="B592" s="32"/>
      <c r="C592" s="32"/>
      <c r="D592" s="32"/>
      <c r="E592" s="32"/>
      <c r="F592" s="32"/>
    </row>
    <row r="593" spans="1:6" x14ac:dyDescent="0.25">
      <c r="A593" s="32"/>
      <c r="B593" s="32"/>
      <c r="C593" s="32"/>
      <c r="D593" s="32"/>
      <c r="E593" s="32"/>
      <c r="F593" s="32"/>
    </row>
    <row r="594" spans="1:6" x14ac:dyDescent="0.25">
      <c r="A594" s="32"/>
      <c r="B594" s="32"/>
      <c r="C594" s="32"/>
      <c r="D594" s="32"/>
      <c r="E594" s="32"/>
      <c r="F594" s="32"/>
    </row>
    <row r="595" spans="1:6" x14ac:dyDescent="0.25">
      <c r="A595" s="32"/>
      <c r="B595" s="32"/>
      <c r="C595" s="32"/>
      <c r="D595" s="32"/>
      <c r="E595" s="32"/>
      <c r="F595" s="32"/>
    </row>
    <row r="596" spans="1:6" x14ac:dyDescent="0.25">
      <c r="A596" s="32"/>
      <c r="B596" s="32"/>
      <c r="C596" s="32"/>
      <c r="D596" s="32"/>
      <c r="E596" s="32"/>
      <c r="F596" s="32"/>
    </row>
    <row r="597" spans="1:6" x14ac:dyDescent="0.25">
      <c r="A597" s="32"/>
      <c r="B597" s="32"/>
      <c r="C597" s="32"/>
      <c r="D597" s="32"/>
      <c r="E597" s="32"/>
      <c r="F597" s="32"/>
    </row>
    <row r="598" spans="1:6" x14ac:dyDescent="0.25">
      <c r="A598" s="32"/>
      <c r="B598" s="32"/>
      <c r="C598" s="32"/>
      <c r="D598" s="32"/>
      <c r="E598" s="32"/>
      <c r="F598" s="32"/>
    </row>
    <row r="599" spans="1:6" x14ac:dyDescent="0.25">
      <c r="A599" s="32"/>
      <c r="B599" s="32"/>
      <c r="C599" s="32"/>
      <c r="D599" s="32"/>
      <c r="E599" s="32"/>
      <c r="F599" s="32"/>
    </row>
    <row r="600" spans="1:6" x14ac:dyDescent="0.25">
      <c r="A600" s="32"/>
      <c r="B600" s="32"/>
      <c r="C600" s="32"/>
      <c r="D600" s="32"/>
      <c r="E600" s="32"/>
      <c r="F600" s="32"/>
    </row>
    <row r="601" spans="1:6" x14ac:dyDescent="0.25">
      <c r="A601" s="32"/>
      <c r="B601" s="32"/>
      <c r="C601" s="32"/>
      <c r="D601" s="32"/>
      <c r="E601" s="32"/>
      <c r="F601" s="32"/>
    </row>
    <row r="602" spans="1:6" x14ac:dyDescent="0.25">
      <c r="A602" s="32"/>
      <c r="B602" s="32"/>
      <c r="C602" s="32"/>
      <c r="D602" s="32"/>
      <c r="E602" s="32"/>
      <c r="F602" s="32"/>
    </row>
    <row r="603" spans="1:6" x14ac:dyDescent="0.25">
      <c r="A603" s="32"/>
      <c r="B603" s="32"/>
      <c r="C603" s="32"/>
      <c r="D603" s="32"/>
      <c r="E603" s="32"/>
      <c r="F603" s="32"/>
    </row>
    <row r="604" spans="1:6" x14ac:dyDescent="0.25">
      <c r="A604" s="32"/>
      <c r="B604" s="32"/>
      <c r="C604" s="32"/>
      <c r="D604" s="32"/>
      <c r="E604" s="32"/>
      <c r="F604" s="32"/>
    </row>
    <row r="605" spans="1:6" x14ac:dyDescent="0.25">
      <c r="A605" s="32"/>
      <c r="B605" s="32"/>
      <c r="C605" s="32"/>
      <c r="D605" s="32"/>
      <c r="E605" s="32"/>
      <c r="F605" s="32"/>
    </row>
    <row r="606" spans="1:6" x14ac:dyDescent="0.25">
      <c r="A606" s="32"/>
      <c r="B606" s="32"/>
      <c r="C606" s="32"/>
      <c r="D606" s="32"/>
      <c r="E606" s="32"/>
      <c r="F606" s="32"/>
    </row>
    <row r="607" spans="1:6" x14ac:dyDescent="0.25">
      <c r="A607" s="32"/>
      <c r="B607" s="32"/>
      <c r="C607" s="32"/>
      <c r="D607" s="32"/>
      <c r="E607" s="32"/>
      <c r="F607" s="32"/>
    </row>
    <row r="608" spans="1:6" x14ac:dyDescent="0.25">
      <c r="A608" s="32"/>
      <c r="B608" s="32"/>
      <c r="C608" s="32"/>
      <c r="D608" s="32"/>
      <c r="E608" s="32"/>
      <c r="F608" s="32"/>
    </row>
    <row r="609" spans="1:6" x14ac:dyDescent="0.25">
      <c r="A609" s="32"/>
      <c r="B609" s="32"/>
      <c r="C609" s="32"/>
      <c r="D609" s="32"/>
      <c r="E609" s="32"/>
      <c r="F609" s="32"/>
    </row>
    <row r="610" spans="1:6" x14ac:dyDescent="0.25">
      <c r="A610" s="32"/>
      <c r="B610" s="32"/>
      <c r="C610" s="32"/>
      <c r="D610" s="32"/>
      <c r="E610" s="32"/>
      <c r="F610" s="32"/>
    </row>
    <row r="611" spans="1:6" x14ac:dyDescent="0.25">
      <c r="A611" s="32"/>
      <c r="B611" s="32"/>
      <c r="C611" s="32"/>
      <c r="D611" s="32"/>
      <c r="E611" s="32"/>
      <c r="F611" s="32"/>
    </row>
    <row r="612" spans="1:6" x14ac:dyDescent="0.25">
      <c r="A612" s="32"/>
      <c r="B612" s="32"/>
      <c r="C612" s="32"/>
      <c r="D612" s="32"/>
      <c r="E612" s="32"/>
      <c r="F612" s="32"/>
    </row>
    <row r="613" spans="1:6" x14ac:dyDescent="0.25">
      <c r="A613" s="32"/>
      <c r="B613" s="32"/>
      <c r="C613" s="32"/>
      <c r="D613" s="32"/>
      <c r="E613" s="32"/>
      <c r="F613" s="32"/>
    </row>
    <row r="614" spans="1:6" x14ac:dyDescent="0.25">
      <c r="A614" s="32"/>
      <c r="B614" s="32"/>
      <c r="C614" s="32"/>
      <c r="D614" s="32"/>
      <c r="E614" s="32"/>
      <c r="F614" s="32"/>
    </row>
    <row r="615" spans="1:6" x14ac:dyDescent="0.25">
      <c r="A615" s="32"/>
      <c r="B615" s="32"/>
      <c r="C615" s="32"/>
      <c r="D615" s="32"/>
      <c r="E615" s="32"/>
      <c r="F615" s="32"/>
    </row>
    <row r="616" spans="1:6" x14ac:dyDescent="0.25">
      <c r="A616" s="32"/>
      <c r="B616" s="32"/>
      <c r="C616" s="32"/>
      <c r="D616" s="32"/>
      <c r="E616" s="32"/>
      <c r="F616" s="32"/>
    </row>
    <row r="617" spans="1:6" x14ac:dyDescent="0.25">
      <c r="A617" s="32"/>
      <c r="B617" s="32"/>
      <c r="C617" s="32"/>
      <c r="D617" s="32"/>
      <c r="E617" s="32"/>
      <c r="F617" s="32"/>
    </row>
    <row r="618" spans="1:6" x14ac:dyDescent="0.25">
      <c r="A618" s="32"/>
      <c r="B618" s="32"/>
      <c r="C618" s="32"/>
      <c r="D618" s="32"/>
      <c r="E618" s="32"/>
      <c r="F618" s="32"/>
    </row>
    <row r="619" spans="1:6" x14ac:dyDescent="0.25">
      <c r="A619" s="32"/>
      <c r="B619" s="32"/>
      <c r="C619" s="32"/>
      <c r="D619" s="32"/>
      <c r="E619" s="32"/>
      <c r="F619" s="32"/>
    </row>
    <row r="620" spans="1:6" x14ac:dyDescent="0.25">
      <c r="A620" s="32"/>
      <c r="B620" s="32"/>
      <c r="C620" s="32"/>
      <c r="D620" s="32"/>
      <c r="E620" s="32"/>
      <c r="F620" s="32"/>
    </row>
    <row r="621" spans="1:6" x14ac:dyDescent="0.25">
      <c r="A621" s="32"/>
      <c r="B621" s="32"/>
      <c r="C621" s="32"/>
      <c r="D621" s="32"/>
      <c r="E621" s="32"/>
      <c r="F621" s="32"/>
    </row>
    <row r="622" spans="1:6" x14ac:dyDescent="0.25">
      <c r="A622" s="32"/>
      <c r="B622" s="32"/>
      <c r="C622" s="32"/>
      <c r="D622" s="32"/>
      <c r="E622" s="32"/>
      <c r="F622" s="32"/>
    </row>
    <row r="623" spans="1:6" x14ac:dyDescent="0.25">
      <c r="A623" s="32"/>
      <c r="B623" s="32"/>
      <c r="C623" s="32"/>
      <c r="D623" s="32"/>
      <c r="E623" s="32"/>
      <c r="F623" s="32"/>
    </row>
    <row r="624" spans="1:6" x14ac:dyDescent="0.25">
      <c r="A624" s="32"/>
      <c r="B624" s="32"/>
      <c r="C624" s="32"/>
      <c r="D624" s="32"/>
      <c r="E624" s="32"/>
      <c r="F624" s="32"/>
    </row>
    <row r="625" spans="1:6" x14ac:dyDescent="0.25">
      <c r="A625" s="32"/>
      <c r="B625" s="32"/>
      <c r="C625" s="32"/>
      <c r="D625" s="32"/>
      <c r="E625" s="32"/>
      <c r="F625" s="32"/>
    </row>
    <row r="626" spans="1:6" x14ac:dyDescent="0.25">
      <c r="A626" s="32"/>
      <c r="B626" s="32"/>
      <c r="C626" s="32"/>
      <c r="D626" s="32"/>
      <c r="E626" s="32"/>
      <c r="F626" s="32"/>
    </row>
    <row r="627" spans="1:6" x14ac:dyDescent="0.25">
      <c r="A627" s="32"/>
      <c r="B627" s="32"/>
      <c r="C627" s="32"/>
      <c r="D627" s="32"/>
      <c r="E627" s="32"/>
      <c r="F627" s="32"/>
    </row>
    <row r="628" spans="1:6" x14ac:dyDescent="0.25">
      <c r="A628" s="32"/>
      <c r="B628" s="32"/>
      <c r="C628" s="32"/>
      <c r="D628" s="32"/>
      <c r="E628" s="32"/>
      <c r="F628" s="32"/>
    </row>
    <row r="629" spans="1:6" x14ac:dyDescent="0.25">
      <c r="A629" s="32"/>
      <c r="B629" s="32"/>
      <c r="C629" s="32"/>
      <c r="D629" s="32"/>
      <c r="E629" s="32"/>
      <c r="F629" s="32"/>
    </row>
    <row r="630" spans="1:6" x14ac:dyDescent="0.25">
      <c r="A630" s="32"/>
      <c r="B630" s="32"/>
      <c r="C630" s="32"/>
      <c r="D630" s="32"/>
      <c r="E630" s="32"/>
      <c r="F630" s="32"/>
    </row>
    <row r="631" spans="1:6" x14ac:dyDescent="0.25">
      <c r="A631" s="32"/>
      <c r="B631" s="32"/>
      <c r="C631" s="32"/>
      <c r="D631" s="32"/>
      <c r="E631" s="32"/>
      <c r="F631" s="32"/>
    </row>
    <row r="632" spans="1:6" x14ac:dyDescent="0.25">
      <c r="A632" s="32"/>
      <c r="B632" s="32"/>
      <c r="C632" s="32"/>
      <c r="D632" s="32"/>
      <c r="E632" s="32"/>
      <c r="F632" s="32"/>
    </row>
    <row r="633" spans="1:6" x14ac:dyDescent="0.25">
      <c r="A633" s="32"/>
      <c r="B633" s="32"/>
      <c r="C633" s="32"/>
      <c r="D633" s="32"/>
      <c r="E633" s="32"/>
      <c r="F633" s="32"/>
    </row>
    <row r="634" spans="1:6" x14ac:dyDescent="0.25">
      <c r="A634" s="32"/>
      <c r="B634" s="32"/>
      <c r="C634" s="32"/>
      <c r="D634" s="32"/>
      <c r="E634" s="32"/>
      <c r="F634" s="32"/>
    </row>
    <row r="635" spans="1:6" x14ac:dyDescent="0.25">
      <c r="A635" s="32"/>
      <c r="B635" s="32"/>
      <c r="C635" s="32"/>
      <c r="D635" s="32"/>
      <c r="E635" s="32"/>
      <c r="F635" s="32"/>
    </row>
    <row r="636" spans="1:6" x14ac:dyDescent="0.25">
      <c r="A636" s="32"/>
      <c r="B636" s="32"/>
      <c r="C636" s="32"/>
      <c r="D636" s="32"/>
      <c r="E636" s="32"/>
      <c r="F636" s="32"/>
    </row>
    <row r="637" spans="1:6" x14ac:dyDescent="0.25">
      <c r="A637" s="32"/>
      <c r="B637" s="32"/>
      <c r="C637" s="32"/>
      <c r="D637" s="32"/>
      <c r="E637" s="32"/>
      <c r="F637" s="32"/>
    </row>
    <row r="638" spans="1:6" x14ac:dyDescent="0.25">
      <c r="A638" s="32"/>
      <c r="B638" s="32"/>
      <c r="C638" s="32"/>
      <c r="D638" s="32"/>
      <c r="E638" s="32"/>
      <c r="F638" s="32"/>
    </row>
    <row r="639" spans="1:6" x14ac:dyDescent="0.25">
      <c r="A639" s="32"/>
      <c r="B639" s="32"/>
      <c r="C639" s="32"/>
      <c r="D639" s="32"/>
      <c r="E639" s="32"/>
      <c r="F639" s="32"/>
    </row>
    <row r="640" spans="1:6" x14ac:dyDescent="0.25">
      <c r="A640" s="32"/>
      <c r="B640" s="32"/>
      <c r="C640" s="32"/>
      <c r="D640" s="32"/>
      <c r="E640" s="32"/>
      <c r="F640" s="32"/>
    </row>
    <row r="641" spans="1:6" x14ac:dyDescent="0.25">
      <c r="A641" s="32"/>
      <c r="B641" s="32"/>
      <c r="C641" s="32"/>
      <c r="D641" s="32"/>
      <c r="E641" s="32"/>
      <c r="F641" s="32"/>
    </row>
    <row r="642" spans="1:6" x14ac:dyDescent="0.25">
      <c r="A642" s="32"/>
      <c r="B642" s="32"/>
      <c r="C642" s="32"/>
      <c r="D642" s="32"/>
      <c r="E642" s="32"/>
      <c r="F642" s="32"/>
    </row>
    <row r="643" spans="1:6" x14ac:dyDescent="0.25">
      <c r="A643" s="32"/>
      <c r="B643" s="32"/>
      <c r="C643" s="32"/>
      <c r="D643" s="32"/>
      <c r="E643" s="32"/>
      <c r="F643" s="32"/>
    </row>
    <row r="644" spans="1:6" x14ac:dyDescent="0.25">
      <c r="A644" s="32"/>
      <c r="B644" s="32"/>
      <c r="C644" s="32"/>
      <c r="D644" s="32"/>
      <c r="E644" s="32"/>
      <c r="F644" s="32"/>
    </row>
    <row r="645" spans="1:6" x14ac:dyDescent="0.25">
      <c r="A645" s="32"/>
      <c r="B645" s="32"/>
      <c r="C645" s="32"/>
      <c r="D645" s="32"/>
      <c r="E645" s="32"/>
      <c r="F645" s="32"/>
    </row>
    <row r="646" spans="1:6" x14ac:dyDescent="0.25">
      <c r="A646" s="32"/>
      <c r="B646" s="32"/>
      <c r="C646" s="32"/>
      <c r="D646" s="32"/>
      <c r="E646" s="32"/>
      <c r="F646" s="32"/>
    </row>
    <row r="647" spans="1:6" x14ac:dyDescent="0.25">
      <c r="A647" s="32"/>
      <c r="B647" s="32"/>
      <c r="C647" s="32"/>
      <c r="D647" s="32"/>
      <c r="E647" s="32"/>
      <c r="F647" s="32"/>
    </row>
    <row r="648" spans="1:6" x14ac:dyDescent="0.25">
      <c r="A648" s="32"/>
      <c r="B648" s="32"/>
      <c r="C648" s="32"/>
      <c r="D648" s="32"/>
      <c r="E648" s="32"/>
      <c r="F648" s="32"/>
    </row>
    <row r="649" spans="1:6" x14ac:dyDescent="0.25">
      <c r="A649" s="32"/>
      <c r="B649" s="32"/>
      <c r="C649" s="32"/>
      <c r="D649" s="32"/>
      <c r="E649" s="32"/>
      <c r="F649" s="32"/>
    </row>
    <row r="650" spans="1:6" x14ac:dyDescent="0.25">
      <c r="A650" s="32"/>
      <c r="B650" s="32"/>
      <c r="C650" s="32"/>
      <c r="D650" s="32"/>
      <c r="E650" s="32"/>
      <c r="F650" s="32"/>
    </row>
    <row r="651" spans="1:6" x14ac:dyDescent="0.25">
      <c r="A651" s="32"/>
      <c r="B651" s="32"/>
      <c r="C651" s="32"/>
      <c r="D651" s="32"/>
      <c r="E651" s="32"/>
      <c r="F651" s="32"/>
    </row>
    <row r="652" spans="1:6" x14ac:dyDescent="0.25">
      <c r="A652" s="32"/>
      <c r="B652" s="32"/>
      <c r="C652" s="32"/>
      <c r="D652" s="32"/>
      <c r="E652" s="32"/>
      <c r="F652" s="32"/>
    </row>
    <row r="653" spans="1:6" x14ac:dyDescent="0.25">
      <c r="A653" s="32"/>
      <c r="B653" s="32"/>
      <c r="C653" s="32"/>
      <c r="D653" s="32"/>
      <c r="E653" s="32"/>
      <c r="F653" s="32"/>
    </row>
    <row r="654" spans="1:6" x14ac:dyDescent="0.25">
      <c r="A654" s="32"/>
      <c r="B654" s="32"/>
      <c r="C654" s="32"/>
      <c r="D654" s="32"/>
      <c r="E654" s="32"/>
      <c r="F654" s="32"/>
    </row>
    <row r="655" spans="1:6" x14ac:dyDescent="0.25">
      <c r="A655" s="32"/>
      <c r="B655" s="32"/>
      <c r="C655" s="32"/>
      <c r="D655" s="32"/>
      <c r="E655" s="32"/>
      <c r="F655" s="32"/>
    </row>
    <row r="656" spans="1:6" x14ac:dyDescent="0.25">
      <c r="A656" s="32"/>
      <c r="B656" s="32"/>
      <c r="C656" s="32"/>
      <c r="D656" s="32"/>
      <c r="E656" s="32"/>
      <c r="F656" s="32"/>
    </row>
    <row r="657" spans="1:6" x14ac:dyDescent="0.25">
      <c r="A657" s="32"/>
      <c r="B657" s="32"/>
      <c r="C657" s="32"/>
      <c r="D657" s="32"/>
      <c r="E657" s="32"/>
      <c r="F657" s="32"/>
    </row>
    <row r="658" spans="1:6" x14ac:dyDescent="0.25">
      <c r="A658" s="32"/>
      <c r="B658" s="32"/>
      <c r="C658" s="32"/>
      <c r="D658" s="32"/>
      <c r="E658" s="32"/>
      <c r="F658" s="32"/>
    </row>
    <row r="659" spans="1:6" x14ac:dyDescent="0.25">
      <c r="A659" s="32"/>
      <c r="B659" s="32"/>
      <c r="C659" s="32"/>
      <c r="D659" s="32"/>
      <c r="E659" s="32"/>
      <c r="F659" s="32"/>
    </row>
    <row r="660" spans="1:6" x14ac:dyDescent="0.25">
      <c r="A660" s="32"/>
      <c r="B660" s="32"/>
      <c r="C660" s="32"/>
      <c r="D660" s="32"/>
      <c r="E660" s="32"/>
      <c r="F660" s="32"/>
    </row>
    <row r="661" spans="1:6" x14ac:dyDescent="0.25">
      <c r="A661" s="32"/>
      <c r="B661" s="32"/>
      <c r="C661" s="32"/>
      <c r="D661" s="32"/>
      <c r="E661" s="32"/>
      <c r="F661" s="32"/>
    </row>
    <row r="662" spans="1:6" x14ac:dyDescent="0.25">
      <c r="A662" s="32"/>
      <c r="B662" s="32"/>
      <c r="C662" s="32"/>
      <c r="D662" s="32"/>
      <c r="E662" s="32"/>
      <c r="F662" s="32"/>
    </row>
    <row r="663" spans="1:6" x14ac:dyDescent="0.25">
      <c r="A663" s="32"/>
      <c r="B663" s="32"/>
      <c r="C663" s="32"/>
      <c r="D663" s="32"/>
      <c r="E663" s="32"/>
      <c r="F663" s="32"/>
    </row>
    <row r="664" spans="1:6" x14ac:dyDescent="0.25">
      <c r="A664" s="32"/>
      <c r="B664" s="32"/>
      <c r="C664" s="32"/>
      <c r="D664" s="32"/>
      <c r="E664" s="32"/>
      <c r="F664" s="32"/>
    </row>
    <row r="665" spans="1:6" x14ac:dyDescent="0.25">
      <c r="A665" s="32"/>
      <c r="B665" s="32"/>
      <c r="C665" s="32"/>
      <c r="D665" s="32"/>
      <c r="E665" s="32"/>
      <c r="F665" s="32"/>
    </row>
    <row r="666" spans="1:6" x14ac:dyDescent="0.25">
      <c r="A666" s="32"/>
      <c r="B666" s="32"/>
      <c r="C666" s="32"/>
      <c r="D666" s="32"/>
      <c r="E666" s="32"/>
      <c r="F666" s="32"/>
    </row>
    <row r="667" spans="1:6" x14ac:dyDescent="0.25">
      <c r="A667" s="32"/>
      <c r="B667" s="32"/>
      <c r="C667" s="32"/>
      <c r="D667" s="32"/>
      <c r="E667" s="32"/>
      <c r="F667" s="32"/>
    </row>
    <row r="668" spans="1:6" x14ac:dyDescent="0.25">
      <c r="A668" s="32"/>
      <c r="B668" s="32"/>
      <c r="C668" s="32"/>
      <c r="D668" s="32"/>
      <c r="E668" s="32"/>
      <c r="F668" s="32"/>
    </row>
    <row r="669" spans="1:6" x14ac:dyDescent="0.25">
      <c r="A669" s="32"/>
      <c r="B669" s="32"/>
      <c r="C669" s="32"/>
      <c r="D669" s="32"/>
      <c r="E669" s="32"/>
      <c r="F669" s="32"/>
    </row>
    <row r="670" spans="1:6" x14ac:dyDescent="0.25">
      <c r="A670" s="32"/>
      <c r="B670" s="32"/>
      <c r="C670" s="32"/>
      <c r="D670" s="32"/>
      <c r="E670" s="32"/>
      <c r="F670" s="32"/>
    </row>
    <row r="671" spans="1:6" x14ac:dyDescent="0.25">
      <c r="A671" s="32"/>
      <c r="B671" s="32"/>
      <c r="C671" s="32"/>
      <c r="D671" s="32"/>
      <c r="E671" s="32"/>
      <c r="F671" s="32"/>
    </row>
    <row r="672" spans="1:6" x14ac:dyDescent="0.25">
      <c r="A672" s="32"/>
      <c r="B672" s="32"/>
      <c r="C672" s="32"/>
      <c r="D672" s="32"/>
      <c r="E672" s="32"/>
      <c r="F672" s="32"/>
    </row>
    <row r="673" spans="1:6" x14ac:dyDescent="0.25">
      <c r="A673" s="32"/>
      <c r="B673" s="32"/>
      <c r="C673" s="32"/>
      <c r="D673" s="32"/>
      <c r="E673" s="32"/>
      <c r="F673" s="32"/>
    </row>
    <row r="674" spans="1:6" x14ac:dyDescent="0.25">
      <c r="A674" s="32"/>
      <c r="B674" s="32"/>
      <c r="C674" s="32"/>
      <c r="D674" s="32"/>
      <c r="E674" s="32"/>
      <c r="F674" s="32"/>
    </row>
    <row r="675" spans="1:6" x14ac:dyDescent="0.25">
      <c r="A675" s="32"/>
      <c r="B675" s="32"/>
      <c r="C675" s="32"/>
      <c r="D675" s="32"/>
      <c r="E675" s="32"/>
      <c r="F675" s="32"/>
    </row>
    <row r="676" spans="1:6" x14ac:dyDescent="0.25">
      <c r="A676" s="32"/>
      <c r="B676" s="32"/>
      <c r="C676" s="32"/>
      <c r="D676" s="32"/>
      <c r="E676" s="32"/>
      <c r="F676" s="32"/>
    </row>
    <row r="677" spans="1:6" x14ac:dyDescent="0.25">
      <c r="A677" s="32"/>
      <c r="B677" s="32"/>
      <c r="C677" s="32"/>
      <c r="D677" s="32"/>
      <c r="E677" s="32"/>
      <c r="F677" s="32"/>
    </row>
    <row r="678" spans="1:6" x14ac:dyDescent="0.25">
      <c r="A678" s="32"/>
      <c r="B678" s="32"/>
      <c r="C678" s="32"/>
      <c r="D678" s="32"/>
      <c r="E678" s="32"/>
      <c r="F678" s="32"/>
    </row>
    <row r="679" spans="1:6" x14ac:dyDescent="0.25">
      <c r="A679" s="32"/>
      <c r="B679" s="32"/>
      <c r="C679" s="32"/>
      <c r="D679" s="32"/>
      <c r="E679" s="32"/>
      <c r="F679" s="32"/>
    </row>
    <row r="680" spans="1:6" x14ac:dyDescent="0.25">
      <c r="A680" s="32"/>
      <c r="B680" s="32"/>
      <c r="C680" s="32"/>
      <c r="D680" s="32"/>
      <c r="E680" s="32"/>
      <c r="F680" s="32"/>
    </row>
    <row r="681" spans="1:6" x14ac:dyDescent="0.25">
      <c r="A681" s="32"/>
      <c r="B681" s="32"/>
      <c r="C681" s="32"/>
      <c r="D681" s="32"/>
      <c r="E681" s="32"/>
      <c r="F681" s="32"/>
    </row>
    <row r="682" spans="1:6" x14ac:dyDescent="0.25">
      <c r="A682" s="32"/>
      <c r="B682" s="32"/>
      <c r="C682" s="32"/>
      <c r="D682" s="32"/>
      <c r="E682" s="32"/>
      <c r="F682" s="32"/>
    </row>
    <row r="683" spans="1:6" x14ac:dyDescent="0.25">
      <c r="A683" s="32"/>
      <c r="B683" s="32"/>
      <c r="C683" s="32"/>
      <c r="D683" s="32"/>
      <c r="E683" s="32"/>
      <c r="F683" s="32"/>
    </row>
    <row r="684" spans="1:6" x14ac:dyDescent="0.25">
      <c r="A684" s="32"/>
      <c r="B684" s="32"/>
      <c r="C684" s="32"/>
      <c r="D684" s="32"/>
      <c r="E684" s="32"/>
      <c r="F684" s="32"/>
    </row>
    <row r="685" spans="1:6" x14ac:dyDescent="0.25">
      <c r="A685" s="32"/>
      <c r="B685" s="32"/>
      <c r="C685" s="32"/>
      <c r="D685" s="32"/>
      <c r="E685" s="32"/>
      <c r="F685" s="32"/>
    </row>
    <row r="686" spans="1:6" x14ac:dyDescent="0.25">
      <c r="A686" s="32"/>
      <c r="B686" s="32"/>
      <c r="C686" s="32"/>
      <c r="D686" s="32"/>
      <c r="E686" s="32"/>
      <c r="F686" s="32"/>
    </row>
    <row r="687" spans="1:6" x14ac:dyDescent="0.25">
      <c r="A687" s="32"/>
      <c r="B687" s="32"/>
      <c r="C687" s="32"/>
      <c r="D687" s="32"/>
      <c r="E687" s="32"/>
      <c r="F687" s="32"/>
    </row>
    <row r="688" spans="1:6" x14ac:dyDescent="0.25">
      <c r="A688" s="32"/>
      <c r="B688" s="32"/>
      <c r="C688" s="32"/>
      <c r="D688" s="32"/>
      <c r="E688" s="32"/>
      <c r="F688" s="32"/>
    </row>
    <row r="689" spans="1:6" x14ac:dyDescent="0.25">
      <c r="A689" s="32"/>
      <c r="B689" s="32"/>
      <c r="C689" s="32"/>
      <c r="D689" s="32"/>
      <c r="E689" s="32"/>
      <c r="F689" s="32"/>
    </row>
    <row r="690" spans="1:6" x14ac:dyDescent="0.25">
      <c r="A690" s="32"/>
      <c r="B690" s="32"/>
      <c r="C690" s="32"/>
      <c r="D690" s="32"/>
      <c r="E690" s="32"/>
      <c r="F690" s="32"/>
    </row>
    <row r="691" spans="1:6" x14ac:dyDescent="0.25">
      <c r="A691" s="32"/>
      <c r="B691" s="32"/>
      <c r="C691" s="32"/>
      <c r="D691" s="32"/>
      <c r="E691" s="32"/>
      <c r="F691" s="32"/>
    </row>
    <row r="692" spans="1:6" x14ac:dyDescent="0.25">
      <c r="A692" s="32"/>
      <c r="B692" s="32"/>
      <c r="C692" s="32"/>
      <c r="D692" s="32"/>
      <c r="E692" s="32"/>
      <c r="F692" s="32"/>
    </row>
    <row r="693" spans="1:6" x14ac:dyDescent="0.25">
      <c r="A693" s="32"/>
      <c r="B693" s="32"/>
      <c r="C693" s="32"/>
      <c r="D693" s="32"/>
      <c r="E693" s="32"/>
      <c r="F693" s="32"/>
    </row>
    <row r="694" spans="1:6" x14ac:dyDescent="0.25">
      <c r="A694" s="32"/>
      <c r="B694" s="32"/>
      <c r="C694" s="32"/>
      <c r="D694" s="32"/>
      <c r="E694" s="32"/>
      <c r="F694" s="32"/>
    </row>
    <row r="695" spans="1:6" x14ac:dyDescent="0.25">
      <c r="A695" s="32"/>
      <c r="B695" s="32"/>
      <c r="C695" s="32"/>
      <c r="D695" s="32"/>
      <c r="E695" s="32"/>
      <c r="F695" s="32"/>
    </row>
    <row r="696" spans="1:6" x14ac:dyDescent="0.25">
      <c r="A696" s="32"/>
      <c r="B696" s="32"/>
      <c r="C696" s="32"/>
      <c r="D696" s="32"/>
      <c r="E696" s="32"/>
      <c r="F696" s="32"/>
    </row>
    <row r="697" spans="1:6" x14ac:dyDescent="0.25">
      <c r="A697" s="32"/>
      <c r="B697" s="32"/>
      <c r="C697" s="32"/>
      <c r="D697" s="32"/>
      <c r="E697" s="32"/>
      <c r="F697" s="32"/>
    </row>
    <row r="698" spans="1:6" x14ac:dyDescent="0.25">
      <c r="A698" s="32"/>
      <c r="B698" s="32"/>
      <c r="C698" s="32"/>
      <c r="D698" s="32"/>
      <c r="E698" s="32"/>
      <c r="F698" s="32"/>
    </row>
    <row r="699" spans="1:6" x14ac:dyDescent="0.25">
      <c r="A699" s="32"/>
      <c r="B699" s="32"/>
      <c r="C699" s="32"/>
      <c r="D699" s="32"/>
      <c r="E699" s="32"/>
      <c r="F699" s="32"/>
    </row>
    <row r="700" spans="1:6" x14ac:dyDescent="0.25">
      <c r="A700" s="32"/>
      <c r="B700" s="32"/>
      <c r="C700" s="32"/>
      <c r="D700" s="32"/>
      <c r="E700" s="32"/>
      <c r="F700" s="32"/>
    </row>
    <row r="701" spans="1:6" x14ac:dyDescent="0.25">
      <c r="A701" s="32"/>
      <c r="B701" s="32"/>
      <c r="C701" s="32"/>
      <c r="D701" s="32"/>
      <c r="E701" s="32"/>
      <c r="F701" s="32"/>
    </row>
    <row r="702" spans="1:6" x14ac:dyDescent="0.25">
      <c r="A702" s="32"/>
      <c r="B702" s="32"/>
      <c r="C702" s="32"/>
      <c r="D702" s="32"/>
      <c r="E702" s="32"/>
      <c r="F702" s="32"/>
    </row>
    <row r="703" spans="1:6" x14ac:dyDescent="0.25">
      <c r="A703" s="32"/>
      <c r="B703" s="32"/>
      <c r="C703" s="32"/>
      <c r="D703" s="32"/>
      <c r="E703" s="32"/>
      <c r="F703" s="32"/>
    </row>
    <row r="704" spans="1:6" x14ac:dyDescent="0.25">
      <c r="A704" s="32"/>
      <c r="B704" s="32"/>
      <c r="C704" s="32"/>
      <c r="D704" s="32"/>
      <c r="E704" s="32"/>
      <c r="F704" s="32"/>
    </row>
    <row r="705" spans="1:6" x14ac:dyDescent="0.25">
      <c r="A705" s="32"/>
      <c r="B705" s="32"/>
      <c r="C705" s="32"/>
      <c r="D705" s="32"/>
      <c r="E705" s="32"/>
      <c r="F705" s="32"/>
    </row>
    <row r="706" spans="1:6" x14ac:dyDescent="0.25">
      <c r="A706" s="32"/>
      <c r="B706" s="32"/>
      <c r="C706" s="32"/>
      <c r="D706" s="32"/>
      <c r="E706" s="32"/>
      <c r="F706" s="32"/>
    </row>
    <row r="707" spans="1:6" x14ac:dyDescent="0.25">
      <c r="A707" s="32"/>
      <c r="B707" s="32"/>
      <c r="C707" s="32"/>
      <c r="D707" s="32"/>
      <c r="E707" s="32"/>
      <c r="F707" s="32"/>
    </row>
    <row r="708" spans="1:6" x14ac:dyDescent="0.25">
      <c r="A708" s="32"/>
      <c r="B708" s="32"/>
      <c r="C708" s="32"/>
      <c r="D708" s="32"/>
      <c r="E708" s="32"/>
      <c r="F708" s="32"/>
    </row>
    <row r="709" spans="1:6" x14ac:dyDescent="0.25">
      <c r="A709" s="32"/>
      <c r="B709" s="32"/>
      <c r="C709" s="32"/>
      <c r="D709" s="32"/>
      <c r="E709" s="32"/>
      <c r="F709" s="32"/>
    </row>
    <row r="710" spans="1:6" x14ac:dyDescent="0.25">
      <c r="A710" s="32"/>
      <c r="B710" s="32"/>
      <c r="C710" s="32"/>
      <c r="D710" s="32"/>
      <c r="E710" s="32"/>
      <c r="F710" s="32"/>
    </row>
    <row r="711" spans="1:6" x14ac:dyDescent="0.25">
      <c r="A711" s="32"/>
      <c r="B711" s="32"/>
      <c r="C711" s="32"/>
      <c r="D711" s="32"/>
      <c r="E711" s="32"/>
      <c r="F711" s="32"/>
    </row>
    <row r="712" spans="1:6" x14ac:dyDescent="0.25">
      <c r="A712" s="32"/>
      <c r="B712" s="32"/>
      <c r="C712" s="32"/>
      <c r="D712" s="32"/>
      <c r="E712" s="32"/>
      <c r="F712" s="32"/>
    </row>
    <row r="713" spans="1:6" x14ac:dyDescent="0.25">
      <c r="A713" s="32"/>
      <c r="B713" s="32"/>
      <c r="C713" s="32"/>
      <c r="D713" s="32"/>
      <c r="E713" s="32"/>
      <c r="F713" s="32"/>
    </row>
    <row r="714" spans="1:6" x14ac:dyDescent="0.25">
      <c r="A714" s="32"/>
      <c r="B714" s="32"/>
      <c r="C714" s="32"/>
      <c r="D714" s="32"/>
      <c r="E714" s="32"/>
      <c r="F714" s="32"/>
    </row>
    <row r="715" spans="1:6" x14ac:dyDescent="0.25">
      <c r="A715" s="32"/>
      <c r="B715" s="32"/>
      <c r="C715" s="32"/>
      <c r="D715" s="32"/>
      <c r="E715" s="32"/>
      <c r="F715" s="32"/>
    </row>
    <row r="716" spans="1:6" x14ac:dyDescent="0.25">
      <c r="A716" s="32"/>
      <c r="B716" s="32"/>
      <c r="C716" s="32"/>
      <c r="D716" s="32"/>
      <c r="E716" s="32"/>
      <c r="F716" s="32"/>
    </row>
    <row r="717" spans="1:6" x14ac:dyDescent="0.25">
      <c r="A717" s="32"/>
      <c r="B717" s="32"/>
      <c r="C717" s="32"/>
      <c r="D717" s="32"/>
      <c r="E717" s="32"/>
      <c r="F717" s="32"/>
    </row>
    <row r="718" spans="1:6" x14ac:dyDescent="0.25">
      <c r="A718" s="32"/>
      <c r="B718" s="32"/>
      <c r="C718" s="32"/>
      <c r="D718" s="32"/>
      <c r="E718" s="32"/>
      <c r="F718" s="32"/>
    </row>
    <row r="719" spans="1:6" x14ac:dyDescent="0.25">
      <c r="A719" s="32"/>
      <c r="B719" s="32"/>
      <c r="C719" s="32"/>
      <c r="D719" s="32"/>
      <c r="E719" s="32"/>
      <c r="F719" s="32"/>
    </row>
    <row r="720" spans="1:6" x14ac:dyDescent="0.25">
      <c r="A720" s="32"/>
      <c r="B720" s="32"/>
      <c r="C720" s="32"/>
      <c r="D720" s="32"/>
      <c r="E720" s="32"/>
      <c r="F720" s="32"/>
    </row>
    <row r="721" spans="1:6" x14ac:dyDescent="0.25">
      <c r="A721" s="32"/>
      <c r="B721" s="32"/>
      <c r="C721" s="32"/>
      <c r="D721" s="32"/>
      <c r="E721" s="32"/>
      <c r="F721" s="32"/>
    </row>
    <row r="722" spans="1:6" x14ac:dyDescent="0.25">
      <c r="A722" s="32"/>
      <c r="B722" s="32"/>
      <c r="C722" s="32"/>
      <c r="D722" s="32"/>
      <c r="E722" s="32"/>
      <c r="F722" s="32"/>
    </row>
    <row r="723" spans="1:6" x14ac:dyDescent="0.25">
      <c r="A723" s="32"/>
      <c r="B723" s="32"/>
      <c r="C723" s="32"/>
      <c r="D723" s="32"/>
      <c r="E723" s="32"/>
      <c r="F723" s="32"/>
    </row>
    <row r="724" spans="1:6" x14ac:dyDescent="0.25">
      <c r="A724" s="32"/>
      <c r="B724" s="32"/>
      <c r="C724" s="32"/>
      <c r="D724" s="32"/>
      <c r="E724" s="32"/>
      <c r="F724" s="32"/>
    </row>
    <row r="725" spans="1:6" x14ac:dyDescent="0.25">
      <c r="A725" s="32"/>
      <c r="B725" s="32"/>
      <c r="C725" s="32"/>
      <c r="D725" s="32"/>
      <c r="E725" s="32"/>
      <c r="F725" s="32"/>
    </row>
    <row r="726" spans="1:6" x14ac:dyDescent="0.25">
      <c r="A726" s="32"/>
      <c r="B726" s="32"/>
      <c r="C726" s="32"/>
      <c r="D726" s="32"/>
      <c r="E726" s="32"/>
      <c r="F726" s="32"/>
    </row>
    <row r="727" spans="1:6" x14ac:dyDescent="0.25">
      <c r="A727" s="32"/>
      <c r="B727" s="32"/>
      <c r="C727" s="32"/>
      <c r="D727" s="32"/>
      <c r="E727" s="32"/>
      <c r="F727" s="32"/>
    </row>
    <row r="728" spans="1:6" x14ac:dyDescent="0.25">
      <c r="A728" s="32"/>
      <c r="B728" s="32"/>
      <c r="C728" s="32"/>
      <c r="D728" s="32"/>
      <c r="E728" s="32"/>
      <c r="F728" s="32"/>
    </row>
    <row r="729" spans="1:6" x14ac:dyDescent="0.25">
      <c r="A729" s="32"/>
      <c r="B729" s="32"/>
      <c r="C729" s="32"/>
      <c r="D729" s="32"/>
      <c r="E729" s="32"/>
      <c r="F729" s="32"/>
    </row>
    <row r="730" spans="1:6" x14ac:dyDescent="0.25">
      <c r="A730" s="32"/>
      <c r="B730" s="32"/>
      <c r="C730" s="32"/>
      <c r="D730" s="32"/>
      <c r="E730" s="32"/>
      <c r="F730" s="32"/>
    </row>
    <row r="731" spans="1:6" x14ac:dyDescent="0.25">
      <c r="A731" s="32"/>
      <c r="B731" s="32"/>
      <c r="C731" s="32"/>
      <c r="D731" s="32"/>
      <c r="E731" s="32"/>
      <c r="F731" s="32"/>
    </row>
    <row r="732" spans="1:6" x14ac:dyDescent="0.25">
      <c r="A732" s="32"/>
      <c r="B732" s="32"/>
      <c r="C732" s="32"/>
      <c r="D732" s="32"/>
      <c r="E732" s="32"/>
      <c r="F732" s="32"/>
    </row>
    <row r="733" spans="1:6" x14ac:dyDescent="0.25">
      <c r="A733" s="32"/>
      <c r="B733" s="32"/>
      <c r="C733" s="32"/>
      <c r="D733" s="32"/>
      <c r="E733" s="32"/>
      <c r="F733" s="32"/>
    </row>
    <row r="734" spans="1:6" x14ac:dyDescent="0.25">
      <c r="A734" s="32"/>
      <c r="B734" s="32"/>
      <c r="C734" s="32"/>
      <c r="D734" s="32"/>
      <c r="E734" s="32"/>
      <c r="F734" s="32"/>
    </row>
    <row r="735" spans="1:6" x14ac:dyDescent="0.25">
      <c r="A735" s="32"/>
      <c r="B735" s="32"/>
      <c r="C735" s="32"/>
      <c r="D735" s="32"/>
      <c r="E735" s="32"/>
      <c r="F735" s="32"/>
    </row>
    <row r="736" spans="1:6" x14ac:dyDescent="0.25">
      <c r="A736" s="32"/>
      <c r="B736" s="32"/>
      <c r="C736" s="32"/>
      <c r="D736" s="32"/>
      <c r="E736" s="32"/>
      <c r="F736" s="32"/>
    </row>
    <row r="737" spans="1:6" x14ac:dyDescent="0.25">
      <c r="A737" s="32"/>
      <c r="B737" s="32"/>
      <c r="C737" s="32"/>
      <c r="D737" s="32"/>
      <c r="E737" s="32"/>
      <c r="F737" s="32"/>
    </row>
    <row r="738" spans="1:6" x14ac:dyDescent="0.25">
      <c r="A738" s="32"/>
      <c r="B738" s="32"/>
      <c r="C738" s="32"/>
      <c r="D738" s="32"/>
      <c r="E738" s="32"/>
      <c r="F738" s="32"/>
    </row>
    <row r="739" spans="1:6" x14ac:dyDescent="0.25">
      <c r="A739" s="32"/>
      <c r="B739" s="32"/>
      <c r="C739" s="32"/>
      <c r="D739" s="32"/>
      <c r="E739" s="32"/>
      <c r="F739" s="32"/>
    </row>
    <row r="740" spans="1:6" x14ac:dyDescent="0.25">
      <c r="A740" s="32"/>
      <c r="B740" s="32"/>
      <c r="C740" s="32"/>
      <c r="D740" s="32"/>
      <c r="E740" s="32"/>
      <c r="F740" s="32"/>
    </row>
    <row r="741" spans="1:6" x14ac:dyDescent="0.25">
      <c r="A741" s="32"/>
      <c r="B741" s="32"/>
      <c r="C741" s="32"/>
      <c r="D741" s="32"/>
      <c r="E741" s="32"/>
      <c r="F741" s="32"/>
    </row>
    <row r="742" spans="1:6" x14ac:dyDescent="0.25">
      <c r="A742" s="32"/>
      <c r="B742" s="32"/>
      <c r="C742" s="32"/>
      <c r="D742" s="32"/>
      <c r="E742" s="32"/>
      <c r="F742" s="32"/>
    </row>
    <row r="743" spans="1:6" x14ac:dyDescent="0.25">
      <c r="A743" s="32"/>
      <c r="B743" s="32"/>
      <c r="C743" s="32"/>
      <c r="D743" s="32"/>
      <c r="E743" s="32"/>
      <c r="F743" s="32"/>
    </row>
    <row r="744" spans="1:6" x14ac:dyDescent="0.25">
      <c r="A744" s="32"/>
      <c r="B744" s="32"/>
      <c r="C744" s="32"/>
      <c r="D744" s="32"/>
      <c r="E744" s="32"/>
      <c r="F744" s="32"/>
    </row>
    <row r="745" spans="1:6" x14ac:dyDescent="0.25">
      <c r="A745" s="32"/>
      <c r="B745" s="32"/>
      <c r="C745" s="32"/>
      <c r="D745" s="32"/>
      <c r="E745" s="32"/>
      <c r="F745" s="32"/>
    </row>
    <row r="746" spans="1:6" x14ac:dyDescent="0.25">
      <c r="A746" s="32"/>
      <c r="B746" s="32"/>
      <c r="C746" s="32"/>
      <c r="D746" s="32"/>
      <c r="E746" s="32"/>
      <c r="F746" s="32"/>
    </row>
    <row r="747" spans="1:6" x14ac:dyDescent="0.25">
      <c r="A747" s="32"/>
      <c r="B747" s="32"/>
      <c r="C747" s="32"/>
      <c r="D747" s="32"/>
      <c r="E747" s="32"/>
      <c r="F747" s="32"/>
    </row>
    <row r="748" spans="1:6" x14ac:dyDescent="0.25">
      <c r="A748" s="32"/>
      <c r="B748" s="32"/>
      <c r="C748" s="32"/>
      <c r="D748" s="32"/>
      <c r="E748" s="32"/>
      <c r="F748" s="32"/>
    </row>
    <row r="749" spans="1:6" x14ac:dyDescent="0.25">
      <c r="A749" s="32"/>
      <c r="B749" s="32"/>
      <c r="C749" s="32"/>
      <c r="D749" s="32"/>
      <c r="E749" s="32"/>
      <c r="F749" s="32"/>
    </row>
    <row r="750" spans="1:6" x14ac:dyDescent="0.25">
      <c r="A750" s="32"/>
      <c r="B750" s="32"/>
      <c r="C750" s="32"/>
      <c r="D750" s="32"/>
      <c r="E750" s="32"/>
      <c r="F750" s="32"/>
    </row>
    <row r="751" spans="1:6" x14ac:dyDescent="0.25">
      <c r="A751" s="32"/>
      <c r="B751" s="32"/>
      <c r="C751" s="32"/>
      <c r="D751" s="32"/>
      <c r="E751" s="32"/>
      <c r="F751" s="32"/>
    </row>
    <row r="752" spans="1:6" x14ac:dyDescent="0.25">
      <c r="A752" s="32"/>
      <c r="B752" s="32"/>
      <c r="C752" s="32"/>
      <c r="D752" s="32"/>
      <c r="E752" s="32"/>
      <c r="F752" s="32"/>
    </row>
    <row r="753" spans="1:6" x14ac:dyDescent="0.25">
      <c r="A753" s="32"/>
      <c r="B753" s="32"/>
      <c r="C753" s="32"/>
      <c r="D753" s="32"/>
      <c r="E753" s="32"/>
      <c r="F753" s="32"/>
    </row>
    <row r="754" spans="1:6" x14ac:dyDescent="0.25">
      <c r="A754" s="32"/>
      <c r="B754" s="32"/>
      <c r="C754" s="32"/>
      <c r="D754" s="32"/>
      <c r="E754" s="32"/>
      <c r="F754" s="32"/>
    </row>
    <row r="755" spans="1:6" x14ac:dyDescent="0.25">
      <c r="A755" s="32"/>
      <c r="B755" s="32"/>
      <c r="C755" s="32"/>
      <c r="D755" s="32"/>
      <c r="E755" s="32"/>
      <c r="F755" s="32"/>
    </row>
    <row r="756" spans="1:6" x14ac:dyDescent="0.25">
      <c r="A756" s="32"/>
      <c r="B756" s="32"/>
      <c r="C756" s="32"/>
      <c r="D756" s="32"/>
      <c r="E756" s="32"/>
      <c r="F756" s="32"/>
    </row>
    <row r="757" spans="1:6" x14ac:dyDescent="0.25">
      <c r="A757" s="32"/>
      <c r="B757" s="32"/>
      <c r="C757" s="32"/>
      <c r="D757" s="32"/>
      <c r="E757" s="32"/>
      <c r="F757" s="32"/>
    </row>
    <row r="758" spans="1:6" x14ac:dyDescent="0.25">
      <c r="A758" s="32"/>
      <c r="B758" s="32"/>
      <c r="C758" s="32"/>
      <c r="D758" s="32"/>
      <c r="E758" s="32"/>
      <c r="F758" s="32"/>
    </row>
    <row r="759" spans="1:6" x14ac:dyDescent="0.25">
      <c r="A759" s="32"/>
      <c r="B759" s="32"/>
      <c r="C759" s="32"/>
      <c r="D759" s="32"/>
      <c r="E759" s="32"/>
      <c r="F759" s="32"/>
    </row>
    <row r="760" spans="1:6" x14ac:dyDescent="0.25">
      <c r="A760" s="32"/>
      <c r="B760" s="32"/>
      <c r="C760" s="32"/>
      <c r="D760" s="32"/>
      <c r="E760" s="32"/>
      <c r="F760" s="32"/>
    </row>
    <row r="761" spans="1:6" x14ac:dyDescent="0.25">
      <c r="A761" s="32"/>
      <c r="B761" s="32"/>
      <c r="C761" s="32"/>
      <c r="D761" s="32"/>
      <c r="E761" s="32"/>
      <c r="F761" s="32"/>
    </row>
    <row r="762" spans="1:6" x14ac:dyDescent="0.25">
      <c r="A762" s="32"/>
      <c r="B762" s="32"/>
      <c r="C762" s="32"/>
      <c r="D762" s="32"/>
      <c r="E762" s="32"/>
      <c r="F762" s="32"/>
    </row>
    <row r="763" spans="1:6" x14ac:dyDescent="0.25">
      <c r="A763" s="32"/>
      <c r="B763" s="32"/>
      <c r="C763" s="32"/>
      <c r="D763" s="32"/>
      <c r="E763" s="32"/>
      <c r="F763" s="32"/>
    </row>
    <row r="764" spans="1:6" x14ac:dyDescent="0.25">
      <c r="A764" s="32"/>
      <c r="B764" s="32"/>
      <c r="C764" s="32"/>
      <c r="D764" s="32"/>
      <c r="E764" s="32"/>
      <c r="F764" s="32"/>
    </row>
    <row r="765" spans="1:6" x14ac:dyDescent="0.25">
      <c r="A765" s="32"/>
      <c r="B765" s="32"/>
      <c r="C765" s="32"/>
      <c r="D765" s="32"/>
      <c r="E765" s="32"/>
      <c r="F765" s="32"/>
    </row>
    <row r="766" spans="1:6" x14ac:dyDescent="0.25">
      <c r="A766" s="32"/>
      <c r="B766" s="32"/>
      <c r="C766" s="32"/>
      <c r="D766" s="32"/>
      <c r="E766" s="32"/>
      <c r="F766" s="32"/>
    </row>
    <row r="767" spans="1:6" x14ac:dyDescent="0.25">
      <c r="A767" s="32"/>
      <c r="B767" s="32"/>
      <c r="C767" s="32"/>
      <c r="D767" s="32"/>
      <c r="E767" s="32"/>
      <c r="F767" s="32"/>
    </row>
    <row r="768" spans="1:6" x14ac:dyDescent="0.25">
      <c r="A768" s="32"/>
      <c r="B768" s="32"/>
      <c r="C768" s="32"/>
      <c r="D768" s="32"/>
      <c r="E768" s="32"/>
      <c r="F768" s="32"/>
    </row>
    <row r="769" spans="1:6" x14ac:dyDescent="0.25">
      <c r="A769" s="32"/>
      <c r="B769" s="32"/>
      <c r="C769" s="32"/>
      <c r="D769" s="32"/>
      <c r="E769" s="32"/>
      <c r="F769" s="32"/>
    </row>
    <row r="770" spans="1:6" x14ac:dyDescent="0.25">
      <c r="A770" s="32"/>
      <c r="B770" s="32"/>
      <c r="C770" s="32"/>
      <c r="D770" s="32"/>
      <c r="E770" s="32"/>
      <c r="F770" s="32"/>
    </row>
    <row r="771" spans="1:6" x14ac:dyDescent="0.25">
      <c r="A771" s="32"/>
      <c r="B771" s="32"/>
      <c r="C771" s="32"/>
      <c r="D771" s="32"/>
      <c r="E771" s="32"/>
      <c r="F771" s="32"/>
    </row>
    <row r="772" spans="1:6" x14ac:dyDescent="0.25">
      <c r="A772" s="32"/>
      <c r="B772" s="32"/>
      <c r="C772" s="32"/>
      <c r="D772" s="32"/>
      <c r="E772" s="32"/>
      <c r="F772" s="32"/>
    </row>
    <row r="773" spans="1:6" x14ac:dyDescent="0.25">
      <c r="A773" s="32"/>
      <c r="B773" s="32"/>
      <c r="C773" s="32"/>
      <c r="D773" s="32"/>
      <c r="E773" s="32"/>
      <c r="F773" s="32"/>
    </row>
    <row r="774" spans="1:6" x14ac:dyDescent="0.25">
      <c r="A774" s="32"/>
      <c r="B774" s="32"/>
      <c r="C774" s="32"/>
      <c r="D774" s="32"/>
      <c r="E774" s="32"/>
      <c r="F774" s="32"/>
    </row>
    <row r="775" spans="1:6" x14ac:dyDescent="0.25">
      <c r="A775" s="32"/>
      <c r="B775" s="32"/>
      <c r="C775" s="32"/>
      <c r="D775" s="32"/>
      <c r="E775" s="32"/>
      <c r="F775" s="32"/>
    </row>
    <row r="776" spans="1:6" x14ac:dyDescent="0.25">
      <c r="A776" s="32"/>
      <c r="B776" s="32"/>
      <c r="C776" s="32"/>
      <c r="D776" s="32"/>
      <c r="E776" s="32"/>
      <c r="F776" s="32"/>
    </row>
    <row r="777" spans="1:6" x14ac:dyDescent="0.25">
      <c r="A777" s="32"/>
      <c r="B777" s="32"/>
      <c r="C777" s="32"/>
      <c r="D777" s="32"/>
      <c r="E777" s="32"/>
      <c r="F777" s="32"/>
    </row>
    <row r="778" spans="1:6" x14ac:dyDescent="0.25">
      <c r="A778" s="32"/>
      <c r="B778" s="32"/>
      <c r="C778" s="32"/>
      <c r="D778" s="32"/>
      <c r="E778" s="32"/>
      <c r="F778" s="32"/>
    </row>
    <row r="779" spans="1:6" x14ac:dyDescent="0.25">
      <c r="A779" s="32"/>
      <c r="B779" s="32"/>
      <c r="C779" s="32"/>
      <c r="D779" s="32"/>
      <c r="E779" s="32"/>
      <c r="F779" s="32"/>
    </row>
    <row r="780" spans="1:6" x14ac:dyDescent="0.25">
      <c r="A780" s="32"/>
      <c r="B780" s="32"/>
      <c r="C780" s="32"/>
      <c r="D780" s="32"/>
      <c r="E780" s="32"/>
      <c r="F780" s="32"/>
    </row>
    <row r="781" spans="1:6" x14ac:dyDescent="0.25">
      <c r="A781" s="32"/>
      <c r="B781" s="32"/>
      <c r="C781" s="32"/>
      <c r="D781" s="32"/>
      <c r="E781" s="32"/>
      <c r="F781" s="32"/>
    </row>
    <row r="782" spans="1:6" x14ac:dyDescent="0.25">
      <c r="A782" s="32"/>
      <c r="B782" s="32"/>
      <c r="C782" s="32"/>
      <c r="D782" s="32"/>
      <c r="E782" s="32"/>
      <c r="F782" s="32"/>
    </row>
    <row r="783" spans="1:6" x14ac:dyDescent="0.25">
      <c r="A783" s="32"/>
      <c r="B783" s="32"/>
      <c r="C783" s="32"/>
      <c r="D783" s="32"/>
      <c r="E783" s="32"/>
      <c r="F783" s="32"/>
    </row>
    <row r="784" spans="1:6" x14ac:dyDescent="0.25">
      <c r="A784" s="32"/>
      <c r="B784" s="32"/>
      <c r="C784" s="32"/>
      <c r="D784" s="32"/>
      <c r="E784" s="32"/>
      <c r="F784" s="32"/>
    </row>
    <row r="785" spans="1:6" x14ac:dyDescent="0.25">
      <c r="A785" s="32"/>
      <c r="B785" s="32"/>
      <c r="C785" s="32"/>
      <c r="D785" s="32"/>
      <c r="E785" s="32"/>
      <c r="F785" s="32"/>
    </row>
    <row r="786" spans="1:6" x14ac:dyDescent="0.25">
      <c r="A786" s="32"/>
      <c r="B786" s="32"/>
      <c r="C786" s="32"/>
      <c r="D786" s="32"/>
      <c r="E786" s="32"/>
      <c r="F786" s="32"/>
    </row>
    <row r="787" spans="1:6" x14ac:dyDescent="0.25">
      <c r="A787" s="32"/>
      <c r="B787" s="32"/>
      <c r="C787" s="32"/>
      <c r="D787" s="32"/>
      <c r="E787" s="32"/>
      <c r="F787" s="32"/>
    </row>
    <row r="788" spans="1:6" x14ac:dyDescent="0.25">
      <c r="A788" s="32"/>
      <c r="B788" s="32"/>
      <c r="C788" s="32"/>
      <c r="D788" s="32"/>
      <c r="E788" s="32"/>
      <c r="F788" s="32"/>
    </row>
    <row r="789" spans="1:6" x14ac:dyDescent="0.25">
      <c r="A789" s="32"/>
      <c r="B789" s="32"/>
      <c r="C789" s="32"/>
      <c r="D789" s="32"/>
      <c r="E789" s="32"/>
      <c r="F789" s="32"/>
    </row>
    <row r="790" spans="1:6" x14ac:dyDescent="0.25">
      <c r="A790" s="32"/>
      <c r="B790" s="32"/>
      <c r="C790" s="32"/>
      <c r="D790" s="32"/>
      <c r="E790" s="32"/>
      <c r="F790" s="32"/>
    </row>
    <row r="791" spans="1:6" x14ac:dyDescent="0.25">
      <c r="A791" s="32"/>
      <c r="B791" s="32"/>
      <c r="C791" s="32"/>
      <c r="D791" s="32"/>
      <c r="E791" s="32"/>
      <c r="F791" s="32"/>
    </row>
    <row r="792" spans="1:6" x14ac:dyDescent="0.25">
      <c r="A792" s="32"/>
      <c r="B792" s="32"/>
      <c r="C792" s="32"/>
      <c r="D792" s="32"/>
      <c r="E792" s="32"/>
      <c r="F792" s="32"/>
    </row>
    <row r="793" spans="1:6" x14ac:dyDescent="0.25">
      <c r="A793" s="32"/>
      <c r="B793" s="32"/>
      <c r="C793" s="32"/>
      <c r="D793" s="32"/>
      <c r="E793" s="32"/>
      <c r="F793" s="32"/>
    </row>
    <row r="794" spans="1:6" x14ac:dyDescent="0.25">
      <c r="A794" s="32"/>
      <c r="B794" s="32"/>
      <c r="C794" s="32"/>
      <c r="D794" s="32"/>
      <c r="E794" s="32"/>
      <c r="F794" s="32"/>
    </row>
    <row r="795" spans="1:6" x14ac:dyDescent="0.25">
      <c r="A795" s="32"/>
      <c r="B795" s="32"/>
      <c r="C795" s="32"/>
      <c r="D795" s="32"/>
      <c r="E795" s="32"/>
      <c r="F795" s="32"/>
    </row>
    <row r="796" spans="1:6" x14ac:dyDescent="0.25">
      <c r="A796" s="32"/>
      <c r="B796" s="32"/>
      <c r="C796" s="32"/>
      <c r="D796" s="32"/>
      <c r="E796" s="32"/>
      <c r="F796" s="32"/>
    </row>
    <row r="797" spans="1:6" x14ac:dyDescent="0.25">
      <c r="A797" s="32"/>
      <c r="B797" s="32"/>
      <c r="C797" s="32"/>
      <c r="D797" s="32"/>
      <c r="E797" s="32"/>
      <c r="F797" s="32"/>
    </row>
    <row r="798" spans="1:6" x14ac:dyDescent="0.25">
      <c r="A798" s="32"/>
      <c r="B798" s="32"/>
      <c r="C798" s="32"/>
      <c r="D798" s="32"/>
      <c r="E798" s="32"/>
      <c r="F798" s="32"/>
    </row>
    <row r="799" spans="1:6" x14ac:dyDescent="0.25">
      <c r="A799" s="32"/>
      <c r="B799" s="32"/>
      <c r="C799" s="32"/>
      <c r="D799" s="32"/>
      <c r="E799" s="32"/>
      <c r="F799" s="32"/>
    </row>
    <row r="800" spans="1:6" x14ac:dyDescent="0.25">
      <c r="A800" s="32"/>
      <c r="B800" s="32"/>
      <c r="C800" s="32"/>
      <c r="D800" s="32"/>
      <c r="E800" s="32"/>
      <c r="F800" s="32"/>
    </row>
    <row r="801" spans="1:6" x14ac:dyDescent="0.25">
      <c r="A801" s="32"/>
      <c r="B801" s="32"/>
      <c r="C801" s="32"/>
      <c r="D801" s="32"/>
      <c r="E801" s="32"/>
      <c r="F801" s="32"/>
    </row>
    <row r="802" spans="1:6" x14ac:dyDescent="0.25">
      <c r="A802" s="32"/>
      <c r="B802" s="32"/>
      <c r="C802" s="32"/>
      <c r="D802" s="32"/>
      <c r="E802" s="32"/>
      <c r="F802" s="32"/>
    </row>
    <row r="803" spans="1:6" x14ac:dyDescent="0.25">
      <c r="A803" s="32"/>
      <c r="B803" s="32"/>
      <c r="C803" s="32"/>
      <c r="D803" s="32"/>
      <c r="E803" s="32"/>
      <c r="F803" s="32"/>
    </row>
    <row r="804" spans="1:6" x14ac:dyDescent="0.25">
      <c r="A804" s="32"/>
      <c r="B804" s="32"/>
      <c r="C804" s="32"/>
      <c r="D804" s="32"/>
      <c r="E804" s="32"/>
      <c r="F804" s="32"/>
    </row>
    <row r="805" spans="1:6" x14ac:dyDescent="0.25">
      <c r="A805" s="32"/>
      <c r="B805" s="32"/>
      <c r="C805" s="32"/>
      <c r="D805" s="32"/>
      <c r="E805" s="32"/>
      <c r="F805" s="32"/>
    </row>
    <row r="806" spans="1:6" x14ac:dyDescent="0.25">
      <c r="A806" s="32"/>
      <c r="B806" s="32"/>
      <c r="C806" s="32"/>
      <c r="D806" s="32"/>
      <c r="E806" s="32"/>
      <c r="F806" s="32"/>
    </row>
    <row r="807" spans="1:6" x14ac:dyDescent="0.25">
      <c r="A807" s="32"/>
      <c r="B807" s="32"/>
      <c r="C807" s="32"/>
      <c r="D807" s="32"/>
      <c r="E807" s="32"/>
      <c r="F807" s="32"/>
    </row>
    <row r="808" spans="1:6" x14ac:dyDescent="0.25">
      <c r="A808" s="32"/>
      <c r="B808" s="32"/>
      <c r="C808" s="32"/>
      <c r="D808" s="32"/>
      <c r="E808" s="32"/>
      <c r="F808" s="32"/>
    </row>
    <row r="809" spans="1:6" x14ac:dyDescent="0.25">
      <c r="A809" s="32"/>
      <c r="B809" s="32"/>
      <c r="C809" s="32"/>
      <c r="D809" s="32"/>
      <c r="E809" s="32"/>
      <c r="F809" s="32"/>
    </row>
    <row r="810" spans="1:6" x14ac:dyDescent="0.25">
      <c r="A810" s="32"/>
      <c r="B810" s="32"/>
      <c r="C810" s="32"/>
      <c r="D810" s="32"/>
      <c r="E810" s="32"/>
      <c r="F810" s="32"/>
    </row>
    <row r="811" spans="1:6" x14ac:dyDescent="0.25">
      <c r="A811" s="32"/>
      <c r="B811" s="32"/>
      <c r="C811" s="32"/>
      <c r="D811" s="32"/>
      <c r="E811" s="32"/>
      <c r="F811" s="32"/>
    </row>
    <row r="812" spans="1:6" x14ac:dyDescent="0.25">
      <c r="A812" s="32"/>
      <c r="B812" s="32"/>
      <c r="C812" s="32"/>
      <c r="D812" s="32"/>
      <c r="E812" s="32"/>
      <c r="F812" s="32"/>
    </row>
    <row r="813" spans="1:6" x14ac:dyDescent="0.25">
      <c r="A813" s="32"/>
      <c r="B813" s="32"/>
      <c r="C813" s="32"/>
      <c r="D813" s="32"/>
      <c r="E813" s="32"/>
      <c r="F813" s="32"/>
    </row>
    <row r="814" spans="1:6" x14ac:dyDescent="0.25">
      <c r="A814" s="32"/>
      <c r="B814" s="32"/>
      <c r="C814" s="32"/>
      <c r="D814" s="32"/>
      <c r="E814" s="32"/>
      <c r="F814" s="32"/>
    </row>
    <row r="815" spans="1:6" x14ac:dyDescent="0.25">
      <c r="A815" s="32"/>
      <c r="B815" s="32"/>
      <c r="C815" s="32"/>
      <c r="D815" s="32"/>
      <c r="E815" s="32"/>
      <c r="F815" s="32"/>
    </row>
    <row r="816" spans="1:6" x14ac:dyDescent="0.25">
      <c r="A816" s="32"/>
      <c r="B816" s="32"/>
      <c r="C816" s="32"/>
      <c r="D816" s="32"/>
      <c r="E816" s="32"/>
      <c r="F816" s="32"/>
    </row>
    <row r="817" spans="1:6" x14ac:dyDescent="0.25">
      <c r="A817" s="32"/>
      <c r="B817" s="32"/>
      <c r="C817" s="32"/>
      <c r="D817" s="32"/>
      <c r="E817" s="32"/>
      <c r="F817" s="32"/>
    </row>
    <row r="818" spans="1:6" x14ac:dyDescent="0.25">
      <c r="A818" s="32"/>
      <c r="B818" s="32"/>
      <c r="C818" s="32"/>
      <c r="D818" s="32"/>
      <c r="E818" s="32"/>
      <c r="F818" s="32"/>
    </row>
    <row r="819" spans="1:6" x14ac:dyDescent="0.25">
      <c r="A819" s="32"/>
      <c r="B819" s="32"/>
      <c r="C819" s="32"/>
      <c r="D819" s="32"/>
      <c r="E819" s="32"/>
      <c r="F819" s="32"/>
    </row>
    <row r="820" spans="1:6" x14ac:dyDescent="0.25">
      <c r="A820" s="32"/>
      <c r="B820" s="32"/>
      <c r="C820" s="32"/>
      <c r="D820" s="32"/>
      <c r="E820" s="32"/>
      <c r="F820" s="32"/>
    </row>
    <row r="821" spans="1:6" x14ac:dyDescent="0.25">
      <c r="A821" s="32"/>
      <c r="B821" s="32"/>
      <c r="C821" s="32"/>
      <c r="D821" s="32"/>
      <c r="E821" s="32"/>
      <c r="F821" s="32"/>
    </row>
    <row r="822" spans="1:6" x14ac:dyDescent="0.25">
      <c r="A822" s="32"/>
      <c r="B822" s="32"/>
      <c r="C822" s="32"/>
      <c r="D822" s="32"/>
      <c r="E822" s="32"/>
      <c r="F822" s="32"/>
    </row>
    <row r="823" spans="1:6" x14ac:dyDescent="0.25">
      <c r="A823" s="32"/>
      <c r="B823" s="32"/>
      <c r="C823" s="32"/>
      <c r="D823" s="32"/>
      <c r="E823" s="32"/>
      <c r="F823" s="32"/>
    </row>
    <row r="824" spans="1:6" x14ac:dyDescent="0.25">
      <c r="A824" s="32"/>
      <c r="B824" s="32"/>
      <c r="C824" s="32"/>
      <c r="D824" s="32"/>
      <c r="E824" s="32"/>
      <c r="F824" s="32"/>
    </row>
    <row r="825" spans="1:6" x14ac:dyDescent="0.25">
      <c r="A825" s="32"/>
      <c r="B825" s="32"/>
      <c r="C825" s="32"/>
      <c r="D825" s="32"/>
      <c r="E825" s="32"/>
      <c r="F825" s="32"/>
    </row>
    <row r="826" spans="1:6" x14ac:dyDescent="0.25">
      <c r="A826" s="32"/>
      <c r="B826" s="32"/>
      <c r="C826" s="32"/>
      <c r="D826" s="32"/>
      <c r="E826" s="32"/>
      <c r="F826" s="32"/>
    </row>
    <row r="827" spans="1:6" x14ac:dyDescent="0.25">
      <c r="A827" s="32"/>
      <c r="B827" s="32"/>
      <c r="C827" s="32"/>
      <c r="D827" s="32"/>
      <c r="E827" s="32"/>
      <c r="F827" s="32"/>
    </row>
    <row r="828" spans="1:6" x14ac:dyDescent="0.25">
      <c r="A828" s="32"/>
      <c r="B828" s="32"/>
      <c r="C828" s="32"/>
      <c r="D828" s="32"/>
      <c r="E828" s="32"/>
      <c r="F828" s="32"/>
    </row>
    <row r="829" spans="1:6" x14ac:dyDescent="0.25">
      <c r="A829" s="32"/>
      <c r="B829" s="32"/>
      <c r="C829" s="32"/>
      <c r="D829" s="32"/>
      <c r="E829" s="32"/>
      <c r="F829" s="32"/>
    </row>
    <row r="830" spans="1:6" x14ac:dyDescent="0.25">
      <c r="A830" s="32"/>
      <c r="B830" s="32"/>
      <c r="C830" s="32"/>
      <c r="D830" s="32"/>
      <c r="E830" s="32"/>
      <c r="F830" s="32"/>
    </row>
    <row r="831" spans="1:6" x14ac:dyDescent="0.25">
      <c r="A831" s="32"/>
      <c r="B831" s="32"/>
      <c r="C831" s="32"/>
      <c r="D831" s="32"/>
      <c r="E831" s="32"/>
      <c r="F831" s="32"/>
    </row>
    <row r="832" spans="1:6" x14ac:dyDescent="0.25">
      <c r="A832" s="32"/>
      <c r="B832" s="32"/>
      <c r="C832" s="32"/>
      <c r="D832" s="32"/>
      <c r="E832" s="32"/>
      <c r="F832" s="32"/>
    </row>
    <row r="833" spans="1:6" x14ac:dyDescent="0.25">
      <c r="A833" s="32"/>
      <c r="B833" s="32"/>
      <c r="C833" s="32"/>
      <c r="D833" s="32"/>
      <c r="E833" s="32"/>
      <c r="F833" s="32"/>
    </row>
    <row r="834" spans="1:6" x14ac:dyDescent="0.25">
      <c r="A834" s="32"/>
      <c r="B834" s="32"/>
      <c r="C834" s="32"/>
      <c r="D834" s="32"/>
      <c r="E834" s="32"/>
      <c r="F834" s="32"/>
    </row>
    <row r="835" spans="1:6" x14ac:dyDescent="0.25">
      <c r="A835" s="32"/>
      <c r="B835" s="32"/>
      <c r="C835" s="32"/>
      <c r="D835" s="32"/>
      <c r="E835" s="32"/>
      <c r="F835" s="32"/>
    </row>
    <row r="836" spans="1:6" x14ac:dyDescent="0.25">
      <c r="A836" s="32"/>
      <c r="B836" s="32"/>
      <c r="C836" s="32"/>
      <c r="D836" s="32"/>
      <c r="E836" s="32"/>
      <c r="F836" s="32"/>
    </row>
    <row r="837" spans="1:6" x14ac:dyDescent="0.25">
      <c r="A837" s="32"/>
      <c r="B837" s="32"/>
      <c r="C837" s="32"/>
      <c r="D837" s="32"/>
      <c r="E837" s="32"/>
      <c r="F837" s="32"/>
    </row>
    <row r="838" spans="1:6" x14ac:dyDescent="0.25">
      <c r="A838" s="32"/>
      <c r="B838" s="32"/>
      <c r="C838" s="32"/>
      <c r="D838" s="32"/>
      <c r="E838" s="32"/>
      <c r="F838" s="32"/>
    </row>
    <row r="839" spans="1:6" x14ac:dyDescent="0.25">
      <c r="A839" s="32"/>
      <c r="B839" s="32"/>
      <c r="C839" s="32"/>
      <c r="D839" s="32"/>
      <c r="E839" s="32"/>
      <c r="F839" s="32"/>
    </row>
    <row r="840" spans="1:6" x14ac:dyDescent="0.25">
      <c r="A840" s="32"/>
      <c r="B840" s="32"/>
      <c r="C840" s="32"/>
      <c r="D840" s="32"/>
      <c r="E840" s="32"/>
      <c r="F840" s="32"/>
    </row>
    <row r="841" spans="1:6" x14ac:dyDescent="0.25">
      <c r="A841" s="32"/>
      <c r="B841" s="32"/>
      <c r="C841" s="32"/>
      <c r="D841" s="32"/>
      <c r="E841" s="32"/>
      <c r="F841" s="32"/>
    </row>
    <row r="842" spans="1:6" x14ac:dyDescent="0.25">
      <c r="A842" s="32"/>
      <c r="B842" s="32"/>
      <c r="C842" s="32"/>
      <c r="D842" s="32"/>
      <c r="E842" s="32"/>
      <c r="F842" s="32"/>
    </row>
    <row r="843" spans="1:6" x14ac:dyDescent="0.25">
      <c r="A843" s="32"/>
      <c r="B843" s="32"/>
      <c r="C843" s="32"/>
      <c r="D843" s="32"/>
      <c r="E843" s="32"/>
      <c r="F843" s="32"/>
    </row>
    <row r="844" spans="1:6" x14ac:dyDescent="0.25">
      <c r="A844" s="32"/>
      <c r="B844" s="32"/>
      <c r="C844" s="32"/>
      <c r="D844" s="32"/>
      <c r="E844" s="32"/>
      <c r="F844" s="32"/>
    </row>
    <row r="845" spans="1:6" x14ac:dyDescent="0.25">
      <c r="A845" s="32"/>
      <c r="B845" s="32"/>
      <c r="C845" s="32"/>
      <c r="D845" s="32"/>
      <c r="E845" s="32"/>
      <c r="F845" s="32"/>
    </row>
    <row r="846" spans="1:6" x14ac:dyDescent="0.25">
      <c r="A846" s="32"/>
      <c r="B846" s="32"/>
      <c r="C846" s="32"/>
      <c r="D846" s="32"/>
      <c r="E846" s="32"/>
      <c r="F846" s="32"/>
    </row>
    <row r="847" spans="1:6" x14ac:dyDescent="0.25">
      <c r="A847" s="32"/>
      <c r="B847" s="32"/>
      <c r="C847" s="32"/>
      <c r="D847" s="32"/>
      <c r="E847" s="32"/>
      <c r="F847" s="32"/>
    </row>
    <row r="848" spans="1:6" x14ac:dyDescent="0.25">
      <c r="A848" s="32"/>
      <c r="B848" s="32"/>
      <c r="C848" s="32"/>
      <c r="D848" s="32"/>
      <c r="E848" s="32"/>
      <c r="F848" s="32"/>
    </row>
    <row r="849" spans="1:6" x14ac:dyDescent="0.25">
      <c r="A849" s="32"/>
      <c r="B849" s="32"/>
      <c r="C849" s="32"/>
      <c r="D849" s="32"/>
      <c r="E849" s="32"/>
      <c r="F849" s="32"/>
    </row>
    <row r="850" spans="1:6" x14ac:dyDescent="0.25">
      <c r="A850" s="32"/>
      <c r="B850" s="32"/>
      <c r="C850" s="32"/>
      <c r="D850" s="32"/>
      <c r="E850" s="32"/>
      <c r="F850" s="32"/>
    </row>
    <row r="851" spans="1:6" x14ac:dyDescent="0.25">
      <c r="A851" s="32"/>
      <c r="B851" s="32"/>
      <c r="C851" s="32"/>
      <c r="D851" s="32"/>
      <c r="E851" s="32"/>
      <c r="F851" s="32"/>
    </row>
    <row r="852" spans="1:6" x14ac:dyDescent="0.25">
      <c r="A852" s="32"/>
      <c r="B852" s="32"/>
      <c r="C852" s="32"/>
      <c r="D852" s="32"/>
      <c r="E852" s="32"/>
      <c r="F852" s="32"/>
    </row>
    <row r="853" spans="1:6" x14ac:dyDescent="0.25">
      <c r="A853" s="32"/>
      <c r="B853" s="32"/>
      <c r="C853" s="32"/>
      <c r="D853" s="32"/>
      <c r="E853" s="32"/>
      <c r="F853" s="32"/>
    </row>
    <row r="854" spans="1:6" x14ac:dyDescent="0.25">
      <c r="A854" s="32"/>
      <c r="B854" s="32"/>
      <c r="C854" s="32"/>
      <c r="D854" s="32"/>
      <c r="E854" s="32"/>
      <c r="F854" s="32"/>
    </row>
    <row r="855" spans="1:6" x14ac:dyDescent="0.25">
      <c r="A855" s="32"/>
      <c r="B855" s="32"/>
      <c r="C855" s="32"/>
      <c r="D855" s="32"/>
      <c r="E855" s="32"/>
      <c r="F855" s="32"/>
    </row>
    <row r="856" spans="1:6" x14ac:dyDescent="0.25">
      <c r="A856" s="32"/>
      <c r="B856" s="32"/>
      <c r="C856" s="32"/>
      <c r="D856" s="32"/>
      <c r="E856" s="32"/>
      <c r="F856" s="32"/>
    </row>
    <row r="857" spans="1:6" x14ac:dyDescent="0.25">
      <c r="A857" s="32"/>
      <c r="B857" s="32"/>
      <c r="C857" s="32"/>
      <c r="D857" s="32"/>
      <c r="E857" s="32"/>
      <c r="F857" s="32"/>
    </row>
    <row r="858" spans="1:6" x14ac:dyDescent="0.25">
      <c r="A858" s="32"/>
      <c r="B858" s="32"/>
      <c r="C858" s="32"/>
      <c r="D858" s="32"/>
      <c r="E858" s="32"/>
      <c r="F858" s="32"/>
    </row>
    <row r="859" spans="1:6" x14ac:dyDescent="0.25">
      <c r="A859" s="32"/>
      <c r="B859" s="32"/>
      <c r="C859" s="32"/>
      <c r="D859" s="32"/>
      <c r="E859" s="32"/>
      <c r="F859" s="32"/>
    </row>
    <row r="860" spans="1:6" x14ac:dyDescent="0.25">
      <c r="A860" s="32"/>
      <c r="B860" s="32"/>
      <c r="C860" s="32"/>
      <c r="D860" s="32"/>
      <c r="E860" s="32"/>
      <c r="F860" s="32"/>
    </row>
    <row r="861" spans="1:6" x14ac:dyDescent="0.25">
      <c r="A861" s="32"/>
      <c r="B861" s="32"/>
      <c r="C861" s="32"/>
      <c r="D861" s="32"/>
      <c r="E861" s="32"/>
      <c r="F861" s="32"/>
    </row>
    <row r="862" spans="1:6" x14ac:dyDescent="0.25">
      <c r="A862" s="32"/>
      <c r="B862" s="32"/>
      <c r="C862" s="32"/>
      <c r="D862" s="32"/>
      <c r="E862" s="32"/>
      <c r="F862" s="32"/>
    </row>
    <row r="863" spans="1:6" x14ac:dyDescent="0.25">
      <c r="A863" s="32"/>
      <c r="B863" s="32"/>
      <c r="C863" s="32"/>
      <c r="D863" s="32"/>
      <c r="E863" s="32"/>
      <c r="F863" s="32"/>
    </row>
    <row r="864" spans="1:6" x14ac:dyDescent="0.25">
      <c r="A864" s="32"/>
      <c r="B864" s="32"/>
      <c r="C864" s="32"/>
      <c r="D864" s="32"/>
      <c r="E864" s="32"/>
      <c r="F864" s="32"/>
    </row>
    <row r="865" spans="1:6" x14ac:dyDescent="0.25">
      <c r="A865" s="32"/>
      <c r="B865" s="32"/>
      <c r="C865" s="32"/>
      <c r="D865" s="32"/>
      <c r="E865" s="32"/>
      <c r="F865" s="32"/>
    </row>
    <row r="866" spans="1:6" x14ac:dyDescent="0.25">
      <c r="A866" s="32"/>
      <c r="B866" s="32"/>
      <c r="C866" s="32"/>
      <c r="D866" s="32"/>
      <c r="E866" s="32"/>
      <c r="F866" s="32"/>
    </row>
    <row r="867" spans="1:6" x14ac:dyDescent="0.25">
      <c r="A867" s="32"/>
      <c r="B867" s="32"/>
      <c r="C867" s="32"/>
      <c r="D867" s="32"/>
      <c r="E867" s="32"/>
      <c r="F867" s="32"/>
    </row>
    <row r="868" spans="1:6" x14ac:dyDescent="0.25">
      <c r="A868" s="32"/>
      <c r="B868" s="32"/>
      <c r="C868" s="32"/>
      <c r="D868" s="32"/>
      <c r="E868" s="32"/>
      <c r="F868" s="32"/>
    </row>
    <row r="869" spans="1:6" x14ac:dyDescent="0.25">
      <c r="A869" s="32"/>
      <c r="B869" s="32"/>
      <c r="C869" s="32"/>
      <c r="D869" s="32"/>
      <c r="E869" s="32"/>
      <c r="F869" s="32"/>
    </row>
    <row r="870" spans="1:6" x14ac:dyDescent="0.25">
      <c r="A870" s="32"/>
      <c r="B870" s="32"/>
      <c r="C870" s="32"/>
      <c r="D870" s="32"/>
      <c r="E870" s="32"/>
      <c r="F870" s="32"/>
    </row>
    <row r="871" spans="1:6" x14ac:dyDescent="0.25">
      <c r="A871" s="32"/>
      <c r="B871" s="32"/>
      <c r="C871" s="32"/>
      <c r="D871" s="32"/>
      <c r="E871" s="32"/>
      <c r="F871" s="32"/>
    </row>
    <row r="872" spans="1:6" x14ac:dyDescent="0.25">
      <c r="A872" s="32"/>
      <c r="B872" s="32"/>
      <c r="C872" s="32"/>
      <c r="D872" s="32"/>
      <c r="E872" s="32"/>
      <c r="F872" s="32"/>
    </row>
    <row r="873" spans="1:6" x14ac:dyDescent="0.25">
      <c r="A873" s="32"/>
      <c r="B873" s="32"/>
      <c r="C873" s="32"/>
      <c r="D873" s="32"/>
      <c r="E873" s="32"/>
      <c r="F873" s="32"/>
    </row>
    <row r="874" spans="1:6" x14ac:dyDescent="0.25">
      <c r="A874" s="32"/>
      <c r="B874" s="32"/>
      <c r="C874" s="32"/>
      <c r="D874" s="32"/>
      <c r="E874" s="32"/>
      <c r="F874" s="32"/>
    </row>
    <row r="875" spans="1:6" x14ac:dyDescent="0.25">
      <c r="A875" s="32"/>
      <c r="B875" s="32"/>
      <c r="C875" s="32"/>
      <c r="D875" s="32"/>
      <c r="E875" s="32"/>
      <c r="F875" s="32"/>
    </row>
    <row r="876" spans="1:6" x14ac:dyDescent="0.25">
      <c r="A876" s="32"/>
      <c r="B876" s="32"/>
      <c r="C876" s="32"/>
      <c r="D876" s="32"/>
      <c r="E876" s="32"/>
      <c r="F876" s="32"/>
    </row>
    <row r="877" spans="1:6" x14ac:dyDescent="0.25">
      <c r="A877" s="32"/>
      <c r="B877" s="32"/>
      <c r="C877" s="32"/>
      <c r="D877" s="32"/>
      <c r="E877" s="32"/>
      <c r="F877" s="32"/>
    </row>
    <row r="878" spans="1:6" x14ac:dyDescent="0.25">
      <c r="A878" s="32"/>
      <c r="B878" s="32"/>
      <c r="C878" s="32"/>
      <c r="D878" s="32"/>
      <c r="E878" s="32"/>
      <c r="F878" s="32"/>
    </row>
    <row r="879" spans="1:6" x14ac:dyDescent="0.25">
      <c r="A879" s="32"/>
      <c r="B879" s="32"/>
      <c r="C879" s="32"/>
      <c r="D879" s="32"/>
      <c r="E879" s="32"/>
      <c r="F879" s="32"/>
    </row>
    <row r="880" spans="1:6" x14ac:dyDescent="0.25">
      <c r="A880" s="32"/>
      <c r="B880" s="32"/>
      <c r="C880" s="32"/>
      <c r="D880" s="32"/>
      <c r="E880" s="32"/>
      <c r="F880" s="32"/>
    </row>
    <row r="881" spans="1:6" x14ac:dyDescent="0.25">
      <c r="A881" s="32"/>
      <c r="B881" s="32"/>
      <c r="C881" s="32"/>
      <c r="D881" s="32"/>
      <c r="E881" s="32"/>
      <c r="F881" s="32"/>
    </row>
    <row r="882" spans="1:6" x14ac:dyDescent="0.25">
      <c r="A882" s="32"/>
      <c r="B882" s="32"/>
      <c r="C882" s="32"/>
      <c r="D882" s="32"/>
      <c r="E882" s="32"/>
      <c r="F882" s="32"/>
    </row>
    <row r="883" spans="1:6" x14ac:dyDescent="0.25">
      <c r="A883" s="32"/>
      <c r="B883" s="32"/>
      <c r="C883" s="32"/>
      <c r="D883" s="32"/>
      <c r="E883" s="32"/>
      <c r="F883" s="32"/>
    </row>
    <row r="884" spans="1:6" x14ac:dyDescent="0.25">
      <c r="A884" s="32"/>
      <c r="B884" s="32"/>
      <c r="C884" s="32"/>
      <c r="D884" s="32"/>
      <c r="E884" s="32"/>
      <c r="F884" s="32"/>
    </row>
    <row r="885" spans="1:6" x14ac:dyDescent="0.25">
      <c r="A885" s="32"/>
      <c r="B885" s="32"/>
      <c r="C885" s="32"/>
      <c r="D885" s="32"/>
      <c r="E885" s="32"/>
      <c r="F885" s="32"/>
    </row>
    <row r="886" spans="1:6" x14ac:dyDescent="0.25">
      <c r="A886" s="32"/>
      <c r="B886" s="32"/>
      <c r="C886" s="32"/>
      <c r="D886" s="32"/>
      <c r="E886" s="32"/>
      <c r="F886" s="32"/>
    </row>
    <row r="887" spans="1:6" x14ac:dyDescent="0.25">
      <c r="A887" s="32"/>
      <c r="B887" s="32"/>
      <c r="C887" s="32"/>
      <c r="D887" s="32"/>
      <c r="E887" s="32"/>
      <c r="F887" s="32"/>
    </row>
    <row r="888" spans="1:6" x14ac:dyDescent="0.25">
      <c r="A888" s="32"/>
      <c r="B888" s="32"/>
      <c r="C888" s="32"/>
      <c r="D888" s="32"/>
      <c r="E888" s="32"/>
      <c r="F888" s="32"/>
    </row>
    <row r="889" spans="1:6" x14ac:dyDescent="0.25">
      <c r="A889" s="32"/>
      <c r="B889" s="32"/>
      <c r="C889" s="32"/>
      <c r="D889" s="32"/>
      <c r="E889" s="32"/>
      <c r="F889" s="32"/>
    </row>
    <row r="890" spans="1:6" x14ac:dyDescent="0.25">
      <c r="A890" s="32"/>
      <c r="B890" s="32"/>
      <c r="C890" s="32"/>
      <c r="D890" s="32"/>
      <c r="E890" s="32"/>
      <c r="F890" s="32"/>
    </row>
    <row r="891" spans="1:6" x14ac:dyDescent="0.25">
      <c r="A891" s="32"/>
      <c r="B891" s="32"/>
      <c r="C891" s="32"/>
      <c r="D891" s="32"/>
      <c r="E891" s="32"/>
      <c r="F891" s="32"/>
    </row>
    <row r="892" spans="1:6" x14ac:dyDescent="0.25">
      <c r="A892" s="32"/>
      <c r="B892" s="32"/>
      <c r="C892" s="32"/>
      <c r="D892" s="32"/>
      <c r="E892" s="32"/>
      <c r="F892" s="32"/>
    </row>
    <row r="893" spans="1:6" x14ac:dyDescent="0.25">
      <c r="A893" s="32"/>
      <c r="B893" s="32"/>
      <c r="C893" s="32"/>
      <c r="D893" s="32"/>
      <c r="E893" s="32"/>
      <c r="F893" s="32"/>
    </row>
    <row r="894" spans="1:6" x14ac:dyDescent="0.25">
      <c r="A894" s="32"/>
      <c r="B894" s="32"/>
      <c r="C894" s="32"/>
      <c r="D894" s="32"/>
      <c r="E894" s="32"/>
      <c r="F894" s="32"/>
    </row>
    <row r="895" spans="1:6" x14ac:dyDescent="0.25">
      <c r="A895" s="32"/>
      <c r="B895" s="32"/>
      <c r="C895" s="32"/>
      <c r="D895" s="32"/>
      <c r="E895" s="32"/>
      <c r="F895" s="32"/>
    </row>
    <row r="896" spans="1:6" x14ac:dyDescent="0.25">
      <c r="A896" s="32"/>
      <c r="B896" s="32"/>
      <c r="C896" s="32"/>
      <c r="D896" s="32"/>
      <c r="E896" s="32"/>
      <c r="F896" s="32"/>
    </row>
    <row r="897" spans="1:6" x14ac:dyDescent="0.25">
      <c r="A897" s="32"/>
      <c r="B897" s="32"/>
      <c r="C897" s="32"/>
      <c r="D897" s="32"/>
      <c r="E897" s="32"/>
      <c r="F897" s="32"/>
    </row>
    <row r="898" spans="1:6" x14ac:dyDescent="0.25">
      <c r="A898" s="32"/>
      <c r="B898" s="32"/>
      <c r="C898" s="32"/>
      <c r="D898" s="32"/>
      <c r="E898" s="32"/>
      <c r="F898" s="32"/>
    </row>
    <row r="899" spans="1:6" x14ac:dyDescent="0.25">
      <c r="A899" s="32"/>
      <c r="B899" s="32"/>
      <c r="C899" s="32"/>
      <c r="D899" s="32"/>
      <c r="E899" s="32"/>
      <c r="F899" s="32"/>
    </row>
    <row r="900" spans="1:6" x14ac:dyDescent="0.25">
      <c r="A900" s="32"/>
      <c r="B900" s="32"/>
      <c r="C900" s="32"/>
      <c r="D900" s="32"/>
      <c r="E900" s="32"/>
      <c r="F900" s="32"/>
    </row>
    <row r="901" spans="1:6" x14ac:dyDescent="0.25">
      <c r="A901" s="32"/>
      <c r="B901" s="32"/>
      <c r="C901" s="32"/>
      <c r="D901" s="32"/>
      <c r="E901" s="32"/>
      <c r="F901" s="32"/>
    </row>
    <row r="902" spans="1:6" x14ac:dyDescent="0.25">
      <c r="A902" s="32"/>
      <c r="B902" s="32"/>
      <c r="C902" s="32"/>
      <c r="D902" s="32"/>
      <c r="E902" s="32"/>
      <c r="F902" s="32"/>
    </row>
    <row r="903" spans="1:6" x14ac:dyDescent="0.25">
      <c r="A903" s="32"/>
      <c r="B903" s="32"/>
      <c r="C903" s="32"/>
      <c r="D903" s="32"/>
      <c r="E903" s="32"/>
      <c r="F903" s="32"/>
    </row>
    <row r="904" spans="1:6" x14ac:dyDescent="0.25">
      <c r="A904" s="32"/>
      <c r="B904" s="32"/>
      <c r="C904" s="32"/>
      <c r="D904" s="32"/>
      <c r="E904" s="32"/>
      <c r="F904" s="32"/>
    </row>
    <row r="905" spans="1:6" x14ac:dyDescent="0.25">
      <c r="A905" s="32"/>
      <c r="B905" s="32"/>
      <c r="C905" s="32"/>
      <c r="D905" s="32"/>
      <c r="E905" s="32"/>
      <c r="F905" s="32"/>
    </row>
    <row r="906" spans="1:6" x14ac:dyDescent="0.25">
      <c r="A906" s="32"/>
      <c r="B906" s="32"/>
      <c r="C906" s="32"/>
      <c r="D906" s="32"/>
      <c r="E906" s="32"/>
      <c r="F906" s="32"/>
    </row>
    <row r="907" spans="1:6" x14ac:dyDescent="0.25">
      <c r="A907" s="32"/>
      <c r="B907" s="32"/>
      <c r="C907" s="32"/>
      <c r="D907" s="32"/>
      <c r="E907" s="32"/>
      <c r="F907" s="32"/>
    </row>
    <row r="908" spans="1:6" x14ac:dyDescent="0.25">
      <c r="A908" s="32"/>
      <c r="B908" s="32"/>
      <c r="C908" s="32"/>
      <c r="D908" s="32"/>
      <c r="E908" s="32"/>
      <c r="F908" s="32"/>
    </row>
    <row r="909" spans="1:6" x14ac:dyDescent="0.25">
      <c r="A909" s="32"/>
      <c r="B909" s="32"/>
      <c r="C909" s="32"/>
      <c r="D909" s="32"/>
      <c r="E909" s="32"/>
      <c r="F909" s="32"/>
    </row>
    <row r="910" spans="1:6" x14ac:dyDescent="0.25">
      <c r="A910" s="32"/>
      <c r="B910" s="32"/>
      <c r="C910" s="32"/>
      <c r="D910" s="32"/>
      <c r="E910" s="32"/>
      <c r="F910" s="32"/>
    </row>
    <row r="911" spans="1:6" x14ac:dyDescent="0.25">
      <c r="A911" s="32"/>
      <c r="B911" s="32"/>
      <c r="C911" s="32"/>
      <c r="D911" s="32"/>
      <c r="E911" s="32"/>
      <c r="F911" s="32"/>
    </row>
    <row r="912" spans="1:6" x14ac:dyDescent="0.25">
      <c r="A912" s="32"/>
      <c r="B912" s="32"/>
      <c r="C912" s="32"/>
      <c r="D912" s="32"/>
      <c r="E912" s="32"/>
      <c r="F912" s="32"/>
    </row>
    <row r="913" spans="1:6" x14ac:dyDescent="0.25">
      <c r="A913" s="32"/>
      <c r="B913" s="32"/>
      <c r="C913" s="32"/>
      <c r="D913" s="32"/>
      <c r="E913" s="32"/>
      <c r="F913" s="32"/>
    </row>
    <row r="914" spans="1:6" x14ac:dyDescent="0.25">
      <c r="A914" s="32"/>
      <c r="B914" s="32"/>
      <c r="C914" s="32"/>
      <c r="D914" s="32"/>
      <c r="E914" s="32"/>
      <c r="F914" s="32"/>
    </row>
    <row r="915" spans="1:6" x14ac:dyDescent="0.25">
      <c r="A915" s="32"/>
      <c r="B915" s="32"/>
      <c r="C915" s="32"/>
      <c r="D915" s="32"/>
      <c r="E915" s="32"/>
      <c r="F915" s="32"/>
    </row>
    <row r="916" spans="1:6" x14ac:dyDescent="0.25">
      <c r="A916" s="32"/>
      <c r="B916" s="32"/>
      <c r="C916" s="32"/>
      <c r="D916" s="32"/>
      <c r="E916" s="32"/>
      <c r="F916" s="32"/>
    </row>
    <row r="917" spans="1:6" x14ac:dyDescent="0.25">
      <c r="A917" s="32"/>
      <c r="B917" s="32"/>
      <c r="C917" s="32"/>
      <c r="D917" s="32"/>
      <c r="E917" s="32"/>
      <c r="F917" s="32"/>
    </row>
    <row r="918" spans="1:6" x14ac:dyDescent="0.25">
      <c r="A918" s="32"/>
      <c r="B918" s="32"/>
      <c r="C918" s="32"/>
      <c r="D918" s="32"/>
      <c r="E918" s="32"/>
      <c r="F918" s="32"/>
    </row>
    <row r="919" spans="1:6" x14ac:dyDescent="0.25">
      <c r="A919" s="32"/>
      <c r="B919" s="32"/>
      <c r="C919" s="32"/>
      <c r="D919" s="32"/>
      <c r="E919" s="32"/>
      <c r="F919" s="32"/>
    </row>
    <row r="920" spans="1:6" x14ac:dyDescent="0.25">
      <c r="A920" s="32"/>
      <c r="B920" s="32"/>
      <c r="C920" s="32"/>
      <c r="D920" s="32"/>
      <c r="E920" s="32"/>
      <c r="F920" s="32"/>
    </row>
    <row r="921" spans="1:6" x14ac:dyDescent="0.25">
      <c r="A921" s="32"/>
      <c r="B921" s="32"/>
      <c r="C921" s="32"/>
      <c r="D921" s="32"/>
      <c r="E921" s="32"/>
      <c r="F921" s="32"/>
    </row>
    <row r="922" spans="1:6" x14ac:dyDescent="0.25">
      <c r="A922" s="32"/>
      <c r="B922" s="32"/>
      <c r="C922" s="32"/>
      <c r="D922" s="32"/>
      <c r="E922" s="32"/>
      <c r="F922" s="32"/>
    </row>
    <row r="923" spans="1:6" x14ac:dyDescent="0.25">
      <c r="A923" s="32"/>
      <c r="B923" s="32"/>
      <c r="C923" s="32"/>
      <c r="D923" s="32"/>
      <c r="E923" s="32"/>
      <c r="F923" s="32"/>
    </row>
    <row r="924" spans="1:6" x14ac:dyDescent="0.25">
      <c r="A924" s="32"/>
      <c r="B924" s="32"/>
      <c r="C924" s="32"/>
      <c r="D924" s="32"/>
      <c r="E924" s="32"/>
      <c r="F924" s="32"/>
    </row>
    <row r="925" spans="1:6" x14ac:dyDescent="0.25">
      <c r="A925" s="32"/>
      <c r="B925" s="32"/>
      <c r="C925" s="32"/>
      <c r="D925" s="32"/>
      <c r="E925" s="32"/>
      <c r="F925" s="32"/>
    </row>
    <row r="926" spans="1:6" x14ac:dyDescent="0.25">
      <c r="A926" s="32"/>
      <c r="B926" s="32"/>
      <c r="C926" s="32"/>
      <c r="D926" s="32"/>
      <c r="E926" s="32"/>
      <c r="F926" s="32"/>
    </row>
    <row r="927" spans="1:6" x14ac:dyDescent="0.25">
      <c r="A927" s="32"/>
      <c r="B927" s="32"/>
      <c r="C927" s="32"/>
      <c r="D927" s="32"/>
      <c r="E927" s="32"/>
      <c r="F927" s="32"/>
    </row>
    <row r="928" spans="1:6" x14ac:dyDescent="0.25">
      <c r="A928" s="32"/>
      <c r="B928" s="32"/>
      <c r="C928" s="32"/>
      <c r="D928" s="32"/>
      <c r="E928" s="32"/>
      <c r="F928" s="32"/>
    </row>
    <row r="929" spans="1:6" x14ac:dyDescent="0.25">
      <c r="A929" s="32"/>
      <c r="B929" s="32"/>
      <c r="C929" s="32"/>
      <c r="D929" s="32"/>
      <c r="E929" s="32"/>
      <c r="F929" s="32"/>
    </row>
    <row r="930" spans="1:6" x14ac:dyDescent="0.25">
      <c r="A930" s="32"/>
      <c r="B930" s="32"/>
      <c r="C930" s="32"/>
      <c r="D930" s="32"/>
      <c r="E930" s="32"/>
      <c r="F930" s="32"/>
    </row>
    <row r="931" spans="1:6" x14ac:dyDescent="0.25">
      <c r="A931" s="32"/>
      <c r="B931" s="32"/>
      <c r="C931" s="32"/>
      <c r="D931" s="32"/>
      <c r="E931" s="32"/>
      <c r="F931" s="32"/>
    </row>
    <row r="932" spans="1:6" x14ac:dyDescent="0.25">
      <c r="A932" s="32"/>
      <c r="B932" s="32"/>
      <c r="C932" s="32"/>
      <c r="D932" s="32"/>
      <c r="E932" s="32"/>
      <c r="F932" s="32"/>
    </row>
    <row r="933" spans="1:6" x14ac:dyDescent="0.25">
      <c r="A933" s="32"/>
      <c r="B933" s="32"/>
      <c r="C933" s="32"/>
      <c r="D933" s="32"/>
      <c r="E933" s="32"/>
      <c r="F933" s="32"/>
    </row>
    <row r="934" spans="1:6" x14ac:dyDescent="0.25">
      <c r="A934" s="32"/>
      <c r="B934" s="32"/>
      <c r="C934" s="32"/>
      <c r="D934" s="32"/>
      <c r="E934" s="32"/>
      <c r="F934" s="32"/>
    </row>
    <row r="935" spans="1:6" x14ac:dyDescent="0.25">
      <c r="A935" s="32"/>
      <c r="B935" s="32"/>
      <c r="C935" s="32"/>
      <c r="D935" s="32"/>
      <c r="E935" s="32"/>
      <c r="F935" s="32"/>
    </row>
    <row r="936" spans="1:6" x14ac:dyDescent="0.25">
      <c r="A936" s="32"/>
      <c r="B936" s="32"/>
      <c r="C936" s="32"/>
      <c r="D936" s="32"/>
      <c r="E936" s="32"/>
      <c r="F936" s="32"/>
    </row>
    <row r="937" spans="1:6" x14ac:dyDescent="0.25">
      <c r="A937" s="32"/>
      <c r="B937" s="32"/>
      <c r="C937" s="32"/>
      <c r="D937" s="32"/>
      <c r="E937" s="32"/>
      <c r="F937" s="32"/>
    </row>
    <row r="938" spans="1:6" x14ac:dyDescent="0.25">
      <c r="A938" s="32"/>
      <c r="B938" s="32"/>
      <c r="C938" s="32"/>
      <c r="D938" s="32"/>
      <c r="E938" s="32"/>
      <c r="F938" s="32"/>
    </row>
    <row r="939" spans="1:6" x14ac:dyDescent="0.25">
      <c r="A939" s="32"/>
      <c r="B939" s="32"/>
      <c r="C939" s="32"/>
      <c r="D939" s="32"/>
      <c r="E939" s="32"/>
      <c r="F939" s="32"/>
    </row>
    <row r="940" spans="1:6" x14ac:dyDescent="0.25">
      <c r="A940" s="32"/>
      <c r="B940" s="32"/>
      <c r="C940" s="32"/>
      <c r="D940" s="32"/>
      <c r="E940" s="32"/>
      <c r="F940" s="32"/>
    </row>
    <row r="941" spans="1:6" x14ac:dyDescent="0.25">
      <c r="A941" s="32"/>
      <c r="B941" s="32"/>
      <c r="C941" s="32"/>
      <c r="D941" s="32"/>
      <c r="E941" s="32"/>
      <c r="F941" s="32"/>
    </row>
    <row r="942" spans="1:6" x14ac:dyDescent="0.25">
      <c r="A942" s="32"/>
      <c r="B942" s="32"/>
      <c r="C942" s="32"/>
      <c r="D942" s="32"/>
      <c r="E942" s="32"/>
      <c r="F942" s="32"/>
    </row>
    <row r="943" spans="1:6" x14ac:dyDescent="0.25">
      <c r="A943" s="32"/>
      <c r="B943" s="32"/>
      <c r="C943" s="32"/>
      <c r="D943" s="32"/>
      <c r="E943" s="32"/>
      <c r="F943" s="32"/>
    </row>
    <row r="944" spans="1:6" x14ac:dyDescent="0.25">
      <c r="A944" s="32"/>
      <c r="B944" s="32"/>
      <c r="C944" s="32"/>
      <c r="D944" s="32"/>
      <c r="E944" s="32"/>
      <c r="F944" s="32"/>
    </row>
    <row r="945" spans="1:6" x14ac:dyDescent="0.25">
      <c r="A945" s="32"/>
      <c r="B945" s="32"/>
      <c r="C945" s="32"/>
      <c r="D945" s="32"/>
      <c r="E945" s="32"/>
      <c r="F945" s="32"/>
    </row>
    <row r="946" spans="1:6" x14ac:dyDescent="0.25">
      <c r="A946" s="32"/>
      <c r="B946" s="32"/>
      <c r="C946" s="32"/>
      <c r="D946" s="32"/>
      <c r="E946" s="32"/>
      <c r="F946" s="32"/>
    </row>
    <row r="947" spans="1:6" x14ac:dyDescent="0.25">
      <c r="A947" s="32"/>
      <c r="B947" s="32"/>
      <c r="C947" s="32"/>
      <c r="D947" s="32"/>
      <c r="E947" s="32"/>
      <c r="F947" s="32"/>
    </row>
    <row r="948" spans="1:6" x14ac:dyDescent="0.25">
      <c r="A948" s="32"/>
      <c r="B948" s="32"/>
      <c r="C948" s="32"/>
      <c r="D948" s="32"/>
      <c r="E948" s="32"/>
      <c r="F948" s="32"/>
    </row>
    <row r="949" spans="1:6" x14ac:dyDescent="0.25">
      <c r="A949" s="32"/>
      <c r="B949" s="32"/>
      <c r="C949" s="32"/>
      <c r="D949" s="32"/>
      <c r="E949" s="32"/>
      <c r="F949" s="32"/>
    </row>
    <row r="950" spans="1:6" x14ac:dyDescent="0.25">
      <c r="A950" s="32"/>
      <c r="B950" s="32"/>
      <c r="C950" s="32"/>
      <c r="D950" s="32"/>
      <c r="E950" s="32"/>
      <c r="F950" s="32"/>
    </row>
    <row r="951" spans="1:6" x14ac:dyDescent="0.25">
      <c r="A951" s="32"/>
      <c r="B951" s="32"/>
      <c r="C951" s="32"/>
      <c r="D951" s="32"/>
      <c r="E951" s="32"/>
      <c r="F951" s="32"/>
    </row>
    <row r="952" spans="1:6" x14ac:dyDescent="0.25">
      <c r="A952" s="32"/>
      <c r="B952" s="32"/>
      <c r="C952" s="32"/>
      <c r="D952" s="32"/>
      <c r="E952" s="32"/>
      <c r="F952" s="32"/>
    </row>
    <row r="953" spans="1:6" x14ac:dyDescent="0.25">
      <c r="A953" s="32"/>
      <c r="B953" s="32"/>
      <c r="C953" s="32"/>
      <c r="D953" s="32"/>
      <c r="E953" s="32"/>
      <c r="F953" s="32"/>
    </row>
    <row r="954" spans="1:6" x14ac:dyDescent="0.25">
      <c r="A954" s="32"/>
      <c r="B954" s="32"/>
      <c r="C954" s="32"/>
      <c r="D954" s="32"/>
      <c r="E954" s="32"/>
      <c r="F954" s="32"/>
    </row>
    <row r="955" spans="1:6" x14ac:dyDescent="0.25">
      <c r="A955" s="32"/>
      <c r="B955" s="32"/>
      <c r="C955" s="32"/>
      <c r="D955" s="32"/>
      <c r="E955" s="32"/>
      <c r="F955" s="32"/>
    </row>
    <row r="956" spans="1:6" x14ac:dyDescent="0.25">
      <c r="A956" s="32"/>
      <c r="B956" s="32"/>
      <c r="C956" s="32"/>
      <c r="D956" s="32"/>
      <c r="E956" s="32"/>
      <c r="F956" s="32"/>
    </row>
    <row r="957" spans="1:6" x14ac:dyDescent="0.25">
      <c r="A957" s="32"/>
      <c r="B957" s="32"/>
      <c r="C957" s="32"/>
      <c r="D957" s="32"/>
      <c r="E957" s="32"/>
      <c r="F957" s="32"/>
    </row>
    <row r="958" spans="1:6" x14ac:dyDescent="0.25">
      <c r="A958" s="32"/>
      <c r="B958" s="32"/>
      <c r="C958" s="32"/>
      <c r="D958" s="32"/>
      <c r="E958" s="32"/>
      <c r="F958" s="32"/>
    </row>
    <row r="959" spans="1:6" x14ac:dyDescent="0.25">
      <c r="A959" s="32"/>
      <c r="B959" s="32"/>
      <c r="C959" s="32"/>
      <c r="D959" s="32"/>
      <c r="E959" s="32"/>
      <c r="F959" s="32"/>
    </row>
    <row r="960" spans="1:6" x14ac:dyDescent="0.25">
      <c r="A960" s="32"/>
      <c r="B960" s="32"/>
      <c r="C960" s="32"/>
      <c r="D960" s="32"/>
      <c r="E960" s="32"/>
      <c r="F960" s="32"/>
    </row>
    <row r="961" spans="1:6" x14ac:dyDescent="0.25">
      <c r="A961" s="32"/>
      <c r="B961" s="32"/>
      <c r="C961" s="32"/>
      <c r="D961" s="32"/>
      <c r="E961" s="32"/>
      <c r="F961" s="32"/>
    </row>
    <row r="962" spans="1:6" x14ac:dyDescent="0.25">
      <c r="A962" s="32"/>
      <c r="B962" s="32"/>
      <c r="C962" s="32"/>
      <c r="D962" s="32"/>
      <c r="E962" s="32"/>
      <c r="F962" s="32"/>
    </row>
    <row r="963" spans="1:6" x14ac:dyDescent="0.25">
      <c r="A963" s="32"/>
      <c r="B963" s="32"/>
      <c r="C963" s="32"/>
      <c r="D963" s="32"/>
      <c r="E963" s="32"/>
      <c r="F963" s="32"/>
    </row>
    <row r="964" spans="1:6" x14ac:dyDescent="0.25">
      <c r="A964" s="32"/>
      <c r="B964" s="32"/>
      <c r="C964" s="32"/>
      <c r="D964" s="32"/>
      <c r="E964" s="32"/>
      <c r="F964" s="32"/>
    </row>
    <row r="965" spans="1:6" x14ac:dyDescent="0.25">
      <c r="A965" s="32"/>
      <c r="B965" s="32"/>
      <c r="C965" s="32"/>
      <c r="D965" s="32"/>
      <c r="E965" s="32"/>
      <c r="F965" s="32"/>
    </row>
    <row r="966" spans="1:6" x14ac:dyDescent="0.25">
      <c r="A966" s="32"/>
      <c r="B966" s="32"/>
      <c r="C966" s="32"/>
      <c r="D966" s="32"/>
      <c r="E966" s="32"/>
      <c r="F966" s="32"/>
    </row>
    <row r="967" spans="1:6" x14ac:dyDescent="0.25">
      <c r="A967" s="32"/>
      <c r="B967" s="32"/>
      <c r="C967" s="32"/>
      <c r="D967" s="32"/>
      <c r="E967" s="32"/>
      <c r="F967" s="32"/>
    </row>
    <row r="968" spans="1:6" x14ac:dyDescent="0.25">
      <c r="A968" s="32"/>
      <c r="B968" s="32"/>
      <c r="C968" s="32"/>
      <c r="D968" s="32"/>
      <c r="E968" s="32"/>
      <c r="F968" s="32"/>
    </row>
    <row r="969" spans="1:6" x14ac:dyDescent="0.25">
      <c r="A969" s="32"/>
      <c r="B969" s="32"/>
      <c r="C969" s="32"/>
      <c r="D969" s="32"/>
      <c r="E969" s="32"/>
      <c r="F969" s="32"/>
    </row>
    <row r="970" spans="1:6" x14ac:dyDescent="0.25">
      <c r="A970" s="32"/>
      <c r="B970" s="32"/>
      <c r="C970" s="32"/>
      <c r="D970" s="32"/>
      <c r="E970" s="32"/>
      <c r="F970" s="32"/>
    </row>
    <row r="971" spans="1:6" x14ac:dyDescent="0.25">
      <c r="A971" s="32"/>
      <c r="B971" s="32"/>
      <c r="C971" s="32"/>
      <c r="D971" s="32"/>
      <c r="E971" s="32"/>
      <c r="F971" s="32"/>
    </row>
    <row r="972" spans="1:6" x14ac:dyDescent="0.25">
      <c r="A972" s="32"/>
      <c r="B972" s="32"/>
      <c r="C972" s="32"/>
      <c r="D972" s="32"/>
      <c r="E972" s="32"/>
      <c r="F972" s="32"/>
    </row>
    <row r="973" spans="1:6" x14ac:dyDescent="0.25">
      <c r="A973" s="32"/>
      <c r="B973" s="32"/>
      <c r="C973" s="32"/>
      <c r="D973" s="32"/>
      <c r="E973" s="32"/>
      <c r="F973" s="32"/>
    </row>
    <row r="974" spans="1:6" x14ac:dyDescent="0.25">
      <c r="A974" s="32"/>
      <c r="B974" s="32"/>
      <c r="C974" s="32"/>
      <c r="D974" s="32"/>
      <c r="E974" s="32"/>
      <c r="F974" s="32"/>
    </row>
    <row r="975" spans="1:6" x14ac:dyDescent="0.25">
      <c r="A975" s="32"/>
      <c r="B975" s="32"/>
      <c r="C975" s="32"/>
      <c r="D975" s="32"/>
      <c r="E975" s="32"/>
      <c r="F975" s="32"/>
    </row>
    <row r="976" spans="1:6" x14ac:dyDescent="0.25">
      <c r="A976" s="32"/>
      <c r="B976" s="32"/>
      <c r="C976" s="32"/>
      <c r="D976" s="32"/>
      <c r="E976" s="32"/>
      <c r="F976" s="32"/>
    </row>
    <row r="977" spans="1:6" x14ac:dyDescent="0.25">
      <c r="A977" s="32"/>
      <c r="B977" s="32"/>
      <c r="C977" s="32"/>
      <c r="D977" s="32"/>
      <c r="E977" s="32"/>
      <c r="F977" s="32"/>
    </row>
    <row r="978" spans="1:6" x14ac:dyDescent="0.25">
      <c r="A978" s="32"/>
      <c r="B978" s="32"/>
      <c r="C978" s="32"/>
      <c r="D978" s="32"/>
      <c r="E978" s="32"/>
      <c r="F978" s="32"/>
    </row>
    <row r="979" spans="1:6" x14ac:dyDescent="0.25">
      <c r="A979" s="32"/>
      <c r="B979" s="32"/>
      <c r="C979" s="32"/>
      <c r="D979" s="32"/>
      <c r="E979" s="32"/>
      <c r="F979" s="32"/>
    </row>
    <row r="980" spans="1:6" x14ac:dyDescent="0.25">
      <c r="A980" s="32"/>
      <c r="B980" s="32"/>
      <c r="C980" s="32"/>
      <c r="D980" s="32"/>
      <c r="E980" s="32"/>
      <c r="F980" s="32"/>
    </row>
    <row r="981" spans="1:6" x14ac:dyDescent="0.25">
      <c r="A981" s="32"/>
      <c r="B981" s="32"/>
      <c r="C981" s="32"/>
      <c r="D981" s="32"/>
      <c r="E981" s="32"/>
      <c r="F981" s="32"/>
    </row>
    <row r="982" spans="1:6" x14ac:dyDescent="0.25">
      <c r="A982" s="32"/>
      <c r="B982" s="32"/>
      <c r="C982" s="32"/>
      <c r="D982" s="32"/>
      <c r="E982" s="32"/>
      <c r="F982" s="32"/>
    </row>
    <row r="983" spans="1:6" x14ac:dyDescent="0.25">
      <c r="A983" s="32"/>
      <c r="B983" s="32"/>
      <c r="C983" s="32"/>
      <c r="D983" s="32"/>
      <c r="E983" s="32"/>
      <c r="F983" s="32"/>
    </row>
    <row r="984" spans="1:6" x14ac:dyDescent="0.25">
      <c r="A984" s="32"/>
      <c r="B984" s="32"/>
      <c r="C984" s="32"/>
      <c r="D984" s="32"/>
      <c r="E984" s="32"/>
      <c r="F984" s="32"/>
    </row>
    <row r="985" spans="1:6" x14ac:dyDescent="0.25">
      <c r="A985" s="32"/>
      <c r="B985" s="32"/>
      <c r="C985" s="32"/>
      <c r="D985" s="32"/>
      <c r="E985" s="32"/>
      <c r="F985" s="32"/>
    </row>
    <row r="986" spans="1:6" x14ac:dyDescent="0.25">
      <c r="A986" s="32"/>
      <c r="B986" s="32"/>
      <c r="C986" s="32"/>
      <c r="D986" s="32"/>
      <c r="E986" s="32"/>
      <c r="F986" s="32"/>
    </row>
    <row r="987" spans="1:6" x14ac:dyDescent="0.25">
      <c r="A987" s="32"/>
      <c r="B987" s="32"/>
      <c r="C987" s="32"/>
      <c r="D987" s="32"/>
      <c r="E987" s="32"/>
      <c r="F987" s="32"/>
    </row>
    <row r="988" spans="1:6" x14ac:dyDescent="0.25">
      <c r="A988" s="32"/>
      <c r="B988" s="32"/>
      <c r="C988" s="32"/>
      <c r="D988" s="32"/>
      <c r="E988" s="32"/>
      <c r="F988" s="32"/>
    </row>
    <row r="989" spans="1:6" x14ac:dyDescent="0.25">
      <c r="A989" s="32"/>
      <c r="B989" s="32"/>
      <c r="C989" s="32"/>
      <c r="D989" s="32"/>
      <c r="E989" s="32"/>
      <c r="F989" s="32"/>
    </row>
    <row r="990" spans="1:6" x14ac:dyDescent="0.25">
      <c r="A990" s="32"/>
      <c r="B990" s="32"/>
      <c r="C990" s="32"/>
      <c r="D990" s="32"/>
      <c r="E990" s="32"/>
      <c r="F990" s="32"/>
    </row>
    <row r="991" spans="1:6" x14ac:dyDescent="0.25">
      <c r="A991" s="32"/>
      <c r="B991" s="32"/>
      <c r="C991" s="32"/>
      <c r="D991" s="32"/>
      <c r="E991" s="32"/>
      <c r="F991" s="32"/>
    </row>
    <row r="992" spans="1:6" x14ac:dyDescent="0.25">
      <c r="A992" s="32"/>
      <c r="B992" s="32"/>
      <c r="C992" s="32"/>
      <c r="D992" s="32"/>
      <c r="E992" s="32"/>
      <c r="F992" s="32"/>
    </row>
    <row r="993" spans="1:6" x14ac:dyDescent="0.25">
      <c r="A993" s="32"/>
      <c r="B993" s="32"/>
      <c r="C993" s="32"/>
      <c r="D993" s="32"/>
      <c r="E993" s="32"/>
      <c r="F993" s="32"/>
    </row>
    <row r="994" spans="1:6" x14ac:dyDescent="0.25">
      <c r="A994" s="32"/>
      <c r="B994" s="32"/>
      <c r="C994" s="32"/>
      <c r="D994" s="32"/>
      <c r="E994" s="32"/>
      <c r="F994" s="32"/>
    </row>
    <row r="995" spans="1:6" x14ac:dyDescent="0.25">
      <c r="A995" s="32"/>
      <c r="B995" s="32"/>
      <c r="C995" s="32"/>
      <c r="D995" s="32"/>
      <c r="E995" s="32"/>
      <c r="F995" s="32"/>
    </row>
    <row r="996" spans="1:6" x14ac:dyDescent="0.25">
      <c r="A996" s="32"/>
      <c r="B996" s="32"/>
      <c r="C996" s="32"/>
      <c r="D996" s="32"/>
      <c r="E996" s="32"/>
      <c r="F996" s="32"/>
    </row>
    <row r="997" spans="1:6" x14ac:dyDescent="0.25">
      <c r="A997" s="32"/>
      <c r="B997" s="32"/>
      <c r="C997" s="32"/>
      <c r="D997" s="32"/>
      <c r="E997" s="32"/>
      <c r="F997" s="32"/>
    </row>
    <row r="998" spans="1:6" x14ac:dyDescent="0.25">
      <c r="A998" s="32"/>
      <c r="B998" s="32"/>
      <c r="C998" s="32"/>
      <c r="D998" s="32"/>
      <c r="E998" s="32"/>
      <c r="F998" s="32"/>
    </row>
    <row r="999" spans="1:6" x14ac:dyDescent="0.25">
      <c r="A999" s="32"/>
      <c r="B999" s="32"/>
      <c r="C999" s="32"/>
      <c r="D999" s="32"/>
      <c r="E999" s="32"/>
      <c r="F999" s="32"/>
    </row>
    <row r="1000" spans="1:6" x14ac:dyDescent="0.25">
      <c r="A1000" s="32"/>
      <c r="B1000" s="32"/>
      <c r="C1000" s="32"/>
      <c r="D1000" s="32"/>
      <c r="E1000" s="32"/>
      <c r="F1000" s="32"/>
    </row>
  </sheetData>
  <autoFilter ref="A1:F344" xr:uid="{00000000-0009-0000-0000-000009000000}"/>
  <conditionalFormatting sqref="D1:F1000">
    <cfRule type="cellIs" dxfId="3" priority="1" operator="equal">
      <formula>"Verde"</formula>
    </cfRule>
    <cfRule type="cellIs" dxfId="2" priority="2" operator="equal">
      <formula>"Amarillo"</formula>
    </cfRule>
    <cfRule type="cellIs" dxfId="1" priority="3" operator="equal">
      <formula>"Naranja"</formula>
    </cfRule>
    <cfRule type="cellIs" dxfId="0" priority="4" operator="equal">
      <formula>"Rojo"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 procesados 2012</vt:lpstr>
      <vt:lpstr>Datos procesados 2024</vt:lpstr>
      <vt:lpstr>Indicador_MUN</vt:lpstr>
      <vt:lpstr>Absoluto_MUN</vt:lpstr>
      <vt:lpstr>Indicador_DEP</vt:lpstr>
      <vt:lpstr>Absoluto_DEP</vt:lpstr>
      <vt:lpstr>Umbral</vt:lpstr>
      <vt:lpstr>Graficos</vt:lpstr>
      <vt:lpstr>Mapas</vt:lpstr>
      <vt:lpstr>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Oriana</cp:lastModifiedBy>
  <dcterms:created xsi:type="dcterms:W3CDTF">2026-01-28T16:37:46Z</dcterms:created>
  <dcterms:modified xsi:type="dcterms:W3CDTF">2026-06-03T20:32:34Z</dcterms:modified>
</cp:coreProperties>
</file>