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originales" sheetId="1" r:id="rId4"/>
    <sheet state="visible" name="Datos procesados 2008" sheetId="2" r:id="rId5"/>
    <sheet state="visible" name="Datos procesados 2023" sheetId="3" r:id="rId6"/>
    <sheet state="visible" name="Indicador_MUN" sheetId="4" r:id="rId7"/>
    <sheet state="visible" name="Absoluto_MUN" sheetId="5" r:id="rId8"/>
    <sheet state="visible" name="Indicador_DEP" sheetId="6" r:id="rId9"/>
    <sheet state="visible" name="Absoluto_DEP" sheetId="7" r:id="rId10"/>
    <sheet state="visible" name="Umbral" sheetId="8" r:id="rId11"/>
    <sheet state="visible" name="Mapa" sheetId="9" r:id="rId12"/>
  </sheets>
  <externalReferences>
    <externalReference r:id="rId13"/>
  </externalReferences>
  <definedNames>
    <definedName localSheetId="0" name="OLE_LINK1">'[1]3.01.03'!#REF!</definedName>
    <definedName hidden="1" localSheetId="3" name="_xlnm._FilterDatabase">Indicador_MUN!$A$1:$D$1</definedName>
  </definedNames>
  <calcPr/>
  <extLst>
    <ext uri="GoogleSheetsCustomDataVersion2">
      <go:sheetsCustomData xmlns:go="http://customooxmlschemas.google.com/" r:id="rId14" roundtripDataChecksum="bBZdwFYK9eZtau5AZo+ThSYyvE1YpN8JXV9ZT+U2urA="/>
    </ext>
  </extLst>
</workbook>
</file>

<file path=xl/sharedStrings.xml><?xml version="1.0" encoding="utf-8"?>
<sst xmlns="http://schemas.openxmlformats.org/spreadsheetml/2006/main" count="1549" uniqueCount="412">
  <si>
    <t>Cuadro Nº 3.01.03.03</t>
  </si>
  <si>
    <t>BOLIVIA: NIÑOS Y NIÑAS MENORES DE CINCO AÑOS CON MALNUTRICIÓN, SEGÚN TRES ÍNDICES ANTROPOMÉTRICOS: TALLA PARA LA EDAD; PESO PARA LA TALLA Y PESO PARA LA EDAD, SEGÚN ÁREA Y DEPARTAMENTO, 2008, 2016 Y 2023</t>
  </si>
  <si>
    <t>(En porcentaje)</t>
  </si>
  <si>
    <t>ÁREA Y DEPARTAMENTO</t>
  </si>
  <si>
    <t>TALLA PARA LA EDAD</t>
  </si>
  <si>
    <t>PESO PARA LA TALLA</t>
  </si>
  <si>
    <t>PESO PARA LA EDAD</t>
  </si>
  <si>
    <t>NÚMERO DE NIÑOS</t>
  </si>
  <si>
    <t>Porcentaje por debajo de  -3 DE</t>
  </si>
  <si>
    <t>Porcentaje por debajo de -2 DE (1)</t>
  </si>
  <si>
    <t>Porcentaje por encima de +2 DE</t>
  </si>
  <si>
    <t>BOLIVIA 2008</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</si>
  <si>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</si>
  <si>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</si>
  <si>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</si>
  <si>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</si>
  <si>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</si>
  <si>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</si>
  <si>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</si>
  <si>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</si>
  <si>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</si>
  <si>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</si>
  <si>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t>
  </si>
  <si>
    <t>Pando</t>
  </si>
  <si>
    <t>BOLIVIA 2016</t>
  </si>
  <si>
    <t xml:space="preserve">Pando </t>
  </si>
  <si>
    <t>BOLIVIA 2023</t>
  </si>
  <si>
    <t>Fuente: Ministerio de Salud - Encuesta Nacional de Demografía y Salud 2003 y 2008</t>
  </si>
  <si>
    <t>Instituto Nacional de Estadística - Encuesta de Demografia y Salud 2016 y 2023</t>
  </si>
  <si>
    <t>(*) Con coeficiente de variación superior a 20% emplearlo solo de forma referencial</t>
  </si>
  <si>
    <t>Nota: El cuadro está basado en niños y niñas que durmieron en el hogar la noche anterior a la entrevista. Cada índice se expresa en términos del número de desviaciones estándar (DE) de la mediana de los patrones internacionales de crecimiento establecidos por la Organización Mundial de la Salud (OMS). El cuadro está basado en niños y niñas con información válida para la fecha de nacimiento (mes y año), en el peso y la talla.</t>
  </si>
  <si>
    <t>(1) Incluye niños y niñas que están -3 desviaciones estándar (DE) por debajo de la mediana de los patrones de crecimiento.</t>
  </si>
  <si>
    <t>id</t>
  </si>
  <si>
    <t>Municipio</t>
  </si>
  <si>
    <t>Población 2008</t>
  </si>
  <si>
    <t>Tasa de urbanización 2008</t>
  </si>
  <si>
    <t>Porcentaje de menores de 5 años con desnutrición cróncia, 2008 (%) (por departamento)</t>
  </si>
  <si>
    <t>Porcentaje de menores de 5 años con desnutrición cróncia, (%) 2008 (por urbanización)</t>
  </si>
  <si>
    <t>Ponderaciones por urbanización</t>
  </si>
  <si>
    <t>Porcentaje de menores de 5 años con desnutrición crónica, 2008 (%) (ponderado por departamento y nivel de urbanización)</t>
  </si>
  <si>
    <t>Check: Numero abs</t>
  </si>
  <si>
    <t>Check: Pop dep</t>
  </si>
  <si>
    <t>Check: Desn. Dep</t>
  </si>
  <si>
    <t>Check</t>
  </si>
  <si>
    <t>Estimación menores de 5 años, 2008</t>
  </si>
  <si>
    <t>Menores de 5 años con desnutrición crónica, 2008 (ponderado por departamento y nivel de urbanización)</t>
  </si>
  <si>
    <t>Departamento</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</si>
  <si>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</si>
  <si>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</si>
  <si>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</si>
  <si>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</si>
  <si>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</si>
  <si>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</si>
  <si>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</si>
  <si>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</si>
  <si>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</si>
  <si>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</si>
  <si>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</si>
  <si>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</si>
  <si>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</si>
  <si>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</si>
  <si>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</si>
  <si>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</si>
  <si>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</si>
  <si>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</si>
  <si>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</si>
  <si>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Padilla</t>
  </si>
  <si>
    <t>Bolivia</t>
  </si>
  <si>
    <t>Tomina</t>
  </si>
  <si>
    <t>Gran Chaco</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</si>
  <si>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</si>
  <si>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</si>
  <si>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</si>
  <si>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</si>
  <si>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</si>
  <si>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</si>
  <si>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</si>
  <si>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</si>
  <si>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</si>
  <si>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</si>
  <si>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</si>
  <si>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</si>
  <si>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</si>
  <si>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</si>
  <si>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</si>
  <si>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</si>
  <si>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</si>
  <si>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</si>
  <si>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</si>
  <si>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</si>
  <si>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</si>
  <si>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</si>
  <si>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</si>
  <si>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</si>
  <si>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</si>
  <si>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</si>
  <si>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</si>
  <si>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</si>
  <si>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</si>
  <si>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</si>
  <si>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</si>
  <si>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</si>
  <si>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</si>
  <si>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</si>
  <si>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</si>
  <si>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</si>
  <si>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</si>
  <si>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</si>
  <si>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</si>
  <si>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</si>
  <si>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</si>
  <si>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</si>
  <si>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</si>
  <si>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</si>
  <si>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</si>
  <si>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</si>
  <si>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</si>
  <si>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</si>
  <si>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</si>
  <si>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</si>
  <si>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</si>
  <si>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</si>
  <si>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</si>
  <si>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</si>
  <si>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</si>
  <si>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</si>
  <si>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</si>
  <si>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</si>
  <si>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</si>
  <si>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</si>
  <si>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</si>
  <si>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</si>
  <si>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</si>
  <si>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</si>
  <si>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</si>
  <si>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</si>
  <si>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</si>
  <si>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</si>
  <si>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</si>
  <si>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</si>
  <si>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</si>
  <si>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</si>
  <si>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</si>
  <si>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</si>
  <si>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</si>
  <si>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</si>
  <si>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</si>
  <si>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</si>
  <si>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</si>
  <si>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</si>
  <si>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</si>
  <si>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</si>
  <si>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</si>
  <si>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</si>
  <si>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</si>
  <si>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</si>
  <si>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</si>
  <si>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</si>
  <si>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</si>
  <si>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</si>
  <si>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</si>
  <si>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</si>
  <si>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</si>
  <si>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</si>
  <si>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</si>
  <si>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</si>
  <si>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</si>
  <si>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</si>
  <si>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</si>
  <si>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</si>
  <si>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</si>
  <si>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</si>
  <si>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</si>
  <si>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</si>
  <si>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</si>
  <si>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</si>
  <si>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</si>
  <si>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</si>
  <si>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</si>
  <si>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</si>
  <si>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</si>
  <si>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</si>
  <si>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</si>
  <si>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</si>
  <si>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</si>
  <si>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</si>
  <si>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</si>
  <si>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</si>
  <si>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</si>
  <si>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</si>
  <si>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</si>
  <si>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</si>
  <si>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</si>
  <si>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</si>
  <si>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</si>
  <si>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</si>
  <si>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</si>
  <si>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</si>
  <si>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</si>
  <si>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</si>
  <si>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</si>
  <si>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</si>
  <si>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</si>
  <si>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</si>
  <si>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</si>
  <si>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</si>
  <si>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</si>
  <si>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</si>
  <si>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</si>
  <si>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</si>
  <si>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</si>
  <si>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</si>
  <si>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</si>
  <si>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</si>
  <si>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</si>
  <si>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</si>
  <si>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</si>
  <si>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</si>
  <si>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</si>
  <si>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</si>
  <si>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</si>
  <si>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</si>
  <si>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</si>
  <si>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</si>
  <si>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</si>
  <si>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</si>
  <si>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</si>
  <si>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</si>
  <si>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</si>
  <si>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</si>
  <si>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</si>
  <si>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</si>
  <si>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</si>
  <si>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</si>
  <si>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</si>
  <si>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</si>
  <si>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</si>
  <si>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</si>
  <si>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</si>
  <si>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</si>
  <si>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</si>
  <si>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</si>
  <si>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</si>
  <si>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</si>
  <si>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</si>
  <si>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</si>
  <si>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</si>
  <si>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</si>
  <si>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</si>
  <si>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</si>
  <si>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</si>
  <si>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</si>
  <si>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</si>
  <si>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</si>
  <si>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</si>
  <si>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</si>
  <si>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</si>
  <si>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</si>
  <si>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</si>
  <si>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</si>
  <si>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</si>
  <si>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</si>
  <si>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</si>
  <si>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</si>
  <si>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</si>
  <si>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</si>
  <si>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</si>
  <si>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</si>
  <si>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</si>
  <si>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</si>
  <si>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</si>
  <si>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</si>
  <si>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</si>
  <si>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</si>
  <si>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</si>
  <si>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</si>
  <si>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</si>
  <si>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</si>
  <si>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</si>
  <si>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</si>
  <si>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</si>
  <si>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</si>
  <si>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</si>
  <si>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</si>
  <si>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</si>
  <si>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</si>
  <si>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</si>
  <si>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</si>
  <si>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</si>
  <si>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</si>
  <si>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</si>
  <si>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</si>
  <si>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</si>
  <si>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</si>
  <si>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</si>
  <si>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</si>
  <si>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</si>
  <si>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</si>
  <si>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</si>
  <si>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</si>
  <si>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</si>
  <si>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</si>
  <si>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</si>
  <si>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</si>
  <si>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</si>
  <si>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</si>
  <si>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</si>
  <si>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</si>
  <si>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</si>
  <si>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</si>
  <si>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</si>
  <si>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</si>
  <si>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</si>
  <si>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</si>
  <si>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</si>
  <si>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</si>
  <si>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</si>
  <si>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</si>
  <si>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</si>
  <si>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</si>
  <si>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</si>
  <si>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</si>
  <si>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</si>
  <si>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</si>
  <si>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</si>
  <si>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</si>
  <si>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</si>
  <si>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</si>
  <si>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</si>
  <si>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</si>
  <si>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</si>
  <si>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</si>
  <si>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</si>
  <si>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</si>
  <si>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</si>
  <si>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</si>
  <si>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</si>
  <si>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</si>
  <si>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</si>
  <si>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</si>
  <si>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</si>
  <si>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</si>
  <si>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</si>
  <si>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</si>
  <si>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</si>
  <si>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</si>
  <si>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</si>
  <si>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</si>
  <si>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</si>
  <si>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</si>
  <si>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</si>
  <si>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</si>
  <si>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</si>
  <si>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</si>
  <si>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</si>
  <si>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</si>
  <si>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</si>
  <si>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</si>
  <si>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</si>
  <si>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</si>
  <si>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</si>
  <si>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</si>
  <si>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</si>
  <si>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</si>
  <si>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</si>
  <si>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</si>
  <si>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</si>
  <si>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</si>
  <si>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</si>
  <si>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</si>
  <si>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</si>
  <si>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</si>
  <si>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</si>
  <si>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</si>
  <si>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</si>
  <si>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</si>
  <si>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</si>
  <si>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</si>
  <si>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</si>
  <si>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</si>
  <si>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</si>
  <si>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</si>
  <si>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</si>
  <si>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</si>
  <si>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</si>
  <si>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</si>
  <si>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</si>
  <si>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Población 2023</t>
  </si>
  <si>
    <t>Tasa de urbanización 2023</t>
  </si>
  <si>
    <t>Porcentaje de menores de 5 años con desnutrición cróncia, 2023 (%) (por departamento)</t>
  </si>
  <si>
    <t>Porcentaje de menores de 5 años con desnutrición cróncia, (%) 2023 (por urbanización)</t>
  </si>
  <si>
    <t>Porcentaje de menores de 5 años con desnutrición crónica, 2023 (%) (ponderado por departamento y nivel de urbanización)</t>
  </si>
  <si>
    <t>Estimación menores de 5 años, 2023</t>
  </si>
  <si>
    <t>Menores de 5 años con desnutrición crónica, 2023 (ponderado por departamento y nivel de urbanización)</t>
  </si>
  <si>
    <t>sdg2_2_desnutricion_menores_2008</t>
  </si>
  <si>
    <t>sdg2_2_desnutricion_menores_2023</t>
  </si>
  <si>
    <t>sdg2_2_desnutricion_menores_abs_2008</t>
  </si>
  <si>
    <t>sdg2_2_desnutricion_menores_abs_2023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</si>
  <si>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</si>
  <si>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</si>
  <si>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</si>
  <si>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</si>
  <si>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</si>
  <si>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</si>
  <si>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</si>
  <si>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</si>
  <si>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</si>
  <si>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</si>
  <si>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</si>
  <si>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Criterio Umbral Verde</t>
  </si>
  <si>
    <t>Desnutrición crónica niños &lt; 5 años</t>
  </si>
  <si>
    <t>SDG Index Global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</si>
</sst>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Red]#,##0"/>
    <numFmt numFmtId="166" formatCode="0.0&quot;*&quot;"/>
    <numFmt numFmtId="167" formatCode="_-* #,##0_-;\-* #,##0_-;_-* &quot;-&quot;??_-;_-@"/>
    <numFmt numFmtId="168" formatCode="#,##0.0"/>
    <numFmt numFmtId="169" formatCode="0.0%"/>
    <numFmt numFmtId="170" formatCode="_-* #,##0.00_-;\-* #,##0.00_-;_-* &quot;-&quot;??_-;_-@"/>
    <numFmt numFmtId="171" formatCode="_(* #,##0.0_);_(* \(#,##0.0\);_(* &quot;-&quot;??_);_(@_)"/>
  </numFmts>
  <fonts count="16">
    <font>
      <sz val="10.0"/>
      <color rgb="FF000000"/>
      <name val="Arial"/>
      <scheme val="minor"/>
    </font>
    <font>
      <sz val="10.0"/>
      <color theme="1"/>
      <name val="Arial"/>
    </font>
    <font>
      <b/>
      <sz val="10.0"/>
      <color rgb="FF17223D"/>
      <name val="Arial"/>
    </font>
    <font>
      <b/>
      <sz val="9.0"/>
      <color theme="0"/>
      <name val="Arial"/>
    </font>
    <font/>
    <font>
      <sz val="9.0"/>
      <color theme="1"/>
      <name val="Arial"/>
    </font>
    <font>
      <b/>
      <sz val="9.0"/>
      <color theme="1"/>
      <name val="Arial"/>
    </font>
    <font>
      <sz val="8.0"/>
      <color theme="1"/>
      <name val="Arial"/>
    </font>
    <font>
      <sz val="10.0"/>
      <color rgb="FF000080"/>
      <name val="Arial"/>
    </font>
    <font>
      <sz val="9.0"/>
      <color rgb="FF000080"/>
      <name val="Arial"/>
    </font>
    <font>
      <b/>
      <sz val="11.0"/>
      <color theme="1"/>
      <name val="Calibri"/>
    </font>
    <font>
      <sz val="11.0"/>
      <color theme="1"/>
      <name val="Calibri"/>
    </font>
    <font>
      <sz val="11.0"/>
      <color theme="1"/>
      <name val="Arial"/>
    </font>
    <font>
      <sz val="10.0"/>
      <color rgb="FF000000"/>
      <name val="Arial"/>
    </font>
    <font>
      <b/>
      <sz val="10.0"/>
      <color theme="1"/>
      <name val="Arial"/>
    </font>
    <font>
      <b/>
      <sz val="9.0"/>
      <color theme="1"/>
      <name val="Play"/>
    </font>
  </fonts>
  <fills count="14">
    <fill>
      <patternFill patternType="none"/>
    </fill>
    <fill>
      <patternFill patternType="lightGray"/>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
      <patternFill patternType="solid">
        <fgColor rgb="FFB6D7A8"/>
        <bgColor rgb="FFB6D7A8"/>
      </patternFill>
    </fill>
  </fills>
  <borders count="26">
    <border/>
    <border>
      <left/>
      <right style="thin">
        <color theme="0"/>
      </right>
      <top style="thin">
        <color rgb="FF000000"/>
      </top>
    </border>
    <border>
      <left style="thin">
        <color theme="0"/>
      </left>
      <top style="thin">
        <color rgb="FF000000"/>
      </top>
      <bottom style="thin">
        <color theme="0"/>
      </bottom>
    </border>
    <border>
      <right style="thin">
        <color theme="0"/>
      </right>
      <top style="thin">
        <color rgb="FF000000"/>
      </top>
      <bottom style="thin">
        <color theme="0"/>
      </bottom>
    </border>
    <border>
      <top style="thin">
        <color rgb="FF000000"/>
      </top>
      <bottom style="thin">
        <color theme="0"/>
      </bottom>
    </border>
    <border>
      <left style="thin">
        <color theme="0"/>
      </left>
      <right style="thin">
        <color rgb="FF000000"/>
      </right>
      <top style="thin">
        <color rgb="FF000000"/>
      </top>
    </border>
    <border>
      <left/>
      <right style="thin">
        <color theme="0"/>
      </right>
    </border>
    <border>
      <left style="thin">
        <color theme="0"/>
      </left>
      <right style="thin">
        <color theme="0"/>
      </right>
      <top style="thin">
        <color theme="0"/>
      </top>
      <bottom/>
    </border>
    <border>
      <left style="thin">
        <color theme="0"/>
      </left>
      <right style="thin">
        <color rgb="FF000000"/>
      </right>
    </border>
    <border>
      <left style="thin">
        <color theme="1"/>
      </left>
      <right style="thin">
        <color theme="1"/>
      </right>
      <top/>
      <bottom/>
    </border>
    <border>
      <left/>
      <right/>
      <top/>
      <bottom/>
    </border>
    <border>
      <left style="thin">
        <color theme="1"/>
      </left>
      <right style="thin">
        <color theme="1"/>
      </right>
    </border>
    <border>
      <left style="thin">
        <color theme="1"/>
      </left>
      <right style="thin">
        <color theme="1"/>
      </right>
      <bottom style="thin">
        <color theme="1"/>
      </bottom>
    </border>
    <border>
      <left style="thin">
        <color theme="1"/>
      </left>
      <right style="thin">
        <color theme="1"/>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0" fillId="0" fontId="2" numFmtId="0" xfId="0" applyFont="1"/>
    <xf borderId="0" fillId="0" fontId="2" numFmtId="0" xfId="0" applyAlignment="1" applyFont="1">
      <alignment horizontal="left" shrinkToFit="0" wrapText="1"/>
    </xf>
    <xf borderId="1" fillId="2" fontId="3" numFmtId="0" xfId="0" applyAlignment="1" applyBorder="1" applyFill="1" applyFont="1">
      <alignment horizontal="center" shrinkToFit="0" vertical="center" wrapText="1"/>
    </xf>
    <xf borderId="2" fillId="2" fontId="3" numFmtId="0" xfId="0" applyAlignment="1" applyBorder="1" applyFont="1">
      <alignment horizontal="center" shrinkToFit="0" vertical="center" wrapText="1"/>
    </xf>
    <xf borderId="3" fillId="0" fontId="4" numFmtId="0" xfId="0" applyBorder="1" applyFont="1"/>
    <xf borderId="4" fillId="0" fontId="4" numFmtId="0" xfId="0" applyBorder="1" applyFont="1"/>
    <xf borderId="5" fillId="2" fontId="3" numFmtId="0" xfId="0" applyAlignment="1" applyBorder="1" applyFont="1">
      <alignment horizontal="center" shrinkToFit="0" vertical="center" wrapText="1"/>
    </xf>
    <xf borderId="6" fillId="0" fontId="4" numFmtId="0" xfId="0" applyBorder="1" applyFont="1"/>
    <xf borderId="7" fillId="2" fontId="3" numFmtId="0" xfId="0" applyAlignment="1" applyBorder="1" applyFont="1">
      <alignment horizontal="center" shrinkToFit="0" vertical="center" wrapText="1"/>
    </xf>
    <xf borderId="8" fillId="0" fontId="4" numFmtId="0" xfId="0" applyBorder="1" applyFont="1"/>
    <xf borderId="9" fillId="3" fontId="3" numFmtId="0" xfId="0" applyAlignment="1" applyBorder="1" applyFill="1" applyFont="1">
      <alignment horizontal="center" shrinkToFit="0" vertical="center" wrapText="1"/>
    </xf>
    <xf borderId="10" fillId="3" fontId="1" numFmtId="0" xfId="0" applyBorder="1" applyFont="1"/>
    <xf borderId="9" fillId="4" fontId="3" numFmtId="0" xfId="0" applyAlignment="1" applyBorder="1" applyFill="1" applyFont="1">
      <alignment horizontal="left"/>
    </xf>
    <xf borderId="9" fillId="4" fontId="3" numFmtId="0" xfId="0" applyAlignment="1" applyBorder="1" applyFont="1">
      <alignment horizontal="center"/>
    </xf>
    <xf borderId="9" fillId="4" fontId="3" numFmtId="3" xfId="0" applyAlignment="1" applyBorder="1" applyFont="1" applyNumberFormat="1">
      <alignment horizontal="right"/>
    </xf>
    <xf borderId="11" fillId="0" fontId="5" numFmtId="0" xfId="0" applyAlignment="1" applyBorder="1" applyFont="1">
      <alignment horizontal="left"/>
    </xf>
    <xf borderId="11" fillId="0" fontId="5" numFmtId="164" xfId="0" applyAlignment="1" applyBorder="1" applyFont="1" applyNumberFormat="1">
      <alignment horizontal="center"/>
    </xf>
    <xf borderId="11" fillId="0" fontId="5" numFmtId="165" xfId="0" applyAlignment="1" applyBorder="1" applyFont="1" applyNumberFormat="1">
      <alignment horizontal="right"/>
    </xf>
    <xf borderId="9" fillId="5" fontId="6" numFmtId="0" xfId="0" applyAlignment="1" applyBorder="1" applyFill="1" applyFont="1">
      <alignment horizontal="left"/>
    </xf>
    <xf borderId="9" fillId="5" fontId="6" numFmtId="0" xfId="0" applyAlignment="1" applyBorder="1" applyFont="1">
      <alignment horizontal="center"/>
    </xf>
    <xf borderId="9" fillId="5" fontId="6" numFmtId="164" xfId="0" applyAlignment="1" applyBorder="1" applyFont="1" applyNumberFormat="1">
      <alignment horizontal="center"/>
    </xf>
    <xf borderId="9" fillId="5" fontId="6" numFmtId="165" xfId="0" applyAlignment="1" applyBorder="1" applyFont="1" applyNumberFormat="1">
      <alignment horizontal="right"/>
    </xf>
    <xf borderId="11" fillId="0" fontId="5" numFmtId="0" xfId="0" applyAlignment="1" applyBorder="1" applyFont="1">
      <alignment horizontal="left" shrinkToFit="0" wrapText="1"/>
    </xf>
    <xf borderId="9" fillId="4" fontId="3" numFmtId="164" xfId="0" applyAlignment="1" applyBorder="1" applyFont="1" applyNumberFormat="1">
      <alignment horizontal="center"/>
    </xf>
    <xf borderId="9" fillId="4" fontId="3" numFmtId="166" xfId="0" applyAlignment="1" applyBorder="1" applyFont="1" applyNumberFormat="1">
      <alignment horizontal="center"/>
    </xf>
    <xf borderId="11" fillId="0" fontId="5" numFmtId="166" xfId="0" applyAlignment="1" applyBorder="1" applyFont="1" applyNumberFormat="1">
      <alignment horizontal="center"/>
    </xf>
    <xf borderId="12" fillId="0" fontId="5" numFmtId="0" xfId="0" applyAlignment="1" applyBorder="1" applyFont="1">
      <alignment horizontal="left" shrinkToFit="0" wrapText="1"/>
    </xf>
    <xf borderId="13" fillId="0" fontId="5" numFmtId="166" xfId="0" applyAlignment="1" applyBorder="1" applyFont="1" applyNumberFormat="1">
      <alignment horizontal="center"/>
    </xf>
    <xf borderId="12" fillId="0" fontId="5" numFmtId="166" xfId="0" applyAlignment="1" applyBorder="1" applyFont="1" applyNumberFormat="1">
      <alignment horizontal="center"/>
    </xf>
    <xf borderId="12" fillId="0" fontId="5" numFmtId="165" xfId="0" applyAlignment="1" applyBorder="1" applyFont="1" applyNumberFormat="1">
      <alignment horizontal="right"/>
    </xf>
    <xf borderId="0" fillId="0" fontId="1" numFmtId="164" xfId="0" applyFont="1" applyNumberFormat="1"/>
    <xf borderId="12" fillId="0" fontId="5" numFmtId="164" xfId="0" applyAlignment="1" applyBorder="1" applyFont="1" applyNumberFormat="1">
      <alignment horizontal="center"/>
    </xf>
    <xf borderId="0" fillId="0" fontId="7" numFmtId="0" xfId="0" applyAlignment="1" applyFont="1">
      <alignment horizontal="left"/>
    </xf>
    <xf quotePrefix="1" borderId="0" fillId="0" fontId="7" numFmtId="0" xfId="0" applyAlignment="1" applyFont="1">
      <alignment horizontal="left"/>
    </xf>
    <xf borderId="0" fillId="0" fontId="7" numFmtId="0" xfId="0" applyAlignment="1" applyFont="1">
      <alignment horizontal="left" shrinkToFit="0" wrapText="1"/>
    </xf>
    <xf borderId="0" fillId="0" fontId="8" numFmtId="0" xfId="0" applyAlignment="1" applyFont="1">
      <alignment horizontal="left" shrinkToFit="0" vertical="center" wrapText="1"/>
    </xf>
    <xf borderId="0" fillId="0" fontId="9" numFmtId="0" xfId="0" applyAlignment="1" applyFont="1">
      <alignment horizontal="left"/>
    </xf>
    <xf borderId="0" fillId="0" fontId="9" numFmtId="0" xfId="0" applyFont="1"/>
    <xf borderId="14" fillId="0" fontId="10" numFmtId="0" xfId="0" applyAlignment="1" applyBorder="1" applyFont="1">
      <alignment horizontal="center" shrinkToFit="0" vertical="top" wrapText="1"/>
    </xf>
    <xf borderId="14" fillId="0" fontId="10" numFmtId="167" xfId="0" applyAlignment="1" applyBorder="1" applyFont="1" applyNumberFormat="1">
      <alignment horizontal="center" shrinkToFit="0" vertical="top" wrapText="1"/>
    </xf>
    <xf borderId="14" fillId="0" fontId="10" numFmtId="168" xfId="0" applyAlignment="1" applyBorder="1" applyFont="1" applyNumberFormat="1">
      <alignment horizontal="center" shrinkToFit="0" vertical="top" wrapText="1"/>
    </xf>
    <xf borderId="14" fillId="6" fontId="10" numFmtId="0" xfId="0" applyAlignment="1" applyBorder="1" applyFill="1" applyFont="1">
      <alignment horizontal="center" shrinkToFit="0" vertical="top" wrapText="1"/>
    </xf>
    <xf borderId="14" fillId="0" fontId="10" numFmtId="3" xfId="0" applyAlignment="1" applyBorder="1" applyFont="1" applyNumberFormat="1">
      <alignment horizontal="center" shrinkToFit="0" vertical="top" wrapText="1"/>
    </xf>
    <xf borderId="14" fillId="0" fontId="10" numFmtId="169" xfId="0" applyAlignment="1" applyBorder="1" applyFont="1" applyNumberFormat="1">
      <alignment horizontal="center" shrinkToFit="0" vertical="top" wrapText="1"/>
    </xf>
    <xf borderId="14" fillId="0" fontId="10" numFmtId="0" xfId="0" applyAlignment="1" applyBorder="1" applyFont="1">
      <alignment shrinkToFit="0" vertical="top" wrapText="1"/>
    </xf>
    <xf borderId="0" fillId="0" fontId="11" numFmtId="0" xfId="0" applyAlignment="1" applyFont="1">
      <alignment shrinkToFit="0" wrapText="1"/>
    </xf>
    <xf borderId="14" fillId="0" fontId="10" numFmtId="0" xfId="0" applyAlignment="1" applyBorder="1" applyFont="1">
      <alignment shrinkToFit="0" wrapText="1"/>
    </xf>
    <xf borderId="14" fillId="0" fontId="1" numFmtId="0" xfId="0" applyBorder="1" applyFont="1"/>
    <xf borderId="14" fillId="0" fontId="11" numFmtId="167" xfId="0" applyAlignment="1" applyBorder="1" applyFont="1" applyNumberFormat="1">
      <alignment horizontal="right"/>
    </xf>
    <xf borderId="14" fillId="0" fontId="11" numFmtId="168" xfId="0" applyAlignment="1" applyBorder="1" applyFont="1" applyNumberFormat="1">
      <alignment horizontal="right"/>
    </xf>
    <xf borderId="14" fillId="0" fontId="1" numFmtId="164" xfId="0" applyBorder="1" applyFont="1" applyNumberFormat="1"/>
    <xf borderId="14" fillId="0" fontId="11" numFmtId="164" xfId="0" applyBorder="1" applyFont="1" applyNumberFormat="1"/>
    <xf borderId="14" fillId="6" fontId="11" numFmtId="164" xfId="0" applyBorder="1" applyFont="1" applyNumberFormat="1"/>
    <xf borderId="14" fillId="0" fontId="11" numFmtId="170" xfId="0" applyAlignment="1" applyBorder="1" applyFont="1" applyNumberFormat="1">
      <alignment horizontal="right"/>
    </xf>
    <xf borderId="14" fillId="0" fontId="11" numFmtId="3" xfId="0" applyAlignment="1" applyBorder="1" applyFont="1" applyNumberFormat="1">
      <alignment horizontal="right"/>
    </xf>
    <xf borderId="14" fillId="0" fontId="11" numFmtId="169" xfId="0" applyAlignment="1" applyBorder="1" applyFont="1" applyNumberFormat="1">
      <alignment horizontal="right"/>
    </xf>
    <xf borderId="15" fillId="7" fontId="1" numFmtId="0" xfId="0" applyBorder="1" applyFill="1" applyFont="1"/>
    <xf borderId="16" fillId="7" fontId="1" numFmtId="164" xfId="0" applyBorder="1" applyFont="1" applyNumberFormat="1"/>
    <xf borderId="14" fillId="0" fontId="11" numFmtId="0" xfId="0" applyBorder="1" applyFont="1"/>
    <xf borderId="14" fillId="0" fontId="11" numFmtId="171" xfId="0" applyAlignment="1" applyBorder="1" applyFont="1" applyNumberFormat="1">
      <alignment horizontal="right"/>
    </xf>
    <xf borderId="14" fillId="0" fontId="12" numFmtId="3" xfId="0" applyBorder="1" applyFont="1" applyNumberFormat="1"/>
    <xf borderId="14" fillId="0" fontId="12" numFmtId="169" xfId="0" applyBorder="1" applyFont="1" applyNumberFormat="1"/>
    <xf borderId="17" fillId="7" fontId="1" numFmtId="0" xfId="0" applyBorder="1" applyFont="1"/>
    <xf borderId="18" fillId="7" fontId="1" numFmtId="164" xfId="0" applyBorder="1" applyFont="1" applyNumberFormat="1"/>
    <xf borderId="19" fillId="7" fontId="1" numFmtId="0" xfId="0" applyBorder="1" applyFont="1"/>
    <xf borderId="20" fillId="7" fontId="1" numFmtId="0" xfId="0" applyBorder="1" applyFont="1"/>
    <xf borderId="21" fillId="0" fontId="11" numFmtId="0" xfId="0" applyBorder="1" applyFont="1"/>
    <xf borderId="21" fillId="0" fontId="11" numFmtId="167" xfId="0" applyAlignment="1" applyBorder="1" applyFont="1" applyNumberFormat="1">
      <alignment horizontal="right"/>
    </xf>
    <xf borderId="21" fillId="0" fontId="11" numFmtId="171" xfId="0" applyAlignment="1" applyBorder="1" applyFont="1" applyNumberFormat="1">
      <alignment horizontal="right"/>
    </xf>
    <xf borderId="14" fillId="0" fontId="13" numFmtId="3" xfId="0" applyBorder="1" applyFont="1" applyNumberFormat="1"/>
    <xf borderId="14" fillId="0" fontId="11" numFmtId="3" xfId="0" applyBorder="1" applyFont="1" applyNumberFormat="1"/>
    <xf borderId="14" fillId="0" fontId="11" numFmtId="168" xfId="0" applyBorder="1" applyFont="1" applyNumberFormat="1"/>
    <xf borderId="21" fillId="0" fontId="1" numFmtId="0" xfId="0" applyBorder="1" applyFont="1"/>
    <xf borderId="21" fillId="0" fontId="11" numFmtId="3" xfId="0" applyBorder="1" applyFont="1" applyNumberFormat="1"/>
    <xf borderId="21" fillId="0" fontId="11" numFmtId="168" xfId="0" applyBorder="1" applyFont="1" applyNumberFormat="1"/>
    <xf borderId="22" fillId="6" fontId="11" numFmtId="164" xfId="0" applyBorder="1" applyFont="1" applyNumberFormat="1"/>
    <xf borderId="21" fillId="0" fontId="11" numFmtId="170" xfId="0" applyAlignment="1" applyBorder="1" applyFont="1" applyNumberFormat="1">
      <alignment horizontal="right"/>
    </xf>
    <xf borderId="21" fillId="0" fontId="11" numFmtId="168" xfId="0" applyAlignment="1" applyBorder="1" applyFont="1" applyNumberFormat="1">
      <alignment horizontal="right"/>
    </xf>
    <xf borderId="21" fillId="0" fontId="12" numFmtId="3" xfId="0" applyBorder="1" applyFont="1" applyNumberFormat="1"/>
    <xf borderId="21" fillId="0" fontId="12" numFmtId="169" xfId="0" applyBorder="1" applyFont="1" applyNumberFormat="1"/>
    <xf borderId="23" fillId="0" fontId="1" numFmtId="0" xfId="0" applyBorder="1" applyFont="1"/>
    <xf borderId="24" fillId="0" fontId="10" numFmtId="3" xfId="0" applyBorder="1" applyFont="1" applyNumberFormat="1"/>
    <xf borderId="24" fillId="0" fontId="10" numFmtId="168" xfId="0" applyBorder="1" applyFont="1" applyNumberFormat="1"/>
    <xf borderId="24" fillId="0" fontId="14" numFmtId="0" xfId="0" applyBorder="1" applyFont="1"/>
    <xf borderId="24" fillId="0" fontId="11" numFmtId="164" xfId="0" applyBorder="1" applyFont="1" applyNumberFormat="1"/>
    <xf borderId="24" fillId="0" fontId="1" numFmtId="0" xfId="0" applyBorder="1" applyFont="1"/>
    <xf borderId="24" fillId="0" fontId="1" numFmtId="164" xfId="0" applyBorder="1" applyFont="1" applyNumberFormat="1"/>
    <xf borderId="24" fillId="0" fontId="1" numFmtId="170" xfId="0" applyBorder="1" applyFont="1" applyNumberFormat="1"/>
    <xf borderId="24" fillId="0" fontId="11" numFmtId="168" xfId="0" applyAlignment="1" applyBorder="1" applyFont="1" applyNumberFormat="1">
      <alignment horizontal="right"/>
    </xf>
    <xf borderId="24" fillId="0" fontId="12" numFmtId="3" xfId="0" applyBorder="1" applyFont="1" applyNumberFormat="1"/>
    <xf borderId="24" fillId="0" fontId="12" numFmtId="169" xfId="0" applyBorder="1" applyFont="1" applyNumberFormat="1"/>
    <xf borderId="24" fillId="0" fontId="11" numFmtId="3" xfId="0" applyBorder="1" applyFont="1" applyNumberFormat="1"/>
    <xf borderId="25" fillId="0" fontId="11" numFmtId="167" xfId="0" applyBorder="1" applyFont="1" applyNumberFormat="1"/>
    <xf borderId="0" fillId="0" fontId="11" numFmtId="0" xfId="0" applyFont="1"/>
    <xf borderId="0" fillId="0" fontId="11" numFmtId="168" xfId="0" applyFont="1" applyNumberFormat="1"/>
    <xf borderId="0" fillId="0" fontId="12" numFmtId="3" xfId="0" applyFont="1" applyNumberFormat="1"/>
    <xf borderId="0" fillId="0" fontId="12" numFmtId="169" xfId="0" applyFont="1" applyNumberFormat="1"/>
    <xf borderId="14" fillId="0" fontId="14" numFmtId="0" xfId="0" applyAlignment="1" applyBorder="1" applyFont="1">
      <alignment shrinkToFit="0" wrapText="1"/>
    </xf>
    <xf borderId="0" fillId="0" fontId="14" numFmtId="0" xfId="0" applyAlignment="1" applyFont="1">
      <alignment shrinkToFit="0" wrapText="1"/>
    </xf>
    <xf borderId="14" fillId="0" fontId="1" numFmtId="167" xfId="0" applyBorder="1" applyFont="1" applyNumberFormat="1"/>
    <xf borderId="0" fillId="0" fontId="1" numFmtId="167" xfId="0" applyFont="1" applyNumberFormat="1"/>
    <xf borderId="14" fillId="0" fontId="14" numFmtId="0" xfId="0" applyBorder="1" applyFont="1"/>
    <xf borderId="0" fillId="0" fontId="14" numFmtId="0" xfId="0" applyFont="1"/>
    <xf borderId="14" fillId="0" fontId="1" numFmtId="171" xfId="0" applyBorder="1" applyFont="1" applyNumberFormat="1"/>
    <xf borderId="21" fillId="0" fontId="1" numFmtId="171" xfId="0" applyBorder="1" applyFont="1" applyNumberFormat="1"/>
    <xf borderId="14" fillId="0" fontId="13" numFmtId="171" xfId="0" applyBorder="1" applyFont="1" applyNumberFormat="1"/>
    <xf borderId="0" fillId="0" fontId="13" numFmtId="167" xfId="0" applyFont="1" applyNumberFormat="1"/>
    <xf borderId="14" fillId="0" fontId="13" numFmtId="167" xfId="0" applyBorder="1" applyFont="1" applyNumberFormat="1"/>
    <xf borderId="14" fillId="8" fontId="10" numFmtId="0" xfId="0" applyAlignment="1" applyBorder="1" applyFill="1" applyFont="1">
      <alignment shrinkToFit="0" vertical="center" wrapText="1"/>
    </xf>
    <xf borderId="14" fillId="9" fontId="15" numFmtId="0" xfId="0" applyAlignment="1" applyBorder="1" applyFill="1" applyFont="1">
      <alignment horizontal="center" shrinkToFit="0" vertical="center" wrapText="1"/>
    </xf>
    <xf borderId="14" fillId="10" fontId="15" numFmtId="0" xfId="0" applyAlignment="1" applyBorder="1" applyFill="1" applyFont="1">
      <alignment horizontal="center" shrinkToFit="0" vertical="center" wrapText="1"/>
    </xf>
    <xf borderId="14" fillId="11" fontId="15" numFmtId="0" xfId="0" applyAlignment="1" applyBorder="1" applyFill="1" applyFont="1">
      <alignment horizontal="center" shrinkToFit="0" vertical="center" wrapText="1"/>
    </xf>
    <xf borderId="14" fillId="12" fontId="15" numFmtId="0" xfId="0" applyAlignment="1" applyBorder="1" applyFill="1" applyFont="1">
      <alignment horizontal="center" shrinkToFit="0" vertical="center" wrapText="1"/>
    </xf>
    <xf borderId="14" fillId="13" fontId="10" numFmtId="0" xfId="0" applyAlignment="1" applyBorder="1" applyFill="1" applyFont="1">
      <alignment horizontal="center" readingOrder="0" vertical="bottom"/>
    </xf>
    <xf borderId="14" fillId="0" fontId="11" numFmtId="0" xfId="0" applyAlignment="1" applyBorder="1" applyFont="1">
      <alignment horizontal="right" shrinkToFit="0" vertical="center" wrapText="1"/>
    </xf>
    <xf borderId="14" fillId="0" fontId="11" numFmtId="0" xfId="0" applyAlignment="1" applyBorder="1" applyFont="1">
      <alignment shrinkToFit="0" vertical="center" wrapText="1"/>
    </xf>
    <xf borderId="14" fillId="0" fontId="11" numFmtId="0" xfId="0" applyAlignment="1" applyBorder="1" applyFont="1">
      <alignment horizontal="center"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86100" cy="10191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3"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3.01.03"/>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6.88"/>
    <col customWidth="1" min="2" max="9" width="13.63"/>
    <col customWidth="1" min="10" max="10" width="11.38"/>
    <col customWidth="1" min="11" max="11" width="3.0"/>
    <col customWidth="1" min="12" max="30" width="11.38"/>
  </cols>
  <sheetData>
    <row r="1" ht="84.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2.75" customHeight="1">
      <c r="A2" s="2" t="s">
        <v>0</v>
      </c>
      <c r="B2" s="3"/>
      <c r="C2" s="3"/>
      <c r="D2" s="3"/>
      <c r="E2" s="3"/>
      <c r="F2" s="3"/>
      <c r="G2" s="3"/>
      <c r="H2" s="3"/>
      <c r="I2" s="3"/>
      <c r="J2" s="3"/>
      <c r="K2" s="1"/>
      <c r="L2" s="1"/>
      <c r="M2" s="1"/>
      <c r="N2" s="1"/>
      <c r="O2" s="1"/>
      <c r="P2" s="1"/>
      <c r="Q2" s="1"/>
      <c r="R2" s="1"/>
      <c r="S2" s="1"/>
      <c r="T2" s="1"/>
      <c r="U2" s="1"/>
      <c r="V2" s="1"/>
      <c r="W2" s="1"/>
      <c r="X2" s="1"/>
      <c r="Y2" s="1"/>
      <c r="Z2" s="1"/>
      <c r="AA2" s="1"/>
      <c r="AB2" s="1"/>
      <c r="AC2" s="1"/>
      <c r="AD2" s="1"/>
    </row>
    <row r="3" ht="27.75" customHeight="1">
      <c r="A3" s="4" t="s">
        <v>1</v>
      </c>
      <c r="K3" s="1"/>
      <c r="L3" s="1"/>
      <c r="M3" s="1"/>
      <c r="N3" s="1"/>
      <c r="O3" s="1"/>
      <c r="P3" s="1"/>
      <c r="Q3" s="1"/>
      <c r="R3" s="1"/>
      <c r="S3" s="1"/>
      <c r="T3" s="1"/>
      <c r="U3" s="1"/>
      <c r="V3" s="1"/>
      <c r="W3" s="1"/>
      <c r="X3" s="1"/>
      <c r="Y3" s="1"/>
      <c r="Z3" s="1"/>
      <c r="AA3" s="1"/>
      <c r="AB3" s="1"/>
      <c r="AC3" s="1"/>
      <c r="AD3" s="1"/>
    </row>
    <row r="4" ht="12.75" customHeight="1">
      <c r="A4" s="4" t="s">
        <v>2</v>
      </c>
      <c r="B4" s="4"/>
      <c r="C4" s="4"/>
      <c r="D4" s="4"/>
      <c r="E4" s="4"/>
      <c r="F4" s="4"/>
      <c r="G4" s="4"/>
      <c r="H4" s="4"/>
      <c r="I4" s="4"/>
      <c r="J4" s="4"/>
      <c r="K4" s="1"/>
      <c r="L4" s="1"/>
      <c r="M4" s="1"/>
      <c r="N4" s="1"/>
      <c r="O4" s="1"/>
      <c r="P4" s="1"/>
      <c r="Q4" s="1"/>
      <c r="R4" s="1"/>
      <c r="S4" s="1"/>
      <c r="T4" s="1"/>
      <c r="U4" s="1"/>
      <c r="V4" s="1"/>
      <c r="W4" s="1"/>
      <c r="X4" s="1"/>
      <c r="Y4" s="1"/>
      <c r="Z4" s="1"/>
      <c r="AA4" s="1"/>
      <c r="AB4" s="1"/>
      <c r="AC4" s="1"/>
      <c r="AD4" s="1"/>
    </row>
    <row r="5" ht="24.0" customHeight="1">
      <c r="A5" s="5" t="s">
        <v>3</v>
      </c>
      <c r="B5" s="6" t="s">
        <v>4</v>
      </c>
      <c r="C5" s="7"/>
      <c r="D5" s="6" t="s">
        <v>5</v>
      </c>
      <c r="E5" s="8"/>
      <c r="F5" s="7"/>
      <c r="G5" s="6" t="s">
        <v>6</v>
      </c>
      <c r="H5" s="8"/>
      <c r="I5" s="7"/>
      <c r="J5" s="9" t="s">
        <v>7</v>
      </c>
      <c r="K5" s="1"/>
      <c r="L5" s="1"/>
      <c r="M5" s="1"/>
      <c r="N5" s="1"/>
      <c r="O5" s="1"/>
      <c r="P5" s="1"/>
      <c r="Q5" s="1"/>
      <c r="R5" s="1"/>
      <c r="S5" s="1"/>
      <c r="T5" s="1"/>
      <c r="U5" s="1"/>
      <c r="V5" s="1"/>
      <c r="W5" s="1"/>
      <c r="X5" s="1"/>
      <c r="Y5" s="1"/>
      <c r="Z5" s="1"/>
      <c r="AA5" s="1"/>
      <c r="AB5" s="1"/>
      <c r="AC5" s="1"/>
      <c r="AD5" s="1"/>
    </row>
    <row r="6" ht="45.0" customHeight="1">
      <c r="A6" s="10"/>
      <c r="B6" s="11" t="s">
        <v>8</v>
      </c>
      <c r="C6" s="11" t="s">
        <v>9</v>
      </c>
      <c r="D6" s="11" t="s">
        <v>8</v>
      </c>
      <c r="E6" s="11" t="s">
        <v>9</v>
      </c>
      <c r="F6" s="11" t="s">
        <v>10</v>
      </c>
      <c r="G6" s="11" t="s">
        <v>8</v>
      </c>
      <c r="H6" s="11" t="s">
        <v>9</v>
      </c>
      <c r="I6" s="11" t="s">
        <v>10</v>
      </c>
      <c r="J6" s="12"/>
      <c r="K6" s="1"/>
      <c r="L6" s="1"/>
      <c r="M6" s="1"/>
      <c r="N6" s="1"/>
      <c r="O6" s="1"/>
      <c r="P6" s="1"/>
      <c r="Q6" s="1"/>
      <c r="R6" s="1"/>
      <c r="S6" s="1"/>
      <c r="T6" s="1"/>
      <c r="U6" s="1"/>
      <c r="V6" s="1"/>
      <c r="W6" s="1"/>
      <c r="X6" s="1"/>
      <c r="Y6" s="1"/>
      <c r="Z6" s="1"/>
      <c r="AA6" s="1"/>
      <c r="AB6" s="1"/>
      <c r="AC6" s="1"/>
      <c r="AD6" s="1"/>
    </row>
    <row r="7" ht="7.5" customHeight="1">
      <c r="A7" s="13"/>
      <c r="B7" s="13"/>
      <c r="C7" s="13"/>
      <c r="D7" s="13"/>
      <c r="E7" s="13"/>
      <c r="F7" s="13"/>
      <c r="G7" s="13"/>
      <c r="H7" s="13"/>
      <c r="I7" s="13"/>
      <c r="J7" s="13"/>
      <c r="K7" s="14"/>
      <c r="L7" s="14"/>
      <c r="M7" s="14"/>
      <c r="N7" s="14"/>
      <c r="O7" s="14"/>
      <c r="P7" s="14"/>
      <c r="Q7" s="14"/>
      <c r="R7" s="14"/>
      <c r="S7" s="14"/>
      <c r="T7" s="14"/>
      <c r="U7" s="14"/>
      <c r="V7" s="14"/>
      <c r="W7" s="14"/>
      <c r="X7" s="14"/>
      <c r="Y7" s="14"/>
      <c r="Z7" s="14"/>
      <c r="AA7" s="14"/>
      <c r="AB7" s="14"/>
      <c r="AC7" s="14"/>
      <c r="AD7" s="14"/>
    </row>
    <row r="8" ht="12.75" customHeight="1">
      <c r="A8" s="15" t="s">
        <v>11</v>
      </c>
      <c r="B8" s="16">
        <v>7.8</v>
      </c>
      <c r="C8" s="16">
        <v>27.1</v>
      </c>
      <c r="D8" s="16">
        <v>0.4</v>
      </c>
      <c r="E8" s="16">
        <v>1.4</v>
      </c>
      <c r="F8" s="16">
        <v>8.5</v>
      </c>
      <c r="G8" s="16">
        <v>0.8</v>
      </c>
      <c r="H8" s="16">
        <v>4.3</v>
      </c>
      <c r="I8" s="16">
        <v>1.7</v>
      </c>
      <c r="J8" s="17">
        <v>8422.0</v>
      </c>
      <c r="K8" s="1"/>
      <c r="L8" s="1"/>
      <c r="M8" s="1"/>
      <c r="N8" s="1"/>
      <c r="O8" s="1"/>
      <c r="P8" s="1"/>
      <c r="Q8" s="1"/>
      <c r="R8" s="1"/>
      <c r="S8" s="1"/>
      <c r="T8" s="1"/>
      <c r="U8" s="1"/>
      <c r="V8" s="1"/>
      <c r="W8" s="1"/>
      <c r="X8" s="1"/>
      <c r="Y8" s="1"/>
      <c r="Z8" s="1"/>
      <c r="AA8" s="1"/>
      <c r="AB8" s="1"/>
      <c r="AC8" s="1"/>
      <c r="AD8" s="1"/>
    </row>
    <row r="9" ht="12.75" customHeight="1">
      <c r="A9" s="18" t="s">
        <v>12</v>
      </c>
      <c r="B9" s="19">
        <v>3.8</v>
      </c>
      <c r="C9" s="19">
        <v>17.2</v>
      </c>
      <c r="D9" s="19">
        <v>0.3</v>
      </c>
      <c r="E9" s="19">
        <v>1.0</v>
      </c>
      <c r="F9" s="19">
        <v>8.8</v>
      </c>
      <c r="G9" s="19">
        <v>0.3</v>
      </c>
      <c r="H9" s="19">
        <v>2.7</v>
      </c>
      <c r="I9" s="19">
        <v>2.3</v>
      </c>
      <c r="J9" s="20">
        <v>4557.0</v>
      </c>
      <c r="K9" s="1"/>
      <c r="L9" s="1"/>
      <c r="M9" s="1"/>
      <c r="N9" s="1"/>
      <c r="O9" s="1"/>
      <c r="P9" s="1"/>
      <c r="Q9" s="1"/>
      <c r="R9" s="1"/>
      <c r="S9" s="1"/>
      <c r="T9" s="1"/>
      <c r="U9" s="1"/>
      <c r="V9" s="1"/>
      <c r="W9" s="1"/>
      <c r="X9" s="1"/>
      <c r="Y9" s="1"/>
      <c r="Z9" s="1"/>
      <c r="AA9" s="1"/>
      <c r="AB9" s="1"/>
      <c r="AC9" s="1"/>
      <c r="AD9" s="1"/>
    </row>
    <row r="10" ht="12.75" customHeight="1">
      <c r="A10" s="18" t="s">
        <v>13</v>
      </c>
      <c r="B10" s="19">
        <v>12.4</v>
      </c>
      <c r="C10" s="19">
        <v>38.6</v>
      </c>
      <c r="D10" s="19">
        <v>0.6</v>
      </c>
      <c r="E10" s="19">
        <v>1.8</v>
      </c>
      <c r="F10" s="19">
        <v>8.2</v>
      </c>
      <c r="G10" s="19">
        <v>1.4</v>
      </c>
      <c r="H10" s="19">
        <v>6.1</v>
      </c>
      <c r="I10" s="19">
        <v>1.1</v>
      </c>
      <c r="J10" s="20">
        <v>3865.0</v>
      </c>
      <c r="K10" s="1"/>
      <c r="L10" s="1"/>
      <c r="M10" s="1"/>
      <c r="N10" s="1"/>
      <c r="O10" s="1"/>
      <c r="P10" s="1"/>
      <c r="Q10" s="1"/>
      <c r="R10" s="1"/>
      <c r="S10" s="1"/>
      <c r="T10" s="1"/>
      <c r="U10" s="1"/>
      <c r="V10" s="1"/>
      <c r="W10" s="1"/>
      <c r="X10" s="1"/>
      <c r="Y10" s="1"/>
      <c r="Z10" s="1"/>
      <c r="AA10" s="1"/>
      <c r="AB10" s="1"/>
      <c r="AC10" s="1"/>
      <c r="AD10" s="1"/>
    </row>
    <row r="11" ht="12.75" customHeight="1">
      <c r="A11" s="21" t="s">
        <v>14</v>
      </c>
      <c r="B11" s="22"/>
      <c r="C11" s="22"/>
      <c r="D11" s="23"/>
      <c r="E11" s="23"/>
      <c r="F11" s="23"/>
      <c r="G11" s="23"/>
      <c r="H11" s="23"/>
      <c r="I11" s="23"/>
      <c r="J11" s="24"/>
      <c r="K11" s="1"/>
      <c r="L11" s="1"/>
      <c r="M11" s="1"/>
      <c r="N11" s="1"/>
      <c r="O11" s="1"/>
      <c r="P11" s="1"/>
      <c r="Q11" s="1"/>
      <c r="R11" s="1"/>
      <c r="S11" s="1"/>
      <c r="T11" s="1"/>
      <c r="U11" s="1"/>
      <c r="V11" s="1"/>
      <c r="W11" s="1"/>
      <c r="X11" s="1"/>
      <c r="Y11" s="1"/>
      <c r="Z11" s="1"/>
      <c r="AA11" s="1"/>
      <c r="AB11" s="1"/>
      <c r="AC11" s="1"/>
      <c r="AD11" s="1"/>
    </row>
    <row r="12" ht="12.75" customHeight="1">
      <c r="A12" s="25" t="s">
        <v>15</v>
      </c>
      <c r="B12" s="19">
        <v>6.7</v>
      </c>
      <c r="C12" s="19">
        <v>29.8</v>
      </c>
      <c r="D12" s="19">
        <v>0.4</v>
      </c>
      <c r="E12" s="19">
        <v>1.0</v>
      </c>
      <c r="F12" s="19">
        <v>8.2</v>
      </c>
      <c r="G12" s="19">
        <v>0.8</v>
      </c>
      <c r="H12" s="19">
        <v>3.8</v>
      </c>
      <c r="I12" s="19">
        <v>1.2</v>
      </c>
      <c r="J12" s="20">
        <v>2275.0</v>
      </c>
      <c r="K12" s="1"/>
      <c r="L12" s="1"/>
      <c r="M12" s="1"/>
      <c r="N12" s="1"/>
      <c r="O12" s="1"/>
      <c r="P12" s="1"/>
      <c r="Q12" s="1"/>
      <c r="R12" s="1"/>
      <c r="S12" s="1"/>
      <c r="T12" s="1"/>
      <c r="U12" s="1"/>
      <c r="V12" s="1"/>
      <c r="W12" s="1"/>
      <c r="X12" s="1"/>
      <c r="Y12" s="1"/>
      <c r="Z12" s="1"/>
      <c r="AA12" s="1"/>
      <c r="AB12" s="1"/>
      <c r="AC12" s="1"/>
      <c r="AD12" s="1"/>
    </row>
    <row r="13" ht="12.75" customHeight="1">
      <c r="A13" s="25" t="s">
        <v>16</v>
      </c>
      <c r="B13" s="19">
        <v>9.0</v>
      </c>
      <c r="C13" s="19">
        <v>33.4</v>
      </c>
      <c r="D13" s="19">
        <v>0.6</v>
      </c>
      <c r="E13" s="19">
        <v>1.7</v>
      </c>
      <c r="F13" s="19">
        <v>6.3</v>
      </c>
      <c r="G13" s="19">
        <v>1.5</v>
      </c>
      <c r="H13" s="19">
        <v>7.7</v>
      </c>
      <c r="I13" s="19">
        <v>0.5</v>
      </c>
      <c r="J13" s="20">
        <v>435.0</v>
      </c>
      <c r="K13" s="1"/>
      <c r="L13" s="1"/>
      <c r="M13" s="1"/>
      <c r="N13" s="1"/>
      <c r="O13" s="1"/>
      <c r="P13" s="1"/>
      <c r="Q13" s="1"/>
      <c r="R13" s="1"/>
      <c r="S13" s="1"/>
      <c r="T13" s="1"/>
      <c r="U13" s="1"/>
      <c r="V13" s="1"/>
      <c r="W13" s="1"/>
      <c r="X13" s="1"/>
      <c r="Y13" s="1"/>
      <c r="Z13" s="1"/>
      <c r="AA13" s="1"/>
      <c r="AB13" s="1"/>
      <c r="AC13" s="1"/>
      <c r="AD13" s="1"/>
    </row>
    <row r="14" ht="12.75" customHeight="1">
      <c r="A14" s="25" t="s">
        <v>17</v>
      </c>
      <c r="B14" s="19">
        <v>16.7</v>
      </c>
      <c r="C14" s="19">
        <v>43.7</v>
      </c>
      <c r="D14" s="19">
        <v>0.4</v>
      </c>
      <c r="E14" s="19">
        <v>2.6</v>
      </c>
      <c r="F14" s="19">
        <v>6.7</v>
      </c>
      <c r="G14" s="19">
        <v>1.5</v>
      </c>
      <c r="H14" s="19">
        <v>8.5</v>
      </c>
      <c r="I14" s="19">
        <v>0.4</v>
      </c>
      <c r="J14" s="20">
        <v>1019.0</v>
      </c>
      <c r="K14" s="1"/>
      <c r="L14" s="1"/>
      <c r="M14" s="1"/>
      <c r="N14" s="1"/>
      <c r="O14" s="1"/>
      <c r="P14" s="1"/>
      <c r="Q14" s="1"/>
      <c r="R14" s="1"/>
      <c r="S14" s="1"/>
      <c r="T14" s="1"/>
      <c r="U14" s="1"/>
      <c r="V14" s="1"/>
      <c r="W14" s="1"/>
      <c r="X14" s="1"/>
      <c r="Y14" s="1"/>
      <c r="Z14" s="1"/>
      <c r="AA14" s="1"/>
      <c r="AB14" s="1"/>
      <c r="AC14" s="1"/>
      <c r="AD14" s="1"/>
    </row>
    <row r="15" ht="12.75" customHeight="1">
      <c r="A15" s="25" t="s">
        <v>18</v>
      </c>
      <c r="B15" s="19">
        <v>12.1</v>
      </c>
      <c r="C15" s="19">
        <v>35.8</v>
      </c>
      <c r="D15" s="19">
        <v>0.2</v>
      </c>
      <c r="E15" s="19">
        <v>1.5</v>
      </c>
      <c r="F15" s="19">
        <v>8.6</v>
      </c>
      <c r="G15" s="19">
        <v>1.0</v>
      </c>
      <c r="H15" s="19">
        <v>6.0</v>
      </c>
      <c r="I15" s="19">
        <v>1.6</v>
      </c>
      <c r="J15" s="20">
        <v>534.0</v>
      </c>
      <c r="K15" s="1"/>
      <c r="L15" s="1"/>
      <c r="M15" s="1"/>
      <c r="N15" s="1"/>
      <c r="O15" s="1"/>
      <c r="P15" s="1"/>
      <c r="Q15" s="1"/>
      <c r="R15" s="1"/>
      <c r="S15" s="1"/>
      <c r="T15" s="1"/>
      <c r="U15" s="1"/>
      <c r="V15" s="1"/>
      <c r="W15" s="1"/>
      <c r="X15" s="1"/>
      <c r="Y15" s="1"/>
      <c r="Z15" s="1"/>
      <c r="AA15" s="1"/>
      <c r="AB15" s="1"/>
      <c r="AC15" s="1"/>
      <c r="AD15" s="1"/>
    </row>
    <row r="16" ht="12.75" customHeight="1">
      <c r="A16" s="25" t="s">
        <v>19</v>
      </c>
      <c r="B16" s="19">
        <v>9.9</v>
      </c>
      <c r="C16" s="19">
        <v>30.5</v>
      </c>
      <c r="D16" s="19">
        <v>0.2</v>
      </c>
      <c r="E16" s="19">
        <v>0.8</v>
      </c>
      <c r="F16" s="19">
        <v>7.9</v>
      </c>
      <c r="G16" s="19">
        <v>0.7</v>
      </c>
      <c r="H16" s="19">
        <v>4.7</v>
      </c>
      <c r="I16" s="19">
        <v>1.1</v>
      </c>
      <c r="J16" s="20">
        <v>1571.0</v>
      </c>
      <c r="K16" s="1"/>
      <c r="L16" s="1"/>
      <c r="M16" s="1"/>
      <c r="N16" s="1"/>
      <c r="O16" s="1"/>
      <c r="P16" s="1"/>
      <c r="Q16" s="1"/>
      <c r="R16" s="1"/>
      <c r="S16" s="1"/>
      <c r="T16" s="1"/>
      <c r="U16" s="1"/>
      <c r="V16" s="1"/>
      <c r="W16" s="1"/>
      <c r="X16" s="1"/>
      <c r="Y16" s="1"/>
      <c r="Z16" s="1"/>
      <c r="AA16" s="1"/>
      <c r="AB16" s="1"/>
      <c r="AC16" s="1"/>
      <c r="AD16" s="1"/>
    </row>
    <row r="17" ht="12.75" customHeight="1">
      <c r="A17" s="25" t="s">
        <v>20</v>
      </c>
      <c r="B17" s="19">
        <v>3.4</v>
      </c>
      <c r="C17" s="19">
        <v>14.9</v>
      </c>
      <c r="D17" s="19">
        <v>0.4</v>
      </c>
      <c r="E17" s="19">
        <v>0.7</v>
      </c>
      <c r="F17" s="19">
        <v>11.4</v>
      </c>
      <c r="G17" s="19">
        <v>0.0</v>
      </c>
      <c r="H17" s="19">
        <v>2.0</v>
      </c>
      <c r="I17" s="19">
        <v>3.7</v>
      </c>
      <c r="J17" s="20">
        <v>310.0</v>
      </c>
      <c r="K17" s="1"/>
      <c r="L17" s="1"/>
      <c r="M17" s="1"/>
      <c r="N17" s="1"/>
      <c r="O17" s="1"/>
      <c r="P17" s="1"/>
      <c r="Q17" s="1"/>
      <c r="R17" s="1"/>
      <c r="S17" s="1"/>
      <c r="T17" s="1"/>
      <c r="U17" s="1"/>
      <c r="V17" s="1"/>
      <c r="W17" s="1"/>
      <c r="X17" s="1"/>
      <c r="Y17" s="1"/>
      <c r="Z17" s="1"/>
      <c r="AA17" s="1"/>
      <c r="AB17" s="1"/>
      <c r="AC17" s="1"/>
      <c r="AD17" s="1"/>
    </row>
    <row r="18" ht="12.75" customHeight="1">
      <c r="A18" s="25" t="s">
        <v>21</v>
      </c>
      <c r="B18" s="19">
        <v>2.5</v>
      </c>
      <c r="C18" s="19">
        <v>12.0</v>
      </c>
      <c r="D18" s="19">
        <v>0.8</v>
      </c>
      <c r="E18" s="19">
        <v>1.6</v>
      </c>
      <c r="F18" s="19">
        <v>10.8</v>
      </c>
      <c r="G18" s="19">
        <v>0.4</v>
      </c>
      <c r="H18" s="19">
        <v>1.7</v>
      </c>
      <c r="I18" s="19">
        <v>3.5</v>
      </c>
      <c r="J18" s="20">
        <v>1894.0</v>
      </c>
      <c r="K18" s="1"/>
      <c r="L18" s="1"/>
      <c r="M18" s="1"/>
      <c r="N18" s="1"/>
      <c r="O18" s="1"/>
      <c r="P18" s="1"/>
      <c r="Q18" s="1"/>
      <c r="R18" s="1"/>
      <c r="S18" s="1"/>
      <c r="T18" s="1"/>
      <c r="U18" s="1"/>
      <c r="V18" s="1"/>
      <c r="W18" s="1"/>
      <c r="X18" s="1"/>
      <c r="Y18" s="1"/>
      <c r="Z18" s="1"/>
      <c r="AA18" s="1"/>
      <c r="AB18" s="1"/>
      <c r="AC18" s="1"/>
      <c r="AD18" s="1"/>
    </row>
    <row r="19" ht="12.75" customHeight="1">
      <c r="A19" s="25" t="s">
        <v>22</v>
      </c>
      <c r="B19" s="19">
        <v>3.3</v>
      </c>
      <c r="C19" s="19">
        <v>17.8</v>
      </c>
      <c r="D19" s="19">
        <v>0.6</v>
      </c>
      <c r="E19" s="19">
        <v>1.6</v>
      </c>
      <c r="F19" s="19">
        <v>7.3</v>
      </c>
      <c r="G19" s="19">
        <v>0.3</v>
      </c>
      <c r="H19" s="19">
        <v>2.7</v>
      </c>
      <c r="I19" s="19">
        <v>2.0</v>
      </c>
      <c r="J19" s="20">
        <v>326.0</v>
      </c>
      <c r="K19" s="1"/>
      <c r="L19" s="1"/>
      <c r="M19" s="1"/>
      <c r="N19" s="1"/>
      <c r="O19" s="1"/>
      <c r="P19" s="1"/>
      <c r="Q19" s="1"/>
      <c r="R19" s="1"/>
      <c r="S19" s="1"/>
      <c r="T19" s="1"/>
      <c r="U19" s="1"/>
      <c r="V19" s="1"/>
      <c r="W19" s="1"/>
      <c r="X19" s="1"/>
      <c r="Y19" s="1"/>
      <c r="Z19" s="1"/>
      <c r="AA19" s="1"/>
      <c r="AB19" s="1"/>
      <c r="AC19" s="1"/>
      <c r="AD19" s="1"/>
    </row>
    <row r="20" ht="12.75" customHeight="1">
      <c r="A20" s="25" t="s">
        <v>23</v>
      </c>
      <c r="B20" s="19">
        <v>5.2</v>
      </c>
      <c r="C20" s="19">
        <v>15.0</v>
      </c>
      <c r="D20" s="19">
        <v>1.2</v>
      </c>
      <c r="E20" s="19">
        <v>1.6</v>
      </c>
      <c r="F20" s="19">
        <v>4.2</v>
      </c>
      <c r="G20" s="19">
        <v>1.0</v>
      </c>
      <c r="H20" s="19">
        <v>1.8</v>
      </c>
      <c r="I20" s="19">
        <v>2.1</v>
      </c>
      <c r="J20" s="20">
        <v>58.0</v>
      </c>
      <c r="K20" s="1"/>
      <c r="L20" s="1"/>
      <c r="M20" s="1"/>
      <c r="N20" s="1"/>
      <c r="O20" s="1"/>
      <c r="P20" s="1"/>
      <c r="Q20" s="1"/>
      <c r="R20" s="1"/>
      <c r="S20" s="1"/>
      <c r="T20" s="1"/>
      <c r="U20" s="1"/>
      <c r="V20" s="1"/>
      <c r="W20" s="1"/>
      <c r="X20" s="1"/>
      <c r="Y20" s="1"/>
      <c r="Z20" s="1"/>
      <c r="AA20" s="1"/>
      <c r="AB20" s="1"/>
      <c r="AC20" s="1"/>
      <c r="AD20" s="1"/>
    </row>
    <row r="21" ht="12.75" customHeight="1">
      <c r="A21" s="15" t="s">
        <v>24</v>
      </c>
      <c r="B21" s="26">
        <v>4.2863683040280165</v>
      </c>
      <c r="C21" s="26">
        <v>15.976083269604585</v>
      </c>
      <c r="D21" s="27">
        <v>0.8391238226549399</v>
      </c>
      <c r="E21" s="26">
        <v>1.885258795172786</v>
      </c>
      <c r="F21" s="26">
        <v>10.13459088520055</v>
      </c>
      <c r="G21" s="26">
        <v>0.8085523934874044</v>
      </c>
      <c r="H21" s="26">
        <v>3.0655796081925217</v>
      </c>
      <c r="I21" s="26">
        <v>3.6556807439305437</v>
      </c>
      <c r="J21" s="17">
        <v>5103.846069396784</v>
      </c>
      <c r="K21" s="1"/>
      <c r="L21" s="1"/>
      <c r="M21" s="1"/>
      <c r="N21" s="1"/>
      <c r="O21" s="1"/>
      <c r="P21" s="1"/>
      <c r="Q21" s="1"/>
      <c r="R21" s="1"/>
      <c r="S21" s="1"/>
      <c r="T21" s="1"/>
      <c r="U21" s="1"/>
      <c r="V21" s="1"/>
      <c r="W21" s="1"/>
      <c r="X21" s="1"/>
      <c r="Y21" s="1"/>
      <c r="Z21" s="1"/>
      <c r="AA21" s="1"/>
      <c r="AB21" s="1"/>
      <c r="AC21" s="1"/>
      <c r="AD21" s="1"/>
    </row>
    <row r="22" ht="12.75" customHeight="1">
      <c r="A22" s="18" t="s">
        <v>12</v>
      </c>
      <c r="B22" s="19">
        <v>3.3531524160219877</v>
      </c>
      <c r="C22" s="19">
        <v>12.158236655477777</v>
      </c>
      <c r="D22" s="28">
        <v>0.88783129790744</v>
      </c>
      <c r="E22" s="19">
        <v>2.020162555445784</v>
      </c>
      <c r="F22" s="19">
        <v>10.877081616165237</v>
      </c>
      <c r="G22" s="28">
        <v>0.7715710221915553</v>
      </c>
      <c r="H22" s="19">
        <v>2.6483682246335487</v>
      </c>
      <c r="I22" s="19">
        <v>4.4123787146124425</v>
      </c>
      <c r="J22" s="20">
        <v>3411.3126974486504</v>
      </c>
      <c r="K22" s="1"/>
      <c r="L22" s="1"/>
      <c r="M22" s="1"/>
      <c r="N22" s="1"/>
      <c r="O22" s="1"/>
      <c r="P22" s="1"/>
      <c r="Q22" s="1"/>
      <c r="R22" s="1"/>
      <c r="S22" s="1"/>
      <c r="T22" s="1"/>
      <c r="U22" s="1"/>
      <c r="V22" s="1"/>
      <c r="W22" s="1"/>
      <c r="X22" s="1"/>
      <c r="Y22" s="1"/>
      <c r="Z22" s="1"/>
      <c r="AA22" s="1"/>
      <c r="AB22" s="1"/>
      <c r="AC22" s="1"/>
      <c r="AD22" s="1"/>
    </row>
    <row r="23" ht="12.75" customHeight="1">
      <c r="A23" s="18" t="s">
        <v>13</v>
      </c>
      <c r="B23" s="19">
        <v>6.167271369798306</v>
      </c>
      <c r="C23" s="19">
        <v>23.670979481128793</v>
      </c>
      <c r="D23" s="28">
        <v>0.7409535699772791</v>
      </c>
      <c r="E23" s="19">
        <v>1.6133593348843627</v>
      </c>
      <c r="F23" s="19">
        <v>8.638095690330372</v>
      </c>
      <c r="G23" s="28">
        <v>0.8830886026762296</v>
      </c>
      <c r="H23" s="19">
        <v>3.906472032438587</v>
      </c>
      <c r="I23" s="19">
        <v>2.1305507593148603</v>
      </c>
      <c r="J23" s="20">
        <v>1692.5333719481348</v>
      </c>
      <c r="K23" s="1"/>
      <c r="L23" s="1"/>
      <c r="M23" s="1"/>
      <c r="N23" s="1"/>
      <c r="O23" s="1"/>
      <c r="P23" s="1"/>
      <c r="Q23" s="1"/>
      <c r="R23" s="1"/>
      <c r="S23" s="1"/>
      <c r="T23" s="1"/>
      <c r="U23" s="1"/>
      <c r="V23" s="1"/>
      <c r="W23" s="1"/>
      <c r="X23" s="1"/>
      <c r="Y23" s="1"/>
      <c r="Z23" s="1"/>
      <c r="AA23" s="1"/>
      <c r="AB23" s="1"/>
      <c r="AC23" s="1"/>
      <c r="AD23" s="1"/>
    </row>
    <row r="24" ht="12.75" customHeight="1">
      <c r="A24" s="21" t="s">
        <v>14</v>
      </c>
      <c r="B24" s="22"/>
      <c r="C24" s="22"/>
      <c r="D24" s="23"/>
      <c r="E24" s="23"/>
      <c r="F24" s="23"/>
      <c r="G24" s="23"/>
      <c r="H24" s="23"/>
      <c r="I24" s="23"/>
      <c r="J24" s="24"/>
      <c r="K24" s="1"/>
      <c r="L24" s="1"/>
      <c r="M24" s="1"/>
      <c r="N24" s="1"/>
      <c r="O24" s="1"/>
      <c r="P24" s="1"/>
      <c r="Q24" s="1"/>
      <c r="R24" s="1"/>
      <c r="S24" s="1"/>
      <c r="T24" s="1"/>
      <c r="U24" s="1"/>
      <c r="V24" s="1"/>
      <c r="W24" s="1"/>
      <c r="X24" s="1"/>
      <c r="Y24" s="1"/>
      <c r="Z24" s="1"/>
      <c r="AA24" s="1"/>
      <c r="AB24" s="1"/>
      <c r="AC24" s="1"/>
      <c r="AD24" s="1"/>
    </row>
    <row r="25" ht="12.75" customHeight="1">
      <c r="A25" s="25" t="s">
        <v>15</v>
      </c>
      <c r="B25" s="19">
        <v>4.339153799537381</v>
      </c>
      <c r="C25" s="19">
        <v>17.858610486408924</v>
      </c>
      <c r="D25" s="28">
        <v>0.7215594111955104</v>
      </c>
      <c r="E25" s="28">
        <v>1.6637498818965035</v>
      </c>
      <c r="F25" s="19">
        <v>6.798506218266261</v>
      </c>
      <c r="G25" s="28">
        <v>0.8855466985731172</v>
      </c>
      <c r="H25" s="19">
        <v>4.067648676148857</v>
      </c>
      <c r="I25" s="28">
        <v>3.1001115877247805</v>
      </c>
      <c r="J25" s="20">
        <v>1004.9108679961897</v>
      </c>
      <c r="K25" s="1"/>
      <c r="L25" s="1"/>
      <c r="M25" s="1"/>
      <c r="N25" s="1"/>
      <c r="O25" s="1"/>
      <c r="P25" s="1"/>
      <c r="Q25" s="1"/>
      <c r="R25" s="1"/>
      <c r="S25" s="1"/>
      <c r="T25" s="1"/>
      <c r="U25" s="1"/>
      <c r="V25" s="1"/>
      <c r="W25" s="1"/>
      <c r="X25" s="1"/>
      <c r="Y25" s="1"/>
      <c r="Z25" s="1"/>
      <c r="AA25" s="1"/>
      <c r="AB25" s="1"/>
      <c r="AC25" s="1"/>
      <c r="AD25" s="1"/>
    </row>
    <row r="26" ht="12.75" customHeight="1">
      <c r="A26" s="25" t="s">
        <v>16</v>
      </c>
      <c r="B26" s="19">
        <v>6.072358948807535</v>
      </c>
      <c r="C26" s="19">
        <v>25.67583980306453</v>
      </c>
      <c r="D26" s="28">
        <v>0.7377947304983135</v>
      </c>
      <c r="E26" s="28">
        <v>2.464232723841206</v>
      </c>
      <c r="F26" s="28">
        <v>6.771788109694741</v>
      </c>
      <c r="G26" s="28">
        <v>1.4898766445834624</v>
      </c>
      <c r="H26" s="28">
        <v>4.053472688360523</v>
      </c>
      <c r="I26" s="28">
        <v>0.8157935935965135</v>
      </c>
      <c r="J26" s="20">
        <v>258.8801280913303</v>
      </c>
      <c r="K26" s="1"/>
      <c r="L26" s="1"/>
      <c r="M26" s="1"/>
      <c r="N26" s="1"/>
      <c r="O26" s="1"/>
      <c r="P26" s="1"/>
      <c r="Q26" s="1"/>
      <c r="R26" s="1"/>
      <c r="S26" s="1"/>
      <c r="T26" s="1"/>
      <c r="U26" s="1"/>
      <c r="V26" s="1"/>
      <c r="W26" s="1"/>
      <c r="X26" s="1"/>
      <c r="Y26" s="1"/>
      <c r="Z26" s="1"/>
      <c r="AA26" s="1"/>
      <c r="AB26" s="1"/>
      <c r="AC26" s="1"/>
      <c r="AD26" s="1"/>
    </row>
    <row r="27" ht="12.75" customHeight="1">
      <c r="A27" s="25" t="s">
        <v>17</v>
      </c>
      <c r="B27" s="19">
        <v>8.068525548179291</v>
      </c>
      <c r="C27" s="19">
        <v>29.77397114602606</v>
      </c>
      <c r="D27" s="28">
        <v>1.3706778290570658</v>
      </c>
      <c r="E27" s="28">
        <v>2.3564116661468675</v>
      </c>
      <c r="F27" s="19">
        <v>7.993743050544617</v>
      </c>
      <c r="G27" s="28">
        <v>0.9528436567577938</v>
      </c>
      <c r="H27" s="19">
        <v>5.84489554213771</v>
      </c>
      <c r="I27" s="28">
        <v>2.236470481329116</v>
      </c>
      <c r="J27" s="20">
        <v>462.7284607094442</v>
      </c>
      <c r="K27" s="1"/>
      <c r="L27" s="1"/>
      <c r="M27" s="1"/>
      <c r="N27" s="1"/>
      <c r="O27" s="1"/>
      <c r="P27" s="1"/>
      <c r="Q27" s="1"/>
      <c r="R27" s="1"/>
      <c r="S27" s="1"/>
      <c r="T27" s="1"/>
      <c r="U27" s="1"/>
      <c r="V27" s="1"/>
      <c r="W27" s="1"/>
      <c r="X27" s="1"/>
      <c r="Y27" s="1"/>
      <c r="Z27" s="1"/>
      <c r="AA27" s="1"/>
      <c r="AB27" s="1"/>
      <c r="AC27" s="1"/>
      <c r="AD27" s="1"/>
    </row>
    <row r="28" ht="12.75" customHeight="1">
      <c r="A28" s="25" t="s">
        <v>18</v>
      </c>
      <c r="B28" s="28">
        <v>6.954968829003549</v>
      </c>
      <c r="C28" s="19">
        <v>26.196422466203447</v>
      </c>
      <c r="D28" s="28">
        <v>0.5623437359657844</v>
      </c>
      <c r="E28" s="28">
        <v>1.8276678433422227</v>
      </c>
      <c r="F28" s="19">
        <v>11.46350039514694</v>
      </c>
      <c r="G28" s="28">
        <v>0.7847647518621412</v>
      </c>
      <c r="H28" s="28">
        <v>3.6575928550581023</v>
      </c>
      <c r="I28" s="28">
        <v>4.828486261998897</v>
      </c>
      <c r="J28" s="20">
        <v>270.23685916390866</v>
      </c>
      <c r="K28" s="1"/>
      <c r="L28" s="1"/>
      <c r="M28" s="1"/>
      <c r="N28" s="1"/>
      <c r="O28" s="1"/>
      <c r="P28" s="1"/>
      <c r="Q28" s="1"/>
      <c r="R28" s="1"/>
      <c r="S28" s="1"/>
      <c r="T28" s="1"/>
      <c r="U28" s="1"/>
      <c r="V28" s="1"/>
      <c r="W28" s="1"/>
      <c r="X28" s="1"/>
      <c r="Y28" s="1"/>
      <c r="Z28" s="1"/>
      <c r="AA28" s="1"/>
      <c r="AB28" s="1"/>
      <c r="AC28" s="1"/>
      <c r="AD28" s="1"/>
    </row>
    <row r="29" ht="12.75" customHeight="1">
      <c r="A29" s="25" t="s">
        <v>19</v>
      </c>
      <c r="B29" s="28">
        <v>3.4246766986352934</v>
      </c>
      <c r="C29" s="19">
        <v>15.058470616095823</v>
      </c>
      <c r="D29" s="28">
        <v>0.7443992748291766</v>
      </c>
      <c r="E29" s="28">
        <v>1.858682401421755</v>
      </c>
      <c r="F29" s="19">
        <v>8.136325201518568</v>
      </c>
      <c r="G29" s="28">
        <v>0.7807891983862073</v>
      </c>
      <c r="H29" s="19">
        <v>2.9276210493490247</v>
      </c>
      <c r="I29" s="28">
        <v>3.214195242978394</v>
      </c>
      <c r="J29" s="20">
        <v>903.2509783671306</v>
      </c>
      <c r="K29" s="1"/>
      <c r="L29" s="1"/>
      <c r="M29" s="1"/>
      <c r="N29" s="1"/>
      <c r="O29" s="1"/>
      <c r="P29" s="1"/>
      <c r="Q29" s="1"/>
      <c r="R29" s="1"/>
      <c r="S29" s="1"/>
      <c r="T29" s="1"/>
      <c r="U29" s="1"/>
      <c r="V29" s="1"/>
      <c r="W29" s="1"/>
      <c r="X29" s="1"/>
      <c r="Y29" s="1"/>
      <c r="Z29" s="1"/>
      <c r="AA29" s="1"/>
      <c r="AB29" s="1"/>
      <c r="AC29" s="1"/>
      <c r="AD29" s="1"/>
    </row>
    <row r="30" ht="12.75" customHeight="1">
      <c r="A30" s="25" t="s">
        <v>20</v>
      </c>
      <c r="B30" s="28">
        <v>6.281508567003843</v>
      </c>
      <c r="C30" s="19">
        <v>14.69398307349854</v>
      </c>
      <c r="D30" s="28">
        <v>0.6070298630536536</v>
      </c>
      <c r="E30" s="28">
        <v>1.3896577551360048</v>
      </c>
      <c r="F30" s="19">
        <v>19.959945355432232</v>
      </c>
      <c r="G30" s="28">
        <v>0.6397245581446162</v>
      </c>
      <c r="H30" s="28">
        <v>2.1529043716681735</v>
      </c>
      <c r="I30" s="28">
        <v>5.3371930774496965</v>
      </c>
      <c r="J30" s="20">
        <v>233.09955616649955</v>
      </c>
      <c r="K30" s="1"/>
      <c r="L30" s="1"/>
      <c r="M30" s="1"/>
      <c r="N30" s="1"/>
      <c r="O30" s="1"/>
      <c r="P30" s="1"/>
      <c r="Q30" s="1"/>
      <c r="R30" s="1"/>
      <c r="S30" s="1"/>
      <c r="T30" s="1"/>
      <c r="U30" s="1"/>
      <c r="V30" s="1"/>
      <c r="W30" s="1"/>
      <c r="X30" s="1"/>
      <c r="Y30" s="1"/>
      <c r="Z30" s="1"/>
      <c r="AA30" s="1"/>
      <c r="AB30" s="1"/>
      <c r="AC30" s="1"/>
      <c r="AD30" s="1"/>
    </row>
    <row r="31" ht="12.75" customHeight="1">
      <c r="A31" s="25" t="s">
        <v>21</v>
      </c>
      <c r="B31" s="28">
        <v>2.622140102221247</v>
      </c>
      <c r="C31" s="19">
        <v>8.413655551872331</v>
      </c>
      <c r="D31" s="28">
        <v>1.0433937158527276</v>
      </c>
      <c r="E31" s="28">
        <v>2.17546434605391</v>
      </c>
      <c r="F31" s="19">
        <v>13.24363708052085</v>
      </c>
      <c r="G31" s="28">
        <v>0.7474448538433549</v>
      </c>
      <c r="H31" s="28">
        <v>1.717112390139109</v>
      </c>
      <c r="I31" s="19">
        <v>4.856663960294311</v>
      </c>
      <c r="J31" s="20">
        <v>1607.664734413586</v>
      </c>
      <c r="K31" s="1"/>
      <c r="L31" s="1"/>
      <c r="M31" s="1"/>
      <c r="N31" s="1"/>
      <c r="O31" s="1"/>
      <c r="P31" s="1"/>
      <c r="Q31" s="1"/>
      <c r="R31" s="1"/>
      <c r="S31" s="1"/>
      <c r="T31" s="1"/>
      <c r="U31" s="1"/>
      <c r="V31" s="1"/>
      <c r="W31" s="1"/>
      <c r="X31" s="1"/>
      <c r="Y31" s="1"/>
      <c r="Z31" s="1"/>
      <c r="AA31" s="1"/>
      <c r="AB31" s="1"/>
      <c r="AC31" s="1"/>
      <c r="AD31" s="1"/>
    </row>
    <row r="32" ht="12.75" customHeight="1">
      <c r="A32" s="25" t="s">
        <v>22</v>
      </c>
      <c r="B32" s="28">
        <v>3.9792191433485975</v>
      </c>
      <c r="C32" s="19">
        <v>14.800080226013648</v>
      </c>
      <c r="D32" s="28">
        <v>0.18616013245582957</v>
      </c>
      <c r="E32" s="28">
        <v>0.408734705462167</v>
      </c>
      <c r="F32" s="19">
        <v>9.65520410736849</v>
      </c>
      <c r="G32" s="28">
        <v>0.4558283860004567</v>
      </c>
      <c r="H32" s="28">
        <v>2.414435459275178</v>
      </c>
      <c r="I32" s="28">
        <v>3.489506675874673</v>
      </c>
      <c r="J32" s="20">
        <v>279.5711605835026</v>
      </c>
      <c r="K32" s="1"/>
      <c r="L32" s="1"/>
      <c r="M32" s="1"/>
      <c r="N32" s="1"/>
      <c r="O32" s="1"/>
      <c r="P32" s="1"/>
      <c r="Q32" s="1"/>
      <c r="R32" s="1"/>
      <c r="S32" s="1"/>
      <c r="T32" s="1"/>
      <c r="U32" s="1"/>
      <c r="V32" s="1"/>
      <c r="W32" s="1"/>
      <c r="X32" s="1"/>
      <c r="Y32" s="1"/>
      <c r="Z32" s="1"/>
      <c r="AA32" s="1"/>
      <c r="AB32" s="1"/>
      <c r="AC32" s="1"/>
      <c r="AD32" s="1"/>
    </row>
    <row r="33" ht="12.75" customHeight="1">
      <c r="A33" s="29" t="s">
        <v>25</v>
      </c>
      <c r="B33" s="30">
        <v>5.339982461191317</v>
      </c>
      <c r="C33" s="31">
        <v>16.75308637918613</v>
      </c>
      <c r="D33" s="31">
        <v>0.4441480464393893</v>
      </c>
      <c r="E33" s="31">
        <v>1.3586819641841905</v>
      </c>
      <c r="F33" s="31">
        <v>4.2056041747830015</v>
      </c>
      <c r="G33" s="31">
        <v>0.1761179679899714</v>
      </c>
      <c r="H33" s="31">
        <v>2.8080011771551803</v>
      </c>
      <c r="I33" s="31">
        <v>0.7306843463882319</v>
      </c>
      <c r="J33" s="32">
        <v>83.50332390519213</v>
      </c>
      <c r="K33" s="1"/>
      <c r="L33" s="1"/>
      <c r="M33" s="1"/>
      <c r="N33" s="1"/>
      <c r="O33" s="1"/>
      <c r="P33" s="1"/>
      <c r="Q33" s="1"/>
      <c r="R33" s="1"/>
      <c r="S33" s="1"/>
      <c r="T33" s="1"/>
      <c r="U33" s="1"/>
      <c r="V33" s="1"/>
      <c r="W33" s="1"/>
      <c r="X33" s="1"/>
      <c r="Y33" s="1"/>
      <c r="Z33" s="1"/>
      <c r="AA33" s="1"/>
      <c r="AB33" s="1"/>
      <c r="AC33" s="1"/>
      <c r="AD33" s="1"/>
    </row>
    <row r="34" ht="12.75" customHeight="1">
      <c r="A34" s="15" t="s">
        <v>26</v>
      </c>
      <c r="B34" s="26">
        <v>3.5</v>
      </c>
      <c r="C34" s="26">
        <v>14.4</v>
      </c>
      <c r="D34" s="26">
        <v>1.0</v>
      </c>
      <c r="E34" s="26">
        <v>2.6</v>
      </c>
      <c r="F34" s="26">
        <v>8.5</v>
      </c>
      <c r="G34" s="27">
        <v>0.5</v>
      </c>
      <c r="H34" s="26">
        <v>2.5</v>
      </c>
      <c r="I34" s="26">
        <v>2.2</v>
      </c>
      <c r="J34" s="17">
        <v>4391.0</v>
      </c>
      <c r="K34" s="1"/>
      <c r="L34" s="1"/>
      <c r="M34" s="1"/>
      <c r="N34" s="1"/>
      <c r="O34" s="1"/>
      <c r="P34" s="1"/>
      <c r="Q34" s="1"/>
      <c r="R34" s="1"/>
      <c r="S34" s="1"/>
      <c r="T34" s="1"/>
      <c r="U34" s="1"/>
      <c r="V34" s="1"/>
      <c r="W34" s="1"/>
      <c r="X34" s="1"/>
      <c r="Y34" s="1"/>
      <c r="Z34" s="1"/>
      <c r="AA34" s="1"/>
      <c r="AB34" s="1"/>
      <c r="AC34" s="1"/>
      <c r="AD34" s="1"/>
    </row>
    <row r="35" ht="12.75" customHeight="1">
      <c r="A35" s="18" t="s">
        <v>12</v>
      </c>
      <c r="B35" s="19">
        <v>3.0</v>
      </c>
      <c r="C35" s="19">
        <v>12.4</v>
      </c>
      <c r="D35" s="19">
        <v>1.0</v>
      </c>
      <c r="E35" s="19">
        <v>2.5</v>
      </c>
      <c r="F35" s="19">
        <v>9.5</v>
      </c>
      <c r="G35" s="28">
        <v>0.6</v>
      </c>
      <c r="H35" s="19">
        <v>2.8</v>
      </c>
      <c r="I35" s="19">
        <v>2.7</v>
      </c>
      <c r="J35" s="20">
        <v>3024.0</v>
      </c>
      <c r="K35" s="1"/>
      <c r="L35" s="1"/>
      <c r="M35" s="1"/>
      <c r="N35" s="1"/>
      <c r="O35" s="1"/>
      <c r="P35" s="1"/>
      <c r="Q35" s="1"/>
      <c r="R35" s="1"/>
      <c r="S35" s="1"/>
      <c r="T35" s="1"/>
      <c r="U35" s="1"/>
      <c r="V35" s="1"/>
      <c r="W35" s="1"/>
      <c r="X35" s="1"/>
      <c r="Y35" s="1"/>
      <c r="Z35" s="1"/>
      <c r="AA35" s="1"/>
      <c r="AB35" s="1"/>
      <c r="AC35" s="1"/>
      <c r="AD35" s="1"/>
    </row>
    <row r="36" ht="12.75" customHeight="1">
      <c r="A36" s="18" t="s">
        <v>13</v>
      </c>
      <c r="B36" s="19">
        <v>4.6</v>
      </c>
      <c r="C36" s="19">
        <v>18.8</v>
      </c>
      <c r="D36" s="28">
        <v>0.8</v>
      </c>
      <c r="E36" s="28">
        <v>2.6</v>
      </c>
      <c r="F36" s="19">
        <v>6.3</v>
      </c>
      <c r="G36" s="28">
        <v>0.3</v>
      </c>
      <c r="H36" s="19">
        <v>1.9</v>
      </c>
      <c r="I36" s="28">
        <v>1.1</v>
      </c>
      <c r="J36" s="20">
        <v>1367.0</v>
      </c>
      <c r="K36" s="1"/>
      <c r="L36" s="1"/>
      <c r="M36" s="1"/>
      <c r="N36" s="1"/>
      <c r="O36" s="1"/>
      <c r="P36" s="1"/>
      <c r="Q36" s="1"/>
      <c r="R36" s="1"/>
      <c r="S36" s="1"/>
      <c r="T36" s="1"/>
      <c r="U36" s="1"/>
      <c r="V36" s="1"/>
      <c r="W36" s="1"/>
      <c r="X36" s="1"/>
      <c r="Y36" s="1"/>
      <c r="Z36" s="1"/>
      <c r="AA36" s="1"/>
      <c r="AB36" s="1"/>
      <c r="AC36" s="1"/>
      <c r="AD36" s="1"/>
    </row>
    <row r="37" ht="12.75" customHeight="1">
      <c r="A37" s="21" t="s">
        <v>14</v>
      </c>
      <c r="B37" s="22"/>
      <c r="C37" s="22"/>
      <c r="D37" s="23"/>
      <c r="E37" s="23"/>
      <c r="F37" s="23"/>
      <c r="G37" s="23"/>
      <c r="H37" s="23"/>
      <c r="I37" s="23"/>
      <c r="J37" s="24"/>
      <c r="K37" s="1"/>
      <c r="L37" s="33"/>
      <c r="M37" s="33"/>
      <c r="N37" s="33"/>
      <c r="O37" s="33"/>
      <c r="P37" s="33"/>
      <c r="Q37" s="33"/>
      <c r="R37" s="33"/>
      <c r="S37" s="33"/>
      <c r="T37" s="33"/>
      <c r="U37" s="33"/>
      <c r="V37" s="1"/>
      <c r="W37" s="33"/>
      <c r="X37" s="33"/>
      <c r="Y37" s="33"/>
      <c r="Z37" s="33"/>
      <c r="AA37" s="33"/>
      <c r="AB37" s="33"/>
      <c r="AC37" s="33"/>
      <c r="AD37" s="33"/>
    </row>
    <row r="38" ht="12.75" customHeight="1">
      <c r="A38" s="25" t="s">
        <v>15</v>
      </c>
      <c r="B38" s="19">
        <v>5.0</v>
      </c>
      <c r="C38" s="19">
        <v>16.7</v>
      </c>
      <c r="D38" s="28">
        <v>0.8</v>
      </c>
      <c r="E38" s="28">
        <v>2.0</v>
      </c>
      <c r="F38" s="19">
        <v>10.4</v>
      </c>
      <c r="G38" s="28">
        <v>0.3</v>
      </c>
      <c r="H38" s="28">
        <v>2.6</v>
      </c>
      <c r="I38" s="28">
        <v>0.8</v>
      </c>
      <c r="J38" s="20">
        <v>1005.0</v>
      </c>
      <c r="K38" s="1"/>
      <c r="L38" s="33"/>
      <c r="M38" s="33"/>
      <c r="N38" s="33"/>
      <c r="O38" s="33"/>
      <c r="P38" s="33"/>
      <c r="Q38" s="33"/>
      <c r="R38" s="33"/>
      <c r="S38" s="33"/>
      <c r="T38" s="33"/>
      <c r="U38" s="33"/>
      <c r="V38" s="1"/>
      <c r="W38" s="33"/>
      <c r="X38" s="33"/>
      <c r="Y38" s="33"/>
      <c r="Z38" s="33"/>
      <c r="AA38" s="33"/>
      <c r="AB38" s="33"/>
      <c r="AC38" s="33"/>
      <c r="AD38" s="33"/>
    </row>
    <row r="39" ht="12.75" customHeight="1">
      <c r="A39" s="25" t="s">
        <v>16</v>
      </c>
      <c r="B39" s="28">
        <v>7.9</v>
      </c>
      <c r="C39" s="19">
        <v>24.3</v>
      </c>
      <c r="D39" s="28">
        <v>1.0</v>
      </c>
      <c r="E39" s="28">
        <v>2.9</v>
      </c>
      <c r="F39" s="28">
        <v>7.2</v>
      </c>
      <c r="G39" s="28">
        <v>0.8</v>
      </c>
      <c r="H39" s="28">
        <v>4.3</v>
      </c>
      <c r="I39" s="28">
        <v>2.4</v>
      </c>
      <c r="J39" s="20">
        <v>178.0</v>
      </c>
      <c r="K39" s="1"/>
      <c r="L39" s="33"/>
      <c r="M39" s="33"/>
      <c r="N39" s="33"/>
      <c r="O39" s="33"/>
      <c r="P39" s="33"/>
      <c r="Q39" s="33"/>
      <c r="R39" s="33"/>
      <c r="S39" s="33"/>
      <c r="T39" s="33"/>
      <c r="U39" s="33"/>
      <c r="V39" s="1"/>
      <c r="W39" s="33"/>
      <c r="X39" s="33"/>
      <c r="Y39" s="33"/>
      <c r="Z39" s="33"/>
      <c r="AA39" s="33"/>
      <c r="AB39" s="33"/>
      <c r="AC39" s="33"/>
      <c r="AD39" s="33"/>
    </row>
    <row r="40" ht="12.75" customHeight="1">
      <c r="A40" s="25" t="s">
        <v>17</v>
      </c>
      <c r="B40" s="28">
        <v>6.2</v>
      </c>
      <c r="C40" s="19">
        <v>26.7</v>
      </c>
      <c r="D40" s="28">
        <v>1.4</v>
      </c>
      <c r="E40" s="28">
        <v>4.3</v>
      </c>
      <c r="F40" s="19">
        <v>6.1</v>
      </c>
      <c r="G40" s="28">
        <v>0.8</v>
      </c>
      <c r="H40" s="28">
        <v>3.0</v>
      </c>
      <c r="I40" s="28">
        <v>1.1</v>
      </c>
      <c r="J40" s="20">
        <v>367.0</v>
      </c>
      <c r="K40" s="1"/>
      <c r="L40" s="33"/>
      <c r="M40" s="33"/>
      <c r="N40" s="33"/>
      <c r="O40" s="33"/>
      <c r="P40" s="33"/>
      <c r="Q40" s="33"/>
      <c r="R40" s="33"/>
      <c r="S40" s="33"/>
      <c r="T40" s="33"/>
      <c r="U40" s="33"/>
      <c r="V40" s="1"/>
      <c r="W40" s="33"/>
      <c r="X40" s="33"/>
      <c r="Y40" s="33"/>
      <c r="Z40" s="33"/>
      <c r="AA40" s="33"/>
      <c r="AB40" s="33"/>
      <c r="AC40" s="33"/>
      <c r="AD40" s="33"/>
    </row>
    <row r="41" ht="12.75" customHeight="1">
      <c r="A41" s="25" t="s">
        <v>18</v>
      </c>
      <c r="B41" s="28">
        <v>1.9</v>
      </c>
      <c r="C41" s="28">
        <v>13.6</v>
      </c>
      <c r="D41" s="28">
        <v>1.7</v>
      </c>
      <c r="E41" s="28">
        <v>2.0</v>
      </c>
      <c r="F41" s="28">
        <v>6.9</v>
      </c>
      <c r="G41" s="28">
        <v>1.3</v>
      </c>
      <c r="H41" s="28">
        <v>1.9</v>
      </c>
      <c r="I41" s="28">
        <v>2.3</v>
      </c>
      <c r="J41" s="20">
        <v>240.0</v>
      </c>
      <c r="K41" s="1"/>
      <c r="L41" s="33"/>
      <c r="M41" s="33"/>
      <c r="N41" s="33"/>
      <c r="O41" s="33"/>
      <c r="P41" s="33"/>
      <c r="Q41" s="33"/>
      <c r="R41" s="33"/>
      <c r="S41" s="33"/>
      <c r="T41" s="33"/>
      <c r="U41" s="33"/>
      <c r="V41" s="1"/>
      <c r="W41" s="33"/>
      <c r="X41" s="33"/>
      <c r="Y41" s="33"/>
      <c r="Z41" s="33"/>
      <c r="AA41" s="33"/>
      <c r="AB41" s="33"/>
      <c r="AC41" s="33"/>
      <c r="AD41" s="33"/>
    </row>
    <row r="42" ht="12.75" customHeight="1">
      <c r="A42" s="25" t="s">
        <v>19</v>
      </c>
      <c r="B42" s="28">
        <v>3.2</v>
      </c>
      <c r="C42" s="19">
        <v>12.6</v>
      </c>
      <c r="D42" s="28">
        <v>0.6</v>
      </c>
      <c r="E42" s="28">
        <v>2.1</v>
      </c>
      <c r="F42" s="19">
        <v>6.2</v>
      </c>
      <c r="G42" s="28">
        <v>0.7</v>
      </c>
      <c r="H42" s="28">
        <v>3.0</v>
      </c>
      <c r="I42" s="28">
        <v>2.5</v>
      </c>
      <c r="J42" s="20">
        <v>755.0</v>
      </c>
      <c r="K42" s="1"/>
      <c r="L42" s="33"/>
      <c r="M42" s="33"/>
      <c r="N42" s="33"/>
      <c r="O42" s="33"/>
      <c r="P42" s="33"/>
      <c r="Q42" s="33"/>
      <c r="R42" s="33"/>
      <c r="S42" s="33"/>
      <c r="T42" s="33"/>
      <c r="U42" s="33"/>
      <c r="V42" s="1"/>
      <c r="W42" s="33"/>
      <c r="X42" s="33"/>
      <c r="Y42" s="33"/>
      <c r="Z42" s="33"/>
      <c r="AA42" s="33"/>
      <c r="AB42" s="33"/>
      <c r="AC42" s="33"/>
      <c r="AD42" s="33"/>
    </row>
    <row r="43" ht="12.75" customHeight="1">
      <c r="A43" s="25" t="s">
        <v>20</v>
      </c>
      <c r="B43" s="28">
        <v>2.8</v>
      </c>
      <c r="C43" s="28">
        <v>9.1</v>
      </c>
      <c r="D43" s="28">
        <v>0.2</v>
      </c>
      <c r="E43" s="28">
        <v>1.5</v>
      </c>
      <c r="F43" s="19">
        <v>10.7</v>
      </c>
      <c r="G43" s="28">
        <v>0.6</v>
      </c>
      <c r="H43" s="28">
        <v>1.2</v>
      </c>
      <c r="I43" s="28">
        <v>5.3</v>
      </c>
      <c r="J43" s="20">
        <v>209.0</v>
      </c>
      <c r="K43" s="1"/>
      <c r="L43" s="33"/>
      <c r="M43" s="33"/>
      <c r="N43" s="33"/>
      <c r="O43" s="33"/>
      <c r="P43" s="33"/>
      <c r="Q43" s="33"/>
      <c r="R43" s="33"/>
      <c r="S43" s="33"/>
      <c r="T43" s="33"/>
      <c r="U43" s="33"/>
      <c r="V43" s="1"/>
      <c r="W43" s="33"/>
      <c r="X43" s="33"/>
      <c r="Y43" s="33"/>
      <c r="Z43" s="33"/>
      <c r="AA43" s="33"/>
      <c r="AB43" s="33"/>
      <c r="AC43" s="33"/>
      <c r="AD43" s="33"/>
    </row>
    <row r="44" ht="12.75" customHeight="1">
      <c r="A44" s="25" t="s">
        <v>21</v>
      </c>
      <c r="B44" s="28">
        <v>1.6</v>
      </c>
      <c r="C44" s="19">
        <v>10.1</v>
      </c>
      <c r="D44" s="28">
        <v>0.7</v>
      </c>
      <c r="E44" s="28">
        <v>2.6</v>
      </c>
      <c r="F44" s="19">
        <v>9.6</v>
      </c>
      <c r="G44" s="28">
        <v>0.2</v>
      </c>
      <c r="H44" s="28">
        <v>1.3</v>
      </c>
      <c r="I44" s="28">
        <v>3.0</v>
      </c>
      <c r="J44" s="20">
        <v>1323.0</v>
      </c>
      <c r="K44" s="1"/>
      <c r="L44" s="33"/>
      <c r="M44" s="33"/>
      <c r="N44" s="33"/>
      <c r="O44" s="33"/>
      <c r="P44" s="33"/>
      <c r="Q44" s="33"/>
      <c r="R44" s="33"/>
      <c r="S44" s="33"/>
      <c r="T44" s="33"/>
      <c r="U44" s="33"/>
      <c r="V44" s="1"/>
      <c r="W44" s="33"/>
      <c r="X44" s="33"/>
      <c r="Y44" s="33"/>
      <c r="Z44" s="33"/>
      <c r="AA44" s="33"/>
      <c r="AB44" s="33"/>
      <c r="AC44" s="33"/>
      <c r="AD44" s="33"/>
    </row>
    <row r="45" ht="12.75" customHeight="1">
      <c r="A45" s="25" t="s">
        <v>22</v>
      </c>
      <c r="B45" s="28">
        <v>4.0</v>
      </c>
      <c r="C45" s="19">
        <v>15.5</v>
      </c>
      <c r="D45" s="28">
        <v>2.5</v>
      </c>
      <c r="E45" s="28">
        <v>4.3</v>
      </c>
      <c r="F45" s="28">
        <v>7.8</v>
      </c>
      <c r="G45" s="28">
        <v>1.0</v>
      </c>
      <c r="H45" s="28">
        <v>5.9</v>
      </c>
      <c r="I45" s="28">
        <v>2.0</v>
      </c>
      <c r="J45" s="20">
        <v>238.0</v>
      </c>
      <c r="K45" s="1"/>
      <c r="L45" s="33"/>
      <c r="M45" s="33"/>
      <c r="N45" s="33"/>
      <c r="O45" s="33"/>
      <c r="P45" s="33"/>
      <c r="Q45" s="33"/>
      <c r="R45" s="33"/>
      <c r="S45" s="33"/>
      <c r="T45" s="33"/>
      <c r="U45" s="33"/>
      <c r="V45" s="1"/>
      <c r="W45" s="33"/>
      <c r="X45" s="33"/>
      <c r="Y45" s="33"/>
      <c r="Z45" s="33"/>
      <c r="AA45" s="33"/>
      <c r="AB45" s="33"/>
      <c r="AC45" s="33"/>
      <c r="AD45" s="33"/>
    </row>
    <row r="46" ht="12.75" customHeight="1">
      <c r="A46" s="29" t="s">
        <v>25</v>
      </c>
      <c r="B46" s="31">
        <v>2.2</v>
      </c>
      <c r="C46" s="34">
        <v>9.2</v>
      </c>
      <c r="D46" s="31">
        <v>4.0</v>
      </c>
      <c r="E46" s="31">
        <v>5.5</v>
      </c>
      <c r="F46" s="31">
        <v>4.6</v>
      </c>
      <c r="G46" s="34">
        <v>0.0</v>
      </c>
      <c r="H46" s="31">
        <v>4.1</v>
      </c>
      <c r="I46" s="31">
        <v>1.9</v>
      </c>
      <c r="J46" s="32">
        <v>75.0</v>
      </c>
      <c r="K46" s="1"/>
      <c r="L46" s="33"/>
      <c r="M46" s="33"/>
      <c r="N46" s="33"/>
      <c r="O46" s="33"/>
      <c r="P46" s="33"/>
      <c r="Q46" s="33"/>
      <c r="R46" s="33"/>
      <c r="S46" s="33"/>
      <c r="T46" s="33"/>
      <c r="U46" s="33"/>
      <c r="V46" s="1"/>
      <c r="W46" s="1"/>
      <c r="X46" s="1"/>
      <c r="Y46" s="1"/>
      <c r="Z46" s="1"/>
      <c r="AA46" s="1"/>
      <c r="AB46" s="1"/>
      <c r="AC46" s="1"/>
      <c r="AD46" s="1"/>
    </row>
    <row r="47" ht="12.0" customHeight="1">
      <c r="A47" s="35" t="s">
        <v>27</v>
      </c>
      <c r="K47" s="1"/>
      <c r="L47" s="33"/>
      <c r="M47" s="33"/>
      <c r="N47" s="33"/>
      <c r="O47" s="33"/>
      <c r="P47" s="33"/>
      <c r="Q47" s="33"/>
      <c r="R47" s="33"/>
      <c r="S47" s="33"/>
      <c r="T47" s="33"/>
      <c r="U47" s="33"/>
      <c r="V47" s="1"/>
      <c r="W47" s="1"/>
      <c r="X47" s="1"/>
      <c r="Y47" s="1"/>
      <c r="Z47" s="1"/>
      <c r="AA47" s="1"/>
      <c r="AB47" s="1"/>
      <c r="AC47" s="1"/>
      <c r="AD47" s="1"/>
    </row>
    <row r="48" ht="12.0" customHeight="1">
      <c r="A48" s="35" t="s">
        <v>28</v>
      </c>
      <c r="K48" s="1"/>
      <c r="L48" s="33"/>
      <c r="M48" s="33"/>
      <c r="N48" s="33"/>
      <c r="O48" s="33"/>
      <c r="P48" s="33"/>
      <c r="Q48" s="33"/>
      <c r="R48" s="33"/>
      <c r="S48" s="33"/>
      <c r="T48" s="33"/>
      <c r="U48" s="33"/>
      <c r="V48" s="1"/>
      <c r="W48" s="1"/>
      <c r="X48" s="1"/>
      <c r="Y48" s="1"/>
      <c r="Z48" s="1"/>
      <c r="AA48" s="1"/>
      <c r="AB48" s="1"/>
      <c r="AC48" s="1"/>
      <c r="AD48" s="1"/>
    </row>
    <row r="49" ht="12.0" customHeight="1">
      <c r="A49" s="36" t="s">
        <v>29</v>
      </c>
      <c r="B49" s="35"/>
      <c r="C49" s="35"/>
      <c r="D49" s="35"/>
      <c r="E49" s="35"/>
      <c r="F49" s="35"/>
      <c r="G49" s="35"/>
      <c r="H49" s="35"/>
      <c r="I49" s="35"/>
      <c r="J49" s="35"/>
      <c r="K49" s="1"/>
      <c r="L49" s="33"/>
      <c r="M49" s="33"/>
      <c r="N49" s="33"/>
      <c r="O49" s="33"/>
      <c r="P49" s="33"/>
      <c r="Q49" s="33"/>
      <c r="R49" s="33"/>
      <c r="S49" s="33"/>
      <c r="T49" s="33"/>
      <c r="U49" s="33"/>
      <c r="V49" s="1"/>
      <c r="W49" s="1"/>
      <c r="X49" s="1"/>
      <c r="Y49" s="1"/>
      <c r="Z49" s="1"/>
      <c r="AA49" s="1"/>
      <c r="AB49" s="1"/>
      <c r="AC49" s="1"/>
      <c r="AD49" s="1"/>
    </row>
    <row r="50" ht="21.75" customHeight="1">
      <c r="A50" s="37" t="s">
        <v>30</v>
      </c>
      <c r="K50" s="1"/>
      <c r="L50" s="33"/>
      <c r="M50" s="33"/>
      <c r="N50" s="33"/>
      <c r="O50" s="33"/>
      <c r="P50" s="33"/>
      <c r="Q50" s="33"/>
      <c r="R50" s="33"/>
      <c r="S50" s="33"/>
      <c r="T50" s="33"/>
      <c r="U50" s="33"/>
      <c r="V50" s="1"/>
      <c r="W50" s="1"/>
      <c r="X50" s="1"/>
      <c r="Y50" s="1"/>
      <c r="Z50" s="1"/>
      <c r="AA50" s="1"/>
      <c r="AB50" s="1"/>
      <c r="AC50" s="1"/>
      <c r="AD50" s="1"/>
    </row>
    <row r="51" ht="12.75" customHeight="1">
      <c r="A51" s="35" t="s">
        <v>31</v>
      </c>
      <c r="K51" s="1"/>
      <c r="L51" s="33"/>
      <c r="M51" s="33"/>
      <c r="N51" s="33"/>
      <c r="O51" s="33"/>
      <c r="P51" s="33"/>
      <c r="Q51" s="33"/>
      <c r="R51" s="33"/>
      <c r="S51" s="33"/>
      <c r="T51" s="33"/>
      <c r="U51" s="33"/>
      <c r="V51" s="1"/>
      <c r="W51" s="1"/>
      <c r="X51" s="1"/>
      <c r="Y51" s="1"/>
      <c r="Z51" s="1"/>
      <c r="AA51" s="1"/>
      <c r="AB51" s="1"/>
      <c r="AC51" s="1"/>
      <c r="AD51" s="1"/>
    </row>
    <row r="52" ht="12.75" customHeight="1">
      <c r="A52" s="38"/>
      <c r="D52" s="39"/>
      <c r="E52" s="39"/>
      <c r="F52" s="39"/>
      <c r="G52" s="39"/>
      <c r="H52" s="39"/>
      <c r="I52" s="39"/>
      <c r="J52" s="1"/>
      <c r="K52" s="1"/>
      <c r="L52" s="33"/>
      <c r="M52" s="33"/>
      <c r="N52" s="33"/>
      <c r="O52" s="33"/>
      <c r="P52" s="33"/>
      <c r="Q52" s="33"/>
      <c r="R52" s="33"/>
      <c r="S52" s="33"/>
      <c r="T52" s="33"/>
      <c r="U52" s="33"/>
      <c r="V52" s="1"/>
      <c r="W52" s="1"/>
      <c r="X52" s="1"/>
      <c r="Y52" s="1"/>
      <c r="Z52" s="1"/>
      <c r="AA52" s="1"/>
      <c r="AB52" s="1"/>
      <c r="AC52" s="1"/>
      <c r="AD52" s="1"/>
    </row>
    <row r="53" ht="12.75" customHeight="1">
      <c r="A53" s="39"/>
      <c r="B53" s="38"/>
      <c r="C53" s="38"/>
      <c r="D53" s="39"/>
      <c r="E53" s="39"/>
      <c r="F53" s="39"/>
      <c r="G53" s="39"/>
      <c r="H53" s="39"/>
      <c r="I53" s="39"/>
      <c r="J53" s="1"/>
      <c r="K53" s="1"/>
      <c r="L53" s="1"/>
      <c r="M53" s="1"/>
      <c r="N53" s="1"/>
      <c r="O53" s="1"/>
      <c r="P53" s="1"/>
      <c r="Q53" s="1"/>
      <c r="R53" s="1"/>
      <c r="S53" s="1"/>
      <c r="T53" s="1"/>
      <c r="U53" s="1"/>
      <c r="V53" s="1"/>
      <c r="W53" s="1"/>
      <c r="X53" s="1"/>
      <c r="Y53" s="1"/>
      <c r="Z53" s="1"/>
      <c r="AA53" s="1"/>
      <c r="AB53" s="1"/>
      <c r="AC53" s="1"/>
      <c r="AD53" s="1"/>
    </row>
    <row r="54" ht="12.75" customHeight="1">
      <c r="A54" s="39"/>
      <c r="B54" s="38"/>
      <c r="C54" s="38"/>
      <c r="D54" s="39"/>
      <c r="E54" s="39"/>
      <c r="F54" s="39"/>
      <c r="G54" s="39"/>
      <c r="H54" s="39"/>
      <c r="I54" s="39"/>
      <c r="J54" s="1"/>
      <c r="K54" s="1"/>
      <c r="L54" s="1"/>
      <c r="M54" s="1"/>
      <c r="N54" s="1"/>
      <c r="O54" s="1"/>
      <c r="P54" s="1"/>
      <c r="Q54" s="1"/>
      <c r="R54" s="1"/>
      <c r="S54" s="1"/>
      <c r="T54" s="1"/>
      <c r="U54" s="1"/>
      <c r="V54" s="1"/>
      <c r="W54" s="1"/>
      <c r="X54" s="1"/>
      <c r="Y54" s="1"/>
      <c r="Z54" s="1"/>
      <c r="AA54" s="1"/>
      <c r="AB54" s="1"/>
      <c r="AC54" s="1"/>
      <c r="AD54" s="1"/>
    </row>
    <row r="55" ht="12.75" customHeight="1">
      <c r="A55" s="40"/>
      <c r="B55" s="38"/>
      <c r="C55" s="38"/>
      <c r="D55" s="39"/>
      <c r="E55" s="39"/>
      <c r="F55" s="39"/>
      <c r="G55" s="39"/>
      <c r="H55" s="39"/>
      <c r="I55" s="39"/>
      <c r="J55" s="1"/>
      <c r="K55" s="1"/>
      <c r="L55" s="1"/>
      <c r="M55" s="1"/>
      <c r="N55" s="1"/>
      <c r="O55" s="1"/>
      <c r="P55" s="1"/>
      <c r="Q55" s="1"/>
      <c r="R55" s="1"/>
      <c r="S55" s="1"/>
      <c r="T55" s="1"/>
      <c r="U55" s="1"/>
      <c r="V55" s="1"/>
      <c r="W55" s="1"/>
      <c r="X55" s="1"/>
      <c r="Y55" s="1"/>
      <c r="Z55" s="1"/>
      <c r="AA55" s="1"/>
      <c r="AB55" s="1"/>
      <c r="AC55" s="1"/>
      <c r="AD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11">
    <mergeCell ref="A48:J48"/>
    <mergeCell ref="A50:J50"/>
    <mergeCell ref="A51:J51"/>
    <mergeCell ref="A52:C52"/>
    <mergeCell ref="A3:J3"/>
    <mergeCell ref="A5:A6"/>
    <mergeCell ref="B5:C5"/>
    <mergeCell ref="D5:F5"/>
    <mergeCell ref="G5:I5"/>
    <mergeCell ref="J5:J6"/>
    <mergeCell ref="A47:J47"/>
  </mergeCells>
  <printOptions horizontalCentered="1"/>
  <pageMargins bottom="0.984251968503937" footer="0.0" header="0.0" left="0.0" right="0.0" top="0.984251968503937"/>
  <pageSetup scale="7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5" max="15" width="14.13"/>
    <col customWidth="1" min="16" max="16" width="8.75"/>
  </cols>
  <sheetData>
    <row r="1" ht="59.25" customHeight="1">
      <c r="A1" s="41" t="s">
        <v>32</v>
      </c>
      <c r="B1" s="41" t="s">
        <v>33</v>
      </c>
      <c r="C1" s="42" t="s">
        <v>34</v>
      </c>
      <c r="D1" s="43" t="s">
        <v>35</v>
      </c>
      <c r="E1" s="41" t="s">
        <v>36</v>
      </c>
      <c r="F1" s="41" t="s">
        <v>37</v>
      </c>
      <c r="G1" s="41" t="s">
        <v>38</v>
      </c>
      <c r="H1" s="44" t="s">
        <v>39</v>
      </c>
      <c r="I1" s="41" t="s">
        <v>40</v>
      </c>
      <c r="J1" s="45" t="s">
        <v>41</v>
      </c>
      <c r="K1" s="45" t="s">
        <v>42</v>
      </c>
      <c r="L1" s="46" t="s">
        <v>43</v>
      </c>
      <c r="M1" s="47" t="s">
        <v>44</v>
      </c>
      <c r="N1" s="44" t="s">
        <v>45</v>
      </c>
      <c r="O1" s="48"/>
      <c r="P1" s="48"/>
      <c r="Q1" s="47" t="s">
        <v>46</v>
      </c>
      <c r="R1" s="47" t="s">
        <v>44</v>
      </c>
      <c r="S1" s="47" t="s">
        <v>45</v>
      </c>
      <c r="T1" s="49" t="s">
        <v>39</v>
      </c>
      <c r="U1" s="48"/>
      <c r="V1" s="48"/>
      <c r="W1" s="48"/>
      <c r="X1" s="48"/>
      <c r="Y1" s="48"/>
    </row>
    <row r="2" ht="15.0" customHeight="1">
      <c r="A2" s="50">
        <v>10101.0</v>
      </c>
      <c r="B2" s="50" t="s">
        <v>47</v>
      </c>
      <c r="C2" s="51">
        <v>244637.0</v>
      </c>
      <c r="D2" s="52">
        <v>90.9</v>
      </c>
      <c r="E2" s="53">
        <v>35.8</v>
      </c>
      <c r="F2" s="54">
        <f t="shared" ref="F2:F344" si="2">$P$3+$P$4*D2</f>
        <v>19.1474</v>
      </c>
      <c r="G2" s="54">
        <f t="shared" ref="G2:G30" si="3">1.18*F2/F$345</f>
        <v>0.6664818117</v>
      </c>
      <c r="H2" s="55">
        <f t="shared" ref="H2:H344" si="4">E2*G2</f>
        <v>23.86004886</v>
      </c>
      <c r="I2" s="56">
        <f t="shared" ref="I2:I344" si="5">C2*H2/100</f>
        <v>58370.50772</v>
      </c>
      <c r="J2" s="57">
        <f>SUM(C2:C30)</f>
        <v>562960</v>
      </c>
      <c r="K2" s="57">
        <f>SUM(I2:I30)</f>
        <v>201734.5274</v>
      </c>
      <c r="L2" s="58">
        <f>K2/J2</f>
        <v>0.3583461123</v>
      </c>
      <c r="M2" s="57">
        <v>26825.0</v>
      </c>
      <c r="N2" s="51">
        <f t="shared" ref="N2:N344" si="6">+(H2*M2)/100</f>
        <v>6400.458106</v>
      </c>
      <c r="O2" s="59" t="s">
        <v>48</v>
      </c>
      <c r="P2" s="60">
        <v>17.2</v>
      </c>
      <c r="Q2" s="61" t="s">
        <v>49</v>
      </c>
      <c r="R2" s="51">
        <f t="shared" ref="R2:S2" si="1">+SUM(M2:M30)</f>
        <v>68965</v>
      </c>
      <c r="S2" s="51">
        <f t="shared" si="1"/>
        <v>25453.46421</v>
      </c>
      <c r="T2" s="62">
        <f t="shared" ref="T2:T12" si="8">+(S2*100)/R2</f>
        <v>36.90779991</v>
      </c>
    </row>
    <row r="3" ht="15.0" customHeight="1">
      <c r="A3" s="50">
        <v>10102.0</v>
      </c>
      <c r="B3" s="50" t="s">
        <v>50</v>
      </c>
      <c r="C3" s="51">
        <v>9474.0</v>
      </c>
      <c r="D3" s="52">
        <v>0.0</v>
      </c>
      <c r="E3" s="53">
        <v>35.8</v>
      </c>
      <c r="F3" s="54">
        <f t="shared" si="2"/>
        <v>38.6</v>
      </c>
      <c r="G3" s="54">
        <f t="shared" si="3"/>
        <v>1.343587011</v>
      </c>
      <c r="H3" s="55">
        <f t="shared" si="4"/>
        <v>48.10041499</v>
      </c>
      <c r="I3" s="56">
        <f t="shared" si="5"/>
        <v>4557.033316</v>
      </c>
      <c r="J3" s="63"/>
      <c r="K3" s="63"/>
      <c r="L3" s="64"/>
      <c r="M3" s="57">
        <v>1072.0</v>
      </c>
      <c r="N3" s="51">
        <f t="shared" si="6"/>
        <v>515.6364487</v>
      </c>
      <c r="O3" s="65" t="s">
        <v>51</v>
      </c>
      <c r="P3" s="66">
        <v>38.6</v>
      </c>
      <c r="Q3" s="61" t="s">
        <v>52</v>
      </c>
      <c r="R3" s="51">
        <f t="shared" ref="R3:S3" si="7">+SUM(M31:M117)</f>
        <v>269074</v>
      </c>
      <c r="S3" s="51">
        <f t="shared" si="7"/>
        <v>80523.56592</v>
      </c>
      <c r="T3" s="62">
        <f t="shared" si="8"/>
        <v>29.92617864</v>
      </c>
    </row>
    <row r="4" ht="15.0" customHeight="1">
      <c r="A4" s="50">
        <v>10103.0</v>
      </c>
      <c r="B4" s="50" t="s">
        <v>53</v>
      </c>
      <c r="C4" s="51">
        <v>16690.0</v>
      </c>
      <c r="D4" s="52">
        <v>0.0</v>
      </c>
      <c r="E4" s="53">
        <v>35.8</v>
      </c>
      <c r="F4" s="54">
        <f t="shared" si="2"/>
        <v>38.6</v>
      </c>
      <c r="G4" s="54">
        <f t="shared" si="3"/>
        <v>1.343587011</v>
      </c>
      <c r="H4" s="55">
        <f t="shared" si="4"/>
        <v>48.10041499</v>
      </c>
      <c r="I4" s="56">
        <f t="shared" si="5"/>
        <v>8027.959261</v>
      </c>
      <c r="J4" s="63"/>
      <c r="K4" s="63"/>
      <c r="L4" s="64"/>
      <c r="M4" s="57">
        <v>2425.0</v>
      </c>
      <c r="N4" s="51">
        <f t="shared" si="6"/>
        <v>1166.435063</v>
      </c>
      <c r="O4" s="67" t="s">
        <v>54</v>
      </c>
      <c r="P4" s="68">
        <f>(P2-P3)/(100-0)</f>
        <v>-0.214</v>
      </c>
      <c r="Q4" s="61" t="s">
        <v>55</v>
      </c>
      <c r="R4" s="51">
        <f t="shared" ref="R4:S4" si="9">+SUM(M118:M165)</f>
        <v>191211</v>
      </c>
      <c r="S4" s="51">
        <f t="shared" si="9"/>
        <v>60496.55819</v>
      </c>
      <c r="T4" s="62">
        <f t="shared" si="8"/>
        <v>31.63863909</v>
      </c>
    </row>
    <row r="5" ht="15.0" customHeight="1">
      <c r="A5" s="50">
        <v>10201.0</v>
      </c>
      <c r="B5" s="50" t="s">
        <v>56</v>
      </c>
      <c r="C5" s="51">
        <v>10905.0</v>
      </c>
      <c r="D5" s="52">
        <v>0.0</v>
      </c>
      <c r="E5" s="53">
        <v>35.8</v>
      </c>
      <c r="F5" s="54">
        <f t="shared" si="2"/>
        <v>38.6</v>
      </c>
      <c r="G5" s="54">
        <f t="shared" si="3"/>
        <v>1.343587011</v>
      </c>
      <c r="H5" s="55">
        <f t="shared" si="4"/>
        <v>48.10041499</v>
      </c>
      <c r="I5" s="56">
        <f t="shared" si="5"/>
        <v>5245.350254</v>
      </c>
      <c r="J5" s="63"/>
      <c r="K5" s="63"/>
      <c r="L5" s="64"/>
      <c r="M5" s="57">
        <v>1607.0</v>
      </c>
      <c r="N5" s="51">
        <f t="shared" si="6"/>
        <v>772.9736688</v>
      </c>
      <c r="Q5" s="61" t="s">
        <v>57</v>
      </c>
      <c r="R5" s="51">
        <f t="shared" ref="R5:S5" si="10">+SUM(M166:M200)</f>
        <v>51544</v>
      </c>
      <c r="S5" s="51">
        <f t="shared" si="10"/>
        <v>17189.07265</v>
      </c>
      <c r="T5" s="62">
        <f t="shared" si="8"/>
        <v>33.3483483</v>
      </c>
    </row>
    <row r="6" ht="15.0" customHeight="1">
      <c r="A6" s="50">
        <v>10202.0</v>
      </c>
      <c r="B6" s="50" t="s">
        <v>58</v>
      </c>
      <c r="C6" s="51">
        <v>14977.0</v>
      </c>
      <c r="D6" s="52">
        <v>0.0</v>
      </c>
      <c r="E6" s="53">
        <v>35.8</v>
      </c>
      <c r="F6" s="54">
        <f t="shared" si="2"/>
        <v>38.6</v>
      </c>
      <c r="G6" s="54">
        <f t="shared" si="3"/>
        <v>1.343587011</v>
      </c>
      <c r="H6" s="55">
        <f t="shared" si="4"/>
        <v>48.10041499</v>
      </c>
      <c r="I6" s="56">
        <f t="shared" si="5"/>
        <v>7203.999153</v>
      </c>
      <c r="J6" s="63"/>
      <c r="K6" s="63"/>
      <c r="L6" s="64"/>
      <c r="M6" s="57">
        <v>2095.0</v>
      </c>
      <c r="N6" s="51">
        <f t="shared" si="6"/>
        <v>1007.703694</v>
      </c>
      <c r="Q6" s="61" t="s">
        <v>59</v>
      </c>
      <c r="R6" s="51">
        <f t="shared" ref="R6:S6" si="11">+SUM(M201:M242)</f>
        <v>98276</v>
      </c>
      <c r="S6" s="51">
        <f t="shared" si="11"/>
        <v>43309.63425</v>
      </c>
      <c r="T6" s="62">
        <f t="shared" si="8"/>
        <v>44.06939054</v>
      </c>
    </row>
    <row r="7" ht="15.0" customHeight="1">
      <c r="A7" s="50">
        <v>10301.0</v>
      </c>
      <c r="B7" s="50" t="s">
        <v>60</v>
      </c>
      <c r="C7" s="51">
        <v>9930.0</v>
      </c>
      <c r="D7" s="52">
        <v>23.4</v>
      </c>
      <c r="E7" s="53">
        <v>35.8</v>
      </c>
      <c r="F7" s="54">
        <f t="shared" si="2"/>
        <v>33.5924</v>
      </c>
      <c r="G7" s="54">
        <f t="shared" si="3"/>
        <v>1.169282702</v>
      </c>
      <c r="H7" s="55">
        <f t="shared" si="4"/>
        <v>41.86032074</v>
      </c>
      <c r="I7" s="56">
        <f t="shared" si="5"/>
        <v>4156.729849</v>
      </c>
      <c r="J7" s="63"/>
      <c r="K7" s="63"/>
      <c r="L7" s="64"/>
      <c r="M7" s="57">
        <v>1094.0</v>
      </c>
      <c r="N7" s="51">
        <f t="shared" si="6"/>
        <v>457.9519088</v>
      </c>
      <c r="Q7" s="61" t="s">
        <v>61</v>
      </c>
      <c r="R7" s="51">
        <f t="shared" ref="R7:S7" si="12">+SUM(M243:M253)</f>
        <v>49723</v>
      </c>
      <c r="S7" s="51">
        <f t="shared" si="12"/>
        <v>7518.215899</v>
      </c>
      <c r="T7" s="62">
        <f t="shared" si="8"/>
        <v>15.12019769</v>
      </c>
    </row>
    <row r="8" ht="15.0" customHeight="1">
      <c r="A8" s="50">
        <v>10302.0</v>
      </c>
      <c r="B8" s="50" t="s">
        <v>62</v>
      </c>
      <c r="C8" s="51">
        <v>11115.0</v>
      </c>
      <c r="D8" s="52">
        <v>15.0</v>
      </c>
      <c r="E8" s="53">
        <v>35.8</v>
      </c>
      <c r="F8" s="54">
        <f t="shared" si="2"/>
        <v>35.39</v>
      </c>
      <c r="G8" s="54">
        <f t="shared" si="3"/>
        <v>1.23185348</v>
      </c>
      <c r="H8" s="55">
        <f t="shared" si="4"/>
        <v>44.10035457</v>
      </c>
      <c r="I8" s="56">
        <f t="shared" si="5"/>
        <v>4901.75441</v>
      </c>
      <c r="J8" s="63"/>
      <c r="K8" s="63"/>
      <c r="L8" s="64"/>
      <c r="M8" s="57">
        <v>1543.0</v>
      </c>
      <c r="N8" s="51">
        <f t="shared" si="6"/>
        <v>680.468471</v>
      </c>
      <c r="Q8" s="61" t="s">
        <v>63</v>
      </c>
      <c r="R8" s="51">
        <f t="shared" ref="R8:S8" si="13">+SUM(M254:M309)</f>
        <v>293010</v>
      </c>
      <c r="S8" s="51">
        <f t="shared" si="13"/>
        <v>36139.09282</v>
      </c>
      <c r="T8" s="62">
        <f t="shared" si="8"/>
        <v>12.33374043</v>
      </c>
    </row>
    <row r="9" ht="15.0" customHeight="1">
      <c r="A9" s="50">
        <v>10303.0</v>
      </c>
      <c r="B9" s="50" t="s">
        <v>64</v>
      </c>
      <c r="C9" s="51">
        <v>8016.0</v>
      </c>
      <c r="D9" s="52">
        <v>0.0</v>
      </c>
      <c r="E9" s="53">
        <v>35.8</v>
      </c>
      <c r="F9" s="54">
        <f t="shared" si="2"/>
        <v>38.6</v>
      </c>
      <c r="G9" s="54">
        <f t="shared" si="3"/>
        <v>1.343587011</v>
      </c>
      <c r="H9" s="55">
        <f t="shared" si="4"/>
        <v>48.10041499</v>
      </c>
      <c r="I9" s="56">
        <f t="shared" si="5"/>
        <v>3855.729265</v>
      </c>
      <c r="J9" s="63"/>
      <c r="K9" s="63"/>
      <c r="L9" s="64"/>
      <c r="M9" s="57">
        <v>1059.0</v>
      </c>
      <c r="N9" s="51">
        <f t="shared" si="6"/>
        <v>509.3833947</v>
      </c>
      <c r="Q9" s="61" t="s">
        <v>22</v>
      </c>
      <c r="R9" s="51">
        <f t="shared" ref="R9:S9" si="14">+SUM(M310:M329)</f>
        <v>54651</v>
      </c>
      <c r="S9" s="51">
        <f t="shared" si="14"/>
        <v>9892.840409</v>
      </c>
      <c r="T9" s="62">
        <f t="shared" si="8"/>
        <v>18.10184701</v>
      </c>
    </row>
    <row r="10" ht="15.0" customHeight="1">
      <c r="A10" s="50">
        <v>10304.0</v>
      </c>
      <c r="B10" s="50" t="s">
        <v>65</v>
      </c>
      <c r="C10" s="51">
        <v>7921.0</v>
      </c>
      <c r="D10" s="52">
        <v>0.0</v>
      </c>
      <c r="E10" s="53">
        <v>35.8</v>
      </c>
      <c r="F10" s="54">
        <f t="shared" si="2"/>
        <v>38.6</v>
      </c>
      <c r="G10" s="54">
        <f t="shared" si="3"/>
        <v>1.343587011</v>
      </c>
      <c r="H10" s="55">
        <f t="shared" si="4"/>
        <v>48.10041499</v>
      </c>
      <c r="I10" s="56">
        <f t="shared" si="5"/>
        <v>3810.033871</v>
      </c>
      <c r="J10" s="63"/>
      <c r="K10" s="63"/>
      <c r="L10" s="64"/>
      <c r="M10" s="57">
        <v>1042.0</v>
      </c>
      <c r="N10" s="51">
        <f t="shared" si="6"/>
        <v>501.2063242</v>
      </c>
      <c r="Q10" s="61" t="s">
        <v>23</v>
      </c>
      <c r="R10" s="51">
        <f t="shared" ref="R10:S10" si="15">+SUM(M330:M344)</f>
        <v>12614</v>
      </c>
      <c r="S10" s="51">
        <f t="shared" si="15"/>
        <v>1932.370005</v>
      </c>
      <c r="T10" s="62">
        <f t="shared" si="8"/>
        <v>15.3192485</v>
      </c>
    </row>
    <row r="11" ht="15.0" customHeight="1">
      <c r="A11" s="50">
        <v>10401.0</v>
      </c>
      <c r="B11" s="50" t="s">
        <v>66</v>
      </c>
      <c r="C11" s="51">
        <v>11136.0</v>
      </c>
      <c r="D11" s="52">
        <v>28.2</v>
      </c>
      <c r="E11" s="53">
        <v>35.8</v>
      </c>
      <c r="F11" s="54">
        <f t="shared" si="2"/>
        <v>32.5652</v>
      </c>
      <c r="G11" s="54">
        <f t="shared" si="3"/>
        <v>1.133527972</v>
      </c>
      <c r="H11" s="55">
        <f t="shared" si="4"/>
        <v>40.5803014</v>
      </c>
      <c r="I11" s="56">
        <f t="shared" si="5"/>
        <v>4519.022364</v>
      </c>
      <c r="J11" s="63"/>
      <c r="K11" s="63"/>
      <c r="L11" s="64"/>
      <c r="M11" s="57">
        <v>1303.0</v>
      </c>
      <c r="N11" s="51">
        <f t="shared" si="6"/>
        <v>528.7613273</v>
      </c>
      <c r="Q11" s="69" t="s">
        <v>67</v>
      </c>
      <c r="R11" s="70">
        <f t="shared" ref="R11:S11" si="16">SUM(R2:R10)</f>
        <v>1089068</v>
      </c>
      <c r="S11" s="70">
        <f t="shared" si="16"/>
        <v>282454.8143</v>
      </c>
      <c r="T11" s="71">
        <f t="shared" si="8"/>
        <v>25.93546173</v>
      </c>
    </row>
    <row r="12" ht="15.0" customHeight="1">
      <c r="A12" s="50">
        <v>10402.0</v>
      </c>
      <c r="B12" s="50" t="s">
        <v>68</v>
      </c>
      <c r="C12" s="51">
        <v>8700.0</v>
      </c>
      <c r="D12" s="52">
        <v>0.0</v>
      </c>
      <c r="E12" s="53">
        <v>35.8</v>
      </c>
      <c r="F12" s="54">
        <f t="shared" si="2"/>
        <v>38.6</v>
      </c>
      <c r="G12" s="54">
        <f t="shared" si="3"/>
        <v>1.343587011</v>
      </c>
      <c r="H12" s="55">
        <f t="shared" si="4"/>
        <v>48.10041499</v>
      </c>
      <c r="I12" s="56">
        <f t="shared" si="5"/>
        <v>4184.736104</v>
      </c>
      <c r="J12" s="63"/>
      <c r="K12" s="63"/>
      <c r="L12" s="64"/>
      <c r="M12" s="57">
        <v>1135.0</v>
      </c>
      <c r="N12" s="51">
        <f t="shared" si="6"/>
        <v>545.9397101</v>
      </c>
      <c r="Q12" s="61" t="s">
        <v>69</v>
      </c>
      <c r="R12" s="72">
        <f t="shared" ref="R12:S12" si="17">SUM(M246:M248)</f>
        <v>16208</v>
      </c>
      <c r="S12" s="72">
        <f t="shared" si="17"/>
        <v>2363.664162</v>
      </c>
      <c r="T12" s="62">
        <f t="shared" si="8"/>
        <v>14.58331788</v>
      </c>
    </row>
    <row r="13" ht="15.0" customHeight="1">
      <c r="A13" s="50">
        <v>10403.0</v>
      </c>
      <c r="B13" s="50" t="s">
        <v>70</v>
      </c>
      <c r="C13" s="51">
        <v>7286.0</v>
      </c>
      <c r="D13" s="52">
        <v>18.6</v>
      </c>
      <c r="E13" s="53">
        <v>35.8</v>
      </c>
      <c r="F13" s="54">
        <f t="shared" si="2"/>
        <v>34.6196</v>
      </c>
      <c r="G13" s="54">
        <f t="shared" si="3"/>
        <v>1.205037432</v>
      </c>
      <c r="H13" s="55">
        <f t="shared" si="4"/>
        <v>43.14034007</v>
      </c>
      <c r="I13" s="56">
        <f t="shared" si="5"/>
        <v>3143.205177</v>
      </c>
      <c r="J13" s="63"/>
      <c r="K13" s="63"/>
      <c r="L13" s="64"/>
      <c r="M13" s="57">
        <v>970.0</v>
      </c>
      <c r="N13" s="51">
        <f t="shared" si="6"/>
        <v>418.4612987</v>
      </c>
    </row>
    <row r="14" ht="15.0" customHeight="1">
      <c r="A14" s="50">
        <v>10404.0</v>
      </c>
      <c r="B14" s="50" t="s">
        <v>71</v>
      </c>
      <c r="C14" s="51">
        <v>4586.0</v>
      </c>
      <c r="D14" s="52">
        <v>0.0</v>
      </c>
      <c r="E14" s="53">
        <v>35.8</v>
      </c>
      <c r="F14" s="54">
        <f t="shared" si="2"/>
        <v>38.6</v>
      </c>
      <c r="G14" s="54">
        <f t="shared" si="3"/>
        <v>1.343587011</v>
      </c>
      <c r="H14" s="55">
        <f t="shared" si="4"/>
        <v>48.10041499</v>
      </c>
      <c r="I14" s="56">
        <f t="shared" si="5"/>
        <v>2205.885031</v>
      </c>
      <c r="J14" s="63"/>
      <c r="K14" s="63"/>
      <c r="L14" s="64"/>
      <c r="M14" s="57">
        <v>551.0</v>
      </c>
      <c r="N14" s="51">
        <f t="shared" si="6"/>
        <v>265.0332866</v>
      </c>
    </row>
    <row r="15" ht="15.0" customHeight="1">
      <c r="A15" s="50">
        <v>10405.0</v>
      </c>
      <c r="B15" s="50" t="s">
        <v>72</v>
      </c>
      <c r="C15" s="51">
        <v>4509.0</v>
      </c>
      <c r="D15" s="52">
        <v>0.0</v>
      </c>
      <c r="E15" s="53">
        <v>35.8</v>
      </c>
      <c r="F15" s="54">
        <f t="shared" si="2"/>
        <v>38.6</v>
      </c>
      <c r="G15" s="54">
        <f t="shared" si="3"/>
        <v>1.343587011</v>
      </c>
      <c r="H15" s="55">
        <f t="shared" si="4"/>
        <v>48.10041499</v>
      </c>
      <c r="I15" s="56">
        <f t="shared" si="5"/>
        <v>2168.847712</v>
      </c>
      <c r="J15" s="63"/>
      <c r="K15" s="63"/>
      <c r="L15" s="64"/>
      <c r="M15" s="57">
        <v>514.0</v>
      </c>
      <c r="N15" s="51">
        <f t="shared" si="6"/>
        <v>247.236133</v>
      </c>
    </row>
    <row r="16" ht="15.0" customHeight="1">
      <c r="A16" s="50">
        <v>10501.0</v>
      </c>
      <c r="B16" s="50" t="s">
        <v>73</v>
      </c>
      <c r="C16" s="51">
        <v>25103.0</v>
      </c>
      <c r="D16" s="52">
        <v>40.0</v>
      </c>
      <c r="E16" s="53">
        <v>35.8</v>
      </c>
      <c r="F16" s="54">
        <f t="shared" si="2"/>
        <v>30.04</v>
      </c>
      <c r="G16" s="54">
        <f t="shared" si="3"/>
        <v>1.045630928</v>
      </c>
      <c r="H16" s="55">
        <f t="shared" si="4"/>
        <v>37.43358721</v>
      </c>
      <c r="I16" s="56">
        <f t="shared" si="5"/>
        <v>9396.953397</v>
      </c>
      <c r="J16" s="63"/>
      <c r="K16" s="63"/>
      <c r="L16" s="64"/>
      <c r="M16" s="57">
        <v>2991.0</v>
      </c>
      <c r="N16" s="51">
        <f t="shared" si="6"/>
        <v>1119.638593</v>
      </c>
    </row>
    <row r="17" ht="15.0" customHeight="1">
      <c r="A17" s="50">
        <v>10502.0</v>
      </c>
      <c r="B17" s="50" t="s">
        <v>74</v>
      </c>
      <c r="C17" s="51">
        <v>8952.0</v>
      </c>
      <c r="D17" s="52">
        <v>0.0</v>
      </c>
      <c r="E17" s="53">
        <v>35.8</v>
      </c>
      <c r="F17" s="54">
        <f t="shared" si="2"/>
        <v>38.6</v>
      </c>
      <c r="G17" s="54">
        <f t="shared" si="3"/>
        <v>1.343587011</v>
      </c>
      <c r="H17" s="55">
        <f t="shared" si="4"/>
        <v>48.10041499</v>
      </c>
      <c r="I17" s="56">
        <f t="shared" si="5"/>
        <v>4305.94915</v>
      </c>
      <c r="J17" s="63"/>
      <c r="K17" s="63"/>
      <c r="L17" s="64"/>
      <c r="M17" s="57">
        <v>1269.0</v>
      </c>
      <c r="N17" s="51">
        <f t="shared" si="6"/>
        <v>610.3942662</v>
      </c>
    </row>
    <row r="18" ht="15.0" customHeight="1">
      <c r="A18" s="50">
        <v>10601.0</v>
      </c>
      <c r="B18" s="50" t="s">
        <v>75</v>
      </c>
      <c r="C18" s="51">
        <v>17893.0</v>
      </c>
      <c r="D18" s="52">
        <v>15.7</v>
      </c>
      <c r="E18" s="53">
        <v>35.8</v>
      </c>
      <c r="F18" s="54">
        <f t="shared" si="2"/>
        <v>35.2402</v>
      </c>
      <c r="G18" s="54">
        <f t="shared" si="3"/>
        <v>1.226639248</v>
      </c>
      <c r="H18" s="55">
        <f t="shared" si="4"/>
        <v>43.91368508</v>
      </c>
      <c r="I18" s="56">
        <f t="shared" si="5"/>
        <v>7857.475672</v>
      </c>
      <c r="J18" s="63"/>
      <c r="K18" s="63"/>
      <c r="L18" s="64"/>
      <c r="M18" s="57">
        <v>2355.0</v>
      </c>
      <c r="N18" s="51">
        <f t="shared" si="6"/>
        <v>1034.167284</v>
      </c>
    </row>
    <row r="19" ht="15.0" customHeight="1">
      <c r="A19" s="50">
        <v>10602.0</v>
      </c>
      <c r="B19" s="50" t="s">
        <v>76</v>
      </c>
      <c r="C19" s="51">
        <v>10075.0</v>
      </c>
      <c r="D19" s="52">
        <v>0.0</v>
      </c>
      <c r="E19" s="53">
        <v>35.8</v>
      </c>
      <c r="F19" s="54">
        <f t="shared" si="2"/>
        <v>38.6</v>
      </c>
      <c r="G19" s="54">
        <f t="shared" si="3"/>
        <v>1.343587011</v>
      </c>
      <c r="H19" s="55">
        <f t="shared" si="4"/>
        <v>48.10041499</v>
      </c>
      <c r="I19" s="56">
        <f t="shared" si="5"/>
        <v>4846.11681</v>
      </c>
      <c r="J19" s="63"/>
      <c r="K19" s="63"/>
      <c r="L19" s="64"/>
      <c r="M19" s="57">
        <v>1179.0</v>
      </c>
      <c r="N19" s="51">
        <f t="shared" si="6"/>
        <v>567.1038927</v>
      </c>
    </row>
    <row r="20" ht="15.0" customHeight="1">
      <c r="A20" s="50">
        <v>10701.0</v>
      </c>
      <c r="B20" s="50" t="s">
        <v>77</v>
      </c>
      <c r="C20" s="51">
        <v>15189.0</v>
      </c>
      <c r="D20" s="52">
        <v>32.8</v>
      </c>
      <c r="E20" s="53">
        <v>35.8</v>
      </c>
      <c r="F20" s="54">
        <f t="shared" si="2"/>
        <v>31.5808</v>
      </c>
      <c r="G20" s="54">
        <f t="shared" si="3"/>
        <v>1.099263023</v>
      </c>
      <c r="H20" s="55">
        <f t="shared" si="4"/>
        <v>39.35361621</v>
      </c>
      <c r="I20" s="56">
        <f t="shared" si="5"/>
        <v>5977.420766</v>
      </c>
      <c r="J20" s="63"/>
      <c r="K20" s="63"/>
      <c r="L20" s="64"/>
      <c r="M20" s="57">
        <v>1843.0</v>
      </c>
      <c r="N20" s="51">
        <f t="shared" si="6"/>
        <v>725.2871467</v>
      </c>
    </row>
    <row r="21" ht="15.0" customHeight="1">
      <c r="A21" s="50">
        <v>10702.0</v>
      </c>
      <c r="B21" s="50" t="s">
        <v>78</v>
      </c>
      <c r="C21" s="51">
        <v>32371.0</v>
      </c>
      <c r="D21" s="52">
        <v>0.0</v>
      </c>
      <c r="E21" s="53">
        <v>35.8</v>
      </c>
      <c r="F21" s="54">
        <f t="shared" si="2"/>
        <v>38.6</v>
      </c>
      <c r="G21" s="54">
        <f t="shared" si="3"/>
        <v>1.343587011</v>
      </c>
      <c r="H21" s="55">
        <f t="shared" si="4"/>
        <v>48.10041499</v>
      </c>
      <c r="I21" s="56">
        <f t="shared" si="5"/>
        <v>15570.58534</v>
      </c>
      <c r="J21" s="63"/>
      <c r="K21" s="63"/>
      <c r="L21" s="64"/>
      <c r="M21" s="57">
        <v>4770.0</v>
      </c>
      <c r="N21" s="51">
        <f t="shared" si="6"/>
        <v>2294.389795</v>
      </c>
    </row>
    <row r="22" ht="15.0" customHeight="1">
      <c r="A22" s="50">
        <v>10703.0</v>
      </c>
      <c r="B22" s="50" t="s">
        <v>79</v>
      </c>
      <c r="C22" s="51">
        <v>12203.0</v>
      </c>
      <c r="D22" s="52">
        <v>0.0</v>
      </c>
      <c r="E22" s="53">
        <v>35.8</v>
      </c>
      <c r="F22" s="54">
        <f t="shared" si="2"/>
        <v>38.6</v>
      </c>
      <c r="G22" s="54">
        <f t="shared" si="3"/>
        <v>1.343587011</v>
      </c>
      <c r="H22" s="55">
        <f t="shared" si="4"/>
        <v>48.10041499</v>
      </c>
      <c r="I22" s="56">
        <f t="shared" si="5"/>
        <v>5869.693641</v>
      </c>
      <c r="J22" s="63"/>
      <c r="K22" s="63"/>
      <c r="L22" s="64"/>
      <c r="M22" s="57">
        <v>1869.0</v>
      </c>
      <c r="N22" s="51">
        <f t="shared" si="6"/>
        <v>898.9967561</v>
      </c>
    </row>
    <row r="23">
      <c r="A23" s="50">
        <v>10704.0</v>
      </c>
      <c r="B23" s="50" t="s">
        <v>80</v>
      </c>
      <c r="C23" s="51">
        <v>14751.0</v>
      </c>
      <c r="D23" s="52">
        <v>11.2</v>
      </c>
      <c r="E23" s="53">
        <v>35.8</v>
      </c>
      <c r="F23" s="54">
        <f t="shared" si="2"/>
        <v>36.2032</v>
      </c>
      <c r="G23" s="54">
        <f t="shared" si="3"/>
        <v>1.260159307</v>
      </c>
      <c r="H23" s="55">
        <f t="shared" si="4"/>
        <v>45.11370321</v>
      </c>
      <c r="I23" s="56">
        <f t="shared" si="5"/>
        <v>6654.72236</v>
      </c>
      <c r="J23" s="63"/>
      <c r="K23" s="63"/>
      <c r="L23" s="64"/>
      <c r="M23" s="57">
        <v>2231.0</v>
      </c>
      <c r="N23" s="51">
        <f t="shared" si="6"/>
        <v>1006.486719</v>
      </c>
    </row>
    <row r="24">
      <c r="A24" s="50">
        <v>10801.0</v>
      </c>
      <c r="B24" s="50" t="s">
        <v>81</v>
      </c>
      <c r="C24" s="51">
        <v>11606.0</v>
      </c>
      <c r="D24" s="52">
        <v>27.2</v>
      </c>
      <c r="E24" s="53">
        <v>35.8</v>
      </c>
      <c r="F24" s="54">
        <f t="shared" si="2"/>
        <v>32.7792</v>
      </c>
      <c r="G24" s="54">
        <f t="shared" si="3"/>
        <v>1.140976874</v>
      </c>
      <c r="H24" s="55">
        <f t="shared" si="4"/>
        <v>40.8469721</v>
      </c>
      <c r="I24" s="56">
        <f t="shared" si="5"/>
        <v>4740.699582</v>
      </c>
      <c r="J24" s="63"/>
      <c r="K24" s="63"/>
      <c r="L24" s="64"/>
      <c r="M24" s="57">
        <v>1375.0</v>
      </c>
      <c r="N24" s="51">
        <f t="shared" si="6"/>
        <v>561.6458663</v>
      </c>
    </row>
    <row r="25">
      <c r="A25" s="50">
        <v>10901.0</v>
      </c>
      <c r="B25" s="50" t="s">
        <v>82</v>
      </c>
      <c r="C25" s="51">
        <v>3398.0</v>
      </c>
      <c r="D25" s="52">
        <v>0.0</v>
      </c>
      <c r="E25" s="53">
        <v>35.8</v>
      </c>
      <c r="F25" s="54">
        <f t="shared" si="2"/>
        <v>38.6</v>
      </c>
      <c r="G25" s="54">
        <f t="shared" si="3"/>
        <v>1.343587011</v>
      </c>
      <c r="H25" s="55">
        <f t="shared" si="4"/>
        <v>48.10041499</v>
      </c>
      <c r="I25" s="56">
        <f t="shared" si="5"/>
        <v>1634.452101</v>
      </c>
      <c r="J25" s="63"/>
      <c r="K25" s="63"/>
      <c r="L25" s="64"/>
      <c r="M25" s="57">
        <v>414.0</v>
      </c>
      <c r="N25" s="51">
        <f t="shared" si="6"/>
        <v>199.135718</v>
      </c>
    </row>
    <row r="26">
      <c r="A26" s="50">
        <v>10902.0</v>
      </c>
      <c r="B26" s="50" t="s">
        <v>83</v>
      </c>
      <c r="C26" s="51">
        <v>17672.0</v>
      </c>
      <c r="D26" s="52">
        <v>14.2</v>
      </c>
      <c r="E26" s="53">
        <v>35.8</v>
      </c>
      <c r="F26" s="54">
        <f t="shared" si="2"/>
        <v>35.5612</v>
      </c>
      <c r="G26" s="54">
        <f t="shared" si="3"/>
        <v>1.237812601</v>
      </c>
      <c r="H26" s="55">
        <f t="shared" si="4"/>
        <v>44.31369112</v>
      </c>
      <c r="I26" s="56">
        <f t="shared" si="5"/>
        <v>7831.115496</v>
      </c>
      <c r="J26" s="63"/>
      <c r="K26" s="63"/>
      <c r="L26" s="64"/>
      <c r="M26" s="57">
        <v>2398.0</v>
      </c>
      <c r="N26" s="51">
        <f t="shared" si="6"/>
        <v>1062.642313</v>
      </c>
    </row>
    <row r="27">
      <c r="A27" s="50">
        <v>10903.0</v>
      </c>
      <c r="B27" s="50" t="s">
        <v>84</v>
      </c>
      <c r="C27" s="51">
        <v>3895.0</v>
      </c>
      <c r="D27" s="52">
        <v>0.0</v>
      </c>
      <c r="E27" s="53">
        <v>35.8</v>
      </c>
      <c r="F27" s="54">
        <f t="shared" si="2"/>
        <v>38.6</v>
      </c>
      <c r="G27" s="54">
        <f t="shared" si="3"/>
        <v>1.343587011</v>
      </c>
      <c r="H27" s="55">
        <f t="shared" si="4"/>
        <v>48.10041499</v>
      </c>
      <c r="I27" s="56">
        <f t="shared" si="5"/>
        <v>1873.511164</v>
      </c>
      <c r="J27" s="63"/>
      <c r="K27" s="63"/>
      <c r="L27" s="64"/>
      <c r="M27" s="57">
        <v>417.0</v>
      </c>
      <c r="N27" s="51">
        <f t="shared" si="6"/>
        <v>200.5787305</v>
      </c>
    </row>
    <row r="28">
      <c r="A28" s="50">
        <v>11001.0</v>
      </c>
      <c r="B28" s="50" t="s">
        <v>85</v>
      </c>
      <c r="C28" s="51">
        <v>10094.0</v>
      </c>
      <c r="D28" s="52">
        <v>29.0</v>
      </c>
      <c r="E28" s="53">
        <v>35.8</v>
      </c>
      <c r="F28" s="54">
        <f t="shared" si="2"/>
        <v>32.394</v>
      </c>
      <c r="G28" s="54">
        <f t="shared" si="3"/>
        <v>1.12756885</v>
      </c>
      <c r="H28" s="55">
        <f t="shared" si="4"/>
        <v>40.36696485</v>
      </c>
      <c r="I28" s="56">
        <f t="shared" si="5"/>
        <v>4074.641432</v>
      </c>
      <c r="J28" s="63"/>
      <c r="K28" s="63"/>
      <c r="L28" s="64"/>
      <c r="M28" s="57">
        <v>1350.0</v>
      </c>
      <c r="N28" s="51">
        <f t="shared" si="6"/>
        <v>544.9540254</v>
      </c>
    </row>
    <row r="29">
      <c r="A29" s="50">
        <v>11002.0</v>
      </c>
      <c r="B29" s="50" t="s">
        <v>86</v>
      </c>
      <c r="C29" s="51">
        <v>2470.0</v>
      </c>
      <c r="D29" s="52">
        <v>0.0</v>
      </c>
      <c r="E29" s="53">
        <v>35.8</v>
      </c>
      <c r="F29" s="54">
        <f t="shared" si="2"/>
        <v>38.6</v>
      </c>
      <c r="G29" s="54">
        <f t="shared" si="3"/>
        <v>1.343587011</v>
      </c>
      <c r="H29" s="55">
        <f t="shared" si="4"/>
        <v>48.10041499</v>
      </c>
      <c r="I29" s="56">
        <f t="shared" si="5"/>
        <v>1188.08025</v>
      </c>
      <c r="J29" s="63"/>
      <c r="K29" s="63"/>
      <c r="L29" s="64"/>
      <c r="M29" s="57">
        <v>343.0</v>
      </c>
      <c r="N29" s="51">
        <f t="shared" si="6"/>
        <v>164.9844234</v>
      </c>
    </row>
    <row r="30">
      <c r="A30" s="50">
        <v>11003.0</v>
      </c>
      <c r="B30" s="50" t="s">
        <v>87</v>
      </c>
      <c r="C30" s="51">
        <v>7406.0</v>
      </c>
      <c r="D30" s="52">
        <v>0.0</v>
      </c>
      <c r="E30" s="53">
        <v>35.8</v>
      </c>
      <c r="F30" s="54">
        <f t="shared" si="2"/>
        <v>38.6</v>
      </c>
      <c r="G30" s="54">
        <f t="shared" si="3"/>
        <v>1.343587011</v>
      </c>
      <c r="H30" s="55">
        <f t="shared" si="4"/>
        <v>48.10041499</v>
      </c>
      <c r="I30" s="56">
        <f t="shared" si="5"/>
        <v>3562.316734</v>
      </c>
      <c r="J30" s="63"/>
      <c r="K30" s="63"/>
      <c r="L30" s="64"/>
      <c r="M30" s="57">
        <v>926.0</v>
      </c>
      <c r="N30" s="51">
        <f t="shared" si="6"/>
        <v>445.4098428</v>
      </c>
    </row>
    <row r="31">
      <c r="A31" s="50">
        <v>20101.0</v>
      </c>
      <c r="B31" s="50" t="s">
        <v>88</v>
      </c>
      <c r="C31" s="51">
        <v>776223.0</v>
      </c>
      <c r="D31" s="52">
        <v>99.2</v>
      </c>
      <c r="E31" s="53">
        <v>29.8</v>
      </c>
      <c r="F31" s="54">
        <f t="shared" si="2"/>
        <v>17.3712</v>
      </c>
      <c r="G31" s="54">
        <f t="shared" ref="G31:G117" si="18">1.39*F31/F$345</f>
        <v>0.7122641821</v>
      </c>
      <c r="H31" s="55">
        <f t="shared" si="4"/>
        <v>21.22547263</v>
      </c>
      <c r="I31" s="56">
        <f t="shared" si="5"/>
        <v>164757.0004</v>
      </c>
      <c r="J31" s="57">
        <f>SUM(C31:C117)</f>
        <v>2584995</v>
      </c>
      <c r="K31" s="57">
        <f>SUM(I31:I117)</f>
        <v>770870.7996</v>
      </c>
      <c r="L31" s="58">
        <f>K31/J31</f>
        <v>0.2982097836</v>
      </c>
      <c r="M31" s="57">
        <v>68247.0</v>
      </c>
      <c r="N31" s="51">
        <f t="shared" si="6"/>
        <v>14485.7483</v>
      </c>
    </row>
    <row r="32">
      <c r="A32" s="50">
        <v>20102.0</v>
      </c>
      <c r="B32" s="50" t="s">
        <v>89</v>
      </c>
      <c r="C32" s="51">
        <v>15736.0</v>
      </c>
      <c r="D32" s="52">
        <v>0.0</v>
      </c>
      <c r="E32" s="53">
        <v>29.8</v>
      </c>
      <c r="F32" s="54">
        <f t="shared" si="2"/>
        <v>38.6</v>
      </c>
      <c r="G32" s="54">
        <f t="shared" si="18"/>
        <v>1.582699953</v>
      </c>
      <c r="H32" s="55">
        <f t="shared" si="4"/>
        <v>47.16445861</v>
      </c>
      <c r="I32" s="56">
        <f t="shared" si="5"/>
        <v>7421.799207</v>
      </c>
      <c r="J32" s="63"/>
      <c r="K32" s="63"/>
      <c r="L32" s="64"/>
      <c r="M32" s="57">
        <v>1775.0</v>
      </c>
      <c r="N32" s="51">
        <f t="shared" si="6"/>
        <v>837.1691403</v>
      </c>
    </row>
    <row r="33">
      <c r="A33" s="50">
        <v>20103.0</v>
      </c>
      <c r="B33" s="50" t="s">
        <v>90</v>
      </c>
      <c r="C33" s="51">
        <v>14361.0</v>
      </c>
      <c r="D33" s="52">
        <v>0.0</v>
      </c>
      <c r="E33" s="53">
        <v>29.8</v>
      </c>
      <c r="F33" s="54">
        <f t="shared" si="2"/>
        <v>38.6</v>
      </c>
      <c r="G33" s="54">
        <f t="shared" si="18"/>
        <v>1.582699953</v>
      </c>
      <c r="H33" s="55">
        <f t="shared" si="4"/>
        <v>47.16445861</v>
      </c>
      <c r="I33" s="56">
        <f t="shared" si="5"/>
        <v>6773.287901</v>
      </c>
      <c r="J33" s="63"/>
      <c r="K33" s="63"/>
      <c r="L33" s="64"/>
      <c r="M33" s="57">
        <v>1358.0</v>
      </c>
      <c r="N33" s="51">
        <f t="shared" si="6"/>
        <v>640.4933479</v>
      </c>
    </row>
    <row r="34">
      <c r="A34" s="50">
        <v>20104.0</v>
      </c>
      <c r="B34" s="50" t="s">
        <v>91</v>
      </c>
      <c r="C34" s="51">
        <v>19769.0</v>
      </c>
      <c r="D34" s="52">
        <v>78.1</v>
      </c>
      <c r="E34" s="53">
        <v>29.8</v>
      </c>
      <c r="F34" s="54">
        <f t="shared" si="2"/>
        <v>21.8866</v>
      </c>
      <c r="G34" s="54">
        <f t="shared" si="18"/>
        <v>0.8974072746</v>
      </c>
      <c r="H34" s="55">
        <f t="shared" si="4"/>
        <v>26.74273678</v>
      </c>
      <c r="I34" s="56">
        <f t="shared" si="5"/>
        <v>5286.771635</v>
      </c>
      <c r="J34" s="63"/>
      <c r="K34" s="63"/>
      <c r="L34" s="64"/>
      <c r="M34" s="57">
        <v>2095.0</v>
      </c>
      <c r="N34" s="51">
        <f t="shared" si="6"/>
        <v>560.2603356</v>
      </c>
    </row>
    <row r="35">
      <c r="A35" s="50">
        <v>20105.0</v>
      </c>
      <c r="B35" s="50" t="s">
        <v>92</v>
      </c>
      <c r="C35" s="51">
        <v>776272.0</v>
      </c>
      <c r="D35" s="52">
        <v>99.7</v>
      </c>
      <c r="E35" s="53">
        <v>29.8</v>
      </c>
      <c r="F35" s="54">
        <f t="shared" si="2"/>
        <v>17.2642</v>
      </c>
      <c r="G35" s="54">
        <f t="shared" si="18"/>
        <v>0.7078769051</v>
      </c>
      <c r="H35" s="55">
        <f t="shared" si="4"/>
        <v>21.09473177</v>
      </c>
      <c r="I35" s="56">
        <f t="shared" si="5"/>
        <v>163752.4962</v>
      </c>
      <c r="J35" s="63"/>
      <c r="K35" s="63"/>
      <c r="L35" s="64"/>
      <c r="M35" s="57">
        <v>91029.0</v>
      </c>
      <c r="N35" s="51">
        <f t="shared" si="6"/>
        <v>19202.32338</v>
      </c>
    </row>
    <row r="36">
      <c r="A36" s="50">
        <v>20201.0</v>
      </c>
      <c r="B36" s="50" t="s">
        <v>93</v>
      </c>
      <c r="C36" s="51">
        <v>45991.0</v>
      </c>
      <c r="D36" s="52">
        <v>18.8</v>
      </c>
      <c r="E36" s="53">
        <v>29.8</v>
      </c>
      <c r="F36" s="54">
        <f t="shared" si="2"/>
        <v>34.5768</v>
      </c>
      <c r="G36" s="54">
        <f t="shared" si="18"/>
        <v>1.417738335</v>
      </c>
      <c r="H36" s="55">
        <f t="shared" si="4"/>
        <v>42.2486024</v>
      </c>
      <c r="I36" s="56">
        <f t="shared" si="5"/>
        <v>19430.55473</v>
      </c>
      <c r="J36" s="63"/>
      <c r="K36" s="63"/>
      <c r="L36" s="64"/>
      <c r="M36" s="57">
        <v>4318.0</v>
      </c>
      <c r="N36" s="51">
        <f t="shared" si="6"/>
        <v>1824.294651</v>
      </c>
    </row>
    <row r="37">
      <c r="A37" s="50">
        <v>20202.0</v>
      </c>
      <c r="B37" s="50" t="s">
        <v>94</v>
      </c>
      <c r="C37" s="51">
        <v>13886.0</v>
      </c>
      <c r="D37" s="52">
        <v>0.0</v>
      </c>
      <c r="E37" s="53">
        <v>29.8</v>
      </c>
      <c r="F37" s="54">
        <f t="shared" si="2"/>
        <v>38.6</v>
      </c>
      <c r="G37" s="54">
        <f t="shared" si="18"/>
        <v>1.582699953</v>
      </c>
      <c r="H37" s="55">
        <f t="shared" si="4"/>
        <v>47.16445861</v>
      </c>
      <c r="I37" s="56">
        <f t="shared" si="5"/>
        <v>6549.256723</v>
      </c>
      <c r="J37" s="63"/>
      <c r="K37" s="63"/>
      <c r="L37" s="64"/>
      <c r="M37" s="57">
        <v>1245.0</v>
      </c>
      <c r="N37" s="51">
        <f t="shared" si="6"/>
        <v>587.1975097</v>
      </c>
    </row>
    <row r="38">
      <c r="A38" s="50">
        <v>20203.0</v>
      </c>
      <c r="B38" s="50" t="s">
        <v>95</v>
      </c>
      <c r="C38" s="51">
        <v>5198.0</v>
      </c>
      <c r="D38" s="52">
        <v>0.0</v>
      </c>
      <c r="E38" s="53">
        <v>29.8</v>
      </c>
      <c r="F38" s="54">
        <f t="shared" si="2"/>
        <v>38.6</v>
      </c>
      <c r="G38" s="54">
        <f t="shared" si="18"/>
        <v>1.582699953</v>
      </c>
      <c r="H38" s="55">
        <f t="shared" si="4"/>
        <v>47.16445861</v>
      </c>
      <c r="I38" s="56">
        <f t="shared" si="5"/>
        <v>2451.608559</v>
      </c>
      <c r="J38" s="63"/>
      <c r="K38" s="63"/>
      <c r="L38" s="64"/>
      <c r="M38" s="57">
        <v>405.0</v>
      </c>
      <c r="N38" s="51">
        <f t="shared" si="6"/>
        <v>191.0160574</v>
      </c>
    </row>
    <row r="39">
      <c r="A39" s="50">
        <v>20204.0</v>
      </c>
      <c r="B39" s="50" t="s">
        <v>96</v>
      </c>
      <c r="C39" s="51">
        <v>8072.0</v>
      </c>
      <c r="D39" s="52">
        <v>0.0</v>
      </c>
      <c r="E39" s="53">
        <v>29.8</v>
      </c>
      <c r="F39" s="54">
        <f t="shared" si="2"/>
        <v>38.6</v>
      </c>
      <c r="G39" s="54">
        <f t="shared" si="18"/>
        <v>1.582699953</v>
      </c>
      <c r="H39" s="55">
        <f t="shared" si="4"/>
        <v>47.16445861</v>
      </c>
      <c r="I39" s="56">
        <f t="shared" si="5"/>
        <v>3807.115099</v>
      </c>
      <c r="J39" s="63"/>
      <c r="K39" s="63"/>
      <c r="L39" s="64"/>
      <c r="M39" s="57">
        <v>600.0</v>
      </c>
      <c r="N39" s="51">
        <f t="shared" si="6"/>
        <v>282.9867517</v>
      </c>
    </row>
    <row r="40">
      <c r="A40" s="50">
        <v>20205.0</v>
      </c>
      <c r="B40" s="50" t="s">
        <v>97</v>
      </c>
      <c r="C40" s="51">
        <v>8306.0</v>
      </c>
      <c r="D40" s="52">
        <v>0.0</v>
      </c>
      <c r="E40" s="53">
        <v>29.8</v>
      </c>
      <c r="F40" s="54">
        <f t="shared" si="2"/>
        <v>38.6</v>
      </c>
      <c r="G40" s="54">
        <f t="shared" si="18"/>
        <v>1.582699953</v>
      </c>
      <c r="H40" s="55">
        <f t="shared" si="4"/>
        <v>47.16445861</v>
      </c>
      <c r="I40" s="56">
        <f t="shared" si="5"/>
        <v>3917.479932</v>
      </c>
      <c r="J40" s="63"/>
      <c r="K40" s="63"/>
      <c r="L40" s="64"/>
      <c r="M40" s="57">
        <v>629.0</v>
      </c>
      <c r="N40" s="51">
        <f t="shared" si="6"/>
        <v>296.6644447</v>
      </c>
    </row>
    <row r="41">
      <c r="A41" s="50">
        <v>20206.0</v>
      </c>
      <c r="B41" s="50" t="s">
        <v>98</v>
      </c>
      <c r="C41" s="51">
        <v>3520.0</v>
      </c>
      <c r="D41" s="52">
        <v>0.0</v>
      </c>
      <c r="E41" s="53">
        <v>29.8</v>
      </c>
      <c r="F41" s="54">
        <f t="shared" si="2"/>
        <v>38.6</v>
      </c>
      <c r="G41" s="54">
        <f t="shared" si="18"/>
        <v>1.582699953</v>
      </c>
      <c r="H41" s="55">
        <f t="shared" si="4"/>
        <v>47.16445861</v>
      </c>
      <c r="I41" s="56">
        <f t="shared" si="5"/>
        <v>1660.188943</v>
      </c>
      <c r="J41" s="63"/>
      <c r="K41" s="63"/>
      <c r="L41" s="64"/>
      <c r="M41" s="57">
        <v>289.0</v>
      </c>
      <c r="N41" s="51">
        <f t="shared" si="6"/>
        <v>136.3052854</v>
      </c>
    </row>
    <row r="42">
      <c r="A42" s="50">
        <v>20301.0</v>
      </c>
      <c r="B42" s="50" t="s">
        <v>99</v>
      </c>
      <c r="C42" s="51">
        <v>11071.0</v>
      </c>
      <c r="D42" s="52">
        <v>0.0</v>
      </c>
      <c r="E42" s="53">
        <v>29.8</v>
      </c>
      <c r="F42" s="54">
        <f t="shared" si="2"/>
        <v>38.6</v>
      </c>
      <c r="G42" s="54">
        <f t="shared" si="18"/>
        <v>1.582699953</v>
      </c>
      <c r="H42" s="55">
        <f t="shared" si="4"/>
        <v>47.16445861</v>
      </c>
      <c r="I42" s="56">
        <f t="shared" si="5"/>
        <v>5221.577213</v>
      </c>
      <c r="J42" s="63"/>
      <c r="K42" s="63"/>
      <c r="L42" s="64"/>
      <c r="M42" s="57">
        <v>1025.0</v>
      </c>
      <c r="N42" s="51">
        <f t="shared" si="6"/>
        <v>483.4357008</v>
      </c>
    </row>
    <row r="43">
      <c r="A43" s="50">
        <v>20302.0</v>
      </c>
      <c r="B43" s="50" t="s">
        <v>100</v>
      </c>
      <c r="C43" s="51">
        <v>13674.0</v>
      </c>
      <c r="D43" s="52">
        <v>0.0</v>
      </c>
      <c r="E43" s="53">
        <v>29.8</v>
      </c>
      <c r="F43" s="54">
        <f t="shared" si="2"/>
        <v>38.6</v>
      </c>
      <c r="G43" s="54">
        <f t="shared" si="18"/>
        <v>1.582699953</v>
      </c>
      <c r="H43" s="55">
        <f t="shared" si="4"/>
        <v>47.16445861</v>
      </c>
      <c r="I43" s="56">
        <f t="shared" si="5"/>
        <v>6449.26807</v>
      </c>
      <c r="J43" s="63"/>
      <c r="K43" s="63"/>
      <c r="L43" s="64"/>
      <c r="M43" s="57">
        <v>1261.0</v>
      </c>
      <c r="N43" s="51">
        <f t="shared" si="6"/>
        <v>594.7438231</v>
      </c>
    </row>
    <row r="44">
      <c r="A44" s="50">
        <v>20303.0</v>
      </c>
      <c r="B44" s="50" t="s">
        <v>101</v>
      </c>
      <c r="C44" s="51">
        <v>9493.0</v>
      </c>
      <c r="D44" s="52">
        <v>0.0</v>
      </c>
      <c r="E44" s="53">
        <v>29.8</v>
      </c>
      <c r="F44" s="54">
        <f t="shared" si="2"/>
        <v>38.6</v>
      </c>
      <c r="G44" s="54">
        <f t="shared" si="18"/>
        <v>1.582699953</v>
      </c>
      <c r="H44" s="55">
        <f t="shared" si="4"/>
        <v>47.16445861</v>
      </c>
      <c r="I44" s="56">
        <f t="shared" si="5"/>
        <v>4477.322056</v>
      </c>
      <c r="J44" s="63"/>
      <c r="K44" s="63"/>
      <c r="L44" s="64"/>
      <c r="M44" s="57">
        <v>772.0</v>
      </c>
      <c r="N44" s="51">
        <f t="shared" si="6"/>
        <v>364.1096205</v>
      </c>
    </row>
    <row r="45">
      <c r="A45" s="50">
        <v>20304.0</v>
      </c>
      <c r="B45" s="50" t="s">
        <v>102</v>
      </c>
      <c r="C45" s="51">
        <v>3873.0</v>
      </c>
      <c r="D45" s="52">
        <v>0.0</v>
      </c>
      <c r="E45" s="53">
        <v>29.8</v>
      </c>
      <c r="F45" s="54">
        <f t="shared" si="2"/>
        <v>38.6</v>
      </c>
      <c r="G45" s="54">
        <f t="shared" si="18"/>
        <v>1.582699953</v>
      </c>
      <c r="H45" s="55">
        <f t="shared" si="4"/>
        <v>47.16445861</v>
      </c>
      <c r="I45" s="56">
        <f t="shared" si="5"/>
        <v>1826.679482</v>
      </c>
      <c r="J45" s="63"/>
      <c r="K45" s="63"/>
      <c r="L45" s="64"/>
      <c r="M45" s="57">
        <v>383.0</v>
      </c>
      <c r="N45" s="51">
        <f t="shared" si="6"/>
        <v>180.6398765</v>
      </c>
    </row>
    <row r="46">
      <c r="A46" s="50">
        <v>20305.0</v>
      </c>
      <c r="B46" s="50" t="s">
        <v>103</v>
      </c>
      <c r="C46" s="51">
        <v>3071.0</v>
      </c>
      <c r="D46" s="52">
        <v>0.0</v>
      </c>
      <c r="E46" s="53">
        <v>29.8</v>
      </c>
      <c r="F46" s="54">
        <f t="shared" si="2"/>
        <v>38.6</v>
      </c>
      <c r="G46" s="54">
        <f t="shared" si="18"/>
        <v>1.582699953</v>
      </c>
      <c r="H46" s="55">
        <f t="shared" si="4"/>
        <v>47.16445861</v>
      </c>
      <c r="I46" s="56">
        <f t="shared" si="5"/>
        <v>1448.420524</v>
      </c>
      <c r="J46" s="63"/>
      <c r="K46" s="63"/>
      <c r="L46" s="64"/>
      <c r="M46" s="57">
        <v>303.0</v>
      </c>
      <c r="N46" s="51">
        <f t="shared" si="6"/>
        <v>142.9083096</v>
      </c>
    </row>
    <row r="47">
      <c r="A47" s="50">
        <v>20306.0</v>
      </c>
      <c r="B47" s="50" t="s">
        <v>104</v>
      </c>
      <c r="C47" s="51">
        <v>3828.0</v>
      </c>
      <c r="D47" s="52">
        <v>25.5</v>
      </c>
      <c r="E47" s="53">
        <v>29.8</v>
      </c>
      <c r="F47" s="54">
        <f t="shared" si="2"/>
        <v>33.143</v>
      </c>
      <c r="G47" s="54">
        <f t="shared" si="18"/>
        <v>1.358948823</v>
      </c>
      <c r="H47" s="55">
        <f t="shared" si="4"/>
        <v>40.49667492</v>
      </c>
      <c r="I47" s="56">
        <f t="shared" si="5"/>
        <v>1550.212716</v>
      </c>
      <c r="J47" s="63"/>
      <c r="K47" s="63"/>
      <c r="L47" s="64"/>
      <c r="M47" s="57">
        <v>423.0</v>
      </c>
      <c r="N47" s="51">
        <f t="shared" si="6"/>
        <v>171.3009349</v>
      </c>
    </row>
    <row r="48">
      <c r="A48" s="50">
        <v>20307.0</v>
      </c>
      <c r="B48" s="50" t="s">
        <v>105</v>
      </c>
      <c r="C48" s="51">
        <v>491.0</v>
      </c>
      <c r="D48" s="52">
        <v>0.0</v>
      </c>
      <c r="E48" s="53">
        <v>29.8</v>
      </c>
      <c r="F48" s="54">
        <f t="shared" si="2"/>
        <v>38.6</v>
      </c>
      <c r="G48" s="54">
        <f t="shared" si="18"/>
        <v>1.582699953</v>
      </c>
      <c r="H48" s="55">
        <f t="shared" si="4"/>
        <v>47.16445861</v>
      </c>
      <c r="I48" s="56">
        <f t="shared" si="5"/>
        <v>231.5774918</v>
      </c>
      <c r="J48" s="63"/>
      <c r="K48" s="63"/>
      <c r="L48" s="64"/>
      <c r="M48" s="57">
        <v>44.0</v>
      </c>
      <c r="N48" s="51">
        <f t="shared" si="6"/>
        <v>20.75236179</v>
      </c>
    </row>
    <row r="49">
      <c r="A49" s="50">
        <v>20308.0</v>
      </c>
      <c r="B49" s="50" t="s">
        <v>106</v>
      </c>
      <c r="C49" s="51">
        <v>7584.0</v>
      </c>
      <c r="D49" s="52">
        <v>0.0</v>
      </c>
      <c r="E49" s="53">
        <v>29.8</v>
      </c>
      <c r="F49" s="54">
        <f t="shared" si="2"/>
        <v>38.6</v>
      </c>
      <c r="G49" s="54">
        <f t="shared" si="18"/>
        <v>1.582699953</v>
      </c>
      <c r="H49" s="55">
        <f t="shared" si="4"/>
        <v>47.16445861</v>
      </c>
      <c r="I49" s="56">
        <f t="shared" si="5"/>
        <v>3576.952541</v>
      </c>
      <c r="J49" s="63"/>
      <c r="K49" s="63"/>
      <c r="L49" s="64"/>
      <c r="M49" s="57">
        <v>679.0</v>
      </c>
      <c r="N49" s="51">
        <f t="shared" si="6"/>
        <v>320.246674</v>
      </c>
    </row>
    <row r="50">
      <c r="A50" s="50">
        <v>20401.0</v>
      </c>
      <c r="B50" s="50" t="s">
        <v>107</v>
      </c>
      <c r="C50" s="51">
        <v>11942.0</v>
      </c>
      <c r="D50" s="52">
        <v>0.0</v>
      </c>
      <c r="E50" s="53">
        <v>29.8</v>
      </c>
      <c r="F50" s="54">
        <f t="shared" si="2"/>
        <v>38.6</v>
      </c>
      <c r="G50" s="54">
        <f t="shared" si="18"/>
        <v>1.582699953</v>
      </c>
      <c r="H50" s="55">
        <f t="shared" si="4"/>
        <v>47.16445861</v>
      </c>
      <c r="I50" s="56">
        <f t="shared" si="5"/>
        <v>5632.379647</v>
      </c>
      <c r="J50" s="63"/>
      <c r="K50" s="63"/>
      <c r="L50" s="64"/>
      <c r="M50" s="57">
        <v>1009.0</v>
      </c>
      <c r="N50" s="51">
        <f t="shared" si="6"/>
        <v>475.8893874</v>
      </c>
    </row>
    <row r="51">
      <c r="A51" s="50">
        <v>20402.0</v>
      </c>
      <c r="B51" s="50" t="s">
        <v>108</v>
      </c>
      <c r="C51" s="51">
        <v>16235.0</v>
      </c>
      <c r="D51" s="52">
        <v>0.0</v>
      </c>
      <c r="E51" s="53">
        <v>29.8</v>
      </c>
      <c r="F51" s="54">
        <f t="shared" si="2"/>
        <v>38.6</v>
      </c>
      <c r="G51" s="54">
        <f t="shared" si="18"/>
        <v>1.582699953</v>
      </c>
      <c r="H51" s="55">
        <f t="shared" si="4"/>
        <v>47.16445861</v>
      </c>
      <c r="I51" s="56">
        <f t="shared" si="5"/>
        <v>7657.149856</v>
      </c>
      <c r="J51" s="63"/>
      <c r="K51" s="63"/>
      <c r="L51" s="64"/>
      <c r="M51" s="57">
        <v>1611.0</v>
      </c>
      <c r="N51" s="51">
        <f t="shared" si="6"/>
        <v>759.8194282</v>
      </c>
    </row>
    <row r="52">
      <c r="A52" s="50">
        <v>20403.0</v>
      </c>
      <c r="B52" s="50" t="s">
        <v>109</v>
      </c>
      <c r="C52" s="51">
        <v>14637.0</v>
      </c>
      <c r="D52" s="52">
        <v>0.0</v>
      </c>
      <c r="E52" s="53">
        <v>29.8</v>
      </c>
      <c r="F52" s="54">
        <f t="shared" si="2"/>
        <v>38.6</v>
      </c>
      <c r="G52" s="54">
        <f t="shared" si="18"/>
        <v>1.582699953</v>
      </c>
      <c r="H52" s="55">
        <f t="shared" si="4"/>
        <v>47.16445861</v>
      </c>
      <c r="I52" s="56">
        <f t="shared" si="5"/>
        <v>6903.461807</v>
      </c>
      <c r="J52" s="63"/>
      <c r="K52" s="63"/>
      <c r="L52" s="64"/>
      <c r="M52" s="57">
        <v>1377.0</v>
      </c>
      <c r="N52" s="51">
        <f t="shared" si="6"/>
        <v>649.4545951</v>
      </c>
    </row>
    <row r="53">
      <c r="A53" s="50">
        <v>20404.0</v>
      </c>
      <c r="B53" s="50" t="s">
        <v>110</v>
      </c>
      <c r="C53" s="51">
        <v>5435.0</v>
      </c>
      <c r="D53" s="52">
        <v>0.0</v>
      </c>
      <c r="E53" s="53">
        <v>29.8</v>
      </c>
      <c r="F53" s="54">
        <f t="shared" si="2"/>
        <v>38.6</v>
      </c>
      <c r="G53" s="54">
        <f t="shared" si="18"/>
        <v>1.582699953</v>
      </c>
      <c r="H53" s="55">
        <f t="shared" si="4"/>
        <v>47.16445861</v>
      </c>
      <c r="I53" s="56">
        <f t="shared" si="5"/>
        <v>2563.388326</v>
      </c>
      <c r="J53" s="63"/>
      <c r="K53" s="63"/>
      <c r="L53" s="64"/>
      <c r="M53" s="57">
        <v>521.0</v>
      </c>
      <c r="N53" s="51">
        <f t="shared" si="6"/>
        <v>245.7268294</v>
      </c>
    </row>
    <row r="54">
      <c r="A54" s="50">
        <v>20405.0</v>
      </c>
      <c r="B54" s="50" t="s">
        <v>111</v>
      </c>
      <c r="C54" s="51">
        <v>7206.0</v>
      </c>
      <c r="D54" s="52">
        <v>0.0</v>
      </c>
      <c r="E54" s="53">
        <v>29.8</v>
      </c>
      <c r="F54" s="54">
        <f t="shared" si="2"/>
        <v>38.6</v>
      </c>
      <c r="G54" s="54">
        <f t="shared" si="18"/>
        <v>1.582699953</v>
      </c>
      <c r="H54" s="55">
        <f t="shared" si="4"/>
        <v>47.16445861</v>
      </c>
      <c r="I54" s="56">
        <f t="shared" si="5"/>
        <v>3398.670888</v>
      </c>
      <c r="J54" s="63"/>
      <c r="K54" s="63"/>
      <c r="L54" s="64"/>
      <c r="M54" s="57">
        <v>535.0</v>
      </c>
      <c r="N54" s="51">
        <f t="shared" si="6"/>
        <v>252.3298536</v>
      </c>
    </row>
    <row r="55">
      <c r="A55" s="50">
        <v>20501.0</v>
      </c>
      <c r="B55" s="50" t="s">
        <v>112</v>
      </c>
      <c r="C55" s="51">
        <v>11971.0</v>
      </c>
      <c r="D55" s="52">
        <v>0.0</v>
      </c>
      <c r="E55" s="53">
        <v>29.8</v>
      </c>
      <c r="F55" s="54">
        <f t="shared" si="2"/>
        <v>38.6</v>
      </c>
      <c r="G55" s="54">
        <f t="shared" si="18"/>
        <v>1.582699953</v>
      </c>
      <c r="H55" s="55">
        <f t="shared" si="4"/>
        <v>47.16445861</v>
      </c>
      <c r="I55" s="56">
        <f t="shared" si="5"/>
        <v>5646.05734</v>
      </c>
      <c r="J55" s="63"/>
      <c r="K55" s="63"/>
      <c r="L55" s="64"/>
      <c r="M55" s="57">
        <v>1314.0</v>
      </c>
      <c r="N55" s="51">
        <f t="shared" si="6"/>
        <v>619.7409861</v>
      </c>
    </row>
    <row r="56">
      <c r="A56" s="50">
        <v>20502.0</v>
      </c>
      <c r="B56" s="50" t="s">
        <v>113</v>
      </c>
      <c r="C56" s="51">
        <v>8313.0</v>
      </c>
      <c r="D56" s="52">
        <v>0.0</v>
      </c>
      <c r="E56" s="53">
        <v>29.8</v>
      </c>
      <c r="F56" s="54">
        <f t="shared" si="2"/>
        <v>38.6</v>
      </c>
      <c r="G56" s="54">
        <f t="shared" si="18"/>
        <v>1.582699953</v>
      </c>
      <c r="H56" s="55">
        <f t="shared" si="4"/>
        <v>47.16445861</v>
      </c>
      <c r="I56" s="56">
        <f t="shared" si="5"/>
        <v>3920.781444</v>
      </c>
      <c r="J56" s="63"/>
      <c r="K56" s="63"/>
      <c r="L56" s="64"/>
      <c r="M56" s="57">
        <v>1062.0</v>
      </c>
      <c r="N56" s="51">
        <f t="shared" si="6"/>
        <v>500.8865504</v>
      </c>
    </row>
    <row r="57">
      <c r="A57" s="50">
        <v>20503.0</v>
      </c>
      <c r="B57" s="50" t="s">
        <v>114</v>
      </c>
      <c r="C57" s="51">
        <v>5004.0</v>
      </c>
      <c r="D57" s="52">
        <v>0.0</v>
      </c>
      <c r="E57" s="53">
        <v>29.8</v>
      </c>
      <c r="F57" s="54">
        <f t="shared" si="2"/>
        <v>38.6</v>
      </c>
      <c r="G57" s="54">
        <f t="shared" si="18"/>
        <v>1.582699953</v>
      </c>
      <c r="H57" s="55">
        <f t="shared" si="4"/>
        <v>47.16445861</v>
      </c>
      <c r="I57" s="56">
        <f t="shared" si="5"/>
        <v>2360.109509</v>
      </c>
      <c r="J57" s="63"/>
      <c r="K57" s="63"/>
      <c r="L57" s="64"/>
      <c r="M57" s="57">
        <v>612.0</v>
      </c>
      <c r="N57" s="51">
        <f t="shared" si="6"/>
        <v>288.6464867</v>
      </c>
    </row>
    <row r="58">
      <c r="A58" s="50">
        <v>20601.0</v>
      </c>
      <c r="B58" s="50" t="s">
        <v>115</v>
      </c>
      <c r="C58" s="51">
        <v>21847.0</v>
      </c>
      <c r="D58" s="52">
        <v>11.8</v>
      </c>
      <c r="E58" s="53">
        <v>29.8</v>
      </c>
      <c r="F58" s="54">
        <f t="shared" si="2"/>
        <v>36.0748</v>
      </c>
      <c r="G58" s="54">
        <f t="shared" si="18"/>
        <v>1.479160214</v>
      </c>
      <c r="H58" s="55">
        <f t="shared" si="4"/>
        <v>44.07897439</v>
      </c>
      <c r="I58" s="56">
        <f t="shared" si="5"/>
        <v>9629.933535</v>
      </c>
      <c r="J58" s="63"/>
      <c r="K58" s="63"/>
      <c r="L58" s="64"/>
      <c r="M58" s="57">
        <v>2296.0</v>
      </c>
      <c r="N58" s="51">
        <f t="shared" si="6"/>
        <v>1012.053252</v>
      </c>
    </row>
    <row r="59">
      <c r="A59" s="50">
        <v>20602.0</v>
      </c>
      <c r="B59" s="50" t="s">
        <v>116</v>
      </c>
      <c r="C59" s="51">
        <v>13603.0</v>
      </c>
      <c r="D59" s="52">
        <v>30.2</v>
      </c>
      <c r="E59" s="53">
        <v>29.8</v>
      </c>
      <c r="F59" s="54">
        <f t="shared" si="2"/>
        <v>32.1372</v>
      </c>
      <c r="G59" s="54">
        <f t="shared" si="18"/>
        <v>1.317708418</v>
      </c>
      <c r="H59" s="55">
        <f t="shared" si="4"/>
        <v>39.26771086</v>
      </c>
      <c r="I59" s="56">
        <f t="shared" si="5"/>
        <v>5341.586709</v>
      </c>
      <c r="J59" s="63"/>
      <c r="K59" s="63"/>
      <c r="L59" s="64"/>
      <c r="M59" s="57">
        <v>1635.0</v>
      </c>
      <c r="N59" s="51">
        <f t="shared" si="6"/>
        <v>642.0270726</v>
      </c>
    </row>
    <row r="60">
      <c r="A60" s="50">
        <v>20603.0</v>
      </c>
      <c r="B60" s="50" t="s">
        <v>117</v>
      </c>
      <c r="C60" s="51">
        <v>7486.0</v>
      </c>
      <c r="D60" s="52">
        <v>0.0</v>
      </c>
      <c r="E60" s="53">
        <v>29.8</v>
      </c>
      <c r="F60" s="54">
        <f t="shared" si="2"/>
        <v>38.6</v>
      </c>
      <c r="G60" s="54">
        <f t="shared" si="18"/>
        <v>1.582699953</v>
      </c>
      <c r="H60" s="55">
        <f t="shared" si="4"/>
        <v>47.16445861</v>
      </c>
      <c r="I60" s="56">
        <f t="shared" si="5"/>
        <v>3530.731372</v>
      </c>
      <c r="J60" s="63"/>
      <c r="K60" s="63"/>
      <c r="L60" s="64"/>
      <c r="M60" s="57">
        <v>891.0</v>
      </c>
      <c r="N60" s="51">
        <f t="shared" si="6"/>
        <v>420.2353262</v>
      </c>
    </row>
    <row r="61">
      <c r="A61" s="50">
        <v>20604.0</v>
      </c>
      <c r="B61" s="50" t="s">
        <v>118</v>
      </c>
      <c r="C61" s="51">
        <v>2646.0</v>
      </c>
      <c r="D61" s="52">
        <v>0.0</v>
      </c>
      <c r="E61" s="53">
        <v>29.8</v>
      </c>
      <c r="F61" s="54">
        <f t="shared" si="2"/>
        <v>38.6</v>
      </c>
      <c r="G61" s="54">
        <f t="shared" si="18"/>
        <v>1.582699953</v>
      </c>
      <c r="H61" s="55">
        <f t="shared" si="4"/>
        <v>47.16445861</v>
      </c>
      <c r="I61" s="56">
        <f t="shared" si="5"/>
        <v>1247.971575</v>
      </c>
      <c r="J61" s="63"/>
      <c r="K61" s="63"/>
      <c r="L61" s="64"/>
      <c r="M61" s="57">
        <v>320.0</v>
      </c>
      <c r="N61" s="51">
        <f t="shared" si="6"/>
        <v>150.9262676</v>
      </c>
    </row>
    <row r="62">
      <c r="A62" s="50">
        <v>20605.0</v>
      </c>
      <c r="B62" s="50" t="s">
        <v>119</v>
      </c>
      <c r="C62" s="51">
        <v>3353.0</v>
      </c>
      <c r="D62" s="52">
        <v>0.0</v>
      </c>
      <c r="E62" s="53">
        <v>29.8</v>
      </c>
      <c r="F62" s="54">
        <f t="shared" si="2"/>
        <v>38.6</v>
      </c>
      <c r="G62" s="54">
        <f t="shared" si="18"/>
        <v>1.582699953</v>
      </c>
      <c r="H62" s="55">
        <f t="shared" si="4"/>
        <v>47.16445861</v>
      </c>
      <c r="I62" s="56">
        <f t="shared" si="5"/>
        <v>1581.424297</v>
      </c>
      <c r="J62" s="63"/>
      <c r="K62" s="63"/>
      <c r="L62" s="64"/>
      <c r="M62" s="57">
        <v>260.0</v>
      </c>
      <c r="N62" s="51">
        <f t="shared" si="6"/>
        <v>122.6275924</v>
      </c>
    </row>
    <row r="63">
      <c r="A63" s="50">
        <v>20606.0</v>
      </c>
      <c r="B63" s="50" t="s">
        <v>120</v>
      </c>
      <c r="C63" s="51">
        <v>9744.0</v>
      </c>
      <c r="D63" s="52">
        <v>25.7</v>
      </c>
      <c r="E63" s="53">
        <v>29.8</v>
      </c>
      <c r="F63" s="54">
        <f t="shared" si="2"/>
        <v>33.1002</v>
      </c>
      <c r="G63" s="54">
        <f t="shared" si="18"/>
        <v>1.357193912</v>
      </c>
      <c r="H63" s="55">
        <f t="shared" si="4"/>
        <v>40.44437857</v>
      </c>
      <c r="I63" s="56">
        <f t="shared" si="5"/>
        <v>3940.900248</v>
      </c>
      <c r="J63" s="63"/>
      <c r="K63" s="63"/>
      <c r="L63" s="64"/>
      <c r="M63" s="57">
        <v>1202.0</v>
      </c>
      <c r="N63" s="51">
        <f t="shared" si="6"/>
        <v>486.1414304</v>
      </c>
    </row>
    <row r="64">
      <c r="A64" s="50">
        <v>20607.0</v>
      </c>
      <c r="B64" s="50" t="s">
        <v>121</v>
      </c>
      <c r="C64" s="51">
        <v>12343.0</v>
      </c>
      <c r="D64" s="52">
        <v>37.2</v>
      </c>
      <c r="E64" s="53">
        <v>29.8</v>
      </c>
      <c r="F64" s="54">
        <f t="shared" si="2"/>
        <v>30.6392</v>
      </c>
      <c r="G64" s="54">
        <f t="shared" si="18"/>
        <v>1.256286539</v>
      </c>
      <c r="H64" s="55">
        <f t="shared" si="4"/>
        <v>37.43733887</v>
      </c>
      <c r="I64" s="56">
        <f t="shared" si="5"/>
        <v>4620.890736</v>
      </c>
      <c r="J64" s="63"/>
      <c r="K64" s="63"/>
      <c r="L64" s="64"/>
      <c r="M64" s="57">
        <v>1745.0</v>
      </c>
      <c r="N64" s="51">
        <f t="shared" si="6"/>
        <v>653.2815632</v>
      </c>
    </row>
    <row r="65">
      <c r="A65" s="50">
        <v>20608.0</v>
      </c>
      <c r="B65" s="50" t="s">
        <v>122</v>
      </c>
      <c r="C65" s="51">
        <v>8534.0</v>
      </c>
      <c r="D65" s="52">
        <v>0.0</v>
      </c>
      <c r="E65" s="53">
        <v>29.8</v>
      </c>
      <c r="F65" s="54">
        <f t="shared" si="2"/>
        <v>38.6</v>
      </c>
      <c r="G65" s="54">
        <f t="shared" si="18"/>
        <v>1.582699953</v>
      </c>
      <c r="H65" s="55">
        <f t="shared" si="4"/>
        <v>47.16445861</v>
      </c>
      <c r="I65" s="56">
        <f t="shared" si="5"/>
        <v>4025.014898</v>
      </c>
      <c r="J65" s="63"/>
      <c r="K65" s="63"/>
      <c r="L65" s="64"/>
      <c r="M65" s="57">
        <v>1049.0</v>
      </c>
      <c r="N65" s="51">
        <f t="shared" si="6"/>
        <v>494.7551708</v>
      </c>
    </row>
    <row r="66">
      <c r="A66" s="50">
        <v>20701.0</v>
      </c>
      <c r="B66" s="50" t="s">
        <v>123</v>
      </c>
      <c r="C66" s="51">
        <v>17749.0</v>
      </c>
      <c r="D66" s="52">
        <v>25.8</v>
      </c>
      <c r="E66" s="53">
        <v>29.8</v>
      </c>
      <c r="F66" s="54">
        <f t="shared" si="2"/>
        <v>33.0788</v>
      </c>
      <c r="G66" s="54">
        <f t="shared" si="18"/>
        <v>1.356316456</v>
      </c>
      <c r="H66" s="55">
        <f t="shared" si="4"/>
        <v>40.4182304</v>
      </c>
      <c r="I66" s="56">
        <f t="shared" si="5"/>
        <v>7173.831714</v>
      </c>
      <c r="J66" s="63"/>
      <c r="K66" s="63"/>
      <c r="L66" s="64"/>
      <c r="M66" s="57">
        <v>2383.0</v>
      </c>
      <c r="N66" s="51">
        <f t="shared" si="6"/>
        <v>963.1664305</v>
      </c>
    </row>
    <row r="67">
      <c r="A67" s="50">
        <v>20702.0</v>
      </c>
      <c r="B67" s="50" t="s">
        <v>124</v>
      </c>
      <c r="C67" s="51">
        <v>6175.0</v>
      </c>
      <c r="D67" s="52">
        <v>0.0</v>
      </c>
      <c r="E67" s="53">
        <v>29.8</v>
      </c>
      <c r="F67" s="54">
        <f t="shared" si="2"/>
        <v>38.6</v>
      </c>
      <c r="G67" s="54">
        <f t="shared" si="18"/>
        <v>1.582699953</v>
      </c>
      <c r="H67" s="55">
        <f t="shared" si="4"/>
        <v>47.16445861</v>
      </c>
      <c r="I67" s="56">
        <f t="shared" si="5"/>
        <v>2912.405319</v>
      </c>
      <c r="J67" s="63"/>
      <c r="K67" s="63"/>
      <c r="L67" s="64"/>
      <c r="M67" s="57">
        <v>775.0</v>
      </c>
      <c r="N67" s="51">
        <f t="shared" si="6"/>
        <v>365.5245542</v>
      </c>
    </row>
    <row r="68">
      <c r="A68" s="50">
        <v>20801.0</v>
      </c>
      <c r="B68" s="50" t="s">
        <v>125</v>
      </c>
      <c r="C68" s="51">
        <v>68314.0</v>
      </c>
      <c r="D68" s="52">
        <v>72.4</v>
      </c>
      <c r="E68" s="53">
        <v>29.8</v>
      </c>
      <c r="F68" s="54">
        <f t="shared" si="2"/>
        <v>23.1064</v>
      </c>
      <c r="G68" s="54">
        <f t="shared" si="18"/>
        <v>0.9474222332</v>
      </c>
      <c r="H68" s="55">
        <f t="shared" si="4"/>
        <v>28.23318255</v>
      </c>
      <c r="I68" s="56">
        <f t="shared" si="5"/>
        <v>19287.21633</v>
      </c>
      <c r="J68" s="63"/>
      <c r="K68" s="63"/>
      <c r="L68" s="64"/>
      <c r="M68" s="57">
        <v>7150.0</v>
      </c>
      <c r="N68" s="51">
        <f t="shared" si="6"/>
        <v>2018.672552</v>
      </c>
    </row>
    <row r="69">
      <c r="A69" s="50">
        <v>20802.0</v>
      </c>
      <c r="B69" s="50" t="s">
        <v>126</v>
      </c>
      <c r="C69" s="51">
        <v>7378.0</v>
      </c>
      <c r="D69" s="52">
        <v>0.0</v>
      </c>
      <c r="E69" s="53">
        <v>29.8</v>
      </c>
      <c r="F69" s="54">
        <f t="shared" si="2"/>
        <v>38.6</v>
      </c>
      <c r="G69" s="54">
        <f t="shared" si="18"/>
        <v>1.582699953</v>
      </c>
      <c r="H69" s="55">
        <f t="shared" si="4"/>
        <v>47.16445861</v>
      </c>
      <c r="I69" s="56">
        <f t="shared" si="5"/>
        <v>3479.793756</v>
      </c>
      <c r="J69" s="63"/>
      <c r="K69" s="63"/>
      <c r="L69" s="64"/>
      <c r="M69" s="57">
        <v>549.0</v>
      </c>
      <c r="N69" s="51">
        <f t="shared" si="6"/>
        <v>258.9328778</v>
      </c>
    </row>
    <row r="70">
      <c r="A70" s="50">
        <v>20803.0</v>
      </c>
      <c r="B70" s="50" t="s">
        <v>127</v>
      </c>
      <c r="C70" s="51">
        <v>11869.0</v>
      </c>
      <c r="D70" s="52">
        <v>10.6</v>
      </c>
      <c r="E70" s="53">
        <v>29.8</v>
      </c>
      <c r="F70" s="54">
        <f t="shared" si="2"/>
        <v>36.3316</v>
      </c>
      <c r="G70" s="54">
        <f t="shared" si="18"/>
        <v>1.489689679</v>
      </c>
      <c r="H70" s="55">
        <f t="shared" si="4"/>
        <v>44.39275245</v>
      </c>
      <c r="I70" s="56">
        <f t="shared" si="5"/>
        <v>5268.975788</v>
      </c>
      <c r="J70" s="63"/>
      <c r="K70" s="63"/>
      <c r="L70" s="64"/>
      <c r="M70" s="57">
        <v>992.0</v>
      </c>
      <c r="N70" s="51">
        <f t="shared" si="6"/>
        <v>440.3761043</v>
      </c>
    </row>
    <row r="71">
      <c r="A71" s="50">
        <v>20804.0</v>
      </c>
      <c r="B71" s="50" t="s">
        <v>128</v>
      </c>
      <c r="C71" s="51">
        <v>6258.0</v>
      </c>
      <c r="D71" s="52">
        <v>53.2</v>
      </c>
      <c r="E71" s="53">
        <v>29.8</v>
      </c>
      <c r="F71" s="54">
        <f t="shared" si="2"/>
        <v>27.2152</v>
      </c>
      <c r="G71" s="54">
        <f t="shared" si="18"/>
        <v>1.115893673</v>
      </c>
      <c r="H71" s="55">
        <f t="shared" si="4"/>
        <v>33.25363145</v>
      </c>
      <c r="I71" s="56">
        <f t="shared" si="5"/>
        <v>2081.012256</v>
      </c>
      <c r="J71" s="63"/>
      <c r="K71" s="63"/>
      <c r="L71" s="64"/>
      <c r="M71" s="57">
        <v>607.0</v>
      </c>
      <c r="N71" s="51">
        <f t="shared" si="6"/>
        <v>201.8495429</v>
      </c>
    </row>
    <row r="72">
      <c r="A72" s="50">
        <v>20805.0</v>
      </c>
      <c r="B72" s="50" t="s">
        <v>129</v>
      </c>
      <c r="C72" s="51">
        <v>6201.0</v>
      </c>
      <c r="D72" s="52">
        <v>0.0</v>
      </c>
      <c r="E72" s="53">
        <v>29.8</v>
      </c>
      <c r="F72" s="54">
        <f t="shared" si="2"/>
        <v>38.6</v>
      </c>
      <c r="G72" s="54">
        <f t="shared" si="18"/>
        <v>1.582699953</v>
      </c>
      <c r="H72" s="55">
        <f t="shared" si="4"/>
        <v>47.16445861</v>
      </c>
      <c r="I72" s="56">
        <f t="shared" si="5"/>
        <v>2924.668078</v>
      </c>
      <c r="J72" s="63"/>
      <c r="K72" s="63"/>
      <c r="L72" s="64"/>
      <c r="M72" s="57">
        <v>495.0</v>
      </c>
      <c r="N72" s="51">
        <f t="shared" si="6"/>
        <v>233.4640701</v>
      </c>
    </row>
    <row r="73">
      <c r="A73" s="50">
        <v>20806.0</v>
      </c>
      <c r="B73" s="50" t="s">
        <v>130</v>
      </c>
      <c r="C73" s="51">
        <v>14387.0</v>
      </c>
      <c r="D73" s="52">
        <v>0.0</v>
      </c>
      <c r="E73" s="53">
        <v>29.8</v>
      </c>
      <c r="F73" s="54">
        <f t="shared" si="2"/>
        <v>38.6</v>
      </c>
      <c r="G73" s="54">
        <f t="shared" si="18"/>
        <v>1.582699953</v>
      </c>
      <c r="H73" s="55">
        <f t="shared" si="4"/>
        <v>47.16445861</v>
      </c>
      <c r="I73" s="56">
        <f t="shared" si="5"/>
        <v>6785.55066</v>
      </c>
      <c r="J73" s="63"/>
      <c r="K73" s="63"/>
      <c r="L73" s="64"/>
      <c r="M73" s="57">
        <v>1248.0</v>
      </c>
      <c r="N73" s="51">
        <f t="shared" si="6"/>
        <v>588.6124435</v>
      </c>
    </row>
    <row r="74">
      <c r="A74" s="50">
        <v>20807.0</v>
      </c>
      <c r="B74" s="50" t="s">
        <v>131</v>
      </c>
      <c r="C74" s="51">
        <v>6355.0</v>
      </c>
      <c r="D74" s="52">
        <v>0.0</v>
      </c>
      <c r="E74" s="53">
        <v>29.8</v>
      </c>
      <c r="F74" s="54">
        <f t="shared" si="2"/>
        <v>38.6</v>
      </c>
      <c r="G74" s="54">
        <f t="shared" si="18"/>
        <v>1.582699953</v>
      </c>
      <c r="H74" s="55">
        <f t="shared" si="4"/>
        <v>47.16445861</v>
      </c>
      <c r="I74" s="56">
        <f t="shared" si="5"/>
        <v>2997.301345</v>
      </c>
      <c r="J74" s="63"/>
      <c r="K74" s="63"/>
      <c r="L74" s="64"/>
      <c r="M74" s="57">
        <v>435.0</v>
      </c>
      <c r="N74" s="51">
        <f t="shared" si="6"/>
        <v>205.165395</v>
      </c>
    </row>
    <row r="75">
      <c r="A75" s="50">
        <v>20901.0</v>
      </c>
      <c r="B75" s="50" t="s">
        <v>132</v>
      </c>
      <c r="C75" s="51">
        <v>10363.0</v>
      </c>
      <c r="D75" s="52">
        <v>0.0</v>
      </c>
      <c r="E75" s="53">
        <v>29.8</v>
      </c>
      <c r="F75" s="54">
        <f t="shared" si="2"/>
        <v>38.6</v>
      </c>
      <c r="G75" s="54">
        <f t="shared" si="18"/>
        <v>1.582699953</v>
      </c>
      <c r="H75" s="55">
        <f t="shared" si="4"/>
        <v>47.16445861</v>
      </c>
      <c r="I75" s="56">
        <f t="shared" si="5"/>
        <v>4887.652846</v>
      </c>
      <c r="J75" s="63"/>
      <c r="K75" s="63"/>
      <c r="L75" s="64"/>
      <c r="M75" s="57">
        <v>936.0</v>
      </c>
      <c r="N75" s="51">
        <f t="shared" si="6"/>
        <v>441.4593326</v>
      </c>
    </row>
    <row r="76">
      <c r="A76" s="50">
        <v>20902.0</v>
      </c>
      <c r="B76" s="50" t="s">
        <v>133</v>
      </c>
      <c r="C76" s="51">
        <v>12232.0</v>
      </c>
      <c r="D76" s="52">
        <v>0.0</v>
      </c>
      <c r="E76" s="53">
        <v>29.8</v>
      </c>
      <c r="F76" s="54">
        <f t="shared" si="2"/>
        <v>38.6</v>
      </c>
      <c r="G76" s="54">
        <f t="shared" si="18"/>
        <v>1.582699953</v>
      </c>
      <c r="H76" s="55">
        <f t="shared" si="4"/>
        <v>47.16445861</v>
      </c>
      <c r="I76" s="56">
        <f t="shared" si="5"/>
        <v>5769.156577</v>
      </c>
      <c r="J76" s="63"/>
      <c r="K76" s="63"/>
      <c r="L76" s="64"/>
      <c r="M76" s="57">
        <v>1167.0</v>
      </c>
      <c r="N76" s="51">
        <f t="shared" si="6"/>
        <v>550.409232</v>
      </c>
    </row>
    <row r="77">
      <c r="A77" s="50">
        <v>20903.0</v>
      </c>
      <c r="B77" s="50" t="s">
        <v>134</v>
      </c>
      <c r="C77" s="51">
        <v>7515.0</v>
      </c>
      <c r="D77" s="52">
        <v>0.0</v>
      </c>
      <c r="E77" s="53">
        <v>29.8</v>
      </c>
      <c r="F77" s="54">
        <f t="shared" si="2"/>
        <v>38.6</v>
      </c>
      <c r="G77" s="54">
        <f t="shared" si="18"/>
        <v>1.582699953</v>
      </c>
      <c r="H77" s="55">
        <f t="shared" si="4"/>
        <v>47.16445861</v>
      </c>
      <c r="I77" s="56">
        <f t="shared" si="5"/>
        <v>3544.409065</v>
      </c>
      <c r="J77" s="63"/>
      <c r="K77" s="63"/>
      <c r="L77" s="64"/>
      <c r="M77" s="57">
        <v>807.0</v>
      </c>
      <c r="N77" s="51">
        <f t="shared" si="6"/>
        <v>380.617181</v>
      </c>
    </row>
    <row r="78">
      <c r="A78" s="50">
        <v>20904.0</v>
      </c>
      <c r="B78" s="50" t="s">
        <v>135</v>
      </c>
      <c r="C78" s="51">
        <v>4654.0</v>
      </c>
      <c r="D78" s="52">
        <v>0.0</v>
      </c>
      <c r="E78" s="53">
        <v>29.8</v>
      </c>
      <c r="F78" s="54">
        <f t="shared" si="2"/>
        <v>38.6</v>
      </c>
      <c r="G78" s="54">
        <f t="shared" si="18"/>
        <v>1.582699953</v>
      </c>
      <c r="H78" s="55">
        <f t="shared" si="4"/>
        <v>47.16445861</v>
      </c>
      <c r="I78" s="56">
        <f t="shared" si="5"/>
        <v>2195.033904</v>
      </c>
      <c r="J78" s="63"/>
      <c r="K78" s="63"/>
      <c r="L78" s="64"/>
      <c r="M78" s="57">
        <v>579.0</v>
      </c>
      <c r="N78" s="51">
        <f t="shared" si="6"/>
        <v>273.0822154</v>
      </c>
    </row>
    <row r="79">
      <c r="A79" s="50">
        <v>20905.0</v>
      </c>
      <c r="B79" s="50" t="s">
        <v>136</v>
      </c>
      <c r="C79" s="51">
        <v>11349.0</v>
      </c>
      <c r="D79" s="52">
        <v>0.0</v>
      </c>
      <c r="E79" s="53">
        <v>29.8</v>
      </c>
      <c r="F79" s="54">
        <f t="shared" si="2"/>
        <v>38.6</v>
      </c>
      <c r="G79" s="54">
        <f t="shared" si="18"/>
        <v>1.582699953</v>
      </c>
      <c r="H79" s="55">
        <f t="shared" si="4"/>
        <v>47.16445861</v>
      </c>
      <c r="I79" s="56">
        <f t="shared" si="5"/>
        <v>5352.694408</v>
      </c>
      <c r="J79" s="63"/>
      <c r="K79" s="63"/>
      <c r="L79" s="64"/>
      <c r="M79" s="57">
        <v>1322.0</v>
      </c>
      <c r="N79" s="51">
        <f t="shared" si="6"/>
        <v>623.5141428</v>
      </c>
    </row>
    <row r="80">
      <c r="A80" s="50">
        <v>21001.0</v>
      </c>
      <c r="B80" s="50" t="s">
        <v>137</v>
      </c>
      <c r="C80" s="51">
        <v>15236.0</v>
      </c>
      <c r="D80" s="52">
        <v>0.0</v>
      </c>
      <c r="E80" s="53">
        <v>29.8</v>
      </c>
      <c r="F80" s="54">
        <f t="shared" si="2"/>
        <v>38.6</v>
      </c>
      <c r="G80" s="54">
        <f t="shared" si="18"/>
        <v>1.582699953</v>
      </c>
      <c r="H80" s="55">
        <f t="shared" si="4"/>
        <v>47.16445861</v>
      </c>
      <c r="I80" s="56">
        <f t="shared" si="5"/>
        <v>7185.976914</v>
      </c>
      <c r="J80" s="63"/>
      <c r="K80" s="63"/>
      <c r="L80" s="64"/>
      <c r="M80" s="57">
        <v>1836.0</v>
      </c>
      <c r="N80" s="51">
        <f t="shared" si="6"/>
        <v>865.9394601</v>
      </c>
    </row>
    <row r="81">
      <c r="A81" s="50">
        <v>21002.0</v>
      </c>
      <c r="B81" s="50" t="s">
        <v>138</v>
      </c>
      <c r="C81" s="51">
        <v>7929.0</v>
      </c>
      <c r="D81" s="52">
        <v>36.2</v>
      </c>
      <c r="E81" s="53">
        <v>29.8</v>
      </c>
      <c r="F81" s="54">
        <f t="shared" si="2"/>
        <v>30.8532</v>
      </c>
      <c r="G81" s="54">
        <f t="shared" si="18"/>
        <v>1.265061093</v>
      </c>
      <c r="H81" s="55">
        <f t="shared" si="4"/>
        <v>37.69882058</v>
      </c>
      <c r="I81" s="56">
        <f t="shared" si="5"/>
        <v>2989.139484</v>
      </c>
      <c r="J81" s="63"/>
      <c r="K81" s="63"/>
      <c r="L81" s="64"/>
      <c r="M81" s="57">
        <v>856.0</v>
      </c>
      <c r="N81" s="51">
        <f t="shared" si="6"/>
        <v>322.7019042</v>
      </c>
    </row>
    <row r="82">
      <c r="A82" s="50">
        <v>21003.0</v>
      </c>
      <c r="B82" s="50" t="s">
        <v>139</v>
      </c>
      <c r="C82" s="51">
        <v>9476.0</v>
      </c>
      <c r="D82" s="52">
        <v>0.0</v>
      </c>
      <c r="E82" s="53">
        <v>29.8</v>
      </c>
      <c r="F82" s="54">
        <f t="shared" si="2"/>
        <v>38.6</v>
      </c>
      <c r="G82" s="54">
        <f t="shared" si="18"/>
        <v>1.582699953</v>
      </c>
      <c r="H82" s="55">
        <f t="shared" si="4"/>
        <v>47.16445861</v>
      </c>
      <c r="I82" s="56">
        <f t="shared" si="5"/>
        <v>4469.304098</v>
      </c>
      <c r="J82" s="63"/>
      <c r="K82" s="63"/>
      <c r="L82" s="64"/>
      <c r="M82" s="57">
        <v>1114.0</v>
      </c>
      <c r="N82" s="51">
        <f t="shared" si="6"/>
        <v>525.4120689</v>
      </c>
    </row>
    <row r="83">
      <c r="A83" s="50">
        <v>21004.0</v>
      </c>
      <c r="B83" s="50" t="s">
        <v>140</v>
      </c>
      <c r="C83" s="51">
        <v>19159.0</v>
      </c>
      <c r="D83" s="52">
        <v>27.3</v>
      </c>
      <c r="E83" s="53">
        <v>29.8</v>
      </c>
      <c r="F83" s="54">
        <f t="shared" si="2"/>
        <v>32.7578</v>
      </c>
      <c r="G83" s="54">
        <f t="shared" si="18"/>
        <v>1.343154625</v>
      </c>
      <c r="H83" s="55">
        <f t="shared" si="4"/>
        <v>40.02600783</v>
      </c>
      <c r="I83" s="56">
        <f t="shared" si="5"/>
        <v>7668.58284</v>
      </c>
      <c r="J83" s="63"/>
      <c r="K83" s="63"/>
      <c r="L83" s="64"/>
      <c r="M83" s="57">
        <v>2382.0</v>
      </c>
      <c r="N83" s="51">
        <f t="shared" si="6"/>
        <v>953.4195065</v>
      </c>
    </row>
    <row r="84">
      <c r="A84" s="50">
        <v>21005.0</v>
      </c>
      <c r="B84" s="50" t="s">
        <v>141</v>
      </c>
      <c r="C84" s="51">
        <v>7522.0</v>
      </c>
      <c r="D84" s="52">
        <v>0.0</v>
      </c>
      <c r="E84" s="53">
        <v>29.8</v>
      </c>
      <c r="F84" s="54">
        <f t="shared" si="2"/>
        <v>38.6</v>
      </c>
      <c r="G84" s="54">
        <f t="shared" si="18"/>
        <v>1.582699953</v>
      </c>
      <c r="H84" s="55">
        <f t="shared" si="4"/>
        <v>47.16445861</v>
      </c>
      <c r="I84" s="56">
        <f t="shared" si="5"/>
        <v>3547.710577</v>
      </c>
      <c r="J84" s="63"/>
      <c r="K84" s="63"/>
      <c r="L84" s="64"/>
      <c r="M84" s="57">
        <v>913.0</v>
      </c>
      <c r="N84" s="51">
        <f t="shared" si="6"/>
        <v>430.6115071</v>
      </c>
    </row>
    <row r="85">
      <c r="A85" s="50">
        <v>21006.0</v>
      </c>
      <c r="B85" s="50" t="s">
        <v>142</v>
      </c>
      <c r="C85" s="51">
        <v>4488.0</v>
      </c>
      <c r="D85" s="52">
        <v>27.1</v>
      </c>
      <c r="E85" s="53">
        <v>29.8</v>
      </c>
      <c r="F85" s="54">
        <f t="shared" si="2"/>
        <v>32.8006</v>
      </c>
      <c r="G85" s="54">
        <f t="shared" si="18"/>
        <v>1.344909536</v>
      </c>
      <c r="H85" s="55">
        <f t="shared" si="4"/>
        <v>40.07830417</v>
      </c>
      <c r="I85" s="56">
        <f t="shared" si="5"/>
        <v>1798.714291</v>
      </c>
      <c r="J85" s="63"/>
      <c r="K85" s="63"/>
      <c r="L85" s="64"/>
      <c r="M85" s="57">
        <v>394.0</v>
      </c>
      <c r="N85" s="51">
        <f t="shared" si="6"/>
        <v>157.9085184</v>
      </c>
    </row>
    <row r="86">
      <c r="A86" s="50">
        <v>21101.0</v>
      </c>
      <c r="B86" s="50" t="s">
        <v>143</v>
      </c>
      <c r="C86" s="51">
        <v>16143.0</v>
      </c>
      <c r="D86" s="52">
        <v>14.9</v>
      </c>
      <c r="E86" s="53">
        <v>29.8</v>
      </c>
      <c r="F86" s="54">
        <f t="shared" si="2"/>
        <v>35.4114</v>
      </c>
      <c r="G86" s="54">
        <f t="shared" si="18"/>
        <v>1.451959097</v>
      </c>
      <c r="H86" s="55">
        <f t="shared" si="4"/>
        <v>43.26838108</v>
      </c>
      <c r="I86" s="56">
        <f t="shared" si="5"/>
        <v>6984.814758</v>
      </c>
      <c r="J86" s="63"/>
      <c r="K86" s="63"/>
      <c r="L86" s="64"/>
      <c r="M86" s="57">
        <v>1708.0</v>
      </c>
      <c r="N86" s="51">
        <f t="shared" si="6"/>
        <v>739.0239488</v>
      </c>
    </row>
    <row r="87">
      <c r="A87" s="50">
        <v>21102.0</v>
      </c>
      <c r="B87" s="50" t="s">
        <v>144</v>
      </c>
      <c r="C87" s="51">
        <v>15133.0</v>
      </c>
      <c r="D87" s="52">
        <v>0.0</v>
      </c>
      <c r="E87" s="53">
        <v>29.8</v>
      </c>
      <c r="F87" s="54">
        <f t="shared" si="2"/>
        <v>38.6</v>
      </c>
      <c r="G87" s="54">
        <f t="shared" si="18"/>
        <v>1.582699953</v>
      </c>
      <c r="H87" s="55">
        <f t="shared" si="4"/>
        <v>47.16445861</v>
      </c>
      <c r="I87" s="56">
        <f t="shared" si="5"/>
        <v>7137.397522</v>
      </c>
      <c r="J87" s="63"/>
      <c r="K87" s="63"/>
      <c r="L87" s="64"/>
      <c r="M87" s="57">
        <v>1611.0</v>
      </c>
      <c r="N87" s="51">
        <f t="shared" si="6"/>
        <v>759.8194282</v>
      </c>
    </row>
    <row r="88">
      <c r="A88" s="50">
        <v>21103.0</v>
      </c>
      <c r="B88" s="50" t="s">
        <v>145</v>
      </c>
      <c r="C88" s="51">
        <v>5631.0</v>
      </c>
      <c r="D88" s="52">
        <v>0.0</v>
      </c>
      <c r="E88" s="53">
        <v>29.8</v>
      </c>
      <c r="F88" s="54">
        <f t="shared" si="2"/>
        <v>38.6</v>
      </c>
      <c r="G88" s="54">
        <f t="shared" si="18"/>
        <v>1.582699953</v>
      </c>
      <c r="H88" s="55">
        <f t="shared" si="4"/>
        <v>47.16445861</v>
      </c>
      <c r="I88" s="56">
        <f t="shared" si="5"/>
        <v>2655.830664</v>
      </c>
      <c r="J88" s="63"/>
      <c r="K88" s="63"/>
      <c r="L88" s="64"/>
      <c r="M88" s="57">
        <v>565.0</v>
      </c>
      <c r="N88" s="51">
        <f t="shared" si="6"/>
        <v>266.4791912</v>
      </c>
    </row>
    <row r="89">
      <c r="A89" s="50">
        <v>21104.0</v>
      </c>
      <c r="B89" s="50" t="s">
        <v>146</v>
      </c>
      <c r="C89" s="51">
        <v>21842.0</v>
      </c>
      <c r="D89" s="52">
        <v>20.5</v>
      </c>
      <c r="E89" s="53">
        <v>29.8</v>
      </c>
      <c r="F89" s="54">
        <f t="shared" si="2"/>
        <v>34.213</v>
      </c>
      <c r="G89" s="54">
        <f t="shared" si="18"/>
        <v>1.402821593</v>
      </c>
      <c r="H89" s="55">
        <f t="shared" si="4"/>
        <v>41.80408348</v>
      </c>
      <c r="I89" s="56">
        <f t="shared" si="5"/>
        <v>9130.847914</v>
      </c>
      <c r="J89" s="63"/>
      <c r="K89" s="63"/>
      <c r="L89" s="64"/>
      <c r="M89" s="57">
        <v>2831.0</v>
      </c>
      <c r="N89" s="51">
        <f t="shared" si="6"/>
        <v>1183.473603</v>
      </c>
    </row>
    <row r="90">
      <c r="A90" s="50">
        <v>21105.0</v>
      </c>
      <c r="B90" s="50" t="s">
        <v>147</v>
      </c>
      <c r="C90" s="51">
        <v>32119.0</v>
      </c>
      <c r="D90" s="52">
        <v>3.8</v>
      </c>
      <c r="E90" s="53">
        <v>29.8</v>
      </c>
      <c r="F90" s="54">
        <f t="shared" si="2"/>
        <v>37.7868</v>
      </c>
      <c r="G90" s="54">
        <f t="shared" si="18"/>
        <v>1.549356648</v>
      </c>
      <c r="H90" s="55">
        <f t="shared" si="4"/>
        <v>46.1708281</v>
      </c>
      <c r="I90" s="56">
        <f t="shared" si="5"/>
        <v>14829.60828</v>
      </c>
      <c r="J90" s="63"/>
      <c r="K90" s="63"/>
      <c r="L90" s="64"/>
      <c r="M90" s="57">
        <v>4650.0</v>
      </c>
      <c r="N90" s="51">
        <f t="shared" si="6"/>
        <v>2146.943507</v>
      </c>
    </row>
    <row r="91">
      <c r="A91" s="50">
        <v>21201.0</v>
      </c>
      <c r="B91" s="50" t="s">
        <v>148</v>
      </c>
      <c r="C91" s="51">
        <v>28104.0</v>
      </c>
      <c r="D91" s="52">
        <v>0.0</v>
      </c>
      <c r="E91" s="53">
        <v>29.8</v>
      </c>
      <c r="F91" s="54">
        <f t="shared" si="2"/>
        <v>38.6</v>
      </c>
      <c r="G91" s="54">
        <f t="shared" si="18"/>
        <v>1.582699953</v>
      </c>
      <c r="H91" s="55">
        <f t="shared" si="4"/>
        <v>47.16445861</v>
      </c>
      <c r="I91" s="56">
        <f t="shared" si="5"/>
        <v>13255.09945</v>
      </c>
      <c r="J91" s="63"/>
      <c r="K91" s="63"/>
      <c r="L91" s="64"/>
      <c r="M91" s="57">
        <v>2938.0</v>
      </c>
      <c r="N91" s="51">
        <f t="shared" si="6"/>
        <v>1385.691794</v>
      </c>
    </row>
    <row r="92">
      <c r="A92" s="50">
        <v>21202.0</v>
      </c>
      <c r="B92" s="50" t="s">
        <v>149</v>
      </c>
      <c r="C92" s="51">
        <v>21542.0</v>
      </c>
      <c r="D92" s="52">
        <v>0.0</v>
      </c>
      <c r="E92" s="53">
        <v>29.8</v>
      </c>
      <c r="F92" s="54">
        <f t="shared" si="2"/>
        <v>38.6</v>
      </c>
      <c r="G92" s="54">
        <f t="shared" si="18"/>
        <v>1.582699953</v>
      </c>
      <c r="H92" s="55">
        <f t="shared" si="4"/>
        <v>47.16445861</v>
      </c>
      <c r="I92" s="56">
        <f t="shared" si="5"/>
        <v>10160.16767</v>
      </c>
      <c r="J92" s="63"/>
      <c r="K92" s="63"/>
      <c r="L92" s="64"/>
      <c r="M92" s="57">
        <v>2031.0</v>
      </c>
      <c r="N92" s="51">
        <f t="shared" si="6"/>
        <v>957.9101544</v>
      </c>
    </row>
    <row r="93">
      <c r="A93" s="50">
        <v>21203.0</v>
      </c>
      <c r="B93" s="50" t="s">
        <v>150</v>
      </c>
      <c r="C93" s="51">
        <v>18698.0</v>
      </c>
      <c r="D93" s="52">
        <v>8.3</v>
      </c>
      <c r="E93" s="53">
        <v>29.8</v>
      </c>
      <c r="F93" s="54">
        <f t="shared" si="2"/>
        <v>36.8238</v>
      </c>
      <c r="G93" s="54">
        <f t="shared" si="18"/>
        <v>1.509871154</v>
      </c>
      <c r="H93" s="55">
        <f t="shared" si="4"/>
        <v>44.99416039</v>
      </c>
      <c r="I93" s="56">
        <f t="shared" si="5"/>
        <v>8413.008109</v>
      </c>
      <c r="J93" s="63"/>
      <c r="K93" s="63"/>
      <c r="L93" s="64"/>
      <c r="M93" s="57">
        <v>1833.0</v>
      </c>
      <c r="N93" s="51">
        <f t="shared" si="6"/>
        <v>824.7429599</v>
      </c>
    </row>
    <row r="94">
      <c r="A94" s="50">
        <v>21204.0</v>
      </c>
      <c r="B94" s="50" t="s">
        <v>151</v>
      </c>
      <c r="C94" s="51">
        <v>6982.0</v>
      </c>
      <c r="D94" s="52">
        <v>0.0</v>
      </c>
      <c r="E94" s="53">
        <v>29.8</v>
      </c>
      <c r="F94" s="54">
        <f t="shared" si="2"/>
        <v>38.6</v>
      </c>
      <c r="G94" s="54">
        <f t="shared" si="18"/>
        <v>1.582699953</v>
      </c>
      <c r="H94" s="55">
        <f t="shared" si="4"/>
        <v>47.16445861</v>
      </c>
      <c r="I94" s="56">
        <f t="shared" si="5"/>
        <v>3293.0225</v>
      </c>
      <c r="J94" s="63"/>
      <c r="K94" s="63"/>
      <c r="L94" s="64"/>
      <c r="M94" s="57">
        <v>609.0</v>
      </c>
      <c r="N94" s="51">
        <f t="shared" si="6"/>
        <v>287.2315529</v>
      </c>
    </row>
    <row r="95">
      <c r="A95" s="50">
        <v>21301.0</v>
      </c>
      <c r="B95" s="50" t="s">
        <v>152</v>
      </c>
      <c r="C95" s="51">
        <v>29678.0</v>
      </c>
      <c r="D95" s="52">
        <v>31.8</v>
      </c>
      <c r="E95" s="53">
        <v>29.8</v>
      </c>
      <c r="F95" s="54">
        <f t="shared" si="2"/>
        <v>31.7948</v>
      </c>
      <c r="G95" s="54">
        <f t="shared" si="18"/>
        <v>1.303669132</v>
      </c>
      <c r="H95" s="55">
        <f t="shared" si="4"/>
        <v>38.84934012</v>
      </c>
      <c r="I95" s="56">
        <f t="shared" si="5"/>
        <v>11529.70716</v>
      </c>
      <c r="J95" s="63"/>
      <c r="K95" s="63"/>
      <c r="L95" s="64"/>
      <c r="M95" s="57">
        <v>3291.0</v>
      </c>
      <c r="N95" s="51">
        <f t="shared" si="6"/>
        <v>1278.531783</v>
      </c>
    </row>
    <row r="96">
      <c r="A96" s="50">
        <v>21302.0</v>
      </c>
      <c r="B96" s="50" t="s">
        <v>153</v>
      </c>
      <c r="C96" s="51">
        <v>9150.0</v>
      </c>
      <c r="D96" s="52">
        <v>0.0</v>
      </c>
      <c r="E96" s="53">
        <v>29.8</v>
      </c>
      <c r="F96" s="54">
        <f t="shared" si="2"/>
        <v>38.6</v>
      </c>
      <c r="G96" s="54">
        <f t="shared" si="18"/>
        <v>1.582699953</v>
      </c>
      <c r="H96" s="55">
        <f t="shared" si="4"/>
        <v>47.16445861</v>
      </c>
      <c r="I96" s="56">
        <f t="shared" si="5"/>
        <v>4315.547963</v>
      </c>
      <c r="J96" s="63"/>
      <c r="K96" s="63"/>
      <c r="L96" s="64"/>
      <c r="M96" s="57">
        <v>919.0</v>
      </c>
      <c r="N96" s="51">
        <f t="shared" si="6"/>
        <v>433.4413746</v>
      </c>
    </row>
    <row r="97">
      <c r="A97" s="50">
        <v>21303.0</v>
      </c>
      <c r="B97" s="50" t="s">
        <v>154</v>
      </c>
      <c r="C97" s="51">
        <v>7501.0</v>
      </c>
      <c r="D97" s="52">
        <v>0.0</v>
      </c>
      <c r="E97" s="53">
        <v>29.8</v>
      </c>
      <c r="F97" s="54">
        <f t="shared" si="2"/>
        <v>38.6</v>
      </c>
      <c r="G97" s="54">
        <f t="shared" si="18"/>
        <v>1.582699953</v>
      </c>
      <c r="H97" s="55">
        <f t="shared" si="4"/>
        <v>47.16445861</v>
      </c>
      <c r="I97" s="56">
        <f t="shared" si="5"/>
        <v>3537.80604</v>
      </c>
      <c r="J97" s="63"/>
      <c r="K97" s="63"/>
      <c r="L97" s="64"/>
      <c r="M97" s="57">
        <v>802.0</v>
      </c>
      <c r="N97" s="51">
        <f t="shared" si="6"/>
        <v>378.2589581</v>
      </c>
    </row>
    <row r="98">
      <c r="A98" s="50">
        <v>21304.0</v>
      </c>
      <c r="B98" s="50" t="s">
        <v>155</v>
      </c>
      <c r="C98" s="51">
        <v>12304.0</v>
      </c>
      <c r="D98" s="52">
        <v>0.0</v>
      </c>
      <c r="E98" s="53">
        <v>29.8</v>
      </c>
      <c r="F98" s="54">
        <f t="shared" si="2"/>
        <v>38.6</v>
      </c>
      <c r="G98" s="54">
        <f t="shared" si="18"/>
        <v>1.582699953</v>
      </c>
      <c r="H98" s="55">
        <f t="shared" si="4"/>
        <v>47.16445861</v>
      </c>
      <c r="I98" s="56">
        <f t="shared" si="5"/>
        <v>5803.114988</v>
      </c>
      <c r="J98" s="63"/>
      <c r="K98" s="63"/>
      <c r="L98" s="64"/>
      <c r="M98" s="57">
        <v>1232.0</v>
      </c>
      <c r="N98" s="51">
        <f t="shared" si="6"/>
        <v>581.0661301</v>
      </c>
    </row>
    <row r="99">
      <c r="A99" s="50">
        <v>21305.0</v>
      </c>
      <c r="B99" s="50" t="s">
        <v>156</v>
      </c>
      <c r="C99" s="51">
        <v>21833.0</v>
      </c>
      <c r="D99" s="52">
        <v>46.6</v>
      </c>
      <c r="E99" s="53">
        <v>29.8</v>
      </c>
      <c r="F99" s="54">
        <f t="shared" si="2"/>
        <v>28.6276</v>
      </c>
      <c r="G99" s="54">
        <f t="shared" si="18"/>
        <v>1.17380573</v>
      </c>
      <c r="H99" s="55">
        <f t="shared" si="4"/>
        <v>34.97941076</v>
      </c>
      <c r="I99" s="56">
        <f t="shared" si="5"/>
        <v>7637.054751</v>
      </c>
      <c r="J99" s="63"/>
      <c r="K99" s="63"/>
      <c r="L99" s="64"/>
      <c r="M99" s="57">
        <v>2551.0</v>
      </c>
      <c r="N99" s="51">
        <f t="shared" si="6"/>
        <v>892.3247685</v>
      </c>
    </row>
    <row r="100">
      <c r="A100" s="50">
        <v>21306.0</v>
      </c>
      <c r="B100" s="50" t="s">
        <v>157</v>
      </c>
      <c r="C100" s="51">
        <v>9203.0</v>
      </c>
      <c r="D100" s="52">
        <v>30.5</v>
      </c>
      <c r="E100" s="53">
        <v>29.8</v>
      </c>
      <c r="F100" s="54">
        <f t="shared" si="2"/>
        <v>32.073</v>
      </c>
      <c r="G100" s="54">
        <f t="shared" si="18"/>
        <v>1.315076052</v>
      </c>
      <c r="H100" s="55">
        <f t="shared" si="4"/>
        <v>39.18926635</v>
      </c>
      <c r="I100" s="56">
        <f t="shared" si="5"/>
        <v>3606.588182</v>
      </c>
      <c r="J100" s="63"/>
      <c r="K100" s="63"/>
      <c r="L100" s="64"/>
      <c r="M100" s="57">
        <v>1010.0</v>
      </c>
      <c r="N100" s="51">
        <f t="shared" si="6"/>
        <v>395.8115901</v>
      </c>
    </row>
    <row r="101">
      <c r="A101" s="50">
        <v>21307.0</v>
      </c>
      <c r="B101" s="50" t="s">
        <v>158</v>
      </c>
      <c r="C101" s="51">
        <v>4273.0</v>
      </c>
      <c r="D101" s="52">
        <v>35.9</v>
      </c>
      <c r="E101" s="53">
        <v>29.8</v>
      </c>
      <c r="F101" s="54">
        <f t="shared" si="2"/>
        <v>30.9174</v>
      </c>
      <c r="G101" s="54">
        <f t="shared" si="18"/>
        <v>1.26769346</v>
      </c>
      <c r="H101" s="55">
        <f t="shared" si="4"/>
        <v>37.77726509</v>
      </c>
      <c r="I101" s="56">
        <f t="shared" si="5"/>
        <v>1614.222538</v>
      </c>
      <c r="J101" s="63"/>
      <c r="K101" s="63"/>
      <c r="L101" s="64"/>
      <c r="M101" s="57">
        <v>415.0</v>
      </c>
      <c r="N101" s="51">
        <f t="shared" si="6"/>
        <v>156.7756501</v>
      </c>
    </row>
    <row r="102">
      <c r="A102" s="50">
        <v>21401.0</v>
      </c>
      <c r="B102" s="50" t="s">
        <v>159</v>
      </c>
      <c r="C102" s="51">
        <v>16793.0</v>
      </c>
      <c r="D102" s="52">
        <v>14.2</v>
      </c>
      <c r="E102" s="53">
        <v>29.8</v>
      </c>
      <c r="F102" s="54">
        <f t="shared" si="2"/>
        <v>35.5612</v>
      </c>
      <c r="G102" s="54">
        <f t="shared" si="18"/>
        <v>1.458101285</v>
      </c>
      <c r="H102" s="55">
        <f t="shared" si="4"/>
        <v>43.45141828</v>
      </c>
      <c r="I102" s="56">
        <f t="shared" si="5"/>
        <v>7296.796672</v>
      </c>
      <c r="J102" s="63"/>
      <c r="K102" s="63"/>
      <c r="L102" s="64"/>
      <c r="M102" s="57">
        <v>1676.0</v>
      </c>
      <c r="N102" s="51">
        <f t="shared" si="6"/>
        <v>728.2457704</v>
      </c>
    </row>
    <row r="103">
      <c r="A103" s="50">
        <v>21402.0</v>
      </c>
      <c r="B103" s="50" t="s">
        <v>160</v>
      </c>
      <c r="C103" s="51">
        <v>14935.0</v>
      </c>
      <c r="D103" s="52">
        <v>7.0</v>
      </c>
      <c r="E103" s="53">
        <v>29.8</v>
      </c>
      <c r="F103" s="54">
        <f t="shared" si="2"/>
        <v>37.102</v>
      </c>
      <c r="G103" s="54">
        <f t="shared" si="18"/>
        <v>1.521278074</v>
      </c>
      <c r="H103" s="55">
        <f t="shared" si="4"/>
        <v>45.33408662</v>
      </c>
      <c r="I103" s="56">
        <f t="shared" si="5"/>
        <v>6770.645836</v>
      </c>
      <c r="J103" s="63"/>
      <c r="K103" s="63"/>
      <c r="L103" s="64"/>
      <c r="M103" s="57">
        <v>1568.0</v>
      </c>
      <c r="N103" s="51">
        <f t="shared" si="6"/>
        <v>710.8384781</v>
      </c>
    </row>
    <row r="104">
      <c r="A104" s="50">
        <v>21501.0</v>
      </c>
      <c r="B104" s="50" t="s">
        <v>161</v>
      </c>
      <c r="C104" s="51">
        <v>8003.0</v>
      </c>
      <c r="D104" s="52">
        <v>27.4</v>
      </c>
      <c r="E104" s="53">
        <v>29.8</v>
      </c>
      <c r="F104" s="54">
        <f t="shared" si="2"/>
        <v>32.7364</v>
      </c>
      <c r="G104" s="54">
        <f t="shared" si="18"/>
        <v>1.34227717</v>
      </c>
      <c r="H104" s="55">
        <f t="shared" si="4"/>
        <v>39.99985966</v>
      </c>
      <c r="I104" s="56">
        <f t="shared" si="5"/>
        <v>3201.188769</v>
      </c>
      <c r="J104" s="63"/>
      <c r="K104" s="63"/>
      <c r="L104" s="64"/>
      <c r="M104" s="57">
        <v>1178.0</v>
      </c>
      <c r="N104" s="51">
        <f t="shared" si="6"/>
        <v>471.1983468</v>
      </c>
    </row>
    <row r="105">
      <c r="A105" s="50">
        <v>21502.0</v>
      </c>
      <c r="B105" s="50" t="s">
        <v>162</v>
      </c>
      <c r="C105" s="51">
        <v>7799.0</v>
      </c>
      <c r="D105" s="52">
        <v>38.5</v>
      </c>
      <c r="E105" s="53">
        <v>29.8</v>
      </c>
      <c r="F105" s="54">
        <f t="shared" si="2"/>
        <v>30.361</v>
      </c>
      <c r="G105" s="54">
        <f t="shared" si="18"/>
        <v>1.244879619</v>
      </c>
      <c r="H105" s="55">
        <f t="shared" si="4"/>
        <v>37.09741264</v>
      </c>
      <c r="I105" s="56">
        <f t="shared" si="5"/>
        <v>2893.227212</v>
      </c>
      <c r="J105" s="63"/>
      <c r="K105" s="63"/>
      <c r="L105" s="64"/>
      <c r="M105" s="57">
        <v>1098.0</v>
      </c>
      <c r="N105" s="51">
        <f t="shared" si="6"/>
        <v>407.3295908</v>
      </c>
    </row>
    <row r="106">
      <c r="A106" s="50">
        <v>21601.0</v>
      </c>
      <c r="B106" s="50" t="s">
        <v>163</v>
      </c>
      <c r="C106" s="51">
        <v>11619.0</v>
      </c>
      <c r="D106" s="52">
        <v>16.2</v>
      </c>
      <c r="E106" s="53">
        <v>29.8</v>
      </c>
      <c r="F106" s="54">
        <f t="shared" si="2"/>
        <v>35.1332</v>
      </c>
      <c r="G106" s="54">
        <f t="shared" si="18"/>
        <v>1.440552176</v>
      </c>
      <c r="H106" s="55">
        <f t="shared" si="4"/>
        <v>42.92845485</v>
      </c>
      <c r="I106" s="56">
        <f t="shared" si="5"/>
        <v>4987.857169</v>
      </c>
      <c r="J106" s="63"/>
      <c r="K106" s="63"/>
      <c r="L106" s="64"/>
      <c r="M106" s="57">
        <v>1506.0</v>
      </c>
      <c r="N106" s="51">
        <f t="shared" si="6"/>
        <v>646.5025301</v>
      </c>
    </row>
    <row r="107">
      <c r="A107" s="50">
        <v>21602.0</v>
      </c>
      <c r="B107" s="50" t="s">
        <v>164</v>
      </c>
      <c r="C107" s="51">
        <v>2895.0</v>
      </c>
      <c r="D107" s="52">
        <v>0.0</v>
      </c>
      <c r="E107" s="53">
        <v>29.8</v>
      </c>
      <c r="F107" s="54">
        <f t="shared" si="2"/>
        <v>38.6</v>
      </c>
      <c r="G107" s="54">
        <f t="shared" si="18"/>
        <v>1.582699953</v>
      </c>
      <c r="H107" s="55">
        <f t="shared" si="4"/>
        <v>47.16445861</v>
      </c>
      <c r="I107" s="56">
        <f t="shared" si="5"/>
        <v>1365.411077</v>
      </c>
      <c r="J107" s="63"/>
      <c r="K107" s="63"/>
      <c r="L107" s="64"/>
      <c r="M107" s="57">
        <v>378.0</v>
      </c>
      <c r="N107" s="51">
        <f t="shared" si="6"/>
        <v>178.2816535</v>
      </c>
    </row>
    <row r="108">
      <c r="A108" s="50">
        <v>21701.0</v>
      </c>
      <c r="B108" s="50" t="s">
        <v>165</v>
      </c>
      <c r="C108" s="51">
        <v>14806.0</v>
      </c>
      <c r="D108" s="52">
        <v>34.8</v>
      </c>
      <c r="E108" s="53">
        <v>29.8</v>
      </c>
      <c r="F108" s="54">
        <f t="shared" si="2"/>
        <v>31.1528</v>
      </c>
      <c r="G108" s="54">
        <f t="shared" si="18"/>
        <v>1.277345469</v>
      </c>
      <c r="H108" s="55">
        <f t="shared" si="4"/>
        <v>38.06489498</v>
      </c>
      <c r="I108" s="56">
        <f t="shared" si="5"/>
        <v>5635.888351</v>
      </c>
      <c r="J108" s="63"/>
      <c r="K108" s="63"/>
      <c r="L108" s="64"/>
      <c r="M108" s="57">
        <v>1409.0</v>
      </c>
      <c r="N108" s="51">
        <f t="shared" si="6"/>
        <v>536.3343703</v>
      </c>
    </row>
    <row r="109">
      <c r="A109" s="50">
        <v>21702.0</v>
      </c>
      <c r="B109" s="50" t="s">
        <v>166</v>
      </c>
      <c r="C109" s="51">
        <v>6067.0</v>
      </c>
      <c r="D109" s="52">
        <v>0.0</v>
      </c>
      <c r="E109" s="53">
        <v>29.8</v>
      </c>
      <c r="F109" s="54">
        <f t="shared" si="2"/>
        <v>38.6</v>
      </c>
      <c r="G109" s="54">
        <f t="shared" si="18"/>
        <v>1.582699953</v>
      </c>
      <c r="H109" s="55">
        <f t="shared" si="4"/>
        <v>47.16445861</v>
      </c>
      <c r="I109" s="56">
        <f t="shared" si="5"/>
        <v>2861.467704</v>
      </c>
      <c r="J109" s="63"/>
      <c r="K109" s="63"/>
      <c r="L109" s="64"/>
      <c r="M109" s="57">
        <v>441.0</v>
      </c>
      <c r="N109" s="51">
        <f t="shared" si="6"/>
        <v>207.9952625</v>
      </c>
    </row>
    <row r="110">
      <c r="A110" s="50">
        <v>21703.0</v>
      </c>
      <c r="B110" s="50" t="s">
        <v>167</v>
      </c>
      <c r="C110" s="51">
        <v>4789.0</v>
      </c>
      <c r="D110" s="52">
        <v>35.1</v>
      </c>
      <c r="E110" s="53">
        <v>29.8</v>
      </c>
      <c r="F110" s="54">
        <f t="shared" si="2"/>
        <v>31.0886</v>
      </c>
      <c r="G110" s="54">
        <f t="shared" si="18"/>
        <v>1.274713103</v>
      </c>
      <c r="H110" s="55">
        <f t="shared" si="4"/>
        <v>37.98645047</v>
      </c>
      <c r="I110" s="56">
        <f t="shared" si="5"/>
        <v>1819.171113</v>
      </c>
      <c r="J110" s="63"/>
      <c r="K110" s="63"/>
      <c r="L110" s="64"/>
      <c r="M110" s="57">
        <v>305.0</v>
      </c>
      <c r="N110" s="51">
        <f t="shared" si="6"/>
        <v>115.8586739</v>
      </c>
    </row>
    <row r="111">
      <c r="A111" s="50">
        <v>21801.0</v>
      </c>
      <c r="B111" s="50" t="s">
        <v>168</v>
      </c>
      <c r="C111" s="51">
        <v>8583.0</v>
      </c>
      <c r="D111" s="52">
        <v>0.0</v>
      </c>
      <c r="E111" s="53">
        <v>29.8</v>
      </c>
      <c r="F111" s="54">
        <f t="shared" si="2"/>
        <v>38.6</v>
      </c>
      <c r="G111" s="54">
        <f t="shared" si="18"/>
        <v>1.582699953</v>
      </c>
      <c r="H111" s="55">
        <f t="shared" si="4"/>
        <v>47.16445861</v>
      </c>
      <c r="I111" s="56">
        <f t="shared" si="5"/>
        <v>4048.125483</v>
      </c>
      <c r="J111" s="63"/>
      <c r="K111" s="63"/>
      <c r="L111" s="64"/>
      <c r="M111" s="57">
        <v>749.0</v>
      </c>
      <c r="N111" s="51">
        <f t="shared" si="6"/>
        <v>353.261795</v>
      </c>
    </row>
    <row r="112">
      <c r="A112" s="50">
        <v>21802.0</v>
      </c>
      <c r="B112" s="50" t="s">
        <v>169</v>
      </c>
      <c r="C112" s="51">
        <v>6658.0</v>
      </c>
      <c r="D112" s="52">
        <v>0.0</v>
      </c>
      <c r="E112" s="53">
        <v>29.8</v>
      </c>
      <c r="F112" s="54">
        <f t="shared" si="2"/>
        <v>38.6</v>
      </c>
      <c r="G112" s="54">
        <f t="shared" si="18"/>
        <v>1.582699953</v>
      </c>
      <c r="H112" s="55">
        <f t="shared" si="4"/>
        <v>47.16445861</v>
      </c>
      <c r="I112" s="56">
        <f t="shared" si="5"/>
        <v>3140.209654</v>
      </c>
      <c r="J112" s="63"/>
      <c r="K112" s="63"/>
      <c r="L112" s="64"/>
      <c r="M112" s="57">
        <v>646.0</v>
      </c>
      <c r="N112" s="51">
        <f t="shared" si="6"/>
        <v>304.6824026</v>
      </c>
    </row>
    <row r="113">
      <c r="A113" s="50">
        <v>21803.0</v>
      </c>
      <c r="B113" s="50" t="s">
        <v>170</v>
      </c>
      <c r="C113" s="51">
        <v>1845.0</v>
      </c>
      <c r="D113" s="52">
        <v>0.0</v>
      </c>
      <c r="E113" s="53">
        <v>29.8</v>
      </c>
      <c r="F113" s="54">
        <f t="shared" si="2"/>
        <v>38.6</v>
      </c>
      <c r="G113" s="54">
        <f t="shared" si="18"/>
        <v>1.582699953</v>
      </c>
      <c r="H113" s="55">
        <f t="shared" si="4"/>
        <v>47.16445861</v>
      </c>
      <c r="I113" s="56">
        <f t="shared" si="5"/>
        <v>870.1842614</v>
      </c>
      <c r="J113" s="63"/>
      <c r="K113" s="63"/>
      <c r="L113" s="64"/>
      <c r="M113" s="57">
        <v>205.0</v>
      </c>
      <c r="N113" s="51">
        <f t="shared" si="6"/>
        <v>96.68714015</v>
      </c>
    </row>
    <row r="114">
      <c r="A114" s="50">
        <v>21901.0</v>
      </c>
      <c r="B114" s="50" t="s">
        <v>171</v>
      </c>
      <c r="C114" s="51">
        <v>4524.0</v>
      </c>
      <c r="D114" s="52">
        <v>0.0</v>
      </c>
      <c r="E114" s="53">
        <v>29.8</v>
      </c>
      <c r="F114" s="54">
        <f t="shared" si="2"/>
        <v>38.6</v>
      </c>
      <c r="G114" s="54">
        <f t="shared" si="18"/>
        <v>1.582699953</v>
      </c>
      <c r="H114" s="55">
        <f t="shared" si="4"/>
        <v>47.16445861</v>
      </c>
      <c r="I114" s="56">
        <f t="shared" si="5"/>
        <v>2133.720108</v>
      </c>
      <c r="J114" s="63"/>
      <c r="K114" s="63"/>
      <c r="L114" s="64"/>
      <c r="M114" s="57">
        <v>341.0</v>
      </c>
      <c r="N114" s="51">
        <f t="shared" si="6"/>
        <v>160.8308039</v>
      </c>
    </row>
    <row r="115">
      <c r="A115" s="50">
        <v>21902.0</v>
      </c>
      <c r="B115" s="50" t="s">
        <v>172</v>
      </c>
      <c r="C115" s="51">
        <v>2464.0</v>
      </c>
      <c r="D115" s="52">
        <v>0.0</v>
      </c>
      <c r="E115" s="53">
        <v>29.8</v>
      </c>
      <c r="F115" s="54">
        <f t="shared" si="2"/>
        <v>38.6</v>
      </c>
      <c r="G115" s="54">
        <f t="shared" si="18"/>
        <v>1.582699953</v>
      </c>
      <c r="H115" s="55">
        <f t="shared" si="4"/>
        <v>47.16445861</v>
      </c>
      <c r="I115" s="56">
        <f t="shared" si="5"/>
        <v>1162.13226</v>
      </c>
      <c r="J115" s="63"/>
      <c r="K115" s="63"/>
      <c r="L115" s="64"/>
      <c r="M115" s="57">
        <v>250.0</v>
      </c>
      <c r="N115" s="51">
        <f t="shared" si="6"/>
        <v>117.9111465</v>
      </c>
    </row>
    <row r="116">
      <c r="A116" s="50">
        <v>22001.0</v>
      </c>
      <c r="B116" s="50" t="s">
        <v>173</v>
      </c>
      <c r="C116" s="51">
        <v>47686.0</v>
      </c>
      <c r="D116" s="52">
        <v>27.0</v>
      </c>
      <c r="E116" s="53">
        <v>29.8</v>
      </c>
      <c r="F116" s="54">
        <f t="shared" si="2"/>
        <v>32.822</v>
      </c>
      <c r="G116" s="54">
        <f t="shared" si="18"/>
        <v>1.345786991</v>
      </c>
      <c r="H116" s="55">
        <f t="shared" si="4"/>
        <v>40.10445235</v>
      </c>
      <c r="I116" s="56">
        <f t="shared" si="5"/>
        <v>19124.20915</v>
      </c>
      <c r="J116" s="63"/>
      <c r="K116" s="63"/>
      <c r="L116" s="64"/>
      <c r="M116" s="57">
        <v>5835.0</v>
      </c>
      <c r="N116" s="51">
        <f t="shared" si="6"/>
        <v>2340.094794</v>
      </c>
    </row>
    <row r="117">
      <c r="A117" s="50">
        <v>22002.0</v>
      </c>
      <c r="B117" s="50" t="s">
        <v>174</v>
      </c>
      <c r="C117" s="51">
        <v>10066.0</v>
      </c>
      <c r="D117" s="52">
        <v>0.0</v>
      </c>
      <c r="E117" s="53">
        <v>29.8</v>
      </c>
      <c r="F117" s="54">
        <f t="shared" si="2"/>
        <v>38.6</v>
      </c>
      <c r="G117" s="54">
        <f t="shared" si="18"/>
        <v>1.582699953</v>
      </c>
      <c r="H117" s="55">
        <f t="shared" si="4"/>
        <v>47.16445861</v>
      </c>
      <c r="I117" s="56">
        <f t="shared" si="5"/>
        <v>4747.574404</v>
      </c>
      <c r="J117" s="63"/>
      <c r="K117" s="63"/>
      <c r="L117" s="64"/>
      <c r="M117" s="57">
        <v>1234.0</v>
      </c>
      <c r="N117" s="51">
        <f t="shared" si="6"/>
        <v>582.0094193</v>
      </c>
    </row>
    <row r="118">
      <c r="A118" s="50">
        <v>30101.0</v>
      </c>
      <c r="B118" s="50" t="s">
        <v>55</v>
      </c>
      <c r="C118" s="51">
        <v>590199.0</v>
      </c>
      <c r="D118" s="52">
        <v>100.0</v>
      </c>
      <c r="E118" s="53">
        <v>30.5</v>
      </c>
      <c r="F118" s="54">
        <f t="shared" si="2"/>
        <v>17.2</v>
      </c>
      <c r="G118" s="54">
        <f t="shared" ref="G118:G165" si="19">1.37*F118/F$345</f>
        <v>0.6950971354</v>
      </c>
      <c r="H118" s="55">
        <f t="shared" si="4"/>
        <v>21.20046263</v>
      </c>
      <c r="I118" s="56">
        <f t="shared" si="5"/>
        <v>125124.9184</v>
      </c>
      <c r="J118" s="57">
        <f>SUM(C118:C165)</f>
        <v>1651108</v>
      </c>
      <c r="K118" s="57">
        <f>SUM(I118:I165)</f>
        <v>503684.0851</v>
      </c>
      <c r="L118" s="58">
        <f>K118/J118</f>
        <v>0.3050582306</v>
      </c>
      <c r="M118" s="57">
        <v>61004.0</v>
      </c>
      <c r="N118" s="51">
        <f t="shared" si="6"/>
        <v>12933.13022</v>
      </c>
    </row>
    <row r="119">
      <c r="A119" s="50">
        <v>30201.0</v>
      </c>
      <c r="B119" s="50" t="s">
        <v>175</v>
      </c>
      <c r="C119" s="51">
        <v>24363.0</v>
      </c>
      <c r="D119" s="52">
        <v>31.7</v>
      </c>
      <c r="E119" s="53">
        <v>30.5</v>
      </c>
      <c r="F119" s="54">
        <f t="shared" si="2"/>
        <v>31.8162</v>
      </c>
      <c r="G119" s="54">
        <f t="shared" si="19"/>
        <v>1.285776132</v>
      </c>
      <c r="H119" s="55">
        <f t="shared" si="4"/>
        <v>39.21617204</v>
      </c>
      <c r="I119" s="56">
        <f t="shared" si="5"/>
        <v>9554.235994</v>
      </c>
      <c r="J119" s="63"/>
      <c r="K119" s="63"/>
      <c r="L119" s="64"/>
      <c r="M119" s="57">
        <v>3198.0</v>
      </c>
      <c r="N119" s="51">
        <f t="shared" si="6"/>
        <v>1254.133182</v>
      </c>
    </row>
    <row r="120">
      <c r="A120" s="50">
        <v>30202.0</v>
      </c>
      <c r="B120" s="50" t="s">
        <v>176</v>
      </c>
      <c r="C120" s="51">
        <v>6055.0</v>
      </c>
      <c r="D120" s="52">
        <v>29.1</v>
      </c>
      <c r="E120" s="53">
        <v>30.5</v>
      </c>
      <c r="F120" s="54">
        <f t="shared" si="2"/>
        <v>32.3726</v>
      </c>
      <c r="G120" s="54">
        <f t="shared" si="19"/>
        <v>1.308261717</v>
      </c>
      <c r="H120" s="55">
        <f t="shared" si="4"/>
        <v>39.90198236</v>
      </c>
      <c r="I120" s="56">
        <f t="shared" si="5"/>
        <v>2416.065032</v>
      </c>
      <c r="J120" s="63"/>
      <c r="K120" s="63"/>
      <c r="L120" s="64"/>
      <c r="M120" s="57">
        <v>685.0</v>
      </c>
      <c r="N120" s="51">
        <f t="shared" si="6"/>
        <v>273.3285791</v>
      </c>
    </row>
    <row r="121">
      <c r="A121" s="50">
        <v>30203.0</v>
      </c>
      <c r="B121" s="50" t="s">
        <v>177</v>
      </c>
      <c r="C121" s="51">
        <v>5799.0</v>
      </c>
      <c r="D121" s="52">
        <v>0.0</v>
      </c>
      <c r="E121" s="53">
        <v>30.5</v>
      </c>
      <c r="F121" s="54">
        <f t="shared" si="2"/>
        <v>38.6</v>
      </c>
      <c r="G121" s="54">
        <f t="shared" si="19"/>
        <v>1.559927292</v>
      </c>
      <c r="H121" s="55">
        <f t="shared" si="4"/>
        <v>47.57778241</v>
      </c>
      <c r="I121" s="56">
        <f t="shared" si="5"/>
        <v>2759.035602</v>
      </c>
      <c r="J121" s="63"/>
      <c r="K121" s="63"/>
      <c r="L121" s="64"/>
      <c r="M121" s="57">
        <v>753.0</v>
      </c>
      <c r="N121" s="51">
        <f t="shared" si="6"/>
        <v>358.2607016</v>
      </c>
    </row>
    <row r="122">
      <c r="A122" s="50">
        <v>30301.0</v>
      </c>
      <c r="B122" s="50" t="s">
        <v>178</v>
      </c>
      <c r="C122" s="51">
        <v>24810.0</v>
      </c>
      <c r="D122" s="52">
        <v>2.7</v>
      </c>
      <c r="E122" s="53">
        <v>30.5</v>
      </c>
      <c r="F122" s="54">
        <f t="shared" si="2"/>
        <v>38.0222</v>
      </c>
      <c r="G122" s="54">
        <f t="shared" si="19"/>
        <v>1.536576878</v>
      </c>
      <c r="H122" s="55">
        <f t="shared" si="4"/>
        <v>46.86559478</v>
      </c>
      <c r="I122" s="56">
        <f t="shared" si="5"/>
        <v>11627.35406</v>
      </c>
      <c r="J122" s="63"/>
      <c r="K122" s="63"/>
      <c r="L122" s="64"/>
      <c r="M122" s="57">
        <v>3482.0</v>
      </c>
      <c r="N122" s="51">
        <f t="shared" si="6"/>
        <v>1631.86001</v>
      </c>
    </row>
    <row r="123">
      <c r="A123" s="50">
        <v>30302.0</v>
      </c>
      <c r="B123" s="50" t="s">
        <v>179</v>
      </c>
      <c r="C123" s="51">
        <v>14352.0</v>
      </c>
      <c r="D123" s="52">
        <v>0.0</v>
      </c>
      <c r="E123" s="53">
        <v>30.5</v>
      </c>
      <c r="F123" s="54">
        <f t="shared" si="2"/>
        <v>38.6</v>
      </c>
      <c r="G123" s="54">
        <f t="shared" si="19"/>
        <v>1.559927292</v>
      </c>
      <c r="H123" s="55">
        <f t="shared" si="4"/>
        <v>47.57778241</v>
      </c>
      <c r="I123" s="56">
        <f t="shared" si="5"/>
        <v>6828.363332</v>
      </c>
      <c r="J123" s="63"/>
      <c r="K123" s="63"/>
      <c r="L123" s="64"/>
      <c r="M123" s="57">
        <v>2013.0</v>
      </c>
      <c r="N123" s="51">
        <f t="shared" si="6"/>
        <v>957.74076</v>
      </c>
    </row>
    <row r="124">
      <c r="A124" s="50">
        <v>30303.0</v>
      </c>
      <c r="B124" s="50" t="s">
        <v>180</v>
      </c>
      <c r="C124" s="51">
        <v>17707.0</v>
      </c>
      <c r="D124" s="52">
        <v>0.0</v>
      </c>
      <c r="E124" s="53">
        <v>30.5</v>
      </c>
      <c r="F124" s="54">
        <f t="shared" si="2"/>
        <v>38.6</v>
      </c>
      <c r="G124" s="54">
        <f t="shared" si="19"/>
        <v>1.559927292</v>
      </c>
      <c r="H124" s="55">
        <f t="shared" si="4"/>
        <v>47.57778241</v>
      </c>
      <c r="I124" s="56">
        <f t="shared" si="5"/>
        <v>8424.597932</v>
      </c>
      <c r="J124" s="63"/>
      <c r="K124" s="63"/>
      <c r="L124" s="64"/>
      <c r="M124" s="57">
        <v>2598.0</v>
      </c>
      <c r="N124" s="51">
        <f t="shared" si="6"/>
        <v>1236.070787</v>
      </c>
    </row>
    <row r="125">
      <c r="A125" s="50">
        <v>30401.0</v>
      </c>
      <c r="B125" s="50" t="s">
        <v>181</v>
      </c>
      <c r="C125" s="51">
        <v>8414.0</v>
      </c>
      <c r="D125" s="52">
        <v>44.3</v>
      </c>
      <c r="E125" s="53">
        <v>30.5</v>
      </c>
      <c r="F125" s="54">
        <f t="shared" si="2"/>
        <v>29.1198</v>
      </c>
      <c r="G125" s="54">
        <f t="shared" si="19"/>
        <v>1.176807533</v>
      </c>
      <c r="H125" s="55">
        <f t="shared" si="4"/>
        <v>35.89262975</v>
      </c>
      <c r="I125" s="56">
        <f t="shared" si="5"/>
        <v>3020.005867</v>
      </c>
      <c r="J125" s="63"/>
      <c r="K125" s="63"/>
      <c r="L125" s="64"/>
      <c r="M125" s="57">
        <v>909.0</v>
      </c>
      <c r="N125" s="51">
        <f t="shared" si="6"/>
        <v>326.2640044</v>
      </c>
    </row>
    <row r="126">
      <c r="A126" s="50">
        <v>30402.0</v>
      </c>
      <c r="B126" s="50" t="s">
        <v>182</v>
      </c>
      <c r="C126" s="51">
        <v>7895.0</v>
      </c>
      <c r="D126" s="52">
        <v>0.0</v>
      </c>
      <c r="E126" s="53">
        <v>30.5</v>
      </c>
      <c r="F126" s="54">
        <f t="shared" si="2"/>
        <v>38.6</v>
      </c>
      <c r="G126" s="54">
        <f t="shared" si="19"/>
        <v>1.559927292</v>
      </c>
      <c r="H126" s="55">
        <f t="shared" si="4"/>
        <v>47.57778241</v>
      </c>
      <c r="I126" s="56">
        <f t="shared" si="5"/>
        <v>3756.265921</v>
      </c>
      <c r="J126" s="63"/>
      <c r="K126" s="63"/>
      <c r="L126" s="64"/>
      <c r="M126" s="57">
        <v>995.0</v>
      </c>
      <c r="N126" s="51">
        <f t="shared" si="6"/>
        <v>473.398935</v>
      </c>
    </row>
    <row r="127">
      <c r="A127" s="50">
        <v>30403.0</v>
      </c>
      <c r="B127" s="50" t="s">
        <v>183</v>
      </c>
      <c r="C127" s="51">
        <v>14533.0</v>
      </c>
      <c r="D127" s="52">
        <v>13.0</v>
      </c>
      <c r="E127" s="53">
        <v>30.5</v>
      </c>
      <c r="F127" s="54">
        <f t="shared" si="2"/>
        <v>35.818</v>
      </c>
      <c r="G127" s="54">
        <f t="shared" si="19"/>
        <v>1.447499372</v>
      </c>
      <c r="H127" s="55">
        <f t="shared" si="4"/>
        <v>44.14873084</v>
      </c>
      <c r="I127" s="56">
        <f t="shared" si="5"/>
        <v>6416.135053</v>
      </c>
      <c r="J127" s="63"/>
      <c r="K127" s="63"/>
      <c r="L127" s="64"/>
      <c r="M127" s="57">
        <v>1449.0</v>
      </c>
      <c r="N127" s="51">
        <f t="shared" si="6"/>
        <v>639.7151099</v>
      </c>
    </row>
    <row r="128">
      <c r="A128" s="50">
        <v>30404.0</v>
      </c>
      <c r="B128" s="50" t="s">
        <v>184</v>
      </c>
      <c r="C128" s="51">
        <v>4494.0</v>
      </c>
      <c r="D128" s="52">
        <v>0.0</v>
      </c>
      <c r="E128" s="53">
        <v>30.5</v>
      </c>
      <c r="F128" s="54">
        <f t="shared" si="2"/>
        <v>38.6</v>
      </c>
      <c r="G128" s="54">
        <f t="shared" si="19"/>
        <v>1.559927292</v>
      </c>
      <c r="H128" s="55">
        <f t="shared" si="4"/>
        <v>47.57778241</v>
      </c>
      <c r="I128" s="56">
        <f t="shared" si="5"/>
        <v>2138.145542</v>
      </c>
      <c r="J128" s="63"/>
      <c r="K128" s="63"/>
      <c r="L128" s="64"/>
      <c r="M128" s="57">
        <v>552.0</v>
      </c>
      <c r="N128" s="51">
        <f t="shared" si="6"/>
        <v>262.6293589</v>
      </c>
    </row>
    <row r="129">
      <c r="A129" s="50">
        <v>30501.0</v>
      </c>
      <c r="B129" s="50" t="s">
        <v>185</v>
      </c>
      <c r="C129" s="51">
        <v>10245.0</v>
      </c>
      <c r="D129" s="52">
        <v>34.8</v>
      </c>
      <c r="E129" s="53">
        <v>30.5</v>
      </c>
      <c r="F129" s="54">
        <f t="shared" si="2"/>
        <v>31.1528</v>
      </c>
      <c r="G129" s="54">
        <f t="shared" si="19"/>
        <v>1.258966398</v>
      </c>
      <c r="H129" s="55">
        <f t="shared" si="4"/>
        <v>38.39847513</v>
      </c>
      <c r="I129" s="56">
        <f t="shared" si="5"/>
        <v>3933.923777</v>
      </c>
      <c r="J129" s="63"/>
      <c r="K129" s="63"/>
      <c r="L129" s="64"/>
      <c r="M129" s="57">
        <v>1006.0</v>
      </c>
      <c r="N129" s="51">
        <f t="shared" si="6"/>
        <v>386.2886598</v>
      </c>
    </row>
    <row r="130">
      <c r="A130" s="50">
        <v>30502.0</v>
      </c>
      <c r="B130" s="50" t="s">
        <v>186</v>
      </c>
      <c r="C130" s="51">
        <v>10239.0</v>
      </c>
      <c r="D130" s="52">
        <v>0.0</v>
      </c>
      <c r="E130" s="53">
        <v>30.5</v>
      </c>
      <c r="F130" s="54">
        <f t="shared" si="2"/>
        <v>38.6</v>
      </c>
      <c r="G130" s="54">
        <f t="shared" si="19"/>
        <v>1.559927292</v>
      </c>
      <c r="H130" s="55">
        <f t="shared" si="4"/>
        <v>47.57778241</v>
      </c>
      <c r="I130" s="56">
        <f t="shared" si="5"/>
        <v>4871.489141</v>
      </c>
      <c r="J130" s="63"/>
      <c r="K130" s="63"/>
      <c r="L130" s="64"/>
      <c r="M130" s="57">
        <v>1254.0</v>
      </c>
      <c r="N130" s="51">
        <f t="shared" si="6"/>
        <v>596.6253914</v>
      </c>
    </row>
    <row r="131">
      <c r="A131" s="50">
        <v>30601.0</v>
      </c>
      <c r="B131" s="50" t="s">
        <v>187</v>
      </c>
      <c r="C131" s="51">
        <v>11037.0</v>
      </c>
      <c r="D131" s="52">
        <v>0.0</v>
      </c>
      <c r="E131" s="53">
        <v>30.5</v>
      </c>
      <c r="F131" s="54">
        <f t="shared" si="2"/>
        <v>38.6</v>
      </c>
      <c r="G131" s="54">
        <f t="shared" si="19"/>
        <v>1.559927292</v>
      </c>
      <c r="H131" s="55">
        <f t="shared" si="4"/>
        <v>47.57778241</v>
      </c>
      <c r="I131" s="56">
        <f t="shared" si="5"/>
        <v>5251.159845</v>
      </c>
      <c r="J131" s="63"/>
      <c r="K131" s="63"/>
      <c r="L131" s="64"/>
      <c r="M131" s="57">
        <v>1822.0</v>
      </c>
      <c r="N131" s="51">
        <f t="shared" si="6"/>
        <v>866.8671955</v>
      </c>
    </row>
    <row r="132">
      <c r="A132" s="50">
        <v>30602.0</v>
      </c>
      <c r="B132" s="50" t="s">
        <v>188</v>
      </c>
      <c r="C132" s="51">
        <v>10764.0</v>
      </c>
      <c r="D132" s="52">
        <v>0.0</v>
      </c>
      <c r="E132" s="53">
        <v>30.5</v>
      </c>
      <c r="F132" s="54">
        <f t="shared" si="2"/>
        <v>38.6</v>
      </c>
      <c r="G132" s="54">
        <f t="shared" si="19"/>
        <v>1.559927292</v>
      </c>
      <c r="H132" s="55">
        <f t="shared" si="4"/>
        <v>47.57778241</v>
      </c>
      <c r="I132" s="56">
        <f t="shared" si="5"/>
        <v>5121.272499</v>
      </c>
      <c r="J132" s="63"/>
      <c r="K132" s="63"/>
      <c r="L132" s="64"/>
      <c r="M132" s="57">
        <v>1513.0</v>
      </c>
      <c r="N132" s="51">
        <f t="shared" si="6"/>
        <v>719.8518479</v>
      </c>
    </row>
    <row r="133">
      <c r="A133" s="50">
        <v>30701.0</v>
      </c>
      <c r="B133" s="50" t="s">
        <v>189</v>
      </c>
      <c r="C133" s="51">
        <v>18556.0</v>
      </c>
      <c r="D133" s="52">
        <v>46.2</v>
      </c>
      <c r="E133" s="53">
        <v>30.5</v>
      </c>
      <c r="F133" s="54">
        <f t="shared" si="2"/>
        <v>28.7132</v>
      </c>
      <c r="G133" s="54">
        <f t="shared" si="19"/>
        <v>1.16037576</v>
      </c>
      <c r="H133" s="55">
        <f t="shared" si="4"/>
        <v>35.39146067</v>
      </c>
      <c r="I133" s="56">
        <f t="shared" si="5"/>
        <v>6567.239442</v>
      </c>
      <c r="J133" s="63"/>
      <c r="K133" s="63"/>
      <c r="L133" s="64"/>
      <c r="M133" s="57">
        <v>2333.0</v>
      </c>
      <c r="N133" s="51">
        <f t="shared" si="6"/>
        <v>825.6827775</v>
      </c>
    </row>
    <row r="134">
      <c r="A134" s="50">
        <v>30702.0</v>
      </c>
      <c r="B134" s="50" t="s">
        <v>190</v>
      </c>
      <c r="C134" s="51">
        <v>6482.0</v>
      </c>
      <c r="D134" s="52">
        <v>0.0</v>
      </c>
      <c r="E134" s="53">
        <v>30.5</v>
      </c>
      <c r="F134" s="54">
        <f t="shared" si="2"/>
        <v>38.6</v>
      </c>
      <c r="G134" s="54">
        <f t="shared" si="19"/>
        <v>1.559927292</v>
      </c>
      <c r="H134" s="55">
        <f t="shared" si="4"/>
        <v>47.57778241</v>
      </c>
      <c r="I134" s="56">
        <f t="shared" si="5"/>
        <v>3083.991856</v>
      </c>
      <c r="J134" s="63"/>
      <c r="K134" s="63"/>
      <c r="L134" s="64"/>
      <c r="M134" s="57">
        <v>625.0</v>
      </c>
      <c r="N134" s="51">
        <f t="shared" si="6"/>
        <v>297.3611401</v>
      </c>
    </row>
    <row r="135">
      <c r="A135" s="50">
        <v>30703.0</v>
      </c>
      <c r="B135" s="50" t="s">
        <v>191</v>
      </c>
      <c r="C135" s="51">
        <v>3193.0</v>
      </c>
      <c r="D135" s="52">
        <v>0.0</v>
      </c>
      <c r="E135" s="53">
        <v>30.5</v>
      </c>
      <c r="F135" s="54">
        <f t="shared" si="2"/>
        <v>38.6</v>
      </c>
      <c r="G135" s="54">
        <f t="shared" si="19"/>
        <v>1.559927292</v>
      </c>
      <c r="H135" s="55">
        <f t="shared" si="4"/>
        <v>47.57778241</v>
      </c>
      <c r="I135" s="56">
        <f t="shared" si="5"/>
        <v>1519.158592</v>
      </c>
      <c r="J135" s="63"/>
      <c r="K135" s="63"/>
      <c r="L135" s="64"/>
      <c r="M135" s="57">
        <v>412.0</v>
      </c>
      <c r="N135" s="51">
        <f t="shared" si="6"/>
        <v>196.0204635</v>
      </c>
    </row>
    <row r="136">
      <c r="A136" s="50">
        <v>30801.0</v>
      </c>
      <c r="B136" s="50" t="s">
        <v>192</v>
      </c>
      <c r="C136" s="51">
        <v>21116.0</v>
      </c>
      <c r="D136" s="52">
        <v>49.0</v>
      </c>
      <c r="E136" s="53">
        <v>30.5</v>
      </c>
      <c r="F136" s="54">
        <f t="shared" si="2"/>
        <v>28.114</v>
      </c>
      <c r="G136" s="54">
        <f t="shared" si="19"/>
        <v>1.136160515</v>
      </c>
      <c r="H136" s="55">
        <f t="shared" si="4"/>
        <v>34.65289572</v>
      </c>
      <c r="I136" s="56">
        <f t="shared" si="5"/>
        <v>7317.30546</v>
      </c>
      <c r="J136" s="63"/>
      <c r="K136" s="63"/>
      <c r="L136" s="64"/>
      <c r="M136" s="57">
        <v>2140.0</v>
      </c>
      <c r="N136" s="51">
        <f t="shared" si="6"/>
        <v>741.5719684</v>
      </c>
    </row>
    <row r="137">
      <c r="A137" s="50">
        <v>30802.0</v>
      </c>
      <c r="B137" s="50" t="s">
        <v>193</v>
      </c>
      <c r="C137" s="51">
        <v>6929.0</v>
      </c>
      <c r="D137" s="52">
        <v>0.0</v>
      </c>
      <c r="E137" s="53">
        <v>30.5</v>
      </c>
      <c r="F137" s="54">
        <f t="shared" si="2"/>
        <v>38.6</v>
      </c>
      <c r="G137" s="54">
        <f t="shared" si="19"/>
        <v>1.559927292</v>
      </c>
      <c r="H137" s="55">
        <f t="shared" si="4"/>
        <v>47.57778241</v>
      </c>
      <c r="I137" s="56">
        <f t="shared" si="5"/>
        <v>3296.664543</v>
      </c>
      <c r="J137" s="63"/>
      <c r="K137" s="63"/>
      <c r="L137" s="64"/>
      <c r="M137" s="57">
        <v>606.0</v>
      </c>
      <c r="N137" s="51">
        <f t="shared" si="6"/>
        <v>288.3213614</v>
      </c>
    </row>
    <row r="138">
      <c r="A138" s="50">
        <v>30803.0</v>
      </c>
      <c r="B138" s="50" t="s">
        <v>194</v>
      </c>
      <c r="C138" s="51">
        <v>5460.0</v>
      </c>
      <c r="D138" s="52">
        <v>53.8</v>
      </c>
      <c r="E138" s="53">
        <v>30.5</v>
      </c>
      <c r="F138" s="54">
        <f t="shared" si="2"/>
        <v>27.0868</v>
      </c>
      <c r="G138" s="54">
        <f t="shared" si="19"/>
        <v>1.094648668</v>
      </c>
      <c r="H138" s="55">
        <f t="shared" si="4"/>
        <v>33.38678437</v>
      </c>
      <c r="I138" s="56">
        <f t="shared" si="5"/>
        <v>1822.918427</v>
      </c>
      <c r="J138" s="63"/>
      <c r="K138" s="63"/>
      <c r="L138" s="64"/>
      <c r="M138" s="57">
        <v>545.0</v>
      </c>
      <c r="N138" s="51">
        <f t="shared" si="6"/>
        <v>181.9579748</v>
      </c>
    </row>
    <row r="139">
      <c r="A139" s="50">
        <v>30901.0</v>
      </c>
      <c r="B139" s="50" t="s">
        <v>195</v>
      </c>
      <c r="C139" s="51">
        <v>125191.0</v>
      </c>
      <c r="D139" s="52">
        <v>87.9</v>
      </c>
      <c r="E139" s="53">
        <v>30.5</v>
      </c>
      <c r="F139" s="54">
        <f t="shared" si="2"/>
        <v>19.7894</v>
      </c>
      <c r="G139" s="54">
        <f t="shared" si="19"/>
        <v>0.7997415844</v>
      </c>
      <c r="H139" s="55">
        <f t="shared" si="4"/>
        <v>24.39211832</v>
      </c>
      <c r="I139" s="56">
        <f t="shared" si="5"/>
        <v>30536.73685</v>
      </c>
      <c r="J139" s="63"/>
      <c r="K139" s="63"/>
      <c r="L139" s="64"/>
      <c r="M139" s="57">
        <v>13909.0</v>
      </c>
      <c r="N139" s="51">
        <f t="shared" si="6"/>
        <v>3392.699738</v>
      </c>
    </row>
    <row r="140">
      <c r="A140" s="50">
        <v>30902.0</v>
      </c>
      <c r="B140" s="50" t="s">
        <v>196</v>
      </c>
      <c r="C140" s="51">
        <v>37850.0</v>
      </c>
      <c r="D140" s="52">
        <v>25.5</v>
      </c>
      <c r="E140" s="53">
        <v>30.5</v>
      </c>
      <c r="F140" s="54">
        <f t="shared" si="2"/>
        <v>33.143</v>
      </c>
      <c r="G140" s="54">
        <f t="shared" si="19"/>
        <v>1.339395602</v>
      </c>
      <c r="H140" s="55">
        <f t="shared" si="4"/>
        <v>40.85156587</v>
      </c>
      <c r="I140" s="56">
        <f t="shared" si="5"/>
        <v>15462.31768</v>
      </c>
      <c r="J140" s="63"/>
      <c r="K140" s="63"/>
      <c r="L140" s="64"/>
      <c r="M140" s="57">
        <v>4609.0</v>
      </c>
      <c r="N140" s="51">
        <f t="shared" si="6"/>
        <v>1882.848671</v>
      </c>
    </row>
    <row r="141">
      <c r="A141" s="50">
        <v>30903.0</v>
      </c>
      <c r="B141" s="50" t="s">
        <v>197</v>
      </c>
      <c r="C141" s="51">
        <v>48045.0</v>
      </c>
      <c r="D141" s="52">
        <v>84.1</v>
      </c>
      <c r="E141" s="53">
        <v>30.5</v>
      </c>
      <c r="F141" s="54">
        <f t="shared" si="2"/>
        <v>20.6026</v>
      </c>
      <c r="G141" s="54">
        <f t="shared" si="19"/>
        <v>0.8326051303</v>
      </c>
      <c r="H141" s="55">
        <f t="shared" si="4"/>
        <v>25.39445647</v>
      </c>
      <c r="I141" s="56">
        <f t="shared" si="5"/>
        <v>12200.76661</v>
      </c>
      <c r="J141" s="63"/>
      <c r="K141" s="63"/>
      <c r="L141" s="64"/>
      <c r="M141" s="57">
        <v>5421.0</v>
      </c>
      <c r="N141" s="51">
        <f t="shared" si="6"/>
        <v>1376.633485</v>
      </c>
    </row>
    <row r="142">
      <c r="A142" s="50">
        <v>30904.0</v>
      </c>
      <c r="B142" s="50" t="s">
        <v>198</v>
      </c>
      <c r="C142" s="51">
        <v>44521.0</v>
      </c>
      <c r="D142" s="52">
        <v>66.6</v>
      </c>
      <c r="E142" s="53">
        <v>30.5</v>
      </c>
      <c r="F142" s="54">
        <f t="shared" si="2"/>
        <v>24.3476</v>
      </c>
      <c r="G142" s="54">
        <f t="shared" si="19"/>
        <v>0.9839504078</v>
      </c>
      <c r="H142" s="55">
        <f t="shared" si="4"/>
        <v>30.01048744</v>
      </c>
      <c r="I142" s="56">
        <f t="shared" si="5"/>
        <v>13360.96911</v>
      </c>
      <c r="J142" s="63"/>
      <c r="K142" s="63"/>
      <c r="L142" s="64"/>
      <c r="M142" s="57">
        <v>5320.0</v>
      </c>
      <c r="N142" s="51">
        <f t="shared" si="6"/>
        <v>1596.557932</v>
      </c>
    </row>
    <row r="143">
      <c r="A143" s="50">
        <v>30905.0</v>
      </c>
      <c r="B143" s="50" t="s">
        <v>199</v>
      </c>
      <c r="C143" s="51">
        <v>48350.0</v>
      </c>
      <c r="D143" s="52">
        <v>99.7</v>
      </c>
      <c r="E143" s="53">
        <v>30.5</v>
      </c>
      <c r="F143" s="54">
        <f t="shared" si="2"/>
        <v>17.2642</v>
      </c>
      <c r="G143" s="54">
        <f t="shared" si="19"/>
        <v>0.6976916259</v>
      </c>
      <c r="H143" s="55">
        <f t="shared" si="4"/>
        <v>21.27959459</v>
      </c>
      <c r="I143" s="56">
        <f t="shared" si="5"/>
        <v>10288.68398</v>
      </c>
      <c r="J143" s="63"/>
      <c r="K143" s="63"/>
      <c r="L143" s="64"/>
      <c r="M143" s="57">
        <v>5105.0</v>
      </c>
      <c r="N143" s="51">
        <f t="shared" si="6"/>
        <v>1086.323304</v>
      </c>
    </row>
    <row r="144">
      <c r="A144" s="50">
        <v>31001.0</v>
      </c>
      <c r="B144" s="50" t="s">
        <v>200</v>
      </c>
      <c r="C144" s="51">
        <v>152333.0</v>
      </c>
      <c r="D144" s="52">
        <v>84.1</v>
      </c>
      <c r="E144" s="53">
        <v>30.5</v>
      </c>
      <c r="F144" s="54">
        <f t="shared" si="2"/>
        <v>20.6026</v>
      </c>
      <c r="G144" s="54">
        <f t="shared" si="19"/>
        <v>0.8326051303</v>
      </c>
      <c r="H144" s="55">
        <f t="shared" si="4"/>
        <v>25.39445647</v>
      </c>
      <c r="I144" s="56">
        <f t="shared" si="5"/>
        <v>38684.13738</v>
      </c>
      <c r="J144" s="63"/>
      <c r="K144" s="63"/>
      <c r="L144" s="64"/>
      <c r="M144" s="57">
        <v>17190.0</v>
      </c>
      <c r="N144" s="51">
        <f t="shared" si="6"/>
        <v>4365.307068</v>
      </c>
    </row>
    <row r="145">
      <c r="A145" s="50">
        <v>31002.0</v>
      </c>
      <c r="B145" s="50" t="s">
        <v>201</v>
      </c>
      <c r="C145" s="51">
        <v>18589.0</v>
      </c>
      <c r="D145" s="52">
        <v>20.7</v>
      </c>
      <c r="E145" s="53">
        <v>30.5</v>
      </c>
      <c r="F145" s="54">
        <f t="shared" si="2"/>
        <v>34.1702</v>
      </c>
      <c r="G145" s="54">
        <f t="shared" si="19"/>
        <v>1.38090745</v>
      </c>
      <c r="H145" s="55">
        <f t="shared" si="4"/>
        <v>42.11767722</v>
      </c>
      <c r="I145" s="56">
        <f t="shared" si="5"/>
        <v>7829.255018</v>
      </c>
      <c r="J145" s="63"/>
      <c r="K145" s="63"/>
      <c r="L145" s="64"/>
      <c r="M145" s="57">
        <v>2514.0</v>
      </c>
      <c r="N145" s="51">
        <f t="shared" si="6"/>
        <v>1058.838405</v>
      </c>
    </row>
    <row r="146">
      <c r="A146" s="50">
        <v>31003.0</v>
      </c>
      <c r="B146" s="50" t="s">
        <v>202</v>
      </c>
      <c r="C146" s="51">
        <v>64659.0</v>
      </c>
      <c r="D146" s="52">
        <v>10.9</v>
      </c>
      <c r="E146" s="53">
        <v>30.5</v>
      </c>
      <c r="F146" s="54">
        <f t="shared" si="2"/>
        <v>36.2674</v>
      </c>
      <c r="G146" s="54">
        <f t="shared" si="19"/>
        <v>1.465660805</v>
      </c>
      <c r="H146" s="55">
        <f t="shared" si="4"/>
        <v>44.70265456</v>
      </c>
      <c r="I146" s="56">
        <f t="shared" si="5"/>
        <v>28904.28941</v>
      </c>
      <c r="J146" s="63"/>
      <c r="K146" s="63"/>
      <c r="L146" s="64"/>
      <c r="M146" s="57">
        <v>9268.0</v>
      </c>
      <c r="N146" s="51">
        <f t="shared" si="6"/>
        <v>4143.042024</v>
      </c>
    </row>
    <row r="147">
      <c r="A147" s="50">
        <v>31101.0</v>
      </c>
      <c r="B147" s="50" t="s">
        <v>203</v>
      </c>
      <c r="C147" s="51">
        <v>25096.0</v>
      </c>
      <c r="D147" s="52">
        <v>0.0</v>
      </c>
      <c r="E147" s="53">
        <v>30.5</v>
      </c>
      <c r="F147" s="54">
        <f t="shared" si="2"/>
        <v>38.6</v>
      </c>
      <c r="G147" s="54">
        <f t="shared" si="19"/>
        <v>1.559927292</v>
      </c>
      <c r="H147" s="55">
        <f t="shared" si="4"/>
        <v>47.57778241</v>
      </c>
      <c r="I147" s="56">
        <f t="shared" si="5"/>
        <v>11940.12027</v>
      </c>
      <c r="J147" s="63"/>
      <c r="K147" s="63"/>
      <c r="L147" s="64"/>
      <c r="M147" s="57">
        <v>3380.0</v>
      </c>
      <c r="N147" s="51">
        <f t="shared" si="6"/>
        <v>1608.129046</v>
      </c>
    </row>
    <row r="148">
      <c r="A148" s="50">
        <v>31201.0</v>
      </c>
      <c r="B148" s="50" t="s">
        <v>204</v>
      </c>
      <c r="C148" s="51">
        <v>14033.0</v>
      </c>
      <c r="D148" s="52">
        <v>0.0</v>
      </c>
      <c r="E148" s="53">
        <v>30.5</v>
      </c>
      <c r="F148" s="54">
        <f t="shared" si="2"/>
        <v>38.6</v>
      </c>
      <c r="G148" s="54">
        <f t="shared" si="19"/>
        <v>1.559927292</v>
      </c>
      <c r="H148" s="55">
        <f t="shared" si="4"/>
        <v>47.57778241</v>
      </c>
      <c r="I148" s="56">
        <f t="shared" si="5"/>
        <v>6676.590206</v>
      </c>
      <c r="J148" s="63"/>
      <c r="K148" s="63"/>
      <c r="L148" s="64"/>
      <c r="M148" s="57">
        <v>2030.0</v>
      </c>
      <c r="N148" s="51">
        <f t="shared" si="6"/>
        <v>965.828983</v>
      </c>
    </row>
    <row r="149">
      <c r="A149" s="50">
        <v>31202.0</v>
      </c>
      <c r="B149" s="50" t="s">
        <v>205</v>
      </c>
      <c r="C149" s="51">
        <v>10650.0</v>
      </c>
      <c r="D149" s="52">
        <v>0.0</v>
      </c>
      <c r="E149" s="53">
        <v>30.5</v>
      </c>
      <c r="F149" s="54">
        <f t="shared" si="2"/>
        <v>38.6</v>
      </c>
      <c r="G149" s="54">
        <f t="shared" si="19"/>
        <v>1.559927292</v>
      </c>
      <c r="H149" s="55">
        <f t="shared" si="4"/>
        <v>47.57778241</v>
      </c>
      <c r="I149" s="56">
        <f t="shared" si="5"/>
        <v>5067.033827</v>
      </c>
      <c r="J149" s="63"/>
      <c r="K149" s="63"/>
      <c r="L149" s="64"/>
      <c r="M149" s="57">
        <v>1614.0</v>
      </c>
      <c r="N149" s="51">
        <f t="shared" si="6"/>
        <v>767.9054081</v>
      </c>
    </row>
    <row r="150">
      <c r="A150" s="50">
        <v>31203.0</v>
      </c>
      <c r="B150" s="50" t="s">
        <v>206</v>
      </c>
      <c r="C150" s="51">
        <v>11746.0</v>
      </c>
      <c r="D150" s="52">
        <v>0.0</v>
      </c>
      <c r="E150" s="53">
        <v>30.5</v>
      </c>
      <c r="F150" s="54">
        <f t="shared" si="2"/>
        <v>38.6</v>
      </c>
      <c r="G150" s="54">
        <f t="shared" si="19"/>
        <v>1.559927292</v>
      </c>
      <c r="H150" s="55">
        <f t="shared" si="4"/>
        <v>47.57778241</v>
      </c>
      <c r="I150" s="56">
        <f t="shared" si="5"/>
        <v>5588.486322</v>
      </c>
      <c r="J150" s="63"/>
      <c r="K150" s="63"/>
      <c r="L150" s="64"/>
      <c r="M150" s="57">
        <v>1510.0</v>
      </c>
      <c r="N150" s="51">
        <f t="shared" si="6"/>
        <v>718.4245144</v>
      </c>
    </row>
    <row r="151">
      <c r="A151" s="50">
        <v>31204.0</v>
      </c>
      <c r="B151" s="50" t="s">
        <v>207</v>
      </c>
      <c r="C151" s="51">
        <v>19226.0</v>
      </c>
      <c r="D151" s="52">
        <v>27.8</v>
      </c>
      <c r="E151" s="53">
        <v>30.5</v>
      </c>
      <c r="F151" s="54">
        <f t="shared" si="2"/>
        <v>32.6508</v>
      </c>
      <c r="G151" s="54">
        <f t="shared" si="19"/>
        <v>1.319504509</v>
      </c>
      <c r="H151" s="55">
        <f t="shared" si="4"/>
        <v>40.24488751</v>
      </c>
      <c r="I151" s="56">
        <f t="shared" si="5"/>
        <v>7737.482073</v>
      </c>
      <c r="J151" s="63"/>
      <c r="K151" s="63"/>
      <c r="L151" s="64"/>
      <c r="M151" s="57">
        <v>2714.0</v>
      </c>
      <c r="N151" s="51">
        <f t="shared" si="6"/>
        <v>1092.246247</v>
      </c>
    </row>
    <row r="152">
      <c r="A152" s="50">
        <v>31205.0</v>
      </c>
      <c r="B152" s="50" t="s">
        <v>208</v>
      </c>
      <c r="C152" s="51">
        <v>44504.0</v>
      </c>
      <c r="D152" s="52">
        <v>23.4</v>
      </c>
      <c r="E152" s="53">
        <v>30.5</v>
      </c>
      <c r="F152" s="54">
        <f t="shared" si="2"/>
        <v>33.5924</v>
      </c>
      <c r="G152" s="54">
        <f t="shared" si="19"/>
        <v>1.357557035</v>
      </c>
      <c r="H152" s="55">
        <f t="shared" si="4"/>
        <v>41.40548958</v>
      </c>
      <c r="I152" s="56">
        <f t="shared" si="5"/>
        <v>18427.09908</v>
      </c>
      <c r="J152" s="63"/>
      <c r="K152" s="63"/>
      <c r="L152" s="64"/>
      <c r="M152" s="57">
        <v>6149.0</v>
      </c>
      <c r="N152" s="51">
        <f t="shared" si="6"/>
        <v>2546.023554</v>
      </c>
    </row>
    <row r="153">
      <c r="A153" s="50">
        <v>31206.0</v>
      </c>
      <c r="B153" s="50" t="s">
        <v>209</v>
      </c>
      <c r="C153" s="51">
        <v>28145.0</v>
      </c>
      <c r="D153" s="52">
        <v>38.3</v>
      </c>
      <c r="E153" s="53">
        <v>30.5</v>
      </c>
      <c r="F153" s="54">
        <f t="shared" si="2"/>
        <v>30.4038</v>
      </c>
      <c r="G153" s="54">
        <f t="shared" si="19"/>
        <v>1.228697342</v>
      </c>
      <c r="H153" s="55">
        <f t="shared" si="4"/>
        <v>37.47526894</v>
      </c>
      <c r="I153" s="56">
        <f t="shared" si="5"/>
        <v>10547.41444</v>
      </c>
      <c r="J153" s="63"/>
      <c r="K153" s="63"/>
      <c r="L153" s="64"/>
      <c r="M153" s="57">
        <v>3770.0</v>
      </c>
      <c r="N153" s="51">
        <f t="shared" si="6"/>
        <v>1412.817639</v>
      </c>
    </row>
    <row r="154">
      <c r="A154" s="50">
        <v>31301.0</v>
      </c>
      <c r="B154" s="50" t="s">
        <v>210</v>
      </c>
      <c r="C154" s="51">
        <v>20412.0</v>
      </c>
      <c r="D154" s="52">
        <v>15.7</v>
      </c>
      <c r="E154" s="53">
        <v>30.5</v>
      </c>
      <c r="F154" s="54">
        <f t="shared" si="2"/>
        <v>35.2402</v>
      </c>
      <c r="G154" s="54">
        <f t="shared" si="19"/>
        <v>1.424148958</v>
      </c>
      <c r="H154" s="55">
        <f t="shared" si="4"/>
        <v>43.43654321</v>
      </c>
      <c r="I154" s="56">
        <f t="shared" si="5"/>
        <v>8866.267199</v>
      </c>
      <c r="J154" s="63"/>
      <c r="K154" s="63"/>
      <c r="L154" s="64"/>
      <c r="M154" s="57">
        <v>2897.0</v>
      </c>
      <c r="N154" s="51">
        <f t="shared" si="6"/>
        <v>1258.356657</v>
      </c>
    </row>
    <row r="155">
      <c r="A155" s="50">
        <v>31302.0</v>
      </c>
      <c r="B155" s="50" t="s">
        <v>211</v>
      </c>
      <c r="C155" s="51">
        <v>5143.0</v>
      </c>
      <c r="D155" s="52">
        <v>0.0</v>
      </c>
      <c r="E155" s="53">
        <v>30.5</v>
      </c>
      <c r="F155" s="54">
        <f t="shared" si="2"/>
        <v>38.6</v>
      </c>
      <c r="G155" s="54">
        <f t="shared" si="19"/>
        <v>1.559927292</v>
      </c>
      <c r="H155" s="55">
        <f t="shared" si="4"/>
        <v>47.57778241</v>
      </c>
      <c r="I155" s="56">
        <f t="shared" si="5"/>
        <v>2446.925349</v>
      </c>
      <c r="J155" s="63"/>
      <c r="K155" s="63"/>
      <c r="L155" s="64"/>
      <c r="M155" s="57">
        <v>760.0</v>
      </c>
      <c r="N155" s="51">
        <f t="shared" si="6"/>
        <v>361.5911463</v>
      </c>
    </row>
    <row r="156">
      <c r="A156" s="50">
        <v>31303.0</v>
      </c>
      <c r="B156" s="50" t="s">
        <v>212</v>
      </c>
      <c r="C156" s="51">
        <v>3987.0</v>
      </c>
      <c r="D156" s="52">
        <v>0.0</v>
      </c>
      <c r="E156" s="53">
        <v>30.5</v>
      </c>
      <c r="F156" s="54">
        <f t="shared" si="2"/>
        <v>38.6</v>
      </c>
      <c r="G156" s="54">
        <f t="shared" si="19"/>
        <v>1.559927292</v>
      </c>
      <c r="H156" s="55">
        <f t="shared" si="4"/>
        <v>47.57778241</v>
      </c>
      <c r="I156" s="56">
        <f t="shared" si="5"/>
        <v>1896.926185</v>
      </c>
      <c r="J156" s="63"/>
      <c r="K156" s="63"/>
      <c r="L156" s="64"/>
      <c r="M156" s="57">
        <v>624.0</v>
      </c>
      <c r="N156" s="51">
        <f t="shared" si="6"/>
        <v>296.8853623</v>
      </c>
    </row>
    <row r="157">
      <c r="A157" s="50">
        <v>31304.0</v>
      </c>
      <c r="B157" s="50" t="s">
        <v>213</v>
      </c>
      <c r="C157" s="51">
        <v>6400.0</v>
      </c>
      <c r="D157" s="52">
        <v>0.0</v>
      </c>
      <c r="E157" s="53">
        <v>30.5</v>
      </c>
      <c r="F157" s="54">
        <f t="shared" si="2"/>
        <v>38.6</v>
      </c>
      <c r="G157" s="54">
        <f t="shared" si="19"/>
        <v>1.559927292</v>
      </c>
      <c r="H157" s="55">
        <f t="shared" si="4"/>
        <v>47.57778241</v>
      </c>
      <c r="I157" s="56">
        <f t="shared" si="5"/>
        <v>3044.978074</v>
      </c>
      <c r="J157" s="63"/>
      <c r="K157" s="63"/>
      <c r="L157" s="64"/>
      <c r="M157" s="57">
        <v>1017.0</v>
      </c>
      <c r="N157" s="51">
        <f t="shared" si="6"/>
        <v>483.8660471</v>
      </c>
    </row>
    <row r="158">
      <c r="A158" s="50">
        <v>31401.0</v>
      </c>
      <c r="B158" s="50" t="s">
        <v>214</v>
      </c>
      <c r="C158" s="51">
        <v>27888.0</v>
      </c>
      <c r="D158" s="52">
        <v>63.7</v>
      </c>
      <c r="E158" s="53">
        <v>30.5</v>
      </c>
      <c r="F158" s="54">
        <f t="shared" si="2"/>
        <v>24.9682</v>
      </c>
      <c r="G158" s="54">
        <f t="shared" si="19"/>
        <v>1.009030482</v>
      </c>
      <c r="H158" s="55">
        <f t="shared" si="4"/>
        <v>30.77542971</v>
      </c>
      <c r="I158" s="56">
        <f t="shared" si="5"/>
        <v>8582.651838</v>
      </c>
      <c r="J158" s="63"/>
      <c r="K158" s="63"/>
      <c r="L158" s="64"/>
      <c r="M158" s="57">
        <v>2675.0</v>
      </c>
      <c r="N158" s="51">
        <f t="shared" si="6"/>
        <v>823.2427447</v>
      </c>
    </row>
    <row r="159">
      <c r="A159" s="50">
        <v>31402.0</v>
      </c>
      <c r="B159" s="50" t="s">
        <v>215</v>
      </c>
      <c r="C159" s="51">
        <v>7307.0</v>
      </c>
      <c r="D159" s="52">
        <v>0.0</v>
      </c>
      <c r="E159" s="53">
        <v>30.5</v>
      </c>
      <c r="F159" s="54">
        <f t="shared" si="2"/>
        <v>38.6</v>
      </c>
      <c r="G159" s="54">
        <f t="shared" si="19"/>
        <v>1.559927292</v>
      </c>
      <c r="H159" s="55">
        <f t="shared" si="4"/>
        <v>47.57778241</v>
      </c>
      <c r="I159" s="56">
        <f t="shared" si="5"/>
        <v>3476.508561</v>
      </c>
      <c r="J159" s="63"/>
      <c r="K159" s="63"/>
      <c r="L159" s="64"/>
      <c r="M159" s="57">
        <v>809.0</v>
      </c>
      <c r="N159" s="51">
        <f t="shared" si="6"/>
        <v>384.9042597</v>
      </c>
    </row>
    <row r="160">
      <c r="A160" s="50">
        <v>31403.0</v>
      </c>
      <c r="B160" s="50" t="s">
        <v>216</v>
      </c>
      <c r="C160" s="51">
        <v>13256.0</v>
      </c>
      <c r="D160" s="52">
        <v>45.7</v>
      </c>
      <c r="E160" s="53">
        <v>30.5</v>
      </c>
      <c r="F160" s="54">
        <f t="shared" si="2"/>
        <v>28.8202</v>
      </c>
      <c r="G160" s="54">
        <f t="shared" si="19"/>
        <v>1.164699911</v>
      </c>
      <c r="H160" s="55">
        <f t="shared" si="4"/>
        <v>35.52334727</v>
      </c>
      <c r="I160" s="56">
        <f t="shared" si="5"/>
        <v>4708.974914</v>
      </c>
      <c r="J160" s="63"/>
      <c r="K160" s="63"/>
      <c r="L160" s="64"/>
      <c r="M160" s="57">
        <v>1329.0</v>
      </c>
      <c r="N160" s="51">
        <f t="shared" si="6"/>
        <v>472.1052852</v>
      </c>
    </row>
    <row r="161">
      <c r="A161" s="50">
        <v>31404.0</v>
      </c>
      <c r="B161" s="50" t="s">
        <v>217</v>
      </c>
      <c r="C161" s="51">
        <v>1220.0</v>
      </c>
      <c r="D161" s="52">
        <v>0.0</v>
      </c>
      <c r="E161" s="53">
        <v>30.5</v>
      </c>
      <c r="F161" s="54">
        <f t="shared" si="2"/>
        <v>38.6</v>
      </c>
      <c r="G161" s="54">
        <f t="shared" si="19"/>
        <v>1.559927292</v>
      </c>
      <c r="H161" s="55">
        <f t="shared" si="4"/>
        <v>47.57778241</v>
      </c>
      <c r="I161" s="56">
        <f t="shared" si="5"/>
        <v>580.4489454</v>
      </c>
      <c r="J161" s="63"/>
      <c r="K161" s="63"/>
      <c r="L161" s="64"/>
      <c r="M161" s="57">
        <v>105.0</v>
      </c>
      <c r="N161" s="51">
        <f t="shared" si="6"/>
        <v>49.95667153</v>
      </c>
    </row>
    <row r="162">
      <c r="A162" s="50">
        <v>31405.0</v>
      </c>
      <c r="B162" s="50" t="s">
        <v>218</v>
      </c>
      <c r="C162" s="51">
        <v>2468.0</v>
      </c>
      <c r="D162" s="52">
        <v>0.0</v>
      </c>
      <c r="E162" s="53">
        <v>30.5</v>
      </c>
      <c r="F162" s="54">
        <f t="shared" si="2"/>
        <v>38.6</v>
      </c>
      <c r="G162" s="54">
        <f t="shared" si="19"/>
        <v>1.559927292</v>
      </c>
      <c r="H162" s="55">
        <f t="shared" si="4"/>
        <v>47.57778241</v>
      </c>
      <c r="I162" s="56">
        <f t="shared" si="5"/>
        <v>1174.21967</v>
      </c>
      <c r="J162" s="63"/>
      <c r="K162" s="63"/>
      <c r="L162" s="64"/>
      <c r="M162" s="57">
        <v>282.0</v>
      </c>
      <c r="N162" s="51">
        <f t="shared" si="6"/>
        <v>134.1693464</v>
      </c>
    </row>
    <row r="163">
      <c r="A163" s="50">
        <v>31501.0</v>
      </c>
      <c r="B163" s="50" t="s">
        <v>219</v>
      </c>
      <c r="C163" s="51">
        <v>7772.0</v>
      </c>
      <c r="D163" s="52">
        <v>0.0</v>
      </c>
      <c r="E163" s="53">
        <v>30.5</v>
      </c>
      <c r="F163" s="54">
        <f t="shared" si="2"/>
        <v>38.6</v>
      </c>
      <c r="G163" s="54">
        <f t="shared" si="19"/>
        <v>1.559927292</v>
      </c>
      <c r="H163" s="55">
        <f t="shared" si="4"/>
        <v>47.57778241</v>
      </c>
      <c r="I163" s="56">
        <f t="shared" si="5"/>
        <v>3697.745249</v>
      </c>
      <c r="J163" s="63"/>
      <c r="K163" s="63"/>
      <c r="L163" s="64"/>
      <c r="M163" s="57">
        <v>1026.0</v>
      </c>
      <c r="N163" s="51">
        <f t="shared" si="6"/>
        <v>488.1480475</v>
      </c>
    </row>
    <row r="164">
      <c r="A164" s="50">
        <v>31601.0</v>
      </c>
      <c r="B164" s="50" t="s">
        <v>220</v>
      </c>
      <c r="C164" s="51">
        <v>21064.0</v>
      </c>
      <c r="D164" s="52">
        <v>7.2</v>
      </c>
      <c r="E164" s="53">
        <v>30.5</v>
      </c>
      <c r="F164" s="54">
        <f t="shared" si="2"/>
        <v>37.0592</v>
      </c>
      <c r="G164" s="54">
        <f t="shared" si="19"/>
        <v>1.497659521</v>
      </c>
      <c r="H164" s="55">
        <f t="shared" si="4"/>
        <v>45.67861539</v>
      </c>
      <c r="I164" s="56">
        <f t="shared" si="5"/>
        <v>9621.743545</v>
      </c>
      <c r="J164" s="63"/>
      <c r="K164" s="63"/>
      <c r="L164" s="64"/>
      <c r="M164" s="57">
        <v>2840.0</v>
      </c>
      <c r="N164" s="51">
        <f t="shared" si="6"/>
        <v>1297.272677</v>
      </c>
    </row>
    <row r="165">
      <c r="A165" s="50">
        <v>31602.0</v>
      </c>
      <c r="B165" s="50" t="s">
        <v>221</v>
      </c>
      <c r="C165" s="51">
        <v>18611.0</v>
      </c>
      <c r="D165" s="52">
        <v>27.9</v>
      </c>
      <c r="E165" s="53">
        <v>30.5</v>
      </c>
      <c r="F165" s="54">
        <f t="shared" si="2"/>
        <v>32.6294</v>
      </c>
      <c r="G165" s="54">
        <f t="shared" si="19"/>
        <v>1.318639678</v>
      </c>
      <c r="H165" s="55">
        <f t="shared" si="4"/>
        <v>40.21851019</v>
      </c>
      <c r="I165" s="56">
        <f t="shared" si="5"/>
        <v>7485.066932</v>
      </c>
      <c r="J165" s="50"/>
      <c r="K165" s="50"/>
      <c r="L165" s="50"/>
      <c r="M165" s="57">
        <v>2450.0</v>
      </c>
      <c r="N165" s="51">
        <f t="shared" si="6"/>
        <v>985.3534997</v>
      </c>
    </row>
    <row r="166">
      <c r="A166" s="50">
        <v>40101.0</v>
      </c>
      <c r="B166" s="50" t="s">
        <v>57</v>
      </c>
      <c r="C166" s="51">
        <v>241874.0</v>
      </c>
      <c r="D166" s="52">
        <v>100.0</v>
      </c>
      <c r="E166" s="50">
        <v>33.4</v>
      </c>
      <c r="F166" s="54">
        <f t="shared" si="2"/>
        <v>17.2</v>
      </c>
      <c r="G166" s="54">
        <f t="shared" ref="G166:G200" si="20">1.345*F166/F$345</f>
        <v>0.6824128811</v>
      </c>
      <c r="H166" s="55">
        <f t="shared" si="4"/>
        <v>22.79259023</v>
      </c>
      <c r="I166" s="56">
        <f t="shared" si="5"/>
        <v>55129.34969</v>
      </c>
      <c r="J166" s="57">
        <f>SUM(C166:C200)</f>
        <v>457447</v>
      </c>
      <c r="K166" s="57">
        <f>SUM(I166:I200)</f>
        <v>152562.4075</v>
      </c>
      <c r="L166" s="58">
        <f>K166/J166</f>
        <v>0.3335083791</v>
      </c>
      <c r="M166" s="57">
        <v>26933.0</v>
      </c>
      <c r="N166" s="51">
        <f t="shared" si="6"/>
        <v>6138.728326</v>
      </c>
    </row>
    <row r="167">
      <c r="A167" s="50">
        <v>40102.0</v>
      </c>
      <c r="B167" s="50" t="s">
        <v>222</v>
      </c>
      <c r="C167" s="51">
        <v>22207.0</v>
      </c>
      <c r="D167" s="52">
        <v>22.5</v>
      </c>
      <c r="E167" s="50">
        <v>33.4</v>
      </c>
      <c r="F167" s="54">
        <f t="shared" si="2"/>
        <v>33.785</v>
      </c>
      <c r="G167" s="54">
        <f t="shared" si="20"/>
        <v>1.340425534</v>
      </c>
      <c r="H167" s="55">
        <f t="shared" si="4"/>
        <v>44.77021284</v>
      </c>
      <c r="I167" s="56">
        <f t="shared" si="5"/>
        <v>9942.121166</v>
      </c>
      <c r="J167" s="63"/>
      <c r="K167" s="63"/>
      <c r="L167" s="64"/>
      <c r="M167" s="57">
        <v>2573.0</v>
      </c>
      <c r="N167" s="51">
        <f t="shared" si="6"/>
        <v>1151.937576</v>
      </c>
    </row>
    <row r="168">
      <c r="A168" s="50">
        <v>40103.0</v>
      </c>
      <c r="B168" s="50" t="s">
        <v>223</v>
      </c>
      <c r="C168" s="51">
        <v>7629.0</v>
      </c>
      <c r="D168" s="52">
        <v>0.0</v>
      </c>
      <c r="E168" s="50">
        <v>33.4</v>
      </c>
      <c r="F168" s="54">
        <f t="shared" si="2"/>
        <v>38.6</v>
      </c>
      <c r="G168" s="54">
        <f t="shared" si="20"/>
        <v>1.531461466</v>
      </c>
      <c r="H168" s="55">
        <f t="shared" si="4"/>
        <v>51.15081295</v>
      </c>
      <c r="I168" s="56">
        <f t="shared" si="5"/>
        <v>3902.29552</v>
      </c>
      <c r="J168" s="63"/>
      <c r="K168" s="63"/>
      <c r="L168" s="64"/>
      <c r="M168" s="57">
        <v>786.0</v>
      </c>
      <c r="N168" s="51">
        <f t="shared" si="6"/>
        <v>402.0453898</v>
      </c>
    </row>
    <row r="169">
      <c r="A169" s="50">
        <v>40104.0</v>
      </c>
      <c r="B169" s="50" t="s">
        <v>224</v>
      </c>
      <c r="C169" s="51">
        <v>13258.0</v>
      </c>
      <c r="D169" s="52">
        <v>0.0</v>
      </c>
      <c r="E169" s="50">
        <v>33.4</v>
      </c>
      <c r="F169" s="54">
        <f t="shared" si="2"/>
        <v>38.6</v>
      </c>
      <c r="G169" s="54">
        <f t="shared" si="20"/>
        <v>1.531461466</v>
      </c>
      <c r="H169" s="55">
        <f t="shared" si="4"/>
        <v>51.15081295</v>
      </c>
      <c r="I169" s="56">
        <f t="shared" si="5"/>
        <v>6781.574781</v>
      </c>
      <c r="J169" s="63"/>
      <c r="K169" s="63"/>
      <c r="L169" s="64"/>
      <c r="M169" s="57">
        <v>1556.0</v>
      </c>
      <c r="N169" s="51">
        <f t="shared" si="6"/>
        <v>795.9066496</v>
      </c>
    </row>
    <row r="170">
      <c r="A170" s="50">
        <v>40201.0</v>
      </c>
      <c r="B170" s="50" t="s">
        <v>225</v>
      </c>
      <c r="C170" s="51">
        <v>27264.0</v>
      </c>
      <c r="D170" s="52">
        <v>39.4</v>
      </c>
      <c r="E170" s="50">
        <v>33.4</v>
      </c>
      <c r="F170" s="54">
        <f t="shared" si="2"/>
        <v>30.1684</v>
      </c>
      <c r="G170" s="54">
        <f t="shared" si="20"/>
        <v>1.196936323</v>
      </c>
      <c r="H170" s="55">
        <f t="shared" si="4"/>
        <v>39.9776732</v>
      </c>
      <c r="I170" s="56">
        <f t="shared" si="5"/>
        <v>10899.51282</v>
      </c>
      <c r="J170" s="63"/>
      <c r="K170" s="63"/>
      <c r="L170" s="64"/>
      <c r="M170" s="57">
        <v>3282.0</v>
      </c>
      <c r="N170" s="51">
        <f t="shared" si="6"/>
        <v>1312.067234</v>
      </c>
    </row>
    <row r="171">
      <c r="A171" s="50">
        <v>40202.0</v>
      </c>
      <c r="B171" s="50" t="s">
        <v>226</v>
      </c>
      <c r="C171" s="51">
        <v>3780.0</v>
      </c>
      <c r="D171" s="52">
        <v>0.0</v>
      </c>
      <c r="E171" s="50">
        <v>33.4</v>
      </c>
      <c r="F171" s="54">
        <f t="shared" si="2"/>
        <v>38.6</v>
      </c>
      <c r="G171" s="54">
        <f t="shared" si="20"/>
        <v>1.531461466</v>
      </c>
      <c r="H171" s="55">
        <f t="shared" si="4"/>
        <v>51.15081295</v>
      </c>
      <c r="I171" s="56">
        <f t="shared" si="5"/>
        <v>1933.50073</v>
      </c>
      <c r="J171" s="63"/>
      <c r="K171" s="63"/>
      <c r="L171" s="64"/>
      <c r="M171" s="57">
        <v>422.0</v>
      </c>
      <c r="N171" s="51">
        <f t="shared" si="6"/>
        <v>215.8564307</v>
      </c>
    </row>
    <row r="172">
      <c r="A172" s="50">
        <v>40301.0</v>
      </c>
      <c r="B172" s="50" t="s">
        <v>227</v>
      </c>
      <c r="C172" s="51">
        <v>8976.0</v>
      </c>
      <c r="D172" s="52">
        <v>0.0</v>
      </c>
      <c r="E172" s="50">
        <v>33.4</v>
      </c>
      <c r="F172" s="54">
        <f t="shared" si="2"/>
        <v>38.6</v>
      </c>
      <c r="G172" s="54">
        <f t="shared" si="20"/>
        <v>1.531461466</v>
      </c>
      <c r="H172" s="55">
        <f t="shared" si="4"/>
        <v>51.15081295</v>
      </c>
      <c r="I172" s="56">
        <f t="shared" si="5"/>
        <v>4591.296971</v>
      </c>
      <c r="J172" s="63"/>
      <c r="K172" s="63"/>
      <c r="L172" s="64"/>
      <c r="M172" s="57">
        <v>930.0</v>
      </c>
      <c r="N172" s="51">
        <f t="shared" si="6"/>
        <v>475.7025605</v>
      </c>
    </row>
    <row r="173">
      <c r="A173" s="50">
        <v>40302.0</v>
      </c>
      <c r="B173" s="50" t="s">
        <v>228</v>
      </c>
      <c r="C173" s="51">
        <v>1765.0</v>
      </c>
      <c r="D173" s="52">
        <v>0.0</v>
      </c>
      <c r="E173" s="50">
        <v>33.4</v>
      </c>
      <c r="F173" s="54">
        <f t="shared" si="2"/>
        <v>38.6</v>
      </c>
      <c r="G173" s="54">
        <f t="shared" si="20"/>
        <v>1.531461466</v>
      </c>
      <c r="H173" s="55">
        <f t="shared" si="4"/>
        <v>51.15081295</v>
      </c>
      <c r="I173" s="56">
        <f t="shared" si="5"/>
        <v>902.8118486</v>
      </c>
      <c r="J173" s="63"/>
      <c r="K173" s="63"/>
      <c r="L173" s="64"/>
      <c r="M173" s="57">
        <v>189.0</v>
      </c>
      <c r="N173" s="51">
        <f t="shared" si="6"/>
        <v>96.67503648</v>
      </c>
    </row>
    <row r="174">
      <c r="A174" s="50">
        <v>40401.0</v>
      </c>
      <c r="B174" s="50" t="s">
        <v>229</v>
      </c>
      <c r="C174" s="51">
        <v>4582.0</v>
      </c>
      <c r="D174" s="52">
        <v>0.0</v>
      </c>
      <c r="E174" s="50">
        <v>33.4</v>
      </c>
      <c r="F174" s="54">
        <f t="shared" si="2"/>
        <v>38.6</v>
      </c>
      <c r="G174" s="54">
        <f t="shared" si="20"/>
        <v>1.531461466</v>
      </c>
      <c r="H174" s="55">
        <f t="shared" si="4"/>
        <v>51.15081295</v>
      </c>
      <c r="I174" s="56">
        <f t="shared" si="5"/>
        <v>2343.73025</v>
      </c>
      <c r="J174" s="63"/>
      <c r="K174" s="63"/>
      <c r="L174" s="64"/>
      <c r="M174" s="57">
        <v>481.0</v>
      </c>
      <c r="N174" s="51">
        <f t="shared" si="6"/>
        <v>246.0354103</v>
      </c>
    </row>
    <row r="175">
      <c r="A175" s="50">
        <v>40402.0</v>
      </c>
      <c r="B175" s="50" t="s">
        <v>230</v>
      </c>
      <c r="C175" s="51">
        <v>4826.0</v>
      </c>
      <c r="D175" s="52">
        <v>0.0</v>
      </c>
      <c r="E175" s="50">
        <v>33.4</v>
      </c>
      <c r="F175" s="54">
        <f t="shared" si="2"/>
        <v>38.6</v>
      </c>
      <c r="G175" s="54">
        <f t="shared" si="20"/>
        <v>1.531461466</v>
      </c>
      <c r="H175" s="55">
        <f t="shared" si="4"/>
        <v>51.15081295</v>
      </c>
      <c r="I175" s="56">
        <f t="shared" si="5"/>
        <v>2468.538233</v>
      </c>
      <c r="J175" s="63"/>
      <c r="K175" s="63"/>
      <c r="L175" s="64"/>
      <c r="M175" s="57">
        <v>495.0</v>
      </c>
      <c r="N175" s="51">
        <f t="shared" si="6"/>
        <v>253.1965241</v>
      </c>
    </row>
    <row r="176">
      <c r="A176" s="50">
        <v>40501.0</v>
      </c>
      <c r="B176" s="50" t="s">
        <v>231</v>
      </c>
      <c r="C176" s="51">
        <v>1238.0</v>
      </c>
      <c r="D176" s="52">
        <v>0.0</v>
      </c>
      <c r="E176" s="50">
        <v>33.4</v>
      </c>
      <c r="F176" s="54">
        <f t="shared" si="2"/>
        <v>38.6</v>
      </c>
      <c r="G176" s="54">
        <f t="shared" si="20"/>
        <v>1.531461466</v>
      </c>
      <c r="H176" s="55">
        <f t="shared" si="4"/>
        <v>51.15081295</v>
      </c>
      <c r="I176" s="56">
        <f t="shared" si="5"/>
        <v>633.2470644</v>
      </c>
      <c r="J176" s="63"/>
      <c r="K176" s="63"/>
      <c r="L176" s="64"/>
      <c r="M176" s="57">
        <v>117.0</v>
      </c>
      <c r="N176" s="51">
        <f t="shared" si="6"/>
        <v>59.84645116</v>
      </c>
    </row>
    <row r="177">
      <c r="A177" s="50">
        <v>40502.0</v>
      </c>
      <c r="B177" s="50" t="s">
        <v>232</v>
      </c>
      <c r="C177" s="51">
        <v>3001.0</v>
      </c>
      <c r="D177" s="52">
        <v>0.0</v>
      </c>
      <c r="E177" s="50">
        <v>33.4</v>
      </c>
      <c r="F177" s="54">
        <f t="shared" si="2"/>
        <v>38.6</v>
      </c>
      <c r="G177" s="54">
        <f t="shared" si="20"/>
        <v>1.531461466</v>
      </c>
      <c r="H177" s="55">
        <f t="shared" si="4"/>
        <v>51.15081295</v>
      </c>
      <c r="I177" s="56">
        <f t="shared" si="5"/>
        <v>1535.035897</v>
      </c>
      <c r="J177" s="63"/>
      <c r="K177" s="63"/>
      <c r="L177" s="64"/>
      <c r="M177" s="57">
        <v>324.0</v>
      </c>
      <c r="N177" s="51">
        <f t="shared" si="6"/>
        <v>165.728634</v>
      </c>
    </row>
    <row r="178">
      <c r="A178" s="50">
        <v>40503.0</v>
      </c>
      <c r="B178" s="50" t="s">
        <v>233</v>
      </c>
      <c r="C178" s="51">
        <v>1568.0</v>
      </c>
      <c r="D178" s="52">
        <v>0.0</v>
      </c>
      <c r="E178" s="50">
        <v>33.4</v>
      </c>
      <c r="F178" s="54">
        <f t="shared" si="2"/>
        <v>38.6</v>
      </c>
      <c r="G178" s="54">
        <f t="shared" si="20"/>
        <v>1.531461466</v>
      </c>
      <c r="H178" s="55">
        <f t="shared" si="4"/>
        <v>51.15081295</v>
      </c>
      <c r="I178" s="56">
        <f t="shared" si="5"/>
        <v>802.0447471</v>
      </c>
      <c r="J178" s="63"/>
      <c r="K178" s="63"/>
      <c r="L178" s="64"/>
      <c r="M178" s="57">
        <v>200.0</v>
      </c>
      <c r="N178" s="51">
        <f t="shared" si="6"/>
        <v>102.3016259</v>
      </c>
    </row>
    <row r="179">
      <c r="A179" s="50">
        <v>40504.0</v>
      </c>
      <c r="B179" s="50" t="s">
        <v>234</v>
      </c>
      <c r="C179" s="51">
        <v>407.0</v>
      </c>
      <c r="D179" s="52">
        <v>0.0</v>
      </c>
      <c r="E179" s="50">
        <v>33.4</v>
      </c>
      <c r="F179" s="54">
        <f t="shared" si="2"/>
        <v>38.6</v>
      </c>
      <c r="G179" s="54">
        <f t="shared" si="20"/>
        <v>1.531461466</v>
      </c>
      <c r="H179" s="55">
        <f t="shared" si="4"/>
        <v>51.15081295</v>
      </c>
      <c r="I179" s="56">
        <f t="shared" si="5"/>
        <v>208.1838087</v>
      </c>
      <c r="J179" s="63"/>
      <c r="K179" s="63"/>
      <c r="L179" s="64"/>
      <c r="M179" s="57">
        <v>42.0</v>
      </c>
      <c r="N179" s="51">
        <f t="shared" si="6"/>
        <v>21.48334144</v>
      </c>
    </row>
    <row r="180">
      <c r="A180" s="50">
        <v>40505.0</v>
      </c>
      <c r="B180" s="50" t="s">
        <v>235</v>
      </c>
      <c r="C180" s="51">
        <v>2066.0</v>
      </c>
      <c r="D180" s="52">
        <v>0.0</v>
      </c>
      <c r="E180" s="50">
        <v>33.4</v>
      </c>
      <c r="F180" s="54">
        <f t="shared" si="2"/>
        <v>38.6</v>
      </c>
      <c r="G180" s="54">
        <f t="shared" si="20"/>
        <v>1.531461466</v>
      </c>
      <c r="H180" s="55">
        <f t="shared" si="4"/>
        <v>51.15081295</v>
      </c>
      <c r="I180" s="56">
        <f t="shared" si="5"/>
        <v>1056.775796</v>
      </c>
      <c r="J180" s="63"/>
      <c r="K180" s="63"/>
      <c r="L180" s="64"/>
      <c r="M180" s="57">
        <v>275.0</v>
      </c>
      <c r="N180" s="51">
        <f t="shared" si="6"/>
        <v>140.6647356</v>
      </c>
    </row>
    <row r="181">
      <c r="A181" s="50">
        <v>40601.0</v>
      </c>
      <c r="B181" s="50" t="s">
        <v>236</v>
      </c>
      <c r="C181" s="51">
        <v>7069.0</v>
      </c>
      <c r="D181" s="52">
        <v>30.7</v>
      </c>
      <c r="E181" s="50">
        <v>33.4</v>
      </c>
      <c r="F181" s="54">
        <f t="shared" si="2"/>
        <v>32.0302</v>
      </c>
      <c r="G181" s="54">
        <f t="shared" si="20"/>
        <v>1.27080355</v>
      </c>
      <c r="H181" s="55">
        <f t="shared" si="4"/>
        <v>42.44483858</v>
      </c>
      <c r="I181" s="56">
        <f t="shared" si="5"/>
        <v>3000.425639</v>
      </c>
      <c r="J181" s="63"/>
      <c r="K181" s="63"/>
      <c r="L181" s="64"/>
      <c r="M181" s="57">
        <v>685.0</v>
      </c>
      <c r="N181" s="51">
        <f t="shared" si="6"/>
        <v>290.7471443</v>
      </c>
    </row>
    <row r="182">
      <c r="A182" s="50">
        <v>40602.0</v>
      </c>
      <c r="B182" s="50" t="s">
        <v>237</v>
      </c>
      <c r="C182" s="51">
        <v>5778.0</v>
      </c>
      <c r="D182" s="52">
        <v>0.0</v>
      </c>
      <c r="E182" s="50">
        <v>33.4</v>
      </c>
      <c r="F182" s="54">
        <f t="shared" si="2"/>
        <v>38.6</v>
      </c>
      <c r="G182" s="54">
        <f t="shared" si="20"/>
        <v>1.531461466</v>
      </c>
      <c r="H182" s="55">
        <f t="shared" si="4"/>
        <v>51.15081295</v>
      </c>
      <c r="I182" s="56">
        <f t="shared" si="5"/>
        <v>2955.493972</v>
      </c>
      <c r="J182" s="63"/>
      <c r="K182" s="63"/>
      <c r="L182" s="64"/>
      <c r="M182" s="57">
        <v>664.0</v>
      </c>
      <c r="N182" s="51">
        <f t="shared" si="6"/>
        <v>339.641398</v>
      </c>
    </row>
    <row r="183">
      <c r="A183" s="50">
        <v>40603.0</v>
      </c>
      <c r="B183" s="50" t="s">
        <v>238</v>
      </c>
      <c r="C183" s="51">
        <v>3296.0</v>
      </c>
      <c r="D183" s="52">
        <v>0.0</v>
      </c>
      <c r="E183" s="50">
        <v>33.4</v>
      </c>
      <c r="F183" s="54">
        <f t="shared" si="2"/>
        <v>38.6</v>
      </c>
      <c r="G183" s="54">
        <f t="shared" si="20"/>
        <v>1.531461466</v>
      </c>
      <c r="H183" s="55">
        <f t="shared" si="4"/>
        <v>51.15081295</v>
      </c>
      <c r="I183" s="56">
        <f t="shared" si="5"/>
        <v>1685.930795</v>
      </c>
      <c r="J183" s="63"/>
      <c r="K183" s="63"/>
      <c r="L183" s="64"/>
      <c r="M183" s="57">
        <v>414.0</v>
      </c>
      <c r="N183" s="51">
        <f t="shared" si="6"/>
        <v>211.7643656</v>
      </c>
    </row>
    <row r="184">
      <c r="A184" s="50">
        <v>40701.0</v>
      </c>
      <c r="B184" s="50" t="s">
        <v>239</v>
      </c>
      <c r="C184" s="51">
        <v>22768.0</v>
      </c>
      <c r="D184" s="52">
        <v>80.7</v>
      </c>
      <c r="E184" s="50">
        <v>33.4</v>
      </c>
      <c r="F184" s="54">
        <f t="shared" si="2"/>
        <v>21.3302</v>
      </c>
      <c r="G184" s="54">
        <f t="shared" si="20"/>
        <v>0.8462792579</v>
      </c>
      <c r="H184" s="55">
        <f t="shared" si="4"/>
        <v>28.26572721</v>
      </c>
      <c r="I184" s="56">
        <f t="shared" si="5"/>
        <v>6435.540772</v>
      </c>
      <c r="J184" s="63"/>
      <c r="K184" s="63"/>
      <c r="L184" s="64"/>
      <c r="M184" s="57">
        <v>2925.0</v>
      </c>
      <c r="N184" s="51">
        <f t="shared" si="6"/>
        <v>826.772521</v>
      </c>
    </row>
    <row r="185">
      <c r="A185" s="50">
        <v>40702.0</v>
      </c>
      <c r="B185" s="50" t="s">
        <v>240</v>
      </c>
      <c r="C185" s="51">
        <v>4587.0</v>
      </c>
      <c r="D185" s="52">
        <v>55.5</v>
      </c>
      <c r="E185" s="50">
        <v>33.4</v>
      </c>
      <c r="F185" s="54">
        <f t="shared" si="2"/>
        <v>26.723</v>
      </c>
      <c r="G185" s="54">
        <f t="shared" si="20"/>
        <v>1.060239501</v>
      </c>
      <c r="H185" s="55">
        <f t="shared" si="4"/>
        <v>35.41199934</v>
      </c>
      <c r="I185" s="56">
        <f t="shared" si="5"/>
        <v>1624.34841</v>
      </c>
      <c r="J185" s="63"/>
      <c r="K185" s="63"/>
      <c r="L185" s="64"/>
      <c r="M185" s="57">
        <v>503.0</v>
      </c>
      <c r="N185" s="51">
        <f t="shared" si="6"/>
        <v>178.1223567</v>
      </c>
    </row>
    <row r="186">
      <c r="A186" s="50">
        <v>40801.0</v>
      </c>
      <c r="B186" s="50" t="s">
        <v>241</v>
      </c>
      <c r="C186" s="51">
        <v>10731.0</v>
      </c>
      <c r="D186" s="52">
        <v>0.0</v>
      </c>
      <c r="E186" s="50">
        <v>33.4</v>
      </c>
      <c r="F186" s="54">
        <f t="shared" si="2"/>
        <v>38.6</v>
      </c>
      <c r="G186" s="54">
        <f t="shared" si="20"/>
        <v>1.531461466</v>
      </c>
      <c r="H186" s="55">
        <f t="shared" si="4"/>
        <v>51.15081295</v>
      </c>
      <c r="I186" s="56">
        <f t="shared" si="5"/>
        <v>5488.993738</v>
      </c>
      <c r="J186" s="63"/>
      <c r="K186" s="63"/>
      <c r="L186" s="64"/>
      <c r="M186" s="57">
        <v>1244.0</v>
      </c>
      <c r="N186" s="51">
        <f t="shared" si="6"/>
        <v>636.3161131</v>
      </c>
    </row>
    <row r="187">
      <c r="A187" s="50">
        <v>40802.0</v>
      </c>
      <c r="B187" s="50" t="s">
        <v>242</v>
      </c>
      <c r="C187" s="51">
        <v>2974.0</v>
      </c>
      <c r="D187" s="52">
        <v>0.0</v>
      </c>
      <c r="E187" s="50">
        <v>33.4</v>
      </c>
      <c r="F187" s="54">
        <f t="shared" si="2"/>
        <v>38.6</v>
      </c>
      <c r="G187" s="54">
        <f t="shared" si="20"/>
        <v>1.531461466</v>
      </c>
      <c r="H187" s="55">
        <f t="shared" si="4"/>
        <v>51.15081295</v>
      </c>
      <c r="I187" s="56">
        <f t="shared" si="5"/>
        <v>1521.225177</v>
      </c>
      <c r="J187" s="63"/>
      <c r="K187" s="63"/>
      <c r="L187" s="64"/>
      <c r="M187" s="57">
        <v>386.0</v>
      </c>
      <c r="N187" s="51">
        <f t="shared" si="6"/>
        <v>197.442138</v>
      </c>
    </row>
    <row r="188">
      <c r="A188" s="50">
        <v>40901.0</v>
      </c>
      <c r="B188" s="50" t="s">
        <v>243</v>
      </c>
      <c r="C188" s="51">
        <v>6806.0</v>
      </c>
      <c r="D188" s="52">
        <v>0.0</v>
      </c>
      <c r="E188" s="50">
        <v>33.4</v>
      </c>
      <c r="F188" s="54">
        <f t="shared" si="2"/>
        <v>38.6</v>
      </c>
      <c r="G188" s="54">
        <f t="shared" si="20"/>
        <v>1.531461466</v>
      </c>
      <c r="H188" s="55">
        <f t="shared" si="4"/>
        <v>51.15081295</v>
      </c>
      <c r="I188" s="56">
        <f t="shared" si="5"/>
        <v>3481.32433</v>
      </c>
      <c r="J188" s="63"/>
      <c r="K188" s="63"/>
      <c r="L188" s="64"/>
      <c r="M188" s="57">
        <v>897.0</v>
      </c>
      <c r="N188" s="51">
        <f t="shared" si="6"/>
        <v>458.8227922</v>
      </c>
    </row>
    <row r="189">
      <c r="A189" s="50">
        <v>40902.0</v>
      </c>
      <c r="B189" s="50" t="s">
        <v>244</v>
      </c>
      <c r="C189" s="51">
        <v>799.0</v>
      </c>
      <c r="D189" s="52">
        <v>0.0</v>
      </c>
      <c r="E189" s="50">
        <v>33.4</v>
      </c>
      <c r="F189" s="54">
        <f t="shared" si="2"/>
        <v>38.6</v>
      </c>
      <c r="G189" s="54">
        <f t="shared" si="20"/>
        <v>1.531461466</v>
      </c>
      <c r="H189" s="55">
        <f t="shared" si="4"/>
        <v>51.15081295</v>
      </c>
      <c r="I189" s="56">
        <f t="shared" si="5"/>
        <v>408.6949955</v>
      </c>
      <c r="J189" s="63"/>
      <c r="K189" s="63"/>
      <c r="L189" s="64"/>
      <c r="M189" s="57">
        <v>104.0</v>
      </c>
      <c r="N189" s="51">
        <f t="shared" si="6"/>
        <v>53.19684547</v>
      </c>
    </row>
    <row r="190">
      <c r="A190" s="50">
        <v>40903.0</v>
      </c>
      <c r="B190" s="50" t="s">
        <v>245</v>
      </c>
      <c r="C190" s="51">
        <v>1934.0</v>
      </c>
      <c r="D190" s="52">
        <v>0.0</v>
      </c>
      <c r="E190" s="50">
        <v>33.4</v>
      </c>
      <c r="F190" s="54">
        <f t="shared" si="2"/>
        <v>38.6</v>
      </c>
      <c r="G190" s="54">
        <f t="shared" si="20"/>
        <v>1.531461466</v>
      </c>
      <c r="H190" s="55">
        <f t="shared" si="4"/>
        <v>51.15081295</v>
      </c>
      <c r="I190" s="56">
        <f t="shared" si="5"/>
        <v>989.2567225</v>
      </c>
      <c r="J190" s="63"/>
      <c r="K190" s="63"/>
      <c r="L190" s="64"/>
      <c r="M190" s="57">
        <v>277.0</v>
      </c>
      <c r="N190" s="51">
        <f t="shared" si="6"/>
        <v>141.6877519</v>
      </c>
    </row>
    <row r="191">
      <c r="A191" s="50">
        <v>41001.0</v>
      </c>
      <c r="B191" s="50" t="s">
        <v>246</v>
      </c>
      <c r="C191" s="51">
        <v>9281.0</v>
      </c>
      <c r="D191" s="52">
        <v>0.0</v>
      </c>
      <c r="E191" s="50">
        <v>33.4</v>
      </c>
      <c r="F191" s="54">
        <f t="shared" si="2"/>
        <v>38.6</v>
      </c>
      <c r="G191" s="54">
        <f t="shared" si="20"/>
        <v>1.531461466</v>
      </c>
      <c r="H191" s="55">
        <f t="shared" si="4"/>
        <v>51.15081295</v>
      </c>
      <c r="I191" s="56">
        <f t="shared" si="5"/>
        <v>4747.30695</v>
      </c>
      <c r="J191" s="63"/>
      <c r="K191" s="63"/>
      <c r="L191" s="64"/>
      <c r="M191" s="57">
        <v>924.0</v>
      </c>
      <c r="N191" s="51">
        <f t="shared" si="6"/>
        <v>472.6335117</v>
      </c>
    </row>
    <row r="192">
      <c r="A192" s="50">
        <v>41101.0</v>
      </c>
      <c r="B192" s="50" t="s">
        <v>247</v>
      </c>
      <c r="C192" s="51">
        <v>5324.0</v>
      </c>
      <c r="D192" s="52">
        <v>48.3</v>
      </c>
      <c r="E192" s="50">
        <v>33.4</v>
      </c>
      <c r="F192" s="54">
        <f t="shared" si="2"/>
        <v>28.2638</v>
      </c>
      <c r="G192" s="54">
        <f t="shared" si="20"/>
        <v>1.121370999</v>
      </c>
      <c r="H192" s="55">
        <f t="shared" si="4"/>
        <v>37.45379138</v>
      </c>
      <c r="I192" s="56">
        <f t="shared" si="5"/>
        <v>1994.039853</v>
      </c>
      <c r="J192" s="63"/>
      <c r="K192" s="63"/>
      <c r="L192" s="64"/>
      <c r="M192" s="57">
        <v>600.0</v>
      </c>
      <c r="N192" s="51">
        <f t="shared" si="6"/>
        <v>224.7227483</v>
      </c>
    </row>
    <row r="193">
      <c r="A193" s="50">
        <v>41201.0</v>
      </c>
      <c r="B193" s="50" t="s">
        <v>248</v>
      </c>
      <c r="C193" s="51">
        <v>4988.0</v>
      </c>
      <c r="D193" s="52">
        <v>0.0</v>
      </c>
      <c r="E193" s="50">
        <v>33.4</v>
      </c>
      <c r="F193" s="54">
        <f t="shared" si="2"/>
        <v>38.6</v>
      </c>
      <c r="G193" s="54">
        <f t="shared" si="20"/>
        <v>1.531461466</v>
      </c>
      <c r="H193" s="55">
        <f t="shared" si="4"/>
        <v>51.15081295</v>
      </c>
      <c r="I193" s="56">
        <f t="shared" si="5"/>
        <v>2551.40255</v>
      </c>
      <c r="J193" s="63"/>
      <c r="K193" s="63"/>
      <c r="L193" s="64"/>
      <c r="M193" s="57">
        <v>487.0</v>
      </c>
      <c r="N193" s="51">
        <f t="shared" si="6"/>
        <v>249.1044591</v>
      </c>
    </row>
    <row r="194">
      <c r="A194" s="50">
        <v>41202.0</v>
      </c>
      <c r="B194" s="50" t="s">
        <v>249</v>
      </c>
      <c r="C194" s="51">
        <v>1846.0</v>
      </c>
      <c r="D194" s="52">
        <v>0.0</v>
      </c>
      <c r="E194" s="50">
        <v>33.4</v>
      </c>
      <c r="F194" s="54">
        <f t="shared" si="2"/>
        <v>38.6</v>
      </c>
      <c r="G194" s="54">
        <f t="shared" si="20"/>
        <v>1.531461466</v>
      </c>
      <c r="H194" s="55">
        <f t="shared" si="4"/>
        <v>51.15081295</v>
      </c>
      <c r="I194" s="56">
        <f t="shared" si="5"/>
        <v>944.2440071</v>
      </c>
      <c r="J194" s="63"/>
      <c r="K194" s="63"/>
      <c r="L194" s="64"/>
      <c r="M194" s="57">
        <v>203.0</v>
      </c>
      <c r="N194" s="51">
        <f t="shared" si="6"/>
        <v>103.8361503</v>
      </c>
    </row>
    <row r="195">
      <c r="A195" s="50">
        <v>41301.0</v>
      </c>
      <c r="B195" s="50" t="s">
        <v>204</v>
      </c>
      <c r="C195" s="51">
        <v>5316.0</v>
      </c>
      <c r="D195" s="52">
        <v>0.0</v>
      </c>
      <c r="E195" s="50">
        <v>33.4</v>
      </c>
      <c r="F195" s="54">
        <f t="shared" si="2"/>
        <v>38.6</v>
      </c>
      <c r="G195" s="54">
        <f t="shared" si="20"/>
        <v>1.531461466</v>
      </c>
      <c r="H195" s="55">
        <f t="shared" si="4"/>
        <v>51.15081295</v>
      </c>
      <c r="I195" s="56">
        <f t="shared" si="5"/>
        <v>2719.177217</v>
      </c>
      <c r="J195" s="63"/>
      <c r="K195" s="63"/>
      <c r="L195" s="64"/>
      <c r="M195" s="57">
        <v>597.0</v>
      </c>
      <c r="N195" s="51">
        <f t="shared" si="6"/>
        <v>305.3703533</v>
      </c>
    </row>
    <row r="196">
      <c r="A196" s="50">
        <v>41401.0</v>
      </c>
      <c r="B196" s="50" t="s">
        <v>250</v>
      </c>
      <c r="C196" s="51">
        <v>12170.0</v>
      </c>
      <c r="D196" s="52">
        <v>31.7</v>
      </c>
      <c r="E196" s="50">
        <v>33.4</v>
      </c>
      <c r="F196" s="54">
        <f t="shared" si="2"/>
        <v>31.8162</v>
      </c>
      <c r="G196" s="54">
        <f t="shared" si="20"/>
        <v>1.262313064</v>
      </c>
      <c r="H196" s="55">
        <f t="shared" si="4"/>
        <v>42.16125635</v>
      </c>
      <c r="I196" s="56">
        <f t="shared" si="5"/>
        <v>5131.024898</v>
      </c>
      <c r="J196" s="63"/>
      <c r="K196" s="63"/>
      <c r="L196" s="64"/>
      <c r="M196" s="57">
        <v>1303.0</v>
      </c>
      <c r="N196" s="51">
        <f t="shared" si="6"/>
        <v>549.3611702</v>
      </c>
    </row>
    <row r="197">
      <c r="A197" s="50">
        <v>41501.0</v>
      </c>
      <c r="B197" s="50" t="s">
        <v>251</v>
      </c>
      <c r="C197" s="51">
        <v>466.0</v>
      </c>
      <c r="D197" s="52">
        <v>0.0</v>
      </c>
      <c r="E197" s="50">
        <v>33.4</v>
      </c>
      <c r="F197" s="54">
        <f t="shared" si="2"/>
        <v>38.6</v>
      </c>
      <c r="G197" s="54">
        <f t="shared" si="20"/>
        <v>1.531461466</v>
      </c>
      <c r="H197" s="55">
        <f t="shared" si="4"/>
        <v>51.15081295</v>
      </c>
      <c r="I197" s="56">
        <f t="shared" si="5"/>
        <v>238.3627884</v>
      </c>
      <c r="J197" s="63"/>
      <c r="K197" s="63"/>
      <c r="L197" s="64"/>
      <c r="M197" s="57">
        <v>62.0</v>
      </c>
      <c r="N197" s="51">
        <f t="shared" si="6"/>
        <v>31.71350403</v>
      </c>
    </row>
    <row r="198">
      <c r="A198" s="50">
        <v>41502.0</v>
      </c>
      <c r="B198" s="50" t="s">
        <v>252</v>
      </c>
      <c r="C198" s="51">
        <v>603.0</v>
      </c>
      <c r="D198" s="52">
        <v>0.0</v>
      </c>
      <c r="E198" s="50">
        <v>33.4</v>
      </c>
      <c r="F198" s="54">
        <f t="shared" si="2"/>
        <v>38.6</v>
      </c>
      <c r="G198" s="54">
        <f t="shared" si="20"/>
        <v>1.531461466</v>
      </c>
      <c r="H198" s="55">
        <f t="shared" si="4"/>
        <v>51.15081295</v>
      </c>
      <c r="I198" s="56">
        <f t="shared" si="5"/>
        <v>308.4394021</v>
      </c>
      <c r="J198" s="63"/>
      <c r="K198" s="63"/>
      <c r="L198" s="64"/>
      <c r="M198" s="57">
        <v>73.0</v>
      </c>
      <c r="N198" s="51">
        <f t="shared" si="6"/>
        <v>37.34009346</v>
      </c>
    </row>
    <row r="199">
      <c r="A199" s="50">
        <v>41503.0</v>
      </c>
      <c r="B199" s="50" t="s">
        <v>253</v>
      </c>
      <c r="C199" s="51">
        <v>663.0</v>
      </c>
      <c r="D199" s="52">
        <v>0.0</v>
      </c>
      <c r="E199" s="50">
        <v>33.4</v>
      </c>
      <c r="F199" s="54">
        <f t="shared" si="2"/>
        <v>38.6</v>
      </c>
      <c r="G199" s="54">
        <f t="shared" si="20"/>
        <v>1.531461466</v>
      </c>
      <c r="H199" s="55">
        <f t="shared" si="4"/>
        <v>51.15081295</v>
      </c>
      <c r="I199" s="56">
        <f t="shared" si="5"/>
        <v>339.1298899</v>
      </c>
      <c r="J199" s="63"/>
      <c r="K199" s="63"/>
      <c r="L199" s="64"/>
      <c r="M199" s="57">
        <v>92.0</v>
      </c>
      <c r="N199" s="51">
        <f t="shared" si="6"/>
        <v>47.05874792</v>
      </c>
    </row>
    <row r="200">
      <c r="A200" s="50">
        <v>41601.0</v>
      </c>
      <c r="B200" s="50" t="s">
        <v>254</v>
      </c>
      <c r="C200" s="51">
        <v>5607.0</v>
      </c>
      <c r="D200" s="52">
        <v>0.0</v>
      </c>
      <c r="E200" s="50">
        <v>33.4</v>
      </c>
      <c r="F200" s="54">
        <f t="shared" si="2"/>
        <v>38.6</v>
      </c>
      <c r="G200" s="54">
        <f t="shared" si="20"/>
        <v>1.531461466</v>
      </c>
      <c r="H200" s="55">
        <f t="shared" si="4"/>
        <v>51.15081295</v>
      </c>
      <c r="I200" s="56">
        <f t="shared" si="5"/>
        <v>2868.026082</v>
      </c>
      <c r="J200" s="50"/>
      <c r="K200" s="50"/>
      <c r="L200" s="50"/>
      <c r="M200" s="57">
        <v>499.0</v>
      </c>
      <c r="N200" s="51">
        <f t="shared" si="6"/>
        <v>255.2425566</v>
      </c>
    </row>
    <row r="201">
      <c r="A201" s="50">
        <v>50101.0</v>
      </c>
      <c r="B201" s="50" t="s">
        <v>59</v>
      </c>
      <c r="C201" s="51">
        <v>174486.0</v>
      </c>
      <c r="D201" s="52">
        <v>91.9</v>
      </c>
      <c r="E201" s="53">
        <v>43.7</v>
      </c>
      <c r="F201" s="54">
        <f t="shared" si="2"/>
        <v>18.9334</v>
      </c>
      <c r="G201" s="54">
        <f t="shared" ref="G201:G242" si="21">1.114*F201/F$345</f>
        <v>0.6221717468</v>
      </c>
      <c r="H201" s="55">
        <f t="shared" si="4"/>
        <v>27.18890534</v>
      </c>
      <c r="I201" s="56">
        <f t="shared" si="5"/>
        <v>47440.83337</v>
      </c>
      <c r="J201" s="57">
        <f>SUM(C201:C242)</f>
        <v>785064</v>
      </c>
      <c r="K201" s="57">
        <f>SUM(I201:I242)</f>
        <v>343187.5222</v>
      </c>
      <c r="L201" s="58">
        <f>K201/J201</f>
        <v>0.4371459171</v>
      </c>
      <c r="M201" s="57">
        <v>21392.0</v>
      </c>
      <c r="N201" s="51">
        <f t="shared" si="6"/>
        <v>5816.25063</v>
      </c>
    </row>
    <row r="202">
      <c r="A202" s="50">
        <v>50102.0</v>
      </c>
      <c r="B202" s="50" t="s">
        <v>255</v>
      </c>
      <c r="C202" s="51">
        <v>25234.0</v>
      </c>
      <c r="D202" s="52">
        <v>0.0</v>
      </c>
      <c r="E202" s="53">
        <v>43.7</v>
      </c>
      <c r="F202" s="54">
        <f t="shared" si="2"/>
        <v>38.6</v>
      </c>
      <c r="G202" s="54">
        <f t="shared" si="21"/>
        <v>1.268437229</v>
      </c>
      <c r="H202" s="55">
        <f t="shared" si="4"/>
        <v>55.4307069</v>
      </c>
      <c r="I202" s="56">
        <f t="shared" si="5"/>
        <v>13987.38458</v>
      </c>
      <c r="J202" s="63"/>
      <c r="K202" s="63"/>
      <c r="L202" s="64"/>
      <c r="M202" s="57">
        <v>3605.0</v>
      </c>
      <c r="N202" s="51">
        <f t="shared" si="6"/>
        <v>1998.276984</v>
      </c>
    </row>
    <row r="203">
      <c r="A203" s="50">
        <v>50103.0</v>
      </c>
      <c r="B203" s="50" t="s">
        <v>256</v>
      </c>
      <c r="C203" s="51">
        <v>8640.0</v>
      </c>
      <c r="D203" s="52">
        <v>0.0</v>
      </c>
      <c r="E203" s="53">
        <v>43.7</v>
      </c>
      <c r="F203" s="54">
        <f t="shared" si="2"/>
        <v>38.6</v>
      </c>
      <c r="G203" s="54">
        <f t="shared" si="21"/>
        <v>1.268437229</v>
      </c>
      <c r="H203" s="55">
        <f t="shared" si="4"/>
        <v>55.4307069</v>
      </c>
      <c r="I203" s="56">
        <f t="shared" si="5"/>
        <v>4789.213076</v>
      </c>
      <c r="J203" s="63"/>
      <c r="K203" s="63"/>
      <c r="L203" s="64"/>
      <c r="M203" s="57">
        <v>847.0</v>
      </c>
      <c r="N203" s="51">
        <f t="shared" si="6"/>
        <v>469.4980874</v>
      </c>
    </row>
    <row r="204">
      <c r="A204" s="50">
        <v>50104.0</v>
      </c>
      <c r="B204" s="50" t="s">
        <v>257</v>
      </c>
      <c r="C204" s="51">
        <v>2492.0</v>
      </c>
      <c r="D204" s="52">
        <v>0.0</v>
      </c>
      <c r="E204" s="53">
        <v>43.7</v>
      </c>
      <c r="F204" s="54">
        <f t="shared" si="2"/>
        <v>38.6</v>
      </c>
      <c r="G204" s="54">
        <f t="shared" si="21"/>
        <v>1.268437229</v>
      </c>
      <c r="H204" s="55">
        <f t="shared" si="4"/>
        <v>55.4307069</v>
      </c>
      <c r="I204" s="56">
        <f t="shared" si="5"/>
        <v>1381.333216</v>
      </c>
      <c r="J204" s="63"/>
      <c r="K204" s="63"/>
      <c r="L204" s="64"/>
      <c r="M204" s="57">
        <v>271.0</v>
      </c>
      <c r="N204" s="51">
        <f t="shared" si="6"/>
        <v>150.2172157</v>
      </c>
    </row>
    <row r="205">
      <c r="A205" s="50">
        <v>50201.0</v>
      </c>
      <c r="B205" s="50" t="s">
        <v>258</v>
      </c>
      <c r="C205" s="51">
        <v>20814.0</v>
      </c>
      <c r="D205" s="52">
        <v>36.8</v>
      </c>
      <c r="E205" s="53">
        <v>43.7</v>
      </c>
      <c r="F205" s="54">
        <f t="shared" si="2"/>
        <v>30.7248</v>
      </c>
      <c r="G205" s="54">
        <f t="shared" si="21"/>
        <v>1.009649745</v>
      </c>
      <c r="H205" s="55">
        <f t="shared" si="4"/>
        <v>44.12169387</v>
      </c>
      <c r="I205" s="56">
        <f t="shared" si="5"/>
        <v>9183.489362</v>
      </c>
      <c r="J205" s="63"/>
      <c r="K205" s="63"/>
      <c r="L205" s="64"/>
      <c r="M205" s="57">
        <v>2512.0</v>
      </c>
      <c r="N205" s="51">
        <f t="shared" si="6"/>
        <v>1108.33695</v>
      </c>
    </row>
    <row r="206">
      <c r="A206" s="50">
        <v>50202.0</v>
      </c>
      <c r="B206" s="50" t="s">
        <v>259</v>
      </c>
      <c r="C206" s="51">
        <v>15415.0</v>
      </c>
      <c r="D206" s="52">
        <v>14.9</v>
      </c>
      <c r="E206" s="53">
        <v>43.7</v>
      </c>
      <c r="F206" s="54">
        <f t="shared" si="2"/>
        <v>35.4114</v>
      </c>
      <c r="G206" s="54">
        <f t="shared" si="21"/>
        <v>1.163656427</v>
      </c>
      <c r="H206" s="55">
        <f t="shared" si="4"/>
        <v>50.85178586</v>
      </c>
      <c r="I206" s="56">
        <f t="shared" si="5"/>
        <v>7838.802791</v>
      </c>
      <c r="J206" s="63"/>
      <c r="K206" s="63"/>
      <c r="L206" s="64"/>
      <c r="M206" s="57">
        <v>2034.0</v>
      </c>
      <c r="N206" s="51">
        <f t="shared" si="6"/>
        <v>1034.325324</v>
      </c>
    </row>
    <row r="207">
      <c r="A207" s="50">
        <v>50203.0</v>
      </c>
      <c r="B207" s="50" t="s">
        <v>260</v>
      </c>
      <c r="C207" s="51">
        <v>39579.0</v>
      </c>
      <c r="D207" s="52">
        <v>83.2</v>
      </c>
      <c r="E207" s="53">
        <v>43.7</v>
      </c>
      <c r="F207" s="54">
        <f t="shared" si="2"/>
        <v>20.7952</v>
      </c>
      <c r="G207" s="54">
        <f t="shared" si="21"/>
        <v>0.6833524834</v>
      </c>
      <c r="H207" s="55">
        <f t="shared" si="4"/>
        <v>29.86250353</v>
      </c>
      <c r="I207" s="56">
        <f t="shared" si="5"/>
        <v>11819.28027</v>
      </c>
      <c r="J207" s="63"/>
      <c r="K207" s="63"/>
      <c r="L207" s="64"/>
      <c r="M207" s="57">
        <v>4818.0</v>
      </c>
      <c r="N207" s="51">
        <f t="shared" si="6"/>
        <v>1438.77542</v>
      </c>
    </row>
    <row r="208">
      <c r="A208" s="50">
        <v>50204.0</v>
      </c>
      <c r="B208" s="50" t="s">
        <v>261</v>
      </c>
      <c r="C208" s="51">
        <v>7458.0</v>
      </c>
      <c r="D208" s="52">
        <v>0.0</v>
      </c>
      <c r="E208" s="53">
        <v>43.7</v>
      </c>
      <c r="F208" s="54">
        <f t="shared" si="2"/>
        <v>38.6</v>
      </c>
      <c r="G208" s="54">
        <f t="shared" si="21"/>
        <v>1.268437229</v>
      </c>
      <c r="H208" s="55">
        <f t="shared" si="4"/>
        <v>55.4307069</v>
      </c>
      <c r="I208" s="56">
        <f t="shared" si="5"/>
        <v>4134.022121</v>
      </c>
      <c r="J208" s="63"/>
      <c r="K208" s="63"/>
      <c r="L208" s="64"/>
      <c r="M208" s="57">
        <v>1136.0</v>
      </c>
      <c r="N208" s="51">
        <f t="shared" si="6"/>
        <v>629.6928304</v>
      </c>
    </row>
    <row r="209">
      <c r="A209" s="50">
        <v>50301.0</v>
      </c>
      <c r="B209" s="50" t="s">
        <v>262</v>
      </c>
      <c r="C209" s="51">
        <v>34790.0</v>
      </c>
      <c r="D209" s="52">
        <v>13.0</v>
      </c>
      <c r="E209" s="53">
        <v>43.7</v>
      </c>
      <c r="F209" s="54">
        <f t="shared" si="2"/>
        <v>35.818</v>
      </c>
      <c r="G209" s="54">
        <f t="shared" si="21"/>
        <v>1.177017737</v>
      </c>
      <c r="H209" s="55">
        <f t="shared" si="4"/>
        <v>51.43567512</v>
      </c>
      <c r="I209" s="56">
        <f t="shared" si="5"/>
        <v>17894.47138</v>
      </c>
      <c r="J209" s="63"/>
      <c r="K209" s="63"/>
      <c r="L209" s="64"/>
      <c r="M209" s="57">
        <v>4273.0</v>
      </c>
      <c r="N209" s="51">
        <f t="shared" si="6"/>
        <v>2197.846398</v>
      </c>
    </row>
    <row r="210">
      <c r="A210" s="50">
        <v>50302.0</v>
      </c>
      <c r="B210" s="50" t="s">
        <v>263</v>
      </c>
      <c r="C210" s="51">
        <v>9813.0</v>
      </c>
      <c r="D210" s="52">
        <v>0.0</v>
      </c>
      <c r="E210" s="53">
        <v>43.7</v>
      </c>
      <c r="F210" s="54">
        <f t="shared" si="2"/>
        <v>38.6</v>
      </c>
      <c r="G210" s="54">
        <f t="shared" si="21"/>
        <v>1.268437229</v>
      </c>
      <c r="H210" s="55">
        <f t="shared" si="4"/>
        <v>55.4307069</v>
      </c>
      <c r="I210" s="56">
        <f t="shared" si="5"/>
        <v>5439.415268</v>
      </c>
      <c r="J210" s="63"/>
      <c r="K210" s="63"/>
      <c r="L210" s="64"/>
      <c r="M210" s="57">
        <v>1037.0</v>
      </c>
      <c r="N210" s="51">
        <f t="shared" si="6"/>
        <v>574.8164306</v>
      </c>
    </row>
    <row r="211">
      <c r="A211" s="50">
        <v>50303.0</v>
      </c>
      <c r="B211" s="50" t="s">
        <v>264</v>
      </c>
      <c r="C211" s="51">
        <v>12169.0</v>
      </c>
      <c r="D211" s="52">
        <v>0.0</v>
      </c>
      <c r="E211" s="53">
        <v>43.7</v>
      </c>
      <c r="F211" s="54">
        <f t="shared" si="2"/>
        <v>38.6</v>
      </c>
      <c r="G211" s="54">
        <f t="shared" si="21"/>
        <v>1.268437229</v>
      </c>
      <c r="H211" s="55">
        <f t="shared" si="4"/>
        <v>55.4307069</v>
      </c>
      <c r="I211" s="56">
        <f t="shared" si="5"/>
        <v>6745.362723</v>
      </c>
      <c r="J211" s="63"/>
      <c r="K211" s="63"/>
      <c r="L211" s="64"/>
      <c r="M211" s="57">
        <v>1615.0</v>
      </c>
      <c r="N211" s="51">
        <f t="shared" si="6"/>
        <v>895.2059164</v>
      </c>
    </row>
    <row r="212">
      <c r="A212" s="50">
        <v>50401.0</v>
      </c>
      <c r="B212" s="50" t="s">
        <v>265</v>
      </c>
      <c r="C212" s="51">
        <v>14735.0</v>
      </c>
      <c r="D212" s="52">
        <v>17.8</v>
      </c>
      <c r="E212" s="53">
        <v>43.7</v>
      </c>
      <c r="F212" s="54">
        <f t="shared" si="2"/>
        <v>34.7908</v>
      </c>
      <c r="G212" s="54">
        <f t="shared" si="21"/>
        <v>1.143262848</v>
      </c>
      <c r="H212" s="55">
        <f t="shared" si="4"/>
        <v>49.96058647</v>
      </c>
      <c r="I212" s="56">
        <f t="shared" si="5"/>
        <v>7361.692416</v>
      </c>
      <c r="J212" s="63"/>
      <c r="K212" s="63"/>
      <c r="L212" s="64"/>
      <c r="M212" s="57">
        <v>2046.0</v>
      </c>
      <c r="N212" s="51">
        <f t="shared" si="6"/>
        <v>1022.193599</v>
      </c>
    </row>
    <row r="213">
      <c r="A213" s="50">
        <v>50402.0</v>
      </c>
      <c r="B213" s="50" t="s">
        <v>266</v>
      </c>
      <c r="C213" s="51">
        <v>20967.0</v>
      </c>
      <c r="D213" s="52">
        <v>0.0</v>
      </c>
      <c r="E213" s="53">
        <v>43.7</v>
      </c>
      <c r="F213" s="54">
        <f t="shared" si="2"/>
        <v>38.6</v>
      </c>
      <c r="G213" s="54">
        <f t="shared" si="21"/>
        <v>1.268437229</v>
      </c>
      <c r="H213" s="55">
        <f t="shared" si="4"/>
        <v>55.4307069</v>
      </c>
      <c r="I213" s="56">
        <f t="shared" si="5"/>
        <v>11622.15632</v>
      </c>
      <c r="J213" s="63"/>
      <c r="K213" s="63"/>
      <c r="L213" s="64"/>
      <c r="M213" s="57">
        <v>2777.0</v>
      </c>
      <c r="N213" s="51">
        <f t="shared" si="6"/>
        <v>1539.310731</v>
      </c>
    </row>
    <row r="214">
      <c r="A214" s="50">
        <v>50403.0</v>
      </c>
      <c r="B214" s="50" t="s">
        <v>267</v>
      </c>
      <c r="C214" s="51">
        <v>24070.0</v>
      </c>
      <c r="D214" s="52">
        <v>0.0</v>
      </c>
      <c r="E214" s="53">
        <v>43.7</v>
      </c>
      <c r="F214" s="54">
        <f t="shared" si="2"/>
        <v>38.6</v>
      </c>
      <c r="G214" s="54">
        <f t="shared" si="21"/>
        <v>1.268437229</v>
      </c>
      <c r="H214" s="55">
        <f t="shared" si="4"/>
        <v>55.4307069</v>
      </c>
      <c r="I214" s="56">
        <f t="shared" si="5"/>
        <v>13342.17115</v>
      </c>
      <c r="J214" s="63"/>
      <c r="K214" s="63"/>
      <c r="L214" s="64"/>
      <c r="M214" s="57">
        <v>3025.0</v>
      </c>
      <c r="N214" s="51">
        <f t="shared" si="6"/>
        <v>1676.778884</v>
      </c>
    </row>
    <row r="215">
      <c r="A215" s="50">
        <v>50404.0</v>
      </c>
      <c r="B215" s="50" t="s">
        <v>268</v>
      </c>
      <c r="C215" s="51">
        <v>16990.0</v>
      </c>
      <c r="D215" s="52">
        <v>0.0</v>
      </c>
      <c r="E215" s="53">
        <v>43.7</v>
      </c>
      <c r="F215" s="54">
        <f t="shared" si="2"/>
        <v>38.6</v>
      </c>
      <c r="G215" s="54">
        <f t="shared" si="21"/>
        <v>1.268437229</v>
      </c>
      <c r="H215" s="55">
        <f t="shared" si="4"/>
        <v>55.4307069</v>
      </c>
      <c r="I215" s="56">
        <f t="shared" si="5"/>
        <v>9417.677102</v>
      </c>
      <c r="J215" s="63"/>
      <c r="K215" s="63"/>
      <c r="L215" s="64"/>
      <c r="M215" s="57">
        <v>2504.0</v>
      </c>
      <c r="N215" s="51">
        <f t="shared" si="6"/>
        <v>1387.984901</v>
      </c>
    </row>
    <row r="216">
      <c r="A216" s="50">
        <v>50405.0</v>
      </c>
      <c r="B216" s="50" t="s">
        <v>269</v>
      </c>
      <c r="C216" s="51">
        <v>18951.0</v>
      </c>
      <c r="D216" s="52">
        <v>0.0</v>
      </c>
      <c r="E216" s="53">
        <v>43.7</v>
      </c>
      <c r="F216" s="54">
        <f t="shared" si="2"/>
        <v>38.6</v>
      </c>
      <c r="G216" s="54">
        <f t="shared" si="21"/>
        <v>1.268437229</v>
      </c>
      <c r="H216" s="55">
        <f t="shared" si="4"/>
        <v>55.4307069</v>
      </c>
      <c r="I216" s="56">
        <f t="shared" si="5"/>
        <v>10504.67326</v>
      </c>
      <c r="J216" s="63"/>
      <c r="K216" s="63"/>
      <c r="L216" s="64"/>
      <c r="M216" s="57">
        <v>2756.0</v>
      </c>
      <c r="N216" s="51">
        <f t="shared" si="6"/>
        <v>1527.670282</v>
      </c>
    </row>
    <row r="217">
      <c r="A217" s="50">
        <v>50501.0</v>
      </c>
      <c r="B217" s="50" t="s">
        <v>270</v>
      </c>
      <c r="C217" s="51">
        <v>29149.0</v>
      </c>
      <c r="D217" s="52">
        <v>0.0</v>
      </c>
      <c r="E217" s="53">
        <v>43.7</v>
      </c>
      <c r="F217" s="54">
        <f t="shared" si="2"/>
        <v>38.6</v>
      </c>
      <c r="G217" s="54">
        <f t="shared" si="21"/>
        <v>1.268437229</v>
      </c>
      <c r="H217" s="55">
        <f t="shared" si="4"/>
        <v>55.4307069</v>
      </c>
      <c r="I217" s="56">
        <f t="shared" si="5"/>
        <v>16157.49675</v>
      </c>
      <c r="J217" s="63"/>
      <c r="K217" s="63"/>
      <c r="L217" s="64"/>
      <c r="M217" s="57">
        <v>3979.0</v>
      </c>
      <c r="N217" s="51">
        <f t="shared" si="6"/>
        <v>2205.587828</v>
      </c>
    </row>
    <row r="218">
      <c r="A218" s="50">
        <v>50502.0</v>
      </c>
      <c r="B218" s="50" t="s">
        <v>271</v>
      </c>
      <c r="C218" s="51">
        <v>10748.0</v>
      </c>
      <c r="D218" s="52">
        <v>0.0</v>
      </c>
      <c r="E218" s="53">
        <v>43.7</v>
      </c>
      <c r="F218" s="54">
        <f t="shared" si="2"/>
        <v>38.6</v>
      </c>
      <c r="G218" s="54">
        <f t="shared" si="21"/>
        <v>1.268437229</v>
      </c>
      <c r="H218" s="55">
        <f t="shared" si="4"/>
        <v>55.4307069</v>
      </c>
      <c r="I218" s="56">
        <f t="shared" si="5"/>
        <v>5957.692378</v>
      </c>
      <c r="J218" s="63"/>
      <c r="K218" s="63"/>
      <c r="L218" s="64"/>
      <c r="M218" s="57">
        <v>1459.0</v>
      </c>
      <c r="N218" s="51">
        <f t="shared" si="6"/>
        <v>808.7340137</v>
      </c>
    </row>
    <row r="219">
      <c r="A219" s="50">
        <v>50601.0</v>
      </c>
      <c r="B219" s="50" t="s">
        <v>272</v>
      </c>
      <c r="C219" s="51">
        <v>28973.0</v>
      </c>
      <c r="D219" s="52">
        <v>12.9</v>
      </c>
      <c r="E219" s="53">
        <v>43.7</v>
      </c>
      <c r="F219" s="54">
        <f t="shared" si="2"/>
        <v>35.8394</v>
      </c>
      <c r="G219" s="54">
        <f t="shared" si="21"/>
        <v>1.177720964</v>
      </c>
      <c r="H219" s="55">
        <f t="shared" si="4"/>
        <v>51.46640614</v>
      </c>
      <c r="I219" s="56">
        <f t="shared" si="5"/>
        <v>14911.36185</v>
      </c>
      <c r="J219" s="63"/>
      <c r="K219" s="63"/>
      <c r="L219" s="64"/>
      <c r="M219" s="57">
        <v>3212.0</v>
      </c>
      <c r="N219" s="51">
        <f t="shared" si="6"/>
        <v>1653.100965</v>
      </c>
    </row>
    <row r="220">
      <c r="A220" s="50">
        <v>50602.0</v>
      </c>
      <c r="B220" s="50" t="s">
        <v>273</v>
      </c>
      <c r="C220" s="51">
        <v>10883.0</v>
      </c>
      <c r="D220" s="52">
        <v>0.0</v>
      </c>
      <c r="E220" s="53">
        <v>43.7</v>
      </c>
      <c r="F220" s="54">
        <f t="shared" si="2"/>
        <v>38.6</v>
      </c>
      <c r="G220" s="54">
        <f t="shared" si="21"/>
        <v>1.268437229</v>
      </c>
      <c r="H220" s="55">
        <f t="shared" si="4"/>
        <v>55.4307069</v>
      </c>
      <c r="I220" s="56">
        <f t="shared" si="5"/>
        <v>6032.523832</v>
      </c>
      <c r="J220" s="63"/>
      <c r="K220" s="63"/>
      <c r="L220" s="64"/>
      <c r="M220" s="57">
        <v>1183.0</v>
      </c>
      <c r="N220" s="51">
        <f t="shared" si="6"/>
        <v>655.7452626</v>
      </c>
    </row>
    <row r="221">
      <c r="A221" s="50">
        <v>50701.0</v>
      </c>
      <c r="B221" s="50" t="s">
        <v>274</v>
      </c>
      <c r="C221" s="51">
        <v>19289.0</v>
      </c>
      <c r="D221" s="52">
        <v>7.8</v>
      </c>
      <c r="E221" s="53">
        <v>43.7</v>
      </c>
      <c r="F221" s="54">
        <f t="shared" si="2"/>
        <v>36.9308</v>
      </c>
      <c r="G221" s="54">
        <f t="shared" si="21"/>
        <v>1.213585534</v>
      </c>
      <c r="H221" s="55">
        <f t="shared" si="4"/>
        <v>53.03368783</v>
      </c>
      <c r="I221" s="56">
        <f t="shared" si="5"/>
        <v>10229.66805</v>
      </c>
      <c r="J221" s="63"/>
      <c r="K221" s="63"/>
      <c r="L221" s="64"/>
      <c r="M221" s="57">
        <v>2737.0</v>
      </c>
      <c r="N221" s="51">
        <f t="shared" si="6"/>
        <v>1451.532036</v>
      </c>
    </row>
    <row r="222">
      <c r="A222" s="50">
        <v>50702.0</v>
      </c>
      <c r="B222" s="50" t="s">
        <v>275</v>
      </c>
      <c r="C222" s="51">
        <v>8823.0</v>
      </c>
      <c r="D222" s="52">
        <v>0.0</v>
      </c>
      <c r="E222" s="53">
        <v>43.7</v>
      </c>
      <c r="F222" s="54">
        <f t="shared" si="2"/>
        <v>38.6</v>
      </c>
      <c r="G222" s="54">
        <f t="shared" si="21"/>
        <v>1.268437229</v>
      </c>
      <c r="H222" s="55">
        <f t="shared" si="4"/>
        <v>55.4307069</v>
      </c>
      <c r="I222" s="56">
        <f t="shared" si="5"/>
        <v>4890.65127</v>
      </c>
      <c r="J222" s="63"/>
      <c r="K222" s="63"/>
      <c r="L222" s="64"/>
      <c r="M222" s="57">
        <v>1166.0</v>
      </c>
      <c r="N222" s="51">
        <f t="shared" si="6"/>
        <v>646.3220425</v>
      </c>
    </row>
    <row r="223">
      <c r="A223" s="50">
        <v>50801.0</v>
      </c>
      <c r="B223" s="50" t="s">
        <v>276</v>
      </c>
      <c r="C223" s="51">
        <v>42459.0</v>
      </c>
      <c r="D223" s="52">
        <v>59.6</v>
      </c>
      <c r="E223" s="53">
        <v>43.7</v>
      </c>
      <c r="F223" s="54">
        <f t="shared" si="2"/>
        <v>25.8456</v>
      </c>
      <c r="G223" s="54">
        <f t="shared" si="21"/>
        <v>0.8493140218</v>
      </c>
      <c r="H223" s="55">
        <f t="shared" si="4"/>
        <v>37.11502275</v>
      </c>
      <c r="I223" s="56">
        <f t="shared" si="5"/>
        <v>15758.66751</v>
      </c>
      <c r="J223" s="63"/>
      <c r="K223" s="63"/>
      <c r="L223" s="64"/>
      <c r="M223" s="57">
        <v>4766.0</v>
      </c>
      <c r="N223" s="51">
        <f t="shared" si="6"/>
        <v>1768.901984</v>
      </c>
    </row>
    <row r="224">
      <c r="A224" s="50">
        <v>50802.0</v>
      </c>
      <c r="B224" s="50" t="s">
        <v>277</v>
      </c>
      <c r="C224" s="51">
        <v>10617.0</v>
      </c>
      <c r="D224" s="52">
        <v>42.6</v>
      </c>
      <c r="E224" s="53">
        <v>43.7</v>
      </c>
      <c r="F224" s="54">
        <f t="shared" si="2"/>
        <v>29.4836</v>
      </c>
      <c r="G224" s="54">
        <f t="shared" si="21"/>
        <v>0.9688625876</v>
      </c>
      <c r="H224" s="55">
        <f t="shared" si="4"/>
        <v>42.33929508</v>
      </c>
      <c r="I224" s="56">
        <f t="shared" si="5"/>
        <v>4495.162958</v>
      </c>
      <c r="J224" s="63"/>
      <c r="K224" s="63"/>
      <c r="L224" s="64"/>
      <c r="M224" s="57">
        <v>1418.0</v>
      </c>
      <c r="N224" s="51">
        <f t="shared" si="6"/>
        <v>600.3712042</v>
      </c>
    </row>
    <row r="225">
      <c r="A225" s="50">
        <v>50901.0</v>
      </c>
      <c r="B225" s="50" t="s">
        <v>278</v>
      </c>
      <c r="C225" s="51">
        <v>11778.0</v>
      </c>
      <c r="D225" s="52">
        <v>0.0</v>
      </c>
      <c r="E225" s="53">
        <v>43.7</v>
      </c>
      <c r="F225" s="54">
        <f t="shared" si="2"/>
        <v>38.6</v>
      </c>
      <c r="G225" s="54">
        <f t="shared" si="21"/>
        <v>1.268437229</v>
      </c>
      <c r="H225" s="55">
        <f t="shared" si="4"/>
        <v>55.4307069</v>
      </c>
      <c r="I225" s="56">
        <f t="shared" si="5"/>
        <v>6528.628659</v>
      </c>
      <c r="J225" s="63"/>
      <c r="K225" s="63"/>
      <c r="L225" s="64"/>
      <c r="M225" s="57">
        <v>1382.0</v>
      </c>
      <c r="N225" s="51">
        <f t="shared" si="6"/>
        <v>766.0523694</v>
      </c>
    </row>
    <row r="226">
      <c r="A226" s="50">
        <v>50902.0</v>
      </c>
      <c r="B226" s="50" t="s">
        <v>279</v>
      </c>
      <c r="C226" s="51">
        <v>971.0</v>
      </c>
      <c r="D226" s="52">
        <v>0.0</v>
      </c>
      <c r="E226" s="53">
        <v>43.7</v>
      </c>
      <c r="F226" s="54">
        <f t="shared" si="2"/>
        <v>38.6</v>
      </c>
      <c r="G226" s="54">
        <f t="shared" si="21"/>
        <v>1.268437229</v>
      </c>
      <c r="H226" s="55">
        <f t="shared" si="4"/>
        <v>55.4307069</v>
      </c>
      <c r="I226" s="56">
        <f t="shared" si="5"/>
        <v>538.232164</v>
      </c>
      <c r="J226" s="63"/>
      <c r="K226" s="63"/>
      <c r="L226" s="64"/>
      <c r="M226" s="57">
        <v>87.0</v>
      </c>
      <c r="N226" s="51">
        <f t="shared" si="6"/>
        <v>48.224715</v>
      </c>
    </row>
    <row r="227">
      <c r="A227" s="50">
        <v>51001.0</v>
      </c>
      <c r="B227" s="50" t="s">
        <v>280</v>
      </c>
      <c r="C227" s="51">
        <v>3063.0</v>
      </c>
      <c r="D227" s="52">
        <v>0.0</v>
      </c>
      <c r="E227" s="53">
        <v>43.7</v>
      </c>
      <c r="F227" s="54">
        <f t="shared" si="2"/>
        <v>38.6</v>
      </c>
      <c r="G227" s="54">
        <f t="shared" si="21"/>
        <v>1.268437229</v>
      </c>
      <c r="H227" s="55">
        <f t="shared" si="4"/>
        <v>55.4307069</v>
      </c>
      <c r="I227" s="56">
        <f t="shared" si="5"/>
        <v>1697.842552</v>
      </c>
      <c r="J227" s="63"/>
      <c r="K227" s="63"/>
      <c r="L227" s="64"/>
      <c r="M227" s="57">
        <v>425.0</v>
      </c>
      <c r="N227" s="51">
        <f t="shared" si="6"/>
        <v>235.5805043</v>
      </c>
    </row>
    <row r="228">
      <c r="A228" s="50">
        <v>51002.0</v>
      </c>
      <c r="B228" s="50" t="s">
        <v>281</v>
      </c>
      <c r="C228" s="51">
        <v>1011.0</v>
      </c>
      <c r="D228" s="52">
        <v>0.0</v>
      </c>
      <c r="E228" s="53">
        <v>43.7</v>
      </c>
      <c r="F228" s="54">
        <f t="shared" si="2"/>
        <v>38.6</v>
      </c>
      <c r="G228" s="54">
        <f t="shared" si="21"/>
        <v>1.268437229</v>
      </c>
      <c r="H228" s="55">
        <f t="shared" si="4"/>
        <v>55.4307069</v>
      </c>
      <c r="I228" s="56">
        <f t="shared" si="5"/>
        <v>560.4044468</v>
      </c>
      <c r="J228" s="63"/>
      <c r="K228" s="63"/>
      <c r="L228" s="64"/>
      <c r="M228" s="57">
        <v>136.0</v>
      </c>
      <c r="N228" s="51">
        <f t="shared" si="6"/>
        <v>75.38576138</v>
      </c>
    </row>
    <row r="229">
      <c r="A229" s="50">
        <v>51003.0</v>
      </c>
      <c r="B229" s="50" t="s">
        <v>282</v>
      </c>
      <c r="C229" s="51">
        <v>2059.0</v>
      </c>
      <c r="D229" s="52">
        <v>0.0</v>
      </c>
      <c r="E229" s="53">
        <v>43.7</v>
      </c>
      <c r="F229" s="54">
        <f t="shared" si="2"/>
        <v>38.6</v>
      </c>
      <c r="G229" s="54">
        <f t="shared" si="21"/>
        <v>1.268437229</v>
      </c>
      <c r="H229" s="55">
        <f t="shared" si="4"/>
        <v>55.4307069</v>
      </c>
      <c r="I229" s="56">
        <f t="shared" si="5"/>
        <v>1141.318255</v>
      </c>
      <c r="J229" s="63"/>
      <c r="K229" s="63"/>
      <c r="L229" s="64"/>
      <c r="M229" s="57">
        <v>275.0</v>
      </c>
      <c r="N229" s="51">
        <f t="shared" si="6"/>
        <v>152.434444</v>
      </c>
    </row>
    <row r="230">
      <c r="A230" s="50">
        <v>51101.0</v>
      </c>
      <c r="B230" s="50" t="s">
        <v>283</v>
      </c>
      <c r="C230" s="51">
        <v>22533.0</v>
      </c>
      <c r="D230" s="52">
        <v>0.0</v>
      </c>
      <c r="E230" s="53">
        <v>43.7</v>
      </c>
      <c r="F230" s="54">
        <f t="shared" si="2"/>
        <v>38.6</v>
      </c>
      <c r="G230" s="54">
        <f t="shared" si="21"/>
        <v>1.268437229</v>
      </c>
      <c r="H230" s="55">
        <f t="shared" si="4"/>
        <v>55.4307069</v>
      </c>
      <c r="I230" s="56">
        <f t="shared" si="5"/>
        <v>12490.20119</v>
      </c>
      <c r="J230" s="63"/>
      <c r="K230" s="63"/>
      <c r="L230" s="64"/>
      <c r="M230" s="57">
        <v>2538.0</v>
      </c>
      <c r="N230" s="51">
        <f t="shared" si="6"/>
        <v>1406.831341</v>
      </c>
    </row>
    <row r="231">
      <c r="A231" s="50">
        <v>51102.0</v>
      </c>
      <c r="B231" s="50" t="s">
        <v>284</v>
      </c>
      <c r="C231" s="51">
        <v>11648.0</v>
      </c>
      <c r="D231" s="52">
        <v>13.9</v>
      </c>
      <c r="E231" s="53">
        <v>43.7</v>
      </c>
      <c r="F231" s="54">
        <f t="shared" si="2"/>
        <v>35.6254</v>
      </c>
      <c r="G231" s="54">
        <f t="shared" si="21"/>
        <v>1.170688696</v>
      </c>
      <c r="H231" s="55">
        <f t="shared" si="4"/>
        <v>51.159096</v>
      </c>
      <c r="I231" s="56">
        <f t="shared" si="5"/>
        <v>5959.011502</v>
      </c>
      <c r="J231" s="63"/>
      <c r="K231" s="63"/>
      <c r="L231" s="64"/>
      <c r="M231" s="57">
        <v>1209.0</v>
      </c>
      <c r="N231" s="51">
        <f t="shared" si="6"/>
        <v>618.5134706</v>
      </c>
    </row>
    <row r="232">
      <c r="A232" s="50">
        <v>51103.0</v>
      </c>
      <c r="B232" s="50" t="s">
        <v>285</v>
      </c>
      <c r="C232" s="51">
        <v>16203.0</v>
      </c>
      <c r="D232" s="52">
        <v>0.0</v>
      </c>
      <c r="E232" s="53">
        <v>43.7</v>
      </c>
      <c r="F232" s="54">
        <f t="shared" si="2"/>
        <v>38.6</v>
      </c>
      <c r="G232" s="54">
        <f t="shared" si="21"/>
        <v>1.268437229</v>
      </c>
      <c r="H232" s="55">
        <f t="shared" si="4"/>
        <v>55.4307069</v>
      </c>
      <c r="I232" s="56">
        <f t="shared" si="5"/>
        <v>8981.437439</v>
      </c>
      <c r="J232" s="63"/>
      <c r="K232" s="63"/>
      <c r="L232" s="64"/>
      <c r="M232" s="57">
        <v>2413.0</v>
      </c>
      <c r="N232" s="51">
        <f t="shared" si="6"/>
        <v>1337.542957</v>
      </c>
    </row>
    <row r="233">
      <c r="A233" s="50">
        <v>51201.0</v>
      </c>
      <c r="B233" s="50" t="s">
        <v>286</v>
      </c>
      <c r="C233" s="51">
        <v>25684.0</v>
      </c>
      <c r="D233" s="52">
        <v>59.4</v>
      </c>
      <c r="E233" s="53">
        <v>43.7</v>
      </c>
      <c r="F233" s="54">
        <f t="shared" si="2"/>
        <v>25.8884</v>
      </c>
      <c r="G233" s="54">
        <f t="shared" si="21"/>
        <v>0.8507204755</v>
      </c>
      <c r="H233" s="55">
        <f t="shared" si="4"/>
        <v>37.17648478</v>
      </c>
      <c r="I233" s="56">
        <f t="shared" si="5"/>
        <v>9548.408351</v>
      </c>
      <c r="J233" s="63"/>
      <c r="K233" s="63"/>
      <c r="L233" s="64"/>
      <c r="M233" s="57">
        <v>3136.0</v>
      </c>
      <c r="N233" s="51">
        <f t="shared" si="6"/>
        <v>1165.854563</v>
      </c>
    </row>
    <row r="234">
      <c r="A234" s="50">
        <v>51202.0</v>
      </c>
      <c r="B234" s="50" t="s">
        <v>287</v>
      </c>
      <c r="C234" s="51">
        <v>8533.0</v>
      </c>
      <c r="D234" s="52">
        <v>0.0</v>
      </c>
      <c r="E234" s="53">
        <v>43.7</v>
      </c>
      <c r="F234" s="54">
        <f t="shared" si="2"/>
        <v>38.6</v>
      </c>
      <c r="G234" s="54">
        <f t="shared" si="21"/>
        <v>1.268437229</v>
      </c>
      <c r="H234" s="55">
        <f t="shared" si="4"/>
        <v>55.4307069</v>
      </c>
      <c r="I234" s="56">
        <f t="shared" si="5"/>
        <v>4729.90222</v>
      </c>
      <c r="J234" s="63"/>
      <c r="K234" s="63"/>
      <c r="L234" s="64"/>
      <c r="M234" s="57">
        <v>978.0</v>
      </c>
      <c r="N234" s="51">
        <f t="shared" si="6"/>
        <v>542.1123135</v>
      </c>
    </row>
    <row r="235">
      <c r="A235" s="50">
        <v>51203.0</v>
      </c>
      <c r="B235" s="50" t="s">
        <v>288</v>
      </c>
      <c r="C235" s="51">
        <v>9082.0</v>
      </c>
      <c r="D235" s="52">
        <v>47.5</v>
      </c>
      <c r="E235" s="53">
        <v>43.7</v>
      </c>
      <c r="F235" s="54">
        <f t="shared" si="2"/>
        <v>28.435</v>
      </c>
      <c r="G235" s="54">
        <f t="shared" si="21"/>
        <v>0.9344044716</v>
      </c>
      <c r="H235" s="55">
        <f t="shared" si="4"/>
        <v>40.83347541</v>
      </c>
      <c r="I235" s="56">
        <f t="shared" si="5"/>
        <v>3708.496236</v>
      </c>
      <c r="J235" s="63"/>
      <c r="K235" s="63"/>
      <c r="L235" s="64"/>
      <c r="M235" s="57">
        <v>1380.0</v>
      </c>
      <c r="N235" s="51">
        <f t="shared" si="6"/>
        <v>563.5019606</v>
      </c>
    </row>
    <row r="236">
      <c r="A236" s="50">
        <v>51204.0</v>
      </c>
      <c r="B236" s="50" t="s">
        <v>289</v>
      </c>
      <c r="C236" s="51">
        <v>5520.0</v>
      </c>
      <c r="D236" s="52">
        <v>0.0</v>
      </c>
      <c r="E236" s="53">
        <v>43.7</v>
      </c>
      <c r="F236" s="54">
        <f t="shared" si="2"/>
        <v>38.6</v>
      </c>
      <c r="G236" s="54">
        <f t="shared" si="21"/>
        <v>1.268437229</v>
      </c>
      <c r="H236" s="55">
        <f t="shared" si="4"/>
        <v>55.4307069</v>
      </c>
      <c r="I236" s="56">
        <f t="shared" si="5"/>
        <v>3059.775021</v>
      </c>
      <c r="J236" s="63"/>
      <c r="K236" s="63"/>
      <c r="L236" s="64"/>
      <c r="M236" s="57">
        <v>715.0</v>
      </c>
      <c r="N236" s="51">
        <f t="shared" si="6"/>
        <v>396.3295543</v>
      </c>
    </row>
    <row r="237">
      <c r="A237" s="50">
        <v>51301.0</v>
      </c>
      <c r="B237" s="50" t="s">
        <v>290</v>
      </c>
      <c r="C237" s="51">
        <v>4421.0</v>
      </c>
      <c r="D237" s="52">
        <v>0.0</v>
      </c>
      <c r="E237" s="53">
        <v>43.7</v>
      </c>
      <c r="F237" s="54">
        <f t="shared" si="2"/>
        <v>38.6</v>
      </c>
      <c r="G237" s="54">
        <f t="shared" si="21"/>
        <v>1.268437229</v>
      </c>
      <c r="H237" s="55">
        <f t="shared" si="4"/>
        <v>55.4307069</v>
      </c>
      <c r="I237" s="56">
        <f t="shared" si="5"/>
        <v>2450.591552</v>
      </c>
      <c r="J237" s="63"/>
      <c r="K237" s="63"/>
      <c r="L237" s="64"/>
      <c r="M237" s="57">
        <v>642.0</v>
      </c>
      <c r="N237" s="51">
        <f t="shared" si="6"/>
        <v>355.8651383</v>
      </c>
    </row>
    <row r="238">
      <c r="A238" s="50">
        <v>51302.0</v>
      </c>
      <c r="B238" s="50" t="s">
        <v>291</v>
      </c>
      <c r="C238" s="51">
        <v>6017.0</v>
      </c>
      <c r="D238" s="52">
        <v>0.0</v>
      </c>
      <c r="E238" s="53">
        <v>43.7</v>
      </c>
      <c r="F238" s="54">
        <f t="shared" si="2"/>
        <v>38.6</v>
      </c>
      <c r="G238" s="54">
        <f t="shared" si="21"/>
        <v>1.268437229</v>
      </c>
      <c r="H238" s="55">
        <f t="shared" si="4"/>
        <v>55.4307069</v>
      </c>
      <c r="I238" s="56">
        <f t="shared" si="5"/>
        <v>3335.265634</v>
      </c>
      <c r="J238" s="63"/>
      <c r="K238" s="63"/>
      <c r="L238" s="64"/>
      <c r="M238" s="57">
        <v>830.0</v>
      </c>
      <c r="N238" s="51">
        <f t="shared" si="6"/>
        <v>460.0748673</v>
      </c>
    </row>
    <row r="239">
      <c r="A239" s="50">
        <v>51401.0</v>
      </c>
      <c r="B239" s="50" t="s">
        <v>292</v>
      </c>
      <c r="C239" s="51">
        <v>3696.0</v>
      </c>
      <c r="D239" s="52">
        <v>0.0</v>
      </c>
      <c r="E239" s="53">
        <v>43.7</v>
      </c>
      <c r="F239" s="54">
        <f t="shared" si="2"/>
        <v>38.6</v>
      </c>
      <c r="G239" s="54">
        <f t="shared" si="21"/>
        <v>1.268437229</v>
      </c>
      <c r="H239" s="55">
        <f t="shared" si="4"/>
        <v>55.4307069</v>
      </c>
      <c r="I239" s="56">
        <f t="shared" si="5"/>
        <v>2048.718927</v>
      </c>
      <c r="J239" s="63"/>
      <c r="K239" s="63"/>
      <c r="L239" s="64"/>
      <c r="M239" s="57">
        <v>379.0</v>
      </c>
      <c r="N239" s="51">
        <f t="shared" si="6"/>
        <v>210.0823792</v>
      </c>
    </row>
    <row r="240">
      <c r="A240" s="50">
        <v>51402.0</v>
      </c>
      <c r="B240" s="50" t="s">
        <v>293</v>
      </c>
      <c r="C240" s="51">
        <v>1869.0</v>
      </c>
      <c r="D240" s="52">
        <v>0.0</v>
      </c>
      <c r="E240" s="53">
        <v>43.7</v>
      </c>
      <c r="F240" s="54">
        <f t="shared" si="2"/>
        <v>38.6</v>
      </c>
      <c r="G240" s="54">
        <f t="shared" si="21"/>
        <v>1.268437229</v>
      </c>
      <c r="H240" s="55">
        <f t="shared" si="4"/>
        <v>55.4307069</v>
      </c>
      <c r="I240" s="56">
        <f t="shared" si="5"/>
        <v>1035.999912</v>
      </c>
      <c r="J240" s="50"/>
      <c r="K240" s="50"/>
      <c r="L240" s="50"/>
      <c r="M240" s="57">
        <v>201.0</v>
      </c>
      <c r="N240" s="51">
        <f t="shared" si="6"/>
        <v>111.4157209</v>
      </c>
    </row>
    <row r="241">
      <c r="A241" s="50">
        <v>51501.0</v>
      </c>
      <c r="B241" s="50" t="s">
        <v>294</v>
      </c>
      <c r="C241" s="51">
        <v>41764.0</v>
      </c>
      <c r="D241" s="52">
        <v>78.2</v>
      </c>
      <c r="E241" s="53">
        <v>43.7</v>
      </c>
      <c r="F241" s="54">
        <f t="shared" si="2"/>
        <v>21.8652</v>
      </c>
      <c r="G241" s="54">
        <f t="shared" si="21"/>
        <v>0.7185138263</v>
      </c>
      <c r="H241" s="55">
        <f t="shared" si="4"/>
        <v>31.39905421</v>
      </c>
      <c r="I241" s="56">
        <f t="shared" si="5"/>
        <v>13113.501</v>
      </c>
      <c r="J241" s="63"/>
      <c r="K241" s="63"/>
      <c r="L241" s="64"/>
      <c r="M241" s="57">
        <v>4807.0</v>
      </c>
      <c r="N241" s="51">
        <f t="shared" si="6"/>
        <v>1509.352536</v>
      </c>
    </row>
    <row r="242">
      <c r="A242" s="50">
        <v>51601.0</v>
      </c>
      <c r="B242" s="50" t="s">
        <v>295</v>
      </c>
      <c r="C242" s="51">
        <v>1668.0</v>
      </c>
      <c r="D242" s="52">
        <v>0.0</v>
      </c>
      <c r="E242" s="53">
        <v>43.7</v>
      </c>
      <c r="F242" s="54">
        <f t="shared" si="2"/>
        <v>38.6</v>
      </c>
      <c r="G242" s="54">
        <f t="shared" si="21"/>
        <v>1.268437229</v>
      </c>
      <c r="H242" s="55">
        <f t="shared" si="4"/>
        <v>55.4307069</v>
      </c>
      <c r="I242" s="56">
        <f t="shared" si="5"/>
        <v>924.5841911</v>
      </c>
      <c r="J242" s="63"/>
      <c r="K242" s="63"/>
      <c r="L242" s="64"/>
      <c r="M242" s="57">
        <v>175.0</v>
      </c>
      <c r="N242" s="51">
        <f t="shared" si="6"/>
        <v>97.00373708</v>
      </c>
    </row>
    <row r="243">
      <c r="A243" s="50">
        <v>60101.0</v>
      </c>
      <c r="B243" s="50" t="s">
        <v>61</v>
      </c>
      <c r="C243" s="51">
        <v>186496.0</v>
      </c>
      <c r="D243" s="52">
        <v>87.8</v>
      </c>
      <c r="E243" s="53">
        <v>14.9</v>
      </c>
      <c r="F243" s="54">
        <f t="shared" si="2"/>
        <v>19.8108</v>
      </c>
      <c r="G243" s="54">
        <f t="shared" ref="G243:G253" si="22">1.37*F243/F$345</f>
        <v>0.8006064145</v>
      </c>
      <c r="H243" s="55">
        <f t="shared" si="4"/>
        <v>11.92903558</v>
      </c>
      <c r="I243" s="56">
        <f t="shared" si="5"/>
        <v>22247.17419</v>
      </c>
      <c r="J243" s="57">
        <f>SUM(C243:C253)</f>
        <v>449959</v>
      </c>
      <c r="K243" s="57">
        <f>SUM(I243:I253)</f>
        <v>67237.41755</v>
      </c>
      <c r="L243" s="58">
        <f>K243/J243</f>
        <v>0.1494300982</v>
      </c>
      <c r="M243" s="57">
        <v>18847.0</v>
      </c>
      <c r="N243" s="51">
        <f t="shared" si="6"/>
        <v>2248.265335</v>
      </c>
    </row>
    <row r="244">
      <c r="A244" s="50">
        <v>60201.0</v>
      </c>
      <c r="B244" s="50" t="s">
        <v>296</v>
      </c>
      <c r="C244" s="51">
        <v>18892.0</v>
      </c>
      <c r="D244" s="52">
        <v>0.0</v>
      </c>
      <c r="E244" s="53">
        <v>14.9</v>
      </c>
      <c r="F244" s="54">
        <f t="shared" si="2"/>
        <v>38.6</v>
      </c>
      <c r="G244" s="54">
        <f t="shared" si="22"/>
        <v>1.559927292</v>
      </c>
      <c r="H244" s="55">
        <f t="shared" si="4"/>
        <v>23.24291665</v>
      </c>
      <c r="I244" s="56">
        <f t="shared" si="5"/>
        <v>4391.051814</v>
      </c>
      <c r="J244" s="63"/>
      <c r="K244" s="63"/>
      <c r="L244" s="64"/>
      <c r="M244" s="57">
        <v>2237.0</v>
      </c>
      <c r="N244" s="51">
        <f t="shared" si="6"/>
        <v>519.9440455</v>
      </c>
    </row>
    <row r="245">
      <c r="A245" s="50">
        <v>60202.0</v>
      </c>
      <c r="B245" s="50" t="s">
        <v>297</v>
      </c>
      <c r="C245" s="51">
        <v>34070.0</v>
      </c>
      <c r="D245" s="52">
        <v>83.0</v>
      </c>
      <c r="E245" s="53">
        <v>14.9</v>
      </c>
      <c r="F245" s="54">
        <f t="shared" si="2"/>
        <v>20.838</v>
      </c>
      <c r="G245" s="54">
        <f t="shared" si="22"/>
        <v>0.842118262</v>
      </c>
      <c r="H245" s="55">
        <f t="shared" si="4"/>
        <v>12.5475621</v>
      </c>
      <c r="I245" s="56">
        <f t="shared" si="5"/>
        <v>4274.954409</v>
      </c>
      <c r="J245" s="63"/>
      <c r="K245" s="63"/>
      <c r="L245" s="64"/>
      <c r="M245" s="57">
        <v>3760.0</v>
      </c>
      <c r="N245" s="51">
        <f t="shared" si="6"/>
        <v>471.7883351</v>
      </c>
    </row>
    <row r="246">
      <c r="A246" s="50">
        <v>60301.0</v>
      </c>
      <c r="B246" s="50" t="s">
        <v>298</v>
      </c>
      <c r="C246" s="51">
        <v>89072.0</v>
      </c>
      <c r="D246" s="52">
        <v>72.4</v>
      </c>
      <c r="E246" s="53">
        <v>14.9</v>
      </c>
      <c r="F246" s="54">
        <f t="shared" si="2"/>
        <v>23.1064</v>
      </c>
      <c r="G246" s="54">
        <f t="shared" si="22"/>
        <v>0.9337902587</v>
      </c>
      <c r="H246" s="55">
        <f t="shared" si="4"/>
        <v>13.91347485</v>
      </c>
      <c r="I246" s="56">
        <f t="shared" si="5"/>
        <v>12393.01032</v>
      </c>
      <c r="J246" s="63"/>
      <c r="K246" s="63"/>
      <c r="L246" s="64"/>
      <c r="M246" s="57">
        <v>10696.0</v>
      </c>
      <c r="N246" s="51">
        <f t="shared" si="6"/>
        <v>1488.18527</v>
      </c>
    </row>
    <row r="247">
      <c r="A247" s="50">
        <v>60302.0</v>
      </c>
      <c r="B247" s="50" t="s">
        <v>299</v>
      </c>
      <c r="C247" s="51">
        <v>13064.0</v>
      </c>
      <c r="D247" s="52">
        <v>14.7</v>
      </c>
      <c r="E247" s="53">
        <v>14.9</v>
      </c>
      <c r="F247" s="54">
        <f t="shared" si="2"/>
        <v>35.4542</v>
      </c>
      <c r="G247" s="54">
        <f t="shared" si="22"/>
        <v>1.432797259</v>
      </c>
      <c r="H247" s="55">
        <f t="shared" si="4"/>
        <v>21.34867916</v>
      </c>
      <c r="I247" s="56">
        <f t="shared" si="5"/>
        <v>2788.991446</v>
      </c>
      <c r="J247" s="63"/>
      <c r="K247" s="63"/>
      <c r="L247" s="64"/>
      <c r="M247" s="57">
        <v>1495.0</v>
      </c>
      <c r="N247" s="51">
        <f t="shared" si="6"/>
        <v>319.1627535</v>
      </c>
    </row>
    <row r="248">
      <c r="A248" s="50">
        <v>60303.0</v>
      </c>
      <c r="B248" s="50" t="s">
        <v>300</v>
      </c>
      <c r="C248" s="51">
        <v>34012.0</v>
      </c>
      <c r="D248" s="52">
        <v>72.9</v>
      </c>
      <c r="E248" s="53">
        <v>14.9</v>
      </c>
      <c r="F248" s="54">
        <f t="shared" si="2"/>
        <v>22.9994</v>
      </c>
      <c r="G248" s="54">
        <f t="shared" si="22"/>
        <v>0.9294661079</v>
      </c>
      <c r="H248" s="55">
        <f t="shared" si="4"/>
        <v>13.84904501</v>
      </c>
      <c r="I248" s="56">
        <f t="shared" si="5"/>
        <v>4710.337188</v>
      </c>
      <c r="J248" s="63"/>
      <c r="K248" s="63"/>
      <c r="L248" s="64"/>
      <c r="M248" s="57">
        <v>4017.0</v>
      </c>
      <c r="N248" s="51">
        <f t="shared" si="6"/>
        <v>556.3161379</v>
      </c>
    </row>
    <row r="249">
      <c r="A249" s="50">
        <v>60401.0</v>
      </c>
      <c r="B249" s="50" t="s">
        <v>301</v>
      </c>
      <c r="C249" s="51">
        <v>13890.0</v>
      </c>
      <c r="D249" s="52">
        <v>0.0</v>
      </c>
      <c r="E249" s="53">
        <v>14.9</v>
      </c>
      <c r="F249" s="54">
        <f t="shared" si="2"/>
        <v>38.6</v>
      </c>
      <c r="G249" s="54">
        <f t="shared" si="22"/>
        <v>1.559927292</v>
      </c>
      <c r="H249" s="55">
        <f t="shared" si="4"/>
        <v>23.24291665</v>
      </c>
      <c r="I249" s="56">
        <f t="shared" si="5"/>
        <v>3228.441123</v>
      </c>
      <c r="J249" s="63"/>
      <c r="K249" s="63"/>
      <c r="L249" s="64"/>
      <c r="M249" s="57">
        <v>1459.0</v>
      </c>
      <c r="N249" s="51">
        <f t="shared" si="6"/>
        <v>339.114154</v>
      </c>
    </row>
    <row r="250">
      <c r="A250" s="50">
        <v>60402.0</v>
      </c>
      <c r="B250" s="50" t="s">
        <v>302</v>
      </c>
      <c r="C250" s="51">
        <v>5375.0</v>
      </c>
      <c r="D250" s="52">
        <v>0.0</v>
      </c>
      <c r="E250" s="53">
        <v>14.9</v>
      </c>
      <c r="F250" s="54">
        <f t="shared" si="2"/>
        <v>38.6</v>
      </c>
      <c r="G250" s="54">
        <f t="shared" si="22"/>
        <v>1.559927292</v>
      </c>
      <c r="H250" s="55">
        <f t="shared" si="4"/>
        <v>23.24291665</v>
      </c>
      <c r="I250" s="56">
        <f t="shared" si="5"/>
        <v>1249.30677</v>
      </c>
      <c r="J250" s="63"/>
      <c r="K250" s="63"/>
      <c r="L250" s="64"/>
      <c r="M250" s="57">
        <v>683.0</v>
      </c>
      <c r="N250" s="51">
        <f t="shared" si="6"/>
        <v>158.7491207</v>
      </c>
    </row>
    <row r="251">
      <c r="A251" s="50">
        <v>60501.0</v>
      </c>
      <c r="B251" s="50" t="s">
        <v>303</v>
      </c>
      <c r="C251" s="51">
        <v>22958.0</v>
      </c>
      <c r="D251" s="52">
        <v>13.8</v>
      </c>
      <c r="E251" s="53">
        <v>14.9</v>
      </c>
      <c r="F251" s="54">
        <f t="shared" si="2"/>
        <v>35.6468</v>
      </c>
      <c r="G251" s="54">
        <f t="shared" si="22"/>
        <v>1.440580731</v>
      </c>
      <c r="H251" s="55">
        <f t="shared" si="4"/>
        <v>21.46465289</v>
      </c>
      <c r="I251" s="56">
        <f t="shared" si="5"/>
        <v>4927.855009</v>
      </c>
      <c r="J251" s="50"/>
      <c r="K251" s="50"/>
      <c r="L251" s="50"/>
      <c r="M251" s="57">
        <v>2615.0</v>
      </c>
      <c r="N251" s="51">
        <f t="shared" si="6"/>
        <v>561.3006729</v>
      </c>
    </row>
    <row r="252">
      <c r="A252" s="50">
        <v>60502.0</v>
      </c>
      <c r="B252" s="50" t="s">
        <v>304</v>
      </c>
      <c r="C252" s="51">
        <v>11103.0</v>
      </c>
      <c r="D252" s="52">
        <v>0.0</v>
      </c>
      <c r="E252" s="53">
        <v>14.9</v>
      </c>
      <c r="F252" s="54">
        <f t="shared" si="2"/>
        <v>38.6</v>
      </c>
      <c r="G252" s="54">
        <f t="shared" si="22"/>
        <v>1.559927292</v>
      </c>
      <c r="H252" s="55">
        <f t="shared" si="4"/>
        <v>23.24291665</v>
      </c>
      <c r="I252" s="56">
        <f t="shared" si="5"/>
        <v>2580.661036</v>
      </c>
      <c r="J252" s="63"/>
      <c r="K252" s="63"/>
      <c r="L252" s="64"/>
      <c r="M252" s="57">
        <v>1327.0</v>
      </c>
      <c r="N252" s="51">
        <f t="shared" si="6"/>
        <v>308.433504</v>
      </c>
    </row>
    <row r="253">
      <c r="A253" s="50">
        <v>60601.0</v>
      </c>
      <c r="B253" s="50" t="s">
        <v>209</v>
      </c>
      <c r="C253" s="51">
        <v>21027.0</v>
      </c>
      <c r="D253" s="52">
        <v>16.3</v>
      </c>
      <c r="E253" s="53">
        <v>14.9</v>
      </c>
      <c r="F253" s="54">
        <f t="shared" si="2"/>
        <v>35.1118</v>
      </c>
      <c r="G253" s="54">
        <f t="shared" si="22"/>
        <v>1.418959977</v>
      </c>
      <c r="H253" s="55">
        <f t="shared" si="4"/>
        <v>21.14250365</v>
      </c>
      <c r="I253" s="56">
        <f t="shared" si="5"/>
        <v>4445.634243</v>
      </c>
      <c r="J253" s="63"/>
      <c r="K253" s="63"/>
      <c r="L253" s="64"/>
      <c r="M253" s="57">
        <v>2587.0</v>
      </c>
      <c r="N253" s="51">
        <f t="shared" si="6"/>
        <v>546.9565695</v>
      </c>
    </row>
    <row r="254">
      <c r="A254" s="50">
        <v>70101.0</v>
      </c>
      <c r="B254" s="50" t="s">
        <v>305</v>
      </c>
      <c r="C254" s="51">
        <v>1330735.0</v>
      </c>
      <c r="D254" s="52">
        <v>98.9</v>
      </c>
      <c r="E254" s="53">
        <v>12.0</v>
      </c>
      <c r="F254" s="54">
        <f t="shared" si="2"/>
        <v>17.4354</v>
      </c>
      <c r="G254" s="54">
        <f t="shared" ref="G254:G309" si="23">1.57*F254/F$345</f>
        <v>0.8074730798</v>
      </c>
      <c r="H254" s="55">
        <f t="shared" si="4"/>
        <v>9.689676958</v>
      </c>
      <c r="I254" s="56">
        <f t="shared" si="5"/>
        <v>128943.9227</v>
      </c>
      <c r="J254" s="57">
        <f>SUM(C254:C309)</f>
        <v>2429288</v>
      </c>
      <c r="K254" s="57">
        <f>SUM(I254:I309)</f>
        <v>291358.6552</v>
      </c>
      <c r="L254" s="58">
        <f>K254/J254</f>
        <v>0.1199358229</v>
      </c>
      <c r="M254" s="57">
        <v>148561.0</v>
      </c>
      <c r="N254" s="51">
        <f t="shared" si="6"/>
        <v>14395.08099</v>
      </c>
    </row>
    <row r="255">
      <c r="A255" s="50">
        <v>70102.0</v>
      </c>
      <c r="B255" s="50" t="s">
        <v>306</v>
      </c>
      <c r="C255" s="51">
        <v>48648.0</v>
      </c>
      <c r="D255" s="52">
        <v>56.8</v>
      </c>
      <c r="E255" s="53">
        <v>12.0</v>
      </c>
      <c r="F255" s="54">
        <f t="shared" si="2"/>
        <v>26.4448</v>
      </c>
      <c r="G255" s="54">
        <f t="shared" si="23"/>
        <v>1.224718911</v>
      </c>
      <c r="H255" s="55">
        <f t="shared" si="4"/>
        <v>14.69662693</v>
      </c>
      <c r="I255" s="56">
        <f t="shared" si="5"/>
        <v>7149.61507</v>
      </c>
      <c r="J255" s="63"/>
      <c r="K255" s="63"/>
      <c r="L255" s="64"/>
      <c r="M255" s="57">
        <v>6703.0</v>
      </c>
      <c r="N255" s="51">
        <f t="shared" si="6"/>
        <v>985.1149033</v>
      </c>
    </row>
    <row r="256">
      <c r="A256" s="50">
        <v>70103.0</v>
      </c>
      <c r="B256" s="50" t="s">
        <v>307</v>
      </c>
      <c r="C256" s="51">
        <v>13778.0</v>
      </c>
      <c r="D256" s="52">
        <v>16.9</v>
      </c>
      <c r="E256" s="53">
        <v>12.0</v>
      </c>
      <c r="F256" s="54">
        <f t="shared" si="2"/>
        <v>34.9834</v>
      </c>
      <c r="G256" s="54">
        <f t="shared" si="23"/>
        <v>1.620160922</v>
      </c>
      <c r="H256" s="55">
        <f t="shared" si="4"/>
        <v>19.44193106</v>
      </c>
      <c r="I256" s="56">
        <f t="shared" si="5"/>
        <v>2678.709262</v>
      </c>
      <c r="J256" s="63"/>
      <c r="K256" s="63"/>
      <c r="L256" s="64"/>
      <c r="M256" s="57">
        <v>1665.0</v>
      </c>
      <c r="N256" s="51">
        <f t="shared" si="6"/>
        <v>323.7081522</v>
      </c>
    </row>
    <row r="257">
      <c r="A257" s="50">
        <v>70104.0</v>
      </c>
      <c r="B257" s="50" t="s">
        <v>308</v>
      </c>
      <c r="C257" s="51">
        <v>71200.0</v>
      </c>
      <c r="D257" s="52">
        <v>79.8</v>
      </c>
      <c r="E257" s="53">
        <v>12.0</v>
      </c>
      <c r="F257" s="54">
        <f t="shared" si="2"/>
        <v>21.5228</v>
      </c>
      <c r="G257" s="54">
        <f t="shared" si="23"/>
        <v>0.9967698821</v>
      </c>
      <c r="H257" s="55">
        <f t="shared" si="4"/>
        <v>11.96123859</v>
      </c>
      <c r="I257" s="56">
        <f t="shared" si="5"/>
        <v>8516.401873</v>
      </c>
      <c r="J257" s="63"/>
      <c r="K257" s="63"/>
      <c r="L257" s="64"/>
      <c r="M257" s="57">
        <v>8666.0</v>
      </c>
      <c r="N257" s="51">
        <f t="shared" si="6"/>
        <v>1036.560936</v>
      </c>
    </row>
    <row r="258">
      <c r="A258" s="50">
        <v>70105.0</v>
      </c>
      <c r="B258" s="50" t="s">
        <v>309</v>
      </c>
      <c r="C258" s="51">
        <v>45401.0</v>
      </c>
      <c r="D258" s="52">
        <v>58.9</v>
      </c>
      <c r="E258" s="53">
        <v>12.0</v>
      </c>
      <c r="F258" s="54">
        <f t="shared" si="2"/>
        <v>25.9954</v>
      </c>
      <c r="G258" s="54">
        <f t="shared" si="23"/>
        <v>1.203906174</v>
      </c>
      <c r="H258" s="55">
        <f t="shared" si="4"/>
        <v>14.44687408</v>
      </c>
      <c r="I258" s="56">
        <f t="shared" si="5"/>
        <v>6559.025303</v>
      </c>
      <c r="J258" s="63"/>
      <c r="K258" s="63"/>
      <c r="L258" s="64"/>
      <c r="M258" s="57">
        <v>5468.0</v>
      </c>
      <c r="N258" s="51">
        <f t="shared" si="6"/>
        <v>789.9550749</v>
      </c>
    </row>
    <row r="259">
      <c r="A259" s="50">
        <v>70201.0</v>
      </c>
      <c r="B259" s="50" t="s">
        <v>310</v>
      </c>
      <c r="C259" s="51">
        <v>77829.0</v>
      </c>
      <c r="D259" s="52">
        <v>69.7</v>
      </c>
      <c r="E259" s="53">
        <v>12.0</v>
      </c>
      <c r="F259" s="54">
        <f t="shared" si="2"/>
        <v>23.6842</v>
      </c>
      <c r="G259" s="54">
        <f t="shared" si="23"/>
        <v>1.096869238</v>
      </c>
      <c r="H259" s="55">
        <f t="shared" si="4"/>
        <v>13.16243086</v>
      </c>
      <c r="I259" s="56">
        <f t="shared" si="5"/>
        <v>10244.18831</v>
      </c>
      <c r="J259" s="63"/>
      <c r="K259" s="63"/>
      <c r="L259" s="64"/>
      <c r="M259" s="57">
        <v>10257.0</v>
      </c>
      <c r="N259" s="51">
        <f t="shared" si="6"/>
        <v>1350.070533</v>
      </c>
    </row>
    <row r="260">
      <c r="A260" s="50">
        <v>70202.0</v>
      </c>
      <c r="B260" s="50" t="s">
        <v>311</v>
      </c>
      <c r="C260" s="51">
        <v>12183.0</v>
      </c>
      <c r="D260" s="52">
        <v>45.4</v>
      </c>
      <c r="E260" s="53">
        <v>12.0</v>
      </c>
      <c r="F260" s="54">
        <f t="shared" si="2"/>
        <v>28.8844</v>
      </c>
      <c r="G260" s="54">
        <f t="shared" si="23"/>
        <v>1.337702343</v>
      </c>
      <c r="H260" s="55">
        <f t="shared" si="4"/>
        <v>16.05242811</v>
      </c>
      <c r="I260" s="56">
        <f t="shared" si="5"/>
        <v>1955.667317</v>
      </c>
      <c r="J260" s="63"/>
      <c r="K260" s="63"/>
      <c r="L260" s="64"/>
      <c r="M260" s="57">
        <v>1702.0</v>
      </c>
      <c r="N260" s="51">
        <f t="shared" si="6"/>
        <v>273.2123265</v>
      </c>
    </row>
    <row r="261">
      <c r="A261" s="50">
        <v>70301.0</v>
      </c>
      <c r="B261" s="50" t="s">
        <v>312</v>
      </c>
      <c r="C261" s="51">
        <v>48380.0</v>
      </c>
      <c r="D261" s="52">
        <v>45.1</v>
      </c>
      <c r="E261" s="53">
        <v>12.0</v>
      </c>
      <c r="F261" s="54">
        <f t="shared" si="2"/>
        <v>28.9486</v>
      </c>
      <c r="G261" s="54">
        <f t="shared" si="23"/>
        <v>1.340675591</v>
      </c>
      <c r="H261" s="55">
        <f t="shared" si="4"/>
        <v>16.08810709</v>
      </c>
      <c r="I261" s="56">
        <f t="shared" si="5"/>
        <v>7783.426211</v>
      </c>
      <c r="J261" s="63"/>
      <c r="K261" s="63"/>
      <c r="L261" s="64"/>
      <c r="M261" s="57">
        <v>7126.0</v>
      </c>
      <c r="N261" s="51">
        <f t="shared" si="6"/>
        <v>1146.438511</v>
      </c>
    </row>
    <row r="262">
      <c r="A262" s="50">
        <v>70302.0</v>
      </c>
      <c r="B262" s="50" t="s">
        <v>313</v>
      </c>
      <c r="C262" s="51">
        <v>10944.0</v>
      </c>
      <c r="D262" s="52">
        <v>40.4</v>
      </c>
      <c r="E262" s="53">
        <v>12.0</v>
      </c>
      <c r="F262" s="54">
        <f t="shared" si="2"/>
        <v>29.9544</v>
      </c>
      <c r="G262" s="54">
        <f t="shared" si="23"/>
        <v>1.387256479</v>
      </c>
      <c r="H262" s="55">
        <f t="shared" si="4"/>
        <v>16.64707775</v>
      </c>
      <c r="I262" s="56">
        <f t="shared" si="5"/>
        <v>1821.856189</v>
      </c>
      <c r="J262" s="63"/>
      <c r="K262" s="63"/>
      <c r="L262" s="64"/>
      <c r="M262" s="57">
        <v>1532.0</v>
      </c>
      <c r="N262" s="51">
        <f t="shared" si="6"/>
        <v>255.0332312</v>
      </c>
    </row>
    <row r="263">
      <c r="A263" s="50">
        <v>70303.0</v>
      </c>
      <c r="B263" s="50" t="s">
        <v>314</v>
      </c>
      <c r="C263" s="51">
        <v>5731.0</v>
      </c>
      <c r="D263" s="52">
        <v>47.8</v>
      </c>
      <c r="E263" s="53">
        <v>12.0</v>
      </c>
      <c r="F263" s="54">
        <f t="shared" si="2"/>
        <v>28.3708</v>
      </c>
      <c r="G263" s="54">
        <f t="shared" si="23"/>
        <v>1.313916357</v>
      </c>
      <c r="H263" s="55">
        <f t="shared" si="4"/>
        <v>15.76699629</v>
      </c>
      <c r="I263" s="56">
        <f t="shared" si="5"/>
        <v>903.6065571</v>
      </c>
      <c r="J263" s="63"/>
      <c r="K263" s="63"/>
      <c r="L263" s="64"/>
      <c r="M263" s="57">
        <v>904.0</v>
      </c>
      <c r="N263" s="51">
        <f t="shared" si="6"/>
        <v>142.5336464</v>
      </c>
    </row>
    <row r="264">
      <c r="A264" s="50">
        <v>70401.0</v>
      </c>
      <c r="B264" s="50" t="s">
        <v>315</v>
      </c>
      <c r="C264" s="51">
        <v>13022.0</v>
      </c>
      <c r="D264" s="52">
        <v>32.2</v>
      </c>
      <c r="E264" s="53">
        <v>12.0</v>
      </c>
      <c r="F264" s="54">
        <f t="shared" si="2"/>
        <v>31.7092</v>
      </c>
      <c r="G264" s="54">
        <f t="shared" si="23"/>
        <v>1.468525264</v>
      </c>
      <c r="H264" s="55">
        <f t="shared" si="4"/>
        <v>17.62230316</v>
      </c>
      <c r="I264" s="56">
        <f t="shared" si="5"/>
        <v>2294.776318</v>
      </c>
      <c r="J264" s="63"/>
      <c r="K264" s="63"/>
      <c r="L264" s="64"/>
      <c r="M264" s="57">
        <v>1637.0</v>
      </c>
      <c r="N264" s="51">
        <f t="shared" si="6"/>
        <v>288.4771028</v>
      </c>
    </row>
    <row r="265">
      <c r="A265" s="50">
        <v>70402.0</v>
      </c>
      <c r="B265" s="50" t="s">
        <v>316</v>
      </c>
      <c r="C265" s="51">
        <v>18787.0</v>
      </c>
      <c r="D265" s="52">
        <v>62.9</v>
      </c>
      <c r="E265" s="53">
        <v>12.0</v>
      </c>
      <c r="F265" s="54">
        <f t="shared" si="2"/>
        <v>25.1394</v>
      </c>
      <c r="G265" s="54">
        <f t="shared" si="23"/>
        <v>1.164262864</v>
      </c>
      <c r="H265" s="55">
        <f t="shared" si="4"/>
        <v>13.97115437</v>
      </c>
      <c r="I265" s="56">
        <f t="shared" si="5"/>
        <v>2624.760772</v>
      </c>
      <c r="J265" s="63"/>
      <c r="K265" s="63"/>
      <c r="L265" s="64"/>
      <c r="M265" s="57">
        <v>2431.0</v>
      </c>
      <c r="N265" s="51">
        <f t="shared" si="6"/>
        <v>339.6387628</v>
      </c>
    </row>
    <row r="266">
      <c r="A266" s="50">
        <v>70403.0</v>
      </c>
      <c r="B266" s="50" t="s">
        <v>317</v>
      </c>
      <c r="C266" s="51">
        <v>43642.0</v>
      </c>
      <c r="D266" s="52">
        <v>58.7</v>
      </c>
      <c r="E266" s="53">
        <v>12.0</v>
      </c>
      <c r="F266" s="54">
        <f t="shared" si="2"/>
        <v>26.0382</v>
      </c>
      <c r="G266" s="54">
        <f t="shared" si="23"/>
        <v>1.205888339</v>
      </c>
      <c r="H266" s="55">
        <f t="shared" si="4"/>
        <v>14.47066007</v>
      </c>
      <c r="I266" s="56">
        <f t="shared" si="5"/>
        <v>6315.285467</v>
      </c>
      <c r="J266" s="63"/>
      <c r="K266" s="63"/>
      <c r="L266" s="64"/>
      <c r="M266" s="57">
        <v>5515.0</v>
      </c>
      <c r="N266" s="51">
        <f t="shared" si="6"/>
        <v>798.0569028</v>
      </c>
    </row>
    <row r="267">
      <c r="A267" s="50">
        <v>70404.0</v>
      </c>
      <c r="B267" s="50" t="s">
        <v>318</v>
      </c>
      <c r="C267" s="51">
        <v>9169.0</v>
      </c>
      <c r="D267" s="52">
        <v>50.4</v>
      </c>
      <c r="E267" s="53">
        <v>12.0</v>
      </c>
      <c r="F267" s="54">
        <f t="shared" si="2"/>
        <v>27.8144</v>
      </c>
      <c r="G267" s="54">
        <f t="shared" si="23"/>
        <v>1.288148206</v>
      </c>
      <c r="H267" s="55">
        <f t="shared" si="4"/>
        <v>15.45777847</v>
      </c>
      <c r="I267" s="56">
        <f t="shared" si="5"/>
        <v>1417.323708</v>
      </c>
      <c r="J267" s="63"/>
      <c r="K267" s="63"/>
      <c r="L267" s="64"/>
      <c r="M267" s="57">
        <v>1233.0</v>
      </c>
      <c r="N267" s="51">
        <f t="shared" si="6"/>
        <v>190.5944086</v>
      </c>
    </row>
    <row r="268">
      <c r="A268" s="50">
        <v>70501.0</v>
      </c>
      <c r="B268" s="50" t="s">
        <v>319</v>
      </c>
      <c r="C268" s="51">
        <v>24441.0</v>
      </c>
      <c r="D268" s="52">
        <v>47.7</v>
      </c>
      <c r="E268" s="53">
        <v>12.0</v>
      </c>
      <c r="F268" s="54">
        <f t="shared" si="2"/>
        <v>28.3922</v>
      </c>
      <c r="G268" s="54">
        <f t="shared" si="23"/>
        <v>1.31490744</v>
      </c>
      <c r="H268" s="55">
        <f t="shared" si="4"/>
        <v>15.77888928</v>
      </c>
      <c r="I268" s="56">
        <f t="shared" si="5"/>
        <v>3856.518329</v>
      </c>
      <c r="J268" s="63"/>
      <c r="K268" s="63"/>
      <c r="L268" s="64"/>
      <c r="M268" s="57">
        <v>3401.0</v>
      </c>
      <c r="N268" s="51">
        <f t="shared" si="6"/>
        <v>536.6400244</v>
      </c>
    </row>
    <row r="269">
      <c r="A269" s="50">
        <v>70502.0</v>
      </c>
      <c r="B269" s="50" t="s">
        <v>320</v>
      </c>
      <c r="C269" s="51">
        <v>34467.0</v>
      </c>
      <c r="D269" s="52">
        <v>25.6</v>
      </c>
      <c r="E269" s="53">
        <v>12.0</v>
      </c>
      <c r="F269" s="54">
        <f t="shared" si="2"/>
        <v>33.1216</v>
      </c>
      <c r="G269" s="54">
        <f t="shared" si="23"/>
        <v>1.533936724</v>
      </c>
      <c r="H269" s="55">
        <f t="shared" si="4"/>
        <v>18.40724069</v>
      </c>
      <c r="I269" s="56">
        <f t="shared" si="5"/>
        <v>6344.423649</v>
      </c>
      <c r="J269" s="63"/>
      <c r="K269" s="63"/>
      <c r="L269" s="64"/>
      <c r="M269" s="57">
        <v>5781.0</v>
      </c>
      <c r="N269" s="51">
        <f t="shared" si="6"/>
        <v>1064.122584</v>
      </c>
    </row>
    <row r="270">
      <c r="A270" s="50">
        <v>70503.0</v>
      </c>
      <c r="B270" s="50" t="s">
        <v>321</v>
      </c>
      <c r="C270" s="51">
        <v>15495.0</v>
      </c>
      <c r="D270" s="52">
        <v>66.8</v>
      </c>
      <c r="E270" s="53">
        <v>12.0</v>
      </c>
      <c r="F270" s="54">
        <f t="shared" si="2"/>
        <v>24.3048</v>
      </c>
      <c r="G270" s="54">
        <f t="shared" si="23"/>
        <v>1.125610638</v>
      </c>
      <c r="H270" s="55">
        <f t="shared" si="4"/>
        <v>13.50732765</v>
      </c>
      <c r="I270" s="56">
        <f t="shared" si="5"/>
        <v>2092.96042</v>
      </c>
      <c r="J270" s="63"/>
      <c r="K270" s="63"/>
      <c r="L270" s="64"/>
      <c r="M270" s="57">
        <v>1693.0</v>
      </c>
      <c r="N270" s="51">
        <f t="shared" si="6"/>
        <v>228.6790571</v>
      </c>
    </row>
    <row r="271">
      <c r="A271" s="50">
        <v>70601.0</v>
      </c>
      <c r="B271" s="50" t="s">
        <v>322</v>
      </c>
      <c r="C271" s="51">
        <v>17348.0</v>
      </c>
      <c r="D271" s="52">
        <v>75.3</v>
      </c>
      <c r="E271" s="53">
        <v>12.0</v>
      </c>
      <c r="F271" s="54">
        <f t="shared" si="2"/>
        <v>22.4858</v>
      </c>
      <c r="G271" s="54">
        <f t="shared" si="23"/>
        <v>1.041368605</v>
      </c>
      <c r="H271" s="55">
        <f t="shared" si="4"/>
        <v>12.49642326</v>
      </c>
      <c r="I271" s="56">
        <f t="shared" si="5"/>
        <v>2167.879507</v>
      </c>
      <c r="J271" s="63"/>
      <c r="K271" s="63"/>
      <c r="L271" s="64"/>
      <c r="M271" s="57">
        <v>2147.0</v>
      </c>
      <c r="N271" s="51">
        <f t="shared" si="6"/>
        <v>268.2982074</v>
      </c>
    </row>
    <row r="272">
      <c r="A272" s="50">
        <v>70602.0</v>
      </c>
      <c r="B272" s="50" t="s">
        <v>323</v>
      </c>
      <c r="C272" s="51">
        <v>17702.0</v>
      </c>
      <c r="D272" s="52">
        <v>27.3</v>
      </c>
      <c r="E272" s="53">
        <v>12.0</v>
      </c>
      <c r="F272" s="54">
        <f t="shared" si="2"/>
        <v>32.7578</v>
      </c>
      <c r="G272" s="54">
        <f t="shared" si="23"/>
        <v>1.517088318</v>
      </c>
      <c r="H272" s="55">
        <f t="shared" si="4"/>
        <v>18.20505981</v>
      </c>
      <c r="I272" s="56">
        <f t="shared" si="5"/>
        <v>3222.659688</v>
      </c>
      <c r="J272" s="63"/>
      <c r="K272" s="63"/>
      <c r="L272" s="64"/>
      <c r="M272" s="57">
        <v>2301.0</v>
      </c>
      <c r="N272" s="51">
        <f t="shared" si="6"/>
        <v>418.8984263</v>
      </c>
    </row>
    <row r="273">
      <c r="A273" s="50">
        <v>70603.0</v>
      </c>
      <c r="B273" s="50" t="s">
        <v>324</v>
      </c>
      <c r="C273" s="51">
        <v>6143.0</v>
      </c>
      <c r="D273" s="52">
        <v>77.1</v>
      </c>
      <c r="E273" s="53">
        <v>12.0</v>
      </c>
      <c r="F273" s="54">
        <f t="shared" si="2"/>
        <v>22.1006</v>
      </c>
      <c r="G273" s="54">
        <f t="shared" si="23"/>
        <v>1.023529116</v>
      </c>
      <c r="H273" s="55">
        <f t="shared" si="4"/>
        <v>12.28234939</v>
      </c>
      <c r="I273" s="56">
        <f t="shared" si="5"/>
        <v>754.5047231</v>
      </c>
      <c r="J273" s="63"/>
      <c r="K273" s="63"/>
      <c r="L273" s="64"/>
      <c r="M273" s="57">
        <v>849.0</v>
      </c>
      <c r="N273" s="51">
        <f t="shared" si="6"/>
        <v>104.2771463</v>
      </c>
    </row>
    <row r="274">
      <c r="A274" s="50">
        <v>70701.0</v>
      </c>
      <c r="B274" s="50" t="s">
        <v>325</v>
      </c>
      <c r="C274" s="51">
        <v>5336.0</v>
      </c>
      <c r="D274" s="52">
        <v>0.0</v>
      </c>
      <c r="E274" s="53">
        <v>12.0</v>
      </c>
      <c r="F274" s="54">
        <f t="shared" si="2"/>
        <v>38.6</v>
      </c>
      <c r="G274" s="54">
        <f t="shared" si="23"/>
        <v>1.787653904</v>
      </c>
      <c r="H274" s="55">
        <f t="shared" si="4"/>
        <v>21.45184685</v>
      </c>
      <c r="I274" s="56">
        <f t="shared" si="5"/>
        <v>1144.670548</v>
      </c>
      <c r="J274" s="63"/>
      <c r="K274" s="63"/>
      <c r="L274" s="64"/>
      <c r="M274" s="57">
        <v>732.0</v>
      </c>
      <c r="N274" s="51">
        <f t="shared" si="6"/>
        <v>157.0275189</v>
      </c>
    </row>
    <row r="275">
      <c r="A275" s="50">
        <v>70702.0</v>
      </c>
      <c r="B275" s="50" t="s">
        <v>326</v>
      </c>
      <c r="C275" s="51">
        <v>29365.0</v>
      </c>
      <c r="D275" s="52">
        <v>11.0</v>
      </c>
      <c r="E275" s="53">
        <v>12.0</v>
      </c>
      <c r="F275" s="54">
        <f t="shared" si="2"/>
        <v>36.246</v>
      </c>
      <c r="G275" s="54">
        <f t="shared" si="23"/>
        <v>1.678634803</v>
      </c>
      <c r="H275" s="55">
        <f t="shared" si="4"/>
        <v>20.14361764</v>
      </c>
      <c r="I275" s="56">
        <f t="shared" si="5"/>
        <v>5915.17332</v>
      </c>
      <c r="J275" s="63"/>
      <c r="K275" s="63"/>
      <c r="L275" s="64"/>
      <c r="M275" s="57">
        <v>4594.0</v>
      </c>
      <c r="N275" s="51">
        <f t="shared" si="6"/>
        <v>925.3977944</v>
      </c>
    </row>
    <row r="276">
      <c r="A276" s="50">
        <v>70703.0</v>
      </c>
      <c r="B276" s="50" t="s">
        <v>327</v>
      </c>
      <c r="C276" s="51">
        <v>24929.0</v>
      </c>
      <c r="D276" s="52">
        <v>14.9</v>
      </c>
      <c r="E276" s="53">
        <v>12.0</v>
      </c>
      <c r="F276" s="54">
        <f t="shared" si="2"/>
        <v>35.4114</v>
      </c>
      <c r="G276" s="54">
        <f t="shared" si="23"/>
        <v>1.639982577</v>
      </c>
      <c r="H276" s="55">
        <f t="shared" si="4"/>
        <v>19.67979092</v>
      </c>
      <c r="I276" s="56">
        <f t="shared" si="5"/>
        <v>4905.975079</v>
      </c>
      <c r="J276" s="63"/>
      <c r="K276" s="63"/>
      <c r="L276" s="64"/>
      <c r="M276" s="57">
        <v>3727.0</v>
      </c>
      <c r="N276" s="51">
        <f t="shared" si="6"/>
        <v>733.4658076</v>
      </c>
    </row>
    <row r="277">
      <c r="A277" s="50">
        <v>70704.0</v>
      </c>
      <c r="B277" s="50" t="s">
        <v>328</v>
      </c>
      <c r="C277" s="51">
        <v>4453.0</v>
      </c>
      <c r="D277" s="52">
        <v>31.2</v>
      </c>
      <c r="E277" s="53">
        <v>12.0</v>
      </c>
      <c r="F277" s="54">
        <f t="shared" si="2"/>
        <v>31.9232</v>
      </c>
      <c r="G277" s="54">
        <f t="shared" si="23"/>
        <v>1.478436091</v>
      </c>
      <c r="H277" s="55">
        <f t="shared" si="4"/>
        <v>17.74123309</v>
      </c>
      <c r="I277" s="56">
        <f t="shared" si="5"/>
        <v>790.0171096</v>
      </c>
      <c r="J277" s="63"/>
      <c r="K277" s="63"/>
      <c r="L277" s="64"/>
      <c r="M277" s="57">
        <v>575.0</v>
      </c>
      <c r="N277" s="51">
        <f t="shared" si="6"/>
        <v>102.0120903</v>
      </c>
    </row>
    <row r="278">
      <c r="A278" s="50">
        <v>70705.0</v>
      </c>
      <c r="B278" s="50" t="s">
        <v>329</v>
      </c>
      <c r="C278" s="51">
        <v>11953.0</v>
      </c>
      <c r="D278" s="52">
        <v>0.0</v>
      </c>
      <c r="E278" s="53">
        <v>12.0</v>
      </c>
      <c r="F278" s="54">
        <f t="shared" si="2"/>
        <v>38.6</v>
      </c>
      <c r="G278" s="54">
        <f t="shared" si="23"/>
        <v>1.787653904</v>
      </c>
      <c r="H278" s="55">
        <f t="shared" si="4"/>
        <v>21.45184685</v>
      </c>
      <c r="I278" s="56">
        <f t="shared" si="5"/>
        <v>2564.139254</v>
      </c>
      <c r="J278" s="63"/>
      <c r="K278" s="63"/>
      <c r="L278" s="64"/>
      <c r="M278" s="57">
        <v>1881.0</v>
      </c>
      <c r="N278" s="51">
        <f t="shared" si="6"/>
        <v>403.5092393</v>
      </c>
    </row>
    <row r="279">
      <c r="A279" s="50">
        <v>70706.0</v>
      </c>
      <c r="B279" s="50" t="s">
        <v>330</v>
      </c>
      <c r="C279" s="51">
        <v>32769.0</v>
      </c>
      <c r="D279" s="52">
        <v>85.5</v>
      </c>
      <c r="E279" s="53">
        <v>12.0</v>
      </c>
      <c r="F279" s="54">
        <f t="shared" si="2"/>
        <v>20.303</v>
      </c>
      <c r="G279" s="54">
        <f t="shared" si="23"/>
        <v>0.9402781662</v>
      </c>
      <c r="H279" s="55">
        <f t="shared" si="4"/>
        <v>11.28333799</v>
      </c>
      <c r="I279" s="56">
        <f t="shared" si="5"/>
        <v>3697.437028</v>
      </c>
      <c r="J279" s="63"/>
      <c r="K279" s="63"/>
      <c r="L279" s="64"/>
      <c r="M279" s="57">
        <v>3484.0</v>
      </c>
      <c r="N279" s="51">
        <f t="shared" si="6"/>
        <v>393.1114957</v>
      </c>
    </row>
    <row r="280">
      <c r="A280" s="50">
        <v>70707.0</v>
      </c>
      <c r="B280" s="50" t="s">
        <v>331</v>
      </c>
      <c r="C280" s="51">
        <v>4703.0</v>
      </c>
      <c r="D280" s="52">
        <v>68.8</v>
      </c>
      <c r="E280" s="53">
        <v>12.0</v>
      </c>
      <c r="F280" s="54">
        <f t="shared" si="2"/>
        <v>23.8768</v>
      </c>
      <c r="G280" s="54">
        <f t="shared" si="23"/>
        <v>1.105788983</v>
      </c>
      <c r="H280" s="55">
        <f t="shared" si="4"/>
        <v>13.26946779</v>
      </c>
      <c r="I280" s="56">
        <f t="shared" si="5"/>
        <v>624.0630704</v>
      </c>
      <c r="J280" s="63"/>
      <c r="K280" s="63"/>
      <c r="L280" s="64"/>
      <c r="M280" s="57">
        <v>550.0</v>
      </c>
      <c r="N280" s="51">
        <f t="shared" si="6"/>
        <v>72.98207287</v>
      </c>
    </row>
    <row r="281">
      <c r="A281" s="50">
        <v>70801.0</v>
      </c>
      <c r="B281" s="50" t="s">
        <v>332</v>
      </c>
      <c r="C281" s="51">
        <v>17073.0</v>
      </c>
      <c r="D281" s="52">
        <v>54.4</v>
      </c>
      <c r="E281" s="53">
        <v>12.0</v>
      </c>
      <c r="F281" s="54">
        <f t="shared" si="2"/>
        <v>26.9584</v>
      </c>
      <c r="G281" s="54">
        <f t="shared" si="23"/>
        <v>1.248504897</v>
      </c>
      <c r="H281" s="55">
        <f t="shared" si="4"/>
        <v>14.98205876</v>
      </c>
      <c r="I281" s="56">
        <f t="shared" si="5"/>
        <v>2557.886892</v>
      </c>
      <c r="J281" s="63"/>
      <c r="K281" s="63"/>
      <c r="L281" s="64"/>
      <c r="M281" s="57">
        <v>1718.0</v>
      </c>
      <c r="N281" s="51">
        <f t="shared" si="6"/>
        <v>257.3917695</v>
      </c>
    </row>
    <row r="282">
      <c r="A282" s="50">
        <v>70802.0</v>
      </c>
      <c r="B282" s="50" t="s">
        <v>333</v>
      </c>
      <c r="C282" s="51">
        <v>2134.0</v>
      </c>
      <c r="D282" s="52">
        <v>0.0</v>
      </c>
      <c r="E282" s="53">
        <v>12.0</v>
      </c>
      <c r="F282" s="54">
        <f t="shared" si="2"/>
        <v>38.6</v>
      </c>
      <c r="G282" s="54">
        <f t="shared" si="23"/>
        <v>1.787653904</v>
      </c>
      <c r="H282" s="55">
        <f t="shared" si="4"/>
        <v>21.45184685</v>
      </c>
      <c r="I282" s="56">
        <f t="shared" si="5"/>
        <v>457.7824118</v>
      </c>
      <c r="J282" s="63"/>
      <c r="K282" s="63"/>
      <c r="L282" s="64"/>
      <c r="M282" s="57">
        <v>212.0</v>
      </c>
      <c r="N282" s="51">
        <f t="shared" si="6"/>
        <v>45.47791532</v>
      </c>
    </row>
    <row r="283">
      <c r="A283" s="50">
        <v>70803.0</v>
      </c>
      <c r="B283" s="50" t="s">
        <v>334</v>
      </c>
      <c r="C283" s="51">
        <v>2985.0</v>
      </c>
      <c r="D283" s="52">
        <v>0.0</v>
      </c>
      <c r="E283" s="53">
        <v>12.0</v>
      </c>
      <c r="F283" s="54">
        <f t="shared" si="2"/>
        <v>38.6</v>
      </c>
      <c r="G283" s="54">
        <f t="shared" si="23"/>
        <v>1.787653904</v>
      </c>
      <c r="H283" s="55">
        <f t="shared" si="4"/>
        <v>21.45184685</v>
      </c>
      <c r="I283" s="56">
        <f t="shared" si="5"/>
        <v>640.3376285</v>
      </c>
      <c r="J283" s="63"/>
      <c r="K283" s="63"/>
      <c r="L283" s="64"/>
      <c r="M283" s="57">
        <v>324.0</v>
      </c>
      <c r="N283" s="51">
        <f t="shared" si="6"/>
        <v>69.50398379</v>
      </c>
    </row>
    <row r="284">
      <c r="A284" s="50">
        <v>70804.0</v>
      </c>
      <c r="B284" s="50" t="s">
        <v>335</v>
      </c>
      <c r="C284" s="51">
        <v>2446.0</v>
      </c>
      <c r="D284" s="52">
        <v>0.0</v>
      </c>
      <c r="E284" s="53">
        <v>12.0</v>
      </c>
      <c r="F284" s="54">
        <f t="shared" si="2"/>
        <v>38.6</v>
      </c>
      <c r="G284" s="54">
        <f t="shared" si="23"/>
        <v>1.787653904</v>
      </c>
      <c r="H284" s="55">
        <f t="shared" si="4"/>
        <v>21.45184685</v>
      </c>
      <c r="I284" s="56">
        <f t="shared" si="5"/>
        <v>524.712174</v>
      </c>
      <c r="J284" s="63"/>
      <c r="K284" s="63"/>
      <c r="L284" s="64"/>
      <c r="M284" s="57">
        <v>271.0</v>
      </c>
      <c r="N284" s="51">
        <f t="shared" si="6"/>
        <v>58.13450496</v>
      </c>
    </row>
    <row r="285">
      <c r="A285" s="50">
        <v>70805.0</v>
      </c>
      <c r="B285" s="50" t="s">
        <v>336</v>
      </c>
      <c r="C285" s="51">
        <v>2248.0</v>
      </c>
      <c r="D285" s="52">
        <v>0.0</v>
      </c>
      <c r="E285" s="53">
        <v>12.0</v>
      </c>
      <c r="F285" s="54">
        <f t="shared" si="2"/>
        <v>38.6</v>
      </c>
      <c r="G285" s="54">
        <f t="shared" si="23"/>
        <v>1.787653904</v>
      </c>
      <c r="H285" s="55">
        <f t="shared" si="4"/>
        <v>21.45184685</v>
      </c>
      <c r="I285" s="56">
        <f t="shared" si="5"/>
        <v>482.2375172</v>
      </c>
      <c r="J285" s="63"/>
      <c r="K285" s="63"/>
      <c r="L285" s="64"/>
      <c r="M285" s="57">
        <v>252.0</v>
      </c>
      <c r="N285" s="51">
        <f t="shared" si="6"/>
        <v>54.05865406</v>
      </c>
    </row>
    <row r="286">
      <c r="A286" s="50">
        <v>70901.0</v>
      </c>
      <c r="B286" s="50" t="s">
        <v>337</v>
      </c>
      <c r="C286" s="51">
        <v>10205.0</v>
      </c>
      <c r="D286" s="52">
        <v>37.6</v>
      </c>
      <c r="E286" s="53">
        <v>12.0</v>
      </c>
      <c r="F286" s="54">
        <f t="shared" si="2"/>
        <v>30.5536</v>
      </c>
      <c r="G286" s="54">
        <f t="shared" si="23"/>
        <v>1.415006796</v>
      </c>
      <c r="H286" s="55">
        <f t="shared" si="4"/>
        <v>16.98008155</v>
      </c>
      <c r="I286" s="56">
        <f t="shared" si="5"/>
        <v>1732.817322</v>
      </c>
      <c r="J286" s="63"/>
      <c r="K286" s="63"/>
      <c r="L286" s="64"/>
      <c r="M286" s="57">
        <v>1108.0</v>
      </c>
      <c r="N286" s="51">
        <f t="shared" si="6"/>
        <v>188.1393036</v>
      </c>
    </row>
    <row r="287">
      <c r="A287" s="50">
        <v>70902.0</v>
      </c>
      <c r="B287" s="50" t="s">
        <v>338</v>
      </c>
      <c r="C287" s="51">
        <v>8738.0</v>
      </c>
      <c r="D287" s="52">
        <v>36.7</v>
      </c>
      <c r="E287" s="53">
        <v>12.0</v>
      </c>
      <c r="F287" s="54">
        <f t="shared" si="2"/>
        <v>30.7462</v>
      </c>
      <c r="G287" s="54">
        <f t="shared" si="23"/>
        <v>1.423926541</v>
      </c>
      <c r="H287" s="55">
        <f t="shared" si="4"/>
        <v>17.08711849</v>
      </c>
      <c r="I287" s="56">
        <f t="shared" si="5"/>
        <v>1493.072413</v>
      </c>
      <c r="J287" s="63"/>
      <c r="K287" s="63"/>
      <c r="L287" s="64"/>
      <c r="M287" s="57">
        <v>1044.0</v>
      </c>
      <c r="N287" s="51">
        <f t="shared" si="6"/>
        <v>178.389517</v>
      </c>
    </row>
    <row r="288">
      <c r="A288" s="50">
        <v>70903.0</v>
      </c>
      <c r="B288" s="50" t="s">
        <v>339</v>
      </c>
      <c r="C288" s="51">
        <v>9293.0</v>
      </c>
      <c r="D288" s="52">
        <v>60.5</v>
      </c>
      <c r="E288" s="53">
        <v>12.0</v>
      </c>
      <c r="F288" s="54">
        <f t="shared" si="2"/>
        <v>25.653</v>
      </c>
      <c r="G288" s="54">
        <f t="shared" si="23"/>
        <v>1.18804885</v>
      </c>
      <c r="H288" s="55">
        <f t="shared" si="4"/>
        <v>14.2565862</v>
      </c>
      <c r="I288" s="56">
        <f t="shared" si="5"/>
        <v>1324.864555</v>
      </c>
      <c r="J288" s="63"/>
      <c r="K288" s="63"/>
      <c r="L288" s="64"/>
      <c r="M288" s="57">
        <v>1126.0</v>
      </c>
      <c r="N288" s="51">
        <f t="shared" si="6"/>
        <v>160.5291606</v>
      </c>
    </row>
    <row r="289">
      <c r="A289" s="50">
        <v>70904.0</v>
      </c>
      <c r="B289" s="50" t="s">
        <v>340</v>
      </c>
      <c r="C289" s="51">
        <v>2643.0</v>
      </c>
      <c r="D289" s="52">
        <v>0.0</v>
      </c>
      <c r="E289" s="53">
        <v>12.0</v>
      </c>
      <c r="F289" s="54">
        <f t="shared" si="2"/>
        <v>38.6</v>
      </c>
      <c r="G289" s="54">
        <f t="shared" si="23"/>
        <v>1.787653904</v>
      </c>
      <c r="H289" s="55">
        <f t="shared" si="4"/>
        <v>21.45184685</v>
      </c>
      <c r="I289" s="56">
        <f t="shared" si="5"/>
        <v>566.9723123</v>
      </c>
      <c r="J289" s="63"/>
      <c r="K289" s="63"/>
      <c r="L289" s="64"/>
      <c r="M289" s="57">
        <v>314.0</v>
      </c>
      <c r="N289" s="51">
        <f t="shared" si="6"/>
        <v>67.35879911</v>
      </c>
    </row>
    <row r="290">
      <c r="A290" s="50">
        <v>71001.0</v>
      </c>
      <c r="B290" s="50" t="s">
        <v>341</v>
      </c>
      <c r="C290" s="51">
        <v>98908.0</v>
      </c>
      <c r="D290" s="52">
        <v>97.8</v>
      </c>
      <c r="E290" s="53">
        <v>12.0</v>
      </c>
      <c r="F290" s="54">
        <f t="shared" si="2"/>
        <v>17.6708</v>
      </c>
      <c r="G290" s="54">
        <f t="shared" si="23"/>
        <v>0.8183749899</v>
      </c>
      <c r="H290" s="55">
        <f t="shared" si="4"/>
        <v>9.820499879</v>
      </c>
      <c r="I290" s="56">
        <f t="shared" si="5"/>
        <v>9713.26002</v>
      </c>
      <c r="J290" s="63"/>
      <c r="K290" s="63"/>
      <c r="L290" s="64"/>
      <c r="M290" s="57">
        <v>11612.0</v>
      </c>
      <c r="N290" s="51">
        <f t="shared" si="6"/>
        <v>1140.356446</v>
      </c>
    </row>
    <row r="291">
      <c r="A291" s="50">
        <v>71002.0</v>
      </c>
      <c r="B291" s="50" t="s">
        <v>342</v>
      </c>
      <c r="C291" s="51">
        <v>15076.0</v>
      </c>
      <c r="D291" s="52">
        <v>31.6</v>
      </c>
      <c r="E291" s="53">
        <v>12.0</v>
      </c>
      <c r="F291" s="54">
        <f t="shared" si="2"/>
        <v>31.8376</v>
      </c>
      <c r="G291" s="54">
        <f t="shared" si="23"/>
        <v>1.47447176</v>
      </c>
      <c r="H291" s="55">
        <f t="shared" si="4"/>
        <v>17.69366112</v>
      </c>
      <c r="I291" s="56">
        <f t="shared" si="5"/>
        <v>2667.496351</v>
      </c>
      <c r="J291" s="63"/>
      <c r="K291" s="63"/>
      <c r="L291" s="64"/>
      <c r="M291" s="57">
        <v>2180.0</v>
      </c>
      <c r="N291" s="51">
        <f t="shared" si="6"/>
        <v>385.7218124</v>
      </c>
    </row>
    <row r="292">
      <c r="A292" s="50">
        <v>71003.0</v>
      </c>
      <c r="B292" s="50" t="s">
        <v>343</v>
      </c>
      <c r="C292" s="51">
        <v>22013.0</v>
      </c>
      <c r="D292" s="52">
        <v>74.5</v>
      </c>
      <c r="E292" s="53">
        <v>12.0</v>
      </c>
      <c r="F292" s="54">
        <f t="shared" si="2"/>
        <v>22.657</v>
      </c>
      <c r="G292" s="54">
        <f t="shared" si="23"/>
        <v>1.049297267</v>
      </c>
      <c r="H292" s="55">
        <f t="shared" si="4"/>
        <v>12.5915672</v>
      </c>
      <c r="I292" s="56">
        <f t="shared" si="5"/>
        <v>2771.781689</v>
      </c>
      <c r="J292" s="63"/>
      <c r="K292" s="63"/>
      <c r="L292" s="64"/>
      <c r="M292" s="57">
        <v>2984.0</v>
      </c>
      <c r="N292" s="51">
        <f t="shared" si="6"/>
        <v>375.7323654</v>
      </c>
    </row>
    <row r="293">
      <c r="A293" s="50">
        <v>71004.0</v>
      </c>
      <c r="B293" s="50" t="s">
        <v>344</v>
      </c>
      <c r="C293" s="51">
        <v>13752.0</v>
      </c>
      <c r="D293" s="52">
        <v>63.1</v>
      </c>
      <c r="E293" s="53">
        <v>12.0</v>
      </c>
      <c r="F293" s="54">
        <f t="shared" si="2"/>
        <v>25.0966</v>
      </c>
      <c r="G293" s="54">
        <f t="shared" si="23"/>
        <v>1.162280699</v>
      </c>
      <c r="H293" s="55">
        <f t="shared" si="4"/>
        <v>13.94736839</v>
      </c>
      <c r="I293" s="56">
        <f t="shared" si="5"/>
        <v>1918.0421</v>
      </c>
      <c r="J293" s="63"/>
      <c r="K293" s="63"/>
      <c r="L293" s="64"/>
      <c r="M293" s="57">
        <v>1711.0</v>
      </c>
      <c r="N293" s="51">
        <f t="shared" si="6"/>
        <v>238.6394731</v>
      </c>
    </row>
    <row r="294">
      <c r="A294" s="50">
        <v>71005.0</v>
      </c>
      <c r="B294" s="50" t="s">
        <v>270</v>
      </c>
      <c r="C294" s="51">
        <v>17482.0</v>
      </c>
      <c r="D294" s="52">
        <v>38.7</v>
      </c>
      <c r="E294" s="53">
        <v>12.0</v>
      </c>
      <c r="F294" s="54">
        <f t="shared" si="2"/>
        <v>30.3182</v>
      </c>
      <c r="G294" s="54">
        <f t="shared" si="23"/>
        <v>1.404104886</v>
      </c>
      <c r="H294" s="55">
        <f t="shared" si="4"/>
        <v>16.84925863</v>
      </c>
      <c r="I294" s="56">
        <f t="shared" si="5"/>
        <v>2945.587394</v>
      </c>
      <c r="J294" s="63"/>
      <c r="K294" s="63"/>
      <c r="L294" s="64"/>
      <c r="M294" s="57">
        <v>2209.0</v>
      </c>
      <c r="N294" s="51">
        <f t="shared" si="6"/>
        <v>372.2001232</v>
      </c>
    </row>
    <row r="295">
      <c r="A295" s="50">
        <v>71101.0</v>
      </c>
      <c r="B295" s="50" t="s">
        <v>345</v>
      </c>
      <c r="C295" s="51">
        <v>17244.0</v>
      </c>
      <c r="D295" s="52">
        <v>47.5</v>
      </c>
      <c r="E295" s="53">
        <v>12.0</v>
      </c>
      <c r="F295" s="54">
        <f t="shared" si="2"/>
        <v>28.435</v>
      </c>
      <c r="G295" s="54">
        <f t="shared" si="23"/>
        <v>1.316889605</v>
      </c>
      <c r="H295" s="55">
        <f t="shared" si="4"/>
        <v>15.80267526</v>
      </c>
      <c r="I295" s="56">
        <f t="shared" si="5"/>
        <v>2725.013323</v>
      </c>
      <c r="J295" s="63"/>
      <c r="K295" s="63"/>
      <c r="L295" s="64"/>
      <c r="M295" s="57">
        <v>2485.0</v>
      </c>
      <c r="N295" s="51">
        <f t="shared" si="6"/>
        <v>392.6964803</v>
      </c>
    </row>
    <row r="296">
      <c r="A296" s="50">
        <v>71102.0</v>
      </c>
      <c r="B296" s="50" t="s">
        <v>346</v>
      </c>
      <c r="C296" s="51">
        <v>12782.0</v>
      </c>
      <c r="D296" s="52">
        <v>51.1</v>
      </c>
      <c r="E296" s="53">
        <v>12.0</v>
      </c>
      <c r="F296" s="54">
        <f t="shared" si="2"/>
        <v>27.6646</v>
      </c>
      <c r="G296" s="54">
        <f t="shared" si="23"/>
        <v>1.281210627</v>
      </c>
      <c r="H296" s="55">
        <f t="shared" si="4"/>
        <v>15.37452752</v>
      </c>
      <c r="I296" s="56">
        <f t="shared" si="5"/>
        <v>1965.172108</v>
      </c>
      <c r="J296" s="63"/>
      <c r="K296" s="63"/>
      <c r="L296" s="64"/>
      <c r="M296" s="57">
        <v>1876.0</v>
      </c>
      <c r="N296" s="51">
        <f t="shared" si="6"/>
        <v>288.4261363</v>
      </c>
    </row>
    <row r="297">
      <c r="A297" s="50">
        <v>71103.0</v>
      </c>
      <c r="B297" s="50" t="s">
        <v>347</v>
      </c>
      <c r="C297" s="51">
        <v>18594.0</v>
      </c>
      <c r="D297" s="52">
        <v>84.9</v>
      </c>
      <c r="E297" s="53">
        <v>12.0</v>
      </c>
      <c r="F297" s="54">
        <f t="shared" si="2"/>
        <v>20.4314</v>
      </c>
      <c r="G297" s="54">
        <f t="shared" si="23"/>
        <v>0.9462246626</v>
      </c>
      <c r="H297" s="55">
        <f t="shared" si="4"/>
        <v>11.35469595</v>
      </c>
      <c r="I297" s="56">
        <f t="shared" si="5"/>
        <v>2111.292165</v>
      </c>
      <c r="J297" s="63"/>
      <c r="K297" s="63"/>
      <c r="L297" s="64"/>
      <c r="M297" s="57">
        <v>913.0</v>
      </c>
      <c r="N297" s="51">
        <f t="shared" si="6"/>
        <v>103.668374</v>
      </c>
    </row>
    <row r="298">
      <c r="A298" s="50">
        <v>71104.0</v>
      </c>
      <c r="B298" s="50" t="s">
        <v>348</v>
      </c>
      <c r="C298" s="51">
        <v>32462.0</v>
      </c>
      <c r="D298" s="52">
        <v>32.3</v>
      </c>
      <c r="E298" s="53">
        <v>12.0</v>
      </c>
      <c r="F298" s="54">
        <f t="shared" si="2"/>
        <v>31.6878</v>
      </c>
      <c r="G298" s="54">
        <f t="shared" si="23"/>
        <v>1.467534181</v>
      </c>
      <c r="H298" s="55">
        <f t="shared" si="4"/>
        <v>17.61041017</v>
      </c>
      <c r="I298" s="56">
        <f t="shared" si="5"/>
        <v>5716.69135</v>
      </c>
      <c r="J298" s="63"/>
      <c r="K298" s="63"/>
      <c r="L298" s="64"/>
      <c r="M298" s="57">
        <v>6204.0</v>
      </c>
      <c r="N298" s="51">
        <f t="shared" si="6"/>
        <v>1092.549847</v>
      </c>
    </row>
    <row r="299">
      <c r="A299" s="50">
        <v>71105.0</v>
      </c>
      <c r="B299" s="50" t="s">
        <v>349</v>
      </c>
      <c r="C299" s="51">
        <v>6182.0</v>
      </c>
      <c r="D299" s="52">
        <v>0.0</v>
      </c>
      <c r="E299" s="53">
        <v>12.0</v>
      </c>
      <c r="F299" s="54">
        <f t="shared" si="2"/>
        <v>38.6</v>
      </c>
      <c r="G299" s="54">
        <f t="shared" si="23"/>
        <v>1.787653904</v>
      </c>
      <c r="H299" s="55">
        <f t="shared" si="4"/>
        <v>21.45184685</v>
      </c>
      <c r="I299" s="56">
        <f t="shared" si="5"/>
        <v>1326.153172</v>
      </c>
      <c r="J299" s="63"/>
      <c r="K299" s="63"/>
      <c r="L299" s="64"/>
      <c r="M299" s="57">
        <v>919.0</v>
      </c>
      <c r="N299" s="51">
        <f t="shared" si="6"/>
        <v>197.1424726</v>
      </c>
    </row>
    <row r="300">
      <c r="A300" s="50">
        <v>71106.0</v>
      </c>
      <c r="B300" s="50" t="s">
        <v>350</v>
      </c>
      <c r="C300" s="51">
        <v>20928.0</v>
      </c>
      <c r="D300" s="52">
        <v>32.3</v>
      </c>
      <c r="E300" s="53">
        <v>12.0</v>
      </c>
      <c r="F300" s="54">
        <f t="shared" si="2"/>
        <v>31.6878</v>
      </c>
      <c r="G300" s="54">
        <f t="shared" si="23"/>
        <v>1.467534181</v>
      </c>
      <c r="H300" s="55">
        <f t="shared" si="4"/>
        <v>17.61041017</v>
      </c>
      <c r="I300" s="56">
        <f t="shared" si="5"/>
        <v>3685.506641</v>
      </c>
      <c r="J300" s="63"/>
      <c r="K300" s="63"/>
      <c r="L300" s="64"/>
      <c r="M300" s="57">
        <v>3123.0</v>
      </c>
      <c r="N300" s="51">
        <f t="shared" si="6"/>
        <v>549.9731097</v>
      </c>
    </row>
    <row r="301">
      <c r="A301" s="50">
        <v>71201.0</v>
      </c>
      <c r="B301" s="50" t="s">
        <v>351</v>
      </c>
      <c r="C301" s="51">
        <v>13962.0</v>
      </c>
      <c r="D301" s="52">
        <v>42.8</v>
      </c>
      <c r="E301" s="53">
        <v>12.0</v>
      </c>
      <c r="F301" s="54">
        <f t="shared" si="2"/>
        <v>29.4408</v>
      </c>
      <c r="G301" s="54">
        <f t="shared" si="23"/>
        <v>1.363470494</v>
      </c>
      <c r="H301" s="55">
        <f t="shared" si="4"/>
        <v>16.36164593</v>
      </c>
      <c r="I301" s="56">
        <f t="shared" si="5"/>
        <v>2284.413004</v>
      </c>
      <c r="J301" s="63"/>
      <c r="K301" s="63"/>
      <c r="L301" s="64"/>
      <c r="M301" s="57">
        <v>1818.0</v>
      </c>
      <c r="N301" s="51">
        <f t="shared" si="6"/>
        <v>297.4547229</v>
      </c>
    </row>
    <row r="302">
      <c r="A302" s="50">
        <v>71301.0</v>
      </c>
      <c r="B302" s="50" t="s">
        <v>352</v>
      </c>
      <c r="C302" s="51">
        <v>15461.0</v>
      </c>
      <c r="D302" s="52">
        <v>31.4</v>
      </c>
      <c r="E302" s="53">
        <v>12.0</v>
      </c>
      <c r="F302" s="54">
        <f t="shared" si="2"/>
        <v>31.8804</v>
      </c>
      <c r="G302" s="54">
        <f t="shared" si="23"/>
        <v>1.476453926</v>
      </c>
      <c r="H302" s="55">
        <f t="shared" si="4"/>
        <v>17.71744711</v>
      </c>
      <c r="I302" s="56">
        <f t="shared" si="5"/>
        <v>2739.294497</v>
      </c>
      <c r="J302" s="63"/>
      <c r="K302" s="63"/>
      <c r="L302" s="64"/>
      <c r="M302" s="57">
        <v>2045.0</v>
      </c>
      <c r="N302" s="51">
        <f t="shared" si="6"/>
        <v>362.3217933</v>
      </c>
    </row>
    <row r="303">
      <c r="A303" s="50">
        <v>71302.0</v>
      </c>
      <c r="B303" s="50" t="s">
        <v>353</v>
      </c>
      <c r="C303" s="51">
        <v>6648.0</v>
      </c>
      <c r="D303" s="52">
        <v>51.4</v>
      </c>
      <c r="E303" s="53">
        <v>12.0</v>
      </c>
      <c r="F303" s="54">
        <f t="shared" si="2"/>
        <v>27.6004</v>
      </c>
      <c r="G303" s="54">
        <f t="shared" si="23"/>
        <v>1.278237379</v>
      </c>
      <c r="H303" s="55">
        <f t="shared" si="4"/>
        <v>15.33884854</v>
      </c>
      <c r="I303" s="56">
        <f t="shared" si="5"/>
        <v>1019.726651</v>
      </c>
      <c r="J303" s="63"/>
      <c r="K303" s="63"/>
      <c r="L303" s="64"/>
      <c r="M303" s="57">
        <v>878.0</v>
      </c>
      <c r="N303" s="51">
        <f t="shared" si="6"/>
        <v>134.6750902</v>
      </c>
    </row>
    <row r="304">
      <c r="A304" s="50">
        <v>71401.0</v>
      </c>
      <c r="B304" s="50" t="s">
        <v>354</v>
      </c>
      <c r="C304" s="51">
        <v>18149.0</v>
      </c>
      <c r="D304" s="52">
        <v>80.1</v>
      </c>
      <c r="E304" s="53">
        <v>12.0</v>
      </c>
      <c r="F304" s="54">
        <f t="shared" si="2"/>
        <v>21.4586</v>
      </c>
      <c r="G304" s="54">
        <f t="shared" si="23"/>
        <v>0.9937966339</v>
      </c>
      <c r="H304" s="55">
        <f t="shared" si="4"/>
        <v>11.92555961</v>
      </c>
      <c r="I304" s="56">
        <f t="shared" si="5"/>
        <v>2164.369813</v>
      </c>
      <c r="J304" s="63"/>
      <c r="K304" s="63"/>
      <c r="L304" s="64"/>
      <c r="M304" s="57">
        <v>1989.0</v>
      </c>
      <c r="N304" s="51">
        <f t="shared" si="6"/>
        <v>237.1993806</v>
      </c>
    </row>
    <row r="305">
      <c r="A305" s="50">
        <v>71402.0</v>
      </c>
      <c r="B305" s="50" t="s">
        <v>355</v>
      </c>
      <c r="C305" s="51">
        <v>15293.0</v>
      </c>
      <c r="D305" s="52">
        <v>97.9</v>
      </c>
      <c r="E305" s="53">
        <v>12.0</v>
      </c>
      <c r="F305" s="54">
        <f t="shared" si="2"/>
        <v>17.6494</v>
      </c>
      <c r="G305" s="54">
        <f t="shared" si="23"/>
        <v>0.8173839072</v>
      </c>
      <c r="H305" s="55">
        <f t="shared" si="4"/>
        <v>9.808606886</v>
      </c>
      <c r="I305" s="56">
        <f t="shared" si="5"/>
        <v>1500.030251</v>
      </c>
      <c r="J305" s="63"/>
      <c r="K305" s="63"/>
      <c r="L305" s="64"/>
      <c r="M305" s="57">
        <v>1778.0</v>
      </c>
      <c r="N305" s="51">
        <f t="shared" si="6"/>
        <v>174.3970304</v>
      </c>
    </row>
    <row r="306">
      <c r="A306" s="50">
        <v>71403.0</v>
      </c>
      <c r="B306" s="50" t="s">
        <v>356</v>
      </c>
      <c r="C306" s="51">
        <v>5815.0</v>
      </c>
      <c r="D306" s="52">
        <v>49.0</v>
      </c>
      <c r="E306" s="53">
        <v>12.0</v>
      </c>
      <c r="F306" s="54">
        <f t="shared" si="2"/>
        <v>28.114</v>
      </c>
      <c r="G306" s="54">
        <f t="shared" si="23"/>
        <v>1.302023364</v>
      </c>
      <c r="H306" s="55">
        <f t="shared" si="4"/>
        <v>15.62428037</v>
      </c>
      <c r="I306" s="56">
        <f t="shared" si="5"/>
        <v>908.5519036</v>
      </c>
      <c r="J306" s="63"/>
      <c r="K306" s="63"/>
      <c r="L306" s="64"/>
      <c r="M306" s="57">
        <v>769.0</v>
      </c>
      <c r="N306" s="51">
        <f t="shared" si="6"/>
        <v>120.1507161</v>
      </c>
    </row>
    <row r="307">
      <c r="A307" s="50">
        <v>71501.0</v>
      </c>
      <c r="B307" s="50" t="s">
        <v>357</v>
      </c>
      <c r="C307" s="51">
        <v>23402.0</v>
      </c>
      <c r="D307" s="52">
        <v>73.3</v>
      </c>
      <c r="E307" s="53">
        <v>12.0</v>
      </c>
      <c r="F307" s="54">
        <f t="shared" si="2"/>
        <v>22.9138</v>
      </c>
      <c r="G307" s="54">
        <f t="shared" si="23"/>
        <v>1.06119026</v>
      </c>
      <c r="H307" s="55">
        <f t="shared" si="4"/>
        <v>12.73428312</v>
      </c>
      <c r="I307" s="56">
        <f t="shared" si="5"/>
        <v>2980.076935</v>
      </c>
      <c r="J307" s="50"/>
      <c r="K307" s="50"/>
      <c r="L307" s="50"/>
      <c r="M307" s="57">
        <v>3312.0</v>
      </c>
      <c r="N307" s="51">
        <f t="shared" si="6"/>
        <v>421.7594569</v>
      </c>
    </row>
    <row r="308">
      <c r="A308" s="50">
        <v>71502.0</v>
      </c>
      <c r="B308" s="50" t="s">
        <v>358</v>
      </c>
      <c r="C308" s="51">
        <v>6638.0</v>
      </c>
      <c r="D308" s="52">
        <v>76.6</v>
      </c>
      <c r="E308" s="53">
        <v>12.0</v>
      </c>
      <c r="F308" s="54">
        <f t="shared" si="2"/>
        <v>22.2076</v>
      </c>
      <c r="G308" s="54">
        <f t="shared" si="23"/>
        <v>1.02848453</v>
      </c>
      <c r="H308" s="55">
        <f t="shared" si="4"/>
        <v>12.34181436</v>
      </c>
      <c r="I308" s="56">
        <f t="shared" si="5"/>
        <v>819.2496369</v>
      </c>
      <c r="J308" s="63"/>
      <c r="K308" s="63"/>
      <c r="L308" s="64"/>
      <c r="M308" s="57">
        <v>1002.0</v>
      </c>
      <c r="N308" s="51">
        <f t="shared" si="6"/>
        <v>123.6649798</v>
      </c>
    </row>
    <row r="309">
      <c r="A309" s="50">
        <v>71503.0</v>
      </c>
      <c r="B309" s="50" t="s">
        <v>304</v>
      </c>
      <c r="C309" s="51">
        <v>12179.0</v>
      </c>
      <c r="D309" s="52">
        <v>19.7</v>
      </c>
      <c r="E309" s="53">
        <v>12.0</v>
      </c>
      <c r="F309" s="54">
        <f t="shared" si="2"/>
        <v>34.3842</v>
      </c>
      <c r="G309" s="54">
        <f t="shared" si="23"/>
        <v>1.592410606</v>
      </c>
      <c r="H309" s="55">
        <f t="shared" si="4"/>
        <v>19.10892727</v>
      </c>
      <c r="I309" s="56">
        <f t="shared" si="5"/>
        <v>2327.276252</v>
      </c>
      <c r="J309" s="63"/>
      <c r="K309" s="63"/>
      <c r="L309" s="64"/>
      <c r="M309" s="57">
        <v>1719.0</v>
      </c>
      <c r="N309" s="51">
        <f t="shared" si="6"/>
        <v>328.4824597</v>
      </c>
    </row>
    <row r="310">
      <c r="A310" s="50">
        <v>80101.0</v>
      </c>
      <c r="B310" s="50" t="s">
        <v>359</v>
      </c>
      <c r="C310" s="51">
        <v>96911.0</v>
      </c>
      <c r="D310" s="52">
        <v>95.0</v>
      </c>
      <c r="E310" s="50">
        <v>17.8</v>
      </c>
      <c r="F310" s="54">
        <f t="shared" si="2"/>
        <v>18.27</v>
      </c>
      <c r="G310" s="54">
        <f t="shared" ref="G310:G329" si="24">1.46*F310/F$345</f>
        <v>0.7868426417</v>
      </c>
      <c r="H310" s="55">
        <f t="shared" si="4"/>
        <v>14.00579902</v>
      </c>
      <c r="I310" s="56">
        <f t="shared" si="5"/>
        <v>13573.15989</v>
      </c>
      <c r="J310" s="57">
        <f>SUM(C310:C329)</f>
        <v>400375</v>
      </c>
      <c r="K310" s="57">
        <f>SUM(I310:I329)</f>
        <v>71435.40953</v>
      </c>
      <c r="L310" s="58">
        <f>K310/J310</f>
        <v>0.1784212539</v>
      </c>
      <c r="M310" s="57">
        <v>11424.0</v>
      </c>
      <c r="N310" s="51">
        <f t="shared" si="6"/>
        <v>1600.02248</v>
      </c>
    </row>
    <row r="311">
      <c r="A311" s="50">
        <v>80102.0</v>
      </c>
      <c r="B311" s="50" t="s">
        <v>346</v>
      </c>
      <c r="C311" s="51">
        <v>4336.0</v>
      </c>
      <c r="D311" s="52">
        <v>0.0</v>
      </c>
      <c r="E311" s="50">
        <v>17.8</v>
      </c>
      <c r="F311" s="54">
        <f t="shared" si="2"/>
        <v>38.6</v>
      </c>
      <c r="G311" s="54">
        <f t="shared" si="24"/>
        <v>1.662404268</v>
      </c>
      <c r="H311" s="55">
        <f t="shared" si="4"/>
        <v>29.59079596</v>
      </c>
      <c r="I311" s="56">
        <f t="shared" si="5"/>
        <v>1283.056913</v>
      </c>
      <c r="J311" s="63"/>
      <c r="K311" s="63"/>
      <c r="L311" s="64"/>
      <c r="M311" s="57">
        <v>646.0</v>
      </c>
      <c r="N311" s="51">
        <f t="shared" si="6"/>
        <v>191.1565419</v>
      </c>
    </row>
    <row r="312">
      <c r="A312" s="50">
        <v>80201.0</v>
      </c>
      <c r="B312" s="50" t="s">
        <v>360</v>
      </c>
      <c r="C312" s="51">
        <v>84278.0</v>
      </c>
      <c r="D312" s="52">
        <v>87.2</v>
      </c>
      <c r="E312" s="50">
        <v>17.8</v>
      </c>
      <c r="F312" s="54">
        <f t="shared" si="2"/>
        <v>19.9392</v>
      </c>
      <c r="G312" s="54">
        <f t="shared" si="24"/>
        <v>0.8587308594</v>
      </c>
      <c r="H312" s="55">
        <f t="shared" si="4"/>
        <v>15.2854093</v>
      </c>
      <c r="I312" s="56">
        <f t="shared" si="5"/>
        <v>12882.23725</v>
      </c>
      <c r="J312" s="63"/>
      <c r="K312" s="63"/>
      <c r="L312" s="64"/>
      <c r="M312" s="57">
        <v>12131.0</v>
      </c>
      <c r="N312" s="51">
        <f t="shared" si="6"/>
        <v>1854.273002</v>
      </c>
    </row>
    <row r="313">
      <c r="A313" s="50">
        <v>80202.0</v>
      </c>
      <c r="B313" s="50" t="s">
        <v>361</v>
      </c>
      <c r="C313" s="51">
        <v>41316.0</v>
      </c>
      <c r="D313" s="52">
        <v>84.2</v>
      </c>
      <c r="E313" s="50">
        <v>17.8</v>
      </c>
      <c r="F313" s="54">
        <f t="shared" si="2"/>
        <v>20.5812</v>
      </c>
      <c r="G313" s="54">
        <f t="shared" si="24"/>
        <v>0.8863801739</v>
      </c>
      <c r="H313" s="55">
        <f t="shared" si="4"/>
        <v>15.7775671</v>
      </c>
      <c r="I313" s="56">
        <f t="shared" si="5"/>
        <v>6518.659621</v>
      </c>
      <c r="J313" s="63"/>
      <c r="K313" s="63"/>
      <c r="L313" s="64"/>
      <c r="M313" s="57">
        <v>5395.0</v>
      </c>
      <c r="N313" s="51">
        <f t="shared" si="6"/>
        <v>851.1997448</v>
      </c>
    </row>
    <row r="314">
      <c r="A314" s="50">
        <v>80301.0</v>
      </c>
      <c r="B314" s="50" t="s">
        <v>362</v>
      </c>
      <c r="C314" s="51">
        <v>12475.0</v>
      </c>
      <c r="D314" s="52">
        <v>54.9</v>
      </c>
      <c r="E314" s="50">
        <v>17.8</v>
      </c>
      <c r="F314" s="54">
        <f t="shared" si="2"/>
        <v>26.8514</v>
      </c>
      <c r="G314" s="54">
        <f t="shared" si="24"/>
        <v>1.156421812</v>
      </c>
      <c r="H314" s="55">
        <f t="shared" si="4"/>
        <v>20.58430826</v>
      </c>
      <c r="I314" s="56">
        <f t="shared" si="5"/>
        <v>2567.892455</v>
      </c>
      <c r="J314" s="63"/>
      <c r="K314" s="63"/>
      <c r="L314" s="64"/>
      <c r="M314" s="57">
        <v>1719.0</v>
      </c>
      <c r="N314" s="51">
        <f t="shared" si="6"/>
        <v>353.8442589</v>
      </c>
    </row>
    <row r="315">
      <c r="A315" s="50">
        <v>80302.0</v>
      </c>
      <c r="B315" s="50" t="s">
        <v>363</v>
      </c>
      <c r="C315" s="51">
        <v>38500.0</v>
      </c>
      <c r="D315" s="52">
        <v>55.0</v>
      </c>
      <c r="E315" s="50">
        <v>17.8</v>
      </c>
      <c r="F315" s="54">
        <f t="shared" si="2"/>
        <v>26.83</v>
      </c>
      <c r="G315" s="54">
        <f t="shared" si="24"/>
        <v>1.155500168</v>
      </c>
      <c r="H315" s="55">
        <f t="shared" si="4"/>
        <v>20.567903</v>
      </c>
      <c r="I315" s="56">
        <f t="shared" si="5"/>
        <v>7918.642654</v>
      </c>
      <c r="J315" s="63"/>
      <c r="K315" s="63"/>
      <c r="L315" s="64"/>
      <c r="M315" s="57">
        <v>5915.0</v>
      </c>
      <c r="N315" s="51">
        <f t="shared" si="6"/>
        <v>1216.591462</v>
      </c>
    </row>
    <row r="316">
      <c r="A316" s="50">
        <v>80303.0</v>
      </c>
      <c r="B316" s="50" t="s">
        <v>323</v>
      </c>
      <c r="C316" s="51">
        <v>9310.0</v>
      </c>
      <c r="D316" s="52">
        <v>48.0</v>
      </c>
      <c r="E316" s="50">
        <v>17.8</v>
      </c>
      <c r="F316" s="54">
        <f t="shared" si="2"/>
        <v>28.328</v>
      </c>
      <c r="G316" s="54">
        <f t="shared" si="24"/>
        <v>1.220015236</v>
      </c>
      <c r="H316" s="55">
        <f t="shared" si="4"/>
        <v>21.71627119</v>
      </c>
      <c r="I316" s="56">
        <f t="shared" si="5"/>
        <v>2021.784848</v>
      </c>
      <c r="J316" s="63"/>
      <c r="K316" s="63"/>
      <c r="L316" s="64"/>
      <c r="M316" s="57">
        <v>1334.0</v>
      </c>
      <c r="N316" s="51">
        <f t="shared" si="6"/>
        <v>289.6950577</v>
      </c>
    </row>
    <row r="317">
      <c r="A317" s="50">
        <v>80304.0</v>
      </c>
      <c r="B317" s="50" t="s">
        <v>364</v>
      </c>
      <c r="C317" s="51">
        <v>17185.0</v>
      </c>
      <c r="D317" s="52">
        <v>67.1</v>
      </c>
      <c r="E317" s="50">
        <v>17.8</v>
      </c>
      <c r="F317" s="54">
        <f t="shared" si="2"/>
        <v>24.2406</v>
      </c>
      <c r="G317" s="54">
        <f t="shared" si="24"/>
        <v>1.043981267</v>
      </c>
      <c r="H317" s="55">
        <f t="shared" si="4"/>
        <v>18.58286654</v>
      </c>
      <c r="I317" s="56">
        <f t="shared" si="5"/>
        <v>3193.465616</v>
      </c>
      <c r="J317" s="63"/>
      <c r="K317" s="63"/>
      <c r="L317" s="64"/>
      <c r="M317" s="57">
        <v>2291.0</v>
      </c>
      <c r="N317" s="51">
        <f t="shared" si="6"/>
        <v>425.7334725</v>
      </c>
    </row>
    <row r="318">
      <c r="A318" s="50">
        <v>80401.0</v>
      </c>
      <c r="B318" s="50" t="s">
        <v>365</v>
      </c>
      <c r="C318" s="51">
        <v>18740.0</v>
      </c>
      <c r="D318" s="52">
        <v>67.0</v>
      </c>
      <c r="E318" s="50">
        <v>17.8</v>
      </c>
      <c r="F318" s="54">
        <f t="shared" si="2"/>
        <v>24.262</v>
      </c>
      <c r="G318" s="54">
        <f t="shared" si="24"/>
        <v>1.04490291</v>
      </c>
      <c r="H318" s="55">
        <f t="shared" si="4"/>
        <v>18.5992718</v>
      </c>
      <c r="I318" s="56">
        <f t="shared" si="5"/>
        <v>3485.503536</v>
      </c>
      <c r="J318" s="63"/>
      <c r="K318" s="63"/>
      <c r="L318" s="64"/>
      <c r="M318" s="57">
        <v>2601.0</v>
      </c>
      <c r="N318" s="51">
        <f t="shared" si="6"/>
        <v>483.7670596</v>
      </c>
    </row>
    <row r="319">
      <c r="A319" s="50">
        <v>80402.0</v>
      </c>
      <c r="B319" s="50" t="s">
        <v>366</v>
      </c>
      <c r="C319" s="51">
        <v>6455.0</v>
      </c>
      <c r="D319" s="52">
        <v>0.0</v>
      </c>
      <c r="E319" s="50">
        <v>17.8</v>
      </c>
      <c r="F319" s="54">
        <f t="shared" si="2"/>
        <v>38.6</v>
      </c>
      <c r="G319" s="54">
        <f t="shared" si="24"/>
        <v>1.662404268</v>
      </c>
      <c r="H319" s="55">
        <f t="shared" si="4"/>
        <v>29.59079596</v>
      </c>
      <c r="I319" s="56">
        <f t="shared" si="5"/>
        <v>1910.085879</v>
      </c>
      <c r="J319" s="63"/>
      <c r="K319" s="63"/>
      <c r="L319" s="64"/>
      <c r="M319" s="57">
        <v>1024.0</v>
      </c>
      <c r="N319" s="51">
        <f t="shared" si="6"/>
        <v>303.0097507</v>
      </c>
    </row>
    <row r="320">
      <c r="A320" s="50">
        <v>80501.0</v>
      </c>
      <c r="B320" s="50" t="s">
        <v>312</v>
      </c>
      <c r="C320" s="51">
        <v>19251.0</v>
      </c>
      <c r="D320" s="52">
        <v>50.0</v>
      </c>
      <c r="E320" s="50">
        <v>17.8</v>
      </c>
      <c r="F320" s="54">
        <f t="shared" si="2"/>
        <v>27.9</v>
      </c>
      <c r="G320" s="54">
        <f t="shared" si="24"/>
        <v>1.201582359</v>
      </c>
      <c r="H320" s="55">
        <f t="shared" si="4"/>
        <v>21.38816599</v>
      </c>
      <c r="I320" s="56">
        <f t="shared" si="5"/>
        <v>4117.435836</v>
      </c>
      <c r="J320" s="63"/>
      <c r="K320" s="63"/>
      <c r="L320" s="64"/>
      <c r="M320" s="57">
        <v>2949.0</v>
      </c>
      <c r="N320" s="51">
        <f t="shared" si="6"/>
        <v>630.7370152</v>
      </c>
    </row>
    <row r="321">
      <c r="A321" s="50">
        <v>80601.0</v>
      </c>
      <c r="B321" s="50" t="s">
        <v>367</v>
      </c>
      <c r="C321" s="51">
        <v>3839.0</v>
      </c>
      <c r="D321" s="52">
        <v>0.0</v>
      </c>
      <c r="E321" s="50">
        <v>17.8</v>
      </c>
      <c r="F321" s="54">
        <f t="shared" si="2"/>
        <v>38.6</v>
      </c>
      <c r="G321" s="54">
        <f t="shared" si="24"/>
        <v>1.662404268</v>
      </c>
      <c r="H321" s="55">
        <f t="shared" si="4"/>
        <v>29.59079596</v>
      </c>
      <c r="I321" s="56">
        <f t="shared" si="5"/>
        <v>1135.990657</v>
      </c>
      <c r="J321" s="63"/>
      <c r="K321" s="63"/>
      <c r="L321" s="64"/>
      <c r="M321" s="57">
        <v>647.0</v>
      </c>
      <c r="N321" s="51">
        <f t="shared" si="6"/>
        <v>191.4524499</v>
      </c>
    </row>
    <row r="322">
      <c r="A322" s="50">
        <v>80602.0</v>
      </c>
      <c r="B322" s="50" t="s">
        <v>368</v>
      </c>
      <c r="C322" s="51">
        <v>11809.0</v>
      </c>
      <c r="D322" s="52">
        <v>11.9</v>
      </c>
      <c r="E322" s="50">
        <v>17.8</v>
      </c>
      <c r="F322" s="54">
        <f t="shared" si="2"/>
        <v>36.0534</v>
      </c>
      <c r="G322" s="54">
        <f t="shared" si="24"/>
        <v>1.552728653</v>
      </c>
      <c r="H322" s="55">
        <f t="shared" si="4"/>
        <v>27.63857003</v>
      </c>
      <c r="I322" s="56">
        <f t="shared" si="5"/>
        <v>3263.838735</v>
      </c>
      <c r="J322" s="63"/>
      <c r="K322" s="63"/>
      <c r="L322" s="64"/>
      <c r="M322" s="57">
        <v>1658.0</v>
      </c>
      <c r="N322" s="51">
        <f t="shared" si="6"/>
        <v>458.2474911</v>
      </c>
    </row>
    <row r="323">
      <c r="A323" s="50">
        <v>80701.0</v>
      </c>
      <c r="B323" s="50" t="s">
        <v>369</v>
      </c>
      <c r="C323" s="51">
        <v>6384.0</v>
      </c>
      <c r="D323" s="52">
        <v>65.4</v>
      </c>
      <c r="E323" s="50">
        <v>17.8</v>
      </c>
      <c r="F323" s="54">
        <f t="shared" si="2"/>
        <v>24.6044</v>
      </c>
      <c r="G323" s="54">
        <f t="shared" si="24"/>
        <v>1.059649211</v>
      </c>
      <c r="H323" s="55">
        <f t="shared" si="4"/>
        <v>18.86175596</v>
      </c>
      <c r="I323" s="56">
        <f t="shared" si="5"/>
        <v>1204.134501</v>
      </c>
      <c r="J323" s="63"/>
      <c r="K323" s="63"/>
      <c r="L323" s="64"/>
      <c r="M323" s="57">
        <v>827.0</v>
      </c>
      <c r="N323" s="51">
        <f t="shared" si="6"/>
        <v>155.9867218</v>
      </c>
    </row>
    <row r="324">
      <c r="A324" s="50">
        <v>80702.0</v>
      </c>
      <c r="B324" s="50" t="s">
        <v>347</v>
      </c>
      <c r="C324" s="51">
        <v>5308.0</v>
      </c>
      <c r="D324" s="52">
        <v>69.0</v>
      </c>
      <c r="E324" s="50">
        <v>17.8</v>
      </c>
      <c r="F324" s="54">
        <f t="shared" si="2"/>
        <v>23.834</v>
      </c>
      <c r="G324" s="54">
        <f t="shared" si="24"/>
        <v>1.026470034</v>
      </c>
      <c r="H324" s="55">
        <f t="shared" si="4"/>
        <v>18.27116661</v>
      </c>
      <c r="I324" s="56">
        <f t="shared" si="5"/>
        <v>969.8335234</v>
      </c>
      <c r="J324" s="63"/>
      <c r="K324" s="63"/>
      <c r="L324" s="64"/>
      <c r="M324" s="57">
        <v>759.0</v>
      </c>
      <c r="N324" s="51">
        <f t="shared" si="6"/>
        <v>138.6781545</v>
      </c>
    </row>
    <row r="325">
      <c r="A325" s="50">
        <v>80703.0</v>
      </c>
      <c r="B325" s="50" t="s">
        <v>370</v>
      </c>
      <c r="C325" s="51">
        <v>972.0</v>
      </c>
      <c r="D325" s="52">
        <v>0.0</v>
      </c>
      <c r="E325" s="50">
        <v>17.8</v>
      </c>
      <c r="F325" s="54">
        <f t="shared" si="2"/>
        <v>38.6</v>
      </c>
      <c r="G325" s="54">
        <f t="shared" si="24"/>
        <v>1.662404268</v>
      </c>
      <c r="H325" s="55">
        <f t="shared" si="4"/>
        <v>29.59079596</v>
      </c>
      <c r="I325" s="56">
        <f t="shared" si="5"/>
        <v>287.6225368</v>
      </c>
      <c r="J325" s="63"/>
      <c r="K325" s="63"/>
      <c r="L325" s="64"/>
      <c r="M325" s="57">
        <v>166.0</v>
      </c>
      <c r="N325" s="51">
        <f t="shared" si="6"/>
        <v>49.1207213</v>
      </c>
    </row>
    <row r="326">
      <c r="A326" s="50">
        <v>80801.0</v>
      </c>
      <c r="B326" s="50" t="s">
        <v>371</v>
      </c>
      <c r="C326" s="51">
        <v>10843.0</v>
      </c>
      <c r="D326" s="52">
        <v>68.5</v>
      </c>
      <c r="E326" s="50">
        <v>17.8</v>
      </c>
      <c r="F326" s="54">
        <f t="shared" si="2"/>
        <v>23.941</v>
      </c>
      <c r="G326" s="54">
        <f t="shared" si="24"/>
        <v>1.031078253</v>
      </c>
      <c r="H326" s="55">
        <f t="shared" si="4"/>
        <v>18.35319291</v>
      </c>
      <c r="I326" s="56">
        <f t="shared" si="5"/>
        <v>1990.036707</v>
      </c>
      <c r="J326" s="50"/>
      <c r="K326" s="50"/>
      <c r="L326" s="50"/>
      <c r="M326" s="57">
        <v>1460.0</v>
      </c>
      <c r="N326" s="51">
        <f t="shared" si="6"/>
        <v>267.9566164</v>
      </c>
    </row>
    <row r="327">
      <c r="A327" s="50">
        <v>80802.0</v>
      </c>
      <c r="B327" s="50" t="s">
        <v>372</v>
      </c>
      <c r="C327" s="51">
        <v>5710.0</v>
      </c>
      <c r="D327" s="52">
        <v>39.4</v>
      </c>
      <c r="E327" s="50">
        <v>17.8</v>
      </c>
      <c r="F327" s="54">
        <f t="shared" si="2"/>
        <v>30.1684</v>
      </c>
      <c r="G327" s="54">
        <f t="shared" si="24"/>
        <v>1.299276604</v>
      </c>
      <c r="H327" s="55">
        <f t="shared" si="4"/>
        <v>23.12712355</v>
      </c>
      <c r="I327" s="56">
        <f t="shared" si="5"/>
        <v>1320.558755</v>
      </c>
      <c r="J327" s="63"/>
      <c r="K327" s="63"/>
      <c r="L327" s="64"/>
      <c r="M327" s="57">
        <v>725.0</v>
      </c>
      <c r="N327" s="51">
        <f t="shared" si="6"/>
        <v>167.6716457</v>
      </c>
    </row>
    <row r="328">
      <c r="A328" s="50">
        <v>80803.0</v>
      </c>
      <c r="B328" s="50" t="s">
        <v>373</v>
      </c>
      <c r="C328" s="51">
        <v>3964.0</v>
      </c>
      <c r="D328" s="52">
        <v>31.8</v>
      </c>
      <c r="E328" s="50">
        <v>17.8</v>
      </c>
      <c r="F328" s="54">
        <f t="shared" si="2"/>
        <v>31.7948</v>
      </c>
      <c r="G328" s="54">
        <f t="shared" si="24"/>
        <v>1.369321534</v>
      </c>
      <c r="H328" s="55">
        <f t="shared" si="4"/>
        <v>24.3739233</v>
      </c>
      <c r="I328" s="56">
        <f t="shared" si="5"/>
        <v>966.1823197</v>
      </c>
      <c r="J328" s="63"/>
      <c r="K328" s="63"/>
      <c r="L328" s="64"/>
      <c r="M328" s="57">
        <v>504.0</v>
      </c>
      <c r="N328" s="51">
        <f t="shared" si="6"/>
        <v>122.8445734</v>
      </c>
    </row>
    <row r="329">
      <c r="A329" s="50">
        <v>80901.0</v>
      </c>
      <c r="B329" s="50" t="s">
        <v>374</v>
      </c>
      <c r="C329" s="51">
        <v>2789.0</v>
      </c>
      <c r="D329" s="52">
        <v>0.0</v>
      </c>
      <c r="E329" s="50">
        <v>17.8</v>
      </c>
      <c r="F329" s="54">
        <f t="shared" si="2"/>
        <v>38.6</v>
      </c>
      <c r="G329" s="54">
        <f t="shared" si="24"/>
        <v>1.662404268</v>
      </c>
      <c r="H329" s="55">
        <f t="shared" si="4"/>
        <v>29.59079596</v>
      </c>
      <c r="I329" s="56">
        <f t="shared" si="5"/>
        <v>825.2872994</v>
      </c>
      <c r="J329" s="63"/>
      <c r="K329" s="63"/>
      <c r="L329" s="64"/>
      <c r="M329" s="57">
        <v>476.0</v>
      </c>
      <c r="N329" s="51">
        <f t="shared" si="6"/>
        <v>140.8521888</v>
      </c>
    </row>
    <row r="330">
      <c r="A330" s="50">
        <v>90101.0</v>
      </c>
      <c r="B330" s="50" t="s">
        <v>375</v>
      </c>
      <c r="C330" s="51">
        <v>37560.0</v>
      </c>
      <c r="D330" s="52">
        <v>94.6</v>
      </c>
      <c r="E330" s="50">
        <v>15.0</v>
      </c>
      <c r="F330" s="54">
        <f t="shared" si="2"/>
        <v>18.3556</v>
      </c>
      <c r="G330" s="54">
        <f t="shared" ref="G330:G344" si="25">1.17*F330/F$345</f>
        <v>0.6335062903</v>
      </c>
      <c r="H330" s="55">
        <f t="shared" si="4"/>
        <v>9.502594354</v>
      </c>
      <c r="I330" s="56">
        <f t="shared" si="5"/>
        <v>3569.17444</v>
      </c>
      <c r="J330" s="57">
        <f>SUM(C330:C344)</f>
        <v>89379</v>
      </c>
      <c r="K330" s="57">
        <f>SUM(I330:I344)</f>
        <v>13373.45101</v>
      </c>
      <c r="L330" s="58">
        <f>K330/J330</f>
        <v>0.1496263217</v>
      </c>
      <c r="M330" s="57">
        <v>4837.0</v>
      </c>
      <c r="N330" s="51">
        <f t="shared" si="6"/>
        <v>459.6404889</v>
      </c>
    </row>
    <row r="331">
      <c r="A331" s="50">
        <v>90102.0</v>
      </c>
      <c r="B331" s="50" t="s">
        <v>376</v>
      </c>
      <c r="C331" s="51">
        <v>6408.0</v>
      </c>
      <c r="D331" s="52">
        <v>35.1</v>
      </c>
      <c r="E331" s="50">
        <v>15.0</v>
      </c>
      <c r="F331" s="54">
        <f t="shared" si="2"/>
        <v>31.0886</v>
      </c>
      <c r="G331" s="54">
        <f t="shared" si="25"/>
        <v>1.07295995</v>
      </c>
      <c r="H331" s="55">
        <f t="shared" si="4"/>
        <v>16.09439925</v>
      </c>
      <c r="I331" s="56">
        <f t="shared" si="5"/>
        <v>1031.329104</v>
      </c>
      <c r="J331" s="63"/>
      <c r="K331" s="63"/>
      <c r="L331" s="64"/>
      <c r="M331" s="57">
        <v>851.0</v>
      </c>
      <c r="N331" s="51">
        <f t="shared" si="6"/>
        <v>136.9633376</v>
      </c>
    </row>
    <row r="332">
      <c r="A332" s="50">
        <v>90103.0</v>
      </c>
      <c r="B332" s="50" t="s">
        <v>377</v>
      </c>
      <c r="C332" s="51">
        <v>1817.0</v>
      </c>
      <c r="D332" s="52">
        <v>0.0</v>
      </c>
      <c r="E332" s="50">
        <v>15.0</v>
      </c>
      <c r="F332" s="54">
        <f t="shared" si="2"/>
        <v>38.6</v>
      </c>
      <c r="G332" s="54">
        <f t="shared" si="25"/>
        <v>1.33220068</v>
      </c>
      <c r="H332" s="55">
        <f t="shared" si="4"/>
        <v>19.9830102</v>
      </c>
      <c r="I332" s="56">
        <f t="shared" si="5"/>
        <v>363.0912954</v>
      </c>
      <c r="J332" s="63"/>
      <c r="K332" s="63"/>
      <c r="L332" s="64"/>
      <c r="M332" s="57">
        <v>266.0</v>
      </c>
      <c r="N332" s="51">
        <f t="shared" si="6"/>
        <v>53.15480714</v>
      </c>
    </row>
    <row r="333">
      <c r="A333" s="50">
        <v>90104.0</v>
      </c>
      <c r="B333" s="50" t="s">
        <v>378</v>
      </c>
      <c r="C333" s="51">
        <v>3326.0</v>
      </c>
      <c r="D333" s="52">
        <v>0.0</v>
      </c>
      <c r="E333" s="50">
        <v>15.0</v>
      </c>
      <c r="F333" s="54">
        <f t="shared" si="2"/>
        <v>38.6</v>
      </c>
      <c r="G333" s="54">
        <f t="shared" si="25"/>
        <v>1.33220068</v>
      </c>
      <c r="H333" s="55">
        <f t="shared" si="4"/>
        <v>19.9830102</v>
      </c>
      <c r="I333" s="56">
        <f t="shared" si="5"/>
        <v>664.6349193</v>
      </c>
      <c r="J333" s="63"/>
      <c r="K333" s="63"/>
      <c r="L333" s="64"/>
      <c r="M333" s="57">
        <v>436.0</v>
      </c>
      <c r="N333" s="51">
        <f t="shared" si="6"/>
        <v>87.12592448</v>
      </c>
    </row>
    <row r="334">
      <c r="A334" s="50">
        <v>90201.0</v>
      </c>
      <c r="B334" s="50" t="s">
        <v>379</v>
      </c>
      <c r="C334" s="51">
        <v>5426.0</v>
      </c>
      <c r="D334" s="52">
        <v>27.9</v>
      </c>
      <c r="E334" s="50">
        <v>15.0</v>
      </c>
      <c r="F334" s="54">
        <f t="shared" si="2"/>
        <v>32.6294</v>
      </c>
      <c r="G334" s="54">
        <f t="shared" si="25"/>
        <v>1.126137536</v>
      </c>
      <c r="H334" s="55">
        <f t="shared" si="4"/>
        <v>16.89206303</v>
      </c>
      <c r="I334" s="56">
        <f t="shared" si="5"/>
        <v>916.5633402</v>
      </c>
      <c r="J334" s="63"/>
      <c r="K334" s="63"/>
      <c r="L334" s="64"/>
      <c r="M334" s="57">
        <v>833.0</v>
      </c>
      <c r="N334" s="51">
        <f t="shared" si="6"/>
        <v>140.7108851</v>
      </c>
    </row>
    <row r="335">
      <c r="A335" s="50">
        <v>90202.0</v>
      </c>
      <c r="B335" s="50" t="s">
        <v>270</v>
      </c>
      <c r="C335" s="51">
        <v>2297.0</v>
      </c>
      <c r="D335" s="52">
        <v>0.0</v>
      </c>
      <c r="E335" s="50">
        <v>15.0</v>
      </c>
      <c r="F335" s="54">
        <f t="shared" si="2"/>
        <v>38.6</v>
      </c>
      <c r="G335" s="54">
        <f t="shared" si="25"/>
        <v>1.33220068</v>
      </c>
      <c r="H335" s="55">
        <f t="shared" si="4"/>
        <v>19.9830102</v>
      </c>
      <c r="I335" s="56">
        <f t="shared" si="5"/>
        <v>459.0097444</v>
      </c>
      <c r="J335" s="63"/>
      <c r="K335" s="63"/>
      <c r="L335" s="64"/>
      <c r="M335" s="57">
        <v>301.0</v>
      </c>
      <c r="N335" s="51">
        <f t="shared" si="6"/>
        <v>60.14886071</v>
      </c>
    </row>
    <row r="336">
      <c r="A336" s="50">
        <v>90203.0</v>
      </c>
      <c r="B336" s="50" t="s">
        <v>380</v>
      </c>
      <c r="C336" s="51">
        <v>4807.0</v>
      </c>
      <c r="D336" s="52">
        <v>0.0</v>
      </c>
      <c r="E336" s="50">
        <v>15.0</v>
      </c>
      <c r="F336" s="54">
        <f t="shared" si="2"/>
        <v>38.6</v>
      </c>
      <c r="G336" s="54">
        <f t="shared" si="25"/>
        <v>1.33220068</v>
      </c>
      <c r="H336" s="55">
        <f t="shared" si="4"/>
        <v>19.9830102</v>
      </c>
      <c r="I336" s="56">
        <f t="shared" si="5"/>
        <v>960.5833005</v>
      </c>
      <c r="J336" s="63"/>
      <c r="K336" s="63"/>
      <c r="L336" s="64"/>
      <c r="M336" s="57">
        <v>735.0</v>
      </c>
      <c r="N336" s="51">
        <f t="shared" si="6"/>
        <v>146.875125</v>
      </c>
    </row>
    <row r="337">
      <c r="A337" s="50">
        <v>90301.0</v>
      </c>
      <c r="B337" s="50" t="s">
        <v>381</v>
      </c>
      <c r="C337" s="51">
        <v>6578.0</v>
      </c>
      <c r="D337" s="52">
        <v>0.0</v>
      </c>
      <c r="E337" s="50">
        <v>15.0</v>
      </c>
      <c r="F337" s="54">
        <f t="shared" si="2"/>
        <v>38.6</v>
      </c>
      <c r="G337" s="54">
        <f t="shared" si="25"/>
        <v>1.33220068</v>
      </c>
      <c r="H337" s="55">
        <f t="shared" si="4"/>
        <v>19.9830102</v>
      </c>
      <c r="I337" s="56">
        <f t="shared" si="5"/>
        <v>1314.482411</v>
      </c>
      <c r="J337" s="63"/>
      <c r="K337" s="63"/>
      <c r="L337" s="64"/>
      <c r="M337" s="57">
        <v>1011.0</v>
      </c>
      <c r="N337" s="51">
        <f t="shared" si="6"/>
        <v>202.0282332</v>
      </c>
    </row>
    <row r="338">
      <c r="A338" s="50">
        <v>90302.0</v>
      </c>
      <c r="B338" s="50" t="s">
        <v>303</v>
      </c>
      <c r="C338" s="51">
        <v>6132.0</v>
      </c>
      <c r="D338" s="52">
        <v>0.0</v>
      </c>
      <c r="E338" s="50">
        <v>15.0</v>
      </c>
      <c r="F338" s="54">
        <f t="shared" si="2"/>
        <v>38.6</v>
      </c>
      <c r="G338" s="54">
        <f t="shared" si="25"/>
        <v>1.33220068</v>
      </c>
      <c r="H338" s="55">
        <f t="shared" si="4"/>
        <v>19.9830102</v>
      </c>
      <c r="I338" s="56">
        <f t="shared" si="5"/>
        <v>1225.358186</v>
      </c>
      <c r="J338" s="63"/>
      <c r="K338" s="63"/>
      <c r="L338" s="64"/>
      <c r="M338" s="57">
        <v>993.0</v>
      </c>
      <c r="N338" s="51">
        <f t="shared" si="6"/>
        <v>198.4312913</v>
      </c>
    </row>
    <row r="339">
      <c r="A339" s="50">
        <v>90303.0</v>
      </c>
      <c r="B339" s="50" t="s">
        <v>382</v>
      </c>
      <c r="C339" s="51">
        <v>6070.0</v>
      </c>
      <c r="D339" s="52">
        <v>19.9</v>
      </c>
      <c r="E339" s="50">
        <v>15.0</v>
      </c>
      <c r="F339" s="54">
        <f t="shared" si="2"/>
        <v>34.3414</v>
      </c>
      <c r="G339" s="54">
        <f t="shared" si="25"/>
        <v>1.185223742</v>
      </c>
      <c r="H339" s="55">
        <f t="shared" si="4"/>
        <v>17.77835613</v>
      </c>
      <c r="I339" s="56">
        <f t="shared" si="5"/>
        <v>1079.146217</v>
      </c>
      <c r="J339" s="63"/>
      <c r="K339" s="63"/>
      <c r="L339" s="64"/>
      <c r="M339" s="57">
        <v>1021.0</v>
      </c>
      <c r="N339" s="51">
        <f t="shared" si="6"/>
        <v>181.5170161</v>
      </c>
    </row>
    <row r="340">
      <c r="A340" s="50">
        <v>90401.0</v>
      </c>
      <c r="B340" s="50" t="s">
        <v>323</v>
      </c>
      <c r="C340" s="51">
        <v>2287.0</v>
      </c>
      <c r="D340" s="52">
        <v>0.0</v>
      </c>
      <c r="E340" s="50">
        <v>15.0</v>
      </c>
      <c r="F340" s="54">
        <f t="shared" si="2"/>
        <v>38.6</v>
      </c>
      <c r="G340" s="54">
        <f t="shared" si="25"/>
        <v>1.33220068</v>
      </c>
      <c r="H340" s="55">
        <f t="shared" si="4"/>
        <v>19.9830102</v>
      </c>
      <c r="I340" s="56">
        <f t="shared" si="5"/>
        <v>457.0114433</v>
      </c>
      <c r="J340" s="63"/>
      <c r="K340" s="63"/>
      <c r="L340" s="64"/>
      <c r="M340" s="57">
        <v>316.0</v>
      </c>
      <c r="N340" s="51">
        <f t="shared" si="6"/>
        <v>63.14631224</v>
      </c>
    </row>
    <row r="341">
      <c r="A341" s="50">
        <v>90402.0</v>
      </c>
      <c r="B341" s="50" t="s">
        <v>383</v>
      </c>
      <c r="C341" s="51">
        <v>1379.0</v>
      </c>
      <c r="D341" s="52">
        <v>0.0</v>
      </c>
      <c r="E341" s="50">
        <v>15.0</v>
      </c>
      <c r="F341" s="54">
        <f t="shared" si="2"/>
        <v>38.6</v>
      </c>
      <c r="G341" s="54">
        <f t="shared" si="25"/>
        <v>1.33220068</v>
      </c>
      <c r="H341" s="55">
        <f t="shared" si="4"/>
        <v>19.9830102</v>
      </c>
      <c r="I341" s="56">
        <f t="shared" si="5"/>
        <v>275.5657107</v>
      </c>
      <c r="J341" s="63"/>
      <c r="K341" s="63"/>
      <c r="L341" s="64"/>
      <c r="M341" s="57">
        <v>242.0</v>
      </c>
      <c r="N341" s="51">
        <f t="shared" si="6"/>
        <v>48.35888469</v>
      </c>
    </row>
    <row r="342">
      <c r="A342" s="50">
        <v>90501.0</v>
      </c>
      <c r="B342" s="50" t="s">
        <v>384</v>
      </c>
      <c r="C342" s="73">
        <v>1585.0</v>
      </c>
      <c r="D342" s="74">
        <v>0.0</v>
      </c>
      <c r="E342" s="50">
        <v>15.0</v>
      </c>
      <c r="F342" s="54">
        <f t="shared" si="2"/>
        <v>38.6</v>
      </c>
      <c r="G342" s="54">
        <f t="shared" si="25"/>
        <v>1.33220068</v>
      </c>
      <c r="H342" s="55">
        <f t="shared" si="4"/>
        <v>19.9830102</v>
      </c>
      <c r="I342" s="56">
        <f t="shared" si="5"/>
        <v>316.7307117</v>
      </c>
      <c r="J342" s="63"/>
      <c r="K342" s="63"/>
      <c r="L342" s="64"/>
      <c r="M342" s="73">
        <v>196.0</v>
      </c>
      <c r="N342" s="51">
        <f t="shared" si="6"/>
        <v>39.1667</v>
      </c>
    </row>
    <row r="343">
      <c r="A343" s="50">
        <v>90502.0</v>
      </c>
      <c r="B343" s="50" t="s">
        <v>385</v>
      </c>
      <c r="C343" s="73">
        <v>2144.0</v>
      </c>
      <c r="D343" s="74">
        <v>0.0</v>
      </c>
      <c r="E343" s="50">
        <v>15.0</v>
      </c>
      <c r="F343" s="54">
        <f t="shared" si="2"/>
        <v>38.6</v>
      </c>
      <c r="G343" s="54">
        <f t="shared" si="25"/>
        <v>1.33220068</v>
      </c>
      <c r="H343" s="55">
        <f t="shared" si="4"/>
        <v>19.9830102</v>
      </c>
      <c r="I343" s="56">
        <f t="shared" si="5"/>
        <v>428.4357388</v>
      </c>
      <c r="J343" s="63"/>
      <c r="K343" s="63"/>
      <c r="L343" s="64"/>
      <c r="M343" s="73">
        <v>358.0</v>
      </c>
      <c r="N343" s="51">
        <f t="shared" si="6"/>
        <v>71.53917653</v>
      </c>
    </row>
    <row r="344">
      <c r="A344" s="50">
        <v>90503.0</v>
      </c>
      <c r="B344" s="75" t="s">
        <v>386</v>
      </c>
      <c r="C344" s="76">
        <v>1563.0</v>
      </c>
      <c r="D344" s="77">
        <v>0.0</v>
      </c>
      <c r="E344" s="50">
        <v>15.0</v>
      </c>
      <c r="F344" s="54">
        <f t="shared" si="2"/>
        <v>38.6</v>
      </c>
      <c r="G344" s="54">
        <f t="shared" si="25"/>
        <v>1.33220068</v>
      </c>
      <c r="H344" s="78">
        <f t="shared" si="4"/>
        <v>19.9830102</v>
      </c>
      <c r="I344" s="79">
        <f t="shared" si="5"/>
        <v>312.3344495</v>
      </c>
      <c r="J344" s="80"/>
      <c r="K344" s="81"/>
      <c r="L344" s="82"/>
      <c r="M344" s="76">
        <v>218.0</v>
      </c>
      <c r="N344" s="70">
        <f t="shared" si="6"/>
        <v>43.56296224</v>
      </c>
    </row>
    <row r="345">
      <c r="B345" s="83" t="s">
        <v>67</v>
      </c>
      <c r="C345" s="84">
        <f>SUM(C2:C344)</f>
        <v>9410575</v>
      </c>
      <c r="D345" s="85"/>
      <c r="E345" s="86">
        <v>27.1</v>
      </c>
      <c r="F345" s="87">
        <f>AVERAGE(F2:F344)</f>
        <v>33.90029796</v>
      </c>
      <c r="G345" s="88"/>
      <c r="H345" s="89">
        <f>AVERAGE(H2:H344)</f>
        <v>37.21847153</v>
      </c>
      <c r="I345" s="90">
        <f>SUM(I2:I344)</f>
        <v>2415444.275</v>
      </c>
      <c r="J345" s="91"/>
      <c r="K345" s="92"/>
      <c r="L345" s="93"/>
      <c r="M345" s="94">
        <f t="shared" ref="M345:N345" si="26">SUM(M2:M344)</f>
        <v>1089068</v>
      </c>
      <c r="N345" s="95">
        <f t="shared" si="26"/>
        <v>282454.8143</v>
      </c>
    </row>
    <row r="346">
      <c r="C346" s="96"/>
      <c r="D346" s="97"/>
      <c r="J346" s="98"/>
      <c r="K346" s="98"/>
      <c r="L346" s="99"/>
      <c r="M346" s="96"/>
    </row>
    <row r="347">
      <c r="C347" s="96"/>
      <c r="D347" s="97"/>
      <c r="J347" s="98"/>
      <c r="K347" s="98"/>
      <c r="L347" s="99"/>
      <c r="M347" s="96"/>
    </row>
    <row r="348">
      <c r="C348" s="96"/>
      <c r="D348" s="97"/>
      <c r="J348" s="98"/>
      <c r="K348" s="98"/>
      <c r="L348" s="99"/>
      <c r="M348" s="96"/>
    </row>
    <row r="349">
      <c r="C349" s="96"/>
      <c r="D349" s="97"/>
      <c r="J349" s="98"/>
      <c r="K349" s="98"/>
      <c r="L349" s="99"/>
      <c r="M349" s="96"/>
    </row>
    <row r="350">
      <c r="C350" s="96"/>
      <c r="D350" s="97"/>
      <c r="J350" s="98"/>
      <c r="K350" s="98"/>
      <c r="L350" s="99"/>
      <c r="M350" s="96"/>
    </row>
    <row r="351">
      <c r="C351" s="96"/>
      <c r="D351" s="97"/>
      <c r="J351" s="98"/>
      <c r="K351" s="98"/>
      <c r="L351" s="99"/>
      <c r="M351" s="96"/>
    </row>
    <row r="352">
      <c r="C352" s="96"/>
      <c r="D352" s="97"/>
      <c r="J352" s="98"/>
      <c r="K352" s="98"/>
      <c r="L352" s="99"/>
      <c r="M352" s="96"/>
    </row>
    <row r="353">
      <c r="C353" s="96"/>
      <c r="D353" s="97"/>
      <c r="J353" s="98"/>
      <c r="K353" s="98"/>
      <c r="L353" s="99"/>
      <c r="M353" s="96"/>
    </row>
    <row r="354">
      <c r="C354" s="96"/>
      <c r="D354" s="97"/>
      <c r="J354" s="98"/>
      <c r="K354" s="98"/>
      <c r="L354" s="99"/>
      <c r="M354" s="96"/>
    </row>
    <row r="355">
      <c r="C355" s="96"/>
      <c r="D355" s="97"/>
      <c r="J355" s="98"/>
      <c r="K355" s="98"/>
      <c r="L355" s="99"/>
      <c r="M355" s="96"/>
    </row>
    <row r="356">
      <c r="C356" s="96"/>
      <c r="D356" s="97"/>
      <c r="J356" s="98"/>
      <c r="K356" s="98"/>
      <c r="L356" s="99"/>
      <c r="M356" s="96"/>
    </row>
    <row r="357">
      <c r="C357" s="96"/>
      <c r="D357" s="97"/>
      <c r="J357" s="98"/>
      <c r="K357" s="98"/>
      <c r="L357" s="99"/>
      <c r="M357" s="96"/>
    </row>
    <row r="358">
      <c r="C358" s="96"/>
      <c r="D358" s="97"/>
      <c r="J358" s="98"/>
      <c r="K358" s="98"/>
      <c r="L358" s="99"/>
      <c r="M358" s="96"/>
    </row>
    <row r="359">
      <c r="C359" s="96"/>
      <c r="D359" s="97"/>
      <c r="J359" s="98"/>
      <c r="K359" s="98"/>
      <c r="L359" s="99"/>
      <c r="M359" s="96"/>
    </row>
    <row r="360">
      <c r="C360" s="96"/>
      <c r="D360" s="97"/>
      <c r="J360" s="98"/>
      <c r="K360" s="98"/>
      <c r="L360" s="99"/>
      <c r="M360" s="96"/>
    </row>
    <row r="361">
      <c r="C361" s="96"/>
      <c r="D361" s="97"/>
      <c r="J361" s="98"/>
      <c r="K361" s="98"/>
      <c r="L361" s="99"/>
      <c r="M361" s="96"/>
    </row>
    <row r="362">
      <c r="C362" s="96"/>
      <c r="D362" s="97"/>
      <c r="J362" s="98"/>
      <c r="K362" s="98"/>
      <c r="L362" s="99"/>
      <c r="M362" s="96"/>
    </row>
    <row r="363">
      <c r="C363" s="96"/>
      <c r="D363" s="97"/>
      <c r="J363" s="98"/>
      <c r="K363" s="98"/>
      <c r="L363" s="99"/>
      <c r="M363" s="96"/>
    </row>
    <row r="364">
      <c r="C364" s="96"/>
      <c r="D364" s="97"/>
      <c r="J364" s="98"/>
      <c r="K364" s="98"/>
      <c r="L364" s="99"/>
      <c r="M364" s="96"/>
    </row>
    <row r="365">
      <c r="C365" s="96"/>
      <c r="D365" s="97"/>
      <c r="J365" s="98"/>
      <c r="K365" s="98"/>
      <c r="L365" s="99"/>
      <c r="M365" s="96"/>
    </row>
    <row r="366">
      <c r="C366" s="96"/>
      <c r="D366" s="97"/>
      <c r="J366" s="98"/>
      <c r="K366" s="98"/>
      <c r="L366" s="99"/>
      <c r="M366" s="96"/>
    </row>
    <row r="367">
      <c r="C367" s="96"/>
      <c r="D367" s="97"/>
      <c r="J367" s="98"/>
      <c r="K367" s="98"/>
      <c r="L367" s="99"/>
      <c r="M367" s="96"/>
    </row>
    <row r="368">
      <c r="C368" s="96"/>
      <c r="D368" s="97"/>
      <c r="J368" s="98"/>
      <c r="K368" s="98"/>
      <c r="L368" s="99"/>
      <c r="M368" s="96"/>
    </row>
    <row r="369">
      <c r="C369" s="96"/>
      <c r="D369" s="97"/>
      <c r="J369" s="98"/>
      <c r="K369" s="98"/>
      <c r="L369" s="99"/>
      <c r="M369" s="96"/>
    </row>
    <row r="370">
      <c r="C370" s="96"/>
      <c r="D370" s="97"/>
      <c r="J370" s="98"/>
      <c r="K370" s="98"/>
      <c r="L370" s="99"/>
      <c r="M370" s="96"/>
    </row>
    <row r="371">
      <c r="C371" s="96"/>
      <c r="D371" s="97"/>
      <c r="J371" s="98"/>
      <c r="K371" s="98"/>
      <c r="L371" s="99"/>
      <c r="M371" s="96"/>
    </row>
    <row r="372">
      <c r="C372" s="96"/>
      <c r="D372" s="97"/>
      <c r="J372" s="98"/>
      <c r="K372" s="98"/>
      <c r="L372" s="99"/>
      <c r="M372" s="96"/>
    </row>
    <row r="373">
      <c r="C373" s="96"/>
      <c r="D373" s="97"/>
      <c r="J373" s="98"/>
      <c r="K373" s="98"/>
      <c r="L373" s="99"/>
      <c r="M373" s="96"/>
    </row>
    <row r="374">
      <c r="C374" s="96"/>
      <c r="D374" s="97"/>
      <c r="J374" s="98"/>
      <c r="K374" s="98"/>
      <c r="L374" s="99"/>
      <c r="M374" s="96"/>
    </row>
    <row r="375">
      <c r="C375" s="96"/>
      <c r="D375" s="97"/>
      <c r="J375" s="98"/>
      <c r="K375" s="98"/>
      <c r="L375" s="99"/>
      <c r="M375" s="96"/>
    </row>
    <row r="376">
      <c r="C376" s="96"/>
      <c r="D376" s="97"/>
      <c r="J376" s="98"/>
      <c r="K376" s="98"/>
      <c r="L376" s="99"/>
      <c r="M376" s="96"/>
    </row>
    <row r="377">
      <c r="C377" s="96"/>
      <c r="D377" s="97"/>
      <c r="J377" s="98"/>
      <c r="K377" s="98"/>
      <c r="L377" s="99"/>
      <c r="M377" s="96"/>
    </row>
    <row r="378">
      <c r="C378" s="96"/>
      <c r="D378" s="97"/>
      <c r="J378" s="98"/>
      <c r="K378" s="98"/>
      <c r="L378" s="99"/>
      <c r="M378" s="96"/>
    </row>
    <row r="379">
      <c r="C379" s="96"/>
      <c r="D379" s="97"/>
      <c r="J379" s="98"/>
      <c r="K379" s="98"/>
      <c r="L379" s="99"/>
      <c r="M379" s="96"/>
    </row>
    <row r="380">
      <c r="C380" s="96"/>
      <c r="D380" s="97"/>
      <c r="J380" s="98"/>
      <c r="K380" s="98"/>
      <c r="L380" s="99"/>
      <c r="M380" s="96"/>
    </row>
    <row r="381">
      <c r="C381" s="96"/>
      <c r="D381" s="97"/>
      <c r="J381" s="98"/>
      <c r="K381" s="98"/>
      <c r="L381" s="99"/>
      <c r="M381" s="96"/>
    </row>
    <row r="382">
      <c r="C382" s="96"/>
      <c r="D382" s="97"/>
      <c r="J382" s="98"/>
      <c r="K382" s="98"/>
      <c r="L382" s="99"/>
      <c r="M382" s="96"/>
    </row>
    <row r="383">
      <c r="C383" s="96"/>
      <c r="D383" s="97"/>
      <c r="J383" s="98"/>
      <c r="K383" s="98"/>
      <c r="L383" s="99"/>
      <c r="M383" s="96"/>
    </row>
    <row r="384">
      <c r="C384" s="96"/>
      <c r="D384" s="97"/>
      <c r="J384" s="98"/>
      <c r="K384" s="98"/>
      <c r="L384" s="99"/>
      <c r="M384" s="96"/>
    </row>
    <row r="385">
      <c r="C385" s="96"/>
      <c r="D385" s="97"/>
      <c r="J385" s="98"/>
      <c r="K385" s="98"/>
      <c r="L385" s="99"/>
      <c r="M385" s="96"/>
    </row>
    <row r="386">
      <c r="C386" s="96"/>
      <c r="D386" s="97"/>
      <c r="J386" s="98"/>
      <c r="K386" s="98"/>
      <c r="L386" s="99"/>
      <c r="M386" s="96"/>
    </row>
    <row r="387">
      <c r="C387" s="96"/>
      <c r="D387" s="97"/>
      <c r="J387" s="98"/>
      <c r="K387" s="98"/>
      <c r="L387" s="99"/>
      <c r="M387" s="96"/>
    </row>
    <row r="388">
      <c r="C388" s="96"/>
      <c r="D388" s="97"/>
      <c r="J388" s="98"/>
      <c r="K388" s="98"/>
      <c r="L388" s="99"/>
      <c r="M388" s="96"/>
    </row>
    <row r="389">
      <c r="C389" s="96"/>
      <c r="D389" s="97"/>
      <c r="J389" s="98"/>
      <c r="K389" s="98"/>
      <c r="L389" s="99"/>
      <c r="M389" s="96"/>
    </row>
    <row r="390">
      <c r="C390" s="96"/>
      <c r="D390" s="97"/>
      <c r="J390" s="98"/>
      <c r="K390" s="98"/>
      <c r="L390" s="99"/>
      <c r="M390" s="96"/>
    </row>
    <row r="391">
      <c r="C391" s="96"/>
      <c r="D391" s="97"/>
      <c r="J391" s="98"/>
      <c r="K391" s="98"/>
      <c r="L391" s="99"/>
      <c r="M391" s="96"/>
    </row>
    <row r="392">
      <c r="C392" s="96"/>
      <c r="D392" s="97"/>
      <c r="J392" s="98"/>
      <c r="K392" s="98"/>
      <c r="L392" s="99"/>
      <c r="M392" s="96"/>
    </row>
    <row r="393">
      <c r="C393" s="96"/>
      <c r="D393" s="97"/>
      <c r="J393" s="98"/>
      <c r="K393" s="98"/>
      <c r="L393" s="99"/>
      <c r="M393" s="96"/>
    </row>
    <row r="394">
      <c r="C394" s="96"/>
      <c r="D394" s="97"/>
      <c r="J394" s="98"/>
      <c r="K394" s="98"/>
      <c r="L394" s="99"/>
      <c r="M394" s="96"/>
    </row>
    <row r="395">
      <c r="C395" s="96"/>
      <c r="D395" s="97"/>
      <c r="J395" s="98"/>
      <c r="K395" s="98"/>
      <c r="L395" s="99"/>
      <c r="M395" s="96"/>
    </row>
    <row r="396">
      <c r="C396" s="96"/>
      <c r="D396" s="97"/>
      <c r="J396" s="98"/>
      <c r="K396" s="98"/>
      <c r="L396" s="99"/>
      <c r="M396" s="96"/>
    </row>
    <row r="397">
      <c r="C397" s="96"/>
      <c r="D397" s="97"/>
      <c r="J397" s="98"/>
      <c r="K397" s="98"/>
      <c r="L397" s="99"/>
      <c r="M397" s="96"/>
    </row>
    <row r="398">
      <c r="C398" s="96"/>
      <c r="D398" s="97"/>
      <c r="J398" s="98"/>
      <c r="K398" s="98"/>
      <c r="L398" s="99"/>
      <c r="M398" s="96"/>
    </row>
    <row r="399">
      <c r="C399" s="96"/>
      <c r="D399" s="97"/>
      <c r="J399" s="98"/>
      <c r="K399" s="98"/>
      <c r="L399" s="99"/>
      <c r="M399" s="96"/>
    </row>
    <row r="400">
      <c r="C400" s="96"/>
      <c r="D400" s="97"/>
      <c r="J400" s="98"/>
      <c r="K400" s="98"/>
      <c r="L400" s="99"/>
      <c r="M400" s="96"/>
    </row>
    <row r="401">
      <c r="C401" s="96"/>
      <c r="D401" s="97"/>
      <c r="J401" s="98"/>
      <c r="K401" s="98"/>
      <c r="L401" s="99"/>
      <c r="M401" s="96"/>
    </row>
    <row r="402">
      <c r="C402" s="96"/>
      <c r="D402" s="97"/>
      <c r="J402" s="98"/>
      <c r="K402" s="98"/>
      <c r="L402" s="99"/>
      <c r="M402" s="96"/>
    </row>
    <row r="403">
      <c r="C403" s="96"/>
      <c r="D403" s="97"/>
      <c r="J403" s="98"/>
      <c r="K403" s="98"/>
      <c r="L403" s="99"/>
      <c r="M403" s="96"/>
    </row>
    <row r="404">
      <c r="C404" s="96"/>
      <c r="D404" s="97"/>
      <c r="J404" s="98"/>
      <c r="K404" s="98"/>
      <c r="L404" s="99"/>
      <c r="M404" s="96"/>
    </row>
    <row r="405">
      <c r="C405" s="96"/>
      <c r="D405" s="97"/>
      <c r="J405" s="98"/>
      <c r="K405" s="98"/>
      <c r="L405" s="99"/>
      <c r="M405" s="96"/>
    </row>
    <row r="406">
      <c r="C406" s="96"/>
      <c r="D406" s="97"/>
      <c r="J406" s="98"/>
      <c r="K406" s="98"/>
      <c r="L406" s="99"/>
      <c r="M406" s="96"/>
    </row>
    <row r="407">
      <c r="C407" s="96"/>
      <c r="D407" s="97"/>
      <c r="J407" s="98"/>
      <c r="K407" s="98"/>
      <c r="L407" s="99"/>
      <c r="M407" s="96"/>
    </row>
    <row r="408">
      <c r="C408" s="96"/>
      <c r="D408" s="97"/>
      <c r="J408" s="98"/>
      <c r="K408" s="98"/>
      <c r="L408" s="99"/>
      <c r="M408" s="96"/>
    </row>
    <row r="409">
      <c r="C409" s="96"/>
      <c r="D409" s="97"/>
      <c r="J409" s="98"/>
      <c r="K409" s="98"/>
      <c r="L409" s="99"/>
      <c r="M409" s="96"/>
    </row>
    <row r="410">
      <c r="C410" s="96"/>
      <c r="D410" s="97"/>
      <c r="J410" s="98"/>
      <c r="K410" s="98"/>
      <c r="L410" s="99"/>
      <c r="M410" s="96"/>
    </row>
    <row r="411">
      <c r="C411" s="96"/>
      <c r="D411" s="97"/>
      <c r="J411" s="98"/>
      <c r="K411" s="98"/>
      <c r="L411" s="99"/>
      <c r="M411" s="96"/>
    </row>
    <row r="412">
      <c r="C412" s="96"/>
      <c r="D412" s="97"/>
      <c r="J412" s="98"/>
      <c r="K412" s="98"/>
      <c r="L412" s="99"/>
      <c r="M412" s="96"/>
    </row>
    <row r="413">
      <c r="C413" s="96"/>
      <c r="D413" s="97"/>
      <c r="J413" s="98"/>
      <c r="K413" s="98"/>
      <c r="L413" s="99"/>
      <c r="M413" s="96"/>
    </row>
    <row r="414">
      <c r="C414" s="96"/>
      <c r="D414" s="97"/>
      <c r="J414" s="98"/>
      <c r="K414" s="98"/>
      <c r="L414" s="99"/>
      <c r="M414" s="96"/>
    </row>
    <row r="415">
      <c r="C415" s="96"/>
      <c r="D415" s="97"/>
      <c r="J415" s="98"/>
      <c r="K415" s="98"/>
      <c r="L415" s="99"/>
      <c r="M415" s="96"/>
    </row>
    <row r="416">
      <c r="C416" s="96"/>
      <c r="D416" s="97"/>
      <c r="J416" s="98"/>
      <c r="K416" s="98"/>
      <c r="L416" s="99"/>
      <c r="M416" s="96"/>
    </row>
    <row r="417">
      <c r="C417" s="96"/>
      <c r="D417" s="97"/>
      <c r="J417" s="98"/>
      <c r="K417" s="98"/>
      <c r="L417" s="99"/>
      <c r="M417" s="96"/>
    </row>
    <row r="418">
      <c r="C418" s="96"/>
      <c r="D418" s="97"/>
      <c r="J418" s="98"/>
      <c r="K418" s="98"/>
      <c r="L418" s="99"/>
      <c r="M418" s="96"/>
    </row>
    <row r="419">
      <c r="C419" s="96"/>
      <c r="D419" s="97"/>
      <c r="J419" s="98"/>
      <c r="K419" s="98"/>
      <c r="L419" s="99"/>
      <c r="M419" s="96"/>
    </row>
    <row r="420">
      <c r="C420" s="96"/>
      <c r="D420" s="97"/>
      <c r="J420" s="98"/>
      <c r="K420" s="98"/>
      <c r="L420" s="99"/>
      <c r="M420" s="96"/>
    </row>
    <row r="421">
      <c r="C421" s="96"/>
      <c r="D421" s="97"/>
      <c r="J421" s="98"/>
      <c r="K421" s="98"/>
      <c r="L421" s="99"/>
      <c r="M421" s="96"/>
    </row>
    <row r="422">
      <c r="C422" s="96"/>
      <c r="D422" s="97"/>
      <c r="J422" s="98"/>
      <c r="K422" s="98"/>
      <c r="L422" s="99"/>
      <c r="M422" s="96"/>
    </row>
    <row r="423">
      <c r="C423" s="96"/>
      <c r="D423" s="97"/>
      <c r="J423" s="98"/>
      <c r="K423" s="98"/>
      <c r="L423" s="99"/>
      <c r="M423" s="96"/>
    </row>
    <row r="424">
      <c r="C424" s="96"/>
      <c r="D424" s="97"/>
      <c r="J424" s="98"/>
      <c r="K424" s="98"/>
      <c r="L424" s="99"/>
      <c r="M424" s="96"/>
    </row>
    <row r="425">
      <c r="C425" s="96"/>
      <c r="D425" s="97"/>
      <c r="J425" s="98"/>
      <c r="K425" s="98"/>
      <c r="L425" s="99"/>
      <c r="M425" s="96"/>
    </row>
    <row r="426">
      <c r="C426" s="96"/>
      <c r="D426" s="97"/>
      <c r="J426" s="98"/>
      <c r="K426" s="98"/>
      <c r="L426" s="99"/>
      <c r="M426" s="96"/>
    </row>
    <row r="427">
      <c r="C427" s="96"/>
      <c r="D427" s="97"/>
      <c r="J427" s="98"/>
      <c r="K427" s="98"/>
      <c r="L427" s="99"/>
      <c r="M427" s="96"/>
    </row>
    <row r="428">
      <c r="C428" s="96"/>
      <c r="D428" s="97"/>
      <c r="J428" s="98"/>
      <c r="K428" s="98"/>
      <c r="L428" s="99"/>
      <c r="M428" s="96"/>
    </row>
    <row r="429">
      <c r="C429" s="96"/>
      <c r="D429" s="97"/>
      <c r="J429" s="98"/>
      <c r="K429" s="98"/>
      <c r="L429" s="99"/>
      <c r="M429" s="96"/>
    </row>
    <row r="430">
      <c r="C430" s="96"/>
      <c r="D430" s="97"/>
      <c r="J430" s="98"/>
      <c r="K430" s="98"/>
      <c r="L430" s="99"/>
      <c r="M430" s="96"/>
    </row>
    <row r="431">
      <c r="C431" s="96"/>
      <c r="D431" s="97"/>
      <c r="J431" s="98"/>
      <c r="K431" s="98"/>
      <c r="L431" s="99"/>
      <c r="M431" s="96"/>
    </row>
    <row r="432">
      <c r="C432" s="96"/>
      <c r="D432" s="97"/>
      <c r="J432" s="98"/>
      <c r="K432" s="98"/>
      <c r="L432" s="99"/>
      <c r="M432" s="96"/>
    </row>
    <row r="433">
      <c r="C433" s="96"/>
      <c r="D433" s="97"/>
      <c r="J433" s="98"/>
      <c r="K433" s="98"/>
      <c r="L433" s="99"/>
      <c r="M433" s="96"/>
    </row>
    <row r="434">
      <c r="C434" s="96"/>
      <c r="D434" s="97"/>
      <c r="J434" s="98"/>
      <c r="K434" s="98"/>
      <c r="L434" s="99"/>
      <c r="M434" s="96"/>
    </row>
    <row r="435">
      <c r="C435" s="96"/>
      <c r="D435" s="97"/>
      <c r="J435" s="98"/>
      <c r="K435" s="98"/>
      <c r="L435" s="99"/>
      <c r="M435" s="96"/>
    </row>
    <row r="436">
      <c r="C436" s="96"/>
      <c r="D436" s="97"/>
      <c r="J436" s="98"/>
      <c r="K436" s="98"/>
      <c r="L436" s="99"/>
      <c r="M436" s="96"/>
    </row>
    <row r="437">
      <c r="C437" s="96"/>
      <c r="D437" s="97"/>
      <c r="J437" s="98"/>
      <c r="K437" s="98"/>
      <c r="L437" s="99"/>
      <c r="M437" s="96"/>
    </row>
    <row r="438">
      <c r="C438" s="96"/>
      <c r="D438" s="97"/>
      <c r="J438" s="98"/>
      <c r="K438" s="98"/>
      <c r="L438" s="99"/>
      <c r="M438" s="96"/>
    </row>
    <row r="439">
      <c r="C439" s="96"/>
      <c r="D439" s="97"/>
      <c r="J439" s="98"/>
      <c r="K439" s="98"/>
      <c r="L439" s="99"/>
      <c r="M439" s="96"/>
    </row>
    <row r="440">
      <c r="C440" s="96"/>
      <c r="D440" s="97"/>
      <c r="J440" s="98"/>
      <c r="K440" s="98"/>
      <c r="L440" s="99"/>
      <c r="M440" s="96"/>
    </row>
    <row r="441">
      <c r="C441" s="96"/>
      <c r="D441" s="97"/>
      <c r="J441" s="98"/>
      <c r="K441" s="98"/>
      <c r="L441" s="99"/>
      <c r="M441" s="96"/>
    </row>
    <row r="442">
      <c r="C442" s="96"/>
      <c r="D442" s="97"/>
      <c r="J442" s="98"/>
      <c r="K442" s="98"/>
      <c r="L442" s="99"/>
      <c r="M442" s="96"/>
    </row>
    <row r="443">
      <c r="C443" s="96"/>
      <c r="D443" s="97"/>
      <c r="J443" s="98"/>
      <c r="K443" s="98"/>
      <c r="L443" s="99"/>
      <c r="M443" s="96"/>
    </row>
    <row r="444">
      <c r="C444" s="96"/>
      <c r="D444" s="97"/>
      <c r="J444" s="98"/>
      <c r="K444" s="98"/>
      <c r="L444" s="99"/>
      <c r="M444" s="96"/>
    </row>
    <row r="445">
      <c r="C445" s="96"/>
      <c r="D445" s="97"/>
      <c r="J445" s="98"/>
      <c r="K445" s="98"/>
      <c r="L445" s="99"/>
      <c r="M445" s="96"/>
    </row>
    <row r="446">
      <c r="C446" s="96"/>
      <c r="D446" s="97"/>
      <c r="J446" s="98"/>
      <c r="K446" s="98"/>
      <c r="L446" s="99"/>
      <c r="M446" s="96"/>
    </row>
    <row r="447">
      <c r="C447" s="96"/>
      <c r="D447" s="97"/>
      <c r="J447" s="98"/>
      <c r="K447" s="98"/>
      <c r="L447" s="99"/>
      <c r="M447" s="96"/>
    </row>
    <row r="448">
      <c r="C448" s="96"/>
      <c r="D448" s="97"/>
      <c r="J448" s="98"/>
      <c r="K448" s="98"/>
      <c r="L448" s="99"/>
      <c r="M448" s="96"/>
    </row>
    <row r="449">
      <c r="C449" s="96"/>
      <c r="D449" s="97"/>
      <c r="J449" s="98"/>
      <c r="K449" s="98"/>
      <c r="L449" s="99"/>
      <c r="M449" s="96"/>
    </row>
    <row r="450">
      <c r="C450" s="96"/>
      <c r="D450" s="97"/>
      <c r="J450" s="98"/>
      <c r="K450" s="98"/>
      <c r="L450" s="99"/>
      <c r="M450" s="96"/>
    </row>
    <row r="451">
      <c r="C451" s="96"/>
      <c r="D451" s="97"/>
      <c r="J451" s="98"/>
      <c r="K451" s="98"/>
      <c r="L451" s="99"/>
      <c r="M451" s="96"/>
    </row>
    <row r="452">
      <c r="C452" s="96"/>
      <c r="D452" s="97"/>
      <c r="J452" s="98"/>
      <c r="K452" s="98"/>
      <c r="L452" s="99"/>
      <c r="M452" s="96"/>
    </row>
    <row r="453">
      <c r="C453" s="96"/>
      <c r="D453" s="97"/>
      <c r="J453" s="98"/>
      <c r="K453" s="98"/>
      <c r="L453" s="99"/>
      <c r="M453" s="96"/>
    </row>
    <row r="454">
      <c r="C454" s="96"/>
      <c r="D454" s="97"/>
      <c r="J454" s="98"/>
      <c r="K454" s="98"/>
      <c r="L454" s="99"/>
      <c r="M454" s="96"/>
    </row>
    <row r="455">
      <c r="C455" s="96"/>
      <c r="D455" s="97"/>
      <c r="J455" s="98"/>
      <c r="K455" s="98"/>
      <c r="L455" s="99"/>
      <c r="M455" s="96"/>
    </row>
    <row r="456">
      <c r="C456" s="96"/>
      <c r="D456" s="97"/>
      <c r="J456" s="98"/>
      <c r="K456" s="98"/>
      <c r="L456" s="99"/>
      <c r="M456" s="96"/>
    </row>
    <row r="457">
      <c r="C457" s="96"/>
      <c r="D457" s="97"/>
      <c r="J457" s="98"/>
      <c r="K457" s="98"/>
      <c r="L457" s="99"/>
      <c r="M457" s="96"/>
    </row>
    <row r="458">
      <c r="C458" s="96"/>
      <c r="D458" s="97"/>
      <c r="J458" s="98"/>
      <c r="K458" s="98"/>
      <c r="L458" s="99"/>
      <c r="M458" s="96"/>
    </row>
    <row r="459">
      <c r="C459" s="96"/>
      <c r="D459" s="97"/>
      <c r="J459" s="98"/>
      <c r="K459" s="98"/>
      <c r="L459" s="99"/>
      <c r="M459" s="96"/>
    </row>
    <row r="460">
      <c r="C460" s="96"/>
      <c r="D460" s="97"/>
      <c r="J460" s="98"/>
      <c r="K460" s="98"/>
      <c r="L460" s="99"/>
      <c r="M460" s="96"/>
    </row>
    <row r="461">
      <c r="C461" s="96"/>
      <c r="D461" s="97"/>
      <c r="J461" s="98"/>
      <c r="K461" s="98"/>
      <c r="L461" s="99"/>
      <c r="M461" s="96"/>
    </row>
    <row r="462">
      <c r="C462" s="96"/>
      <c r="D462" s="97"/>
      <c r="J462" s="98"/>
      <c r="K462" s="98"/>
      <c r="L462" s="99"/>
      <c r="M462" s="96"/>
    </row>
    <row r="463">
      <c r="C463" s="96"/>
      <c r="D463" s="97"/>
      <c r="J463" s="98"/>
      <c r="K463" s="98"/>
      <c r="L463" s="99"/>
      <c r="M463" s="96"/>
    </row>
    <row r="464">
      <c r="C464" s="96"/>
      <c r="D464" s="97"/>
      <c r="J464" s="98"/>
      <c r="K464" s="98"/>
      <c r="L464" s="99"/>
      <c r="M464" s="96"/>
    </row>
    <row r="465">
      <c r="C465" s="96"/>
      <c r="D465" s="97"/>
      <c r="J465" s="98"/>
      <c r="K465" s="98"/>
      <c r="L465" s="99"/>
      <c r="M465" s="96"/>
    </row>
    <row r="466">
      <c r="C466" s="96"/>
      <c r="D466" s="97"/>
      <c r="J466" s="98"/>
      <c r="K466" s="98"/>
      <c r="L466" s="99"/>
      <c r="M466" s="96"/>
    </row>
    <row r="467">
      <c r="C467" s="96"/>
      <c r="D467" s="97"/>
      <c r="J467" s="98"/>
      <c r="K467" s="98"/>
      <c r="L467" s="99"/>
      <c r="M467" s="96"/>
    </row>
    <row r="468">
      <c r="C468" s="96"/>
      <c r="D468" s="97"/>
      <c r="J468" s="98"/>
      <c r="K468" s="98"/>
      <c r="L468" s="99"/>
      <c r="M468" s="96"/>
    </row>
    <row r="469">
      <c r="C469" s="96"/>
      <c r="D469" s="97"/>
      <c r="J469" s="98"/>
      <c r="K469" s="98"/>
      <c r="L469" s="99"/>
      <c r="M469" s="96"/>
    </row>
    <row r="470">
      <c r="C470" s="96"/>
      <c r="D470" s="97"/>
      <c r="J470" s="98"/>
      <c r="K470" s="98"/>
      <c r="L470" s="99"/>
      <c r="M470" s="96"/>
    </row>
    <row r="471">
      <c r="C471" s="96"/>
      <c r="D471" s="97"/>
      <c r="J471" s="98"/>
      <c r="K471" s="98"/>
      <c r="L471" s="99"/>
      <c r="M471" s="96"/>
    </row>
    <row r="472">
      <c r="C472" s="96"/>
      <c r="D472" s="97"/>
      <c r="J472" s="98"/>
      <c r="K472" s="98"/>
      <c r="L472" s="99"/>
      <c r="M472" s="96"/>
    </row>
    <row r="473">
      <c r="C473" s="96"/>
      <c r="D473" s="97"/>
      <c r="J473" s="98"/>
      <c r="K473" s="98"/>
      <c r="L473" s="99"/>
      <c r="M473" s="96"/>
    </row>
    <row r="474">
      <c r="C474" s="96"/>
      <c r="D474" s="97"/>
      <c r="J474" s="98"/>
      <c r="K474" s="98"/>
      <c r="L474" s="99"/>
      <c r="M474" s="96"/>
    </row>
    <row r="475">
      <c r="C475" s="96"/>
      <c r="D475" s="97"/>
      <c r="J475" s="98"/>
      <c r="K475" s="98"/>
      <c r="L475" s="99"/>
      <c r="M475" s="96"/>
    </row>
    <row r="476">
      <c r="C476" s="96"/>
      <c r="D476" s="97"/>
      <c r="J476" s="98"/>
      <c r="K476" s="98"/>
      <c r="L476" s="99"/>
      <c r="M476" s="96"/>
    </row>
    <row r="477">
      <c r="C477" s="96"/>
      <c r="D477" s="97"/>
      <c r="J477" s="98"/>
      <c r="K477" s="98"/>
      <c r="L477" s="99"/>
      <c r="M477" s="96"/>
    </row>
    <row r="478">
      <c r="C478" s="96"/>
      <c r="D478" s="97"/>
      <c r="J478" s="98"/>
      <c r="K478" s="98"/>
      <c r="L478" s="99"/>
      <c r="M478" s="96"/>
    </row>
    <row r="479">
      <c r="C479" s="96"/>
      <c r="D479" s="97"/>
      <c r="J479" s="98"/>
      <c r="K479" s="98"/>
      <c r="L479" s="99"/>
      <c r="M479" s="96"/>
    </row>
    <row r="480">
      <c r="C480" s="96"/>
      <c r="D480" s="97"/>
      <c r="J480" s="98"/>
      <c r="K480" s="98"/>
      <c r="L480" s="99"/>
      <c r="M480" s="96"/>
    </row>
    <row r="481">
      <c r="C481" s="96"/>
      <c r="D481" s="97"/>
      <c r="J481" s="98"/>
      <c r="K481" s="98"/>
      <c r="L481" s="99"/>
      <c r="M481" s="96"/>
    </row>
    <row r="482">
      <c r="C482" s="96"/>
      <c r="D482" s="97"/>
      <c r="J482" s="98"/>
      <c r="K482" s="98"/>
      <c r="L482" s="99"/>
      <c r="M482" s="96"/>
    </row>
    <row r="483">
      <c r="C483" s="96"/>
      <c r="D483" s="97"/>
      <c r="J483" s="98"/>
      <c r="K483" s="98"/>
      <c r="L483" s="99"/>
      <c r="M483" s="96"/>
    </row>
    <row r="484">
      <c r="C484" s="96"/>
      <c r="D484" s="97"/>
      <c r="J484" s="98"/>
      <c r="K484" s="98"/>
      <c r="L484" s="99"/>
      <c r="M484" s="96"/>
    </row>
    <row r="485">
      <c r="C485" s="96"/>
      <c r="D485" s="97"/>
      <c r="J485" s="98"/>
      <c r="K485" s="98"/>
      <c r="L485" s="99"/>
      <c r="M485" s="96"/>
    </row>
    <row r="486">
      <c r="C486" s="96"/>
      <c r="D486" s="97"/>
      <c r="J486" s="98"/>
      <c r="K486" s="98"/>
      <c r="L486" s="99"/>
      <c r="M486" s="96"/>
    </row>
    <row r="487">
      <c r="C487" s="96"/>
      <c r="D487" s="97"/>
      <c r="J487" s="98"/>
      <c r="K487" s="98"/>
      <c r="L487" s="99"/>
      <c r="M487" s="96"/>
    </row>
    <row r="488">
      <c r="C488" s="96"/>
      <c r="D488" s="97"/>
      <c r="J488" s="98"/>
      <c r="K488" s="98"/>
      <c r="L488" s="99"/>
      <c r="M488" s="96"/>
    </row>
    <row r="489">
      <c r="C489" s="96"/>
      <c r="D489" s="97"/>
      <c r="J489" s="98"/>
      <c r="K489" s="98"/>
      <c r="L489" s="99"/>
      <c r="M489" s="96"/>
    </row>
    <row r="490">
      <c r="C490" s="96"/>
      <c r="D490" s="97"/>
      <c r="J490" s="98"/>
      <c r="K490" s="98"/>
      <c r="L490" s="99"/>
      <c r="M490" s="96"/>
    </row>
    <row r="491">
      <c r="C491" s="96"/>
      <c r="D491" s="97"/>
      <c r="J491" s="98"/>
      <c r="K491" s="98"/>
      <c r="L491" s="99"/>
      <c r="M491" s="96"/>
    </row>
    <row r="492">
      <c r="C492" s="96"/>
      <c r="D492" s="97"/>
      <c r="J492" s="98"/>
      <c r="K492" s="98"/>
      <c r="L492" s="99"/>
      <c r="M492" s="96"/>
    </row>
    <row r="493">
      <c r="C493" s="96"/>
      <c r="D493" s="97"/>
      <c r="J493" s="98"/>
      <c r="K493" s="98"/>
      <c r="L493" s="99"/>
      <c r="M493" s="96"/>
    </row>
    <row r="494">
      <c r="C494" s="96"/>
      <c r="D494" s="97"/>
      <c r="J494" s="98"/>
      <c r="K494" s="98"/>
      <c r="L494" s="99"/>
      <c r="M494" s="96"/>
    </row>
    <row r="495">
      <c r="C495" s="96"/>
      <c r="D495" s="97"/>
      <c r="J495" s="98"/>
      <c r="K495" s="98"/>
      <c r="L495" s="99"/>
      <c r="M495" s="96"/>
    </row>
    <row r="496">
      <c r="C496" s="96"/>
      <c r="D496" s="97"/>
      <c r="J496" s="98"/>
      <c r="K496" s="98"/>
      <c r="L496" s="99"/>
      <c r="M496" s="96"/>
    </row>
    <row r="497">
      <c r="C497" s="96"/>
      <c r="D497" s="97"/>
      <c r="J497" s="98"/>
      <c r="K497" s="98"/>
      <c r="L497" s="99"/>
      <c r="M497" s="96"/>
    </row>
    <row r="498">
      <c r="C498" s="96"/>
      <c r="D498" s="97"/>
      <c r="J498" s="98"/>
      <c r="K498" s="98"/>
      <c r="L498" s="99"/>
      <c r="M498" s="96"/>
    </row>
    <row r="499">
      <c r="C499" s="96"/>
      <c r="D499" s="97"/>
      <c r="J499" s="98"/>
      <c r="K499" s="98"/>
      <c r="L499" s="99"/>
      <c r="M499" s="96"/>
    </row>
    <row r="500">
      <c r="C500" s="96"/>
      <c r="D500" s="97"/>
      <c r="J500" s="98"/>
      <c r="K500" s="98"/>
      <c r="L500" s="99"/>
      <c r="M500" s="96"/>
    </row>
    <row r="501">
      <c r="C501" s="96"/>
      <c r="D501" s="97"/>
      <c r="J501" s="98"/>
      <c r="K501" s="98"/>
      <c r="L501" s="99"/>
      <c r="M501" s="96"/>
    </row>
    <row r="502">
      <c r="C502" s="96"/>
      <c r="D502" s="97"/>
      <c r="J502" s="98"/>
      <c r="K502" s="98"/>
      <c r="L502" s="99"/>
      <c r="M502" s="96"/>
    </row>
    <row r="503">
      <c r="C503" s="96"/>
      <c r="D503" s="97"/>
      <c r="J503" s="98"/>
      <c r="K503" s="98"/>
      <c r="L503" s="99"/>
      <c r="M503" s="96"/>
    </row>
    <row r="504">
      <c r="C504" s="96"/>
      <c r="D504" s="97"/>
      <c r="J504" s="98"/>
      <c r="K504" s="98"/>
      <c r="L504" s="99"/>
      <c r="M504" s="96"/>
    </row>
    <row r="505">
      <c r="C505" s="96"/>
      <c r="D505" s="97"/>
      <c r="J505" s="98"/>
      <c r="K505" s="98"/>
      <c r="L505" s="99"/>
      <c r="M505" s="96"/>
    </row>
    <row r="506">
      <c r="C506" s="96"/>
      <c r="D506" s="97"/>
      <c r="J506" s="98"/>
      <c r="K506" s="98"/>
      <c r="L506" s="99"/>
      <c r="M506" s="96"/>
    </row>
    <row r="507">
      <c r="C507" s="96"/>
      <c r="D507" s="97"/>
      <c r="J507" s="98"/>
      <c r="K507" s="98"/>
      <c r="L507" s="99"/>
      <c r="M507" s="96"/>
    </row>
    <row r="508">
      <c r="C508" s="96"/>
      <c r="D508" s="97"/>
      <c r="J508" s="98"/>
      <c r="K508" s="98"/>
      <c r="L508" s="99"/>
      <c r="M508" s="96"/>
    </row>
    <row r="509">
      <c r="C509" s="96"/>
      <c r="D509" s="97"/>
      <c r="J509" s="98"/>
      <c r="K509" s="98"/>
      <c r="L509" s="99"/>
      <c r="M509" s="96"/>
    </row>
    <row r="510">
      <c r="C510" s="96"/>
      <c r="D510" s="97"/>
      <c r="J510" s="98"/>
      <c r="K510" s="98"/>
      <c r="L510" s="99"/>
      <c r="M510" s="96"/>
    </row>
    <row r="511">
      <c r="C511" s="96"/>
      <c r="D511" s="97"/>
      <c r="J511" s="98"/>
      <c r="K511" s="98"/>
      <c r="L511" s="99"/>
      <c r="M511" s="96"/>
    </row>
    <row r="512">
      <c r="C512" s="96"/>
      <c r="D512" s="97"/>
      <c r="J512" s="98"/>
      <c r="K512" s="98"/>
      <c r="L512" s="99"/>
      <c r="M512" s="96"/>
    </row>
    <row r="513">
      <c r="C513" s="96"/>
      <c r="D513" s="97"/>
      <c r="J513" s="98"/>
      <c r="K513" s="98"/>
      <c r="L513" s="99"/>
      <c r="M513" s="96"/>
    </row>
    <row r="514">
      <c r="C514" s="96"/>
      <c r="D514" s="97"/>
      <c r="J514" s="98"/>
      <c r="K514" s="98"/>
      <c r="L514" s="99"/>
      <c r="M514" s="96"/>
    </row>
    <row r="515">
      <c r="C515" s="96"/>
      <c r="D515" s="97"/>
      <c r="J515" s="98"/>
      <c r="K515" s="98"/>
      <c r="L515" s="99"/>
      <c r="M515" s="96"/>
    </row>
    <row r="516">
      <c r="C516" s="96"/>
      <c r="D516" s="97"/>
      <c r="J516" s="98"/>
      <c r="K516" s="98"/>
      <c r="L516" s="99"/>
      <c r="M516" s="96"/>
    </row>
    <row r="517">
      <c r="C517" s="96"/>
      <c r="D517" s="97"/>
      <c r="J517" s="98"/>
      <c r="K517" s="98"/>
      <c r="L517" s="99"/>
      <c r="M517" s="96"/>
    </row>
    <row r="518">
      <c r="C518" s="96"/>
      <c r="D518" s="97"/>
      <c r="J518" s="98"/>
      <c r="K518" s="98"/>
      <c r="L518" s="99"/>
      <c r="M518" s="96"/>
    </row>
    <row r="519">
      <c r="C519" s="96"/>
      <c r="D519" s="97"/>
      <c r="J519" s="98"/>
      <c r="K519" s="98"/>
      <c r="L519" s="99"/>
      <c r="M519" s="96"/>
    </row>
    <row r="520">
      <c r="C520" s="96"/>
      <c r="D520" s="97"/>
      <c r="J520" s="98"/>
      <c r="K520" s="98"/>
      <c r="L520" s="99"/>
      <c r="M520" s="96"/>
    </row>
    <row r="521">
      <c r="C521" s="96"/>
      <c r="D521" s="97"/>
      <c r="J521" s="98"/>
      <c r="K521" s="98"/>
      <c r="L521" s="99"/>
      <c r="M521" s="96"/>
    </row>
    <row r="522">
      <c r="C522" s="96"/>
      <c r="D522" s="97"/>
      <c r="J522" s="98"/>
      <c r="K522" s="98"/>
      <c r="L522" s="99"/>
      <c r="M522" s="96"/>
    </row>
    <row r="523">
      <c r="C523" s="96"/>
      <c r="D523" s="97"/>
      <c r="J523" s="98"/>
      <c r="K523" s="98"/>
      <c r="L523" s="99"/>
      <c r="M523" s="96"/>
    </row>
    <row r="524">
      <c r="C524" s="96"/>
      <c r="D524" s="97"/>
      <c r="J524" s="98"/>
      <c r="K524" s="98"/>
      <c r="L524" s="99"/>
      <c r="M524" s="96"/>
    </row>
    <row r="525">
      <c r="C525" s="96"/>
      <c r="D525" s="97"/>
      <c r="J525" s="98"/>
      <c r="K525" s="98"/>
      <c r="L525" s="99"/>
      <c r="M525" s="96"/>
    </row>
    <row r="526">
      <c r="C526" s="96"/>
      <c r="D526" s="97"/>
      <c r="J526" s="98"/>
      <c r="K526" s="98"/>
      <c r="L526" s="99"/>
      <c r="M526" s="96"/>
    </row>
    <row r="527">
      <c r="C527" s="96"/>
      <c r="D527" s="97"/>
      <c r="J527" s="98"/>
      <c r="K527" s="98"/>
      <c r="L527" s="99"/>
      <c r="M527" s="96"/>
    </row>
    <row r="528">
      <c r="C528" s="96"/>
      <c r="D528" s="97"/>
      <c r="J528" s="98"/>
      <c r="K528" s="98"/>
      <c r="L528" s="99"/>
      <c r="M528" s="96"/>
    </row>
    <row r="529">
      <c r="C529" s="96"/>
      <c r="D529" s="97"/>
      <c r="J529" s="98"/>
      <c r="K529" s="98"/>
      <c r="L529" s="99"/>
      <c r="M529" s="96"/>
    </row>
    <row r="530">
      <c r="C530" s="96"/>
      <c r="D530" s="97"/>
      <c r="J530" s="98"/>
      <c r="K530" s="98"/>
      <c r="L530" s="99"/>
      <c r="M530" s="96"/>
    </row>
    <row r="531">
      <c r="C531" s="96"/>
      <c r="D531" s="97"/>
      <c r="J531" s="98"/>
      <c r="K531" s="98"/>
      <c r="L531" s="99"/>
      <c r="M531" s="96"/>
    </row>
    <row r="532">
      <c r="C532" s="96"/>
      <c r="D532" s="97"/>
      <c r="J532" s="98"/>
      <c r="K532" s="98"/>
      <c r="L532" s="99"/>
      <c r="M532" s="96"/>
    </row>
    <row r="533">
      <c r="C533" s="96"/>
      <c r="D533" s="97"/>
      <c r="J533" s="98"/>
      <c r="K533" s="98"/>
      <c r="L533" s="99"/>
      <c r="M533" s="96"/>
    </row>
    <row r="534">
      <c r="C534" s="96"/>
      <c r="D534" s="97"/>
      <c r="J534" s="98"/>
      <c r="K534" s="98"/>
      <c r="L534" s="99"/>
      <c r="M534" s="96"/>
    </row>
    <row r="535">
      <c r="C535" s="96"/>
      <c r="D535" s="97"/>
      <c r="J535" s="98"/>
      <c r="K535" s="98"/>
      <c r="L535" s="99"/>
      <c r="M535" s="96"/>
    </row>
    <row r="536">
      <c r="C536" s="96"/>
      <c r="D536" s="97"/>
      <c r="J536" s="98"/>
      <c r="K536" s="98"/>
      <c r="L536" s="99"/>
      <c r="M536" s="96"/>
    </row>
    <row r="537">
      <c r="C537" s="96"/>
      <c r="D537" s="97"/>
      <c r="J537" s="98"/>
      <c r="K537" s="98"/>
      <c r="L537" s="99"/>
      <c r="M537" s="96"/>
    </row>
    <row r="538">
      <c r="C538" s="96"/>
      <c r="D538" s="97"/>
      <c r="J538" s="98"/>
      <c r="K538" s="98"/>
      <c r="L538" s="99"/>
      <c r="M538" s="96"/>
    </row>
    <row r="539">
      <c r="C539" s="96"/>
      <c r="D539" s="97"/>
      <c r="J539" s="98"/>
      <c r="K539" s="98"/>
      <c r="L539" s="99"/>
      <c r="M539" s="96"/>
    </row>
    <row r="540">
      <c r="C540" s="96"/>
      <c r="D540" s="97"/>
      <c r="J540" s="98"/>
      <c r="K540" s="98"/>
      <c r="L540" s="99"/>
      <c r="M540" s="96"/>
    </row>
    <row r="541">
      <c r="C541" s="96"/>
      <c r="D541" s="97"/>
      <c r="J541" s="98"/>
      <c r="K541" s="98"/>
      <c r="L541" s="99"/>
      <c r="M541" s="96"/>
    </row>
    <row r="542">
      <c r="C542" s="96"/>
      <c r="D542" s="97"/>
      <c r="J542" s="98"/>
      <c r="K542" s="98"/>
      <c r="L542" s="99"/>
      <c r="M542" s="96"/>
    </row>
    <row r="543">
      <c r="C543" s="96"/>
      <c r="D543" s="97"/>
      <c r="J543" s="98"/>
      <c r="K543" s="98"/>
      <c r="L543" s="99"/>
      <c r="M543" s="96"/>
    </row>
    <row r="544">
      <c r="C544" s="96"/>
      <c r="D544" s="97"/>
      <c r="J544" s="98"/>
      <c r="K544" s="98"/>
      <c r="L544" s="99"/>
      <c r="M544" s="96"/>
    </row>
    <row r="545">
      <c r="C545" s="96"/>
      <c r="D545" s="97"/>
      <c r="J545" s="98"/>
      <c r="K545" s="98"/>
      <c r="L545" s="99"/>
      <c r="M545" s="96"/>
    </row>
    <row r="546">
      <c r="C546" s="96"/>
      <c r="D546" s="97"/>
      <c r="J546" s="98"/>
      <c r="K546" s="98"/>
      <c r="L546" s="99"/>
      <c r="M546" s="96"/>
    </row>
    <row r="547">
      <c r="C547" s="96"/>
      <c r="D547" s="97"/>
      <c r="J547" s="98"/>
      <c r="K547" s="98"/>
      <c r="L547" s="99"/>
      <c r="M547" s="96"/>
    </row>
    <row r="548">
      <c r="C548" s="96"/>
      <c r="D548" s="97"/>
      <c r="J548" s="98"/>
      <c r="K548" s="98"/>
      <c r="L548" s="99"/>
      <c r="M548" s="96"/>
    </row>
    <row r="549">
      <c r="C549" s="96"/>
      <c r="D549" s="97"/>
      <c r="J549" s="98"/>
      <c r="K549" s="98"/>
      <c r="L549" s="99"/>
      <c r="M549" s="96"/>
    </row>
    <row r="550">
      <c r="C550" s="96"/>
      <c r="D550" s="97"/>
      <c r="J550" s="98"/>
      <c r="K550" s="98"/>
      <c r="L550" s="99"/>
      <c r="M550" s="96"/>
    </row>
    <row r="551">
      <c r="C551" s="96"/>
      <c r="D551" s="97"/>
      <c r="J551" s="98"/>
      <c r="K551" s="98"/>
      <c r="L551" s="99"/>
      <c r="M551" s="96"/>
    </row>
    <row r="552">
      <c r="C552" s="96"/>
      <c r="D552" s="97"/>
      <c r="J552" s="98"/>
      <c r="K552" s="98"/>
      <c r="L552" s="99"/>
      <c r="M552" s="96"/>
    </row>
    <row r="553">
      <c r="C553" s="96"/>
      <c r="D553" s="97"/>
      <c r="J553" s="98"/>
      <c r="K553" s="98"/>
      <c r="L553" s="99"/>
      <c r="M553" s="96"/>
    </row>
    <row r="554">
      <c r="C554" s="96"/>
      <c r="D554" s="97"/>
      <c r="J554" s="98"/>
      <c r="K554" s="98"/>
      <c r="L554" s="99"/>
      <c r="M554" s="96"/>
    </row>
    <row r="555">
      <c r="C555" s="96"/>
      <c r="D555" s="97"/>
      <c r="J555" s="98"/>
      <c r="K555" s="98"/>
      <c r="L555" s="99"/>
      <c r="M555" s="96"/>
    </row>
    <row r="556">
      <c r="C556" s="96"/>
      <c r="D556" s="97"/>
      <c r="J556" s="98"/>
      <c r="K556" s="98"/>
      <c r="L556" s="99"/>
      <c r="M556" s="96"/>
    </row>
    <row r="557">
      <c r="C557" s="96"/>
      <c r="D557" s="97"/>
      <c r="J557" s="98"/>
      <c r="K557" s="98"/>
      <c r="L557" s="99"/>
      <c r="M557" s="96"/>
    </row>
    <row r="558">
      <c r="C558" s="96"/>
      <c r="D558" s="97"/>
      <c r="J558" s="98"/>
      <c r="K558" s="98"/>
      <c r="L558" s="99"/>
      <c r="M558" s="96"/>
    </row>
    <row r="559">
      <c r="C559" s="96"/>
      <c r="D559" s="97"/>
      <c r="J559" s="98"/>
      <c r="K559" s="98"/>
      <c r="L559" s="99"/>
      <c r="M559" s="96"/>
    </row>
    <row r="560">
      <c r="C560" s="96"/>
      <c r="D560" s="97"/>
      <c r="J560" s="98"/>
      <c r="K560" s="98"/>
      <c r="L560" s="99"/>
      <c r="M560" s="96"/>
    </row>
    <row r="561">
      <c r="C561" s="96"/>
      <c r="D561" s="97"/>
      <c r="J561" s="98"/>
      <c r="K561" s="98"/>
      <c r="L561" s="99"/>
      <c r="M561" s="96"/>
    </row>
    <row r="562">
      <c r="C562" s="96"/>
      <c r="D562" s="97"/>
      <c r="J562" s="98"/>
      <c r="K562" s="98"/>
      <c r="L562" s="99"/>
      <c r="M562" s="96"/>
    </row>
    <row r="563">
      <c r="C563" s="96"/>
      <c r="D563" s="97"/>
      <c r="J563" s="98"/>
      <c r="K563" s="98"/>
      <c r="L563" s="99"/>
      <c r="M563" s="96"/>
    </row>
    <row r="564">
      <c r="C564" s="96"/>
      <c r="D564" s="97"/>
      <c r="J564" s="98"/>
      <c r="K564" s="98"/>
      <c r="L564" s="99"/>
      <c r="M564" s="96"/>
    </row>
    <row r="565">
      <c r="C565" s="96"/>
      <c r="D565" s="97"/>
      <c r="J565" s="98"/>
      <c r="K565" s="98"/>
      <c r="L565" s="99"/>
      <c r="M565" s="96"/>
    </row>
    <row r="566">
      <c r="C566" s="96"/>
      <c r="D566" s="97"/>
      <c r="J566" s="98"/>
      <c r="K566" s="98"/>
      <c r="L566" s="99"/>
      <c r="M566" s="96"/>
    </row>
    <row r="567">
      <c r="C567" s="96"/>
      <c r="D567" s="97"/>
      <c r="J567" s="98"/>
      <c r="K567" s="98"/>
      <c r="L567" s="99"/>
      <c r="M567" s="96"/>
    </row>
    <row r="568">
      <c r="C568" s="96"/>
      <c r="D568" s="97"/>
      <c r="J568" s="98"/>
      <c r="K568" s="98"/>
      <c r="L568" s="99"/>
      <c r="M568" s="96"/>
    </row>
    <row r="569">
      <c r="C569" s="96"/>
      <c r="D569" s="97"/>
      <c r="J569" s="98"/>
      <c r="K569" s="98"/>
      <c r="L569" s="99"/>
      <c r="M569" s="96"/>
    </row>
    <row r="570">
      <c r="C570" s="96"/>
      <c r="D570" s="97"/>
      <c r="J570" s="98"/>
      <c r="K570" s="98"/>
      <c r="L570" s="99"/>
      <c r="M570" s="96"/>
    </row>
    <row r="571">
      <c r="C571" s="96"/>
      <c r="D571" s="97"/>
      <c r="J571" s="98"/>
      <c r="K571" s="98"/>
      <c r="L571" s="99"/>
      <c r="M571" s="96"/>
    </row>
    <row r="572">
      <c r="C572" s="96"/>
      <c r="D572" s="97"/>
      <c r="J572" s="98"/>
      <c r="K572" s="98"/>
      <c r="L572" s="99"/>
      <c r="M572" s="96"/>
    </row>
    <row r="573">
      <c r="C573" s="96"/>
      <c r="D573" s="97"/>
      <c r="J573" s="98"/>
      <c r="K573" s="98"/>
      <c r="L573" s="99"/>
      <c r="M573" s="96"/>
    </row>
    <row r="574">
      <c r="C574" s="96"/>
      <c r="D574" s="97"/>
      <c r="J574" s="98"/>
      <c r="K574" s="98"/>
      <c r="L574" s="99"/>
      <c r="M574" s="96"/>
    </row>
    <row r="575">
      <c r="C575" s="96"/>
      <c r="D575" s="97"/>
      <c r="J575" s="98"/>
      <c r="K575" s="98"/>
      <c r="L575" s="99"/>
      <c r="M575" s="96"/>
    </row>
    <row r="576">
      <c r="C576" s="96"/>
      <c r="D576" s="97"/>
      <c r="J576" s="98"/>
      <c r="K576" s="98"/>
      <c r="L576" s="99"/>
      <c r="M576" s="96"/>
    </row>
    <row r="577">
      <c r="C577" s="96"/>
      <c r="D577" s="97"/>
      <c r="J577" s="98"/>
      <c r="K577" s="98"/>
      <c r="L577" s="99"/>
      <c r="M577" s="96"/>
    </row>
    <row r="578">
      <c r="C578" s="96"/>
      <c r="D578" s="97"/>
      <c r="J578" s="98"/>
      <c r="K578" s="98"/>
      <c r="L578" s="99"/>
      <c r="M578" s="96"/>
    </row>
    <row r="579">
      <c r="C579" s="96"/>
      <c r="D579" s="97"/>
      <c r="J579" s="98"/>
      <c r="K579" s="98"/>
      <c r="L579" s="99"/>
      <c r="M579" s="96"/>
    </row>
    <row r="580">
      <c r="C580" s="96"/>
      <c r="D580" s="97"/>
      <c r="J580" s="98"/>
      <c r="K580" s="98"/>
      <c r="L580" s="99"/>
      <c r="M580" s="96"/>
    </row>
    <row r="581">
      <c r="C581" s="96"/>
      <c r="D581" s="97"/>
      <c r="J581" s="98"/>
      <c r="K581" s="98"/>
      <c r="L581" s="99"/>
      <c r="M581" s="96"/>
    </row>
    <row r="582">
      <c r="C582" s="96"/>
      <c r="D582" s="97"/>
      <c r="J582" s="98"/>
      <c r="K582" s="98"/>
      <c r="L582" s="99"/>
      <c r="M582" s="96"/>
    </row>
    <row r="583">
      <c r="C583" s="96"/>
      <c r="D583" s="97"/>
      <c r="J583" s="98"/>
      <c r="K583" s="98"/>
      <c r="L583" s="99"/>
      <c r="M583" s="96"/>
    </row>
    <row r="584">
      <c r="C584" s="96"/>
      <c r="D584" s="97"/>
      <c r="J584" s="98"/>
      <c r="K584" s="98"/>
      <c r="L584" s="99"/>
      <c r="M584" s="96"/>
    </row>
    <row r="585">
      <c r="C585" s="96"/>
      <c r="D585" s="97"/>
      <c r="J585" s="98"/>
      <c r="K585" s="98"/>
      <c r="L585" s="99"/>
      <c r="M585" s="96"/>
    </row>
    <row r="586">
      <c r="C586" s="96"/>
      <c r="D586" s="97"/>
      <c r="J586" s="98"/>
      <c r="K586" s="98"/>
      <c r="L586" s="99"/>
      <c r="M586" s="96"/>
    </row>
    <row r="587">
      <c r="C587" s="96"/>
      <c r="D587" s="97"/>
      <c r="J587" s="98"/>
      <c r="K587" s="98"/>
      <c r="L587" s="99"/>
      <c r="M587" s="96"/>
    </row>
    <row r="588">
      <c r="C588" s="96"/>
      <c r="D588" s="97"/>
      <c r="J588" s="98"/>
      <c r="K588" s="98"/>
      <c r="L588" s="99"/>
      <c r="M588" s="96"/>
    </row>
    <row r="589">
      <c r="C589" s="96"/>
      <c r="D589" s="97"/>
      <c r="J589" s="98"/>
      <c r="K589" s="98"/>
      <c r="L589" s="99"/>
      <c r="M589" s="96"/>
    </row>
    <row r="590">
      <c r="C590" s="96"/>
      <c r="D590" s="97"/>
      <c r="J590" s="98"/>
      <c r="K590" s="98"/>
      <c r="L590" s="99"/>
      <c r="M590" s="96"/>
    </row>
    <row r="591">
      <c r="C591" s="96"/>
      <c r="D591" s="97"/>
      <c r="J591" s="98"/>
      <c r="K591" s="98"/>
      <c r="L591" s="99"/>
      <c r="M591" s="96"/>
    </row>
    <row r="592">
      <c r="C592" s="96"/>
      <c r="D592" s="97"/>
      <c r="J592" s="98"/>
      <c r="K592" s="98"/>
      <c r="L592" s="99"/>
      <c r="M592" s="96"/>
    </row>
    <row r="593">
      <c r="C593" s="96"/>
      <c r="D593" s="97"/>
      <c r="J593" s="98"/>
      <c r="K593" s="98"/>
      <c r="L593" s="99"/>
      <c r="M593" s="96"/>
    </row>
    <row r="594">
      <c r="C594" s="96"/>
      <c r="D594" s="97"/>
      <c r="J594" s="98"/>
      <c r="K594" s="98"/>
      <c r="L594" s="99"/>
      <c r="M594" s="96"/>
    </row>
    <row r="595">
      <c r="C595" s="96"/>
      <c r="D595" s="97"/>
      <c r="J595" s="98"/>
      <c r="K595" s="98"/>
      <c r="L595" s="99"/>
      <c r="M595" s="96"/>
    </row>
    <row r="596">
      <c r="C596" s="96"/>
      <c r="D596" s="97"/>
      <c r="J596" s="98"/>
      <c r="K596" s="98"/>
      <c r="L596" s="99"/>
      <c r="M596" s="96"/>
    </row>
    <row r="597">
      <c r="C597" s="96"/>
      <c r="D597" s="97"/>
      <c r="J597" s="98"/>
      <c r="K597" s="98"/>
      <c r="L597" s="99"/>
      <c r="M597" s="96"/>
    </row>
    <row r="598">
      <c r="C598" s="96"/>
      <c r="D598" s="97"/>
      <c r="J598" s="98"/>
      <c r="K598" s="98"/>
      <c r="L598" s="99"/>
      <c r="M598" s="96"/>
    </row>
    <row r="599">
      <c r="C599" s="96"/>
      <c r="D599" s="97"/>
      <c r="J599" s="98"/>
      <c r="K599" s="98"/>
      <c r="L599" s="99"/>
      <c r="M599" s="96"/>
    </row>
    <row r="600">
      <c r="C600" s="96"/>
      <c r="D600" s="97"/>
      <c r="J600" s="98"/>
      <c r="K600" s="98"/>
      <c r="L600" s="99"/>
      <c r="M600" s="96"/>
    </row>
    <row r="601">
      <c r="C601" s="96"/>
      <c r="D601" s="97"/>
      <c r="J601" s="98"/>
      <c r="K601" s="98"/>
      <c r="L601" s="99"/>
      <c r="M601" s="96"/>
    </row>
    <row r="602">
      <c r="C602" s="96"/>
      <c r="D602" s="97"/>
      <c r="J602" s="98"/>
      <c r="K602" s="98"/>
      <c r="L602" s="99"/>
      <c r="M602" s="96"/>
    </row>
    <row r="603">
      <c r="C603" s="96"/>
      <c r="D603" s="97"/>
      <c r="J603" s="98"/>
      <c r="K603" s="98"/>
      <c r="L603" s="99"/>
      <c r="M603" s="96"/>
    </row>
    <row r="604">
      <c r="C604" s="96"/>
      <c r="D604" s="97"/>
      <c r="J604" s="98"/>
      <c r="K604" s="98"/>
      <c r="L604" s="99"/>
      <c r="M604" s="96"/>
    </row>
    <row r="605">
      <c r="C605" s="96"/>
      <c r="D605" s="97"/>
      <c r="J605" s="98"/>
      <c r="K605" s="98"/>
      <c r="L605" s="99"/>
      <c r="M605" s="96"/>
    </row>
    <row r="606">
      <c r="C606" s="96"/>
      <c r="D606" s="97"/>
      <c r="J606" s="98"/>
      <c r="K606" s="98"/>
      <c r="L606" s="99"/>
      <c r="M606" s="96"/>
    </row>
    <row r="607">
      <c r="C607" s="96"/>
      <c r="D607" s="97"/>
      <c r="J607" s="98"/>
      <c r="K607" s="98"/>
      <c r="L607" s="99"/>
      <c r="M607" s="96"/>
    </row>
    <row r="608">
      <c r="C608" s="96"/>
      <c r="D608" s="97"/>
      <c r="J608" s="98"/>
      <c r="K608" s="98"/>
      <c r="L608" s="99"/>
      <c r="M608" s="96"/>
    </row>
    <row r="609">
      <c r="C609" s="96"/>
      <c r="D609" s="97"/>
      <c r="J609" s="98"/>
      <c r="K609" s="98"/>
      <c r="L609" s="99"/>
      <c r="M609" s="96"/>
    </row>
    <row r="610">
      <c r="C610" s="96"/>
      <c r="D610" s="97"/>
      <c r="J610" s="98"/>
      <c r="K610" s="98"/>
      <c r="L610" s="99"/>
      <c r="M610" s="96"/>
    </row>
    <row r="611">
      <c r="C611" s="96"/>
      <c r="D611" s="97"/>
      <c r="J611" s="98"/>
      <c r="K611" s="98"/>
      <c r="L611" s="99"/>
      <c r="M611" s="96"/>
    </row>
    <row r="612">
      <c r="C612" s="96"/>
      <c r="D612" s="97"/>
      <c r="J612" s="98"/>
      <c r="K612" s="98"/>
      <c r="L612" s="99"/>
      <c r="M612" s="96"/>
    </row>
    <row r="613">
      <c r="C613" s="96"/>
      <c r="D613" s="97"/>
      <c r="J613" s="98"/>
      <c r="K613" s="98"/>
      <c r="L613" s="99"/>
      <c r="M613" s="96"/>
    </row>
    <row r="614">
      <c r="C614" s="96"/>
      <c r="D614" s="97"/>
      <c r="J614" s="98"/>
      <c r="K614" s="98"/>
      <c r="L614" s="99"/>
      <c r="M614" s="96"/>
    </row>
    <row r="615">
      <c r="C615" s="96"/>
      <c r="D615" s="97"/>
      <c r="J615" s="98"/>
      <c r="K615" s="98"/>
      <c r="L615" s="99"/>
      <c r="M615" s="96"/>
    </row>
    <row r="616">
      <c r="C616" s="96"/>
      <c r="D616" s="97"/>
      <c r="J616" s="98"/>
      <c r="K616" s="98"/>
      <c r="L616" s="99"/>
      <c r="M616" s="96"/>
    </row>
    <row r="617">
      <c r="C617" s="96"/>
      <c r="D617" s="97"/>
      <c r="J617" s="98"/>
      <c r="K617" s="98"/>
      <c r="L617" s="99"/>
      <c r="M617" s="96"/>
    </row>
    <row r="618">
      <c r="C618" s="96"/>
      <c r="D618" s="97"/>
      <c r="J618" s="98"/>
      <c r="K618" s="98"/>
      <c r="L618" s="99"/>
      <c r="M618" s="96"/>
    </row>
    <row r="619">
      <c r="C619" s="96"/>
      <c r="D619" s="97"/>
      <c r="J619" s="98"/>
      <c r="K619" s="98"/>
      <c r="L619" s="99"/>
      <c r="M619" s="96"/>
    </row>
    <row r="620">
      <c r="C620" s="96"/>
      <c r="D620" s="97"/>
      <c r="J620" s="98"/>
      <c r="K620" s="98"/>
      <c r="L620" s="99"/>
      <c r="M620" s="96"/>
    </row>
    <row r="621">
      <c r="C621" s="96"/>
      <c r="D621" s="97"/>
      <c r="J621" s="98"/>
      <c r="K621" s="98"/>
      <c r="L621" s="99"/>
      <c r="M621" s="96"/>
    </row>
    <row r="622">
      <c r="C622" s="96"/>
      <c r="D622" s="97"/>
      <c r="J622" s="98"/>
      <c r="K622" s="98"/>
      <c r="L622" s="99"/>
      <c r="M622" s="96"/>
    </row>
    <row r="623">
      <c r="C623" s="96"/>
      <c r="D623" s="97"/>
      <c r="J623" s="98"/>
      <c r="K623" s="98"/>
      <c r="L623" s="99"/>
      <c r="M623" s="96"/>
    </row>
    <row r="624">
      <c r="C624" s="96"/>
      <c r="D624" s="97"/>
      <c r="J624" s="98"/>
      <c r="K624" s="98"/>
      <c r="L624" s="99"/>
      <c r="M624" s="96"/>
    </row>
    <row r="625">
      <c r="C625" s="96"/>
      <c r="D625" s="97"/>
      <c r="J625" s="98"/>
      <c r="K625" s="98"/>
      <c r="L625" s="99"/>
      <c r="M625" s="96"/>
    </row>
    <row r="626">
      <c r="C626" s="96"/>
      <c r="D626" s="97"/>
      <c r="J626" s="98"/>
      <c r="K626" s="98"/>
      <c r="L626" s="99"/>
      <c r="M626" s="96"/>
    </row>
    <row r="627">
      <c r="C627" s="96"/>
      <c r="D627" s="97"/>
      <c r="J627" s="98"/>
      <c r="K627" s="98"/>
      <c r="L627" s="99"/>
      <c r="M627" s="96"/>
    </row>
    <row r="628">
      <c r="C628" s="96"/>
      <c r="D628" s="97"/>
      <c r="J628" s="98"/>
      <c r="K628" s="98"/>
      <c r="L628" s="99"/>
      <c r="M628" s="96"/>
    </row>
    <row r="629">
      <c r="C629" s="96"/>
      <c r="D629" s="97"/>
      <c r="J629" s="98"/>
      <c r="K629" s="98"/>
      <c r="L629" s="99"/>
      <c r="M629" s="96"/>
    </row>
    <row r="630">
      <c r="C630" s="96"/>
      <c r="D630" s="97"/>
      <c r="J630" s="98"/>
      <c r="K630" s="98"/>
      <c r="L630" s="99"/>
      <c r="M630" s="96"/>
    </row>
    <row r="631">
      <c r="C631" s="96"/>
      <c r="D631" s="97"/>
      <c r="J631" s="98"/>
      <c r="K631" s="98"/>
      <c r="L631" s="99"/>
      <c r="M631" s="96"/>
    </row>
    <row r="632">
      <c r="C632" s="96"/>
      <c r="D632" s="97"/>
      <c r="J632" s="98"/>
      <c r="K632" s="98"/>
      <c r="L632" s="99"/>
      <c r="M632" s="96"/>
    </row>
    <row r="633">
      <c r="C633" s="96"/>
      <c r="D633" s="97"/>
      <c r="J633" s="98"/>
      <c r="K633" s="98"/>
      <c r="L633" s="99"/>
      <c r="M633" s="96"/>
    </row>
    <row r="634">
      <c r="C634" s="96"/>
      <c r="D634" s="97"/>
      <c r="J634" s="98"/>
      <c r="K634" s="98"/>
      <c r="L634" s="99"/>
      <c r="M634" s="96"/>
    </row>
    <row r="635">
      <c r="C635" s="96"/>
      <c r="D635" s="97"/>
      <c r="J635" s="98"/>
      <c r="K635" s="98"/>
      <c r="L635" s="99"/>
      <c r="M635" s="96"/>
    </row>
    <row r="636">
      <c r="C636" s="96"/>
      <c r="D636" s="97"/>
      <c r="J636" s="98"/>
      <c r="K636" s="98"/>
      <c r="L636" s="99"/>
      <c r="M636" s="96"/>
    </row>
    <row r="637">
      <c r="C637" s="96"/>
      <c r="D637" s="97"/>
      <c r="J637" s="98"/>
      <c r="K637" s="98"/>
      <c r="L637" s="99"/>
      <c r="M637" s="96"/>
    </row>
    <row r="638">
      <c r="C638" s="96"/>
      <c r="D638" s="97"/>
      <c r="J638" s="98"/>
      <c r="K638" s="98"/>
      <c r="L638" s="99"/>
      <c r="M638" s="96"/>
    </row>
    <row r="639">
      <c r="C639" s="96"/>
      <c r="D639" s="97"/>
      <c r="J639" s="98"/>
      <c r="K639" s="98"/>
      <c r="L639" s="99"/>
      <c r="M639" s="96"/>
    </row>
    <row r="640">
      <c r="C640" s="96"/>
      <c r="D640" s="97"/>
      <c r="J640" s="98"/>
      <c r="K640" s="98"/>
      <c r="L640" s="99"/>
      <c r="M640" s="96"/>
    </row>
    <row r="641">
      <c r="C641" s="96"/>
      <c r="D641" s="97"/>
      <c r="J641" s="98"/>
      <c r="K641" s="98"/>
      <c r="L641" s="99"/>
      <c r="M641" s="96"/>
    </row>
    <row r="642">
      <c r="C642" s="96"/>
      <c r="D642" s="97"/>
      <c r="J642" s="98"/>
      <c r="K642" s="98"/>
      <c r="L642" s="99"/>
      <c r="M642" s="96"/>
    </row>
    <row r="643">
      <c r="C643" s="96"/>
      <c r="D643" s="97"/>
      <c r="J643" s="98"/>
      <c r="K643" s="98"/>
      <c r="L643" s="99"/>
      <c r="M643" s="96"/>
    </row>
    <row r="644">
      <c r="C644" s="96"/>
      <c r="D644" s="97"/>
      <c r="J644" s="98"/>
      <c r="K644" s="98"/>
      <c r="L644" s="99"/>
      <c r="M644" s="96"/>
    </row>
    <row r="645">
      <c r="C645" s="96"/>
      <c r="D645" s="97"/>
      <c r="J645" s="98"/>
      <c r="K645" s="98"/>
      <c r="L645" s="99"/>
      <c r="M645" s="96"/>
    </row>
    <row r="646">
      <c r="C646" s="96"/>
      <c r="D646" s="97"/>
      <c r="J646" s="98"/>
      <c r="K646" s="98"/>
      <c r="L646" s="99"/>
      <c r="M646" s="96"/>
    </row>
    <row r="647">
      <c r="C647" s="96"/>
      <c r="D647" s="97"/>
      <c r="J647" s="98"/>
      <c r="K647" s="98"/>
      <c r="L647" s="99"/>
      <c r="M647" s="96"/>
    </row>
    <row r="648">
      <c r="C648" s="96"/>
      <c r="D648" s="97"/>
      <c r="J648" s="98"/>
      <c r="K648" s="98"/>
      <c r="L648" s="99"/>
      <c r="M648" s="96"/>
    </row>
    <row r="649">
      <c r="C649" s="96"/>
      <c r="D649" s="97"/>
      <c r="J649" s="98"/>
      <c r="K649" s="98"/>
      <c r="L649" s="99"/>
      <c r="M649" s="96"/>
    </row>
    <row r="650">
      <c r="C650" s="96"/>
      <c r="D650" s="97"/>
      <c r="J650" s="98"/>
      <c r="K650" s="98"/>
      <c r="L650" s="99"/>
      <c r="M650" s="96"/>
    </row>
    <row r="651">
      <c r="C651" s="96"/>
      <c r="D651" s="97"/>
      <c r="J651" s="98"/>
      <c r="K651" s="98"/>
      <c r="L651" s="99"/>
      <c r="M651" s="96"/>
    </row>
    <row r="652">
      <c r="C652" s="96"/>
      <c r="D652" s="97"/>
      <c r="J652" s="98"/>
      <c r="K652" s="98"/>
      <c r="L652" s="99"/>
      <c r="M652" s="96"/>
    </row>
    <row r="653">
      <c r="C653" s="96"/>
      <c r="D653" s="97"/>
      <c r="J653" s="98"/>
      <c r="K653" s="98"/>
      <c r="L653" s="99"/>
      <c r="M653" s="96"/>
    </row>
    <row r="654">
      <c r="C654" s="96"/>
      <c r="D654" s="97"/>
      <c r="J654" s="98"/>
      <c r="K654" s="98"/>
      <c r="L654" s="99"/>
      <c r="M654" s="96"/>
    </row>
    <row r="655">
      <c r="C655" s="96"/>
      <c r="D655" s="97"/>
      <c r="J655" s="98"/>
      <c r="K655" s="98"/>
      <c r="L655" s="99"/>
      <c r="M655" s="96"/>
    </row>
    <row r="656">
      <c r="C656" s="96"/>
      <c r="D656" s="97"/>
      <c r="J656" s="98"/>
      <c r="K656" s="98"/>
      <c r="L656" s="99"/>
      <c r="M656" s="96"/>
    </row>
    <row r="657">
      <c r="C657" s="96"/>
      <c r="D657" s="97"/>
      <c r="J657" s="98"/>
      <c r="K657" s="98"/>
      <c r="L657" s="99"/>
      <c r="M657" s="96"/>
    </row>
    <row r="658">
      <c r="C658" s="96"/>
      <c r="D658" s="97"/>
      <c r="J658" s="98"/>
      <c r="K658" s="98"/>
      <c r="L658" s="99"/>
      <c r="M658" s="96"/>
    </row>
    <row r="659">
      <c r="C659" s="96"/>
      <c r="D659" s="97"/>
      <c r="J659" s="98"/>
      <c r="K659" s="98"/>
      <c r="L659" s="99"/>
      <c r="M659" s="96"/>
    </row>
    <row r="660">
      <c r="C660" s="96"/>
      <c r="D660" s="97"/>
      <c r="J660" s="98"/>
      <c r="K660" s="98"/>
      <c r="L660" s="99"/>
      <c r="M660" s="96"/>
    </row>
    <row r="661">
      <c r="C661" s="96"/>
      <c r="D661" s="97"/>
      <c r="J661" s="98"/>
      <c r="K661" s="98"/>
      <c r="L661" s="99"/>
      <c r="M661" s="96"/>
    </row>
    <row r="662">
      <c r="C662" s="96"/>
      <c r="D662" s="97"/>
      <c r="J662" s="98"/>
      <c r="K662" s="98"/>
      <c r="L662" s="99"/>
      <c r="M662" s="96"/>
    </row>
    <row r="663">
      <c r="C663" s="96"/>
      <c r="D663" s="97"/>
      <c r="J663" s="98"/>
      <c r="K663" s="98"/>
      <c r="L663" s="99"/>
      <c r="M663" s="96"/>
    </row>
    <row r="664">
      <c r="C664" s="96"/>
      <c r="D664" s="97"/>
      <c r="J664" s="98"/>
      <c r="K664" s="98"/>
      <c r="L664" s="99"/>
      <c r="M664" s="96"/>
    </row>
    <row r="665">
      <c r="C665" s="96"/>
      <c r="D665" s="97"/>
      <c r="J665" s="98"/>
      <c r="K665" s="98"/>
      <c r="L665" s="99"/>
      <c r="M665" s="96"/>
    </row>
    <row r="666">
      <c r="C666" s="96"/>
      <c r="D666" s="97"/>
      <c r="J666" s="98"/>
      <c r="K666" s="98"/>
      <c r="L666" s="99"/>
      <c r="M666" s="96"/>
    </row>
    <row r="667">
      <c r="C667" s="96"/>
      <c r="D667" s="97"/>
      <c r="J667" s="98"/>
      <c r="K667" s="98"/>
      <c r="L667" s="99"/>
      <c r="M667" s="96"/>
    </row>
    <row r="668">
      <c r="C668" s="96"/>
      <c r="D668" s="97"/>
      <c r="J668" s="98"/>
      <c r="K668" s="98"/>
      <c r="L668" s="99"/>
      <c r="M668" s="96"/>
    </row>
    <row r="669">
      <c r="C669" s="96"/>
      <c r="D669" s="97"/>
      <c r="J669" s="98"/>
      <c r="K669" s="98"/>
      <c r="L669" s="99"/>
      <c r="M669" s="96"/>
    </row>
    <row r="670">
      <c r="C670" s="96"/>
      <c r="D670" s="97"/>
      <c r="J670" s="98"/>
      <c r="K670" s="98"/>
      <c r="L670" s="99"/>
      <c r="M670" s="96"/>
    </row>
    <row r="671">
      <c r="C671" s="96"/>
      <c r="D671" s="97"/>
      <c r="J671" s="98"/>
      <c r="K671" s="98"/>
      <c r="L671" s="99"/>
      <c r="M671" s="96"/>
    </row>
    <row r="672">
      <c r="C672" s="96"/>
      <c r="D672" s="97"/>
      <c r="J672" s="98"/>
      <c r="K672" s="98"/>
      <c r="L672" s="99"/>
      <c r="M672" s="96"/>
    </row>
    <row r="673">
      <c r="C673" s="96"/>
      <c r="D673" s="97"/>
      <c r="J673" s="98"/>
      <c r="K673" s="98"/>
      <c r="L673" s="99"/>
      <c r="M673" s="96"/>
    </row>
    <row r="674">
      <c r="C674" s="96"/>
      <c r="D674" s="97"/>
      <c r="J674" s="98"/>
      <c r="K674" s="98"/>
      <c r="L674" s="99"/>
      <c r="M674" s="96"/>
    </row>
    <row r="675">
      <c r="C675" s="96"/>
      <c r="D675" s="97"/>
      <c r="J675" s="98"/>
      <c r="K675" s="98"/>
      <c r="L675" s="99"/>
      <c r="M675" s="96"/>
    </row>
    <row r="676">
      <c r="C676" s="96"/>
      <c r="D676" s="97"/>
      <c r="J676" s="98"/>
      <c r="K676" s="98"/>
      <c r="L676" s="99"/>
      <c r="M676" s="96"/>
    </row>
    <row r="677">
      <c r="C677" s="96"/>
      <c r="D677" s="97"/>
      <c r="J677" s="98"/>
      <c r="K677" s="98"/>
      <c r="L677" s="99"/>
      <c r="M677" s="96"/>
    </row>
    <row r="678">
      <c r="C678" s="96"/>
      <c r="D678" s="97"/>
      <c r="J678" s="98"/>
      <c r="K678" s="98"/>
      <c r="L678" s="99"/>
      <c r="M678" s="96"/>
    </row>
    <row r="679">
      <c r="C679" s="96"/>
      <c r="D679" s="97"/>
      <c r="J679" s="98"/>
      <c r="K679" s="98"/>
      <c r="L679" s="99"/>
      <c r="M679" s="96"/>
    </row>
    <row r="680">
      <c r="C680" s="96"/>
      <c r="D680" s="97"/>
      <c r="J680" s="98"/>
      <c r="K680" s="98"/>
      <c r="L680" s="99"/>
      <c r="M680" s="96"/>
    </row>
    <row r="681">
      <c r="C681" s="96"/>
      <c r="D681" s="97"/>
      <c r="J681" s="98"/>
      <c r="K681" s="98"/>
      <c r="L681" s="99"/>
      <c r="M681" s="96"/>
    </row>
    <row r="682">
      <c r="C682" s="96"/>
      <c r="D682" s="97"/>
      <c r="J682" s="98"/>
      <c r="K682" s="98"/>
      <c r="L682" s="99"/>
      <c r="M682" s="96"/>
    </row>
    <row r="683">
      <c r="C683" s="96"/>
      <c r="D683" s="97"/>
      <c r="J683" s="98"/>
      <c r="K683" s="98"/>
      <c r="L683" s="99"/>
      <c r="M683" s="96"/>
    </row>
    <row r="684">
      <c r="C684" s="96"/>
      <c r="D684" s="97"/>
      <c r="J684" s="98"/>
      <c r="K684" s="98"/>
      <c r="L684" s="99"/>
      <c r="M684" s="96"/>
    </row>
    <row r="685">
      <c r="C685" s="96"/>
      <c r="D685" s="97"/>
      <c r="J685" s="98"/>
      <c r="K685" s="98"/>
      <c r="L685" s="99"/>
      <c r="M685" s="96"/>
    </row>
    <row r="686">
      <c r="C686" s="96"/>
      <c r="D686" s="97"/>
      <c r="J686" s="98"/>
      <c r="K686" s="98"/>
      <c r="L686" s="99"/>
      <c r="M686" s="96"/>
    </row>
    <row r="687">
      <c r="C687" s="96"/>
      <c r="D687" s="97"/>
      <c r="J687" s="98"/>
      <c r="K687" s="98"/>
      <c r="L687" s="99"/>
      <c r="M687" s="96"/>
    </row>
    <row r="688">
      <c r="C688" s="96"/>
      <c r="D688" s="97"/>
      <c r="J688" s="98"/>
      <c r="K688" s="98"/>
      <c r="L688" s="99"/>
      <c r="M688" s="96"/>
    </row>
    <row r="689">
      <c r="C689" s="96"/>
      <c r="D689" s="97"/>
      <c r="J689" s="98"/>
      <c r="K689" s="98"/>
      <c r="L689" s="99"/>
      <c r="M689" s="96"/>
    </row>
    <row r="690">
      <c r="C690" s="96"/>
      <c r="D690" s="97"/>
      <c r="J690" s="98"/>
      <c r="K690" s="98"/>
      <c r="L690" s="99"/>
      <c r="M690" s="96"/>
    </row>
    <row r="691">
      <c r="C691" s="96"/>
      <c r="D691" s="97"/>
      <c r="J691" s="98"/>
      <c r="K691" s="98"/>
      <c r="L691" s="99"/>
      <c r="M691" s="96"/>
    </row>
    <row r="692">
      <c r="C692" s="96"/>
      <c r="D692" s="97"/>
      <c r="J692" s="98"/>
      <c r="K692" s="98"/>
      <c r="L692" s="99"/>
      <c r="M692" s="96"/>
    </row>
    <row r="693">
      <c r="C693" s="96"/>
      <c r="D693" s="97"/>
      <c r="J693" s="98"/>
      <c r="K693" s="98"/>
      <c r="L693" s="99"/>
      <c r="M693" s="96"/>
    </row>
    <row r="694">
      <c r="C694" s="96"/>
      <c r="D694" s="97"/>
      <c r="J694" s="98"/>
      <c r="K694" s="98"/>
      <c r="L694" s="99"/>
      <c r="M694" s="96"/>
    </row>
    <row r="695">
      <c r="C695" s="96"/>
      <c r="D695" s="97"/>
      <c r="J695" s="98"/>
      <c r="K695" s="98"/>
      <c r="L695" s="99"/>
      <c r="M695" s="96"/>
    </row>
    <row r="696">
      <c r="C696" s="96"/>
      <c r="D696" s="97"/>
      <c r="J696" s="98"/>
      <c r="K696" s="98"/>
      <c r="L696" s="99"/>
      <c r="M696" s="96"/>
    </row>
    <row r="697">
      <c r="C697" s="96"/>
      <c r="D697" s="97"/>
      <c r="J697" s="98"/>
      <c r="K697" s="98"/>
      <c r="L697" s="99"/>
      <c r="M697" s="96"/>
    </row>
    <row r="698">
      <c r="C698" s="96"/>
      <c r="D698" s="97"/>
      <c r="J698" s="98"/>
      <c r="K698" s="98"/>
      <c r="L698" s="99"/>
      <c r="M698" s="96"/>
    </row>
    <row r="699">
      <c r="C699" s="96"/>
      <c r="D699" s="97"/>
      <c r="J699" s="98"/>
      <c r="K699" s="98"/>
      <c r="L699" s="99"/>
      <c r="M699" s="96"/>
    </row>
    <row r="700">
      <c r="C700" s="96"/>
      <c r="D700" s="97"/>
      <c r="J700" s="98"/>
      <c r="K700" s="98"/>
      <c r="L700" s="99"/>
      <c r="M700" s="96"/>
    </row>
    <row r="701">
      <c r="C701" s="96"/>
      <c r="D701" s="97"/>
      <c r="J701" s="98"/>
      <c r="K701" s="98"/>
      <c r="L701" s="99"/>
      <c r="M701" s="96"/>
    </row>
    <row r="702">
      <c r="C702" s="96"/>
      <c r="D702" s="97"/>
      <c r="J702" s="98"/>
      <c r="K702" s="98"/>
      <c r="L702" s="99"/>
      <c r="M702" s="96"/>
    </row>
    <row r="703">
      <c r="C703" s="96"/>
      <c r="D703" s="97"/>
      <c r="J703" s="98"/>
      <c r="K703" s="98"/>
      <c r="L703" s="99"/>
      <c r="M703" s="96"/>
    </row>
    <row r="704">
      <c r="C704" s="96"/>
      <c r="D704" s="97"/>
      <c r="J704" s="98"/>
      <c r="K704" s="98"/>
      <c r="L704" s="99"/>
      <c r="M704" s="96"/>
    </row>
    <row r="705">
      <c r="C705" s="96"/>
      <c r="D705" s="97"/>
      <c r="J705" s="98"/>
      <c r="K705" s="98"/>
      <c r="L705" s="99"/>
      <c r="M705" s="96"/>
    </row>
    <row r="706">
      <c r="C706" s="96"/>
      <c r="D706" s="97"/>
      <c r="J706" s="98"/>
      <c r="K706" s="98"/>
      <c r="L706" s="99"/>
      <c r="M706" s="96"/>
    </row>
    <row r="707">
      <c r="C707" s="96"/>
      <c r="D707" s="97"/>
      <c r="J707" s="98"/>
      <c r="K707" s="98"/>
      <c r="L707" s="99"/>
      <c r="M707" s="96"/>
    </row>
    <row r="708">
      <c r="C708" s="96"/>
      <c r="D708" s="97"/>
      <c r="J708" s="98"/>
      <c r="K708" s="98"/>
      <c r="L708" s="99"/>
      <c r="M708" s="96"/>
    </row>
    <row r="709">
      <c r="C709" s="96"/>
      <c r="D709" s="97"/>
      <c r="J709" s="98"/>
      <c r="K709" s="98"/>
      <c r="L709" s="99"/>
      <c r="M709" s="96"/>
    </row>
    <row r="710">
      <c r="C710" s="96"/>
      <c r="D710" s="97"/>
      <c r="J710" s="98"/>
      <c r="K710" s="98"/>
      <c r="L710" s="99"/>
      <c r="M710" s="96"/>
    </row>
    <row r="711">
      <c r="C711" s="96"/>
      <c r="D711" s="97"/>
      <c r="J711" s="98"/>
      <c r="K711" s="98"/>
      <c r="L711" s="99"/>
      <c r="M711" s="96"/>
    </row>
    <row r="712">
      <c r="C712" s="96"/>
      <c r="D712" s="97"/>
      <c r="J712" s="98"/>
      <c r="K712" s="98"/>
      <c r="L712" s="99"/>
      <c r="M712" s="96"/>
    </row>
    <row r="713">
      <c r="C713" s="96"/>
      <c r="D713" s="97"/>
      <c r="J713" s="98"/>
      <c r="K713" s="98"/>
      <c r="L713" s="99"/>
      <c r="M713" s="96"/>
    </row>
    <row r="714">
      <c r="C714" s="96"/>
      <c r="D714" s="97"/>
      <c r="J714" s="98"/>
      <c r="K714" s="98"/>
      <c r="L714" s="99"/>
      <c r="M714" s="96"/>
    </row>
    <row r="715">
      <c r="C715" s="96"/>
      <c r="D715" s="97"/>
      <c r="J715" s="98"/>
      <c r="K715" s="98"/>
      <c r="L715" s="99"/>
      <c r="M715" s="96"/>
    </row>
    <row r="716">
      <c r="C716" s="96"/>
      <c r="D716" s="97"/>
      <c r="J716" s="98"/>
      <c r="K716" s="98"/>
      <c r="L716" s="99"/>
      <c r="M716" s="96"/>
    </row>
    <row r="717">
      <c r="C717" s="96"/>
      <c r="D717" s="97"/>
      <c r="J717" s="98"/>
      <c r="K717" s="98"/>
      <c r="L717" s="99"/>
      <c r="M717" s="96"/>
    </row>
    <row r="718">
      <c r="C718" s="96"/>
      <c r="D718" s="97"/>
      <c r="J718" s="98"/>
      <c r="K718" s="98"/>
      <c r="L718" s="99"/>
      <c r="M718" s="96"/>
    </row>
    <row r="719">
      <c r="C719" s="96"/>
      <c r="D719" s="97"/>
      <c r="J719" s="98"/>
      <c r="K719" s="98"/>
      <c r="L719" s="99"/>
      <c r="M719" s="96"/>
    </row>
    <row r="720">
      <c r="C720" s="96"/>
      <c r="D720" s="97"/>
      <c r="J720" s="98"/>
      <c r="K720" s="98"/>
      <c r="L720" s="99"/>
      <c r="M720" s="96"/>
    </row>
    <row r="721">
      <c r="C721" s="96"/>
      <c r="D721" s="97"/>
      <c r="J721" s="98"/>
      <c r="K721" s="98"/>
      <c r="L721" s="99"/>
      <c r="M721" s="96"/>
    </row>
    <row r="722">
      <c r="C722" s="96"/>
      <c r="D722" s="97"/>
      <c r="J722" s="98"/>
      <c r="K722" s="98"/>
      <c r="L722" s="99"/>
      <c r="M722" s="96"/>
    </row>
    <row r="723">
      <c r="C723" s="96"/>
      <c r="D723" s="97"/>
      <c r="J723" s="98"/>
      <c r="K723" s="98"/>
      <c r="L723" s="99"/>
      <c r="M723" s="96"/>
    </row>
    <row r="724">
      <c r="C724" s="96"/>
      <c r="D724" s="97"/>
      <c r="J724" s="98"/>
      <c r="K724" s="98"/>
      <c r="L724" s="99"/>
      <c r="M724" s="96"/>
    </row>
    <row r="725">
      <c r="C725" s="96"/>
      <c r="D725" s="97"/>
      <c r="J725" s="98"/>
      <c r="K725" s="98"/>
      <c r="L725" s="99"/>
      <c r="M725" s="96"/>
    </row>
    <row r="726">
      <c r="C726" s="96"/>
      <c r="D726" s="97"/>
      <c r="J726" s="98"/>
      <c r="K726" s="98"/>
      <c r="L726" s="99"/>
      <c r="M726" s="96"/>
    </row>
    <row r="727">
      <c r="C727" s="96"/>
      <c r="D727" s="97"/>
      <c r="J727" s="98"/>
      <c r="K727" s="98"/>
      <c r="L727" s="99"/>
      <c r="M727" s="96"/>
    </row>
    <row r="728">
      <c r="C728" s="96"/>
      <c r="D728" s="97"/>
      <c r="J728" s="98"/>
      <c r="K728" s="98"/>
      <c r="L728" s="99"/>
      <c r="M728" s="96"/>
    </row>
    <row r="729">
      <c r="C729" s="96"/>
      <c r="D729" s="97"/>
      <c r="J729" s="98"/>
      <c r="K729" s="98"/>
      <c r="L729" s="99"/>
      <c r="M729" s="96"/>
    </row>
    <row r="730">
      <c r="C730" s="96"/>
      <c r="D730" s="97"/>
      <c r="J730" s="98"/>
      <c r="K730" s="98"/>
      <c r="L730" s="99"/>
      <c r="M730" s="96"/>
    </row>
    <row r="731">
      <c r="C731" s="96"/>
      <c r="D731" s="97"/>
      <c r="J731" s="98"/>
      <c r="K731" s="98"/>
      <c r="L731" s="99"/>
      <c r="M731" s="96"/>
    </row>
    <row r="732">
      <c r="C732" s="96"/>
      <c r="D732" s="97"/>
      <c r="J732" s="98"/>
      <c r="K732" s="98"/>
      <c r="L732" s="99"/>
      <c r="M732" s="96"/>
    </row>
    <row r="733">
      <c r="C733" s="96"/>
      <c r="D733" s="97"/>
      <c r="J733" s="98"/>
      <c r="K733" s="98"/>
      <c r="L733" s="99"/>
      <c r="M733" s="96"/>
    </row>
    <row r="734">
      <c r="C734" s="96"/>
      <c r="D734" s="97"/>
      <c r="J734" s="98"/>
      <c r="K734" s="98"/>
      <c r="L734" s="99"/>
      <c r="M734" s="96"/>
    </row>
    <row r="735">
      <c r="C735" s="96"/>
      <c r="D735" s="97"/>
      <c r="J735" s="98"/>
      <c r="K735" s="98"/>
      <c r="L735" s="99"/>
      <c r="M735" s="96"/>
    </row>
    <row r="736">
      <c r="C736" s="96"/>
      <c r="D736" s="97"/>
      <c r="J736" s="98"/>
      <c r="K736" s="98"/>
      <c r="L736" s="99"/>
      <c r="M736" s="96"/>
    </row>
    <row r="737">
      <c r="C737" s="96"/>
      <c r="D737" s="97"/>
      <c r="J737" s="98"/>
      <c r="K737" s="98"/>
      <c r="L737" s="99"/>
      <c r="M737" s="96"/>
    </row>
    <row r="738">
      <c r="C738" s="96"/>
      <c r="D738" s="97"/>
      <c r="J738" s="98"/>
      <c r="K738" s="98"/>
      <c r="L738" s="99"/>
      <c r="M738" s="96"/>
    </row>
    <row r="739">
      <c r="C739" s="96"/>
      <c r="D739" s="97"/>
      <c r="J739" s="98"/>
      <c r="K739" s="98"/>
      <c r="L739" s="99"/>
      <c r="M739" s="96"/>
    </row>
    <row r="740">
      <c r="C740" s="96"/>
      <c r="D740" s="97"/>
      <c r="J740" s="98"/>
      <c r="K740" s="98"/>
      <c r="L740" s="99"/>
      <c r="M740" s="96"/>
    </row>
    <row r="741">
      <c r="C741" s="96"/>
      <c r="D741" s="97"/>
      <c r="J741" s="98"/>
      <c r="K741" s="98"/>
      <c r="L741" s="99"/>
      <c r="M741" s="96"/>
    </row>
    <row r="742">
      <c r="C742" s="96"/>
      <c r="D742" s="97"/>
      <c r="J742" s="98"/>
      <c r="K742" s="98"/>
      <c r="L742" s="99"/>
      <c r="M742" s="96"/>
    </row>
    <row r="743">
      <c r="C743" s="96"/>
      <c r="D743" s="97"/>
      <c r="J743" s="98"/>
      <c r="K743" s="98"/>
      <c r="L743" s="99"/>
      <c r="M743" s="96"/>
    </row>
    <row r="744">
      <c r="C744" s="96"/>
      <c r="D744" s="97"/>
      <c r="J744" s="98"/>
      <c r="K744" s="98"/>
      <c r="L744" s="99"/>
      <c r="M744" s="96"/>
    </row>
    <row r="745">
      <c r="C745" s="96"/>
      <c r="D745" s="97"/>
      <c r="J745" s="98"/>
      <c r="K745" s="98"/>
      <c r="L745" s="99"/>
      <c r="M745" s="96"/>
    </row>
    <row r="746">
      <c r="C746" s="96"/>
      <c r="D746" s="97"/>
      <c r="J746" s="98"/>
      <c r="K746" s="98"/>
      <c r="L746" s="99"/>
      <c r="M746" s="96"/>
    </row>
    <row r="747">
      <c r="C747" s="96"/>
      <c r="D747" s="97"/>
      <c r="J747" s="98"/>
      <c r="K747" s="98"/>
      <c r="L747" s="99"/>
      <c r="M747" s="96"/>
    </row>
    <row r="748">
      <c r="C748" s="96"/>
      <c r="D748" s="97"/>
      <c r="J748" s="98"/>
      <c r="K748" s="98"/>
      <c r="L748" s="99"/>
      <c r="M748" s="96"/>
    </row>
    <row r="749">
      <c r="C749" s="96"/>
      <c r="D749" s="97"/>
      <c r="J749" s="98"/>
      <c r="K749" s="98"/>
      <c r="L749" s="99"/>
      <c r="M749" s="96"/>
    </row>
    <row r="750">
      <c r="C750" s="96"/>
      <c r="D750" s="97"/>
      <c r="J750" s="98"/>
      <c r="K750" s="98"/>
      <c r="L750" s="99"/>
      <c r="M750" s="96"/>
    </row>
    <row r="751">
      <c r="C751" s="96"/>
      <c r="D751" s="97"/>
      <c r="J751" s="98"/>
      <c r="K751" s="98"/>
      <c r="L751" s="99"/>
      <c r="M751" s="96"/>
    </row>
    <row r="752">
      <c r="C752" s="96"/>
      <c r="D752" s="97"/>
      <c r="J752" s="98"/>
      <c r="K752" s="98"/>
      <c r="L752" s="99"/>
      <c r="M752" s="96"/>
    </row>
    <row r="753">
      <c r="C753" s="96"/>
      <c r="D753" s="97"/>
      <c r="J753" s="98"/>
      <c r="K753" s="98"/>
      <c r="L753" s="99"/>
      <c r="M753" s="96"/>
    </row>
    <row r="754">
      <c r="C754" s="96"/>
      <c r="D754" s="97"/>
      <c r="J754" s="98"/>
      <c r="K754" s="98"/>
      <c r="L754" s="99"/>
      <c r="M754" s="96"/>
    </row>
    <row r="755">
      <c r="C755" s="96"/>
      <c r="D755" s="97"/>
      <c r="J755" s="98"/>
      <c r="K755" s="98"/>
      <c r="L755" s="99"/>
      <c r="M755" s="96"/>
    </row>
    <row r="756">
      <c r="C756" s="96"/>
      <c r="D756" s="97"/>
      <c r="J756" s="98"/>
      <c r="K756" s="98"/>
      <c r="L756" s="99"/>
      <c r="M756" s="96"/>
    </row>
    <row r="757">
      <c r="C757" s="96"/>
      <c r="D757" s="97"/>
      <c r="J757" s="98"/>
      <c r="K757" s="98"/>
      <c r="L757" s="99"/>
      <c r="M757" s="96"/>
    </row>
    <row r="758">
      <c r="C758" s="96"/>
      <c r="D758" s="97"/>
      <c r="J758" s="98"/>
      <c r="K758" s="98"/>
      <c r="L758" s="99"/>
      <c r="M758" s="96"/>
    </row>
    <row r="759">
      <c r="C759" s="96"/>
      <c r="D759" s="97"/>
      <c r="J759" s="98"/>
      <c r="K759" s="98"/>
      <c r="L759" s="99"/>
      <c r="M759" s="96"/>
    </row>
    <row r="760">
      <c r="C760" s="96"/>
      <c r="D760" s="97"/>
      <c r="J760" s="98"/>
      <c r="K760" s="98"/>
      <c r="L760" s="99"/>
      <c r="M760" s="96"/>
    </row>
    <row r="761">
      <c r="C761" s="96"/>
      <c r="D761" s="97"/>
      <c r="J761" s="98"/>
      <c r="K761" s="98"/>
      <c r="L761" s="99"/>
      <c r="M761" s="96"/>
    </row>
    <row r="762">
      <c r="C762" s="96"/>
      <c r="D762" s="97"/>
      <c r="J762" s="98"/>
      <c r="K762" s="98"/>
      <c r="L762" s="99"/>
      <c r="M762" s="96"/>
    </row>
    <row r="763">
      <c r="C763" s="96"/>
      <c r="D763" s="97"/>
      <c r="J763" s="98"/>
      <c r="K763" s="98"/>
      <c r="L763" s="99"/>
      <c r="M763" s="96"/>
    </row>
    <row r="764">
      <c r="C764" s="96"/>
      <c r="D764" s="97"/>
      <c r="J764" s="98"/>
      <c r="K764" s="98"/>
      <c r="L764" s="99"/>
      <c r="M764" s="96"/>
    </row>
    <row r="765">
      <c r="C765" s="96"/>
      <c r="D765" s="97"/>
      <c r="J765" s="98"/>
      <c r="K765" s="98"/>
      <c r="L765" s="99"/>
      <c r="M765" s="96"/>
    </row>
    <row r="766">
      <c r="C766" s="96"/>
      <c r="D766" s="97"/>
      <c r="J766" s="98"/>
      <c r="K766" s="98"/>
      <c r="L766" s="99"/>
      <c r="M766" s="96"/>
    </row>
    <row r="767">
      <c r="C767" s="96"/>
      <c r="D767" s="97"/>
      <c r="J767" s="98"/>
      <c r="K767" s="98"/>
      <c r="L767" s="99"/>
      <c r="M767" s="96"/>
    </row>
    <row r="768">
      <c r="C768" s="96"/>
      <c r="D768" s="97"/>
      <c r="J768" s="98"/>
      <c r="K768" s="98"/>
      <c r="L768" s="99"/>
      <c r="M768" s="96"/>
    </row>
    <row r="769">
      <c r="C769" s="96"/>
      <c r="D769" s="97"/>
      <c r="J769" s="98"/>
      <c r="K769" s="98"/>
      <c r="L769" s="99"/>
      <c r="M769" s="96"/>
    </row>
    <row r="770">
      <c r="C770" s="96"/>
      <c r="D770" s="97"/>
      <c r="J770" s="98"/>
      <c r="K770" s="98"/>
      <c r="L770" s="99"/>
      <c r="M770" s="96"/>
    </row>
    <row r="771">
      <c r="C771" s="96"/>
      <c r="D771" s="97"/>
      <c r="J771" s="98"/>
      <c r="K771" s="98"/>
      <c r="L771" s="99"/>
      <c r="M771" s="96"/>
    </row>
    <row r="772">
      <c r="C772" s="96"/>
      <c r="D772" s="97"/>
      <c r="J772" s="98"/>
      <c r="K772" s="98"/>
      <c r="L772" s="99"/>
      <c r="M772" s="96"/>
    </row>
    <row r="773">
      <c r="C773" s="96"/>
      <c r="D773" s="97"/>
      <c r="J773" s="98"/>
      <c r="K773" s="98"/>
      <c r="L773" s="99"/>
      <c r="M773" s="96"/>
    </row>
    <row r="774">
      <c r="C774" s="96"/>
      <c r="D774" s="97"/>
      <c r="J774" s="98"/>
      <c r="K774" s="98"/>
      <c r="L774" s="99"/>
      <c r="M774" s="96"/>
    </row>
    <row r="775">
      <c r="C775" s="96"/>
      <c r="D775" s="97"/>
      <c r="J775" s="98"/>
      <c r="K775" s="98"/>
      <c r="L775" s="99"/>
      <c r="M775" s="96"/>
    </row>
    <row r="776">
      <c r="C776" s="96"/>
      <c r="D776" s="97"/>
      <c r="J776" s="98"/>
      <c r="K776" s="98"/>
      <c r="L776" s="99"/>
      <c r="M776" s="96"/>
    </row>
    <row r="777">
      <c r="C777" s="96"/>
      <c r="D777" s="97"/>
      <c r="J777" s="98"/>
      <c r="K777" s="98"/>
      <c r="L777" s="99"/>
      <c r="M777" s="96"/>
    </row>
    <row r="778">
      <c r="C778" s="96"/>
      <c r="D778" s="97"/>
      <c r="J778" s="98"/>
      <c r="K778" s="98"/>
      <c r="L778" s="99"/>
      <c r="M778" s="96"/>
    </row>
    <row r="779">
      <c r="C779" s="96"/>
      <c r="D779" s="97"/>
      <c r="J779" s="98"/>
      <c r="K779" s="98"/>
      <c r="L779" s="99"/>
      <c r="M779" s="96"/>
    </row>
    <row r="780">
      <c r="C780" s="96"/>
      <c r="D780" s="97"/>
      <c r="J780" s="98"/>
      <c r="K780" s="98"/>
      <c r="L780" s="99"/>
      <c r="M780" s="96"/>
    </row>
    <row r="781">
      <c r="C781" s="96"/>
      <c r="D781" s="97"/>
      <c r="J781" s="98"/>
      <c r="K781" s="98"/>
      <c r="L781" s="99"/>
      <c r="M781" s="96"/>
    </row>
    <row r="782">
      <c r="C782" s="96"/>
      <c r="D782" s="97"/>
      <c r="J782" s="98"/>
      <c r="K782" s="98"/>
      <c r="L782" s="99"/>
      <c r="M782" s="96"/>
    </row>
    <row r="783">
      <c r="C783" s="96"/>
      <c r="D783" s="97"/>
      <c r="J783" s="98"/>
      <c r="K783" s="98"/>
      <c r="L783" s="99"/>
      <c r="M783" s="96"/>
    </row>
    <row r="784">
      <c r="C784" s="96"/>
      <c r="D784" s="97"/>
      <c r="J784" s="98"/>
      <c r="K784" s="98"/>
      <c r="L784" s="99"/>
      <c r="M784" s="96"/>
    </row>
    <row r="785">
      <c r="C785" s="96"/>
      <c r="D785" s="97"/>
      <c r="J785" s="98"/>
      <c r="K785" s="98"/>
      <c r="L785" s="99"/>
      <c r="M785" s="96"/>
    </row>
    <row r="786">
      <c r="C786" s="96"/>
      <c r="D786" s="97"/>
      <c r="J786" s="98"/>
      <c r="K786" s="98"/>
      <c r="L786" s="99"/>
      <c r="M786" s="96"/>
    </row>
    <row r="787">
      <c r="C787" s="96"/>
      <c r="D787" s="97"/>
      <c r="J787" s="98"/>
      <c r="K787" s="98"/>
      <c r="L787" s="99"/>
      <c r="M787" s="96"/>
    </row>
    <row r="788">
      <c r="C788" s="96"/>
      <c r="D788" s="97"/>
      <c r="J788" s="98"/>
      <c r="K788" s="98"/>
      <c r="L788" s="99"/>
      <c r="M788" s="96"/>
    </row>
    <row r="789">
      <c r="C789" s="96"/>
      <c r="D789" s="97"/>
      <c r="J789" s="98"/>
      <c r="K789" s="98"/>
      <c r="L789" s="99"/>
      <c r="M789" s="96"/>
    </row>
    <row r="790">
      <c r="C790" s="96"/>
      <c r="D790" s="97"/>
      <c r="J790" s="98"/>
      <c r="K790" s="98"/>
      <c r="L790" s="99"/>
      <c r="M790" s="96"/>
    </row>
    <row r="791">
      <c r="C791" s="96"/>
      <c r="D791" s="97"/>
      <c r="J791" s="98"/>
      <c r="K791" s="98"/>
      <c r="L791" s="99"/>
      <c r="M791" s="96"/>
    </row>
    <row r="792">
      <c r="C792" s="96"/>
      <c r="D792" s="97"/>
      <c r="J792" s="98"/>
      <c r="K792" s="98"/>
      <c r="L792" s="99"/>
      <c r="M792" s="96"/>
    </row>
    <row r="793">
      <c r="C793" s="96"/>
      <c r="D793" s="97"/>
      <c r="J793" s="98"/>
      <c r="K793" s="98"/>
      <c r="L793" s="99"/>
      <c r="M793" s="96"/>
    </row>
    <row r="794">
      <c r="C794" s="96"/>
      <c r="D794" s="97"/>
      <c r="J794" s="98"/>
      <c r="K794" s="98"/>
      <c r="L794" s="99"/>
      <c r="M794" s="96"/>
    </row>
    <row r="795">
      <c r="C795" s="96"/>
      <c r="D795" s="97"/>
      <c r="J795" s="98"/>
      <c r="K795" s="98"/>
      <c r="L795" s="99"/>
      <c r="M795" s="96"/>
    </row>
    <row r="796">
      <c r="C796" s="96"/>
      <c r="D796" s="97"/>
      <c r="J796" s="98"/>
      <c r="K796" s="98"/>
      <c r="L796" s="99"/>
      <c r="M796" s="96"/>
    </row>
    <row r="797">
      <c r="C797" s="96"/>
      <c r="D797" s="97"/>
      <c r="J797" s="98"/>
      <c r="K797" s="98"/>
      <c r="L797" s="99"/>
      <c r="M797" s="96"/>
    </row>
    <row r="798">
      <c r="C798" s="96"/>
      <c r="D798" s="97"/>
      <c r="J798" s="98"/>
      <c r="K798" s="98"/>
      <c r="L798" s="99"/>
      <c r="M798" s="96"/>
    </row>
    <row r="799">
      <c r="C799" s="96"/>
      <c r="D799" s="97"/>
      <c r="J799" s="98"/>
      <c r="K799" s="98"/>
      <c r="L799" s="99"/>
      <c r="M799" s="96"/>
    </row>
    <row r="800">
      <c r="C800" s="96"/>
      <c r="D800" s="97"/>
      <c r="J800" s="98"/>
      <c r="K800" s="98"/>
      <c r="L800" s="99"/>
      <c r="M800" s="96"/>
    </row>
    <row r="801">
      <c r="C801" s="96"/>
      <c r="D801" s="97"/>
      <c r="J801" s="98"/>
      <c r="K801" s="98"/>
      <c r="L801" s="99"/>
      <c r="M801" s="96"/>
    </row>
    <row r="802">
      <c r="C802" s="96"/>
      <c r="D802" s="97"/>
      <c r="J802" s="98"/>
      <c r="K802" s="98"/>
      <c r="L802" s="99"/>
      <c r="M802" s="96"/>
    </row>
    <row r="803">
      <c r="C803" s="96"/>
      <c r="D803" s="97"/>
      <c r="J803" s="98"/>
      <c r="K803" s="98"/>
      <c r="L803" s="99"/>
      <c r="M803" s="96"/>
    </row>
    <row r="804">
      <c r="C804" s="96"/>
      <c r="D804" s="97"/>
      <c r="J804" s="98"/>
      <c r="K804" s="98"/>
      <c r="L804" s="99"/>
      <c r="M804" s="96"/>
    </row>
    <row r="805">
      <c r="C805" s="96"/>
      <c r="D805" s="97"/>
      <c r="J805" s="98"/>
      <c r="K805" s="98"/>
      <c r="L805" s="99"/>
      <c r="M805" s="96"/>
    </row>
    <row r="806">
      <c r="C806" s="96"/>
      <c r="D806" s="97"/>
      <c r="J806" s="98"/>
      <c r="K806" s="98"/>
      <c r="L806" s="99"/>
      <c r="M806" s="96"/>
    </row>
    <row r="807">
      <c r="C807" s="96"/>
      <c r="D807" s="97"/>
      <c r="J807" s="98"/>
      <c r="K807" s="98"/>
      <c r="L807" s="99"/>
      <c r="M807" s="96"/>
    </row>
    <row r="808">
      <c r="C808" s="96"/>
      <c r="D808" s="97"/>
      <c r="J808" s="98"/>
      <c r="K808" s="98"/>
      <c r="L808" s="99"/>
      <c r="M808" s="96"/>
    </row>
    <row r="809">
      <c r="C809" s="96"/>
      <c r="D809" s="97"/>
      <c r="J809" s="98"/>
      <c r="K809" s="98"/>
      <c r="L809" s="99"/>
      <c r="M809" s="96"/>
    </row>
    <row r="810">
      <c r="C810" s="96"/>
      <c r="D810" s="97"/>
      <c r="J810" s="98"/>
      <c r="K810" s="98"/>
      <c r="L810" s="99"/>
      <c r="M810" s="96"/>
    </row>
    <row r="811">
      <c r="C811" s="96"/>
      <c r="D811" s="97"/>
      <c r="J811" s="98"/>
      <c r="K811" s="98"/>
      <c r="L811" s="99"/>
      <c r="M811" s="96"/>
    </row>
    <row r="812">
      <c r="C812" s="96"/>
      <c r="D812" s="97"/>
      <c r="J812" s="98"/>
      <c r="K812" s="98"/>
      <c r="L812" s="99"/>
      <c r="M812" s="96"/>
    </row>
    <row r="813">
      <c r="C813" s="96"/>
      <c r="D813" s="97"/>
      <c r="J813" s="98"/>
      <c r="K813" s="98"/>
      <c r="L813" s="99"/>
      <c r="M813" s="96"/>
    </row>
    <row r="814">
      <c r="C814" s="96"/>
      <c r="D814" s="97"/>
      <c r="J814" s="98"/>
      <c r="K814" s="98"/>
      <c r="L814" s="99"/>
      <c r="M814" s="96"/>
    </row>
    <row r="815">
      <c r="C815" s="96"/>
      <c r="D815" s="97"/>
      <c r="J815" s="98"/>
      <c r="K815" s="98"/>
      <c r="L815" s="99"/>
      <c r="M815" s="96"/>
    </row>
    <row r="816">
      <c r="C816" s="96"/>
      <c r="D816" s="97"/>
      <c r="J816" s="98"/>
      <c r="K816" s="98"/>
      <c r="L816" s="99"/>
      <c r="M816" s="96"/>
    </row>
    <row r="817">
      <c r="C817" s="96"/>
      <c r="D817" s="97"/>
      <c r="J817" s="98"/>
      <c r="K817" s="98"/>
      <c r="L817" s="99"/>
      <c r="M817" s="96"/>
    </row>
    <row r="818">
      <c r="C818" s="96"/>
      <c r="D818" s="97"/>
      <c r="J818" s="98"/>
      <c r="K818" s="98"/>
      <c r="L818" s="99"/>
      <c r="M818" s="96"/>
    </row>
    <row r="819">
      <c r="C819" s="96"/>
      <c r="D819" s="97"/>
      <c r="J819" s="98"/>
      <c r="K819" s="98"/>
      <c r="L819" s="99"/>
      <c r="M819" s="96"/>
    </row>
    <row r="820">
      <c r="C820" s="96"/>
      <c r="D820" s="97"/>
      <c r="J820" s="98"/>
      <c r="K820" s="98"/>
      <c r="L820" s="99"/>
      <c r="M820" s="96"/>
    </row>
    <row r="821">
      <c r="C821" s="96"/>
      <c r="D821" s="97"/>
      <c r="J821" s="98"/>
      <c r="K821" s="98"/>
      <c r="L821" s="99"/>
      <c r="M821" s="96"/>
    </row>
    <row r="822">
      <c r="C822" s="96"/>
      <c r="D822" s="97"/>
      <c r="J822" s="98"/>
      <c r="K822" s="98"/>
      <c r="L822" s="99"/>
      <c r="M822" s="96"/>
    </row>
    <row r="823">
      <c r="C823" s="96"/>
      <c r="D823" s="97"/>
      <c r="J823" s="98"/>
      <c r="K823" s="98"/>
      <c r="L823" s="99"/>
      <c r="M823" s="96"/>
    </row>
    <row r="824">
      <c r="C824" s="96"/>
      <c r="D824" s="97"/>
      <c r="J824" s="98"/>
      <c r="K824" s="98"/>
      <c r="L824" s="99"/>
      <c r="M824" s="96"/>
    </row>
    <row r="825">
      <c r="C825" s="96"/>
      <c r="D825" s="97"/>
      <c r="J825" s="98"/>
      <c r="K825" s="98"/>
      <c r="L825" s="99"/>
      <c r="M825" s="96"/>
    </row>
    <row r="826">
      <c r="C826" s="96"/>
      <c r="D826" s="97"/>
      <c r="J826" s="98"/>
      <c r="K826" s="98"/>
      <c r="L826" s="99"/>
      <c r="M826" s="96"/>
    </row>
    <row r="827">
      <c r="C827" s="96"/>
      <c r="D827" s="97"/>
      <c r="J827" s="98"/>
      <c r="K827" s="98"/>
      <c r="L827" s="99"/>
      <c r="M827" s="96"/>
    </row>
    <row r="828">
      <c r="C828" s="96"/>
      <c r="D828" s="97"/>
      <c r="J828" s="98"/>
      <c r="K828" s="98"/>
      <c r="L828" s="99"/>
      <c r="M828" s="96"/>
    </row>
    <row r="829">
      <c r="C829" s="96"/>
      <c r="D829" s="97"/>
      <c r="J829" s="98"/>
      <c r="K829" s="98"/>
      <c r="L829" s="99"/>
      <c r="M829" s="96"/>
    </row>
    <row r="830">
      <c r="C830" s="96"/>
      <c r="D830" s="97"/>
      <c r="J830" s="98"/>
      <c r="K830" s="98"/>
      <c r="L830" s="99"/>
      <c r="M830" s="96"/>
    </row>
    <row r="831">
      <c r="C831" s="96"/>
      <c r="D831" s="97"/>
      <c r="J831" s="98"/>
      <c r="K831" s="98"/>
      <c r="L831" s="99"/>
      <c r="M831" s="96"/>
    </row>
    <row r="832">
      <c r="C832" s="96"/>
      <c r="D832" s="97"/>
      <c r="J832" s="98"/>
      <c r="K832" s="98"/>
      <c r="L832" s="99"/>
      <c r="M832" s="96"/>
    </row>
    <row r="833">
      <c r="C833" s="96"/>
      <c r="D833" s="97"/>
      <c r="J833" s="98"/>
      <c r="K833" s="98"/>
      <c r="L833" s="99"/>
      <c r="M833" s="96"/>
    </row>
    <row r="834">
      <c r="C834" s="96"/>
      <c r="D834" s="97"/>
      <c r="J834" s="98"/>
      <c r="K834" s="98"/>
      <c r="L834" s="99"/>
      <c r="M834" s="96"/>
    </row>
    <row r="835">
      <c r="C835" s="96"/>
      <c r="D835" s="97"/>
      <c r="J835" s="98"/>
      <c r="K835" s="98"/>
      <c r="L835" s="99"/>
      <c r="M835" s="96"/>
    </row>
    <row r="836">
      <c r="C836" s="96"/>
      <c r="D836" s="97"/>
      <c r="J836" s="98"/>
      <c r="K836" s="98"/>
      <c r="L836" s="99"/>
      <c r="M836" s="96"/>
    </row>
    <row r="837">
      <c r="C837" s="96"/>
      <c r="D837" s="97"/>
      <c r="J837" s="98"/>
      <c r="K837" s="98"/>
      <c r="L837" s="99"/>
      <c r="M837" s="96"/>
    </row>
    <row r="838">
      <c r="C838" s="96"/>
      <c r="D838" s="97"/>
      <c r="J838" s="98"/>
      <c r="K838" s="98"/>
      <c r="L838" s="99"/>
      <c r="M838" s="96"/>
    </row>
    <row r="839">
      <c r="C839" s="96"/>
      <c r="D839" s="97"/>
      <c r="J839" s="98"/>
      <c r="K839" s="98"/>
      <c r="L839" s="99"/>
      <c r="M839" s="96"/>
    </row>
    <row r="840">
      <c r="C840" s="96"/>
      <c r="D840" s="97"/>
      <c r="J840" s="98"/>
      <c r="K840" s="98"/>
      <c r="L840" s="99"/>
      <c r="M840" s="96"/>
    </row>
    <row r="841">
      <c r="C841" s="96"/>
      <c r="D841" s="97"/>
      <c r="J841" s="98"/>
      <c r="K841" s="98"/>
      <c r="L841" s="99"/>
      <c r="M841" s="96"/>
    </row>
    <row r="842">
      <c r="C842" s="96"/>
      <c r="D842" s="97"/>
      <c r="J842" s="98"/>
      <c r="K842" s="98"/>
      <c r="L842" s="99"/>
      <c r="M842" s="96"/>
    </row>
    <row r="843">
      <c r="C843" s="96"/>
      <c r="D843" s="97"/>
      <c r="J843" s="98"/>
      <c r="K843" s="98"/>
      <c r="L843" s="99"/>
      <c r="M843" s="96"/>
    </row>
    <row r="844">
      <c r="C844" s="96"/>
      <c r="D844" s="97"/>
      <c r="J844" s="98"/>
      <c r="K844" s="98"/>
      <c r="L844" s="99"/>
      <c r="M844" s="96"/>
    </row>
    <row r="845">
      <c r="C845" s="96"/>
      <c r="D845" s="97"/>
      <c r="J845" s="98"/>
      <c r="K845" s="98"/>
      <c r="L845" s="99"/>
      <c r="M845" s="96"/>
    </row>
    <row r="846">
      <c r="C846" s="96"/>
      <c r="D846" s="97"/>
      <c r="J846" s="98"/>
      <c r="K846" s="98"/>
      <c r="L846" s="99"/>
      <c r="M846" s="96"/>
    </row>
    <row r="847">
      <c r="C847" s="96"/>
      <c r="D847" s="97"/>
      <c r="J847" s="98"/>
      <c r="K847" s="98"/>
      <c r="L847" s="99"/>
      <c r="M847" s="96"/>
    </row>
    <row r="848">
      <c r="C848" s="96"/>
      <c r="D848" s="97"/>
      <c r="J848" s="98"/>
      <c r="K848" s="98"/>
      <c r="L848" s="99"/>
      <c r="M848" s="96"/>
    </row>
    <row r="849">
      <c r="C849" s="96"/>
      <c r="D849" s="97"/>
      <c r="J849" s="98"/>
      <c r="K849" s="98"/>
      <c r="L849" s="99"/>
      <c r="M849" s="96"/>
    </row>
    <row r="850">
      <c r="C850" s="96"/>
      <c r="D850" s="97"/>
      <c r="J850" s="98"/>
      <c r="K850" s="98"/>
      <c r="L850" s="99"/>
      <c r="M850" s="96"/>
    </row>
    <row r="851">
      <c r="C851" s="96"/>
      <c r="D851" s="97"/>
      <c r="J851" s="98"/>
      <c r="K851" s="98"/>
      <c r="L851" s="99"/>
      <c r="M851" s="96"/>
    </row>
    <row r="852">
      <c r="C852" s="96"/>
      <c r="D852" s="97"/>
      <c r="J852" s="98"/>
      <c r="K852" s="98"/>
      <c r="L852" s="99"/>
      <c r="M852" s="96"/>
    </row>
    <row r="853">
      <c r="C853" s="96"/>
      <c r="D853" s="97"/>
      <c r="J853" s="98"/>
      <c r="K853" s="98"/>
      <c r="L853" s="99"/>
      <c r="M853" s="96"/>
    </row>
    <row r="854">
      <c r="C854" s="96"/>
      <c r="D854" s="97"/>
      <c r="J854" s="98"/>
      <c r="K854" s="98"/>
      <c r="L854" s="99"/>
      <c r="M854" s="96"/>
    </row>
    <row r="855">
      <c r="C855" s="96"/>
      <c r="D855" s="97"/>
      <c r="J855" s="98"/>
      <c r="K855" s="98"/>
      <c r="L855" s="99"/>
      <c r="M855" s="96"/>
    </row>
    <row r="856">
      <c r="C856" s="96"/>
      <c r="D856" s="97"/>
      <c r="J856" s="98"/>
      <c r="K856" s="98"/>
      <c r="L856" s="99"/>
      <c r="M856" s="96"/>
    </row>
    <row r="857">
      <c r="C857" s="96"/>
      <c r="D857" s="97"/>
      <c r="J857" s="98"/>
      <c r="K857" s="98"/>
      <c r="L857" s="99"/>
      <c r="M857" s="96"/>
    </row>
    <row r="858">
      <c r="C858" s="96"/>
      <c r="D858" s="97"/>
      <c r="J858" s="98"/>
      <c r="K858" s="98"/>
      <c r="L858" s="99"/>
      <c r="M858" s="96"/>
    </row>
    <row r="859">
      <c r="C859" s="96"/>
      <c r="D859" s="97"/>
      <c r="J859" s="98"/>
      <c r="K859" s="98"/>
      <c r="L859" s="99"/>
      <c r="M859" s="96"/>
    </row>
    <row r="860">
      <c r="C860" s="96"/>
      <c r="D860" s="97"/>
      <c r="J860" s="98"/>
      <c r="K860" s="98"/>
      <c r="L860" s="99"/>
      <c r="M860" s="96"/>
    </row>
    <row r="861">
      <c r="C861" s="96"/>
      <c r="D861" s="97"/>
      <c r="J861" s="98"/>
      <c r="K861" s="98"/>
      <c r="L861" s="99"/>
      <c r="M861" s="96"/>
    </row>
    <row r="862">
      <c r="C862" s="96"/>
      <c r="D862" s="97"/>
      <c r="J862" s="98"/>
      <c r="K862" s="98"/>
      <c r="L862" s="99"/>
      <c r="M862" s="96"/>
    </row>
    <row r="863">
      <c r="C863" s="96"/>
      <c r="D863" s="97"/>
      <c r="J863" s="98"/>
      <c r="K863" s="98"/>
      <c r="L863" s="99"/>
      <c r="M863" s="96"/>
    </row>
    <row r="864">
      <c r="C864" s="96"/>
      <c r="D864" s="97"/>
      <c r="J864" s="98"/>
      <c r="K864" s="98"/>
      <c r="L864" s="99"/>
      <c r="M864" s="96"/>
    </row>
    <row r="865">
      <c r="C865" s="96"/>
      <c r="D865" s="97"/>
      <c r="J865" s="98"/>
      <c r="K865" s="98"/>
      <c r="L865" s="99"/>
      <c r="M865" s="96"/>
    </row>
    <row r="866">
      <c r="C866" s="96"/>
      <c r="D866" s="97"/>
      <c r="J866" s="98"/>
      <c r="K866" s="98"/>
      <c r="L866" s="99"/>
      <c r="M866" s="96"/>
    </row>
    <row r="867">
      <c r="C867" s="96"/>
      <c r="D867" s="97"/>
      <c r="J867" s="98"/>
      <c r="K867" s="98"/>
      <c r="L867" s="99"/>
      <c r="M867" s="96"/>
    </row>
    <row r="868">
      <c r="C868" s="96"/>
      <c r="D868" s="97"/>
      <c r="J868" s="98"/>
      <c r="K868" s="98"/>
      <c r="L868" s="99"/>
      <c r="M868" s="96"/>
    </row>
    <row r="869">
      <c r="C869" s="96"/>
      <c r="D869" s="97"/>
      <c r="J869" s="98"/>
      <c r="K869" s="98"/>
      <c r="L869" s="99"/>
      <c r="M869" s="96"/>
    </row>
    <row r="870">
      <c r="C870" s="96"/>
      <c r="D870" s="97"/>
      <c r="J870" s="98"/>
      <c r="K870" s="98"/>
      <c r="L870" s="99"/>
      <c r="M870" s="96"/>
    </row>
    <row r="871">
      <c r="C871" s="96"/>
      <c r="D871" s="97"/>
      <c r="J871" s="98"/>
      <c r="K871" s="98"/>
      <c r="L871" s="99"/>
      <c r="M871" s="96"/>
    </row>
    <row r="872">
      <c r="C872" s="96"/>
      <c r="D872" s="97"/>
      <c r="J872" s="98"/>
      <c r="K872" s="98"/>
      <c r="L872" s="99"/>
      <c r="M872" s="96"/>
    </row>
    <row r="873">
      <c r="C873" s="96"/>
      <c r="D873" s="97"/>
      <c r="J873" s="98"/>
      <c r="K873" s="98"/>
      <c r="L873" s="99"/>
      <c r="M873" s="96"/>
    </row>
    <row r="874">
      <c r="C874" s="96"/>
      <c r="D874" s="97"/>
      <c r="J874" s="98"/>
      <c r="K874" s="98"/>
      <c r="L874" s="99"/>
      <c r="M874" s="96"/>
    </row>
    <row r="875">
      <c r="C875" s="96"/>
      <c r="D875" s="97"/>
      <c r="J875" s="98"/>
      <c r="K875" s="98"/>
      <c r="L875" s="99"/>
      <c r="M875" s="96"/>
    </row>
    <row r="876">
      <c r="C876" s="96"/>
      <c r="D876" s="97"/>
      <c r="J876" s="98"/>
      <c r="K876" s="98"/>
      <c r="L876" s="99"/>
      <c r="M876" s="96"/>
    </row>
    <row r="877">
      <c r="C877" s="96"/>
      <c r="D877" s="97"/>
      <c r="J877" s="98"/>
      <c r="K877" s="98"/>
      <c r="L877" s="99"/>
      <c r="M877" s="96"/>
    </row>
    <row r="878">
      <c r="C878" s="96"/>
      <c r="D878" s="97"/>
      <c r="J878" s="98"/>
      <c r="K878" s="98"/>
      <c r="L878" s="99"/>
      <c r="M878" s="96"/>
    </row>
    <row r="879">
      <c r="C879" s="96"/>
      <c r="D879" s="97"/>
      <c r="J879" s="98"/>
      <c r="K879" s="98"/>
      <c r="L879" s="99"/>
      <c r="M879" s="96"/>
    </row>
    <row r="880">
      <c r="C880" s="96"/>
      <c r="D880" s="97"/>
      <c r="J880" s="98"/>
      <c r="K880" s="98"/>
      <c r="L880" s="99"/>
      <c r="M880" s="96"/>
    </row>
    <row r="881">
      <c r="C881" s="96"/>
      <c r="D881" s="97"/>
      <c r="J881" s="98"/>
      <c r="K881" s="98"/>
      <c r="L881" s="99"/>
      <c r="M881" s="96"/>
    </row>
    <row r="882">
      <c r="C882" s="96"/>
      <c r="D882" s="97"/>
      <c r="J882" s="98"/>
      <c r="K882" s="98"/>
      <c r="L882" s="99"/>
      <c r="M882" s="96"/>
    </row>
    <row r="883">
      <c r="C883" s="96"/>
      <c r="D883" s="97"/>
      <c r="J883" s="98"/>
      <c r="K883" s="98"/>
      <c r="L883" s="99"/>
      <c r="M883" s="96"/>
    </row>
    <row r="884">
      <c r="C884" s="96"/>
      <c r="D884" s="97"/>
      <c r="J884" s="98"/>
      <c r="K884" s="98"/>
      <c r="L884" s="99"/>
      <c r="M884" s="96"/>
    </row>
    <row r="885">
      <c r="C885" s="96"/>
      <c r="D885" s="97"/>
      <c r="J885" s="98"/>
      <c r="K885" s="98"/>
      <c r="L885" s="99"/>
      <c r="M885" s="96"/>
    </row>
    <row r="886">
      <c r="C886" s="96"/>
      <c r="D886" s="97"/>
      <c r="J886" s="98"/>
      <c r="K886" s="98"/>
      <c r="L886" s="99"/>
      <c r="M886" s="96"/>
    </row>
    <row r="887">
      <c r="C887" s="96"/>
      <c r="D887" s="97"/>
      <c r="J887" s="98"/>
      <c r="K887" s="98"/>
      <c r="L887" s="99"/>
      <c r="M887" s="96"/>
    </row>
    <row r="888">
      <c r="C888" s="96"/>
      <c r="D888" s="97"/>
      <c r="J888" s="98"/>
      <c r="K888" s="98"/>
      <c r="L888" s="99"/>
      <c r="M888" s="96"/>
    </row>
    <row r="889">
      <c r="C889" s="96"/>
      <c r="D889" s="97"/>
      <c r="J889" s="98"/>
      <c r="K889" s="98"/>
      <c r="L889" s="99"/>
      <c r="M889" s="96"/>
    </row>
    <row r="890">
      <c r="C890" s="96"/>
      <c r="D890" s="97"/>
      <c r="J890" s="98"/>
      <c r="K890" s="98"/>
      <c r="L890" s="99"/>
      <c r="M890" s="96"/>
    </row>
    <row r="891">
      <c r="C891" s="96"/>
      <c r="D891" s="97"/>
      <c r="J891" s="98"/>
      <c r="K891" s="98"/>
      <c r="L891" s="99"/>
      <c r="M891" s="96"/>
    </row>
    <row r="892">
      <c r="C892" s="96"/>
      <c r="D892" s="97"/>
      <c r="J892" s="98"/>
      <c r="K892" s="98"/>
      <c r="L892" s="99"/>
      <c r="M892" s="96"/>
    </row>
    <row r="893">
      <c r="C893" s="96"/>
      <c r="D893" s="97"/>
      <c r="J893" s="98"/>
      <c r="K893" s="98"/>
      <c r="L893" s="99"/>
      <c r="M893" s="96"/>
    </row>
    <row r="894">
      <c r="C894" s="96"/>
      <c r="D894" s="97"/>
      <c r="J894" s="98"/>
      <c r="K894" s="98"/>
      <c r="L894" s="99"/>
      <c r="M894" s="96"/>
    </row>
    <row r="895">
      <c r="C895" s="96"/>
      <c r="D895" s="97"/>
      <c r="J895" s="98"/>
      <c r="K895" s="98"/>
      <c r="L895" s="99"/>
      <c r="M895" s="96"/>
    </row>
    <row r="896">
      <c r="C896" s="96"/>
      <c r="D896" s="97"/>
      <c r="J896" s="98"/>
      <c r="K896" s="98"/>
      <c r="L896" s="99"/>
      <c r="M896" s="96"/>
    </row>
    <row r="897">
      <c r="C897" s="96"/>
      <c r="D897" s="97"/>
      <c r="J897" s="98"/>
      <c r="K897" s="98"/>
      <c r="L897" s="99"/>
      <c r="M897" s="96"/>
    </row>
    <row r="898">
      <c r="C898" s="96"/>
      <c r="D898" s="97"/>
      <c r="J898" s="98"/>
      <c r="K898" s="98"/>
      <c r="L898" s="99"/>
      <c r="M898" s="96"/>
    </row>
    <row r="899">
      <c r="C899" s="96"/>
      <c r="D899" s="97"/>
      <c r="J899" s="98"/>
      <c r="K899" s="98"/>
      <c r="L899" s="99"/>
      <c r="M899" s="96"/>
    </row>
    <row r="900">
      <c r="C900" s="96"/>
      <c r="D900" s="97"/>
      <c r="J900" s="98"/>
      <c r="K900" s="98"/>
      <c r="L900" s="99"/>
      <c r="M900" s="96"/>
    </row>
    <row r="901">
      <c r="C901" s="96"/>
      <c r="D901" s="97"/>
      <c r="J901" s="98"/>
      <c r="K901" s="98"/>
      <c r="L901" s="99"/>
      <c r="M901" s="96"/>
    </row>
    <row r="902">
      <c r="C902" s="96"/>
      <c r="D902" s="97"/>
      <c r="J902" s="98"/>
      <c r="K902" s="98"/>
      <c r="L902" s="99"/>
      <c r="M902" s="96"/>
    </row>
    <row r="903">
      <c r="C903" s="96"/>
      <c r="D903" s="97"/>
      <c r="J903" s="98"/>
      <c r="K903" s="98"/>
      <c r="L903" s="99"/>
      <c r="M903" s="96"/>
    </row>
    <row r="904">
      <c r="C904" s="96"/>
      <c r="D904" s="97"/>
      <c r="J904" s="98"/>
      <c r="K904" s="98"/>
      <c r="L904" s="99"/>
      <c r="M904" s="96"/>
    </row>
    <row r="905">
      <c r="C905" s="96"/>
      <c r="D905" s="97"/>
      <c r="J905" s="98"/>
      <c r="K905" s="98"/>
      <c r="L905" s="99"/>
      <c r="M905" s="96"/>
    </row>
    <row r="906">
      <c r="C906" s="96"/>
      <c r="D906" s="97"/>
      <c r="J906" s="98"/>
      <c r="K906" s="98"/>
      <c r="L906" s="99"/>
      <c r="M906" s="96"/>
    </row>
    <row r="907">
      <c r="C907" s="96"/>
      <c r="D907" s="97"/>
      <c r="J907" s="98"/>
      <c r="K907" s="98"/>
      <c r="L907" s="99"/>
      <c r="M907" s="96"/>
    </row>
    <row r="908">
      <c r="C908" s="96"/>
      <c r="D908" s="97"/>
      <c r="J908" s="98"/>
      <c r="K908" s="98"/>
      <c r="L908" s="99"/>
      <c r="M908" s="96"/>
    </row>
    <row r="909">
      <c r="C909" s="96"/>
      <c r="D909" s="97"/>
      <c r="J909" s="98"/>
      <c r="K909" s="98"/>
      <c r="L909" s="99"/>
      <c r="M909" s="96"/>
    </row>
    <row r="910">
      <c r="C910" s="96"/>
      <c r="D910" s="97"/>
      <c r="J910" s="98"/>
      <c r="K910" s="98"/>
      <c r="L910" s="99"/>
      <c r="M910" s="96"/>
    </row>
    <row r="911">
      <c r="C911" s="96"/>
      <c r="D911" s="97"/>
      <c r="J911" s="98"/>
      <c r="K911" s="98"/>
      <c r="L911" s="99"/>
      <c r="M911" s="96"/>
    </row>
    <row r="912">
      <c r="C912" s="96"/>
      <c r="D912" s="97"/>
      <c r="J912" s="98"/>
      <c r="K912" s="98"/>
      <c r="L912" s="99"/>
      <c r="M912" s="96"/>
    </row>
    <row r="913">
      <c r="C913" s="96"/>
      <c r="D913" s="97"/>
      <c r="J913" s="98"/>
      <c r="K913" s="98"/>
      <c r="L913" s="99"/>
      <c r="M913" s="96"/>
    </row>
    <row r="914">
      <c r="C914" s="96"/>
      <c r="D914" s="97"/>
      <c r="J914" s="98"/>
      <c r="K914" s="98"/>
      <c r="L914" s="99"/>
      <c r="M914" s="96"/>
    </row>
    <row r="915">
      <c r="C915" s="96"/>
      <c r="D915" s="97"/>
      <c r="J915" s="98"/>
      <c r="K915" s="98"/>
      <c r="L915" s="99"/>
      <c r="M915" s="96"/>
    </row>
    <row r="916">
      <c r="C916" s="96"/>
      <c r="D916" s="97"/>
      <c r="J916" s="98"/>
      <c r="K916" s="98"/>
      <c r="L916" s="99"/>
      <c r="M916" s="96"/>
    </row>
    <row r="917">
      <c r="C917" s="96"/>
      <c r="D917" s="97"/>
      <c r="J917" s="98"/>
      <c r="K917" s="98"/>
      <c r="L917" s="99"/>
      <c r="M917" s="96"/>
    </row>
    <row r="918">
      <c r="C918" s="96"/>
      <c r="D918" s="97"/>
      <c r="J918" s="98"/>
      <c r="K918" s="98"/>
      <c r="L918" s="99"/>
      <c r="M918" s="96"/>
    </row>
    <row r="919">
      <c r="C919" s="96"/>
      <c r="D919" s="97"/>
      <c r="J919" s="98"/>
      <c r="K919" s="98"/>
      <c r="L919" s="99"/>
      <c r="M919" s="96"/>
    </row>
    <row r="920">
      <c r="C920" s="96"/>
      <c r="D920" s="97"/>
      <c r="J920" s="98"/>
      <c r="K920" s="98"/>
      <c r="L920" s="99"/>
      <c r="M920" s="96"/>
    </row>
    <row r="921">
      <c r="C921" s="96"/>
      <c r="D921" s="97"/>
      <c r="J921" s="98"/>
      <c r="K921" s="98"/>
      <c r="L921" s="99"/>
      <c r="M921" s="96"/>
    </row>
    <row r="922">
      <c r="C922" s="96"/>
      <c r="D922" s="97"/>
      <c r="J922" s="98"/>
      <c r="K922" s="98"/>
      <c r="L922" s="99"/>
      <c r="M922" s="96"/>
    </row>
    <row r="923">
      <c r="C923" s="96"/>
      <c r="D923" s="97"/>
      <c r="J923" s="98"/>
      <c r="K923" s="98"/>
      <c r="L923" s="99"/>
      <c r="M923" s="96"/>
    </row>
    <row r="924">
      <c r="C924" s="96"/>
      <c r="D924" s="97"/>
      <c r="J924" s="98"/>
      <c r="K924" s="98"/>
      <c r="L924" s="99"/>
      <c r="M924" s="96"/>
    </row>
    <row r="925">
      <c r="C925" s="96"/>
      <c r="D925" s="97"/>
      <c r="J925" s="98"/>
      <c r="K925" s="98"/>
      <c r="L925" s="99"/>
      <c r="M925" s="96"/>
    </row>
    <row r="926">
      <c r="C926" s="96"/>
      <c r="D926" s="97"/>
      <c r="J926" s="98"/>
      <c r="K926" s="98"/>
      <c r="L926" s="99"/>
      <c r="M926" s="96"/>
    </row>
    <row r="927">
      <c r="C927" s="96"/>
      <c r="D927" s="97"/>
      <c r="J927" s="98"/>
      <c r="K927" s="98"/>
      <c r="L927" s="99"/>
      <c r="M927" s="96"/>
    </row>
    <row r="928">
      <c r="C928" s="96"/>
      <c r="D928" s="97"/>
      <c r="J928" s="98"/>
      <c r="K928" s="98"/>
      <c r="L928" s="99"/>
      <c r="M928" s="96"/>
    </row>
    <row r="929">
      <c r="C929" s="96"/>
      <c r="D929" s="97"/>
      <c r="J929" s="98"/>
      <c r="K929" s="98"/>
      <c r="L929" s="99"/>
      <c r="M929" s="96"/>
    </row>
    <row r="930">
      <c r="C930" s="96"/>
      <c r="D930" s="97"/>
      <c r="J930" s="98"/>
      <c r="K930" s="98"/>
      <c r="L930" s="99"/>
      <c r="M930" s="96"/>
    </row>
    <row r="931">
      <c r="C931" s="96"/>
      <c r="D931" s="97"/>
      <c r="J931" s="98"/>
      <c r="K931" s="98"/>
      <c r="L931" s="99"/>
      <c r="M931" s="96"/>
    </row>
    <row r="932">
      <c r="C932" s="96"/>
      <c r="D932" s="97"/>
      <c r="J932" s="98"/>
      <c r="K932" s="98"/>
      <c r="L932" s="99"/>
      <c r="M932" s="96"/>
    </row>
    <row r="933">
      <c r="C933" s="96"/>
      <c r="D933" s="97"/>
      <c r="J933" s="98"/>
      <c r="K933" s="98"/>
      <c r="L933" s="99"/>
      <c r="M933" s="96"/>
    </row>
    <row r="934">
      <c r="C934" s="96"/>
      <c r="D934" s="97"/>
      <c r="J934" s="98"/>
      <c r="K934" s="98"/>
      <c r="L934" s="99"/>
      <c r="M934" s="96"/>
    </row>
    <row r="935">
      <c r="C935" s="96"/>
      <c r="D935" s="97"/>
      <c r="J935" s="98"/>
      <c r="K935" s="98"/>
      <c r="L935" s="99"/>
      <c r="M935" s="96"/>
    </row>
    <row r="936">
      <c r="C936" s="96"/>
      <c r="D936" s="97"/>
      <c r="J936" s="98"/>
      <c r="K936" s="98"/>
      <c r="L936" s="99"/>
      <c r="M936" s="96"/>
    </row>
    <row r="937">
      <c r="C937" s="96"/>
      <c r="D937" s="97"/>
      <c r="J937" s="98"/>
      <c r="K937" s="98"/>
      <c r="L937" s="99"/>
      <c r="M937" s="96"/>
    </row>
    <row r="938">
      <c r="C938" s="96"/>
      <c r="D938" s="97"/>
      <c r="J938" s="98"/>
      <c r="K938" s="98"/>
      <c r="L938" s="99"/>
      <c r="M938" s="96"/>
    </row>
    <row r="939">
      <c r="C939" s="96"/>
      <c r="D939" s="97"/>
      <c r="J939" s="98"/>
      <c r="K939" s="98"/>
      <c r="L939" s="99"/>
      <c r="M939" s="96"/>
    </row>
    <row r="940">
      <c r="C940" s="96"/>
      <c r="D940" s="97"/>
      <c r="J940" s="98"/>
      <c r="K940" s="98"/>
      <c r="L940" s="99"/>
      <c r="M940" s="96"/>
    </row>
    <row r="941">
      <c r="C941" s="96"/>
      <c r="D941" s="97"/>
      <c r="J941" s="98"/>
      <c r="K941" s="98"/>
      <c r="L941" s="99"/>
      <c r="M941" s="96"/>
    </row>
    <row r="942">
      <c r="C942" s="96"/>
      <c r="D942" s="97"/>
      <c r="J942" s="98"/>
      <c r="K942" s="98"/>
      <c r="L942" s="99"/>
      <c r="M942" s="96"/>
    </row>
    <row r="943">
      <c r="C943" s="96"/>
      <c r="D943" s="97"/>
      <c r="J943" s="98"/>
      <c r="K943" s="98"/>
      <c r="L943" s="99"/>
      <c r="M943" s="96"/>
    </row>
    <row r="944">
      <c r="C944" s="96"/>
      <c r="D944" s="97"/>
      <c r="J944" s="98"/>
      <c r="K944" s="98"/>
      <c r="L944" s="99"/>
      <c r="M944" s="96"/>
    </row>
    <row r="945">
      <c r="C945" s="96"/>
      <c r="D945" s="97"/>
      <c r="J945" s="98"/>
      <c r="K945" s="98"/>
      <c r="L945" s="99"/>
      <c r="M945" s="96"/>
    </row>
    <row r="946">
      <c r="C946" s="96"/>
      <c r="D946" s="97"/>
      <c r="J946" s="98"/>
      <c r="K946" s="98"/>
      <c r="L946" s="99"/>
      <c r="M946" s="96"/>
    </row>
    <row r="947">
      <c r="C947" s="96"/>
      <c r="D947" s="97"/>
      <c r="J947" s="98"/>
      <c r="K947" s="98"/>
      <c r="L947" s="99"/>
      <c r="M947" s="96"/>
    </row>
    <row r="948">
      <c r="C948" s="96"/>
      <c r="D948" s="97"/>
      <c r="J948" s="98"/>
      <c r="K948" s="98"/>
      <c r="L948" s="99"/>
      <c r="M948" s="96"/>
    </row>
    <row r="949">
      <c r="C949" s="96"/>
      <c r="D949" s="97"/>
      <c r="J949" s="98"/>
      <c r="K949" s="98"/>
      <c r="L949" s="99"/>
      <c r="M949" s="96"/>
    </row>
    <row r="950">
      <c r="C950" s="96"/>
      <c r="D950" s="97"/>
      <c r="J950" s="98"/>
      <c r="K950" s="98"/>
      <c r="L950" s="99"/>
      <c r="M950" s="96"/>
    </row>
    <row r="951">
      <c r="C951" s="96"/>
      <c r="D951" s="97"/>
      <c r="J951" s="98"/>
      <c r="K951" s="98"/>
      <c r="L951" s="99"/>
      <c r="M951" s="96"/>
    </row>
    <row r="952">
      <c r="C952" s="96"/>
      <c r="D952" s="97"/>
      <c r="J952" s="98"/>
      <c r="K952" s="98"/>
      <c r="L952" s="99"/>
      <c r="M952" s="96"/>
    </row>
    <row r="953">
      <c r="C953" s="96"/>
      <c r="D953" s="97"/>
      <c r="J953" s="98"/>
      <c r="K953" s="98"/>
      <c r="L953" s="99"/>
      <c r="M953" s="96"/>
    </row>
    <row r="954">
      <c r="C954" s="96"/>
      <c r="D954" s="97"/>
      <c r="J954" s="98"/>
      <c r="K954" s="98"/>
      <c r="L954" s="99"/>
      <c r="M954" s="96"/>
    </row>
    <row r="955">
      <c r="C955" s="96"/>
      <c r="D955" s="97"/>
      <c r="J955" s="98"/>
      <c r="K955" s="98"/>
      <c r="L955" s="99"/>
      <c r="M955" s="96"/>
    </row>
    <row r="956">
      <c r="C956" s="96"/>
      <c r="D956" s="97"/>
      <c r="J956" s="98"/>
      <c r="K956" s="98"/>
      <c r="L956" s="99"/>
      <c r="M956" s="96"/>
    </row>
    <row r="957">
      <c r="C957" s="96"/>
      <c r="D957" s="97"/>
      <c r="J957" s="98"/>
      <c r="K957" s="98"/>
      <c r="L957" s="99"/>
      <c r="M957" s="96"/>
    </row>
    <row r="958">
      <c r="C958" s="96"/>
      <c r="D958" s="97"/>
      <c r="J958" s="98"/>
      <c r="K958" s="98"/>
      <c r="L958" s="99"/>
      <c r="M958" s="96"/>
    </row>
    <row r="959">
      <c r="C959" s="96"/>
      <c r="D959" s="97"/>
      <c r="J959" s="98"/>
      <c r="K959" s="98"/>
      <c r="L959" s="99"/>
      <c r="M959" s="96"/>
    </row>
    <row r="960">
      <c r="C960" s="96"/>
      <c r="D960" s="97"/>
      <c r="J960" s="98"/>
      <c r="K960" s="98"/>
      <c r="L960" s="99"/>
      <c r="M960" s="96"/>
    </row>
    <row r="961">
      <c r="C961" s="96"/>
      <c r="D961" s="97"/>
      <c r="J961" s="98"/>
      <c r="K961" s="98"/>
      <c r="L961" s="99"/>
      <c r="M961" s="96"/>
    </row>
    <row r="962">
      <c r="C962" s="96"/>
      <c r="D962" s="97"/>
      <c r="J962" s="98"/>
      <c r="K962" s="98"/>
      <c r="L962" s="99"/>
      <c r="M962" s="96"/>
    </row>
    <row r="963">
      <c r="C963" s="96"/>
      <c r="D963" s="97"/>
      <c r="J963" s="98"/>
      <c r="K963" s="98"/>
      <c r="L963" s="99"/>
      <c r="M963" s="96"/>
    </row>
    <row r="964">
      <c r="C964" s="96"/>
      <c r="D964" s="97"/>
      <c r="J964" s="98"/>
      <c r="K964" s="98"/>
      <c r="L964" s="99"/>
      <c r="M964" s="96"/>
    </row>
    <row r="965">
      <c r="C965" s="96"/>
      <c r="D965" s="97"/>
      <c r="J965" s="98"/>
      <c r="K965" s="98"/>
      <c r="L965" s="99"/>
      <c r="M965" s="96"/>
    </row>
    <row r="966">
      <c r="C966" s="96"/>
      <c r="D966" s="97"/>
      <c r="J966" s="98"/>
      <c r="K966" s="98"/>
      <c r="L966" s="99"/>
      <c r="M966" s="96"/>
    </row>
    <row r="967">
      <c r="C967" s="96"/>
      <c r="D967" s="97"/>
      <c r="J967" s="98"/>
      <c r="K967" s="98"/>
      <c r="L967" s="99"/>
      <c r="M967" s="96"/>
    </row>
    <row r="968">
      <c r="C968" s="96"/>
      <c r="D968" s="97"/>
      <c r="J968" s="98"/>
      <c r="K968" s="98"/>
      <c r="L968" s="99"/>
      <c r="M968" s="96"/>
    </row>
    <row r="969">
      <c r="C969" s="96"/>
      <c r="D969" s="97"/>
      <c r="J969" s="98"/>
      <c r="K969" s="98"/>
      <c r="L969" s="99"/>
      <c r="M969" s="96"/>
    </row>
    <row r="970">
      <c r="C970" s="96"/>
      <c r="D970" s="97"/>
      <c r="J970" s="98"/>
      <c r="K970" s="98"/>
      <c r="L970" s="99"/>
      <c r="M970" s="96"/>
    </row>
    <row r="971">
      <c r="C971" s="96"/>
      <c r="D971" s="97"/>
      <c r="J971" s="98"/>
      <c r="K971" s="98"/>
      <c r="L971" s="99"/>
      <c r="M971" s="96"/>
    </row>
    <row r="972">
      <c r="C972" s="96"/>
      <c r="D972" s="97"/>
      <c r="J972" s="98"/>
      <c r="K972" s="98"/>
      <c r="L972" s="99"/>
      <c r="M972" s="96"/>
    </row>
    <row r="973">
      <c r="C973" s="96"/>
      <c r="D973" s="97"/>
      <c r="J973" s="98"/>
      <c r="K973" s="98"/>
      <c r="L973" s="99"/>
      <c r="M973" s="96"/>
    </row>
    <row r="974">
      <c r="C974" s="96"/>
      <c r="D974" s="97"/>
      <c r="J974" s="98"/>
      <c r="K974" s="98"/>
      <c r="L974" s="99"/>
      <c r="M974" s="96"/>
    </row>
    <row r="975">
      <c r="C975" s="96"/>
      <c r="D975" s="97"/>
      <c r="J975" s="98"/>
      <c r="K975" s="98"/>
      <c r="L975" s="99"/>
      <c r="M975" s="96"/>
    </row>
    <row r="976">
      <c r="C976" s="96"/>
      <c r="D976" s="97"/>
      <c r="J976" s="98"/>
      <c r="K976" s="98"/>
      <c r="L976" s="99"/>
      <c r="M976" s="96"/>
    </row>
    <row r="977">
      <c r="C977" s="96"/>
      <c r="D977" s="97"/>
      <c r="J977" s="98"/>
      <c r="K977" s="98"/>
      <c r="L977" s="99"/>
      <c r="M977" s="96"/>
    </row>
    <row r="978">
      <c r="C978" s="96"/>
      <c r="D978" s="97"/>
      <c r="J978" s="98"/>
      <c r="K978" s="98"/>
      <c r="L978" s="99"/>
      <c r="M978" s="96"/>
    </row>
    <row r="979">
      <c r="C979" s="96"/>
      <c r="D979" s="97"/>
      <c r="J979" s="98"/>
      <c r="K979" s="98"/>
      <c r="L979" s="99"/>
      <c r="M979" s="96"/>
    </row>
    <row r="980">
      <c r="C980" s="96"/>
      <c r="D980" s="97"/>
      <c r="J980" s="98"/>
      <c r="K980" s="98"/>
      <c r="L980" s="99"/>
      <c r="M980" s="96"/>
    </row>
    <row r="981">
      <c r="C981" s="96"/>
      <c r="D981" s="97"/>
      <c r="J981" s="98"/>
      <c r="K981" s="98"/>
      <c r="L981" s="99"/>
      <c r="M981" s="96"/>
    </row>
    <row r="982">
      <c r="C982" s="96"/>
      <c r="D982" s="97"/>
      <c r="J982" s="98"/>
      <c r="K982" s="98"/>
      <c r="L982" s="99"/>
      <c r="M982" s="96"/>
    </row>
    <row r="983">
      <c r="C983" s="96"/>
      <c r="D983" s="97"/>
      <c r="J983" s="98"/>
      <c r="K983" s="98"/>
      <c r="L983" s="99"/>
      <c r="M983" s="96"/>
    </row>
    <row r="984">
      <c r="C984" s="96"/>
      <c r="D984" s="97"/>
      <c r="J984" s="98"/>
      <c r="K984" s="98"/>
      <c r="L984" s="99"/>
      <c r="M984" s="96"/>
    </row>
    <row r="985">
      <c r="C985" s="96"/>
      <c r="D985" s="97"/>
      <c r="J985" s="98"/>
      <c r="K985" s="98"/>
      <c r="L985" s="99"/>
      <c r="M985" s="96"/>
    </row>
    <row r="986">
      <c r="C986" s="96"/>
      <c r="D986" s="97"/>
      <c r="J986" s="98"/>
      <c r="K986" s="98"/>
      <c r="L986" s="99"/>
      <c r="M986" s="96"/>
    </row>
    <row r="987">
      <c r="C987" s="96"/>
      <c r="D987" s="97"/>
      <c r="J987" s="98"/>
      <c r="K987" s="98"/>
      <c r="L987" s="99"/>
      <c r="M987" s="96"/>
    </row>
    <row r="988">
      <c r="C988" s="96"/>
      <c r="D988" s="97"/>
      <c r="J988" s="98"/>
      <c r="K988" s="98"/>
      <c r="L988" s="99"/>
      <c r="M988" s="96"/>
    </row>
    <row r="989">
      <c r="C989" s="96"/>
      <c r="D989" s="97"/>
      <c r="J989" s="98"/>
      <c r="K989" s="98"/>
      <c r="L989" s="99"/>
      <c r="M989" s="96"/>
    </row>
    <row r="990">
      <c r="C990" s="96"/>
      <c r="D990" s="97"/>
      <c r="J990" s="98"/>
      <c r="K990" s="98"/>
      <c r="L990" s="99"/>
      <c r="M990" s="96"/>
    </row>
    <row r="991">
      <c r="C991" s="96"/>
      <c r="D991" s="97"/>
      <c r="J991" s="98"/>
      <c r="K991" s="98"/>
      <c r="L991" s="99"/>
      <c r="M991" s="96"/>
    </row>
    <row r="992">
      <c r="C992" s="96"/>
      <c r="D992" s="97"/>
      <c r="J992" s="98"/>
      <c r="K992" s="98"/>
      <c r="L992" s="99"/>
      <c r="M992" s="96"/>
    </row>
    <row r="993">
      <c r="C993" s="96"/>
      <c r="D993" s="97"/>
      <c r="J993" s="98"/>
      <c r="K993" s="98"/>
      <c r="L993" s="99"/>
      <c r="M993" s="96"/>
    </row>
    <row r="994">
      <c r="C994" s="96"/>
      <c r="D994" s="97"/>
      <c r="J994" s="98"/>
      <c r="K994" s="98"/>
      <c r="L994" s="99"/>
      <c r="M994" s="96"/>
    </row>
    <row r="995">
      <c r="C995" s="96"/>
      <c r="D995" s="97"/>
      <c r="J995" s="98"/>
      <c r="K995" s="98"/>
      <c r="L995" s="99"/>
      <c r="M995" s="96"/>
    </row>
    <row r="996">
      <c r="C996" s="96"/>
      <c r="D996" s="97"/>
      <c r="J996" s="98"/>
      <c r="K996" s="98"/>
      <c r="L996" s="99"/>
      <c r="M996" s="96"/>
    </row>
    <row r="997">
      <c r="C997" s="96"/>
      <c r="D997" s="97"/>
      <c r="J997" s="98"/>
      <c r="K997" s="98"/>
      <c r="L997" s="99"/>
      <c r="M997" s="96"/>
    </row>
    <row r="998">
      <c r="C998" s="96"/>
      <c r="D998" s="97"/>
      <c r="J998" s="98"/>
      <c r="K998" s="98"/>
      <c r="L998" s="99"/>
      <c r="M998" s="96"/>
    </row>
    <row r="999">
      <c r="C999" s="96"/>
      <c r="D999" s="97"/>
      <c r="J999" s="98"/>
      <c r="K999" s="98"/>
      <c r="L999" s="99"/>
      <c r="M999" s="96"/>
    </row>
    <row r="1000">
      <c r="C1000" s="96"/>
      <c r="D1000" s="97"/>
      <c r="J1000" s="98"/>
      <c r="K1000" s="98"/>
      <c r="L1000" s="99"/>
      <c r="M1000" s="9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5" max="15" width="14.13"/>
    <col customWidth="1" min="16" max="16" width="8.75"/>
  </cols>
  <sheetData>
    <row r="1" ht="60.75" customHeight="1">
      <c r="A1" s="41" t="s">
        <v>32</v>
      </c>
      <c r="B1" s="41" t="s">
        <v>33</v>
      </c>
      <c r="C1" s="42" t="s">
        <v>387</v>
      </c>
      <c r="D1" s="43" t="s">
        <v>388</v>
      </c>
      <c r="E1" s="41" t="s">
        <v>389</v>
      </c>
      <c r="F1" s="41" t="s">
        <v>390</v>
      </c>
      <c r="G1" s="41" t="s">
        <v>38</v>
      </c>
      <c r="H1" s="44" t="s">
        <v>391</v>
      </c>
      <c r="I1" s="41" t="s">
        <v>40</v>
      </c>
      <c r="J1" s="45" t="s">
        <v>41</v>
      </c>
      <c r="K1" s="45" t="s">
        <v>42</v>
      </c>
      <c r="L1" s="46" t="s">
        <v>43</v>
      </c>
      <c r="M1" s="47" t="s">
        <v>392</v>
      </c>
      <c r="N1" s="44" t="s">
        <v>393</v>
      </c>
      <c r="O1" s="96"/>
      <c r="P1" s="96"/>
      <c r="Q1" s="47" t="s">
        <v>46</v>
      </c>
      <c r="R1" s="47" t="s">
        <v>392</v>
      </c>
      <c r="S1" s="47" t="s">
        <v>393</v>
      </c>
      <c r="T1" s="49" t="s">
        <v>391</v>
      </c>
      <c r="U1" s="96"/>
      <c r="V1" s="96"/>
      <c r="W1" s="96"/>
      <c r="X1" s="96"/>
      <c r="Y1" s="96"/>
    </row>
    <row r="2" ht="15.0" customHeight="1">
      <c r="A2" s="50">
        <v>10101.0</v>
      </c>
      <c r="B2" s="50" t="s">
        <v>47</v>
      </c>
      <c r="C2" s="51">
        <v>293819.0</v>
      </c>
      <c r="D2" s="52">
        <v>92.9</v>
      </c>
      <c r="E2" s="53">
        <v>13.6</v>
      </c>
      <c r="F2" s="54">
        <f t="shared" ref="F2:F344" si="2">$P$3+$P$4*D2</f>
        <v>12.8544</v>
      </c>
      <c r="G2" s="54">
        <f t="shared" ref="G2:G30" si="3">1.12*F2/F$345</f>
        <v>0.8412881897</v>
      </c>
      <c r="H2" s="55">
        <f t="shared" ref="H2:H344" si="4">E2*G2</f>
        <v>11.44151938</v>
      </c>
      <c r="I2" s="56">
        <f t="shared" ref="I2:I344" si="5">C2*H2/100</f>
        <v>33617.35783</v>
      </c>
      <c r="J2" s="57">
        <f>SUM(C2:C30)</f>
        <v>603937</v>
      </c>
      <c r="K2" s="57">
        <f>SUM(I2:I30)</f>
        <v>82151.74204</v>
      </c>
      <c r="L2" s="58">
        <f>K2/J2</f>
        <v>0.1360270062</v>
      </c>
      <c r="M2" s="57">
        <v>20236.0</v>
      </c>
      <c r="N2" s="51">
        <f t="shared" ref="N2:N344" si="6">+(H2*M2)/100</f>
        <v>2315.305862</v>
      </c>
      <c r="O2" s="59" t="s">
        <v>48</v>
      </c>
      <c r="P2" s="60">
        <v>12.4</v>
      </c>
      <c r="Q2" s="61" t="s">
        <v>49</v>
      </c>
      <c r="R2" s="51">
        <f t="shared" ref="R2:S2" si="1">+SUM(M2:M30)</f>
        <v>44827</v>
      </c>
      <c r="S2" s="51">
        <f t="shared" si="1"/>
        <v>6176.133728</v>
      </c>
      <c r="T2" s="62">
        <f t="shared" ref="T2:T12" si="8">+(S2*100)/R2</f>
        <v>13.77770926</v>
      </c>
    </row>
    <row r="3" ht="15.0" customHeight="1">
      <c r="A3" s="50">
        <v>10102.0</v>
      </c>
      <c r="B3" s="50" t="s">
        <v>50</v>
      </c>
      <c r="C3" s="51">
        <v>9273.0</v>
      </c>
      <c r="D3" s="52">
        <v>0.0</v>
      </c>
      <c r="E3" s="53">
        <v>13.6</v>
      </c>
      <c r="F3" s="54">
        <f t="shared" si="2"/>
        <v>18.8</v>
      </c>
      <c r="G3" s="54">
        <f t="shared" si="3"/>
        <v>1.230412774</v>
      </c>
      <c r="H3" s="55">
        <f t="shared" si="4"/>
        <v>16.73361373</v>
      </c>
      <c r="I3" s="56">
        <f t="shared" si="5"/>
        <v>1551.708001</v>
      </c>
      <c r="J3" s="63"/>
      <c r="K3" s="63"/>
      <c r="L3" s="64"/>
      <c r="M3" s="57">
        <v>653.0</v>
      </c>
      <c r="N3" s="51">
        <f t="shared" si="6"/>
        <v>109.2704977</v>
      </c>
      <c r="O3" s="65" t="s">
        <v>51</v>
      </c>
      <c r="P3" s="66">
        <v>18.8</v>
      </c>
      <c r="Q3" s="61" t="s">
        <v>52</v>
      </c>
      <c r="R3" s="51">
        <f t="shared" ref="R3:S3" si="7">+SUM(M31:M117)</f>
        <v>208728</v>
      </c>
      <c r="S3" s="51">
        <f t="shared" si="7"/>
        <v>35301.43365</v>
      </c>
      <c r="T3" s="62">
        <f t="shared" si="8"/>
        <v>16.91264883</v>
      </c>
    </row>
    <row r="4" ht="15.0" customHeight="1">
      <c r="A4" s="50">
        <v>10103.0</v>
      </c>
      <c r="B4" s="50" t="s">
        <v>53</v>
      </c>
      <c r="C4" s="51">
        <v>13889.0</v>
      </c>
      <c r="D4" s="52">
        <v>0.0</v>
      </c>
      <c r="E4" s="53">
        <v>13.6</v>
      </c>
      <c r="F4" s="54">
        <f t="shared" si="2"/>
        <v>18.8</v>
      </c>
      <c r="G4" s="54">
        <f t="shared" si="3"/>
        <v>1.230412774</v>
      </c>
      <c r="H4" s="55">
        <f t="shared" si="4"/>
        <v>16.73361373</v>
      </c>
      <c r="I4" s="56">
        <f t="shared" si="5"/>
        <v>2324.131611</v>
      </c>
      <c r="J4" s="63"/>
      <c r="K4" s="63"/>
      <c r="L4" s="64"/>
      <c r="M4" s="57">
        <v>1224.0</v>
      </c>
      <c r="N4" s="51">
        <f t="shared" si="6"/>
        <v>204.8194321</v>
      </c>
      <c r="O4" s="67" t="s">
        <v>54</v>
      </c>
      <c r="P4" s="68">
        <f>(P2-P3)/(100-0)</f>
        <v>-0.064</v>
      </c>
      <c r="Q4" s="61" t="s">
        <v>55</v>
      </c>
      <c r="R4" s="51">
        <f t="shared" ref="R4:S4" si="9">+SUM(M118:M165)</f>
        <v>152193</v>
      </c>
      <c r="S4" s="51">
        <f t="shared" si="9"/>
        <v>19559.51987</v>
      </c>
      <c r="T4" s="62">
        <f t="shared" si="8"/>
        <v>12.85178679</v>
      </c>
    </row>
    <row r="5" ht="15.0" customHeight="1">
      <c r="A5" s="50">
        <v>10201.0</v>
      </c>
      <c r="B5" s="50" t="s">
        <v>56</v>
      </c>
      <c r="C5" s="51">
        <v>8132.0</v>
      </c>
      <c r="D5" s="52">
        <v>0.0</v>
      </c>
      <c r="E5" s="53">
        <v>13.6</v>
      </c>
      <c r="F5" s="54">
        <f t="shared" si="2"/>
        <v>18.8</v>
      </c>
      <c r="G5" s="54">
        <f t="shared" si="3"/>
        <v>1.230412774</v>
      </c>
      <c r="H5" s="55">
        <f t="shared" si="4"/>
        <v>16.73361373</v>
      </c>
      <c r="I5" s="56">
        <f t="shared" si="5"/>
        <v>1360.777469</v>
      </c>
      <c r="J5" s="63"/>
      <c r="K5" s="63"/>
      <c r="L5" s="64"/>
      <c r="M5" s="57">
        <v>777.0</v>
      </c>
      <c r="N5" s="51">
        <f t="shared" si="6"/>
        <v>130.0201787</v>
      </c>
      <c r="Q5" s="61" t="s">
        <v>57</v>
      </c>
      <c r="R5" s="51">
        <f t="shared" ref="R5:S5" si="10">+SUM(M166:M200)</f>
        <v>42952</v>
      </c>
      <c r="S5" s="51">
        <f t="shared" si="10"/>
        <v>10446.22049</v>
      </c>
      <c r="T5" s="62">
        <f t="shared" si="8"/>
        <v>24.3206847</v>
      </c>
    </row>
    <row r="6" ht="15.0" customHeight="1">
      <c r="A6" s="50">
        <v>10202.0</v>
      </c>
      <c r="B6" s="50" t="s">
        <v>58</v>
      </c>
      <c r="C6" s="51">
        <v>16599.0</v>
      </c>
      <c r="D6" s="52">
        <v>0.0</v>
      </c>
      <c r="E6" s="53">
        <v>13.6</v>
      </c>
      <c r="F6" s="54">
        <f t="shared" si="2"/>
        <v>18.8</v>
      </c>
      <c r="G6" s="54">
        <f t="shared" si="3"/>
        <v>1.230412774</v>
      </c>
      <c r="H6" s="55">
        <f t="shared" si="4"/>
        <v>16.73361373</v>
      </c>
      <c r="I6" s="56">
        <f t="shared" si="5"/>
        <v>2777.612543</v>
      </c>
      <c r="J6" s="63"/>
      <c r="K6" s="63"/>
      <c r="L6" s="64"/>
      <c r="M6" s="57">
        <v>1469.0</v>
      </c>
      <c r="N6" s="51">
        <f t="shared" si="6"/>
        <v>245.8167857</v>
      </c>
      <c r="Q6" s="61" t="s">
        <v>59</v>
      </c>
      <c r="R6" s="51">
        <f t="shared" ref="R6:S6" si="11">+SUM(M201:M242)</f>
        <v>73454</v>
      </c>
      <c r="S6" s="51">
        <f t="shared" si="11"/>
        <v>19625.84653</v>
      </c>
      <c r="T6" s="62">
        <f t="shared" si="8"/>
        <v>26.71855383</v>
      </c>
    </row>
    <row r="7" ht="15.0" customHeight="1">
      <c r="A7" s="50">
        <v>10301.0</v>
      </c>
      <c r="B7" s="50" t="s">
        <v>60</v>
      </c>
      <c r="C7" s="51">
        <v>13500.0</v>
      </c>
      <c r="D7" s="52">
        <v>35.1</v>
      </c>
      <c r="E7" s="53">
        <v>13.6</v>
      </c>
      <c r="F7" s="54">
        <f t="shared" si="2"/>
        <v>16.5536</v>
      </c>
      <c r="G7" s="54">
        <f t="shared" si="3"/>
        <v>1.083391537</v>
      </c>
      <c r="H7" s="55">
        <f t="shared" si="4"/>
        <v>14.73412491</v>
      </c>
      <c r="I7" s="56">
        <f t="shared" si="5"/>
        <v>1989.106863</v>
      </c>
      <c r="J7" s="63"/>
      <c r="K7" s="63"/>
      <c r="L7" s="64"/>
      <c r="M7" s="57">
        <v>913.0</v>
      </c>
      <c r="N7" s="51">
        <f t="shared" si="6"/>
        <v>134.5225604</v>
      </c>
      <c r="Q7" s="61" t="s">
        <v>61</v>
      </c>
      <c r="R7" s="51">
        <f t="shared" ref="R7:S7" si="12">+SUM(M243:M253)</f>
        <v>36356</v>
      </c>
      <c r="S7" s="51">
        <f t="shared" si="12"/>
        <v>3324.450752</v>
      </c>
      <c r="T7" s="62">
        <f t="shared" si="8"/>
        <v>9.144159843</v>
      </c>
    </row>
    <row r="8" ht="15.0" customHeight="1">
      <c r="A8" s="50">
        <v>10302.0</v>
      </c>
      <c r="B8" s="50" t="s">
        <v>62</v>
      </c>
      <c r="C8" s="51">
        <v>12526.0</v>
      </c>
      <c r="D8" s="52">
        <v>18.2</v>
      </c>
      <c r="E8" s="53">
        <v>13.6</v>
      </c>
      <c r="F8" s="54">
        <f t="shared" si="2"/>
        <v>17.6352</v>
      </c>
      <c r="G8" s="54">
        <f t="shared" si="3"/>
        <v>1.15417954</v>
      </c>
      <c r="H8" s="55">
        <f t="shared" si="4"/>
        <v>15.69684175</v>
      </c>
      <c r="I8" s="56">
        <f t="shared" si="5"/>
        <v>1966.186397</v>
      </c>
      <c r="J8" s="63"/>
      <c r="K8" s="63"/>
      <c r="L8" s="64"/>
      <c r="M8" s="57">
        <v>1092.0</v>
      </c>
      <c r="N8" s="51">
        <f t="shared" si="6"/>
        <v>171.4095119</v>
      </c>
      <c r="Q8" s="61" t="s">
        <v>63</v>
      </c>
      <c r="R8" s="51">
        <f t="shared" ref="R8:S8" si="13">+SUM(M254:M309)</f>
        <v>254902</v>
      </c>
      <c r="S8" s="51">
        <f t="shared" si="13"/>
        <v>26204.50612</v>
      </c>
      <c r="T8" s="62">
        <f t="shared" si="8"/>
        <v>10.28022774</v>
      </c>
    </row>
    <row r="9" ht="15.0" customHeight="1">
      <c r="A9" s="50">
        <v>10303.0</v>
      </c>
      <c r="B9" s="50" t="s">
        <v>64</v>
      </c>
      <c r="C9" s="51">
        <v>8973.0</v>
      </c>
      <c r="D9" s="52">
        <v>27.5</v>
      </c>
      <c r="E9" s="53">
        <v>13.6</v>
      </c>
      <c r="F9" s="54">
        <f t="shared" si="2"/>
        <v>17.04</v>
      </c>
      <c r="G9" s="54">
        <f t="shared" si="3"/>
        <v>1.115225196</v>
      </c>
      <c r="H9" s="55">
        <f t="shared" si="4"/>
        <v>15.16706266</v>
      </c>
      <c r="I9" s="56">
        <f t="shared" si="5"/>
        <v>1360.940532</v>
      </c>
      <c r="J9" s="63"/>
      <c r="K9" s="63"/>
      <c r="L9" s="64"/>
      <c r="M9" s="57">
        <v>780.0</v>
      </c>
      <c r="N9" s="51">
        <f t="shared" si="6"/>
        <v>118.3030887</v>
      </c>
      <c r="Q9" s="61" t="s">
        <v>22</v>
      </c>
      <c r="R9" s="51">
        <f t="shared" ref="R9:S9" si="14">+SUM(M310:M329)</f>
        <v>46526</v>
      </c>
      <c r="S9" s="51">
        <f t="shared" si="14"/>
        <v>7285.938644</v>
      </c>
      <c r="T9" s="62">
        <f t="shared" si="8"/>
        <v>15.65992917</v>
      </c>
    </row>
    <row r="10" ht="15.0" customHeight="1">
      <c r="A10" s="50">
        <v>10304.0</v>
      </c>
      <c r="B10" s="50" t="s">
        <v>65</v>
      </c>
      <c r="C10" s="51">
        <v>9040.0</v>
      </c>
      <c r="D10" s="52">
        <v>0.0</v>
      </c>
      <c r="E10" s="53">
        <v>13.6</v>
      </c>
      <c r="F10" s="54">
        <f t="shared" si="2"/>
        <v>18.8</v>
      </c>
      <c r="G10" s="54">
        <f t="shared" si="3"/>
        <v>1.230412774</v>
      </c>
      <c r="H10" s="55">
        <f t="shared" si="4"/>
        <v>16.73361373</v>
      </c>
      <c r="I10" s="56">
        <f t="shared" si="5"/>
        <v>1512.718681</v>
      </c>
      <c r="J10" s="63"/>
      <c r="K10" s="63"/>
      <c r="L10" s="64"/>
      <c r="M10" s="57">
        <v>607.0</v>
      </c>
      <c r="N10" s="51">
        <f t="shared" si="6"/>
        <v>101.5730354</v>
      </c>
      <c r="Q10" s="61" t="s">
        <v>23</v>
      </c>
      <c r="R10" s="51">
        <f t="shared" ref="R10:S10" si="15">+SUM(M330:M344)</f>
        <v>12412</v>
      </c>
      <c r="S10" s="51">
        <f t="shared" si="15"/>
        <v>1172.445479</v>
      </c>
      <c r="T10" s="62">
        <f t="shared" si="8"/>
        <v>9.446064124</v>
      </c>
    </row>
    <row r="11" ht="15.0" customHeight="1">
      <c r="A11" s="50">
        <v>10401.0</v>
      </c>
      <c r="B11" s="50" t="s">
        <v>66</v>
      </c>
      <c r="C11" s="51">
        <v>9291.0</v>
      </c>
      <c r="D11" s="52">
        <v>44.8</v>
      </c>
      <c r="E11" s="53">
        <v>13.6</v>
      </c>
      <c r="F11" s="54">
        <f t="shared" si="2"/>
        <v>15.9328</v>
      </c>
      <c r="G11" s="54">
        <f t="shared" si="3"/>
        <v>1.042761737</v>
      </c>
      <c r="H11" s="55">
        <f t="shared" si="4"/>
        <v>14.18155962</v>
      </c>
      <c r="I11" s="56">
        <f t="shared" si="5"/>
        <v>1317.608704</v>
      </c>
      <c r="J11" s="63"/>
      <c r="K11" s="63"/>
      <c r="L11" s="64"/>
      <c r="M11" s="57">
        <v>718.0</v>
      </c>
      <c r="N11" s="51">
        <f t="shared" si="6"/>
        <v>101.8235981</v>
      </c>
      <c r="Q11" s="61" t="s">
        <v>67</v>
      </c>
      <c r="R11" s="51">
        <f t="shared" ref="R11:S11" si="16">SUM(R2:R10)</f>
        <v>872350</v>
      </c>
      <c r="S11" s="51">
        <f t="shared" si="16"/>
        <v>129096.4953</v>
      </c>
      <c r="T11" s="62">
        <f t="shared" si="8"/>
        <v>14.79870411</v>
      </c>
    </row>
    <row r="12" ht="15.0" customHeight="1">
      <c r="A12" s="50">
        <v>10402.0</v>
      </c>
      <c r="B12" s="50" t="s">
        <v>68</v>
      </c>
      <c r="C12" s="51">
        <v>8508.0</v>
      </c>
      <c r="D12" s="52">
        <v>21.7</v>
      </c>
      <c r="E12" s="53">
        <v>13.6</v>
      </c>
      <c r="F12" s="54">
        <f t="shared" si="2"/>
        <v>17.4112</v>
      </c>
      <c r="G12" s="54">
        <f t="shared" si="3"/>
        <v>1.139519303</v>
      </c>
      <c r="H12" s="55">
        <f t="shared" si="4"/>
        <v>15.49746252</v>
      </c>
      <c r="I12" s="56">
        <f t="shared" si="5"/>
        <v>1318.524111</v>
      </c>
      <c r="J12" s="63"/>
      <c r="K12" s="63"/>
      <c r="L12" s="64"/>
      <c r="M12" s="57">
        <v>654.0</v>
      </c>
      <c r="N12" s="51">
        <f t="shared" si="6"/>
        <v>101.3534049</v>
      </c>
      <c r="Q12" s="61" t="s">
        <v>69</v>
      </c>
      <c r="R12" s="72">
        <f t="shared" ref="R12:S12" si="17">SUM(M246:M248)</f>
        <v>12238</v>
      </c>
      <c r="S12" s="72">
        <f t="shared" si="17"/>
        <v>1117.195398</v>
      </c>
      <c r="T12" s="62">
        <f t="shared" si="8"/>
        <v>9.128905032</v>
      </c>
    </row>
    <row r="13" ht="15.0" customHeight="1">
      <c r="A13" s="50">
        <v>10403.0</v>
      </c>
      <c r="B13" s="50" t="s">
        <v>70</v>
      </c>
      <c r="C13" s="51">
        <v>6973.0</v>
      </c>
      <c r="D13" s="52">
        <v>2.4</v>
      </c>
      <c r="E13" s="53">
        <v>13.6</v>
      </c>
      <c r="F13" s="54">
        <f t="shared" si="2"/>
        <v>18.6464</v>
      </c>
      <c r="G13" s="54">
        <f t="shared" si="3"/>
        <v>1.22036004</v>
      </c>
      <c r="H13" s="55">
        <f t="shared" si="4"/>
        <v>16.59689655</v>
      </c>
      <c r="I13" s="56">
        <f t="shared" si="5"/>
        <v>1157.301596</v>
      </c>
      <c r="J13" s="63"/>
      <c r="K13" s="63"/>
      <c r="L13" s="64"/>
      <c r="M13" s="57">
        <v>572.0</v>
      </c>
      <c r="N13" s="51">
        <f t="shared" si="6"/>
        <v>94.93424825</v>
      </c>
    </row>
    <row r="14" ht="15.0" customHeight="1">
      <c r="A14" s="50">
        <v>10404.0</v>
      </c>
      <c r="B14" s="50" t="s">
        <v>71</v>
      </c>
      <c r="C14" s="51">
        <v>3863.0</v>
      </c>
      <c r="D14" s="52">
        <v>0.0</v>
      </c>
      <c r="E14" s="53">
        <v>13.6</v>
      </c>
      <c r="F14" s="54">
        <f t="shared" si="2"/>
        <v>18.8</v>
      </c>
      <c r="G14" s="54">
        <f t="shared" si="3"/>
        <v>1.230412774</v>
      </c>
      <c r="H14" s="55">
        <f t="shared" si="4"/>
        <v>16.73361373</v>
      </c>
      <c r="I14" s="56">
        <f t="shared" si="5"/>
        <v>646.4194985</v>
      </c>
      <c r="J14" s="63"/>
      <c r="K14" s="63"/>
      <c r="L14" s="64"/>
      <c r="M14" s="57">
        <v>256.0</v>
      </c>
      <c r="N14" s="51">
        <f t="shared" si="6"/>
        <v>42.83805115</v>
      </c>
    </row>
    <row r="15" ht="15.0" customHeight="1">
      <c r="A15" s="50">
        <v>10405.0</v>
      </c>
      <c r="B15" s="50" t="s">
        <v>72</v>
      </c>
      <c r="C15" s="51">
        <v>5555.0</v>
      </c>
      <c r="D15" s="52">
        <v>0.0</v>
      </c>
      <c r="E15" s="53">
        <v>13.6</v>
      </c>
      <c r="F15" s="54">
        <f t="shared" si="2"/>
        <v>18.8</v>
      </c>
      <c r="G15" s="54">
        <f t="shared" si="3"/>
        <v>1.230412774</v>
      </c>
      <c r="H15" s="55">
        <f t="shared" si="4"/>
        <v>16.73361373</v>
      </c>
      <c r="I15" s="56">
        <f t="shared" si="5"/>
        <v>929.5522428</v>
      </c>
      <c r="J15" s="63"/>
      <c r="K15" s="63"/>
      <c r="L15" s="64"/>
      <c r="M15" s="57">
        <v>429.0</v>
      </c>
      <c r="N15" s="51">
        <f t="shared" si="6"/>
        <v>71.78720291</v>
      </c>
    </row>
    <row r="16" ht="15.0" customHeight="1">
      <c r="A16" s="50">
        <v>10501.0</v>
      </c>
      <c r="B16" s="50" t="s">
        <v>73</v>
      </c>
      <c r="C16" s="51">
        <v>24526.0</v>
      </c>
      <c r="D16" s="52">
        <v>52.7</v>
      </c>
      <c r="E16" s="53">
        <v>13.6</v>
      </c>
      <c r="F16" s="54">
        <f t="shared" si="2"/>
        <v>15.4272</v>
      </c>
      <c r="G16" s="54">
        <f t="shared" si="3"/>
        <v>1.009671487</v>
      </c>
      <c r="H16" s="55">
        <f t="shared" si="4"/>
        <v>13.73153222</v>
      </c>
      <c r="I16" s="56">
        <f t="shared" si="5"/>
        <v>3367.795593</v>
      </c>
      <c r="J16" s="63"/>
      <c r="K16" s="63"/>
      <c r="L16" s="64"/>
      <c r="M16" s="57">
        <v>1792.0</v>
      </c>
      <c r="N16" s="51">
        <f t="shared" si="6"/>
        <v>246.0690574</v>
      </c>
    </row>
    <row r="17" ht="15.0" customHeight="1">
      <c r="A17" s="50">
        <v>10502.0</v>
      </c>
      <c r="B17" s="50" t="s">
        <v>74</v>
      </c>
      <c r="C17" s="51">
        <v>7296.0</v>
      </c>
      <c r="D17" s="52">
        <v>0.0</v>
      </c>
      <c r="E17" s="53">
        <v>13.6</v>
      </c>
      <c r="F17" s="54">
        <f t="shared" si="2"/>
        <v>18.8</v>
      </c>
      <c r="G17" s="54">
        <f t="shared" si="3"/>
        <v>1.230412774</v>
      </c>
      <c r="H17" s="55">
        <f t="shared" si="4"/>
        <v>16.73361373</v>
      </c>
      <c r="I17" s="56">
        <f t="shared" si="5"/>
        <v>1220.884458</v>
      </c>
      <c r="J17" s="63"/>
      <c r="K17" s="63"/>
      <c r="L17" s="64"/>
      <c r="M17" s="57">
        <v>644.0</v>
      </c>
      <c r="N17" s="51">
        <f t="shared" si="6"/>
        <v>107.7644724</v>
      </c>
    </row>
    <row r="18" ht="15.0" customHeight="1">
      <c r="A18" s="50">
        <v>10601.0</v>
      </c>
      <c r="B18" s="50" t="s">
        <v>75</v>
      </c>
      <c r="C18" s="51">
        <v>13625.0</v>
      </c>
      <c r="D18" s="52">
        <v>22.0</v>
      </c>
      <c r="E18" s="53">
        <v>13.6</v>
      </c>
      <c r="F18" s="54">
        <f t="shared" si="2"/>
        <v>17.392</v>
      </c>
      <c r="G18" s="54">
        <f t="shared" si="3"/>
        <v>1.138262711</v>
      </c>
      <c r="H18" s="55">
        <f t="shared" si="4"/>
        <v>15.48037287</v>
      </c>
      <c r="I18" s="56">
        <f t="shared" si="5"/>
        <v>2109.200804</v>
      </c>
      <c r="J18" s="63"/>
      <c r="K18" s="63"/>
      <c r="L18" s="64"/>
      <c r="M18" s="57">
        <v>981.0</v>
      </c>
      <c r="N18" s="51">
        <f t="shared" si="6"/>
        <v>151.8624579</v>
      </c>
    </row>
    <row r="19" ht="15.0" customHeight="1">
      <c r="A19" s="50">
        <v>10602.0</v>
      </c>
      <c r="B19" s="50" t="s">
        <v>76</v>
      </c>
      <c r="C19" s="51">
        <v>8616.0</v>
      </c>
      <c r="D19" s="52">
        <v>0.0</v>
      </c>
      <c r="E19" s="53">
        <v>13.6</v>
      </c>
      <c r="F19" s="54">
        <f t="shared" si="2"/>
        <v>18.8</v>
      </c>
      <c r="G19" s="54">
        <f t="shared" si="3"/>
        <v>1.230412774</v>
      </c>
      <c r="H19" s="55">
        <f t="shared" si="4"/>
        <v>16.73361373</v>
      </c>
      <c r="I19" s="56">
        <f t="shared" si="5"/>
        <v>1441.768159</v>
      </c>
      <c r="J19" s="63"/>
      <c r="K19" s="63"/>
      <c r="L19" s="64"/>
      <c r="M19" s="57">
        <v>578.0</v>
      </c>
      <c r="N19" s="51">
        <f t="shared" si="6"/>
        <v>96.72028737</v>
      </c>
    </row>
    <row r="20" ht="15.0" customHeight="1">
      <c r="A20" s="50">
        <v>10701.0</v>
      </c>
      <c r="B20" s="50" t="s">
        <v>77</v>
      </c>
      <c r="C20" s="51">
        <v>14791.0</v>
      </c>
      <c r="D20" s="52">
        <v>36.4</v>
      </c>
      <c r="E20" s="53">
        <v>13.6</v>
      </c>
      <c r="F20" s="54">
        <f t="shared" si="2"/>
        <v>16.4704</v>
      </c>
      <c r="G20" s="54">
        <f t="shared" si="3"/>
        <v>1.077946306</v>
      </c>
      <c r="H20" s="55">
        <f t="shared" si="4"/>
        <v>14.66006977</v>
      </c>
      <c r="I20" s="56">
        <f t="shared" si="5"/>
        <v>2168.370919</v>
      </c>
      <c r="J20" s="63"/>
      <c r="K20" s="63"/>
      <c r="L20" s="64"/>
      <c r="M20" s="57">
        <v>1023.0</v>
      </c>
      <c r="N20" s="51">
        <f t="shared" si="6"/>
        <v>149.9725137</v>
      </c>
    </row>
    <row r="21" ht="15.0" customHeight="1">
      <c r="A21" s="50">
        <v>10702.0</v>
      </c>
      <c r="B21" s="50" t="s">
        <v>78</v>
      </c>
      <c r="C21" s="51">
        <v>27199.0</v>
      </c>
      <c r="D21" s="52">
        <v>9.7</v>
      </c>
      <c r="E21" s="53">
        <v>13.6</v>
      </c>
      <c r="F21" s="54">
        <f t="shared" si="2"/>
        <v>18.1792</v>
      </c>
      <c r="G21" s="54">
        <f t="shared" si="3"/>
        <v>1.189782974</v>
      </c>
      <c r="H21" s="55">
        <f t="shared" si="4"/>
        <v>16.18104844</v>
      </c>
      <c r="I21" s="56">
        <f t="shared" si="5"/>
        <v>4401.083366</v>
      </c>
      <c r="J21" s="63"/>
      <c r="K21" s="63"/>
      <c r="L21" s="64"/>
      <c r="M21" s="57">
        <v>2472.0</v>
      </c>
      <c r="N21" s="51">
        <f t="shared" si="6"/>
        <v>399.9955175</v>
      </c>
    </row>
    <row r="22" ht="15.0" customHeight="1">
      <c r="A22" s="50">
        <v>10703.0</v>
      </c>
      <c r="B22" s="50" t="s">
        <v>79</v>
      </c>
      <c r="C22" s="51">
        <v>16198.0</v>
      </c>
      <c r="D22" s="52">
        <v>16.8</v>
      </c>
      <c r="E22" s="53">
        <v>13.6</v>
      </c>
      <c r="F22" s="54">
        <f t="shared" si="2"/>
        <v>17.7248</v>
      </c>
      <c r="G22" s="54">
        <f t="shared" si="3"/>
        <v>1.160043635</v>
      </c>
      <c r="H22" s="55">
        <f t="shared" si="4"/>
        <v>15.77659344</v>
      </c>
      <c r="I22" s="56">
        <f t="shared" si="5"/>
        <v>2555.492605</v>
      </c>
      <c r="J22" s="63"/>
      <c r="K22" s="63"/>
      <c r="L22" s="64"/>
      <c r="M22" s="57">
        <v>1407.0</v>
      </c>
      <c r="N22" s="51">
        <f t="shared" si="6"/>
        <v>221.9766697</v>
      </c>
    </row>
    <row r="23">
      <c r="A23" s="50">
        <v>10704.0</v>
      </c>
      <c r="B23" s="50" t="s">
        <v>80</v>
      </c>
      <c r="C23" s="51">
        <v>14438.0</v>
      </c>
      <c r="D23" s="52">
        <v>18.5</v>
      </c>
      <c r="E23" s="53">
        <v>13.6</v>
      </c>
      <c r="F23" s="54">
        <f t="shared" si="2"/>
        <v>17.616</v>
      </c>
      <c r="G23" s="54">
        <f t="shared" si="3"/>
        <v>1.152922949</v>
      </c>
      <c r="H23" s="55">
        <f t="shared" si="4"/>
        <v>15.6797521</v>
      </c>
      <c r="I23" s="56">
        <f t="shared" si="5"/>
        <v>2263.842608</v>
      </c>
      <c r="J23" s="63"/>
      <c r="K23" s="63"/>
      <c r="L23" s="64"/>
      <c r="M23" s="57">
        <v>1287.0</v>
      </c>
      <c r="N23" s="51">
        <f t="shared" si="6"/>
        <v>201.7984095</v>
      </c>
    </row>
    <row r="24">
      <c r="A24" s="50">
        <v>10801.0</v>
      </c>
      <c r="B24" s="50" t="s">
        <v>81</v>
      </c>
      <c r="C24" s="51">
        <v>9278.0</v>
      </c>
      <c r="D24" s="52">
        <v>37.4</v>
      </c>
      <c r="E24" s="53">
        <v>13.6</v>
      </c>
      <c r="F24" s="54">
        <f t="shared" si="2"/>
        <v>16.4064</v>
      </c>
      <c r="G24" s="54">
        <f t="shared" si="3"/>
        <v>1.073757667</v>
      </c>
      <c r="H24" s="55">
        <f t="shared" si="4"/>
        <v>14.60310427</v>
      </c>
      <c r="I24" s="56">
        <f t="shared" si="5"/>
        <v>1354.876014</v>
      </c>
      <c r="J24" s="63"/>
      <c r="K24" s="63"/>
      <c r="L24" s="64"/>
      <c r="M24" s="57">
        <v>607.0</v>
      </c>
      <c r="N24" s="51">
        <f t="shared" si="6"/>
        <v>88.64084294</v>
      </c>
    </row>
    <row r="25">
      <c r="A25" s="50">
        <v>10901.0</v>
      </c>
      <c r="B25" s="50" t="s">
        <v>82</v>
      </c>
      <c r="C25" s="51">
        <v>5220.0</v>
      </c>
      <c r="D25" s="52">
        <v>40.3</v>
      </c>
      <c r="E25" s="53">
        <v>13.6</v>
      </c>
      <c r="F25" s="54">
        <f t="shared" si="2"/>
        <v>16.2208</v>
      </c>
      <c r="G25" s="54">
        <f t="shared" si="3"/>
        <v>1.061610613</v>
      </c>
      <c r="H25" s="55">
        <f t="shared" si="4"/>
        <v>14.43790434</v>
      </c>
      <c r="I25" s="56">
        <f t="shared" si="5"/>
        <v>753.6586066</v>
      </c>
      <c r="J25" s="63"/>
      <c r="K25" s="63"/>
      <c r="L25" s="64"/>
      <c r="M25" s="57">
        <v>360.0</v>
      </c>
      <c r="N25" s="51">
        <f t="shared" si="6"/>
        <v>51.97645563</v>
      </c>
    </row>
    <row r="26">
      <c r="A26" s="50">
        <v>10902.0</v>
      </c>
      <c r="B26" s="50" t="s">
        <v>83</v>
      </c>
      <c r="C26" s="51">
        <v>15088.0</v>
      </c>
      <c r="D26" s="52">
        <v>22.3</v>
      </c>
      <c r="E26" s="53">
        <v>13.6</v>
      </c>
      <c r="F26" s="54">
        <f t="shared" si="2"/>
        <v>17.3728</v>
      </c>
      <c r="G26" s="54">
        <f t="shared" si="3"/>
        <v>1.13700612</v>
      </c>
      <c r="H26" s="55">
        <f t="shared" si="4"/>
        <v>15.46328323</v>
      </c>
      <c r="I26" s="56">
        <f t="shared" si="5"/>
        <v>2333.100173</v>
      </c>
      <c r="J26" s="63"/>
      <c r="K26" s="63"/>
      <c r="L26" s="64"/>
      <c r="M26" s="57">
        <v>1371.0</v>
      </c>
      <c r="N26" s="51">
        <f t="shared" si="6"/>
        <v>212.001613</v>
      </c>
    </row>
    <row r="27">
      <c r="A27" s="50">
        <v>10903.0</v>
      </c>
      <c r="B27" s="50" t="s">
        <v>84</v>
      </c>
      <c r="C27" s="51">
        <v>4939.0</v>
      </c>
      <c r="D27" s="52">
        <v>0.0</v>
      </c>
      <c r="E27" s="53">
        <v>13.6</v>
      </c>
      <c r="F27" s="54">
        <f t="shared" si="2"/>
        <v>18.8</v>
      </c>
      <c r="G27" s="54">
        <f t="shared" si="3"/>
        <v>1.230412774</v>
      </c>
      <c r="H27" s="55">
        <f t="shared" si="4"/>
        <v>16.73361373</v>
      </c>
      <c r="I27" s="56">
        <f t="shared" si="5"/>
        <v>826.4731822</v>
      </c>
      <c r="J27" s="63"/>
      <c r="K27" s="63"/>
      <c r="L27" s="64"/>
      <c r="M27" s="57">
        <v>316.0</v>
      </c>
      <c r="N27" s="51">
        <f t="shared" si="6"/>
        <v>52.87821939</v>
      </c>
    </row>
    <row r="28">
      <c r="A28" s="50">
        <v>11001.0</v>
      </c>
      <c r="B28" s="50" t="s">
        <v>85</v>
      </c>
      <c r="C28" s="51">
        <v>12985.0</v>
      </c>
      <c r="D28" s="52">
        <v>38.8</v>
      </c>
      <c r="E28" s="53">
        <v>13.6</v>
      </c>
      <c r="F28" s="54">
        <f t="shared" si="2"/>
        <v>16.3168</v>
      </c>
      <c r="G28" s="54">
        <f t="shared" si="3"/>
        <v>1.067893572</v>
      </c>
      <c r="H28" s="55">
        <f t="shared" si="4"/>
        <v>14.52335258</v>
      </c>
      <c r="I28" s="56">
        <f t="shared" si="5"/>
        <v>1885.857333</v>
      </c>
      <c r="J28" s="63"/>
      <c r="K28" s="63"/>
      <c r="L28" s="64"/>
      <c r="M28" s="57">
        <v>839.0</v>
      </c>
      <c r="N28" s="51">
        <f t="shared" si="6"/>
        <v>121.8509282</v>
      </c>
    </row>
    <row r="29">
      <c r="A29" s="50">
        <v>11002.0</v>
      </c>
      <c r="B29" s="50" t="s">
        <v>86</v>
      </c>
      <c r="C29" s="51">
        <v>2547.0</v>
      </c>
      <c r="D29" s="52">
        <v>0.0</v>
      </c>
      <c r="E29" s="53">
        <v>13.6</v>
      </c>
      <c r="F29" s="54">
        <f t="shared" si="2"/>
        <v>18.8</v>
      </c>
      <c r="G29" s="54">
        <f t="shared" si="3"/>
        <v>1.230412774</v>
      </c>
      <c r="H29" s="55">
        <f t="shared" si="4"/>
        <v>16.73361373</v>
      </c>
      <c r="I29" s="56">
        <f t="shared" si="5"/>
        <v>426.2051417</v>
      </c>
      <c r="J29" s="63"/>
      <c r="K29" s="63"/>
      <c r="L29" s="64"/>
      <c r="M29" s="57">
        <v>217.0</v>
      </c>
      <c r="N29" s="51">
        <f t="shared" si="6"/>
        <v>36.3119418</v>
      </c>
    </row>
    <row r="30">
      <c r="A30" s="50">
        <v>11003.0</v>
      </c>
      <c r="B30" s="50" t="s">
        <v>87</v>
      </c>
      <c r="C30" s="51">
        <v>7250.0</v>
      </c>
      <c r="D30" s="52">
        <v>0.0</v>
      </c>
      <c r="E30" s="53">
        <v>13.6</v>
      </c>
      <c r="F30" s="54">
        <f t="shared" si="2"/>
        <v>18.8</v>
      </c>
      <c r="G30" s="54">
        <f t="shared" si="3"/>
        <v>1.230412774</v>
      </c>
      <c r="H30" s="55">
        <f t="shared" si="4"/>
        <v>16.73361373</v>
      </c>
      <c r="I30" s="56">
        <f t="shared" si="5"/>
        <v>1213.186996</v>
      </c>
      <c r="J30" s="63"/>
      <c r="K30" s="63"/>
      <c r="L30" s="64"/>
      <c r="M30" s="57">
        <v>553.0</v>
      </c>
      <c r="N30" s="51">
        <f t="shared" si="6"/>
        <v>92.53688394</v>
      </c>
    </row>
    <row r="31">
      <c r="A31" s="50">
        <v>20101.0</v>
      </c>
      <c r="B31" s="50" t="s">
        <v>88</v>
      </c>
      <c r="C31" s="51">
        <v>758184.0</v>
      </c>
      <c r="D31" s="52">
        <v>99.0</v>
      </c>
      <c r="E31" s="53">
        <v>16.7</v>
      </c>
      <c r="F31" s="54">
        <f t="shared" si="2"/>
        <v>12.464</v>
      </c>
      <c r="G31" s="54">
        <f t="shared" ref="G31:G117" si="18">1.17*F31/F$345</f>
        <v>0.8521543427</v>
      </c>
      <c r="H31" s="55">
        <f t="shared" si="4"/>
        <v>14.23097752</v>
      </c>
      <c r="I31" s="56">
        <f t="shared" si="5"/>
        <v>107896.9946</v>
      </c>
      <c r="J31" s="57">
        <f>SUM(C31:C117)</f>
        <v>3004953.417</v>
      </c>
      <c r="K31" s="57">
        <f>SUM(I31:I117)</f>
        <v>502541.3309</v>
      </c>
      <c r="L31" s="58">
        <f>K31/J31</f>
        <v>0.1672376444</v>
      </c>
      <c r="M31" s="57">
        <v>39439.0</v>
      </c>
      <c r="N31" s="51">
        <f t="shared" si="6"/>
        <v>5612.555225</v>
      </c>
    </row>
    <row r="32">
      <c r="A32" s="50">
        <v>20102.0</v>
      </c>
      <c r="B32" s="50" t="s">
        <v>89</v>
      </c>
      <c r="C32" s="51">
        <v>21303.0</v>
      </c>
      <c r="D32" s="52">
        <v>0.0</v>
      </c>
      <c r="E32" s="53">
        <v>16.7</v>
      </c>
      <c r="F32" s="54">
        <f t="shared" si="2"/>
        <v>18.8</v>
      </c>
      <c r="G32" s="54">
        <f t="shared" si="18"/>
        <v>1.285341916</v>
      </c>
      <c r="H32" s="55">
        <f t="shared" si="4"/>
        <v>21.46521</v>
      </c>
      <c r="I32" s="56">
        <f t="shared" si="5"/>
        <v>4572.733686</v>
      </c>
      <c r="J32" s="63"/>
      <c r="K32" s="63"/>
      <c r="L32" s="64"/>
      <c r="M32" s="57">
        <v>1793.0</v>
      </c>
      <c r="N32" s="51">
        <f t="shared" si="6"/>
        <v>384.8712153</v>
      </c>
    </row>
    <row r="33">
      <c r="A33" s="50">
        <v>20103.0</v>
      </c>
      <c r="B33" s="50" t="s">
        <v>90</v>
      </c>
      <c r="C33" s="51">
        <v>20062.0</v>
      </c>
      <c r="D33" s="52">
        <v>0.0</v>
      </c>
      <c r="E33" s="53">
        <v>16.7</v>
      </c>
      <c r="F33" s="54">
        <f t="shared" si="2"/>
        <v>18.8</v>
      </c>
      <c r="G33" s="54">
        <f t="shared" si="18"/>
        <v>1.285341916</v>
      </c>
      <c r="H33" s="55">
        <f t="shared" si="4"/>
        <v>21.46521</v>
      </c>
      <c r="I33" s="56">
        <f t="shared" si="5"/>
        <v>4306.35043</v>
      </c>
      <c r="J33" s="63"/>
      <c r="K33" s="63"/>
      <c r="L33" s="64"/>
      <c r="M33" s="57">
        <v>1299.0</v>
      </c>
      <c r="N33" s="51">
        <f t="shared" si="6"/>
        <v>278.8330779</v>
      </c>
    </row>
    <row r="34">
      <c r="A34" s="50">
        <v>20104.0</v>
      </c>
      <c r="B34" s="50" t="s">
        <v>91</v>
      </c>
      <c r="C34" s="51">
        <v>44208.0</v>
      </c>
      <c r="D34" s="52">
        <v>86.1</v>
      </c>
      <c r="E34" s="53">
        <v>16.7</v>
      </c>
      <c r="F34" s="54">
        <f t="shared" si="2"/>
        <v>13.2896</v>
      </c>
      <c r="G34" s="54">
        <f t="shared" si="18"/>
        <v>0.9085999962</v>
      </c>
      <c r="H34" s="55">
        <f t="shared" si="4"/>
        <v>15.17361994</v>
      </c>
      <c r="I34" s="56">
        <f t="shared" si="5"/>
        <v>6707.953901</v>
      </c>
      <c r="J34" s="63"/>
      <c r="K34" s="63"/>
      <c r="L34" s="64"/>
      <c r="M34" s="57">
        <v>3169.0</v>
      </c>
      <c r="N34" s="51">
        <f t="shared" si="6"/>
        <v>480.8520158</v>
      </c>
    </row>
    <row r="35">
      <c r="A35" s="50">
        <v>20105.0</v>
      </c>
      <c r="B35" s="50" t="s">
        <v>92</v>
      </c>
      <c r="C35" s="51">
        <v>882711.0</v>
      </c>
      <c r="D35" s="52">
        <v>99.9</v>
      </c>
      <c r="E35" s="53">
        <v>16.7</v>
      </c>
      <c r="F35" s="54">
        <f t="shared" si="2"/>
        <v>12.4064</v>
      </c>
      <c r="G35" s="54">
        <f t="shared" si="18"/>
        <v>0.8482162738</v>
      </c>
      <c r="H35" s="55">
        <f t="shared" si="4"/>
        <v>14.16521177</v>
      </c>
      <c r="I35" s="56">
        <f t="shared" si="5"/>
        <v>125037.8825</v>
      </c>
      <c r="J35" s="63"/>
      <c r="K35" s="63"/>
      <c r="L35" s="64"/>
      <c r="M35" s="57">
        <v>66294.0</v>
      </c>
      <c r="N35" s="51">
        <f t="shared" si="6"/>
        <v>9390.685493</v>
      </c>
    </row>
    <row r="36">
      <c r="A36" s="50">
        <v>20201.0</v>
      </c>
      <c r="B36" s="50" t="s">
        <v>93</v>
      </c>
      <c r="C36" s="51">
        <v>47157.0</v>
      </c>
      <c r="D36" s="52">
        <v>19.9</v>
      </c>
      <c r="E36" s="53">
        <v>16.7</v>
      </c>
      <c r="F36" s="54">
        <f t="shared" si="2"/>
        <v>17.5264</v>
      </c>
      <c r="G36" s="54">
        <f t="shared" si="18"/>
        <v>1.198266838</v>
      </c>
      <c r="H36" s="55">
        <f t="shared" si="4"/>
        <v>20.0110562</v>
      </c>
      <c r="I36" s="56">
        <f t="shared" si="5"/>
        <v>9436.613771</v>
      </c>
      <c r="J36" s="63"/>
      <c r="K36" s="63"/>
      <c r="L36" s="64"/>
      <c r="M36" s="57">
        <v>2944.0</v>
      </c>
      <c r="N36" s="51">
        <f t="shared" si="6"/>
        <v>589.1254945</v>
      </c>
    </row>
    <row r="37">
      <c r="A37" s="50">
        <v>20202.0</v>
      </c>
      <c r="B37" s="50" t="s">
        <v>94</v>
      </c>
      <c r="C37" s="51">
        <v>16635.0</v>
      </c>
      <c r="D37" s="52">
        <v>0.0</v>
      </c>
      <c r="E37" s="53">
        <v>16.7</v>
      </c>
      <c r="F37" s="54">
        <f t="shared" si="2"/>
        <v>18.8</v>
      </c>
      <c r="G37" s="54">
        <f t="shared" si="18"/>
        <v>1.285341916</v>
      </c>
      <c r="H37" s="55">
        <f t="shared" si="4"/>
        <v>21.46521</v>
      </c>
      <c r="I37" s="56">
        <f t="shared" si="5"/>
        <v>3570.737683</v>
      </c>
      <c r="J37" s="63"/>
      <c r="K37" s="63"/>
      <c r="L37" s="64"/>
      <c r="M37" s="57">
        <v>994.0</v>
      </c>
      <c r="N37" s="51">
        <f t="shared" si="6"/>
        <v>213.3641874</v>
      </c>
    </row>
    <row r="38">
      <c r="A38" s="50">
        <v>20203.0</v>
      </c>
      <c r="B38" s="50" t="s">
        <v>95</v>
      </c>
      <c r="C38" s="51">
        <v>7041.0</v>
      </c>
      <c r="D38" s="52">
        <v>0.0</v>
      </c>
      <c r="E38" s="53">
        <v>16.7</v>
      </c>
      <c r="F38" s="54">
        <f t="shared" si="2"/>
        <v>18.8</v>
      </c>
      <c r="G38" s="54">
        <f t="shared" si="18"/>
        <v>1.285341916</v>
      </c>
      <c r="H38" s="55">
        <f t="shared" si="4"/>
        <v>21.46521</v>
      </c>
      <c r="I38" s="56">
        <f t="shared" si="5"/>
        <v>1511.365436</v>
      </c>
      <c r="J38" s="63"/>
      <c r="K38" s="63"/>
      <c r="L38" s="64"/>
      <c r="M38" s="57">
        <v>384.0</v>
      </c>
      <c r="N38" s="51">
        <f t="shared" si="6"/>
        <v>82.4264064</v>
      </c>
    </row>
    <row r="39">
      <c r="A39" s="50">
        <v>20204.0</v>
      </c>
      <c r="B39" s="50" t="s">
        <v>96</v>
      </c>
      <c r="C39" s="51">
        <v>8618.0</v>
      </c>
      <c r="D39" s="52">
        <v>0.0</v>
      </c>
      <c r="E39" s="53">
        <v>16.7</v>
      </c>
      <c r="F39" s="54">
        <f t="shared" si="2"/>
        <v>18.8</v>
      </c>
      <c r="G39" s="54">
        <f t="shared" si="18"/>
        <v>1.285341916</v>
      </c>
      <c r="H39" s="55">
        <f t="shared" si="4"/>
        <v>21.46521</v>
      </c>
      <c r="I39" s="56">
        <f t="shared" si="5"/>
        <v>1849.871798</v>
      </c>
      <c r="J39" s="63"/>
      <c r="K39" s="63"/>
      <c r="L39" s="64"/>
      <c r="M39" s="57">
        <v>473.0</v>
      </c>
      <c r="N39" s="51">
        <f t="shared" si="6"/>
        <v>101.5304433</v>
      </c>
    </row>
    <row r="40">
      <c r="A40" s="50">
        <v>20205.0</v>
      </c>
      <c r="B40" s="50" t="s">
        <v>97</v>
      </c>
      <c r="C40" s="51">
        <v>9227.0</v>
      </c>
      <c r="D40" s="52">
        <v>0.0</v>
      </c>
      <c r="E40" s="53">
        <v>16.7</v>
      </c>
      <c r="F40" s="54">
        <f t="shared" si="2"/>
        <v>18.8</v>
      </c>
      <c r="G40" s="54">
        <f t="shared" si="18"/>
        <v>1.285341916</v>
      </c>
      <c r="H40" s="55">
        <f t="shared" si="4"/>
        <v>21.46521</v>
      </c>
      <c r="I40" s="56">
        <f t="shared" si="5"/>
        <v>1980.594927</v>
      </c>
      <c r="J40" s="63"/>
      <c r="K40" s="63"/>
      <c r="L40" s="64"/>
      <c r="M40" s="57">
        <v>470.0</v>
      </c>
      <c r="N40" s="51">
        <f t="shared" si="6"/>
        <v>100.886487</v>
      </c>
    </row>
    <row r="41">
      <c r="A41" s="50">
        <v>20206.0</v>
      </c>
      <c r="B41" s="50" t="s">
        <v>98</v>
      </c>
      <c r="C41" s="51">
        <v>5019.0</v>
      </c>
      <c r="D41" s="52">
        <v>0.0</v>
      </c>
      <c r="E41" s="53">
        <v>16.7</v>
      </c>
      <c r="F41" s="54">
        <f t="shared" si="2"/>
        <v>18.8</v>
      </c>
      <c r="G41" s="54">
        <f t="shared" si="18"/>
        <v>1.285341916</v>
      </c>
      <c r="H41" s="55">
        <f t="shared" si="4"/>
        <v>21.46521</v>
      </c>
      <c r="I41" s="56">
        <f t="shared" si="5"/>
        <v>1077.33889</v>
      </c>
      <c r="J41" s="63"/>
      <c r="K41" s="63"/>
      <c r="L41" s="64"/>
      <c r="M41" s="57">
        <v>299.0</v>
      </c>
      <c r="N41" s="51">
        <f t="shared" si="6"/>
        <v>64.1809779</v>
      </c>
    </row>
    <row r="42">
      <c r="A42" s="50">
        <v>20301.0</v>
      </c>
      <c r="B42" s="50" t="s">
        <v>99</v>
      </c>
      <c r="C42" s="51">
        <v>13309.0</v>
      </c>
      <c r="D42" s="52">
        <v>16.3</v>
      </c>
      <c r="E42" s="53">
        <v>16.7</v>
      </c>
      <c r="F42" s="54">
        <f t="shared" si="2"/>
        <v>17.7568</v>
      </c>
      <c r="G42" s="54">
        <f t="shared" si="18"/>
        <v>1.214019114</v>
      </c>
      <c r="H42" s="55">
        <f t="shared" si="4"/>
        <v>20.2741192</v>
      </c>
      <c r="I42" s="56">
        <f t="shared" si="5"/>
        <v>2698.282524</v>
      </c>
      <c r="J42" s="63"/>
      <c r="K42" s="63"/>
      <c r="L42" s="64"/>
      <c r="M42" s="57">
        <v>894.0</v>
      </c>
      <c r="N42" s="51">
        <f t="shared" si="6"/>
        <v>181.2506256</v>
      </c>
    </row>
    <row r="43">
      <c r="A43" s="50">
        <v>20302.0</v>
      </c>
      <c r="B43" s="50" t="s">
        <v>100</v>
      </c>
      <c r="C43" s="51">
        <v>15496.0</v>
      </c>
      <c r="D43" s="52">
        <v>0.0</v>
      </c>
      <c r="E43" s="53">
        <v>16.7</v>
      </c>
      <c r="F43" s="54">
        <f t="shared" si="2"/>
        <v>18.8</v>
      </c>
      <c r="G43" s="54">
        <f t="shared" si="18"/>
        <v>1.285341916</v>
      </c>
      <c r="H43" s="55">
        <f t="shared" si="4"/>
        <v>21.46521</v>
      </c>
      <c r="I43" s="56">
        <f t="shared" si="5"/>
        <v>3326.248941</v>
      </c>
      <c r="J43" s="63"/>
      <c r="K43" s="63"/>
      <c r="L43" s="64"/>
      <c r="M43" s="57">
        <v>1058.0</v>
      </c>
      <c r="N43" s="51">
        <f t="shared" si="6"/>
        <v>227.1019218</v>
      </c>
    </row>
    <row r="44">
      <c r="A44" s="50">
        <v>20303.0</v>
      </c>
      <c r="B44" s="50" t="s">
        <v>101</v>
      </c>
      <c r="C44" s="51">
        <v>12024.0</v>
      </c>
      <c r="D44" s="52">
        <v>0.0</v>
      </c>
      <c r="E44" s="53">
        <v>16.7</v>
      </c>
      <c r="F44" s="54">
        <f t="shared" si="2"/>
        <v>18.8</v>
      </c>
      <c r="G44" s="54">
        <f t="shared" si="18"/>
        <v>1.285341916</v>
      </c>
      <c r="H44" s="55">
        <f t="shared" si="4"/>
        <v>21.46521</v>
      </c>
      <c r="I44" s="56">
        <f t="shared" si="5"/>
        <v>2580.97685</v>
      </c>
      <c r="J44" s="63"/>
      <c r="K44" s="63"/>
      <c r="L44" s="64"/>
      <c r="M44" s="57">
        <v>775.0</v>
      </c>
      <c r="N44" s="51">
        <f t="shared" si="6"/>
        <v>166.3553775</v>
      </c>
    </row>
    <row r="45">
      <c r="A45" s="50">
        <v>20304.0</v>
      </c>
      <c r="B45" s="50" t="s">
        <v>102</v>
      </c>
      <c r="C45" s="51">
        <v>5125.0</v>
      </c>
      <c r="D45" s="52">
        <v>0.0</v>
      </c>
      <c r="E45" s="53">
        <v>16.7</v>
      </c>
      <c r="F45" s="54">
        <f t="shared" si="2"/>
        <v>18.8</v>
      </c>
      <c r="G45" s="54">
        <f t="shared" si="18"/>
        <v>1.285341916</v>
      </c>
      <c r="H45" s="55">
        <f t="shared" si="4"/>
        <v>21.46521</v>
      </c>
      <c r="I45" s="56">
        <f t="shared" si="5"/>
        <v>1100.092012</v>
      </c>
      <c r="J45" s="63"/>
      <c r="K45" s="63"/>
      <c r="L45" s="64"/>
      <c r="M45" s="57">
        <v>372.0</v>
      </c>
      <c r="N45" s="51">
        <f t="shared" si="6"/>
        <v>79.8505812</v>
      </c>
    </row>
    <row r="46">
      <c r="A46" s="50">
        <v>20305.0</v>
      </c>
      <c r="B46" s="50" t="s">
        <v>103</v>
      </c>
      <c r="C46" s="51">
        <v>4140.0</v>
      </c>
      <c r="D46" s="52">
        <v>0.0</v>
      </c>
      <c r="E46" s="53">
        <v>16.7</v>
      </c>
      <c r="F46" s="54">
        <f t="shared" si="2"/>
        <v>18.8</v>
      </c>
      <c r="G46" s="54">
        <f t="shared" si="18"/>
        <v>1.285341916</v>
      </c>
      <c r="H46" s="55">
        <f t="shared" si="4"/>
        <v>21.46521</v>
      </c>
      <c r="I46" s="56">
        <f t="shared" si="5"/>
        <v>888.659694</v>
      </c>
      <c r="J46" s="63"/>
      <c r="K46" s="63"/>
      <c r="L46" s="64"/>
      <c r="M46" s="57">
        <v>288.0</v>
      </c>
      <c r="N46" s="51">
        <f t="shared" si="6"/>
        <v>61.8198048</v>
      </c>
    </row>
    <row r="47">
      <c r="A47" s="50">
        <v>20306.0</v>
      </c>
      <c r="B47" s="50" t="s">
        <v>104</v>
      </c>
      <c r="C47" s="51">
        <v>6328.0</v>
      </c>
      <c r="D47" s="52">
        <v>31.8</v>
      </c>
      <c r="E47" s="53">
        <v>16.7</v>
      </c>
      <c r="F47" s="54">
        <f t="shared" si="2"/>
        <v>16.7648</v>
      </c>
      <c r="G47" s="54">
        <f t="shared" si="18"/>
        <v>1.146196817</v>
      </c>
      <c r="H47" s="55">
        <f t="shared" si="4"/>
        <v>19.14148684</v>
      </c>
      <c r="I47" s="56">
        <f t="shared" si="5"/>
        <v>1211.273287</v>
      </c>
      <c r="J47" s="63"/>
      <c r="K47" s="63"/>
      <c r="L47" s="64"/>
      <c r="M47" s="57">
        <v>372.0</v>
      </c>
      <c r="N47" s="51">
        <f t="shared" si="6"/>
        <v>71.20633104</v>
      </c>
    </row>
    <row r="48">
      <c r="A48" s="50">
        <v>20307.0</v>
      </c>
      <c r="B48" s="50" t="s">
        <v>105</v>
      </c>
      <c r="C48" s="51">
        <v>3738.416667</v>
      </c>
      <c r="D48" s="52">
        <v>0.0</v>
      </c>
      <c r="E48" s="53">
        <v>16.7</v>
      </c>
      <c r="F48" s="54">
        <f t="shared" si="2"/>
        <v>18.8</v>
      </c>
      <c r="G48" s="54">
        <f t="shared" si="18"/>
        <v>1.285341916</v>
      </c>
      <c r="H48" s="55">
        <f t="shared" si="4"/>
        <v>21.46521</v>
      </c>
      <c r="I48" s="56">
        <f t="shared" si="5"/>
        <v>802.4589882</v>
      </c>
      <c r="J48" s="63"/>
      <c r="K48" s="63"/>
      <c r="L48" s="64"/>
      <c r="M48" s="57">
        <v>247.0</v>
      </c>
      <c r="N48" s="51">
        <f t="shared" si="6"/>
        <v>53.0190687</v>
      </c>
    </row>
    <row r="49">
      <c r="A49" s="50">
        <v>20308.0</v>
      </c>
      <c r="B49" s="50" t="s">
        <v>106</v>
      </c>
      <c r="C49" s="51">
        <v>7975.0</v>
      </c>
      <c r="D49" s="52">
        <v>0.0</v>
      </c>
      <c r="E49" s="53">
        <v>16.7</v>
      </c>
      <c r="F49" s="54">
        <f t="shared" si="2"/>
        <v>18.8</v>
      </c>
      <c r="G49" s="54">
        <f t="shared" si="18"/>
        <v>1.285341916</v>
      </c>
      <c r="H49" s="55">
        <f t="shared" si="4"/>
        <v>21.46521</v>
      </c>
      <c r="I49" s="56">
        <f t="shared" si="5"/>
        <v>1711.850497</v>
      </c>
      <c r="J49" s="63"/>
      <c r="K49" s="63"/>
      <c r="L49" s="64"/>
      <c r="M49" s="57">
        <v>461.0</v>
      </c>
      <c r="N49" s="51">
        <f t="shared" si="6"/>
        <v>98.9546181</v>
      </c>
    </row>
    <row r="50">
      <c r="A50" s="50">
        <v>20401.0</v>
      </c>
      <c r="B50" s="50" t="s">
        <v>107</v>
      </c>
      <c r="C50" s="51">
        <v>13785.0</v>
      </c>
      <c r="D50" s="52">
        <v>0.0</v>
      </c>
      <c r="E50" s="53">
        <v>16.7</v>
      </c>
      <c r="F50" s="54">
        <f t="shared" si="2"/>
        <v>18.8</v>
      </c>
      <c r="G50" s="54">
        <f t="shared" si="18"/>
        <v>1.285341916</v>
      </c>
      <c r="H50" s="55">
        <f t="shared" si="4"/>
        <v>21.46521</v>
      </c>
      <c r="I50" s="56">
        <f t="shared" si="5"/>
        <v>2958.979198</v>
      </c>
      <c r="J50" s="63"/>
      <c r="K50" s="63"/>
      <c r="L50" s="64"/>
      <c r="M50" s="57">
        <v>729.0</v>
      </c>
      <c r="N50" s="51">
        <f t="shared" si="6"/>
        <v>156.4813809</v>
      </c>
    </row>
    <row r="51">
      <c r="A51" s="50">
        <v>20402.0</v>
      </c>
      <c r="B51" s="50" t="s">
        <v>108</v>
      </c>
      <c r="C51" s="51">
        <v>17632.0</v>
      </c>
      <c r="D51" s="52">
        <v>0.0</v>
      </c>
      <c r="E51" s="53">
        <v>16.7</v>
      </c>
      <c r="F51" s="54">
        <f t="shared" si="2"/>
        <v>18.8</v>
      </c>
      <c r="G51" s="54">
        <f t="shared" si="18"/>
        <v>1.285341916</v>
      </c>
      <c r="H51" s="55">
        <f t="shared" si="4"/>
        <v>21.46521</v>
      </c>
      <c r="I51" s="56">
        <f t="shared" si="5"/>
        <v>3784.745827</v>
      </c>
      <c r="J51" s="63"/>
      <c r="K51" s="63"/>
      <c r="L51" s="64"/>
      <c r="M51" s="57">
        <v>1041.0</v>
      </c>
      <c r="N51" s="51">
        <f t="shared" si="6"/>
        <v>223.4528361</v>
      </c>
    </row>
    <row r="52">
      <c r="A52" s="50">
        <v>20403.0</v>
      </c>
      <c r="B52" s="50" t="s">
        <v>109</v>
      </c>
      <c r="C52" s="51">
        <v>17107.0</v>
      </c>
      <c r="D52" s="52">
        <v>0.0</v>
      </c>
      <c r="E52" s="53">
        <v>16.7</v>
      </c>
      <c r="F52" s="54">
        <f t="shared" si="2"/>
        <v>18.8</v>
      </c>
      <c r="G52" s="54">
        <f t="shared" si="18"/>
        <v>1.285341916</v>
      </c>
      <c r="H52" s="55">
        <f t="shared" si="4"/>
        <v>21.46521</v>
      </c>
      <c r="I52" s="56">
        <f t="shared" si="5"/>
        <v>3672.053475</v>
      </c>
      <c r="J52" s="63"/>
      <c r="K52" s="63"/>
      <c r="L52" s="64"/>
      <c r="M52" s="57">
        <v>995.0</v>
      </c>
      <c r="N52" s="51">
        <f t="shared" si="6"/>
        <v>213.5788395</v>
      </c>
    </row>
    <row r="53">
      <c r="A53" s="50">
        <v>20404.0</v>
      </c>
      <c r="B53" s="50" t="s">
        <v>110</v>
      </c>
      <c r="C53" s="51">
        <v>5632.0</v>
      </c>
      <c r="D53" s="52">
        <v>0.0</v>
      </c>
      <c r="E53" s="53">
        <v>16.7</v>
      </c>
      <c r="F53" s="54">
        <f t="shared" si="2"/>
        <v>18.8</v>
      </c>
      <c r="G53" s="54">
        <f t="shared" si="18"/>
        <v>1.285341916</v>
      </c>
      <c r="H53" s="55">
        <f t="shared" si="4"/>
        <v>21.46521</v>
      </c>
      <c r="I53" s="56">
        <f t="shared" si="5"/>
        <v>1208.920627</v>
      </c>
      <c r="J53" s="63"/>
      <c r="K53" s="63"/>
      <c r="L53" s="64"/>
      <c r="M53" s="57">
        <v>352.0</v>
      </c>
      <c r="N53" s="51">
        <f t="shared" si="6"/>
        <v>75.5575392</v>
      </c>
    </row>
    <row r="54">
      <c r="A54" s="50">
        <v>20405.0</v>
      </c>
      <c r="B54" s="50" t="s">
        <v>111</v>
      </c>
      <c r="C54" s="51">
        <v>8699.0</v>
      </c>
      <c r="D54" s="52">
        <v>0.0</v>
      </c>
      <c r="E54" s="53">
        <v>16.7</v>
      </c>
      <c r="F54" s="54">
        <f t="shared" si="2"/>
        <v>18.8</v>
      </c>
      <c r="G54" s="54">
        <f t="shared" si="18"/>
        <v>1.285341916</v>
      </c>
      <c r="H54" s="55">
        <f t="shared" si="4"/>
        <v>21.46521</v>
      </c>
      <c r="I54" s="56">
        <f t="shared" si="5"/>
        <v>1867.258618</v>
      </c>
      <c r="J54" s="63"/>
      <c r="K54" s="63"/>
      <c r="L54" s="64"/>
      <c r="M54" s="57">
        <v>450.0</v>
      </c>
      <c r="N54" s="51">
        <f t="shared" si="6"/>
        <v>96.593445</v>
      </c>
    </row>
    <row r="55">
      <c r="A55" s="50">
        <v>20501.0</v>
      </c>
      <c r="B55" s="50" t="s">
        <v>112</v>
      </c>
      <c r="C55" s="51">
        <v>17300.0</v>
      </c>
      <c r="D55" s="52">
        <v>0.0</v>
      </c>
      <c r="E55" s="53">
        <v>16.7</v>
      </c>
      <c r="F55" s="54">
        <f t="shared" si="2"/>
        <v>18.8</v>
      </c>
      <c r="G55" s="54">
        <f t="shared" si="18"/>
        <v>1.285341916</v>
      </c>
      <c r="H55" s="55">
        <f t="shared" si="4"/>
        <v>21.46521</v>
      </c>
      <c r="I55" s="56">
        <f t="shared" si="5"/>
        <v>3713.48133</v>
      </c>
      <c r="J55" s="63"/>
      <c r="K55" s="63"/>
      <c r="L55" s="64"/>
      <c r="M55" s="57">
        <v>1348.0</v>
      </c>
      <c r="N55" s="51">
        <f t="shared" si="6"/>
        <v>289.3510308</v>
      </c>
    </row>
    <row r="56">
      <c r="A56" s="50">
        <v>20502.0</v>
      </c>
      <c r="B56" s="50" t="s">
        <v>113</v>
      </c>
      <c r="C56" s="51">
        <v>8977.0</v>
      </c>
      <c r="D56" s="52">
        <v>0.0</v>
      </c>
      <c r="E56" s="53">
        <v>16.7</v>
      </c>
      <c r="F56" s="54">
        <f t="shared" si="2"/>
        <v>18.8</v>
      </c>
      <c r="G56" s="54">
        <f t="shared" si="18"/>
        <v>1.285341916</v>
      </c>
      <c r="H56" s="55">
        <f t="shared" si="4"/>
        <v>21.46521</v>
      </c>
      <c r="I56" s="56">
        <f t="shared" si="5"/>
        <v>1926.931902</v>
      </c>
      <c r="J56" s="63"/>
      <c r="K56" s="63"/>
      <c r="L56" s="64"/>
      <c r="M56" s="57">
        <v>707.0</v>
      </c>
      <c r="N56" s="51">
        <f t="shared" si="6"/>
        <v>151.7590347</v>
      </c>
    </row>
    <row r="57">
      <c r="A57" s="50">
        <v>20503.0</v>
      </c>
      <c r="B57" s="50" t="s">
        <v>114</v>
      </c>
      <c r="C57" s="51">
        <v>6619.0</v>
      </c>
      <c r="D57" s="52">
        <v>0.0</v>
      </c>
      <c r="E57" s="53">
        <v>16.7</v>
      </c>
      <c r="F57" s="54">
        <f t="shared" si="2"/>
        <v>18.8</v>
      </c>
      <c r="G57" s="54">
        <f t="shared" si="18"/>
        <v>1.285341916</v>
      </c>
      <c r="H57" s="55">
        <f t="shared" si="4"/>
        <v>21.46521</v>
      </c>
      <c r="I57" s="56">
        <f t="shared" si="5"/>
        <v>1420.78225</v>
      </c>
      <c r="J57" s="63"/>
      <c r="K57" s="63"/>
      <c r="L57" s="64"/>
      <c r="M57" s="57">
        <v>591.0</v>
      </c>
      <c r="N57" s="51">
        <f t="shared" si="6"/>
        <v>126.8593911</v>
      </c>
    </row>
    <row r="58">
      <c r="A58" s="50">
        <v>20601.0</v>
      </c>
      <c r="B58" s="50" t="s">
        <v>115</v>
      </c>
      <c r="C58" s="51">
        <v>29535.0</v>
      </c>
      <c r="D58" s="52">
        <v>13.0</v>
      </c>
      <c r="E58" s="53">
        <v>16.7</v>
      </c>
      <c r="F58" s="54">
        <f t="shared" si="2"/>
        <v>17.968</v>
      </c>
      <c r="G58" s="54">
        <f t="shared" si="18"/>
        <v>1.228458699</v>
      </c>
      <c r="H58" s="55">
        <f t="shared" si="4"/>
        <v>20.51526028</v>
      </c>
      <c r="I58" s="56">
        <f t="shared" si="5"/>
        <v>6059.182124</v>
      </c>
      <c r="J58" s="63"/>
      <c r="K58" s="63"/>
      <c r="L58" s="64"/>
      <c r="M58" s="57">
        <v>2326.0</v>
      </c>
      <c r="N58" s="51">
        <f t="shared" si="6"/>
        <v>477.1849541</v>
      </c>
    </row>
    <row r="59">
      <c r="A59" s="50">
        <v>20602.0</v>
      </c>
      <c r="B59" s="50" t="s">
        <v>116</v>
      </c>
      <c r="C59" s="51">
        <v>16253.0</v>
      </c>
      <c r="D59" s="52">
        <v>27.8</v>
      </c>
      <c r="E59" s="53">
        <v>16.7</v>
      </c>
      <c r="F59" s="54">
        <f t="shared" si="2"/>
        <v>17.0208</v>
      </c>
      <c r="G59" s="54">
        <f t="shared" si="18"/>
        <v>1.163699345</v>
      </c>
      <c r="H59" s="55">
        <f t="shared" si="4"/>
        <v>19.43377906</v>
      </c>
      <c r="I59" s="56">
        <f t="shared" si="5"/>
        <v>3158.572111</v>
      </c>
      <c r="J59" s="63"/>
      <c r="K59" s="63"/>
      <c r="L59" s="64"/>
      <c r="M59" s="57">
        <v>1382.0</v>
      </c>
      <c r="N59" s="51">
        <f t="shared" si="6"/>
        <v>268.5748266</v>
      </c>
    </row>
    <row r="60">
      <c r="A60" s="50">
        <v>20603.0</v>
      </c>
      <c r="B60" s="50" t="s">
        <v>117</v>
      </c>
      <c r="C60" s="51">
        <v>9629.0</v>
      </c>
      <c r="D60" s="52">
        <v>0.0</v>
      </c>
      <c r="E60" s="53">
        <v>16.7</v>
      </c>
      <c r="F60" s="54">
        <f t="shared" si="2"/>
        <v>18.8</v>
      </c>
      <c r="G60" s="54">
        <f t="shared" si="18"/>
        <v>1.285341916</v>
      </c>
      <c r="H60" s="55">
        <f t="shared" si="4"/>
        <v>21.46521</v>
      </c>
      <c r="I60" s="56">
        <f t="shared" si="5"/>
        <v>2066.885071</v>
      </c>
      <c r="J60" s="63"/>
      <c r="K60" s="63"/>
      <c r="L60" s="64"/>
      <c r="M60" s="57">
        <v>810.0</v>
      </c>
      <c r="N60" s="51">
        <f t="shared" si="6"/>
        <v>173.868201</v>
      </c>
    </row>
    <row r="61">
      <c r="A61" s="50">
        <v>20604.0</v>
      </c>
      <c r="B61" s="50" t="s">
        <v>118</v>
      </c>
      <c r="C61" s="51">
        <v>4096.0</v>
      </c>
      <c r="D61" s="52">
        <v>0.0</v>
      </c>
      <c r="E61" s="53">
        <v>16.7</v>
      </c>
      <c r="F61" s="54">
        <f t="shared" si="2"/>
        <v>18.8</v>
      </c>
      <c r="G61" s="54">
        <f t="shared" si="18"/>
        <v>1.285341916</v>
      </c>
      <c r="H61" s="55">
        <f t="shared" si="4"/>
        <v>21.46521</v>
      </c>
      <c r="I61" s="56">
        <f t="shared" si="5"/>
        <v>879.2150016</v>
      </c>
      <c r="J61" s="63"/>
      <c r="K61" s="63"/>
      <c r="L61" s="64"/>
      <c r="M61" s="57">
        <v>371.0</v>
      </c>
      <c r="N61" s="51">
        <f t="shared" si="6"/>
        <v>79.6359291</v>
      </c>
    </row>
    <row r="62">
      <c r="A62" s="50">
        <v>20605.0</v>
      </c>
      <c r="B62" s="50" t="s">
        <v>119</v>
      </c>
      <c r="C62" s="51">
        <v>3546.0</v>
      </c>
      <c r="D62" s="52">
        <v>0.0</v>
      </c>
      <c r="E62" s="53">
        <v>16.7</v>
      </c>
      <c r="F62" s="54">
        <f t="shared" si="2"/>
        <v>18.8</v>
      </c>
      <c r="G62" s="54">
        <f t="shared" si="18"/>
        <v>1.285341916</v>
      </c>
      <c r="H62" s="55">
        <f t="shared" si="4"/>
        <v>21.46521</v>
      </c>
      <c r="I62" s="56">
        <f t="shared" si="5"/>
        <v>761.1563466</v>
      </c>
      <c r="J62" s="63"/>
      <c r="K62" s="63"/>
      <c r="L62" s="64"/>
      <c r="M62" s="57">
        <v>218.0</v>
      </c>
      <c r="N62" s="51">
        <f t="shared" si="6"/>
        <v>46.7941578</v>
      </c>
    </row>
    <row r="63">
      <c r="A63" s="50">
        <v>20606.0</v>
      </c>
      <c r="B63" s="50" t="s">
        <v>120</v>
      </c>
      <c r="C63" s="51">
        <v>7905.0</v>
      </c>
      <c r="D63" s="52">
        <v>30.0</v>
      </c>
      <c r="E63" s="53">
        <v>16.7</v>
      </c>
      <c r="F63" s="54">
        <f t="shared" si="2"/>
        <v>16.88</v>
      </c>
      <c r="G63" s="54">
        <f t="shared" si="18"/>
        <v>1.154072954</v>
      </c>
      <c r="H63" s="55">
        <f t="shared" si="4"/>
        <v>19.27301834</v>
      </c>
      <c r="I63" s="56">
        <f t="shared" si="5"/>
        <v>1523.5321</v>
      </c>
      <c r="J63" s="63"/>
      <c r="K63" s="63"/>
      <c r="L63" s="64"/>
      <c r="M63" s="57">
        <v>708.0</v>
      </c>
      <c r="N63" s="51">
        <f t="shared" si="6"/>
        <v>136.4529698</v>
      </c>
    </row>
    <row r="64">
      <c r="A64" s="50">
        <v>20607.0</v>
      </c>
      <c r="B64" s="50" t="s">
        <v>121</v>
      </c>
      <c r="C64" s="51">
        <v>21180.0</v>
      </c>
      <c r="D64" s="52">
        <v>47.0</v>
      </c>
      <c r="E64" s="53">
        <v>16.7</v>
      </c>
      <c r="F64" s="54">
        <f t="shared" si="2"/>
        <v>15.792</v>
      </c>
      <c r="G64" s="54">
        <f t="shared" si="18"/>
        <v>1.07968721</v>
      </c>
      <c r="H64" s="55">
        <f t="shared" si="4"/>
        <v>18.0307764</v>
      </c>
      <c r="I64" s="56">
        <f t="shared" si="5"/>
        <v>3818.918441</v>
      </c>
      <c r="J64" s="63"/>
      <c r="K64" s="63"/>
      <c r="L64" s="64"/>
      <c r="M64" s="57">
        <v>1972.0</v>
      </c>
      <c r="N64" s="51">
        <f t="shared" si="6"/>
        <v>355.5669106</v>
      </c>
    </row>
    <row r="65">
      <c r="A65" s="50">
        <v>20608.0</v>
      </c>
      <c r="B65" s="50" t="s">
        <v>122</v>
      </c>
      <c r="C65" s="51">
        <v>13043.0</v>
      </c>
      <c r="D65" s="52">
        <v>20.3</v>
      </c>
      <c r="E65" s="53">
        <v>16.7</v>
      </c>
      <c r="F65" s="54">
        <f t="shared" si="2"/>
        <v>17.5008</v>
      </c>
      <c r="G65" s="54">
        <f t="shared" si="18"/>
        <v>1.196516585</v>
      </c>
      <c r="H65" s="55">
        <f t="shared" si="4"/>
        <v>19.98182698</v>
      </c>
      <c r="I65" s="56">
        <f t="shared" si="5"/>
        <v>2606.229692</v>
      </c>
      <c r="J65" s="63"/>
      <c r="K65" s="63"/>
      <c r="L65" s="64"/>
      <c r="M65" s="57">
        <v>1170.0</v>
      </c>
      <c r="N65" s="51">
        <f t="shared" si="6"/>
        <v>233.7873756</v>
      </c>
    </row>
    <row r="66">
      <c r="A66" s="50">
        <v>20701.0</v>
      </c>
      <c r="B66" s="50" t="s">
        <v>123</v>
      </c>
      <c r="C66" s="51">
        <v>19252.0</v>
      </c>
      <c r="D66" s="52">
        <v>29.7</v>
      </c>
      <c r="E66" s="53">
        <v>16.7</v>
      </c>
      <c r="F66" s="54">
        <f t="shared" si="2"/>
        <v>16.8992</v>
      </c>
      <c r="G66" s="54">
        <f t="shared" si="18"/>
        <v>1.155385644</v>
      </c>
      <c r="H66" s="55">
        <f t="shared" si="4"/>
        <v>19.29494026</v>
      </c>
      <c r="I66" s="56">
        <f t="shared" si="5"/>
        <v>3714.661898</v>
      </c>
      <c r="J66" s="63"/>
      <c r="K66" s="63"/>
      <c r="L66" s="64"/>
      <c r="M66" s="57">
        <v>1978.0</v>
      </c>
      <c r="N66" s="51">
        <f t="shared" si="6"/>
        <v>381.6539183</v>
      </c>
    </row>
    <row r="67">
      <c r="A67" s="50">
        <v>20702.0</v>
      </c>
      <c r="B67" s="50" t="s">
        <v>124</v>
      </c>
      <c r="C67" s="51">
        <v>8870.0</v>
      </c>
      <c r="D67" s="52">
        <v>0.0</v>
      </c>
      <c r="E67" s="53">
        <v>16.7</v>
      </c>
      <c r="F67" s="54">
        <f t="shared" si="2"/>
        <v>18.8</v>
      </c>
      <c r="G67" s="54">
        <f t="shared" si="18"/>
        <v>1.285341916</v>
      </c>
      <c r="H67" s="55">
        <f t="shared" si="4"/>
        <v>21.46521</v>
      </c>
      <c r="I67" s="56">
        <f t="shared" si="5"/>
        <v>1903.964127</v>
      </c>
      <c r="J67" s="63"/>
      <c r="K67" s="63"/>
      <c r="L67" s="64"/>
      <c r="M67" s="57">
        <v>728.0</v>
      </c>
      <c r="N67" s="51">
        <f t="shared" si="6"/>
        <v>156.2667288</v>
      </c>
    </row>
    <row r="68">
      <c r="A68" s="50">
        <v>20801.0</v>
      </c>
      <c r="B68" s="50" t="s">
        <v>125</v>
      </c>
      <c r="C68" s="51">
        <v>110818.0</v>
      </c>
      <c r="D68" s="52">
        <v>80.1</v>
      </c>
      <c r="E68" s="53">
        <v>16.7</v>
      </c>
      <c r="F68" s="54">
        <f t="shared" si="2"/>
        <v>13.6736</v>
      </c>
      <c r="G68" s="54">
        <f t="shared" si="18"/>
        <v>0.9348537885</v>
      </c>
      <c r="H68" s="55">
        <f t="shared" si="4"/>
        <v>15.61205827</v>
      </c>
      <c r="I68" s="56">
        <f t="shared" si="5"/>
        <v>17300.97073</v>
      </c>
      <c r="J68" s="63"/>
      <c r="K68" s="63"/>
      <c r="L68" s="64"/>
      <c r="M68" s="57">
        <v>8239.0</v>
      </c>
      <c r="N68" s="51">
        <f t="shared" si="6"/>
        <v>1286.277481</v>
      </c>
    </row>
    <row r="69">
      <c r="A69" s="50">
        <v>20802.0</v>
      </c>
      <c r="B69" s="50" t="s">
        <v>126</v>
      </c>
      <c r="C69" s="51">
        <v>8483.0</v>
      </c>
      <c r="D69" s="52">
        <v>0.0</v>
      </c>
      <c r="E69" s="53">
        <v>16.7</v>
      </c>
      <c r="F69" s="54">
        <f t="shared" si="2"/>
        <v>18.8</v>
      </c>
      <c r="G69" s="54">
        <f t="shared" si="18"/>
        <v>1.285341916</v>
      </c>
      <c r="H69" s="55">
        <f t="shared" si="4"/>
        <v>21.46521</v>
      </c>
      <c r="I69" s="56">
        <f t="shared" si="5"/>
        <v>1820.893764</v>
      </c>
      <c r="J69" s="63"/>
      <c r="K69" s="63"/>
      <c r="L69" s="64"/>
      <c r="M69" s="57">
        <v>479.0</v>
      </c>
      <c r="N69" s="51">
        <f t="shared" si="6"/>
        <v>102.8183559</v>
      </c>
    </row>
    <row r="70">
      <c r="A70" s="50">
        <v>20803.0</v>
      </c>
      <c r="B70" s="50" t="s">
        <v>127</v>
      </c>
      <c r="C70" s="51">
        <v>13526.0</v>
      </c>
      <c r="D70" s="52">
        <v>1.4</v>
      </c>
      <c r="E70" s="53">
        <v>16.7</v>
      </c>
      <c r="F70" s="54">
        <f t="shared" si="2"/>
        <v>18.7104</v>
      </c>
      <c r="G70" s="54">
        <f t="shared" si="18"/>
        <v>1.279216031</v>
      </c>
      <c r="H70" s="55">
        <f t="shared" si="4"/>
        <v>21.36290772</v>
      </c>
      <c r="I70" s="56">
        <f t="shared" si="5"/>
        <v>2889.546898</v>
      </c>
      <c r="J70" s="63"/>
      <c r="K70" s="63"/>
      <c r="L70" s="64"/>
      <c r="M70" s="57">
        <v>948.0</v>
      </c>
      <c r="N70" s="51">
        <f t="shared" si="6"/>
        <v>202.5203652</v>
      </c>
    </row>
    <row r="71">
      <c r="A71" s="50">
        <v>20804.0</v>
      </c>
      <c r="B71" s="50" t="s">
        <v>128</v>
      </c>
      <c r="C71" s="51">
        <v>7821.0</v>
      </c>
      <c r="D71" s="52">
        <v>61.8</v>
      </c>
      <c r="E71" s="53">
        <v>16.7</v>
      </c>
      <c r="F71" s="54">
        <f t="shared" si="2"/>
        <v>14.8448</v>
      </c>
      <c r="G71" s="54">
        <f t="shared" si="18"/>
        <v>1.014927855</v>
      </c>
      <c r="H71" s="55">
        <f t="shared" si="4"/>
        <v>16.94929518</v>
      </c>
      <c r="I71" s="56">
        <f t="shared" si="5"/>
        <v>1325.604376</v>
      </c>
      <c r="J71" s="63"/>
      <c r="K71" s="63"/>
      <c r="L71" s="64"/>
      <c r="M71" s="57">
        <v>530.0</v>
      </c>
      <c r="N71" s="51">
        <f t="shared" si="6"/>
        <v>89.83126446</v>
      </c>
    </row>
    <row r="72">
      <c r="A72" s="50">
        <v>20805.0</v>
      </c>
      <c r="B72" s="50" t="s">
        <v>129</v>
      </c>
      <c r="C72" s="51">
        <v>7787.0</v>
      </c>
      <c r="D72" s="52">
        <v>0.0</v>
      </c>
      <c r="E72" s="53">
        <v>16.7</v>
      </c>
      <c r="F72" s="54">
        <f t="shared" si="2"/>
        <v>18.8</v>
      </c>
      <c r="G72" s="54">
        <f t="shared" si="18"/>
        <v>1.285341916</v>
      </c>
      <c r="H72" s="55">
        <f t="shared" si="4"/>
        <v>21.46521</v>
      </c>
      <c r="I72" s="56">
        <f t="shared" si="5"/>
        <v>1671.495903</v>
      </c>
      <c r="J72" s="63"/>
      <c r="K72" s="63"/>
      <c r="L72" s="64"/>
      <c r="M72" s="57">
        <v>464.0</v>
      </c>
      <c r="N72" s="51">
        <f t="shared" si="6"/>
        <v>99.5985744</v>
      </c>
    </row>
    <row r="73">
      <c r="A73" s="50">
        <v>20806.0</v>
      </c>
      <c r="B73" s="50" t="s">
        <v>130</v>
      </c>
      <c r="C73" s="51">
        <v>16851.0</v>
      </c>
      <c r="D73" s="52">
        <v>0.0</v>
      </c>
      <c r="E73" s="53">
        <v>16.7</v>
      </c>
      <c r="F73" s="54">
        <f t="shared" si="2"/>
        <v>18.8</v>
      </c>
      <c r="G73" s="54">
        <f t="shared" si="18"/>
        <v>1.285341916</v>
      </c>
      <c r="H73" s="55">
        <f t="shared" si="4"/>
        <v>21.46521</v>
      </c>
      <c r="I73" s="56">
        <f t="shared" si="5"/>
        <v>3617.102537</v>
      </c>
      <c r="J73" s="63"/>
      <c r="K73" s="63"/>
      <c r="L73" s="64"/>
      <c r="M73" s="57">
        <v>1145.0</v>
      </c>
      <c r="N73" s="51">
        <f t="shared" si="6"/>
        <v>245.7766545</v>
      </c>
    </row>
    <row r="74">
      <c r="A74" s="50">
        <v>20807.0</v>
      </c>
      <c r="B74" s="50" t="s">
        <v>131</v>
      </c>
      <c r="C74" s="51">
        <v>7462.0</v>
      </c>
      <c r="D74" s="52">
        <v>0.0</v>
      </c>
      <c r="E74" s="53">
        <v>16.7</v>
      </c>
      <c r="F74" s="54">
        <f t="shared" si="2"/>
        <v>18.8</v>
      </c>
      <c r="G74" s="54">
        <f t="shared" si="18"/>
        <v>1.285341916</v>
      </c>
      <c r="H74" s="55">
        <f t="shared" si="4"/>
        <v>21.46521</v>
      </c>
      <c r="I74" s="56">
        <f t="shared" si="5"/>
        <v>1601.73397</v>
      </c>
      <c r="J74" s="63"/>
      <c r="K74" s="63"/>
      <c r="L74" s="64"/>
      <c r="M74" s="57">
        <v>454.0</v>
      </c>
      <c r="N74" s="51">
        <f t="shared" si="6"/>
        <v>97.4520534</v>
      </c>
    </row>
    <row r="75">
      <c r="A75" s="50">
        <v>20901.0</v>
      </c>
      <c r="B75" s="50" t="s">
        <v>132</v>
      </c>
      <c r="C75" s="51">
        <v>10739.0</v>
      </c>
      <c r="D75" s="52">
        <v>0.0</v>
      </c>
      <c r="E75" s="53">
        <v>16.7</v>
      </c>
      <c r="F75" s="54">
        <f t="shared" si="2"/>
        <v>18.8</v>
      </c>
      <c r="G75" s="54">
        <f t="shared" si="18"/>
        <v>1.285341916</v>
      </c>
      <c r="H75" s="55">
        <f t="shared" si="4"/>
        <v>21.46521</v>
      </c>
      <c r="I75" s="56">
        <f t="shared" si="5"/>
        <v>2305.148902</v>
      </c>
      <c r="J75" s="63"/>
      <c r="K75" s="63"/>
      <c r="L75" s="64"/>
      <c r="M75" s="57">
        <v>683.0</v>
      </c>
      <c r="N75" s="51">
        <f t="shared" si="6"/>
        <v>146.6073843</v>
      </c>
    </row>
    <row r="76">
      <c r="A76" s="50">
        <v>20902.0</v>
      </c>
      <c r="B76" s="50" t="s">
        <v>133</v>
      </c>
      <c r="C76" s="51">
        <v>16163.0</v>
      </c>
      <c r="D76" s="52">
        <v>0.0</v>
      </c>
      <c r="E76" s="53">
        <v>16.7</v>
      </c>
      <c r="F76" s="54">
        <f t="shared" si="2"/>
        <v>18.8</v>
      </c>
      <c r="G76" s="54">
        <f t="shared" si="18"/>
        <v>1.285341916</v>
      </c>
      <c r="H76" s="55">
        <f t="shared" si="4"/>
        <v>21.46521</v>
      </c>
      <c r="I76" s="56">
        <f t="shared" si="5"/>
        <v>3469.421892</v>
      </c>
      <c r="J76" s="63"/>
      <c r="K76" s="63"/>
      <c r="L76" s="64"/>
      <c r="M76" s="57">
        <v>1081.0</v>
      </c>
      <c r="N76" s="51">
        <f t="shared" si="6"/>
        <v>232.0389201</v>
      </c>
    </row>
    <row r="77">
      <c r="A77" s="50">
        <v>20903.0</v>
      </c>
      <c r="B77" s="50" t="s">
        <v>134</v>
      </c>
      <c r="C77" s="51">
        <v>11881.0</v>
      </c>
      <c r="D77" s="52">
        <v>16.5</v>
      </c>
      <c r="E77" s="53">
        <v>16.7</v>
      </c>
      <c r="F77" s="54">
        <f t="shared" si="2"/>
        <v>17.744</v>
      </c>
      <c r="G77" s="54">
        <f t="shared" si="18"/>
        <v>1.213143987</v>
      </c>
      <c r="H77" s="55">
        <f t="shared" si="4"/>
        <v>20.25950459</v>
      </c>
      <c r="I77" s="56">
        <f t="shared" si="5"/>
        <v>2407.03174</v>
      </c>
      <c r="J77" s="63"/>
      <c r="K77" s="63"/>
      <c r="L77" s="64"/>
      <c r="M77" s="57">
        <v>915.0</v>
      </c>
      <c r="N77" s="51">
        <f t="shared" si="6"/>
        <v>185.374467</v>
      </c>
    </row>
    <row r="78">
      <c r="A78" s="50">
        <v>20904.0</v>
      </c>
      <c r="B78" s="50" t="s">
        <v>135</v>
      </c>
      <c r="C78" s="51">
        <v>5287.0</v>
      </c>
      <c r="D78" s="52">
        <v>0.0</v>
      </c>
      <c r="E78" s="53">
        <v>16.7</v>
      </c>
      <c r="F78" s="54">
        <f t="shared" si="2"/>
        <v>18.8</v>
      </c>
      <c r="G78" s="54">
        <f t="shared" si="18"/>
        <v>1.285341916</v>
      </c>
      <c r="H78" s="55">
        <f t="shared" si="4"/>
        <v>21.46521</v>
      </c>
      <c r="I78" s="56">
        <f t="shared" si="5"/>
        <v>1134.865653</v>
      </c>
      <c r="J78" s="63"/>
      <c r="K78" s="63"/>
      <c r="L78" s="64"/>
      <c r="M78" s="57">
        <v>535.0</v>
      </c>
      <c r="N78" s="51">
        <f t="shared" si="6"/>
        <v>114.8388735</v>
      </c>
    </row>
    <row r="79">
      <c r="A79" s="50">
        <v>20905.0</v>
      </c>
      <c r="B79" s="50" t="s">
        <v>136</v>
      </c>
      <c r="C79" s="51">
        <v>13411.0</v>
      </c>
      <c r="D79" s="52">
        <v>0.0</v>
      </c>
      <c r="E79" s="53">
        <v>16.7</v>
      </c>
      <c r="F79" s="54">
        <f t="shared" si="2"/>
        <v>18.8</v>
      </c>
      <c r="G79" s="54">
        <f t="shared" si="18"/>
        <v>1.285341916</v>
      </c>
      <c r="H79" s="55">
        <f t="shared" si="4"/>
        <v>21.46521</v>
      </c>
      <c r="I79" s="56">
        <f t="shared" si="5"/>
        <v>2878.699313</v>
      </c>
      <c r="J79" s="63"/>
      <c r="K79" s="63"/>
      <c r="L79" s="64"/>
      <c r="M79" s="57">
        <v>1136.0</v>
      </c>
      <c r="N79" s="51">
        <f t="shared" si="6"/>
        <v>243.8447856</v>
      </c>
    </row>
    <row r="80">
      <c r="A80" s="50">
        <v>21001.0</v>
      </c>
      <c r="B80" s="50" t="s">
        <v>137</v>
      </c>
      <c r="C80" s="51">
        <v>18349.0</v>
      </c>
      <c r="D80" s="52">
        <v>0.0</v>
      </c>
      <c r="E80" s="53">
        <v>16.7</v>
      </c>
      <c r="F80" s="54">
        <f t="shared" si="2"/>
        <v>18.8</v>
      </c>
      <c r="G80" s="54">
        <f t="shared" si="18"/>
        <v>1.285341916</v>
      </c>
      <c r="H80" s="55">
        <f t="shared" si="4"/>
        <v>21.46521</v>
      </c>
      <c r="I80" s="56">
        <f t="shared" si="5"/>
        <v>3938.651383</v>
      </c>
      <c r="J80" s="63"/>
      <c r="K80" s="63"/>
      <c r="L80" s="64"/>
      <c r="M80" s="57">
        <v>1602.0</v>
      </c>
      <c r="N80" s="51">
        <f t="shared" si="6"/>
        <v>343.8726642</v>
      </c>
    </row>
    <row r="81">
      <c r="A81" s="50">
        <v>21002.0</v>
      </c>
      <c r="B81" s="50" t="s">
        <v>138</v>
      </c>
      <c r="C81" s="51">
        <v>10669.0</v>
      </c>
      <c r="D81" s="52">
        <v>40.8</v>
      </c>
      <c r="E81" s="53">
        <v>16.7</v>
      </c>
      <c r="F81" s="54">
        <f t="shared" si="2"/>
        <v>16.1888</v>
      </c>
      <c r="G81" s="54">
        <f t="shared" si="18"/>
        <v>1.106816128</v>
      </c>
      <c r="H81" s="55">
        <f t="shared" si="4"/>
        <v>18.48382934</v>
      </c>
      <c r="I81" s="56">
        <f t="shared" si="5"/>
        <v>1972.039753</v>
      </c>
      <c r="J81" s="63"/>
      <c r="K81" s="63"/>
      <c r="L81" s="64"/>
      <c r="M81" s="57">
        <v>880.0</v>
      </c>
      <c r="N81" s="51">
        <f t="shared" si="6"/>
        <v>162.6576982</v>
      </c>
    </row>
    <row r="82">
      <c r="A82" s="50">
        <v>21003.0</v>
      </c>
      <c r="B82" s="50" t="s">
        <v>139</v>
      </c>
      <c r="C82" s="51">
        <v>15139.0</v>
      </c>
      <c r="D82" s="52">
        <v>12.5</v>
      </c>
      <c r="E82" s="53">
        <v>16.7</v>
      </c>
      <c r="F82" s="54">
        <f t="shared" si="2"/>
        <v>18</v>
      </c>
      <c r="G82" s="54">
        <f t="shared" si="18"/>
        <v>1.230646515</v>
      </c>
      <c r="H82" s="55">
        <f t="shared" si="4"/>
        <v>20.55179681</v>
      </c>
      <c r="I82" s="56">
        <f t="shared" si="5"/>
        <v>3111.336519</v>
      </c>
      <c r="J82" s="63"/>
      <c r="K82" s="63"/>
      <c r="L82" s="64"/>
      <c r="M82" s="57">
        <v>1426.0</v>
      </c>
      <c r="N82" s="51">
        <f t="shared" si="6"/>
        <v>293.0686225</v>
      </c>
    </row>
    <row r="83">
      <c r="A83" s="50">
        <v>21004.0</v>
      </c>
      <c r="B83" s="50" t="s">
        <v>140</v>
      </c>
      <c r="C83" s="51">
        <v>23181.0</v>
      </c>
      <c r="D83" s="52">
        <v>28.3</v>
      </c>
      <c r="E83" s="53">
        <v>16.7</v>
      </c>
      <c r="F83" s="54">
        <f t="shared" si="2"/>
        <v>16.9888</v>
      </c>
      <c r="G83" s="54">
        <f t="shared" si="18"/>
        <v>1.161511529</v>
      </c>
      <c r="H83" s="55">
        <f t="shared" si="4"/>
        <v>19.39724253</v>
      </c>
      <c r="I83" s="56">
        <f t="shared" si="5"/>
        <v>4496.474792</v>
      </c>
      <c r="J83" s="63"/>
      <c r="K83" s="63"/>
      <c r="L83" s="64"/>
      <c r="M83" s="57">
        <v>1989.0</v>
      </c>
      <c r="N83" s="51">
        <f t="shared" si="6"/>
        <v>385.811154</v>
      </c>
    </row>
    <row r="84">
      <c r="A84" s="50">
        <v>21005.0</v>
      </c>
      <c r="B84" s="50" t="s">
        <v>141</v>
      </c>
      <c r="C84" s="51">
        <v>9415.0</v>
      </c>
      <c r="D84" s="52">
        <v>19.9</v>
      </c>
      <c r="E84" s="53">
        <v>16.7</v>
      </c>
      <c r="F84" s="54">
        <f t="shared" si="2"/>
        <v>17.5264</v>
      </c>
      <c r="G84" s="54">
        <f t="shared" si="18"/>
        <v>1.198266838</v>
      </c>
      <c r="H84" s="55">
        <f t="shared" si="4"/>
        <v>20.0110562</v>
      </c>
      <c r="I84" s="56">
        <f t="shared" si="5"/>
        <v>1884.040941</v>
      </c>
      <c r="J84" s="63"/>
      <c r="K84" s="63"/>
      <c r="L84" s="64"/>
      <c r="M84" s="57">
        <v>749.0</v>
      </c>
      <c r="N84" s="51">
        <f t="shared" si="6"/>
        <v>149.8828109</v>
      </c>
    </row>
    <row r="85">
      <c r="A85" s="50">
        <v>21006.0</v>
      </c>
      <c r="B85" s="50" t="s">
        <v>142</v>
      </c>
      <c r="C85" s="51">
        <v>7678.0</v>
      </c>
      <c r="D85" s="52">
        <v>44.6</v>
      </c>
      <c r="E85" s="53">
        <v>16.7</v>
      </c>
      <c r="F85" s="54">
        <f t="shared" si="2"/>
        <v>15.9456</v>
      </c>
      <c r="G85" s="54">
        <f t="shared" si="18"/>
        <v>1.090188726</v>
      </c>
      <c r="H85" s="55">
        <f t="shared" si="4"/>
        <v>18.20615173</v>
      </c>
      <c r="I85" s="56">
        <f t="shared" si="5"/>
        <v>1397.86833</v>
      </c>
      <c r="J85" s="63"/>
      <c r="K85" s="63"/>
      <c r="L85" s="64"/>
      <c r="M85" s="57">
        <v>821.0</v>
      </c>
      <c r="N85" s="51">
        <f t="shared" si="6"/>
        <v>149.4725057</v>
      </c>
    </row>
    <row r="86">
      <c r="A86" s="50">
        <v>21101.0</v>
      </c>
      <c r="B86" s="50" t="s">
        <v>143</v>
      </c>
      <c r="C86" s="51">
        <v>18263.0</v>
      </c>
      <c r="D86" s="52">
        <v>14.0</v>
      </c>
      <c r="E86" s="53">
        <v>16.7</v>
      </c>
      <c r="F86" s="54">
        <f t="shared" si="2"/>
        <v>17.904</v>
      </c>
      <c r="G86" s="54">
        <f t="shared" si="18"/>
        <v>1.224083067</v>
      </c>
      <c r="H86" s="55">
        <f t="shared" si="4"/>
        <v>20.44218722</v>
      </c>
      <c r="I86" s="56">
        <f t="shared" si="5"/>
        <v>3733.356653</v>
      </c>
      <c r="J86" s="63"/>
      <c r="K86" s="63"/>
      <c r="L86" s="64"/>
      <c r="M86" s="57">
        <v>1350.0</v>
      </c>
      <c r="N86" s="51">
        <f t="shared" si="6"/>
        <v>275.9695275</v>
      </c>
    </row>
    <row r="87">
      <c r="A87" s="50">
        <v>21102.0</v>
      </c>
      <c r="B87" s="50" t="s">
        <v>144</v>
      </c>
      <c r="C87" s="51">
        <v>22779.0</v>
      </c>
      <c r="D87" s="52">
        <v>10.8</v>
      </c>
      <c r="E87" s="53">
        <v>16.7</v>
      </c>
      <c r="F87" s="54">
        <f t="shared" si="2"/>
        <v>18.1088</v>
      </c>
      <c r="G87" s="54">
        <f t="shared" si="18"/>
        <v>1.23808509</v>
      </c>
      <c r="H87" s="55">
        <f t="shared" si="4"/>
        <v>20.676021</v>
      </c>
      <c r="I87" s="56">
        <f t="shared" si="5"/>
        <v>4709.790824</v>
      </c>
      <c r="J87" s="63"/>
      <c r="K87" s="63"/>
      <c r="L87" s="64"/>
      <c r="M87" s="57">
        <v>1629.0</v>
      </c>
      <c r="N87" s="51">
        <f t="shared" si="6"/>
        <v>336.8123821</v>
      </c>
    </row>
    <row r="88">
      <c r="A88" s="50">
        <v>21103.0</v>
      </c>
      <c r="B88" s="50" t="s">
        <v>145</v>
      </c>
      <c r="C88" s="51">
        <v>7515.0</v>
      </c>
      <c r="D88" s="52">
        <v>0.0</v>
      </c>
      <c r="E88" s="53">
        <v>16.7</v>
      </c>
      <c r="F88" s="54">
        <f t="shared" si="2"/>
        <v>18.8</v>
      </c>
      <c r="G88" s="54">
        <f t="shared" si="18"/>
        <v>1.285341916</v>
      </c>
      <c r="H88" s="55">
        <f t="shared" si="4"/>
        <v>21.46521</v>
      </c>
      <c r="I88" s="56">
        <f t="shared" si="5"/>
        <v>1613.110531</v>
      </c>
      <c r="J88" s="63"/>
      <c r="K88" s="63"/>
      <c r="L88" s="64"/>
      <c r="M88" s="57">
        <v>506.0</v>
      </c>
      <c r="N88" s="51">
        <f t="shared" si="6"/>
        <v>108.6139626</v>
      </c>
    </row>
    <row r="89">
      <c r="A89" s="50">
        <v>21104.0</v>
      </c>
      <c r="B89" s="50" t="s">
        <v>146</v>
      </c>
      <c r="C89" s="51">
        <v>26937.0</v>
      </c>
      <c r="D89" s="52">
        <v>27.6</v>
      </c>
      <c r="E89" s="53">
        <v>16.7</v>
      </c>
      <c r="F89" s="54">
        <f t="shared" si="2"/>
        <v>17.0336</v>
      </c>
      <c r="G89" s="54">
        <f t="shared" si="18"/>
        <v>1.164574471</v>
      </c>
      <c r="H89" s="55">
        <f t="shared" si="4"/>
        <v>19.44839367</v>
      </c>
      <c r="I89" s="56">
        <f t="shared" si="5"/>
        <v>5238.813803</v>
      </c>
      <c r="J89" s="63"/>
      <c r="K89" s="63"/>
      <c r="L89" s="64"/>
      <c r="M89" s="57">
        <v>2372.0</v>
      </c>
      <c r="N89" s="51">
        <f t="shared" si="6"/>
        <v>461.3158979</v>
      </c>
    </row>
    <row r="90">
      <c r="A90" s="50">
        <v>21105.0</v>
      </c>
      <c r="B90" s="50" t="s">
        <v>147</v>
      </c>
      <c r="C90" s="51">
        <v>45136.0</v>
      </c>
      <c r="D90" s="52">
        <v>6.3</v>
      </c>
      <c r="E90" s="53">
        <v>16.7</v>
      </c>
      <c r="F90" s="54">
        <f t="shared" si="2"/>
        <v>18.3968</v>
      </c>
      <c r="G90" s="54">
        <f t="shared" si="18"/>
        <v>1.257775434</v>
      </c>
      <c r="H90" s="55">
        <f t="shared" si="4"/>
        <v>21.00484975</v>
      </c>
      <c r="I90" s="56">
        <f t="shared" si="5"/>
        <v>9480.748983</v>
      </c>
      <c r="J90" s="63"/>
      <c r="K90" s="63"/>
      <c r="L90" s="64"/>
      <c r="M90" s="57">
        <v>4310.0</v>
      </c>
      <c r="N90" s="51">
        <f t="shared" si="6"/>
        <v>905.3090242</v>
      </c>
    </row>
    <row r="91">
      <c r="A91" s="50">
        <v>21201.0</v>
      </c>
      <c r="B91" s="50" t="s">
        <v>148</v>
      </c>
      <c r="C91" s="51">
        <v>48206.0</v>
      </c>
      <c r="D91" s="52">
        <v>29.2</v>
      </c>
      <c r="E91" s="53">
        <v>16.7</v>
      </c>
      <c r="F91" s="54">
        <f t="shared" si="2"/>
        <v>16.9312</v>
      </c>
      <c r="G91" s="54">
        <f t="shared" si="18"/>
        <v>1.15757346</v>
      </c>
      <c r="H91" s="55">
        <f t="shared" si="4"/>
        <v>19.33147678</v>
      </c>
      <c r="I91" s="56">
        <f t="shared" si="5"/>
        <v>9318.931698</v>
      </c>
      <c r="J91" s="63"/>
      <c r="K91" s="63"/>
      <c r="L91" s="64"/>
      <c r="M91" s="57">
        <v>3591.0</v>
      </c>
      <c r="N91" s="51">
        <f t="shared" si="6"/>
        <v>694.1933313</v>
      </c>
    </row>
    <row r="92">
      <c r="A92" s="50">
        <v>21202.0</v>
      </c>
      <c r="B92" s="50" t="s">
        <v>149</v>
      </c>
      <c r="C92" s="51">
        <v>37475.0</v>
      </c>
      <c r="D92" s="52">
        <v>25.9</v>
      </c>
      <c r="E92" s="53">
        <v>16.7</v>
      </c>
      <c r="F92" s="54">
        <f t="shared" si="2"/>
        <v>17.1424</v>
      </c>
      <c r="G92" s="54">
        <f t="shared" si="18"/>
        <v>1.172013046</v>
      </c>
      <c r="H92" s="55">
        <f t="shared" si="4"/>
        <v>19.57261787</v>
      </c>
      <c r="I92" s="56">
        <f t="shared" si="5"/>
        <v>7334.838545</v>
      </c>
      <c r="J92" s="63"/>
      <c r="K92" s="63"/>
      <c r="L92" s="64"/>
      <c r="M92" s="57">
        <v>2855.0</v>
      </c>
      <c r="N92" s="51">
        <f t="shared" si="6"/>
        <v>558.7982401</v>
      </c>
    </row>
    <row r="93">
      <c r="A93" s="50">
        <v>21203.0</v>
      </c>
      <c r="B93" s="50" t="s">
        <v>150</v>
      </c>
      <c r="C93" s="51">
        <v>20342.0</v>
      </c>
      <c r="D93" s="52">
        <v>13.9</v>
      </c>
      <c r="E93" s="53">
        <v>16.7</v>
      </c>
      <c r="F93" s="54">
        <f t="shared" si="2"/>
        <v>17.9104</v>
      </c>
      <c r="G93" s="54">
        <f t="shared" si="18"/>
        <v>1.224520631</v>
      </c>
      <c r="H93" s="55">
        <f t="shared" si="4"/>
        <v>20.44949453</v>
      </c>
      <c r="I93" s="56">
        <f t="shared" si="5"/>
        <v>4159.836177</v>
      </c>
      <c r="J93" s="63"/>
      <c r="K93" s="63"/>
      <c r="L93" s="64"/>
      <c r="M93" s="57">
        <v>1411.0</v>
      </c>
      <c r="N93" s="51">
        <f t="shared" si="6"/>
        <v>288.5423678</v>
      </c>
    </row>
    <row r="94">
      <c r="A94" s="50">
        <v>21204.0</v>
      </c>
      <c r="B94" s="50" t="s">
        <v>151</v>
      </c>
      <c r="C94" s="51">
        <v>7783.0</v>
      </c>
      <c r="D94" s="52">
        <v>0.0</v>
      </c>
      <c r="E94" s="53">
        <v>16.7</v>
      </c>
      <c r="F94" s="54">
        <f t="shared" si="2"/>
        <v>18.8</v>
      </c>
      <c r="G94" s="54">
        <f t="shared" si="18"/>
        <v>1.285341916</v>
      </c>
      <c r="H94" s="55">
        <f t="shared" si="4"/>
        <v>21.46521</v>
      </c>
      <c r="I94" s="56">
        <f t="shared" si="5"/>
        <v>1670.637294</v>
      </c>
      <c r="J94" s="63"/>
      <c r="K94" s="63"/>
      <c r="L94" s="64"/>
      <c r="M94" s="57">
        <v>463.0</v>
      </c>
      <c r="N94" s="51">
        <f t="shared" si="6"/>
        <v>99.3839223</v>
      </c>
    </row>
    <row r="95">
      <c r="A95" s="50">
        <v>21301.0</v>
      </c>
      <c r="B95" s="50" t="s">
        <v>152</v>
      </c>
      <c r="C95" s="51">
        <v>33671.0</v>
      </c>
      <c r="D95" s="52">
        <v>29.1</v>
      </c>
      <c r="E95" s="53">
        <v>16.7</v>
      </c>
      <c r="F95" s="54">
        <f t="shared" si="2"/>
        <v>16.9376</v>
      </c>
      <c r="G95" s="54">
        <f t="shared" si="18"/>
        <v>1.158011023</v>
      </c>
      <c r="H95" s="55">
        <f t="shared" si="4"/>
        <v>19.33878409</v>
      </c>
      <c r="I95" s="56">
        <f t="shared" si="5"/>
        <v>6511.561991</v>
      </c>
      <c r="J95" s="63"/>
      <c r="K95" s="63"/>
      <c r="L95" s="64"/>
      <c r="M95" s="57">
        <v>2673.0</v>
      </c>
      <c r="N95" s="51">
        <f t="shared" si="6"/>
        <v>516.9256987</v>
      </c>
    </row>
    <row r="96">
      <c r="A96" s="50">
        <v>21302.0</v>
      </c>
      <c r="B96" s="50" t="s">
        <v>153</v>
      </c>
      <c r="C96" s="51">
        <v>9085.0</v>
      </c>
      <c r="D96" s="52">
        <v>0.0</v>
      </c>
      <c r="E96" s="53">
        <v>16.7</v>
      </c>
      <c r="F96" s="54">
        <f t="shared" si="2"/>
        <v>18.8</v>
      </c>
      <c r="G96" s="54">
        <f t="shared" si="18"/>
        <v>1.285341916</v>
      </c>
      <c r="H96" s="55">
        <f t="shared" si="4"/>
        <v>21.46521</v>
      </c>
      <c r="I96" s="56">
        <f t="shared" si="5"/>
        <v>1950.114328</v>
      </c>
      <c r="J96" s="63"/>
      <c r="K96" s="63"/>
      <c r="L96" s="64"/>
      <c r="M96" s="57">
        <v>549.0</v>
      </c>
      <c r="N96" s="51">
        <f t="shared" si="6"/>
        <v>117.8440029</v>
      </c>
    </row>
    <row r="97">
      <c r="A97" s="50">
        <v>21303.0</v>
      </c>
      <c r="B97" s="50" t="s">
        <v>154</v>
      </c>
      <c r="C97" s="51">
        <v>10970.0</v>
      </c>
      <c r="D97" s="52">
        <v>0.0</v>
      </c>
      <c r="E97" s="53">
        <v>16.7</v>
      </c>
      <c r="F97" s="54">
        <f t="shared" si="2"/>
        <v>18.8</v>
      </c>
      <c r="G97" s="54">
        <f t="shared" si="18"/>
        <v>1.285341916</v>
      </c>
      <c r="H97" s="55">
        <f t="shared" si="4"/>
        <v>21.46521</v>
      </c>
      <c r="I97" s="56">
        <f t="shared" si="5"/>
        <v>2354.733537</v>
      </c>
      <c r="J97" s="63"/>
      <c r="K97" s="63"/>
      <c r="L97" s="64"/>
      <c r="M97" s="57">
        <v>778.0</v>
      </c>
      <c r="N97" s="51">
        <f t="shared" si="6"/>
        <v>166.9993338</v>
      </c>
    </row>
    <row r="98">
      <c r="A98" s="50">
        <v>21304.0</v>
      </c>
      <c r="B98" s="50" t="s">
        <v>155</v>
      </c>
      <c r="C98" s="51">
        <v>15084.0</v>
      </c>
      <c r="D98" s="52">
        <v>0.0</v>
      </c>
      <c r="E98" s="53">
        <v>16.7</v>
      </c>
      <c r="F98" s="54">
        <f t="shared" si="2"/>
        <v>18.8</v>
      </c>
      <c r="G98" s="54">
        <f t="shared" si="18"/>
        <v>1.285341916</v>
      </c>
      <c r="H98" s="55">
        <f t="shared" si="4"/>
        <v>21.46521</v>
      </c>
      <c r="I98" s="56">
        <f t="shared" si="5"/>
        <v>3237.812276</v>
      </c>
      <c r="J98" s="63"/>
      <c r="K98" s="63"/>
      <c r="L98" s="64"/>
      <c r="M98" s="57">
        <v>1125.0</v>
      </c>
      <c r="N98" s="51">
        <f t="shared" si="6"/>
        <v>241.4836125</v>
      </c>
    </row>
    <row r="99">
      <c r="A99" s="50">
        <v>21305.0</v>
      </c>
      <c r="B99" s="50" t="s">
        <v>156</v>
      </c>
      <c r="C99" s="51">
        <v>24957.0</v>
      </c>
      <c r="D99" s="52">
        <v>53.1</v>
      </c>
      <c r="E99" s="53">
        <v>16.7</v>
      </c>
      <c r="F99" s="54">
        <f t="shared" si="2"/>
        <v>15.4016</v>
      </c>
      <c r="G99" s="54">
        <f t="shared" si="18"/>
        <v>1.052995854</v>
      </c>
      <c r="H99" s="55">
        <f t="shared" si="4"/>
        <v>17.58503076</v>
      </c>
      <c r="I99" s="56">
        <f t="shared" si="5"/>
        <v>4388.696127</v>
      </c>
      <c r="J99" s="63"/>
      <c r="K99" s="63"/>
      <c r="L99" s="64"/>
      <c r="M99" s="57">
        <v>1974.0</v>
      </c>
      <c r="N99" s="51">
        <f t="shared" si="6"/>
        <v>347.1285072</v>
      </c>
    </row>
    <row r="100">
      <c r="A100" s="50">
        <v>21306.0</v>
      </c>
      <c r="B100" s="50" t="s">
        <v>157</v>
      </c>
      <c r="C100" s="51">
        <v>12272.0</v>
      </c>
      <c r="D100" s="52">
        <v>57.4</v>
      </c>
      <c r="E100" s="53">
        <v>16.7</v>
      </c>
      <c r="F100" s="54">
        <f t="shared" si="2"/>
        <v>15.1264</v>
      </c>
      <c r="G100" s="54">
        <f t="shared" si="18"/>
        <v>1.034180636</v>
      </c>
      <c r="H100" s="55">
        <f t="shared" si="4"/>
        <v>17.27081662</v>
      </c>
      <c r="I100" s="56">
        <f t="shared" si="5"/>
        <v>2119.474616</v>
      </c>
      <c r="J100" s="63"/>
      <c r="K100" s="63"/>
      <c r="L100" s="64"/>
      <c r="M100" s="57">
        <v>1126.0</v>
      </c>
      <c r="N100" s="51">
        <f t="shared" si="6"/>
        <v>194.4693952</v>
      </c>
    </row>
    <row r="101">
      <c r="A101" s="50">
        <v>21307.0</v>
      </c>
      <c r="B101" s="50" t="s">
        <v>158</v>
      </c>
      <c r="C101" s="51">
        <v>5486.0</v>
      </c>
      <c r="D101" s="52">
        <v>66.1</v>
      </c>
      <c r="E101" s="53">
        <v>16.7</v>
      </c>
      <c r="F101" s="54">
        <f t="shared" si="2"/>
        <v>14.5696</v>
      </c>
      <c r="G101" s="54">
        <f t="shared" si="18"/>
        <v>0.9961126373</v>
      </c>
      <c r="H101" s="55">
        <f t="shared" si="4"/>
        <v>16.63508104</v>
      </c>
      <c r="I101" s="56">
        <f t="shared" si="5"/>
        <v>912.600546</v>
      </c>
      <c r="J101" s="63"/>
      <c r="K101" s="63"/>
      <c r="L101" s="64"/>
      <c r="M101" s="57">
        <v>416.0</v>
      </c>
      <c r="N101" s="51">
        <f t="shared" si="6"/>
        <v>69.20193714</v>
      </c>
    </row>
    <row r="102">
      <c r="A102" s="50">
        <v>21401.0</v>
      </c>
      <c r="B102" s="50" t="s">
        <v>159</v>
      </c>
      <c r="C102" s="51">
        <v>27018.0</v>
      </c>
      <c r="D102" s="52">
        <v>10.1</v>
      </c>
      <c r="E102" s="53">
        <v>16.7</v>
      </c>
      <c r="F102" s="54">
        <f t="shared" si="2"/>
        <v>18.1536</v>
      </c>
      <c r="G102" s="54">
        <f t="shared" si="18"/>
        <v>1.241148032</v>
      </c>
      <c r="H102" s="55">
        <f t="shared" si="4"/>
        <v>20.72717214</v>
      </c>
      <c r="I102" s="56">
        <f t="shared" si="5"/>
        <v>5600.067369</v>
      </c>
      <c r="J102" s="63"/>
      <c r="K102" s="63"/>
      <c r="L102" s="64"/>
      <c r="M102" s="57">
        <v>1887.0</v>
      </c>
      <c r="N102" s="51">
        <f t="shared" si="6"/>
        <v>391.1217383</v>
      </c>
    </row>
    <row r="103">
      <c r="A103" s="50">
        <v>21402.0</v>
      </c>
      <c r="B103" s="50" t="s">
        <v>160</v>
      </c>
      <c r="C103" s="51">
        <v>22980.0</v>
      </c>
      <c r="D103" s="52">
        <v>12.0</v>
      </c>
      <c r="E103" s="53">
        <v>16.7</v>
      </c>
      <c r="F103" s="54">
        <f t="shared" si="2"/>
        <v>18.032</v>
      </c>
      <c r="G103" s="54">
        <f t="shared" si="18"/>
        <v>1.232834331</v>
      </c>
      <c r="H103" s="55">
        <f t="shared" si="4"/>
        <v>20.58833334</v>
      </c>
      <c r="I103" s="56">
        <f t="shared" si="5"/>
        <v>4731.199</v>
      </c>
      <c r="J103" s="63"/>
      <c r="K103" s="63"/>
      <c r="L103" s="64"/>
      <c r="M103" s="57">
        <v>1691.0</v>
      </c>
      <c r="N103" s="51">
        <f t="shared" si="6"/>
        <v>348.1487167</v>
      </c>
    </row>
    <row r="104">
      <c r="A104" s="50">
        <v>21501.0</v>
      </c>
      <c r="B104" s="50" t="s">
        <v>161</v>
      </c>
      <c r="C104" s="51">
        <v>12326.0</v>
      </c>
      <c r="D104" s="52">
        <v>38.4</v>
      </c>
      <c r="E104" s="53">
        <v>16.7</v>
      </c>
      <c r="F104" s="54">
        <f t="shared" si="2"/>
        <v>16.3424</v>
      </c>
      <c r="G104" s="54">
        <f t="shared" si="18"/>
        <v>1.117317645</v>
      </c>
      <c r="H104" s="55">
        <f t="shared" si="4"/>
        <v>18.65920467</v>
      </c>
      <c r="I104" s="56">
        <f t="shared" si="5"/>
        <v>2299.933568</v>
      </c>
      <c r="J104" s="63"/>
      <c r="K104" s="63"/>
      <c r="L104" s="64"/>
      <c r="M104" s="57">
        <v>1263.0</v>
      </c>
      <c r="N104" s="51">
        <f t="shared" si="6"/>
        <v>235.665755</v>
      </c>
    </row>
    <row r="105">
      <c r="A105" s="50">
        <v>21502.0</v>
      </c>
      <c r="B105" s="50" t="s">
        <v>162</v>
      </c>
      <c r="C105" s="51">
        <v>9989.0</v>
      </c>
      <c r="D105" s="52">
        <v>43.5</v>
      </c>
      <c r="E105" s="53">
        <v>16.7</v>
      </c>
      <c r="F105" s="54">
        <f t="shared" si="2"/>
        <v>16.016</v>
      </c>
      <c r="G105" s="54">
        <f t="shared" si="18"/>
        <v>1.095001922</v>
      </c>
      <c r="H105" s="55">
        <f t="shared" si="4"/>
        <v>18.28653209</v>
      </c>
      <c r="I105" s="56">
        <f t="shared" si="5"/>
        <v>1826.641691</v>
      </c>
      <c r="J105" s="63"/>
      <c r="K105" s="63"/>
      <c r="L105" s="64"/>
      <c r="M105" s="57">
        <v>1029.0</v>
      </c>
      <c r="N105" s="51">
        <f t="shared" si="6"/>
        <v>188.1684152</v>
      </c>
    </row>
    <row r="106">
      <c r="A106" s="50">
        <v>21601.0</v>
      </c>
      <c r="B106" s="50" t="s">
        <v>163</v>
      </c>
      <c r="C106" s="51">
        <v>15535.0</v>
      </c>
      <c r="D106" s="52">
        <v>18.2</v>
      </c>
      <c r="E106" s="53">
        <v>16.7</v>
      </c>
      <c r="F106" s="54">
        <f t="shared" si="2"/>
        <v>17.6352</v>
      </c>
      <c r="G106" s="54">
        <f t="shared" si="18"/>
        <v>1.205705413</v>
      </c>
      <c r="H106" s="55">
        <f t="shared" si="4"/>
        <v>20.13528039</v>
      </c>
      <c r="I106" s="56">
        <f t="shared" si="5"/>
        <v>3128.015809</v>
      </c>
      <c r="J106" s="63"/>
      <c r="K106" s="63"/>
      <c r="L106" s="64"/>
      <c r="M106" s="57">
        <v>1565.0</v>
      </c>
      <c r="N106" s="51">
        <f t="shared" si="6"/>
        <v>315.1171381</v>
      </c>
    </row>
    <row r="107">
      <c r="A107" s="50">
        <v>21602.0</v>
      </c>
      <c r="B107" s="50" t="s">
        <v>164</v>
      </c>
      <c r="C107" s="51">
        <v>6334.0</v>
      </c>
      <c r="D107" s="52">
        <v>0.0</v>
      </c>
      <c r="E107" s="53">
        <v>16.7</v>
      </c>
      <c r="F107" s="54">
        <f t="shared" si="2"/>
        <v>18.8</v>
      </c>
      <c r="G107" s="54">
        <f t="shared" si="18"/>
        <v>1.285341916</v>
      </c>
      <c r="H107" s="55">
        <f t="shared" si="4"/>
        <v>21.46521</v>
      </c>
      <c r="I107" s="56">
        <f t="shared" si="5"/>
        <v>1359.606401</v>
      </c>
      <c r="J107" s="63"/>
      <c r="K107" s="63"/>
      <c r="L107" s="64"/>
      <c r="M107" s="57">
        <v>728.0</v>
      </c>
      <c r="N107" s="51">
        <f t="shared" si="6"/>
        <v>156.2667288</v>
      </c>
    </row>
    <row r="108">
      <c r="A108" s="50">
        <v>21701.0</v>
      </c>
      <c r="B108" s="50" t="s">
        <v>165</v>
      </c>
      <c r="C108" s="51">
        <v>17252.0</v>
      </c>
      <c r="D108" s="52">
        <v>35.1</v>
      </c>
      <c r="E108" s="53">
        <v>16.7</v>
      </c>
      <c r="F108" s="54">
        <f t="shared" si="2"/>
        <v>16.5536</v>
      </c>
      <c r="G108" s="54">
        <f t="shared" si="18"/>
        <v>1.131757231</v>
      </c>
      <c r="H108" s="55">
        <f t="shared" si="4"/>
        <v>18.90034576</v>
      </c>
      <c r="I108" s="56">
        <f t="shared" si="5"/>
        <v>3260.68765</v>
      </c>
      <c r="J108" s="63"/>
      <c r="K108" s="63"/>
      <c r="L108" s="64"/>
      <c r="M108" s="57">
        <v>984.0</v>
      </c>
      <c r="N108" s="51">
        <f t="shared" si="6"/>
        <v>185.9794023</v>
      </c>
    </row>
    <row r="109">
      <c r="A109" s="50">
        <v>21702.0</v>
      </c>
      <c r="B109" s="50" t="s">
        <v>166</v>
      </c>
      <c r="C109" s="51">
        <v>8905.0</v>
      </c>
      <c r="D109" s="52">
        <v>0.0</v>
      </c>
      <c r="E109" s="53">
        <v>16.7</v>
      </c>
      <c r="F109" s="54">
        <f t="shared" si="2"/>
        <v>18.8</v>
      </c>
      <c r="G109" s="54">
        <f t="shared" si="18"/>
        <v>1.285341916</v>
      </c>
      <c r="H109" s="55">
        <f t="shared" si="4"/>
        <v>21.46521</v>
      </c>
      <c r="I109" s="56">
        <f t="shared" si="5"/>
        <v>1911.47695</v>
      </c>
      <c r="J109" s="63"/>
      <c r="K109" s="63"/>
      <c r="L109" s="64"/>
      <c r="M109" s="57">
        <v>431.0</v>
      </c>
      <c r="N109" s="51">
        <f t="shared" si="6"/>
        <v>92.5150551</v>
      </c>
    </row>
    <row r="110">
      <c r="A110" s="50">
        <v>21703.0</v>
      </c>
      <c r="B110" s="50" t="s">
        <v>167</v>
      </c>
      <c r="C110" s="51">
        <v>7420.0</v>
      </c>
      <c r="D110" s="52">
        <v>48.9</v>
      </c>
      <c r="E110" s="53">
        <v>16.7</v>
      </c>
      <c r="F110" s="54">
        <f t="shared" si="2"/>
        <v>15.6704</v>
      </c>
      <c r="G110" s="54">
        <f t="shared" si="18"/>
        <v>1.071373509</v>
      </c>
      <c r="H110" s="55">
        <f t="shared" si="4"/>
        <v>17.89193759</v>
      </c>
      <c r="I110" s="56">
        <f t="shared" si="5"/>
        <v>1327.581769</v>
      </c>
      <c r="J110" s="63"/>
      <c r="K110" s="63"/>
      <c r="L110" s="64"/>
      <c r="M110" s="57">
        <v>307.0</v>
      </c>
      <c r="N110" s="51">
        <f t="shared" si="6"/>
        <v>54.92824841</v>
      </c>
    </row>
    <row r="111">
      <c r="A111" s="50">
        <v>21801.0</v>
      </c>
      <c r="B111" s="50" t="s">
        <v>168</v>
      </c>
      <c r="C111" s="51">
        <v>9187.0</v>
      </c>
      <c r="D111" s="52">
        <v>0.0</v>
      </c>
      <c r="E111" s="53">
        <v>16.7</v>
      </c>
      <c r="F111" s="54">
        <f t="shared" si="2"/>
        <v>18.8</v>
      </c>
      <c r="G111" s="54">
        <f t="shared" si="18"/>
        <v>1.285341916</v>
      </c>
      <c r="H111" s="55">
        <f t="shared" si="4"/>
        <v>21.46521</v>
      </c>
      <c r="I111" s="56">
        <f t="shared" si="5"/>
        <v>1972.008843</v>
      </c>
      <c r="J111" s="63"/>
      <c r="K111" s="63"/>
      <c r="L111" s="64"/>
      <c r="M111" s="57">
        <v>545.0</v>
      </c>
      <c r="N111" s="51">
        <f t="shared" si="6"/>
        <v>116.9853945</v>
      </c>
    </row>
    <row r="112">
      <c r="A112" s="50">
        <v>21802.0</v>
      </c>
      <c r="B112" s="50" t="s">
        <v>169</v>
      </c>
      <c r="C112" s="51">
        <v>6679.0</v>
      </c>
      <c r="D112" s="52">
        <v>0.0</v>
      </c>
      <c r="E112" s="53">
        <v>16.7</v>
      </c>
      <c r="F112" s="54">
        <f t="shared" si="2"/>
        <v>18.8</v>
      </c>
      <c r="G112" s="54">
        <f t="shared" si="18"/>
        <v>1.285341916</v>
      </c>
      <c r="H112" s="55">
        <f t="shared" si="4"/>
        <v>21.46521</v>
      </c>
      <c r="I112" s="56">
        <f t="shared" si="5"/>
        <v>1433.661376</v>
      </c>
      <c r="J112" s="63"/>
      <c r="K112" s="63"/>
      <c r="L112" s="64"/>
      <c r="M112" s="57">
        <v>408.0</v>
      </c>
      <c r="N112" s="51">
        <f t="shared" si="6"/>
        <v>87.5780568</v>
      </c>
    </row>
    <row r="113">
      <c r="A113" s="50">
        <v>21803.0</v>
      </c>
      <c r="B113" s="50" t="s">
        <v>170</v>
      </c>
      <c r="C113" s="51">
        <v>2048.0</v>
      </c>
      <c r="D113" s="52">
        <v>0.0</v>
      </c>
      <c r="E113" s="53">
        <v>16.7</v>
      </c>
      <c r="F113" s="54">
        <f t="shared" si="2"/>
        <v>18.8</v>
      </c>
      <c r="G113" s="54">
        <f t="shared" si="18"/>
        <v>1.285341916</v>
      </c>
      <c r="H113" s="55">
        <f t="shared" si="4"/>
        <v>21.46521</v>
      </c>
      <c r="I113" s="56">
        <f t="shared" si="5"/>
        <v>439.6075008</v>
      </c>
      <c r="J113" s="63"/>
      <c r="K113" s="63"/>
      <c r="L113" s="64"/>
      <c r="M113" s="57">
        <v>145.0</v>
      </c>
      <c r="N113" s="51">
        <f t="shared" si="6"/>
        <v>31.1245545</v>
      </c>
    </row>
    <row r="114">
      <c r="A114" s="50">
        <v>21901.0</v>
      </c>
      <c r="B114" s="50" t="s">
        <v>171</v>
      </c>
      <c r="C114" s="51">
        <v>6621.0</v>
      </c>
      <c r="D114" s="52">
        <v>0.0</v>
      </c>
      <c r="E114" s="53">
        <v>16.7</v>
      </c>
      <c r="F114" s="54">
        <f t="shared" si="2"/>
        <v>18.8</v>
      </c>
      <c r="G114" s="54">
        <f t="shared" si="18"/>
        <v>1.285341916</v>
      </c>
      <c r="H114" s="55">
        <f t="shared" si="4"/>
        <v>21.46521</v>
      </c>
      <c r="I114" s="56">
        <f t="shared" si="5"/>
        <v>1421.211554</v>
      </c>
      <c r="J114" s="63"/>
      <c r="K114" s="63"/>
      <c r="L114" s="64"/>
      <c r="M114" s="57">
        <v>365.0</v>
      </c>
      <c r="N114" s="51">
        <f t="shared" si="6"/>
        <v>78.3480165</v>
      </c>
    </row>
    <row r="115">
      <c r="A115" s="50">
        <v>21902.0</v>
      </c>
      <c r="B115" s="50" t="s">
        <v>172</v>
      </c>
      <c r="C115" s="51">
        <v>5145.0</v>
      </c>
      <c r="D115" s="52">
        <v>0.0</v>
      </c>
      <c r="E115" s="53">
        <v>16.7</v>
      </c>
      <c r="F115" s="54">
        <f t="shared" si="2"/>
        <v>18.8</v>
      </c>
      <c r="G115" s="54">
        <f t="shared" si="18"/>
        <v>1.285341916</v>
      </c>
      <c r="H115" s="55">
        <f t="shared" si="4"/>
        <v>21.46521</v>
      </c>
      <c r="I115" s="56">
        <f t="shared" si="5"/>
        <v>1104.385054</v>
      </c>
      <c r="J115" s="63"/>
      <c r="K115" s="63"/>
      <c r="L115" s="64"/>
      <c r="M115" s="57">
        <v>459.0</v>
      </c>
      <c r="N115" s="51">
        <f t="shared" si="6"/>
        <v>98.5253139</v>
      </c>
    </row>
    <row r="116">
      <c r="A116" s="50">
        <v>22001.0</v>
      </c>
      <c r="B116" s="50" t="s">
        <v>173</v>
      </c>
      <c r="C116" s="51">
        <v>58897.0</v>
      </c>
      <c r="D116" s="52">
        <v>34.2</v>
      </c>
      <c r="E116" s="53">
        <v>16.7</v>
      </c>
      <c r="F116" s="54">
        <f t="shared" si="2"/>
        <v>16.6112</v>
      </c>
      <c r="G116" s="54">
        <f t="shared" si="18"/>
        <v>1.1356953</v>
      </c>
      <c r="H116" s="55">
        <f t="shared" si="4"/>
        <v>18.96611151</v>
      </c>
      <c r="I116" s="56">
        <f t="shared" si="5"/>
        <v>11170.47069</v>
      </c>
      <c r="J116" s="63"/>
      <c r="K116" s="63"/>
      <c r="L116" s="64"/>
      <c r="M116" s="57">
        <v>4981.0</v>
      </c>
      <c r="N116" s="51">
        <f t="shared" si="6"/>
        <v>944.7020142</v>
      </c>
    </row>
    <row r="117">
      <c r="A117" s="50">
        <v>22002.0</v>
      </c>
      <c r="B117" s="50" t="s">
        <v>174</v>
      </c>
      <c r="C117" s="51">
        <v>10636.0</v>
      </c>
      <c r="D117" s="52">
        <v>0.0</v>
      </c>
      <c r="E117" s="53">
        <v>16.7</v>
      </c>
      <c r="F117" s="54">
        <f t="shared" si="2"/>
        <v>18.8</v>
      </c>
      <c r="G117" s="54">
        <f t="shared" si="18"/>
        <v>1.285341916</v>
      </c>
      <c r="H117" s="55">
        <f t="shared" si="4"/>
        <v>21.46521</v>
      </c>
      <c r="I117" s="56">
        <f t="shared" si="5"/>
        <v>2283.039735</v>
      </c>
      <c r="J117" s="63"/>
      <c r="K117" s="63"/>
      <c r="L117" s="64"/>
      <c r="M117" s="57">
        <v>835.0</v>
      </c>
      <c r="N117" s="51">
        <f t="shared" si="6"/>
        <v>179.2345035</v>
      </c>
    </row>
    <row r="118">
      <c r="A118" s="50">
        <v>30101.0</v>
      </c>
      <c r="B118" s="50" t="s">
        <v>55</v>
      </c>
      <c r="C118" s="51">
        <v>662714.0</v>
      </c>
      <c r="D118" s="52">
        <v>100.0</v>
      </c>
      <c r="E118" s="53">
        <v>12.6</v>
      </c>
      <c r="F118" s="54">
        <f t="shared" si="2"/>
        <v>12.4</v>
      </c>
      <c r="G118" s="54">
        <f t="shared" ref="G118:G165" si="19">1.2*F118/F$345</f>
        <v>0.8695166263</v>
      </c>
      <c r="H118" s="55">
        <f t="shared" si="4"/>
        <v>10.95590949</v>
      </c>
      <c r="I118" s="56">
        <f t="shared" si="5"/>
        <v>72606.34602</v>
      </c>
      <c r="J118" s="57">
        <f>SUM(C118:C165)</f>
        <v>1995225</v>
      </c>
      <c r="K118" s="57">
        <f>SUM(I118:I165)</f>
        <v>252116.7807</v>
      </c>
      <c r="L118" s="58">
        <f>K118/J118</f>
        <v>0.126360075</v>
      </c>
      <c r="M118" s="57">
        <v>44213.0</v>
      </c>
      <c r="N118" s="51">
        <f t="shared" si="6"/>
        <v>4843.936263</v>
      </c>
    </row>
    <row r="119">
      <c r="A119" s="50">
        <v>30201.0</v>
      </c>
      <c r="B119" s="50" t="s">
        <v>175</v>
      </c>
      <c r="C119" s="51">
        <v>23135.0</v>
      </c>
      <c r="D119" s="52">
        <v>37.9</v>
      </c>
      <c r="E119" s="53">
        <v>12.6</v>
      </c>
      <c r="F119" s="54">
        <f t="shared" si="2"/>
        <v>16.3744</v>
      </c>
      <c r="G119" s="54">
        <f t="shared" si="19"/>
        <v>1.148210729</v>
      </c>
      <c r="H119" s="55">
        <f t="shared" si="4"/>
        <v>14.46745519</v>
      </c>
      <c r="I119" s="56">
        <f t="shared" si="5"/>
        <v>3347.045758</v>
      </c>
      <c r="J119" s="63"/>
      <c r="K119" s="63"/>
      <c r="L119" s="64"/>
      <c r="M119" s="57">
        <v>1811.0</v>
      </c>
      <c r="N119" s="51">
        <f t="shared" si="6"/>
        <v>262.0056135</v>
      </c>
    </row>
    <row r="120">
      <c r="A120" s="50">
        <v>30202.0</v>
      </c>
      <c r="B120" s="50" t="s">
        <v>176</v>
      </c>
      <c r="C120" s="51">
        <v>6507.0</v>
      </c>
      <c r="D120" s="52">
        <v>43.9</v>
      </c>
      <c r="E120" s="53">
        <v>12.6</v>
      </c>
      <c r="F120" s="54">
        <f t="shared" si="2"/>
        <v>15.9904</v>
      </c>
      <c r="G120" s="54">
        <f t="shared" si="19"/>
        <v>1.121283763</v>
      </c>
      <c r="H120" s="55">
        <f t="shared" si="4"/>
        <v>14.12817541</v>
      </c>
      <c r="I120" s="56">
        <f t="shared" si="5"/>
        <v>919.3203742</v>
      </c>
      <c r="J120" s="63"/>
      <c r="K120" s="63"/>
      <c r="L120" s="64"/>
      <c r="M120" s="57">
        <v>445.0</v>
      </c>
      <c r="N120" s="51">
        <f t="shared" si="6"/>
        <v>62.87038059</v>
      </c>
    </row>
    <row r="121">
      <c r="A121" s="50">
        <v>30203.0</v>
      </c>
      <c r="B121" s="50" t="s">
        <v>177</v>
      </c>
      <c r="C121" s="51">
        <v>6612.0</v>
      </c>
      <c r="D121" s="52">
        <v>0.0</v>
      </c>
      <c r="E121" s="53">
        <v>12.6</v>
      </c>
      <c r="F121" s="54">
        <f t="shared" si="2"/>
        <v>18.8</v>
      </c>
      <c r="G121" s="54">
        <f t="shared" si="19"/>
        <v>1.318299401</v>
      </c>
      <c r="H121" s="55">
        <f t="shared" si="4"/>
        <v>16.61057245</v>
      </c>
      <c r="I121" s="56">
        <f t="shared" si="5"/>
        <v>1098.291051</v>
      </c>
      <c r="J121" s="63"/>
      <c r="K121" s="63"/>
      <c r="L121" s="64"/>
      <c r="M121" s="57">
        <v>576.0</v>
      </c>
      <c r="N121" s="51">
        <f t="shared" si="6"/>
        <v>95.67689734</v>
      </c>
    </row>
    <row r="122">
      <c r="A122" s="50">
        <v>30301.0</v>
      </c>
      <c r="B122" s="50" t="s">
        <v>178</v>
      </c>
      <c r="C122" s="51">
        <v>21969.0</v>
      </c>
      <c r="D122" s="52">
        <v>0.0</v>
      </c>
      <c r="E122" s="53">
        <v>12.6</v>
      </c>
      <c r="F122" s="54">
        <f t="shared" si="2"/>
        <v>18.8</v>
      </c>
      <c r="G122" s="54">
        <f t="shared" si="19"/>
        <v>1.318299401</v>
      </c>
      <c r="H122" s="55">
        <f t="shared" si="4"/>
        <v>16.61057245</v>
      </c>
      <c r="I122" s="56">
        <f t="shared" si="5"/>
        <v>3649.176662</v>
      </c>
      <c r="J122" s="63"/>
      <c r="K122" s="63"/>
      <c r="L122" s="64"/>
      <c r="M122" s="57">
        <v>2001.0</v>
      </c>
      <c r="N122" s="51">
        <f t="shared" si="6"/>
        <v>332.3775548</v>
      </c>
    </row>
    <row r="123">
      <c r="A123" s="50">
        <v>30302.0</v>
      </c>
      <c r="B123" s="50" t="s">
        <v>179</v>
      </c>
      <c r="C123" s="51">
        <v>14560.0</v>
      </c>
      <c r="D123" s="52">
        <v>0.0</v>
      </c>
      <c r="E123" s="53">
        <v>12.6</v>
      </c>
      <c r="F123" s="54">
        <f t="shared" si="2"/>
        <v>18.8</v>
      </c>
      <c r="G123" s="54">
        <f t="shared" si="19"/>
        <v>1.318299401</v>
      </c>
      <c r="H123" s="55">
        <f t="shared" si="4"/>
        <v>16.61057245</v>
      </c>
      <c r="I123" s="56">
        <f t="shared" si="5"/>
        <v>2418.499349</v>
      </c>
      <c r="J123" s="63"/>
      <c r="K123" s="63"/>
      <c r="L123" s="64"/>
      <c r="M123" s="57">
        <v>1185.0</v>
      </c>
      <c r="N123" s="51">
        <f t="shared" si="6"/>
        <v>196.8352836</v>
      </c>
    </row>
    <row r="124">
      <c r="A124" s="50">
        <v>30303.0</v>
      </c>
      <c r="B124" s="50" t="s">
        <v>180</v>
      </c>
      <c r="C124" s="51">
        <v>19480.0</v>
      </c>
      <c r="D124" s="52">
        <v>0.0</v>
      </c>
      <c r="E124" s="53">
        <v>12.6</v>
      </c>
      <c r="F124" s="54">
        <f t="shared" si="2"/>
        <v>18.8</v>
      </c>
      <c r="G124" s="54">
        <f t="shared" si="19"/>
        <v>1.318299401</v>
      </c>
      <c r="H124" s="55">
        <f t="shared" si="4"/>
        <v>16.61057245</v>
      </c>
      <c r="I124" s="56">
        <f t="shared" si="5"/>
        <v>3235.739514</v>
      </c>
      <c r="J124" s="63"/>
      <c r="K124" s="63"/>
      <c r="L124" s="64"/>
      <c r="M124" s="57">
        <v>2004.0</v>
      </c>
      <c r="N124" s="51">
        <f t="shared" si="6"/>
        <v>332.875872</v>
      </c>
    </row>
    <row r="125">
      <c r="A125" s="50">
        <v>30401.0</v>
      </c>
      <c r="B125" s="50" t="s">
        <v>181</v>
      </c>
      <c r="C125" s="51">
        <v>11020.0</v>
      </c>
      <c r="D125" s="52">
        <v>40.8</v>
      </c>
      <c r="E125" s="53">
        <v>12.6</v>
      </c>
      <c r="F125" s="54">
        <f t="shared" si="2"/>
        <v>16.1888</v>
      </c>
      <c r="G125" s="54">
        <f t="shared" si="19"/>
        <v>1.135196029</v>
      </c>
      <c r="H125" s="55">
        <f t="shared" si="4"/>
        <v>14.30346997</v>
      </c>
      <c r="I125" s="56">
        <f t="shared" si="5"/>
        <v>1576.24239</v>
      </c>
      <c r="J125" s="63"/>
      <c r="K125" s="63"/>
      <c r="L125" s="64"/>
      <c r="M125" s="57">
        <v>811.0</v>
      </c>
      <c r="N125" s="51">
        <f t="shared" si="6"/>
        <v>116.0011414</v>
      </c>
    </row>
    <row r="126">
      <c r="A126" s="50">
        <v>30402.0</v>
      </c>
      <c r="B126" s="50" t="s">
        <v>182</v>
      </c>
      <c r="C126" s="51">
        <v>7323.0</v>
      </c>
      <c r="D126" s="52">
        <v>0.0</v>
      </c>
      <c r="E126" s="53">
        <v>12.6</v>
      </c>
      <c r="F126" s="54">
        <f t="shared" si="2"/>
        <v>18.8</v>
      </c>
      <c r="G126" s="54">
        <f t="shared" si="19"/>
        <v>1.318299401</v>
      </c>
      <c r="H126" s="55">
        <f t="shared" si="4"/>
        <v>16.61057245</v>
      </c>
      <c r="I126" s="56">
        <f t="shared" si="5"/>
        <v>1216.392221</v>
      </c>
      <c r="J126" s="63"/>
      <c r="K126" s="63"/>
      <c r="L126" s="64"/>
      <c r="M126" s="57">
        <v>498.0</v>
      </c>
      <c r="N126" s="51">
        <f t="shared" si="6"/>
        <v>82.72065082</v>
      </c>
    </row>
    <row r="127">
      <c r="A127" s="50">
        <v>30403.0</v>
      </c>
      <c r="B127" s="50" t="s">
        <v>183</v>
      </c>
      <c r="C127" s="51">
        <v>28381.0</v>
      </c>
      <c r="D127" s="52">
        <v>65.0</v>
      </c>
      <c r="E127" s="53">
        <v>12.6</v>
      </c>
      <c r="F127" s="54">
        <f t="shared" si="2"/>
        <v>14.64</v>
      </c>
      <c r="G127" s="54">
        <f t="shared" si="19"/>
        <v>1.026590597</v>
      </c>
      <c r="H127" s="55">
        <f t="shared" si="4"/>
        <v>12.93504153</v>
      </c>
      <c r="I127" s="56">
        <f t="shared" si="5"/>
        <v>3671.094136</v>
      </c>
      <c r="J127" s="63"/>
      <c r="K127" s="63"/>
      <c r="L127" s="64"/>
      <c r="M127" s="57">
        <v>2520.0</v>
      </c>
      <c r="N127" s="51">
        <f t="shared" si="6"/>
        <v>325.9630465</v>
      </c>
    </row>
    <row r="128">
      <c r="A128" s="50">
        <v>30404.0</v>
      </c>
      <c r="B128" s="50" t="s">
        <v>184</v>
      </c>
      <c r="C128" s="51">
        <v>4935.0</v>
      </c>
      <c r="D128" s="52">
        <v>0.0</v>
      </c>
      <c r="E128" s="53">
        <v>12.6</v>
      </c>
      <c r="F128" s="54">
        <f t="shared" si="2"/>
        <v>18.8</v>
      </c>
      <c r="G128" s="54">
        <f t="shared" si="19"/>
        <v>1.318299401</v>
      </c>
      <c r="H128" s="55">
        <f t="shared" si="4"/>
        <v>16.61057245</v>
      </c>
      <c r="I128" s="56">
        <f t="shared" si="5"/>
        <v>819.7317506</v>
      </c>
      <c r="J128" s="63"/>
      <c r="K128" s="63"/>
      <c r="L128" s="64"/>
      <c r="M128" s="57">
        <v>324.0</v>
      </c>
      <c r="N128" s="51">
        <f t="shared" si="6"/>
        <v>53.81825475</v>
      </c>
    </row>
    <row r="129">
      <c r="A129" s="50">
        <v>30501.0</v>
      </c>
      <c r="B129" s="50" t="s">
        <v>185</v>
      </c>
      <c r="C129" s="51">
        <v>11043.0</v>
      </c>
      <c r="D129" s="52">
        <v>37.9</v>
      </c>
      <c r="E129" s="53">
        <v>12.6</v>
      </c>
      <c r="F129" s="54">
        <f t="shared" si="2"/>
        <v>16.3744</v>
      </c>
      <c r="G129" s="54">
        <f t="shared" si="19"/>
        <v>1.148210729</v>
      </c>
      <c r="H129" s="55">
        <f t="shared" si="4"/>
        <v>14.46745519</v>
      </c>
      <c r="I129" s="56">
        <f t="shared" si="5"/>
        <v>1597.641077</v>
      </c>
      <c r="J129" s="63"/>
      <c r="K129" s="63"/>
      <c r="L129" s="64"/>
      <c r="M129" s="57">
        <v>740.0</v>
      </c>
      <c r="N129" s="51">
        <f t="shared" si="6"/>
        <v>107.0591684</v>
      </c>
    </row>
    <row r="130">
      <c r="A130" s="50">
        <v>30502.0</v>
      </c>
      <c r="B130" s="50" t="s">
        <v>186</v>
      </c>
      <c r="C130" s="51">
        <v>8453.0</v>
      </c>
      <c r="D130" s="52">
        <v>0.0</v>
      </c>
      <c r="E130" s="53">
        <v>12.6</v>
      </c>
      <c r="F130" s="54">
        <f t="shared" si="2"/>
        <v>18.8</v>
      </c>
      <c r="G130" s="54">
        <f t="shared" si="19"/>
        <v>1.318299401</v>
      </c>
      <c r="H130" s="55">
        <f t="shared" si="4"/>
        <v>16.61057245</v>
      </c>
      <c r="I130" s="56">
        <f t="shared" si="5"/>
        <v>1404.09169</v>
      </c>
      <c r="J130" s="63"/>
      <c r="K130" s="63"/>
      <c r="L130" s="64"/>
      <c r="M130" s="57">
        <v>566.0</v>
      </c>
      <c r="N130" s="51">
        <f t="shared" si="6"/>
        <v>94.01584009</v>
      </c>
    </row>
    <row r="131">
      <c r="A131" s="50">
        <v>30601.0</v>
      </c>
      <c r="B131" s="50" t="s">
        <v>187</v>
      </c>
      <c r="C131" s="51">
        <v>10629.0</v>
      </c>
      <c r="D131" s="52">
        <v>0.0</v>
      </c>
      <c r="E131" s="53">
        <v>12.6</v>
      </c>
      <c r="F131" s="54">
        <f t="shared" si="2"/>
        <v>18.8</v>
      </c>
      <c r="G131" s="54">
        <f t="shared" si="19"/>
        <v>1.318299401</v>
      </c>
      <c r="H131" s="55">
        <f t="shared" si="4"/>
        <v>16.61057245</v>
      </c>
      <c r="I131" s="56">
        <f t="shared" si="5"/>
        <v>1765.537746</v>
      </c>
      <c r="J131" s="63"/>
      <c r="K131" s="63"/>
      <c r="L131" s="64"/>
      <c r="M131" s="57">
        <v>1189.0</v>
      </c>
      <c r="N131" s="51">
        <f t="shared" si="6"/>
        <v>197.4997065</v>
      </c>
    </row>
    <row r="132">
      <c r="A132" s="50">
        <v>30602.0</v>
      </c>
      <c r="B132" s="50" t="s">
        <v>188</v>
      </c>
      <c r="C132" s="51">
        <v>10709.0</v>
      </c>
      <c r="D132" s="52">
        <v>0.0</v>
      </c>
      <c r="E132" s="53">
        <v>12.6</v>
      </c>
      <c r="F132" s="54">
        <f t="shared" si="2"/>
        <v>18.8</v>
      </c>
      <c r="G132" s="54">
        <f t="shared" si="19"/>
        <v>1.318299401</v>
      </c>
      <c r="H132" s="55">
        <f t="shared" si="4"/>
        <v>16.61057245</v>
      </c>
      <c r="I132" s="56">
        <f t="shared" si="5"/>
        <v>1778.826204</v>
      </c>
      <c r="J132" s="63"/>
      <c r="K132" s="63"/>
      <c r="L132" s="64"/>
      <c r="M132" s="57">
        <v>853.0</v>
      </c>
      <c r="N132" s="51">
        <f t="shared" si="6"/>
        <v>141.688183</v>
      </c>
    </row>
    <row r="133">
      <c r="A133" s="50">
        <v>30701.0</v>
      </c>
      <c r="B133" s="50" t="s">
        <v>189</v>
      </c>
      <c r="C133" s="51">
        <v>19431.0</v>
      </c>
      <c r="D133" s="52">
        <v>45.7</v>
      </c>
      <c r="E133" s="53">
        <v>12.6</v>
      </c>
      <c r="F133" s="54">
        <f t="shared" si="2"/>
        <v>15.8752</v>
      </c>
      <c r="G133" s="54">
        <f t="shared" si="19"/>
        <v>1.113205673</v>
      </c>
      <c r="H133" s="55">
        <f t="shared" si="4"/>
        <v>14.02639148</v>
      </c>
      <c r="I133" s="56">
        <f t="shared" si="5"/>
        <v>2725.468128</v>
      </c>
      <c r="J133" s="63"/>
      <c r="K133" s="63"/>
      <c r="L133" s="64"/>
      <c r="M133" s="57">
        <v>1608.0</v>
      </c>
      <c r="N133" s="51">
        <f t="shared" si="6"/>
        <v>225.544375</v>
      </c>
    </row>
    <row r="134">
      <c r="A134" s="50">
        <v>30702.0</v>
      </c>
      <c r="B134" s="50" t="s">
        <v>190</v>
      </c>
      <c r="C134" s="51">
        <v>7822.0</v>
      </c>
      <c r="D134" s="52">
        <v>0.0</v>
      </c>
      <c r="E134" s="53">
        <v>12.6</v>
      </c>
      <c r="F134" s="54">
        <f t="shared" si="2"/>
        <v>18.8</v>
      </c>
      <c r="G134" s="54">
        <f t="shared" si="19"/>
        <v>1.318299401</v>
      </c>
      <c r="H134" s="55">
        <f t="shared" si="4"/>
        <v>16.61057245</v>
      </c>
      <c r="I134" s="56">
        <f t="shared" si="5"/>
        <v>1299.278977</v>
      </c>
      <c r="J134" s="63"/>
      <c r="K134" s="63"/>
      <c r="L134" s="64"/>
      <c r="M134" s="57">
        <v>568.0</v>
      </c>
      <c r="N134" s="51">
        <f t="shared" si="6"/>
        <v>94.34805154</v>
      </c>
    </row>
    <row r="135">
      <c r="A135" s="50">
        <v>30703.0</v>
      </c>
      <c r="B135" s="50" t="s">
        <v>191</v>
      </c>
      <c r="C135" s="51">
        <v>3960.0</v>
      </c>
      <c r="D135" s="52">
        <v>0.0</v>
      </c>
      <c r="E135" s="53">
        <v>12.6</v>
      </c>
      <c r="F135" s="54">
        <f t="shared" si="2"/>
        <v>18.8</v>
      </c>
      <c r="G135" s="54">
        <f t="shared" si="19"/>
        <v>1.318299401</v>
      </c>
      <c r="H135" s="55">
        <f t="shared" si="4"/>
        <v>16.61057245</v>
      </c>
      <c r="I135" s="56">
        <f t="shared" si="5"/>
        <v>657.7786692</v>
      </c>
      <c r="J135" s="63"/>
      <c r="K135" s="63"/>
      <c r="L135" s="64"/>
      <c r="M135" s="57">
        <v>348.0</v>
      </c>
      <c r="N135" s="51">
        <f t="shared" si="6"/>
        <v>57.80479214</v>
      </c>
    </row>
    <row r="136">
      <c r="A136" s="50">
        <v>30801.0</v>
      </c>
      <c r="B136" s="50" t="s">
        <v>192</v>
      </c>
      <c r="C136" s="51">
        <v>21217.0</v>
      </c>
      <c r="D136" s="52">
        <v>52.5</v>
      </c>
      <c r="E136" s="53">
        <v>12.6</v>
      </c>
      <c r="F136" s="54">
        <f t="shared" si="2"/>
        <v>15.44</v>
      </c>
      <c r="G136" s="54">
        <f t="shared" si="19"/>
        <v>1.082688444</v>
      </c>
      <c r="H136" s="55">
        <f t="shared" si="4"/>
        <v>13.6418744</v>
      </c>
      <c r="I136" s="56">
        <f t="shared" si="5"/>
        <v>2894.396491</v>
      </c>
      <c r="J136" s="63"/>
      <c r="K136" s="63"/>
      <c r="L136" s="64"/>
      <c r="M136" s="57">
        <v>1644.0</v>
      </c>
      <c r="N136" s="51">
        <f t="shared" si="6"/>
        <v>224.2724151</v>
      </c>
    </row>
    <row r="137">
      <c r="A137" s="50">
        <v>30802.0</v>
      </c>
      <c r="B137" s="50" t="s">
        <v>193</v>
      </c>
      <c r="C137" s="51">
        <v>7355.0</v>
      </c>
      <c r="D137" s="52">
        <v>0.0</v>
      </c>
      <c r="E137" s="53">
        <v>12.6</v>
      </c>
      <c r="F137" s="54">
        <f t="shared" si="2"/>
        <v>18.8</v>
      </c>
      <c r="G137" s="54">
        <f t="shared" si="19"/>
        <v>1.318299401</v>
      </c>
      <c r="H137" s="55">
        <f t="shared" si="4"/>
        <v>16.61057245</v>
      </c>
      <c r="I137" s="56">
        <f t="shared" si="5"/>
        <v>1221.707604</v>
      </c>
      <c r="J137" s="63"/>
      <c r="K137" s="63"/>
      <c r="L137" s="64"/>
      <c r="M137" s="57">
        <v>497.0</v>
      </c>
      <c r="N137" s="51">
        <f t="shared" si="6"/>
        <v>82.5545451</v>
      </c>
    </row>
    <row r="138">
      <c r="A138" s="50">
        <v>30803.0</v>
      </c>
      <c r="B138" s="50" t="s">
        <v>194</v>
      </c>
      <c r="C138" s="51">
        <v>8425.0</v>
      </c>
      <c r="D138" s="52">
        <v>29.3</v>
      </c>
      <c r="E138" s="53">
        <v>12.6</v>
      </c>
      <c r="F138" s="54">
        <f t="shared" si="2"/>
        <v>16.9248</v>
      </c>
      <c r="G138" s="54">
        <f t="shared" si="19"/>
        <v>1.186806048</v>
      </c>
      <c r="H138" s="55">
        <f t="shared" si="4"/>
        <v>14.95375621</v>
      </c>
      <c r="I138" s="56">
        <f t="shared" si="5"/>
        <v>1259.85396</v>
      </c>
      <c r="J138" s="63"/>
      <c r="K138" s="63"/>
      <c r="L138" s="64"/>
      <c r="M138" s="57">
        <v>574.0</v>
      </c>
      <c r="N138" s="51">
        <f t="shared" si="6"/>
        <v>85.83456062</v>
      </c>
    </row>
    <row r="139">
      <c r="A139" s="50">
        <v>30901.0</v>
      </c>
      <c r="B139" s="50" t="s">
        <v>195</v>
      </c>
      <c r="C139" s="51">
        <v>164278.0</v>
      </c>
      <c r="D139" s="52">
        <v>95.4</v>
      </c>
      <c r="E139" s="53">
        <v>12.6</v>
      </c>
      <c r="F139" s="54">
        <f t="shared" si="2"/>
        <v>12.6944</v>
      </c>
      <c r="G139" s="54">
        <f t="shared" si="19"/>
        <v>0.8901606339</v>
      </c>
      <c r="H139" s="55">
        <f t="shared" si="4"/>
        <v>11.21602399</v>
      </c>
      <c r="I139" s="56">
        <f t="shared" si="5"/>
        <v>18425.45989</v>
      </c>
      <c r="J139" s="63"/>
      <c r="K139" s="63"/>
      <c r="L139" s="64"/>
      <c r="M139" s="57">
        <v>12349.0</v>
      </c>
      <c r="N139" s="51">
        <f t="shared" si="6"/>
        <v>1385.066802</v>
      </c>
    </row>
    <row r="140">
      <c r="A140" s="50">
        <v>30902.0</v>
      </c>
      <c r="B140" s="50" t="s">
        <v>196</v>
      </c>
      <c r="C140" s="51">
        <v>54713.0</v>
      </c>
      <c r="D140" s="52">
        <v>64.5</v>
      </c>
      <c r="E140" s="53">
        <v>12.6</v>
      </c>
      <c r="F140" s="54">
        <f t="shared" si="2"/>
        <v>14.672</v>
      </c>
      <c r="G140" s="54">
        <f t="shared" si="19"/>
        <v>1.028834511</v>
      </c>
      <c r="H140" s="55">
        <f t="shared" si="4"/>
        <v>12.96331484</v>
      </c>
      <c r="I140" s="56">
        <f t="shared" si="5"/>
        <v>7092.61845</v>
      </c>
      <c r="J140" s="63"/>
      <c r="K140" s="63"/>
      <c r="L140" s="64"/>
      <c r="M140" s="57">
        <v>5096.0</v>
      </c>
      <c r="N140" s="51">
        <f t="shared" si="6"/>
        <v>660.6105244</v>
      </c>
    </row>
    <row r="141">
      <c r="A141" s="50">
        <v>30903.0</v>
      </c>
      <c r="B141" s="50" t="s">
        <v>197</v>
      </c>
      <c r="C141" s="51">
        <v>61179.0</v>
      </c>
      <c r="D141" s="52">
        <v>94.0</v>
      </c>
      <c r="E141" s="53">
        <v>12.6</v>
      </c>
      <c r="F141" s="54">
        <f t="shared" si="2"/>
        <v>12.784</v>
      </c>
      <c r="G141" s="54">
        <f t="shared" si="19"/>
        <v>0.8964435928</v>
      </c>
      <c r="H141" s="55">
        <f t="shared" si="4"/>
        <v>11.29518927</v>
      </c>
      <c r="I141" s="56">
        <f t="shared" si="5"/>
        <v>6910.283843</v>
      </c>
      <c r="J141" s="63"/>
      <c r="K141" s="63"/>
      <c r="L141" s="64"/>
      <c r="M141" s="57">
        <v>4411.0</v>
      </c>
      <c r="N141" s="51">
        <f t="shared" si="6"/>
        <v>498.2307987</v>
      </c>
    </row>
    <row r="142">
      <c r="A142" s="50">
        <v>30904.0</v>
      </c>
      <c r="B142" s="50" t="s">
        <v>198</v>
      </c>
      <c r="C142" s="51">
        <v>55723.0</v>
      </c>
      <c r="D142" s="52">
        <v>84.1</v>
      </c>
      <c r="E142" s="53">
        <v>12.6</v>
      </c>
      <c r="F142" s="54">
        <f t="shared" si="2"/>
        <v>13.4176</v>
      </c>
      <c r="G142" s="54">
        <f t="shared" si="19"/>
        <v>0.9408730875</v>
      </c>
      <c r="H142" s="55">
        <f t="shared" si="4"/>
        <v>11.8550009</v>
      </c>
      <c r="I142" s="56">
        <f t="shared" si="5"/>
        <v>6605.962153</v>
      </c>
      <c r="J142" s="63"/>
      <c r="K142" s="63"/>
      <c r="L142" s="64"/>
      <c r="M142" s="57">
        <v>4607.0</v>
      </c>
      <c r="N142" s="51">
        <f t="shared" si="6"/>
        <v>546.1598916</v>
      </c>
    </row>
    <row r="143">
      <c r="A143" s="50">
        <v>30905.0</v>
      </c>
      <c r="B143" s="50" t="s">
        <v>199</v>
      </c>
      <c r="C143" s="51">
        <v>65295.0</v>
      </c>
      <c r="D143" s="52">
        <v>100.0</v>
      </c>
      <c r="E143" s="53">
        <v>12.6</v>
      </c>
      <c r="F143" s="54">
        <f t="shared" si="2"/>
        <v>12.4</v>
      </c>
      <c r="G143" s="54">
        <f t="shared" si="19"/>
        <v>0.8695166263</v>
      </c>
      <c r="H143" s="55">
        <f t="shared" si="4"/>
        <v>10.95590949</v>
      </c>
      <c r="I143" s="56">
        <f t="shared" si="5"/>
        <v>7153.661102</v>
      </c>
      <c r="J143" s="63"/>
      <c r="K143" s="63"/>
      <c r="L143" s="64"/>
      <c r="M143" s="57">
        <v>4337.0</v>
      </c>
      <c r="N143" s="51">
        <f t="shared" si="6"/>
        <v>475.1577946</v>
      </c>
    </row>
    <row r="144">
      <c r="A144" s="50">
        <v>31001.0</v>
      </c>
      <c r="B144" s="50" t="s">
        <v>200</v>
      </c>
      <c r="C144" s="51">
        <v>215207.0</v>
      </c>
      <c r="D144" s="52">
        <v>87.6</v>
      </c>
      <c r="E144" s="53">
        <v>12.6</v>
      </c>
      <c r="F144" s="54">
        <f t="shared" si="2"/>
        <v>13.1936</v>
      </c>
      <c r="G144" s="54">
        <f t="shared" si="19"/>
        <v>0.9251656904</v>
      </c>
      <c r="H144" s="55">
        <f t="shared" si="4"/>
        <v>11.6570877</v>
      </c>
      <c r="I144" s="56">
        <f t="shared" si="5"/>
        <v>25086.86872</v>
      </c>
      <c r="J144" s="63"/>
      <c r="K144" s="63"/>
      <c r="L144" s="64"/>
      <c r="M144" s="57">
        <v>15670.0</v>
      </c>
      <c r="N144" s="51">
        <f t="shared" si="6"/>
        <v>1826.665642</v>
      </c>
    </row>
    <row r="145">
      <c r="A145" s="50">
        <v>31002.0</v>
      </c>
      <c r="B145" s="50" t="s">
        <v>201</v>
      </c>
      <c r="C145" s="51">
        <v>21633.0</v>
      </c>
      <c r="D145" s="52">
        <v>19.6</v>
      </c>
      <c r="E145" s="53">
        <v>12.6</v>
      </c>
      <c r="F145" s="54">
        <f t="shared" si="2"/>
        <v>17.5456</v>
      </c>
      <c r="G145" s="54">
        <f t="shared" si="19"/>
        <v>1.230337977</v>
      </c>
      <c r="H145" s="55">
        <f t="shared" si="4"/>
        <v>15.50225851</v>
      </c>
      <c r="I145" s="56">
        <f t="shared" si="5"/>
        <v>3353.603584</v>
      </c>
      <c r="J145" s="63"/>
      <c r="K145" s="63"/>
      <c r="L145" s="64"/>
      <c r="M145" s="57">
        <v>1832.0</v>
      </c>
      <c r="N145" s="51">
        <f t="shared" si="6"/>
        <v>284.001376</v>
      </c>
    </row>
    <row r="146">
      <c r="A146" s="50">
        <v>31003.0</v>
      </c>
      <c r="B146" s="50" t="s">
        <v>202</v>
      </c>
      <c r="C146" s="51">
        <v>91884.0</v>
      </c>
      <c r="D146" s="52">
        <v>12.0</v>
      </c>
      <c r="E146" s="53">
        <v>12.6</v>
      </c>
      <c r="F146" s="54">
        <f t="shared" si="2"/>
        <v>18.032</v>
      </c>
      <c r="G146" s="54">
        <f t="shared" si="19"/>
        <v>1.264445468</v>
      </c>
      <c r="H146" s="55">
        <f t="shared" si="4"/>
        <v>15.9320129</v>
      </c>
      <c r="I146" s="56">
        <f t="shared" si="5"/>
        <v>14638.97073</v>
      </c>
      <c r="J146" s="63"/>
      <c r="K146" s="63"/>
      <c r="L146" s="64"/>
      <c r="M146" s="57">
        <v>8125.0</v>
      </c>
      <c r="N146" s="51">
        <f t="shared" si="6"/>
        <v>1294.476048</v>
      </c>
    </row>
    <row r="147">
      <c r="A147" s="50">
        <v>31101.0</v>
      </c>
      <c r="B147" s="50" t="s">
        <v>203</v>
      </c>
      <c r="C147" s="51">
        <v>24663.0</v>
      </c>
      <c r="D147" s="52">
        <v>0.0</v>
      </c>
      <c r="E147" s="53">
        <v>12.6</v>
      </c>
      <c r="F147" s="54">
        <f t="shared" si="2"/>
        <v>18.8</v>
      </c>
      <c r="G147" s="54">
        <f t="shared" si="19"/>
        <v>1.318299401</v>
      </c>
      <c r="H147" s="55">
        <f t="shared" si="4"/>
        <v>16.61057245</v>
      </c>
      <c r="I147" s="56">
        <f t="shared" si="5"/>
        <v>4096.665484</v>
      </c>
      <c r="J147" s="63"/>
      <c r="K147" s="63"/>
      <c r="L147" s="64"/>
      <c r="M147" s="57">
        <v>2234.0</v>
      </c>
      <c r="N147" s="51">
        <f t="shared" si="6"/>
        <v>371.0801886</v>
      </c>
    </row>
    <row r="148">
      <c r="A148" s="50">
        <v>31201.0</v>
      </c>
      <c r="B148" s="50" t="s">
        <v>204</v>
      </c>
      <c r="C148" s="51">
        <v>14808.0</v>
      </c>
      <c r="D148" s="52">
        <v>0.0</v>
      </c>
      <c r="E148" s="53">
        <v>12.6</v>
      </c>
      <c r="F148" s="54">
        <f t="shared" si="2"/>
        <v>18.8</v>
      </c>
      <c r="G148" s="54">
        <f t="shared" si="19"/>
        <v>1.318299401</v>
      </c>
      <c r="H148" s="55">
        <f t="shared" si="4"/>
        <v>16.61057245</v>
      </c>
      <c r="I148" s="56">
        <f t="shared" si="5"/>
        <v>2459.693569</v>
      </c>
      <c r="J148" s="63"/>
      <c r="K148" s="63"/>
      <c r="L148" s="64"/>
      <c r="M148" s="57">
        <v>1548.0</v>
      </c>
      <c r="N148" s="51">
        <f t="shared" si="6"/>
        <v>257.1316616</v>
      </c>
    </row>
    <row r="149">
      <c r="A149" s="50">
        <v>31202.0</v>
      </c>
      <c r="B149" s="50" t="s">
        <v>205</v>
      </c>
      <c r="C149" s="51">
        <v>11723.0</v>
      </c>
      <c r="D149" s="52">
        <v>0.0</v>
      </c>
      <c r="E149" s="53">
        <v>12.6</v>
      </c>
      <c r="F149" s="54">
        <f t="shared" si="2"/>
        <v>18.8</v>
      </c>
      <c r="G149" s="54">
        <f t="shared" si="19"/>
        <v>1.318299401</v>
      </c>
      <c r="H149" s="55">
        <f t="shared" si="4"/>
        <v>16.61057245</v>
      </c>
      <c r="I149" s="56">
        <f t="shared" si="5"/>
        <v>1947.257409</v>
      </c>
      <c r="J149" s="63"/>
      <c r="K149" s="63"/>
      <c r="L149" s="64"/>
      <c r="M149" s="57">
        <v>1125.0</v>
      </c>
      <c r="N149" s="51">
        <f t="shared" si="6"/>
        <v>186.8689401</v>
      </c>
    </row>
    <row r="150">
      <c r="A150" s="50">
        <v>31203.0</v>
      </c>
      <c r="B150" s="50" t="s">
        <v>206</v>
      </c>
      <c r="C150" s="51">
        <v>12132.0</v>
      </c>
      <c r="D150" s="52">
        <v>0.0</v>
      </c>
      <c r="E150" s="53">
        <v>12.6</v>
      </c>
      <c r="F150" s="54">
        <f t="shared" si="2"/>
        <v>18.8</v>
      </c>
      <c r="G150" s="54">
        <f t="shared" si="19"/>
        <v>1.318299401</v>
      </c>
      <c r="H150" s="55">
        <f t="shared" si="4"/>
        <v>16.61057245</v>
      </c>
      <c r="I150" s="56">
        <f t="shared" si="5"/>
        <v>2015.19465</v>
      </c>
      <c r="J150" s="63"/>
      <c r="K150" s="63"/>
      <c r="L150" s="64"/>
      <c r="M150" s="57">
        <v>942.0</v>
      </c>
      <c r="N150" s="51">
        <f t="shared" si="6"/>
        <v>156.4715925</v>
      </c>
    </row>
    <row r="151">
      <c r="A151" s="50">
        <v>31204.0</v>
      </c>
      <c r="B151" s="50" t="s">
        <v>207</v>
      </c>
      <c r="C151" s="51">
        <v>27039.0</v>
      </c>
      <c r="D151" s="52">
        <v>38.5</v>
      </c>
      <c r="E151" s="53">
        <v>12.6</v>
      </c>
      <c r="F151" s="54">
        <f t="shared" si="2"/>
        <v>16.336</v>
      </c>
      <c r="G151" s="54">
        <f t="shared" si="19"/>
        <v>1.145518033</v>
      </c>
      <c r="H151" s="55">
        <f t="shared" si="4"/>
        <v>14.43352721</v>
      </c>
      <c r="I151" s="56">
        <f t="shared" si="5"/>
        <v>3902.681423</v>
      </c>
      <c r="J151" s="63"/>
      <c r="K151" s="63"/>
      <c r="L151" s="64"/>
      <c r="M151" s="57">
        <v>2349.0</v>
      </c>
      <c r="N151" s="51">
        <f t="shared" si="6"/>
        <v>339.0435542</v>
      </c>
    </row>
    <row r="152">
      <c r="A152" s="50">
        <v>31205.0</v>
      </c>
      <c r="B152" s="50" t="s">
        <v>208</v>
      </c>
      <c r="C152" s="51">
        <v>63098.0</v>
      </c>
      <c r="D152" s="52">
        <v>34.9</v>
      </c>
      <c r="E152" s="53">
        <v>12.6</v>
      </c>
      <c r="F152" s="54">
        <f t="shared" si="2"/>
        <v>16.5664</v>
      </c>
      <c r="G152" s="54">
        <f t="shared" si="19"/>
        <v>1.161674213</v>
      </c>
      <c r="H152" s="55">
        <f t="shared" si="4"/>
        <v>14.63709508</v>
      </c>
      <c r="I152" s="56">
        <f t="shared" si="5"/>
        <v>9235.714254</v>
      </c>
      <c r="J152" s="63"/>
      <c r="K152" s="63"/>
      <c r="L152" s="64"/>
      <c r="M152" s="57">
        <v>5838.0</v>
      </c>
      <c r="N152" s="51">
        <f t="shared" si="6"/>
        <v>854.5136108</v>
      </c>
    </row>
    <row r="153">
      <c r="A153" s="50">
        <v>31206.0</v>
      </c>
      <c r="B153" s="50" t="s">
        <v>209</v>
      </c>
      <c r="C153" s="51">
        <v>44594.0</v>
      </c>
      <c r="D153" s="52">
        <v>60.8</v>
      </c>
      <c r="E153" s="53">
        <v>12.6</v>
      </c>
      <c r="F153" s="54">
        <f t="shared" si="2"/>
        <v>14.9088</v>
      </c>
      <c r="G153" s="54">
        <f t="shared" si="19"/>
        <v>1.045439474</v>
      </c>
      <c r="H153" s="55">
        <f t="shared" si="4"/>
        <v>13.17253737</v>
      </c>
      <c r="I153" s="56">
        <f t="shared" si="5"/>
        <v>5874.161316</v>
      </c>
      <c r="J153" s="63"/>
      <c r="K153" s="63"/>
      <c r="L153" s="64"/>
      <c r="M153" s="57">
        <v>4067.0</v>
      </c>
      <c r="N153" s="51">
        <f t="shared" si="6"/>
        <v>535.7270949</v>
      </c>
    </row>
    <row r="154">
      <c r="A154" s="50">
        <v>31301.0</v>
      </c>
      <c r="B154" s="50" t="s">
        <v>210</v>
      </c>
      <c r="C154" s="51">
        <v>19893.0</v>
      </c>
      <c r="D154" s="52">
        <v>29.8</v>
      </c>
      <c r="E154" s="53">
        <v>12.6</v>
      </c>
      <c r="F154" s="54">
        <f t="shared" si="2"/>
        <v>16.8928</v>
      </c>
      <c r="G154" s="54">
        <f t="shared" si="19"/>
        <v>1.184562134</v>
      </c>
      <c r="H154" s="55">
        <f t="shared" si="4"/>
        <v>14.92548289</v>
      </c>
      <c r="I154" s="56">
        <f t="shared" si="5"/>
        <v>2969.126312</v>
      </c>
      <c r="J154" s="63"/>
      <c r="K154" s="63"/>
      <c r="L154" s="64"/>
      <c r="M154" s="57">
        <v>1766.0</v>
      </c>
      <c r="N154" s="51">
        <f t="shared" si="6"/>
        <v>263.5840279</v>
      </c>
    </row>
    <row r="155">
      <c r="A155" s="50">
        <v>31302.0</v>
      </c>
      <c r="B155" s="50" t="s">
        <v>211</v>
      </c>
      <c r="C155" s="51">
        <v>5262.0</v>
      </c>
      <c r="D155" s="52">
        <v>0.0</v>
      </c>
      <c r="E155" s="53">
        <v>12.6</v>
      </c>
      <c r="F155" s="54">
        <f t="shared" si="2"/>
        <v>18.8</v>
      </c>
      <c r="G155" s="54">
        <f t="shared" si="19"/>
        <v>1.318299401</v>
      </c>
      <c r="H155" s="55">
        <f t="shared" si="4"/>
        <v>16.61057245</v>
      </c>
      <c r="I155" s="56">
        <f t="shared" si="5"/>
        <v>874.0483225</v>
      </c>
      <c r="J155" s="63"/>
      <c r="K155" s="63"/>
      <c r="L155" s="64"/>
      <c r="M155" s="57">
        <v>722.0</v>
      </c>
      <c r="N155" s="51">
        <f t="shared" si="6"/>
        <v>119.9283331</v>
      </c>
    </row>
    <row r="156">
      <c r="A156" s="50">
        <v>31303.0</v>
      </c>
      <c r="B156" s="50" t="s">
        <v>212</v>
      </c>
      <c r="C156" s="51">
        <v>3507.0</v>
      </c>
      <c r="D156" s="52">
        <v>0.0</v>
      </c>
      <c r="E156" s="53">
        <v>12.6</v>
      </c>
      <c r="F156" s="54">
        <f t="shared" si="2"/>
        <v>18.8</v>
      </c>
      <c r="G156" s="54">
        <f t="shared" si="19"/>
        <v>1.318299401</v>
      </c>
      <c r="H156" s="55">
        <f t="shared" si="4"/>
        <v>16.61057245</v>
      </c>
      <c r="I156" s="56">
        <f t="shared" si="5"/>
        <v>582.532776</v>
      </c>
      <c r="J156" s="63"/>
      <c r="K156" s="63"/>
      <c r="L156" s="64"/>
      <c r="M156" s="57">
        <v>282.0</v>
      </c>
      <c r="N156" s="51">
        <f t="shared" si="6"/>
        <v>46.84181432</v>
      </c>
    </row>
    <row r="157">
      <c r="A157" s="50">
        <v>31304.0</v>
      </c>
      <c r="B157" s="50" t="s">
        <v>213</v>
      </c>
      <c r="C157" s="51">
        <v>7971.0</v>
      </c>
      <c r="D157" s="52">
        <v>0.0</v>
      </c>
      <c r="E157" s="53">
        <v>12.6</v>
      </c>
      <c r="F157" s="54">
        <f t="shared" si="2"/>
        <v>18.8</v>
      </c>
      <c r="G157" s="54">
        <f t="shared" si="19"/>
        <v>1.318299401</v>
      </c>
      <c r="H157" s="55">
        <f t="shared" si="4"/>
        <v>16.61057245</v>
      </c>
      <c r="I157" s="56">
        <f t="shared" si="5"/>
        <v>1324.02873</v>
      </c>
      <c r="J157" s="63"/>
      <c r="K157" s="63"/>
      <c r="L157" s="64"/>
      <c r="M157" s="57">
        <v>846.0</v>
      </c>
      <c r="N157" s="51">
        <f t="shared" si="6"/>
        <v>140.525443</v>
      </c>
    </row>
    <row r="158">
      <c r="A158" s="50">
        <v>31401.0</v>
      </c>
      <c r="B158" s="50" t="s">
        <v>214</v>
      </c>
      <c r="C158" s="51">
        <v>34718.0</v>
      </c>
      <c r="D158" s="52">
        <v>74.8</v>
      </c>
      <c r="E158" s="53">
        <v>12.6</v>
      </c>
      <c r="F158" s="54">
        <f t="shared" si="2"/>
        <v>14.0128</v>
      </c>
      <c r="G158" s="54">
        <f t="shared" si="19"/>
        <v>0.9826098855</v>
      </c>
      <c r="H158" s="55">
        <f t="shared" si="4"/>
        <v>12.38088456</v>
      </c>
      <c r="I158" s="56">
        <f t="shared" si="5"/>
        <v>4298.395501</v>
      </c>
      <c r="J158" s="63"/>
      <c r="K158" s="63"/>
      <c r="L158" s="64"/>
      <c r="M158" s="57">
        <v>2537.0</v>
      </c>
      <c r="N158" s="51">
        <f t="shared" si="6"/>
        <v>314.1030412</v>
      </c>
    </row>
    <row r="159">
      <c r="A159" s="50">
        <v>31402.0</v>
      </c>
      <c r="B159" s="50" t="s">
        <v>215</v>
      </c>
      <c r="C159" s="51">
        <v>8560.0</v>
      </c>
      <c r="D159" s="52">
        <v>28.6</v>
      </c>
      <c r="E159" s="53">
        <v>12.6</v>
      </c>
      <c r="F159" s="54">
        <f t="shared" si="2"/>
        <v>16.9696</v>
      </c>
      <c r="G159" s="54">
        <f t="shared" si="19"/>
        <v>1.189947528</v>
      </c>
      <c r="H159" s="55">
        <f t="shared" si="4"/>
        <v>14.99333885</v>
      </c>
      <c r="I159" s="56">
        <f t="shared" si="5"/>
        <v>1283.429805</v>
      </c>
      <c r="J159" s="63"/>
      <c r="K159" s="63"/>
      <c r="L159" s="64"/>
      <c r="M159" s="57">
        <v>669.0</v>
      </c>
      <c r="N159" s="51">
        <f t="shared" si="6"/>
        <v>100.3054369</v>
      </c>
    </row>
    <row r="160">
      <c r="A160" s="50">
        <v>31403.0</v>
      </c>
      <c r="B160" s="50" t="s">
        <v>216</v>
      </c>
      <c r="C160" s="51">
        <v>13096.0</v>
      </c>
      <c r="D160" s="52">
        <v>63.0</v>
      </c>
      <c r="E160" s="53">
        <v>12.6</v>
      </c>
      <c r="F160" s="54">
        <f t="shared" si="2"/>
        <v>14.768</v>
      </c>
      <c r="G160" s="54">
        <f t="shared" si="19"/>
        <v>1.035566253</v>
      </c>
      <c r="H160" s="55">
        <f t="shared" si="4"/>
        <v>13.04813479</v>
      </c>
      <c r="I160" s="56">
        <f t="shared" si="5"/>
        <v>1708.783732</v>
      </c>
      <c r="J160" s="63"/>
      <c r="K160" s="63"/>
      <c r="L160" s="64"/>
      <c r="M160" s="57">
        <v>957.0</v>
      </c>
      <c r="N160" s="51">
        <f t="shared" si="6"/>
        <v>124.8706499</v>
      </c>
    </row>
    <row r="161">
      <c r="A161" s="50">
        <v>31404.0</v>
      </c>
      <c r="B161" s="50" t="s">
        <v>217</v>
      </c>
      <c r="C161" s="51">
        <v>1288.0</v>
      </c>
      <c r="D161" s="52">
        <v>0.0</v>
      </c>
      <c r="E161" s="53">
        <v>12.6</v>
      </c>
      <c r="F161" s="54">
        <f t="shared" si="2"/>
        <v>18.8</v>
      </c>
      <c r="G161" s="54">
        <f t="shared" si="19"/>
        <v>1.318299401</v>
      </c>
      <c r="H161" s="55">
        <f t="shared" si="4"/>
        <v>16.61057245</v>
      </c>
      <c r="I161" s="56">
        <f t="shared" si="5"/>
        <v>213.9441732</v>
      </c>
      <c r="J161" s="63"/>
      <c r="K161" s="63"/>
      <c r="L161" s="64"/>
      <c r="M161" s="57">
        <v>86.0</v>
      </c>
      <c r="N161" s="51">
        <f t="shared" si="6"/>
        <v>14.28509231</v>
      </c>
    </row>
    <row r="162">
      <c r="A162" s="50">
        <v>31405.0</v>
      </c>
      <c r="B162" s="50" t="s">
        <v>218</v>
      </c>
      <c r="C162" s="51">
        <v>3734.0</v>
      </c>
      <c r="D162" s="52">
        <v>0.0</v>
      </c>
      <c r="E162" s="53">
        <v>12.6</v>
      </c>
      <c r="F162" s="54">
        <f t="shared" si="2"/>
        <v>18.8</v>
      </c>
      <c r="G162" s="54">
        <f t="shared" si="19"/>
        <v>1.318299401</v>
      </c>
      <c r="H162" s="55">
        <f t="shared" si="4"/>
        <v>16.61057245</v>
      </c>
      <c r="I162" s="56">
        <f t="shared" si="5"/>
        <v>620.2387754</v>
      </c>
      <c r="J162" s="63"/>
      <c r="K162" s="63"/>
      <c r="L162" s="64"/>
      <c r="M162" s="57">
        <v>244.0</v>
      </c>
      <c r="N162" s="51">
        <f t="shared" si="6"/>
        <v>40.52979679</v>
      </c>
    </row>
    <row r="163">
      <c r="A163" s="50">
        <v>31501.0</v>
      </c>
      <c r="B163" s="50" t="s">
        <v>219</v>
      </c>
      <c r="C163" s="51">
        <v>8198.0</v>
      </c>
      <c r="D163" s="52">
        <v>0.0</v>
      </c>
      <c r="E163" s="53">
        <v>12.6</v>
      </c>
      <c r="F163" s="54">
        <f t="shared" si="2"/>
        <v>18.8</v>
      </c>
      <c r="G163" s="54">
        <f t="shared" si="19"/>
        <v>1.318299401</v>
      </c>
      <c r="H163" s="55">
        <f t="shared" si="4"/>
        <v>16.61057245</v>
      </c>
      <c r="I163" s="56">
        <f t="shared" si="5"/>
        <v>1361.73473</v>
      </c>
      <c r="J163" s="63"/>
      <c r="K163" s="63"/>
      <c r="L163" s="64"/>
      <c r="M163" s="57">
        <v>735.0</v>
      </c>
      <c r="N163" s="51">
        <f t="shared" si="6"/>
        <v>122.0877075</v>
      </c>
    </row>
    <row r="164">
      <c r="A164" s="50">
        <v>31601.0</v>
      </c>
      <c r="B164" s="50" t="s">
        <v>220</v>
      </c>
      <c r="C164" s="51">
        <v>18705.0</v>
      </c>
      <c r="D164" s="52">
        <v>13.7</v>
      </c>
      <c r="E164" s="53">
        <v>12.6</v>
      </c>
      <c r="F164" s="54">
        <f t="shared" si="2"/>
        <v>17.9232</v>
      </c>
      <c r="G164" s="54">
        <f t="shared" si="19"/>
        <v>1.256816161</v>
      </c>
      <c r="H164" s="55">
        <f t="shared" si="4"/>
        <v>15.83588363</v>
      </c>
      <c r="I164" s="56">
        <f t="shared" si="5"/>
        <v>2962.102033</v>
      </c>
      <c r="J164" s="63"/>
      <c r="K164" s="63"/>
      <c r="L164" s="64"/>
      <c r="M164" s="57">
        <v>1488.0</v>
      </c>
      <c r="N164" s="51">
        <f t="shared" si="6"/>
        <v>235.6379484</v>
      </c>
    </row>
    <row r="165">
      <c r="A165" s="50">
        <v>31602.0</v>
      </c>
      <c r="B165" s="50" t="s">
        <v>221</v>
      </c>
      <c r="C165" s="51">
        <v>26644.0</v>
      </c>
      <c r="D165" s="52">
        <v>31.1</v>
      </c>
      <c r="E165" s="53">
        <v>12.6</v>
      </c>
      <c r="F165" s="54">
        <f t="shared" si="2"/>
        <v>16.8096</v>
      </c>
      <c r="G165" s="54">
        <f t="shared" si="19"/>
        <v>1.178727958</v>
      </c>
      <c r="H165" s="55">
        <f t="shared" si="4"/>
        <v>14.85197227</v>
      </c>
      <c r="I165" s="56">
        <f t="shared" si="5"/>
        <v>3957.159492</v>
      </c>
      <c r="J165" s="50"/>
      <c r="K165" s="50"/>
      <c r="L165" s="50"/>
      <c r="M165" s="57">
        <v>2356.0</v>
      </c>
      <c r="N165" s="51">
        <f t="shared" si="6"/>
        <v>349.9124667</v>
      </c>
    </row>
    <row r="166">
      <c r="A166" s="50">
        <v>40101.0</v>
      </c>
      <c r="B166" s="50" t="s">
        <v>57</v>
      </c>
      <c r="C166" s="51">
        <v>295566.0</v>
      </c>
      <c r="D166" s="52">
        <v>100.0</v>
      </c>
      <c r="E166" s="50">
        <v>24.3</v>
      </c>
      <c r="F166" s="54">
        <f t="shared" si="2"/>
        <v>12.4</v>
      </c>
      <c r="G166" s="54">
        <f t="shared" ref="G166:G200" si="20">1.16*F166/F$345</f>
        <v>0.8405327387</v>
      </c>
      <c r="H166" s="55">
        <f t="shared" si="4"/>
        <v>20.42494555</v>
      </c>
      <c r="I166" s="56">
        <f t="shared" si="5"/>
        <v>60369.19457</v>
      </c>
      <c r="J166" s="57">
        <f>SUM(C166:C200)</f>
        <v>565067.75</v>
      </c>
      <c r="K166" s="57">
        <f>SUM(I166:I200)</f>
        <v>137539.4196</v>
      </c>
      <c r="L166" s="58">
        <f>K166/J166</f>
        <v>0.2434034142</v>
      </c>
      <c r="M166" s="57">
        <v>22433.0</v>
      </c>
      <c r="N166" s="51">
        <f t="shared" si="6"/>
        <v>4581.928036</v>
      </c>
    </row>
    <row r="167">
      <c r="A167" s="50">
        <v>40102.0</v>
      </c>
      <c r="B167" s="50" t="s">
        <v>222</v>
      </c>
      <c r="C167" s="51">
        <v>22872.0</v>
      </c>
      <c r="D167" s="52">
        <v>32.2</v>
      </c>
      <c r="E167" s="50">
        <v>24.3</v>
      </c>
      <c r="F167" s="54">
        <f t="shared" si="2"/>
        <v>16.7392</v>
      </c>
      <c r="G167" s="54">
        <f t="shared" si="20"/>
        <v>1.134664969</v>
      </c>
      <c r="H167" s="55">
        <f t="shared" si="4"/>
        <v>27.57235876</v>
      </c>
      <c r="I167" s="56">
        <f t="shared" si="5"/>
        <v>6306.349895</v>
      </c>
      <c r="J167" s="63"/>
      <c r="K167" s="63"/>
      <c r="L167" s="64"/>
      <c r="M167" s="57">
        <v>1769.0</v>
      </c>
      <c r="N167" s="51">
        <f t="shared" si="6"/>
        <v>487.7550264</v>
      </c>
    </row>
    <row r="168">
      <c r="A168" s="50">
        <v>40103.0</v>
      </c>
      <c r="B168" s="50" t="s">
        <v>223</v>
      </c>
      <c r="C168" s="51">
        <v>9891.0</v>
      </c>
      <c r="D168" s="52">
        <v>0.0</v>
      </c>
      <c r="E168" s="50">
        <v>24.3</v>
      </c>
      <c r="F168" s="54">
        <f t="shared" si="2"/>
        <v>18.8</v>
      </c>
      <c r="G168" s="54">
        <f t="shared" si="20"/>
        <v>1.274356088</v>
      </c>
      <c r="H168" s="55">
        <f t="shared" si="4"/>
        <v>30.96685293</v>
      </c>
      <c r="I168" s="56">
        <f t="shared" si="5"/>
        <v>3062.931424</v>
      </c>
      <c r="J168" s="63"/>
      <c r="K168" s="63"/>
      <c r="L168" s="64"/>
      <c r="M168" s="57">
        <v>891.0</v>
      </c>
      <c r="N168" s="51">
        <f t="shared" si="6"/>
        <v>275.9146596</v>
      </c>
    </row>
    <row r="169">
      <c r="A169" s="50">
        <v>40104.0</v>
      </c>
      <c r="B169" s="50" t="s">
        <v>224</v>
      </c>
      <c r="C169" s="51">
        <v>15521.0</v>
      </c>
      <c r="D169" s="52">
        <v>0.0</v>
      </c>
      <c r="E169" s="50">
        <v>24.3</v>
      </c>
      <c r="F169" s="54">
        <f t="shared" si="2"/>
        <v>18.8</v>
      </c>
      <c r="G169" s="54">
        <f t="shared" si="20"/>
        <v>1.274356088</v>
      </c>
      <c r="H169" s="55">
        <f t="shared" si="4"/>
        <v>30.96685293</v>
      </c>
      <c r="I169" s="56">
        <f t="shared" si="5"/>
        <v>4806.365244</v>
      </c>
      <c r="J169" s="63"/>
      <c r="K169" s="63"/>
      <c r="L169" s="64"/>
      <c r="M169" s="57">
        <v>1258.0</v>
      </c>
      <c r="N169" s="51">
        <f t="shared" si="6"/>
        <v>389.5630099</v>
      </c>
    </row>
    <row r="170">
      <c r="A170" s="50">
        <v>40201.0</v>
      </c>
      <c r="B170" s="50" t="s">
        <v>225</v>
      </c>
      <c r="C170" s="51">
        <v>34885.0</v>
      </c>
      <c r="D170" s="52">
        <v>37.2</v>
      </c>
      <c r="E170" s="50">
        <v>24.3</v>
      </c>
      <c r="F170" s="54">
        <f t="shared" si="2"/>
        <v>16.4192</v>
      </c>
      <c r="G170" s="54">
        <f t="shared" si="20"/>
        <v>1.112973802</v>
      </c>
      <c r="H170" s="55">
        <f t="shared" si="4"/>
        <v>27.04526339</v>
      </c>
      <c r="I170" s="56">
        <f t="shared" si="5"/>
        <v>9434.740132</v>
      </c>
      <c r="J170" s="63"/>
      <c r="K170" s="63"/>
      <c r="L170" s="64"/>
      <c r="M170" s="57">
        <v>3035.0</v>
      </c>
      <c r="N170" s="51">
        <f t="shared" si="6"/>
        <v>820.8237438</v>
      </c>
    </row>
    <row r="171">
      <c r="A171" s="50">
        <v>40202.0</v>
      </c>
      <c r="B171" s="50" t="s">
        <v>226</v>
      </c>
      <c r="C171" s="51">
        <v>5069.0</v>
      </c>
      <c r="D171" s="52">
        <v>0.0</v>
      </c>
      <c r="E171" s="50">
        <v>24.3</v>
      </c>
      <c r="F171" s="54">
        <f t="shared" si="2"/>
        <v>18.8</v>
      </c>
      <c r="G171" s="54">
        <f t="shared" si="20"/>
        <v>1.274356088</v>
      </c>
      <c r="H171" s="55">
        <f t="shared" si="4"/>
        <v>30.96685293</v>
      </c>
      <c r="I171" s="56">
        <f t="shared" si="5"/>
        <v>1569.709775</v>
      </c>
      <c r="J171" s="63"/>
      <c r="K171" s="63"/>
      <c r="L171" s="64"/>
      <c r="M171" s="57">
        <v>295.0</v>
      </c>
      <c r="N171" s="51">
        <f t="shared" si="6"/>
        <v>91.35221615</v>
      </c>
    </row>
    <row r="172">
      <c r="A172" s="50">
        <v>40301.0</v>
      </c>
      <c r="B172" s="50" t="s">
        <v>227</v>
      </c>
      <c r="C172" s="51">
        <v>15528.0</v>
      </c>
      <c r="D172" s="52">
        <v>0.0</v>
      </c>
      <c r="E172" s="50">
        <v>24.3</v>
      </c>
      <c r="F172" s="54">
        <f t="shared" si="2"/>
        <v>18.8</v>
      </c>
      <c r="G172" s="54">
        <f t="shared" si="20"/>
        <v>1.274356088</v>
      </c>
      <c r="H172" s="55">
        <f t="shared" si="4"/>
        <v>30.96685293</v>
      </c>
      <c r="I172" s="56">
        <f t="shared" si="5"/>
        <v>4808.532923</v>
      </c>
      <c r="J172" s="63"/>
      <c r="K172" s="63"/>
      <c r="L172" s="64"/>
      <c r="M172" s="57">
        <v>1080.0</v>
      </c>
      <c r="N172" s="51">
        <f t="shared" si="6"/>
        <v>334.4420117</v>
      </c>
    </row>
    <row r="173">
      <c r="A173" s="50">
        <v>40302.0</v>
      </c>
      <c r="B173" s="50" t="s">
        <v>228</v>
      </c>
      <c r="C173" s="51">
        <v>2450.0</v>
      </c>
      <c r="D173" s="52">
        <v>0.0</v>
      </c>
      <c r="E173" s="50">
        <v>24.3</v>
      </c>
      <c r="F173" s="54">
        <f t="shared" si="2"/>
        <v>18.8</v>
      </c>
      <c r="G173" s="54">
        <f t="shared" si="20"/>
        <v>1.274356088</v>
      </c>
      <c r="H173" s="55">
        <f t="shared" si="4"/>
        <v>30.96685293</v>
      </c>
      <c r="I173" s="56">
        <f t="shared" si="5"/>
        <v>758.6878968</v>
      </c>
      <c r="J173" s="63"/>
      <c r="K173" s="63"/>
      <c r="L173" s="64"/>
      <c r="M173" s="57">
        <v>167.0</v>
      </c>
      <c r="N173" s="51">
        <f t="shared" si="6"/>
        <v>51.7146444</v>
      </c>
    </row>
    <row r="174">
      <c r="A174" s="50">
        <v>40401.0</v>
      </c>
      <c r="B174" s="50" t="s">
        <v>229</v>
      </c>
      <c r="C174" s="51">
        <v>6475.0</v>
      </c>
      <c r="D174" s="52">
        <v>0.0</v>
      </c>
      <c r="E174" s="50">
        <v>24.3</v>
      </c>
      <c r="F174" s="54">
        <f t="shared" si="2"/>
        <v>18.8</v>
      </c>
      <c r="G174" s="54">
        <f t="shared" si="20"/>
        <v>1.274356088</v>
      </c>
      <c r="H174" s="55">
        <f t="shared" si="4"/>
        <v>30.96685293</v>
      </c>
      <c r="I174" s="56">
        <f t="shared" si="5"/>
        <v>2005.103727</v>
      </c>
      <c r="J174" s="63"/>
      <c r="K174" s="63"/>
      <c r="L174" s="64"/>
      <c r="M174" s="57">
        <v>383.0</v>
      </c>
      <c r="N174" s="51">
        <f t="shared" si="6"/>
        <v>118.6030467</v>
      </c>
    </row>
    <row r="175">
      <c r="A175" s="50">
        <v>40402.0</v>
      </c>
      <c r="B175" s="50" t="s">
        <v>230</v>
      </c>
      <c r="C175" s="51">
        <v>5753.0</v>
      </c>
      <c r="D175" s="52">
        <v>0.0</v>
      </c>
      <c r="E175" s="50">
        <v>24.3</v>
      </c>
      <c r="F175" s="54">
        <f t="shared" si="2"/>
        <v>18.8</v>
      </c>
      <c r="G175" s="54">
        <f t="shared" si="20"/>
        <v>1.274356088</v>
      </c>
      <c r="H175" s="55">
        <f t="shared" si="4"/>
        <v>30.96685293</v>
      </c>
      <c r="I175" s="56">
        <f t="shared" si="5"/>
        <v>1781.523049</v>
      </c>
      <c r="J175" s="63"/>
      <c r="K175" s="63"/>
      <c r="L175" s="64"/>
      <c r="M175" s="57">
        <v>404.0</v>
      </c>
      <c r="N175" s="51">
        <f t="shared" si="6"/>
        <v>125.1060858</v>
      </c>
    </row>
    <row r="176">
      <c r="A176" s="50">
        <v>40501.0</v>
      </c>
      <c r="B176" s="50" t="s">
        <v>231</v>
      </c>
      <c r="C176" s="51">
        <v>3760.0</v>
      </c>
      <c r="D176" s="52">
        <v>88.6</v>
      </c>
      <c r="E176" s="50">
        <v>24.3</v>
      </c>
      <c r="F176" s="54">
        <f t="shared" si="2"/>
        <v>13.1296</v>
      </c>
      <c r="G176" s="54">
        <f t="shared" si="20"/>
        <v>0.8899886005</v>
      </c>
      <c r="H176" s="55">
        <f t="shared" si="4"/>
        <v>21.62672299</v>
      </c>
      <c r="I176" s="56">
        <f t="shared" si="5"/>
        <v>813.1647845</v>
      </c>
      <c r="J176" s="63"/>
      <c r="K176" s="63"/>
      <c r="L176" s="64"/>
      <c r="M176" s="57">
        <v>235.0</v>
      </c>
      <c r="N176" s="51">
        <f t="shared" si="6"/>
        <v>50.82279903</v>
      </c>
    </row>
    <row r="177">
      <c r="A177" s="50">
        <v>40502.0</v>
      </c>
      <c r="B177" s="50" t="s">
        <v>232</v>
      </c>
      <c r="C177" s="51">
        <v>4230.0</v>
      </c>
      <c r="D177" s="52">
        <v>57.1</v>
      </c>
      <c r="E177" s="50">
        <v>24.3</v>
      </c>
      <c r="F177" s="54">
        <f t="shared" si="2"/>
        <v>15.1456</v>
      </c>
      <c r="G177" s="54">
        <f t="shared" si="20"/>
        <v>1.026642955</v>
      </c>
      <c r="H177" s="55">
        <f t="shared" si="4"/>
        <v>24.94742382</v>
      </c>
      <c r="I177" s="56">
        <f t="shared" si="5"/>
        <v>1055.276027</v>
      </c>
      <c r="J177" s="63"/>
      <c r="K177" s="63"/>
      <c r="L177" s="64"/>
      <c r="M177" s="57">
        <v>359.0</v>
      </c>
      <c r="N177" s="51">
        <f t="shared" si="6"/>
        <v>89.56125151</v>
      </c>
    </row>
    <row r="178">
      <c r="A178" s="50">
        <v>40503.0</v>
      </c>
      <c r="B178" s="50" t="s">
        <v>233</v>
      </c>
      <c r="C178" s="51">
        <v>1555.0</v>
      </c>
      <c r="D178" s="52">
        <v>0.0</v>
      </c>
      <c r="E178" s="50">
        <v>24.3</v>
      </c>
      <c r="F178" s="54">
        <f t="shared" si="2"/>
        <v>18.8</v>
      </c>
      <c r="G178" s="54">
        <f t="shared" si="20"/>
        <v>1.274356088</v>
      </c>
      <c r="H178" s="55">
        <f t="shared" si="4"/>
        <v>30.96685293</v>
      </c>
      <c r="I178" s="56">
        <f t="shared" si="5"/>
        <v>481.5345631</v>
      </c>
      <c r="J178" s="63"/>
      <c r="K178" s="63"/>
      <c r="L178" s="64"/>
      <c r="M178" s="57">
        <v>111.0</v>
      </c>
      <c r="N178" s="51">
        <f t="shared" si="6"/>
        <v>34.37320676</v>
      </c>
    </row>
    <row r="179">
      <c r="A179" s="50">
        <v>40504.0</v>
      </c>
      <c r="B179" s="50" t="s">
        <v>234</v>
      </c>
      <c r="C179" s="51">
        <v>844.9166667</v>
      </c>
      <c r="D179" s="52">
        <v>0.0</v>
      </c>
      <c r="E179" s="50">
        <v>24.3</v>
      </c>
      <c r="F179" s="54">
        <f t="shared" si="2"/>
        <v>18.8</v>
      </c>
      <c r="G179" s="54">
        <f t="shared" si="20"/>
        <v>1.274356088</v>
      </c>
      <c r="H179" s="55">
        <f t="shared" si="4"/>
        <v>30.96685293</v>
      </c>
      <c r="I179" s="56">
        <f t="shared" si="5"/>
        <v>261.6441016</v>
      </c>
      <c r="J179" s="63"/>
      <c r="K179" s="63"/>
      <c r="L179" s="64"/>
      <c r="M179" s="57">
        <v>73.0</v>
      </c>
      <c r="N179" s="51">
        <f t="shared" si="6"/>
        <v>22.60580264</v>
      </c>
    </row>
    <row r="180">
      <c r="A180" s="50">
        <v>40505.0</v>
      </c>
      <c r="B180" s="50" t="s">
        <v>235</v>
      </c>
      <c r="C180" s="51">
        <v>3784.0</v>
      </c>
      <c r="D180" s="52">
        <v>0.0</v>
      </c>
      <c r="E180" s="50">
        <v>24.3</v>
      </c>
      <c r="F180" s="54">
        <f t="shared" si="2"/>
        <v>18.8</v>
      </c>
      <c r="G180" s="54">
        <f t="shared" si="20"/>
        <v>1.274356088</v>
      </c>
      <c r="H180" s="55">
        <f t="shared" si="4"/>
        <v>30.96685293</v>
      </c>
      <c r="I180" s="56">
        <f t="shared" si="5"/>
        <v>1171.785715</v>
      </c>
      <c r="J180" s="63"/>
      <c r="K180" s="63"/>
      <c r="L180" s="64"/>
      <c r="M180" s="57">
        <v>326.0</v>
      </c>
      <c r="N180" s="51">
        <f t="shared" si="6"/>
        <v>100.9519406</v>
      </c>
    </row>
    <row r="181">
      <c r="A181" s="50">
        <v>40601.0</v>
      </c>
      <c r="B181" s="50" t="s">
        <v>236</v>
      </c>
      <c r="C181" s="51">
        <v>9056.0</v>
      </c>
      <c r="D181" s="52">
        <v>50.6</v>
      </c>
      <c r="E181" s="50">
        <v>24.3</v>
      </c>
      <c r="F181" s="54">
        <f t="shared" si="2"/>
        <v>15.5616</v>
      </c>
      <c r="G181" s="54">
        <f t="shared" si="20"/>
        <v>1.054841473</v>
      </c>
      <c r="H181" s="55">
        <f t="shared" si="4"/>
        <v>25.6326478</v>
      </c>
      <c r="I181" s="56">
        <f t="shared" si="5"/>
        <v>2321.292585</v>
      </c>
      <c r="J181" s="63"/>
      <c r="K181" s="63"/>
      <c r="L181" s="64"/>
      <c r="M181" s="57">
        <v>751.0</v>
      </c>
      <c r="N181" s="51">
        <f t="shared" si="6"/>
        <v>192.501185</v>
      </c>
    </row>
    <row r="182">
      <c r="A182" s="50">
        <v>40602.0</v>
      </c>
      <c r="B182" s="50" t="s">
        <v>237</v>
      </c>
      <c r="C182" s="51">
        <v>4393.0</v>
      </c>
      <c r="D182" s="52">
        <v>0.0</v>
      </c>
      <c r="E182" s="50">
        <v>24.3</v>
      </c>
      <c r="F182" s="54">
        <f t="shared" si="2"/>
        <v>18.8</v>
      </c>
      <c r="G182" s="54">
        <f t="shared" si="20"/>
        <v>1.274356088</v>
      </c>
      <c r="H182" s="55">
        <f t="shared" si="4"/>
        <v>30.96685293</v>
      </c>
      <c r="I182" s="56">
        <f t="shared" si="5"/>
        <v>1360.373849</v>
      </c>
      <c r="J182" s="63"/>
      <c r="K182" s="63"/>
      <c r="L182" s="64"/>
      <c r="M182" s="57">
        <v>331.0</v>
      </c>
      <c r="N182" s="51">
        <f t="shared" si="6"/>
        <v>102.5002832</v>
      </c>
    </row>
    <row r="183">
      <c r="A183" s="50">
        <v>40603.0</v>
      </c>
      <c r="B183" s="50" t="s">
        <v>238</v>
      </c>
      <c r="C183" s="51">
        <v>3633.0</v>
      </c>
      <c r="D183" s="52">
        <v>0.0</v>
      </c>
      <c r="E183" s="50">
        <v>24.3</v>
      </c>
      <c r="F183" s="54">
        <f t="shared" si="2"/>
        <v>18.8</v>
      </c>
      <c r="G183" s="54">
        <f t="shared" si="20"/>
        <v>1.274356088</v>
      </c>
      <c r="H183" s="55">
        <f t="shared" si="4"/>
        <v>30.96685293</v>
      </c>
      <c r="I183" s="56">
        <f t="shared" si="5"/>
        <v>1125.025767</v>
      </c>
      <c r="J183" s="63"/>
      <c r="K183" s="63"/>
      <c r="L183" s="64"/>
      <c r="M183" s="57">
        <v>259.0</v>
      </c>
      <c r="N183" s="51">
        <f t="shared" si="6"/>
        <v>80.2041491</v>
      </c>
    </row>
    <row r="184">
      <c r="A184" s="50">
        <v>40701.0</v>
      </c>
      <c r="B184" s="50" t="s">
        <v>239</v>
      </c>
      <c r="C184" s="51">
        <v>20498.0</v>
      </c>
      <c r="D184" s="52">
        <v>80.9</v>
      </c>
      <c r="E184" s="50">
        <v>24.3</v>
      </c>
      <c r="F184" s="54">
        <f t="shared" si="2"/>
        <v>13.6224</v>
      </c>
      <c r="G184" s="54">
        <f t="shared" si="20"/>
        <v>0.9233929984</v>
      </c>
      <c r="H184" s="55">
        <f t="shared" si="4"/>
        <v>22.43844986</v>
      </c>
      <c r="I184" s="56">
        <f t="shared" si="5"/>
        <v>4599.433453</v>
      </c>
      <c r="J184" s="63"/>
      <c r="K184" s="63"/>
      <c r="L184" s="64"/>
      <c r="M184" s="57">
        <v>1451.0</v>
      </c>
      <c r="N184" s="51">
        <f t="shared" si="6"/>
        <v>325.5819075</v>
      </c>
    </row>
    <row r="185">
      <c r="A185" s="50">
        <v>40702.0</v>
      </c>
      <c r="B185" s="50" t="s">
        <v>240</v>
      </c>
      <c r="C185" s="51">
        <v>6012.0</v>
      </c>
      <c r="D185" s="52">
        <v>52.3</v>
      </c>
      <c r="E185" s="50">
        <v>24.3</v>
      </c>
      <c r="F185" s="54">
        <f t="shared" si="2"/>
        <v>15.4528</v>
      </c>
      <c r="G185" s="54">
        <f t="shared" si="20"/>
        <v>1.047466476</v>
      </c>
      <c r="H185" s="55">
        <f t="shared" si="4"/>
        <v>25.45343537</v>
      </c>
      <c r="I185" s="56">
        <f t="shared" si="5"/>
        <v>1530.260535</v>
      </c>
      <c r="J185" s="63"/>
      <c r="K185" s="63"/>
      <c r="L185" s="64"/>
      <c r="M185" s="57">
        <v>442.0</v>
      </c>
      <c r="N185" s="51">
        <f t="shared" si="6"/>
        <v>112.5041843</v>
      </c>
    </row>
    <row r="186">
      <c r="A186" s="50">
        <v>40801.0</v>
      </c>
      <c r="B186" s="50" t="s">
        <v>241</v>
      </c>
      <c r="C186" s="51">
        <v>15596.0</v>
      </c>
      <c r="D186" s="52">
        <v>0.0</v>
      </c>
      <c r="E186" s="50">
        <v>24.3</v>
      </c>
      <c r="F186" s="54">
        <f t="shared" si="2"/>
        <v>18.8</v>
      </c>
      <c r="G186" s="54">
        <f t="shared" si="20"/>
        <v>1.274356088</v>
      </c>
      <c r="H186" s="55">
        <f t="shared" si="4"/>
        <v>30.96685293</v>
      </c>
      <c r="I186" s="56">
        <f t="shared" si="5"/>
        <v>4829.590383</v>
      </c>
      <c r="J186" s="63"/>
      <c r="K186" s="63"/>
      <c r="L186" s="64"/>
      <c r="M186" s="57">
        <v>1217.0</v>
      </c>
      <c r="N186" s="51">
        <f t="shared" si="6"/>
        <v>376.8666002</v>
      </c>
    </row>
    <row r="187">
      <c r="A187" s="50">
        <v>40802.0</v>
      </c>
      <c r="B187" s="50" t="s">
        <v>242</v>
      </c>
      <c r="C187" s="51">
        <v>3178.0</v>
      </c>
      <c r="D187" s="52">
        <v>0.0</v>
      </c>
      <c r="E187" s="50">
        <v>24.3</v>
      </c>
      <c r="F187" s="54">
        <f t="shared" si="2"/>
        <v>18.8</v>
      </c>
      <c r="G187" s="54">
        <f t="shared" si="20"/>
        <v>1.274356088</v>
      </c>
      <c r="H187" s="55">
        <f t="shared" si="4"/>
        <v>30.96685293</v>
      </c>
      <c r="I187" s="56">
        <f t="shared" si="5"/>
        <v>984.1265862</v>
      </c>
      <c r="J187" s="63"/>
      <c r="K187" s="63"/>
      <c r="L187" s="64"/>
      <c r="M187" s="57">
        <v>231.0</v>
      </c>
      <c r="N187" s="51">
        <f t="shared" si="6"/>
        <v>71.53343027</v>
      </c>
    </row>
    <row r="188">
      <c r="A188" s="50">
        <v>40901.0</v>
      </c>
      <c r="B188" s="50" t="s">
        <v>243</v>
      </c>
      <c r="C188" s="51">
        <v>14880.0</v>
      </c>
      <c r="D188" s="52">
        <v>18.1</v>
      </c>
      <c r="E188" s="50">
        <v>24.3</v>
      </c>
      <c r="F188" s="54">
        <f t="shared" si="2"/>
        <v>17.6416</v>
      </c>
      <c r="G188" s="54">
        <f t="shared" si="20"/>
        <v>1.195834062</v>
      </c>
      <c r="H188" s="55">
        <f t="shared" si="4"/>
        <v>29.0587677</v>
      </c>
      <c r="I188" s="56">
        <f t="shared" si="5"/>
        <v>4323.944633</v>
      </c>
      <c r="J188" s="63"/>
      <c r="K188" s="63"/>
      <c r="L188" s="64"/>
      <c r="M188" s="57">
        <v>1302.0</v>
      </c>
      <c r="N188" s="51">
        <f t="shared" si="6"/>
        <v>378.3451554</v>
      </c>
    </row>
    <row r="189">
      <c r="A189" s="50">
        <v>40902.0</v>
      </c>
      <c r="B189" s="50" t="s">
        <v>244</v>
      </c>
      <c r="C189" s="51">
        <v>1364.083333</v>
      </c>
      <c r="D189" s="52">
        <v>0.0</v>
      </c>
      <c r="E189" s="50">
        <v>24.3</v>
      </c>
      <c r="F189" s="54">
        <f t="shared" si="2"/>
        <v>18.8</v>
      </c>
      <c r="G189" s="54">
        <f t="shared" si="20"/>
        <v>1.274356088</v>
      </c>
      <c r="H189" s="55">
        <f t="shared" si="4"/>
        <v>30.96685293</v>
      </c>
      <c r="I189" s="56">
        <f t="shared" si="5"/>
        <v>422.4136796</v>
      </c>
      <c r="J189" s="63"/>
      <c r="K189" s="63"/>
      <c r="L189" s="64"/>
      <c r="M189" s="57">
        <v>178.0</v>
      </c>
      <c r="N189" s="51">
        <f t="shared" si="6"/>
        <v>55.12099822</v>
      </c>
    </row>
    <row r="190">
      <c r="A190" s="50">
        <v>40903.0</v>
      </c>
      <c r="B190" s="50" t="s">
        <v>245</v>
      </c>
      <c r="C190" s="51">
        <v>2326.0</v>
      </c>
      <c r="D190" s="52">
        <v>0.0</v>
      </c>
      <c r="E190" s="50">
        <v>24.3</v>
      </c>
      <c r="F190" s="54">
        <f t="shared" si="2"/>
        <v>18.8</v>
      </c>
      <c r="G190" s="54">
        <f t="shared" si="20"/>
        <v>1.274356088</v>
      </c>
      <c r="H190" s="55">
        <f t="shared" si="4"/>
        <v>30.96685293</v>
      </c>
      <c r="I190" s="56">
        <f t="shared" si="5"/>
        <v>720.2889992</v>
      </c>
      <c r="J190" s="63"/>
      <c r="K190" s="63"/>
      <c r="L190" s="64"/>
      <c r="M190" s="57">
        <v>218.0</v>
      </c>
      <c r="N190" s="51">
        <f t="shared" si="6"/>
        <v>67.50773939</v>
      </c>
    </row>
    <row r="191">
      <c r="A191" s="50">
        <v>41001.0</v>
      </c>
      <c r="B191" s="50" t="s">
        <v>246</v>
      </c>
      <c r="C191" s="51">
        <v>12031.0</v>
      </c>
      <c r="D191" s="52">
        <v>0.0</v>
      </c>
      <c r="E191" s="50">
        <v>24.3</v>
      </c>
      <c r="F191" s="54">
        <f t="shared" si="2"/>
        <v>18.8</v>
      </c>
      <c r="G191" s="54">
        <f t="shared" si="20"/>
        <v>1.274356088</v>
      </c>
      <c r="H191" s="55">
        <f t="shared" si="4"/>
        <v>30.96685293</v>
      </c>
      <c r="I191" s="56">
        <f t="shared" si="5"/>
        <v>3725.622076</v>
      </c>
      <c r="J191" s="63"/>
      <c r="K191" s="63"/>
      <c r="L191" s="64"/>
      <c r="M191" s="57">
        <v>657.0</v>
      </c>
      <c r="N191" s="51">
        <f t="shared" si="6"/>
        <v>203.4522238</v>
      </c>
    </row>
    <row r="192">
      <c r="A192" s="50">
        <v>41101.0</v>
      </c>
      <c r="B192" s="50" t="s">
        <v>247</v>
      </c>
      <c r="C192" s="51">
        <v>5329.0</v>
      </c>
      <c r="D192" s="52">
        <v>41.7</v>
      </c>
      <c r="E192" s="50">
        <v>24.3</v>
      </c>
      <c r="F192" s="54">
        <f t="shared" si="2"/>
        <v>16.1312</v>
      </c>
      <c r="G192" s="54">
        <f t="shared" si="20"/>
        <v>1.093451751</v>
      </c>
      <c r="H192" s="55">
        <f t="shared" si="4"/>
        <v>26.57087755</v>
      </c>
      <c r="I192" s="56">
        <f t="shared" si="5"/>
        <v>1415.962065</v>
      </c>
      <c r="J192" s="63"/>
      <c r="K192" s="63"/>
      <c r="L192" s="64"/>
      <c r="M192" s="57">
        <v>403.0</v>
      </c>
      <c r="N192" s="51">
        <f t="shared" si="6"/>
        <v>107.0806365</v>
      </c>
    </row>
    <row r="193">
      <c r="A193" s="50">
        <v>41201.0</v>
      </c>
      <c r="B193" s="50" t="s">
        <v>248</v>
      </c>
      <c r="C193" s="51">
        <v>6220.0</v>
      </c>
      <c r="D193" s="52">
        <v>0.0</v>
      </c>
      <c r="E193" s="50">
        <v>24.3</v>
      </c>
      <c r="F193" s="54">
        <f t="shared" si="2"/>
        <v>18.8</v>
      </c>
      <c r="G193" s="54">
        <f t="shared" si="20"/>
        <v>1.274356088</v>
      </c>
      <c r="H193" s="55">
        <f t="shared" si="4"/>
        <v>30.96685293</v>
      </c>
      <c r="I193" s="56">
        <f t="shared" si="5"/>
        <v>1926.138252</v>
      </c>
      <c r="J193" s="63"/>
      <c r="K193" s="63"/>
      <c r="L193" s="64"/>
      <c r="M193" s="57">
        <v>369.0</v>
      </c>
      <c r="N193" s="51">
        <f t="shared" si="6"/>
        <v>114.2676873</v>
      </c>
    </row>
    <row r="194">
      <c r="A194" s="50">
        <v>41202.0</v>
      </c>
      <c r="B194" s="50" t="s">
        <v>249</v>
      </c>
      <c r="C194" s="51">
        <v>2974.0</v>
      </c>
      <c r="D194" s="52">
        <v>0.0</v>
      </c>
      <c r="E194" s="50">
        <v>24.3</v>
      </c>
      <c r="F194" s="54">
        <f t="shared" si="2"/>
        <v>18.8</v>
      </c>
      <c r="G194" s="54">
        <f t="shared" si="20"/>
        <v>1.274356088</v>
      </c>
      <c r="H194" s="55">
        <f t="shared" si="4"/>
        <v>30.96685293</v>
      </c>
      <c r="I194" s="56">
        <f t="shared" si="5"/>
        <v>920.9542062</v>
      </c>
      <c r="J194" s="63"/>
      <c r="K194" s="63"/>
      <c r="L194" s="64"/>
      <c r="M194" s="57">
        <v>196.0</v>
      </c>
      <c r="N194" s="51">
        <f t="shared" si="6"/>
        <v>60.69503175</v>
      </c>
    </row>
    <row r="195">
      <c r="A195" s="50">
        <v>41301.0</v>
      </c>
      <c r="B195" s="50" t="s">
        <v>204</v>
      </c>
      <c r="C195" s="51">
        <v>6545.0</v>
      </c>
      <c r="D195" s="52">
        <v>0.0</v>
      </c>
      <c r="E195" s="50">
        <v>24.3</v>
      </c>
      <c r="F195" s="54">
        <f t="shared" si="2"/>
        <v>18.8</v>
      </c>
      <c r="G195" s="54">
        <f t="shared" si="20"/>
        <v>1.274356088</v>
      </c>
      <c r="H195" s="55">
        <f t="shared" si="4"/>
        <v>30.96685293</v>
      </c>
      <c r="I195" s="56">
        <f t="shared" si="5"/>
        <v>2026.780524</v>
      </c>
      <c r="J195" s="63"/>
      <c r="K195" s="63"/>
      <c r="L195" s="64"/>
      <c r="M195" s="57">
        <v>440.0</v>
      </c>
      <c r="N195" s="51">
        <f t="shared" si="6"/>
        <v>136.2541529</v>
      </c>
    </row>
    <row r="196">
      <c r="A196" s="50">
        <v>41401.0</v>
      </c>
      <c r="B196" s="50" t="s">
        <v>250</v>
      </c>
      <c r="C196" s="51">
        <v>13484.0</v>
      </c>
      <c r="D196" s="52">
        <v>32.0</v>
      </c>
      <c r="E196" s="50">
        <v>24.3</v>
      </c>
      <c r="F196" s="54">
        <f t="shared" si="2"/>
        <v>16.752</v>
      </c>
      <c r="G196" s="54">
        <f t="shared" si="20"/>
        <v>1.135532616</v>
      </c>
      <c r="H196" s="55">
        <f t="shared" si="4"/>
        <v>27.59344257</v>
      </c>
      <c r="I196" s="56">
        <f t="shared" si="5"/>
        <v>3720.699796</v>
      </c>
      <c r="J196" s="63"/>
      <c r="K196" s="63"/>
      <c r="L196" s="64"/>
      <c r="M196" s="57">
        <v>1080.0</v>
      </c>
      <c r="N196" s="51">
        <f t="shared" si="6"/>
        <v>298.0091798</v>
      </c>
    </row>
    <row r="197">
      <c r="A197" s="50">
        <v>41501.0</v>
      </c>
      <c r="B197" s="50" t="s">
        <v>251</v>
      </c>
      <c r="C197" s="51">
        <v>1199.25</v>
      </c>
      <c r="D197" s="52">
        <v>0.0</v>
      </c>
      <c r="E197" s="50">
        <v>24.3</v>
      </c>
      <c r="F197" s="54">
        <f t="shared" si="2"/>
        <v>18.8</v>
      </c>
      <c r="G197" s="54">
        <f t="shared" si="20"/>
        <v>1.274356088</v>
      </c>
      <c r="H197" s="55">
        <f t="shared" si="4"/>
        <v>30.96685293</v>
      </c>
      <c r="I197" s="56">
        <f t="shared" si="5"/>
        <v>371.3699838</v>
      </c>
      <c r="J197" s="63"/>
      <c r="K197" s="63"/>
      <c r="L197" s="64"/>
      <c r="M197" s="57">
        <v>101.0</v>
      </c>
      <c r="N197" s="51">
        <f t="shared" si="6"/>
        <v>31.27652146</v>
      </c>
    </row>
    <row r="198">
      <c r="A198" s="50">
        <v>41502.0</v>
      </c>
      <c r="B198" s="50" t="s">
        <v>252</v>
      </c>
      <c r="C198" s="51">
        <v>1105.583333</v>
      </c>
      <c r="D198" s="52">
        <v>0.0</v>
      </c>
      <c r="E198" s="50">
        <v>24.3</v>
      </c>
      <c r="F198" s="54">
        <f t="shared" si="2"/>
        <v>18.8</v>
      </c>
      <c r="G198" s="54">
        <f t="shared" si="20"/>
        <v>1.274356088</v>
      </c>
      <c r="H198" s="55">
        <f t="shared" si="4"/>
        <v>30.96685293</v>
      </c>
      <c r="I198" s="56">
        <f t="shared" si="5"/>
        <v>342.3643648</v>
      </c>
      <c r="J198" s="63"/>
      <c r="K198" s="63"/>
      <c r="L198" s="64"/>
      <c r="M198" s="57">
        <v>102.0</v>
      </c>
      <c r="N198" s="51">
        <f t="shared" si="6"/>
        <v>31.58618999</v>
      </c>
    </row>
    <row r="199">
      <c r="A199" s="50">
        <v>41503.0</v>
      </c>
      <c r="B199" s="50" t="s">
        <v>253</v>
      </c>
      <c r="C199" s="51">
        <v>1104.916667</v>
      </c>
      <c r="D199" s="52">
        <v>0.0</v>
      </c>
      <c r="E199" s="50">
        <v>24.3</v>
      </c>
      <c r="F199" s="54">
        <f t="shared" si="2"/>
        <v>18.8</v>
      </c>
      <c r="G199" s="54">
        <f t="shared" si="20"/>
        <v>1.274356088</v>
      </c>
      <c r="H199" s="55">
        <f t="shared" si="4"/>
        <v>30.96685293</v>
      </c>
      <c r="I199" s="56">
        <f t="shared" si="5"/>
        <v>342.1579193</v>
      </c>
      <c r="J199" s="63"/>
      <c r="K199" s="63"/>
      <c r="L199" s="64"/>
      <c r="M199" s="57">
        <v>91.0</v>
      </c>
      <c r="N199" s="51">
        <f t="shared" si="6"/>
        <v>28.17983617</v>
      </c>
    </row>
    <row r="200">
      <c r="A200" s="50">
        <v>41601.0</v>
      </c>
      <c r="B200" s="50" t="s">
        <v>254</v>
      </c>
      <c r="C200" s="51">
        <v>5955.0</v>
      </c>
      <c r="D200" s="52">
        <v>0.0</v>
      </c>
      <c r="E200" s="50">
        <v>24.3</v>
      </c>
      <c r="F200" s="54">
        <f t="shared" si="2"/>
        <v>18.8</v>
      </c>
      <c r="G200" s="54">
        <f t="shared" si="20"/>
        <v>1.274356088</v>
      </c>
      <c r="H200" s="55">
        <f t="shared" si="4"/>
        <v>30.96685293</v>
      </c>
      <c r="I200" s="56">
        <f t="shared" si="5"/>
        <v>1844.076092</v>
      </c>
      <c r="J200" s="50"/>
      <c r="K200" s="50"/>
      <c r="L200" s="50"/>
      <c r="M200" s="57">
        <v>314.0</v>
      </c>
      <c r="N200" s="51">
        <f t="shared" si="6"/>
        <v>97.23591821</v>
      </c>
    </row>
    <row r="201">
      <c r="A201" s="50">
        <v>50101.0</v>
      </c>
      <c r="B201" s="50" t="s">
        <v>59</v>
      </c>
      <c r="C201" s="51">
        <v>216419.0</v>
      </c>
      <c r="D201" s="52">
        <v>90.8</v>
      </c>
      <c r="E201" s="53">
        <v>26.7</v>
      </c>
      <c r="F201" s="54">
        <f t="shared" si="2"/>
        <v>12.9888</v>
      </c>
      <c r="G201" s="54">
        <f t="shared" ref="G201:G242" si="21">1.07*F201/F$345</f>
        <v>0.8121341387</v>
      </c>
      <c r="H201" s="55">
        <f t="shared" si="4"/>
        <v>21.6839815</v>
      </c>
      <c r="I201" s="56">
        <f t="shared" si="5"/>
        <v>46928.25593</v>
      </c>
      <c r="J201" s="57">
        <f>SUM(C201:C242)</f>
        <v>858563</v>
      </c>
      <c r="K201" s="57">
        <f>SUM(I201:I242)</f>
        <v>229189.5844</v>
      </c>
      <c r="L201" s="58">
        <f>K201/J201</f>
        <v>0.2669455641</v>
      </c>
      <c r="M201" s="57">
        <v>19125.0</v>
      </c>
      <c r="N201" s="51">
        <f t="shared" si="6"/>
        <v>4147.061463</v>
      </c>
    </row>
    <row r="202">
      <c r="A202" s="50">
        <v>50102.0</v>
      </c>
      <c r="B202" s="50" t="s">
        <v>255</v>
      </c>
      <c r="C202" s="51">
        <v>28797.0</v>
      </c>
      <c r="D202" s="52">
        <v>0.0</v>
      </c>
      <c r="E202" s="53">
        <v>26.7</v>
      </c>
      <c r="F202" s="54">
        <f t="shared" si="2"/>
        <v>18.8</v>
      </c>
      <c r="G202" s="54">
        <f t="shared" si="21"/>
        <v>1.175483633</v>
      </c>
      <c r="H202" s="55">
        <f t="shared" si="4"/>
        <v>31.38541299</v>
      </c>
      <c r="I202" s="56">
        <f t="shared" si="5"/>
        <v>9038.057379</v>
      </c>
      <c r="J202" s="63"/>
      <c r="K202" s="63"/>
      <c r="L202" s="64"/>
      <c r="M202" s="57">
        <v>3184.0</v>
      </c>
      <c r="N202" s="51">
        <f t="shared" si="6"/>
        <v>999.3115497</v>
      </c>
    </row>
    <row r="203">
      <c r="A203" s="50">
        <v>50103.0</v>
      </c>
      <c r="B203" s="50" t="s">
        <v>256</v>
      </c>
      <c r="C203" s="51">
        <v>11980.0</v>
      </c>
      <c r="D203" s="52">
        <v>0.0</v>
      </c>
      <c r="E203" s="53">
        <v>26.7</v>
      </c>
      <c r="F203" s="54">
        <f t="shared" si="2"/>
        <v>18.8</v>
      </c>
      <c r="G203" s="54">
        <f t="shared" si="21"/>
        <v>1.175483633</v>
      </c>
      <c r="H203" s="55">
        <f t="shared" si="4"/>
        <v>31.38541299</v>
      </c>
      <c r="I203" s="56">
        <f t="shared" si="5"/>
        <v>3759.972476</v>
      </c>
      <c r="J203" s="63"/>
      <c r="K203" s="63"/>
      <c r="L203" s="64"/>
      <c r="M203" s="57">
        <v>891.0</v>
      </c>
      <c r="N203" s="51">
        <f t="shared" si="6"/>
        <v>279.6440298</v>
      </c>
    </row>
    <row r="204">
      <c r="A204" s="50">
        <v>50104.0</v>
      </c>
      <c r="B204" s="50" t="s">
        <v>257</v>
      </c>
      <c r="C204" s="51">
        <v>3091.0</v>
      </c>
      <c r="D204" s="52">
        <v>0.0</v>
      </c>
      <c r="E204" s="53">
        <v>26.7</v>
      </c>
      <c r="F204" s="54">
        <f t="shared" si="2"/>
        <v>18.8</v>
      </c>
      <c r="G204" s="54">
        <f t="shared" si="21"/>
        <v>1.175483633</v>
      </c>
      <c r="H204" s="55">
        <f t="shared" si="4"/>
        <v>31.38541299</v>
      </c>
      <c r="I204" s="56">
        <f t="shared" si="5"/>
        <v>970.1231156</v>
      </c>
      <c r="J204" s="63"/>
      <c r="K204" s="63"/>
      <c r="L204" s="64"/>
      <c r="M204" s="57">
        <v>208.0</v>
      </c>
      <c r="N204" s="51">
        <f t="shared" si="6"/>
        <v>65.28165902</v>
      </c>
    </row>
    <row r="205">
      <c r="A205" s="50">
        <v>50201.0</v>
      </c>
      <c r="B205" s="50" t="s">
        <v>258</v>
      </c>
      <c r="C205" s="51">
        <v>22706.0</v>
      </c>
      <c r="D205" s="52">
        <v>40.5</v>
      </c>
      <c r="E205" s="53">
        <v>26.7</v>
      </c>
      <c r="F205" s="54">
        <f t="shared" si="2"/>
        <v>16.208</v>
      </c>
      <c r="G205" s="54">
        <f t="shared" si="21"/>
        <v>1.013416953</v>
      </c>
      <c r="H205" s="55">
        <f t="shared" si="4"/>
        <v>27.05823265</v>
      </c>
      <c r="I205" s="56">
        <f t="shared" si="5"/>
        <v>6143.842305</v>
      </c>
      <c r="J205" s="63"/>
      <c r="K205" s="63"/>
      <c r="L205" s="64"/>
      <c r="M205" s="57">
        <v>1860.0</v>
      </c>
      <c r="N205" s="51">
        <f t="shared" si="6"/>
        <v>503.2831273</v>
      </c>
    </row>
    <row r="206">
      <c r="A206" s="50">
        <v>50202.0</v>
      </c>
      <c r="B206" s="50" t="s">
        <v>259</v>
      </c>
      <c r="C206" s="51">
        <v>16030.0</v>
      </c>
      <c r="D206" s="52">
        <v>17.6</v>
      </c>
      <c r="E206" s="53">
        <v>26.7</v>
      </c>
      <c r="F206" s="54">
        <f t="shared" si="2"/>
        <v>17.6736</v>
      </c>
      <c r="G206" s="54">
        <f t="shared" si="21"/>
        <v>1.105054656</v>
      </c>
      <c r="H206" s="55">
        <f t="shared" si="4"/>
        <v>29.50495931</v>
      </c>
      <c r="I206" s="56">
        <f t="shared" si="5"/>
        <v>4729.644978</v>
      </c>
      <c r="J206" s="63"/>
      <c r="K206" s="63"/>
      <c r="L206" s="64"/>
      <c r="M206" s="57">
        <v>1389.0</v>
      </c>
      <c r="N206" s="51">
        <f t="shared" si="6"/>
        <v>409.8238848</v>
      </c>
    </row>
    <row r="207">
      <c r="A207" s="50">
        <v>50203.0</v>
      </c>
      <c r="B207" s="50" t="s">
        <v>260</v>
      </c>
      <c r="C207" s="51">
        <v>41638.0</v>
      </c>
      <c r="D207" s="52">
        <v>87.3</v>
      </c>
      <c r="E207" s="53">
        <v>26.7</v>
      </c>
      <c r="F207" s="54">
        <f t="shared" si="2"/>
        <v>13.2128</v>
      </c>
      <c r="G207" s="54">
        <f t="shared" si="21"/>
        <v>0.8261399012</v>
      </c>
      <c r="H207" s="55">
        <f t="shared" si="4"/>
        <v>22.05793536</v>
      </c>
      <c r="I207" s="56">
        <f t="shared" si="5"/>
        <v>9184.483126</v>
      </c>
      <c r="J207" s="63"/>
      <c r="K207" s="63"/>
      <c r="L207" s="64"/>
      <c r="M207" s="57">
        <v>3276.0</v>
      </c>
      <c r="N207" s="51">
        <f t="shared" si="6"/>
        <v>722.6179624</v>
      </c>
    </row>
    <row r="208">
      <c r="A208" s="50">
        <v>50204.0</v>
      </c>
      <c r="B208" s="50" t="s">
        <v>261</v>
      </c>
      <c r="C208" s="51">
        <v>8203.0</v>
      </c>
      <c r="D208" s="52">
        <v>22.6</v>
      </c>
      <c r="E208" s="53">
        <v>26.7</v>
      </c>
      <c r="F208" s="54">
        <f t="shared" si="2"/>
        <v>17.3536</v>
      </c>
      <c r="G208" s="54">
        <f t="shared" si="21"/>
        <v>1.085046424</v>
      </c>
      <c r="H208" s="55">
        <f t="shared" si="4"/>
        <v>28.97073952</v>
      </c>
      <c r="I208" s="56">
        <f t="shared" si="5"/>
        <v>2376.469763</v>
      </c>
      <c r="J208" s="63"/>
      <c r="K208" s="63"/>
      <c r="L208" s="64"/>
      <c r="M208" s="57">
        <v>779.0</v>
      </c>
      <c r="N208" s="51">
        <f t="shared" si="6"/>
        <v>225.6820608</v>
      </c>
    </row>
    <row r="209">
      <c r="A209" s="50">
        <v>50301.0</v>
      </c>
      <c r="B209" s="50" t="s">
        <v>262</v>
      </c>
      <c r="C209" s="51">
        <v>32072.0</v>
      </c>
      <c r="D209" s="52">
        <v>19.0</v>
      </c>
      <c r="E209" s="53">
        <v>26.7</v>
      </c>
      <c r="F209" s="54">
        <f t="shared" si="2"/>
        <v>17.584</v>
      </c>
      <c r="G209" s="54">
        <f t="shared" si="21"/>
        <v>1.099452351</v>
      </c>
      <c r="H209" s="55">
        <f t="shared" si="4"/>
        <v>29.35537777</v>
      </c>
      <c r="I209" s="56">
        <f t="shared" si="5"/>
        <v>9414.856758</v>
      </c>
      <c r="J209" s="63"/>
      <c r="K209" s="63"/>
      <c r="L209" s="64"/>
      <c r="M209" s="57">
        <v>2650.0</v>
      </c>
      <c r="N209" s="51">
        <f t="shared" si="6"/>
        <v>777.9175109</v>
      </c>
    </row>
    <row r="210">
      <c r="A210" s="50">
        <v>50302.0</v>
      </c>
      <c r="B210" s="50" t="s">
        <v>263</v>
      </c>
      <c r="C210" s="51">
        <v>9337.0</v>
      </c>
      <c r="D210" s="52">
        <v>0.0</v>
      </c>
      <c r="E210" s="53">
        <v>26.7</v>
      </c>
      <c r="F210" s="54">
        <f t="shared" si="2"/>
        <v>18.8</v>
      </c>
      <c r="G210" s="54">
        <f t="shared" si="21"/>
        <v>1.175483633</v>
      </c>
      <c r="H210" s="55">
        <f t="shared" si="4"/>
        <v>31.38541299</v>
      </c>
      <c r="I210" s="56">
        <f t="shared" si="5"/>
        <v>2930.456011</v>
      </c>
      <c r="J210" s="63"/>
      <c r="K210" s="63"/>
      <c r="L210" s="64"/>
      <c r="M210" s="57">
        <v>712.0</v>
      </c>
      <c r="N210" s="51">
        <f t="shared" si="6"/>
        <v>223.4641405</v>
      </c>
    </row>
    <row r="211">
      <c r="A211" s="50">
        <v>50303.0</v>
      </c>
      <c r="B211" s="50" t="s">
        <v>264</v>
      </c>
      <c r="C211" s="51">
        <v>14155.0</v>
      </c>
      <c r="D211" s="52">
        <v>0.0</v>
      </c>
      <c r="E211" s="53">
        <v>26.7</v>
      </c>
      <c r="F211" s="54">
        <f t="shared" si="2"/>
        <v>18.8</v>
      </c>
      <c r="G211" s="54">
        <f t="shared" si="21"/>
        <v>1.175483633</v>
      </c>
      <c r="H211" s="55">
        <f t="shared" si="4"/>
        <v>31.38541299</v>
      </c>
      <c r="I211" s="56">
        <f t="shared" si="5"/>
        <v>4442.605209</v>
      </c>
      <c r="J211" s="63"/>
      <c r="K211" s="63"/>
      <c r="L211" s="64"/>
      <c r="M211" s="57">
        <v>1276.0</v>
      </c>
      <c r="N211" s="51">
        <f t="shared" si="6"/>
        <v>400.4778698</v>
      </c>
    </row>
    <row r="212">
      <c r="A212" s="50">
        <v>50401.0</v>
      </c>
      <c r="B212" s="50" t="s">
        <v>265</v>
      </c>
      <c r="C212" s="51">
        <v>16271.0</v>
      </c>
      <c r="D212" s="52">
        <v>33.2</v>
      </c>
      <c r="E212" s="53">
        <v>26.7</v>
      </c>
      <c r="F212" s="54">
        <f t="shared" si="2"/>
        <v>16.6752</v>
      </c>
      <c r="G212" s="54">
        <f t="shared" si="21"/>
        <v>1.042628972</v>
      </c>
      <c r="H212" s="55">
        <f t="shared" si="4"/>
        <v>27.83819355</v>
      </c>
      <c r="I212" s="56">
        <f t="shared" si="5"/>
        <v>4529.552472</v>
      </c>
      <c r="J212" s="63"/>
      <c r="K212" s="63"/>
      <c r="L212" s="64"/>
      <c r="M212" s="57">
        <v>1614.0</v>
      </c>
      <c r="N212" s="51">
        <f t="shared" si="6"/>
        <v>449.3084439</v>
      </c>
    </row>
    <row r="213">
      <c r="A213" s="50">
        <v>50402.0</v>
      </c>
      <c r="B213" s="50" t="s">
        <v>266</v>
      </c>
      <c r="C213" s="51">
        <v>17268.0</v>
      </c>
      <c r="D213" s="52">
        <v>0.0</v>
      </c>
      <c r="E213" s="53">
        <v>26.7</v>
      </c>
      <c r="F213" s="54">
        <f t="shared" si="2"/>
        <v>18.8</v>
      </c>
      <c r="G213" s="54">
        <f t="shared" si="21"/>
        <v>1.175483633</v>
      </c>
      <c r="H213" s="55">
        <f t="shared" si="4"/>
        <v>31.38541299</v>
      </c>
      <c r="I213" s="56">
        <f t="shared" si="5"/>
        <v>5419.633116</v>
      </c>
      <c r="J213" s="63"/>
      <c r="K213" s="63"/>
      <c r="L213" s="64"/>
      <c r="M213" s="57">
        <v>1242.0</v>
      </c>
      <c r="N213" s="51">
        <f t="shared" si="6"/>
        <v>389.8068294</v>
      </c>
    </row>
    <row r="214">
      <c r="A214" s="50">
        <v>50403.0</v>
      </c>
      <c r="B214" s="50" t="s">
        <v>267</v>
      </c>
      <c r="C214" s="51">
        <v>32115.0</v>
      </c>
      <c r="D214" s="52">
        <v>6.3</v>
      </c>
      <c r="E214" s="53">
        <v>26.7</v>
      </c>
      <c r="F214" s="54">
        <f t="shared" si="2"/>
        <v>18.3968</v>
      </c>
      <c r="G214" s="54">
        <f t="shared" si="21"/>
        <v>1.15027326</v>
      </c>
      <c r="H214" s="55">
        <f t="shared" si="4"/>
        <v>30.71229605</v>
      </c>
      <c r="I214" s="56">
        <f t="shared" si="5"/>
        <v>9863.253876</v>
      </c>
      <c r="J214" s="63"/>
      <c r="K214" s="63"/>
      <c r="L214" s="64"/>
      <c r="M214" s="57">
        <v>2967.0</v>
      </c>
      <c r="N214" s="51">
        <f t="shared" si="6"/>
        <v>911.2338238</v>
      </c>
    </row>
    <row r="215">
      <c r="A215" s="50">
        <v>50404.0</v>
      </c>
      <c r="B215" s="50" t="s">
        <v>268</v>
      </c>
      <c r="C215" s="51">
        <v>14664.0</v>
      </c>
      <c r="D215" s="52">
        <v>0.0</v>
      </c>
      <c r="E215" s="53">
        <v>26.7</v>
      </c>
      <c r="F215" s="54">
        <f t="shared" si="2"/>
        <v>18.8</v>
      </c>
      <c r="G215" s="54">
        <f t="shared" si="21"/>
        <v>1.175483633</v>
      </c>
      <c r="H215" s="55">
        <f t="shared" si="4"/>
        <v>31.38541299</v>
      </c>
      <c r="I215" s="56">
        <f t="shared" si="5"/>
        <v>4602.356961</v>
      </c>
      <c r="J215" s="63"/>
      <c r="K215" s="63"/>
      <c r="L215" s="64"/>
      <c r="M215" s="57">
        <v>1284.0</v>
      </c>
      <c r="N215" s="51">
        <f t="shared" si="6"/>
        <v>402.9887028</v>
      </c>
    </row>
    <row r="216">
      <c r="A216" s="50">
        <v>50405.0</v>
      </c>
      <c r="B216" s="50" t="s">
        <v>269</v>
      </c>
      <c r="C216" s="51">
        <v>20922.0</v>
      </c>
      <c r="D216" s="52">
        <v>0.0</v>
      </c>
      <c r="E216" s="53">
        <v>26.7</v>
      </c>
      <c r="F216" s="54">
        <f t="shared" si="2"/>
        <v>18.8</v>
      </c>
      <c r="G216" s="54">
        <f t="shared" si="21"/>
        <v>1.175483633</v>
      </c>
      <c r="H216" s="55">
        <f t="shared" si="4"/>
        <v>31.38541299</v>
      </c>
      <c r="I216" s="56">
        <f t="shared" si="5"/>
        <v>6566.456106</v>
      </c>
      <c r="J216" s="63"/>
      <c r="K216" s="63"/>
      <c r="L216" s="64"/>
      <c r="M216" s="57">
        <v>1936.0</v>
      </c>
      <c r="N216" s="51">
        <f t="shared" si="6"/>
        <v>607.6215955</v>
      </c>
    </row>
    <row r="217">
      <c r="A217" s="50">
        <v>50501.0</v>
      </c>
      <c r="B217" s="50" t="s">
        <v>270</v>
      </c>
      <c r="C217" s="51">
        <v>28549.0</v>
      </c>
      <c r="D217" s="52">
        <v>0.0</v>
      </c>
      <c r="E217" s="53">
        <v>26.7</v>
      </c>
      <c r="F217" s="54">
        <f t="shared" si="2"/>
        <v>18.8</v>
      </c>
      <c r="G217" s="54">
        <f t="shared" si="21"/>
        <v>1.175483633</v>
      </c>
      <c r="H217" s="55">
        <f t="shared" si="4"/>
        <v>31.38541299</v>
      </c>
      <c r="I217" s="56">
        <f t="shared" si="5"/>
        <v>8960.221555</v>
      </c>
      <c r="J217" s="63"/>
      <c r="K217" s="63"/>
      <c r="L217" s="64"/>
      <c r="M217" s="57">
        <v>2883.0</v>
      </c>
      <c r="N217" s="51">
        <f t="shared" si="6"/>
        <v>904.8414566</v>
      </c>
    </row>
    <row r="218">
      <c r="A218" s="50">
        <v>50502.0</v>
      </c>
      <c r="B218" s="50" t="s">
        <v>271</v>
      </c>
      <c r="C218" s="51">
        <v>10727.0</v>
      </c>
      <c r="D218" s="52">
        <v>0.0</v>
      </c>
      <c r="E218" s="53">
        <v>26.7</v>
      </c>
      <c r="F218" s="54">
        <f t="shared" si="2"/>
        <v>18.8</v>
      </c>
      <c r="G218" s="54">
        <f t="shared" si="21"/>
        <v>1.175483633</v>
      </c>
      <c r="H218" s="55">
        <f t="shared" si="4"/>
        <v>31.38541299</v>
      </c>
      <c r="I218" s="56">
        <f t="shared" si="5"/>
        <v>3366.713252</v>
      </c>
      <c r="J218" s="63"/>
      <c r="K218" s="63"/>
      <c r="L218" s="64"/>
      <c r="M218" s="57">
        <v>985.0</v>
      </c>
      <c r="N218" s="51">
        <f t="shared" si="6"/>
        <v>309.146318</v>
      </c>
    </row>
    <row r="219">
      <c r="A219" s="50">
        <v>50601.0</v>
      </c>
      <c r="B219" s="50" t="s">
        <v>272</v>
      </c>
      <c r="C219" s="51">
        <v>29436.0</v>
      </c>
      <c r="D219" s="52">
        <v>11.7</v>
      </c>
      <c r="E219" s="53">
        <v>26.7</v>
      </c>
      <c r="F219" s="54">
        <f t="shared" si="2"/>
        <v>18.0512</v>
      </c>
      <c r="G219" s="54">
        <f t="shared" si="21"/>
        <v>1.12866437</v>
      </c>
      <c r="H219" s="55">
        <f t="shared" si="4"/>
        <v>30.13533867</v>
      </c>
      <c r="I219" s="56">
        <f t="shared" si="5"/>
        <v>8870.638291</v>
      </c>
      <c r="J219" s="63"/>
      <c r="K219" s="63"/>
      <c r="L219" s="64"/>
      <c r="M219" s="57">
        <v>2133.0</v>
      </c>
      <c r="N219" s="51">
        <f t="shared" si="6"/>
        <v>642.7867738</v>
      </c>
    </row>
    <row r="220">
      <c r="A220" s="50">
        <v>50602.0</v>
      </c>
      <c r="B220" s="50" t="s">
        <v>273</v>
      </c>
      <c r="C220" s="51">
        <v>10223.0</v>
      </c>
      <c r="D220" s="52">
        <v>0.0</v>
      </c>
      <c r="E220" s="53">
        <v>26.7</v>
      </c>
      <c r="F220" s="54">
        <f t="shared" si="2"/>
        <v>18.8</v>
      </c>
      <c r="G220" s="54">
        <f t="shared" si="21"/>
        <v>1.175483633</v>
      </c>
      <c r="H220" s="55">
        <f t="shared" si="4"/>
        <v>31.38541299</v>
      </c>
      <c r="I220" s="56">
        <f t="shared" si="5"/>
        <v>3208.53077</v>
      </c>
      <c r="J220" s="63"/>
      <c r="K220" s="63"/>
      <c r="L220" s="64"/>
      <c r="M220" s="57">
        <v>669.0</v>
      </c>
      <c r="N220" s="51">
        <f t="shared" si="6"/>
        <v>209.9684129</v>
      </c>
    </row>
    <row r="221">
      <c r="A221" s="50">
        <v>50701.0</v>
      </c>
      <c r="B221" s="50" t="s">
        <v>274</v>
      </c>
      <c r="C221" s="51">
        <v>17406.0</v>
      </c>
      <c r="D221" s="52">
        <v>13.3</v>
      </c>
      <c r="E221" s="53">
        <v>26.7</v>
      </c>
      <c r="F221" s="54">
        <f t="shared" si="2"/>
        <v>17.9488</v>
      </c>
      <c r="G221" s="54">
        <f t="shared" si="21"/>
        <v>1.122261735</v>
      </c>
      <c r="H221" s="55">
        <f t="shared" si="4"/>
        <v>29.96438834</v>
      </c>
      <c r="I221" s="56">
        <f t="shared" si="5"/>
        <v>5215.601434</v>
      </c>
      <c r="J221" s="63"/>
      <c r="K221" s="63"/>
      <c r="L221" s="64"/>
      <c r="M221" s="57">
        <v>1743.0</v>
      </c>
      <c r="N221" s="51">
        <f t="shared" si="6"/>
        <v>522.2792887</v>
      </c>
    </row>
    <row r="222">
      <c r="A222" s="50">
        <v>50702.0</v>
      </c>
      <c r="B222" s="50" t="s">
        <v>275</v>
      </c>
      <c r="C222" s="51">
        <v>8479.0</v>
      </c>
      <c r="D222" s="52">
        <v>0.0</v>
      </c>
      <c r="E222" s="53">
        <v>26.7</v>
      </c>
      <c r="F222" s="54">
        <f t="shared" si="2"/>
        <v>18.8</v>
      </c>
      <c r="G222" s="54">
        <f t="shared" si="21"/>
        <v>1.175483633</v>
      </c>
      <c r="H222" s="55">
        <f t="shared" si="4"/>
        <v>31.38541299</v>
      </c>
      <c r="I222" s="56">
        <f t="shared" si="5"/>
        <v>2661.169168</v>
      </c>
      <c r="J222" s="63"/>
      <c r="K222" s="63"/>
      <c r="L222" s="64"/>
      <c r="M222" s="57">
        <v>716.0</v>
      </c>
      <c r="N222" s="51">
        <f t="shared" si="6"/>
        <v>224.719557</v>
      </c>
    </row>
    <row r="223">
      <c r="A223" s="50">
        <v>50801.0</v>
      </c>
      <c r="B223" s="50" t="s">
        <v>276</v>
      </c>
      <c r="C223" s="51">
        <v>45525.0</v>
      </c>
      <c r="D223" s="52">
        <v>62.5</v>
      </c>
      <c r="E223" s="53">
        <v>26.7</v>
      </c>
      <c r="F223" s="54">
        <f t="shared" si="2"/>
        <v>14.8</v>
      </c>
      <c r="G223" s="54">
        <f t="shared" si="21"/>
        <v>0.9253807321</v>
      </c>
      <c r="H223" s="55">
        <f t="shared" si="4"/>
        <v>24.70766555</v>
      </c>
      <c r="I223" s="56">
        <f t="shared" si="5"/>
        <v>11248.16474</v>
      </c>
      <c r="J223" s="63"/>
      <c r="K223" s="63"/>
      <c r="L223" s="64"/>
      <c r="M223" s="57">
        <v>3478.0</v>
      </c>
      <c r="N223" s="51">
        <f t="shared" si="6"/>
        <v>859.3326077</v>
      </c>
    </row>
    <row r="224">
      <c r="A224" s="50">
        <v>50802.0</v>
      </c>
      <c r="B224" s="50" t="s">
        <v>277</v>
      </c>
      <c r="C224" s="51">
        <v>9745.0</v>
      </c>
      <c r="D224" s="52">
        <v>3.3</v>
      </c>
      <c r="E224" s="53">
        <v>26.7</v>
      </c>
      <c r="F224" s="54">
        <f t="shared" si="2"/>
        <v>18.5888</v>
      </c>
      <c r="G224" s="54">
        <f t="shared" si="21"/>
        <v>1.1622782</v>
      </c>
      <c r="H224" s="55">
        <f t="shared" si="4"/>
        <v>31.03282793</v>
      </c>
      <c r="I224" s="56">
        <f t="shared" si="5"/>
        <v>3024.149082</v>
      </c>
      <c r="J224" s="63"/>
      <c r="K224" s="63"/>
      <c r="L224" s="64"/>
      <c r="M224" s="57">
        <v>835.0</v>
      </c>
      <c r="N224" s="51">
        <f t="shared" si="6"/>
        <v>259.1241132</v>
      </c>
    </row>
    <row r="225">
      <c r="A225" s="50">
        <v>50901.0</v>
      </c>
      <c r="B225" s="50" t="s">
        <v>278</v>
      </c>
      <c r="C225" s="51">
        <v>12761.0</v>
      </c>
      <c r="D225" s="52">
        <v>15.5</v>
      </c>
      <c r="E225" s="53">
        <v>26.7</v>
      </c>
      <c r="F225" s="54">
        <f t="shared" si="2"/>
        <v>17.808</v>
      </c>
      <c r="G225" s="54">
        <f t="shared" si="21"/>
        <v>1.113458113</v>
      </c>
      <c r="H225" s="55">
        <f t="shared" si="4"/>
        <v>29.72933163</v>
      </c>
      <c r="I225" s="56">
        <f t="shared" si="5"/>
        <v>3793.760009</v>
      </c>
      <c r="J225" s="63"/>
      <c r="K225" s="63"/>
      <c r="L225" s="64"/>
      <c r="M225" s="57">
        <v>1019.0</v>
      </c>
      <c r="N225" s="51">
        <f t="shared" si="6"/>
        <v>302.9418893</v>
      </c>
    </row>
    <row r="226">
      <c r="A226" s="50">
        <v>50902.0</v>
      </c>
      <c r="B226" s="50" t="s">
        <v>279</v>
      </c>
      <c r="C226" s="51">
        <v>1574.0</v>
      </c>
      <c r="D226" s="52">
        <v>0.0</v>
      </c>
      <c r="E226" s="53">
        <v>26.7</v>
      </c>
      <c r="F226" s="54">
        <f t="shared" si="2"/>
        <v>18.8</v>
      </c>
      <c r="G226" s="54">
        <f t="shared" si="21"/>
        <v>1.175483633</v>
      </c>
      <c r="H226" s="55">
        <f t="shared" si="4"/>
        <v>31.38541299</v>
      </c>
      <c r="I226" s="56">
        <f t="shared" si="5"/>
        <v>494.0064005</v>
      </c>
      <c r="J226" s="63"/>
      <c r="K226" s="63"/>
      <c r="L226" s="64"/>
      <c r="M226" s="57">
        <v>100.0</v>
      </c>
      <c r="N226" s="51">
        <f t="shared" si="6"/>
        <v>31.38541299</v>
      </c>
    </row>
    <row r="227">
      <c r="A227" s="50">
        <v>51001.0</v>
      </c>
      <c r="B227" s="50" t="s">
        <v>280</v>
      </c>
      <c r="C227" s="51">
        <v>3168.0</v>
      </c>
      <c r="D227" s="52">
        <v>0.0</v>
      </c>
      <c r="E227" s="53">
        <v>26.7</v>
      </c>
      <c r="F227" s="54">
        <f t="shared" si="2"/>
        <v>18.8</v>
      </c>
      <c r="G227" s="54">
        <f t="shared" si="21"/>
        <v>1.175483633</v>
      </c>
      <c r="H227" s="55">
        <f t="shared" si="4"/>
        <v>31.38541299</v>
      </c>
      <c r="I227" s="56">
        <f t="shared" si="5"/>
        <v>994.2898836</v>
      </c>
      <c r="J227" s="63"/>
      <c r="K227" s="63"/>
      <c r="L227" s="64"/>
      <c r="M227" s="57">
        <v>268.0</v>
      </c>
      <c r="N227" s="51">
        <f t="shared" si="6"/>
        <v>84.11290682</v>
      </c>
    </row>
    <row r="228">
      <c r="A228" s="50">
        <v>51002.0</v>
      </c>
      <c r="B228" s="50" t="s">
        <v>281</v>
      </c>
      <c r="C228" s="51">
        <v>1038.0</v>
      </c>
      <c r="D228" s="52">
        <v>0.0</v>
      </c>
      <c r="E228" s="53">
        <v>26.7</v>
      </c>
      <c r="F228" s="54">
        <f t="shared" si="2"/>
        <v>18.8</v>
      </c>
      <c r="G228" s="54">
        <f t="shared" si="21"/>
        <v>1.175483633</v>
      </c>
      <c r="H228" s="55">
        <f t="shared" si="4"/>
        <v>31.38541299</v>
      </c>
      <c r="I228" s="56">
        <f t="shared" si="5"/>
        <v>325.7805869</v>
      </c>
      <c r="J228" s="63"/>
      <c r="K228" s="63"/>
      <c r="L228" s="64"/>
      <c r="M228" s="57">
        <v>83.0</v>
      </c>
      <c r="N228" s="51">
        <f t="shared" si="6"/>
        <v>26.04989278</v>
      </c>
    </row>
    <row r="229">
      <c r="A229" s="50">
        <v>51003.0</v>
      </c>
      <c r="B229" s="50" t="s">
        <v>282</v>
      </c>
      <c r="C229" s="51">
        <v>1965.0</v>
      </c>
      <c r="D229" s="52">
        <v>0.0</v>
      </c>
      <c r="E229" s="53">
        <v>26.7</v>
      </c>
      <c r="F229" s="54">
        <f t="shared" si="2"/>
        <v>18.8</v>
      </c>
      <c r="G229" s="54">
        <f t="shared" si="21"/>
        <v>1.175483633</v>
      </c>
      <c r="H229" s="55">
        <f t="shared" si="4"/>
        <v>31.38541299</v>
      </c>
      <c r="I229" s="56">
        <f t="shared" si="5"/>
        <v>616.7233653</v>
      </c>
      <c r="J229" s="63"/>
      <c r="K229" s="63"/>
      <c r="L229" s="64"/>
      <c r="M229" s="57">
        <v>166.0</v>
      </c>
      <c r="N229" s="51">
        <f t="shared" si="6"/>
        <v>52.09978557</v>
      </c>
    </row>
    <row r="230">
      <c r="A230" s="50">
        <v>51101.0</v>
      </c>
      <c r="B230" s="50" t="s">
        <v>283</v>
      </c>
      <c r="C230" s="51">
        <v>16850.0</v>
      </c>
      <c r="D230" s="52">
        <v>0.0</v>
      </c>
      <c r="E230" s="53">
        <v>26.7</v>
      </c>
      <c r="F230" s="54">
        <f t="shared" si="2"/>
        <v>18.8</v>
      </c>
      <c r="G230" s="54">
        <f t="shared" si="21"/>
        <v>1.175483633</v>
      </c>
      <c r="H230" s="55">
        <f t="shared" si="4"/>
        <v>31.38541299</v>
      </c>
      <c r="I230" s="56">
        <f t="shared" si="5"/>
        <v>5288.442089</v>
      </c>
      <c r="J230" s="63"/>
      <c r="K230" s="63"/>
      <c r="L230" s="64"/>
      <c r="M230" s="57">
        <v>1141.0</v>
      </c>
      <c r="N230" s="51">
        <f t="shared" si="6"/>
        <v>358.1075622</v>
      </c>
    </row>
    <row r="231">
      <c r="A231" s="50">
        <v>51102.0</v>
      </c>
      <c r="B231" s="50" t="s">
        <v>284</v>
      </c>
      <c r="C231" s="51">
        <v>12921.0</v>
      </c>
      <c r="D231" s="52">
        <v>26.7</v>
      </c>
      <c r="E231" s="53">
        <v>26.7</v>
      </c>
      <c r="F231" s="54">
        <f t="shared" si="2"/>
        <v>17.0912</v>
      </c>
      <c r="G231" s="54">
        <f t="shared" si="21"/>
        <v>1.068639674</v>
      </c>
      <c r="H231" s="55">
        <f t="shared" si="4"/>
        <v>28.53267928</v>
      </c>
      <c r="I231" s="56">
        <f t="shared" si="5"/>
        <v>3686.70749</v>
      </c>
      <c r="J231" s="63"/>
      <c r="K231" s="63"/>
      <c r="L231" s="64"/>
      <c r="M231" s="57">
        <v>1050.0</v>
      </c>
      <c r="N231" s="51">
        <f t="shared" si="6"/>
        <v>299.5931325</v>
      </c>
    </row>
    <row r="232">
      <c r="A232" s="50">
        <v>51103.0</v>
      </c>
      <c r="B232" s="50" t="s">
        <v>285</v>
      </c>
      <c r="C232" s="51">
        <v>14461.0</v>
      </c>
      <c r="D232" s="52">
        <v>0.0</v>
      </c>
      <c r="E232" s="53">
        <v>26.7</v>
      </c>
      <c r="F232" s="54">
        <f t="shared" si="2"/>
        <v>18.8</v>
      </c>
      <c r="G232" s="54">
        <f t="shared" si="21"/>
        <v>1.175483633</v>
      </c>
      <c r="H232" s="55">
        <f t="shared" si="4"/>
        <v>31.38541299</v>
      </c>
      <c r="I232" s="56">
        <f t="shared" si="5"/>
        <v>4538.644573</v>
      </c>
      <c r="J232" s="63"/>
      <c r="K232" s="63"/>
      <c r="L232" s="64"/>
      <c r="M232" s="57">
        <v>1421.0</v>
      </c>
      <c r="N232" s="51">
        <f t="shared" si="6"/>
        <v>445.9867186</v>
      </c>
    </row>
    <row r="233">
      <c r="A233" s="50">
        <v>51201.0</v>
      </c>
      <c r="B233" s="50" t="s">
        <v>286</v>
      </c>
      <c r="C233" s="51">
        <v>34848.0</v>
      </c>
      <c r="D233" s="52">
        <v>69.9</v>
      </c>
      <c r="E233" s="53">
        <v>26.7</v>
      </c>
      <c r="F233" s="54">
        <f t="shared" si="2"/>
        <v>14.3264</v>
      </c>
      <c r="G233" s="54">
        <f t="shared" si="21"/>
        <v>0.8957685487</v>
      </c>
      <c r="H233" s="55">
        <f t="shared" si="4"/>
        <v>23.91702025</v>
      </c>
      <c r="I233" s="56">
        <f t="shared" si="5"/>
        <v>8334.603217</v>
      </c>
      <c r="J233" s="63"/>
      <c r="K233" s="63"/>
      <c r="L233" s="64"/>
      <c r="M233" s="57">
        <v>2774.0</v>
      </c>
      <c r="N233" s="51">
        <f t="shared" si="6"/>
        <v>663.4581417</v>
      </c>
    </row>
    <row r="234">
      <c r="A234" s="50">
        <v>51202.0</v>
      </c>
      <c r="B234" s="50" t="s">
        <v>287</v>
      </c>
      <c r="C234" s="51">
        <v>7929.0</v>
      </c>
      <c r="D234" s="52">
        <v>0.0</v>
      </c>
      <c r="E234" s="53">
        <v>26.7</v>
      </c>
      <c r="F234" s="54">
        <f t="shared" si="2"/>
        <v>18.8</v>
      </c>
      <c r="G234" s="54">
        <f t="shared" si="21"/>
        <v>1.175483633</v>
      </c>
      <c r="H234" s="55">
        <f t="shared" si="4"/>
        <v>31.38541299</v>
      </c>
      <c r="I234" s="56">
        <f t="shared" si="5"/>
        <v>2488.549396</v>
      </c>
      <c r="J234" s="63"/>
      <c r="K234" s="63"/>
      <c r="L234" s="64"/>
      <c r="M234" s="57">
        <v>588.0</v>
      </c>
      <c r="N234" s="51">
        <f t="shared" si="6"/>
        <v>184.5462284</v>
      </c>
    </row>
    <row r="235">
      <c r="A235" s="50">
        <v>51203.0</v>
      </c>
      <c r="B235" s="50" t="s">
        <v>288</v>
      </c>
      <c r="C235" s="51">
        <v>14338.0</v>
      </c>
      <c r="D235" s="52">
        <v>79.4</v>
      </c>
      <c r="E235" s="53">
        <v>26.7</v>
      </c>
      <c r="F235" s="54">
        <f t="shared" si="2"/>
        <v>13.7184</v>
      </c>
      <c r="G235" s="54">
        <f t="shared" si="21"/>
        <v>0.8577529078</v>
      </c>
      <c r="H235" s="55">
        <f t="shared" si="4"/>
        <v>22.90200264</v>
      </c>
      <c r="I235" s="56">
        <f t="shared" si="5"/>
        <v>3283.689138</v>
      </c>
      <c r="J235" s="63"/>
      <c r="K235" s="63"/>
      <c r="L235" s="64"/>
      <c r="M235" s="57">
        <v>1437.0</v>
      </c>
      <c r="N235" s="51">
        <f t="shared" si="6"/>
        <v>329.1017779</v>
      </c>
    </row>
    <row r="236">
      <c r="A236" s="50">
        <v>51204.0</v>
      </c>
      <c r="B236" s="50" t="s">
        <v>289</v>
      </c>
      <c r="C236" s="51">
        <v>5829.0</v>
      </c>
      <c r="D236" s="52">
        <v>0.0</v>
      </c>
      <c r="E236" s="53">
        <v>26.7</v>
      </c>
      <c r="F236" s="54">
        <f t="shared" si="2"/>
        <v>18.8</v>
      </c>
      <c r="G236" s="54">
        <f t="shared" si="21"/>
        <v>1.175483633</v>
      </c>
      <c r="H236" s="55">
        <f t="shared" si="4"/>
        <v>31.38541299</v>
      </c>
      <c r="I236" s="56">
        <f t="shared" si="5"/>
        <v>1829.455723</v>
      </c>
      <c r="J236" s="63"/>
      <c r="K236" s="63"/>
      <c r="L236" s="64"/>
      <c r="M236" s="57">
        <v>449.0</v>
      </c>
      <c r="N236" s="51">
        <f t="shared" si="6"/>
        <v>140.9205043</v>
      </c>
    </row>
    <row r="237">
      <c r="A237" s="50">
        <v>51301.0</v>
      </c>
      <c r="B237" s="50" t="s">
        <v>290</v>
      </c>
      <c r="C237" s="51">
        <v>3708.0</v>
      </c>
      <c r="D237" s="52">
        <v>0.0</v>
      </c>
      <c r="E237" s="53">
        <v>26.7</v>
      </c>
      <c r="F237" s="54">
        <f t="shared" si="2"/>
        <v>18.8</v>
      </c>
      <c r="G237" s="54">
        <f t="shared" si="21"/>
        <v>1.175483633</v>
      </c>
      <c r="H237" s="55">
        <f t="shared" si="4"/>
        <v>31.38541299</v>
      </c>
      <c r="I237" s="56">
        <f t="shared" si="5"/>
        <v>1163.771114</v>
      </c>
      <c r="J237" s="63"/>
      <c r="K237" s="63"/>
      <c r="L237" s="64"/>
      <c r="M237" s="57">
        <v>347.0</v>
      </c>
      <c r="N237" s="51">
        <f t="shared" si="6"/>
        <v>108.9073831</v>
      </c>
    </row>
    <row r="238">
      <c r="A238" s="50">
        <v>51302.0</v>
      </c>
      <c r="B238" s="50" t="s">
        <v>291</v>
      </c>
      <c r="C238" s="51">
        <v>4612.0</v>
      </c>
      <c r="D238" s="52">
        <v>0.0</v>
      </c>
      <c r="E238" s="53">
        <v>26.7</v>
      </c>
      <c r="F238" s="54">
        <f t="shared" si="2"/>
        <v>18.8</v>
      </c>
      <c r="G238" s="54">
        <f t="shared" si="21"/>
        <v>1.175483633</v>
      </c>
      <c r="H238" s="55">
        <f t="shared" si="4"/>
        <v>31.38541299</v>
      </c>
      <c r="I238" s="56">
        <f t="shared" si="5"/>
        <v>1447.495247</v>
      </c>
      <c r="J238" s="63"/>
      <c r="K238" s="63"/>
      <c r="L238" s="64"/>
      <c r="M238" s="57">
        <v>339.0</v>
      </c>
      <c r="N238" s="51">
        <f t="shared" si="6"/>
        <v>106.39655</v>
      </c>
    </row>
    <row r="239">
      <c r="A239" s="50">
        <v>51401.0</v>
      </c>
      <c r="B239" s="50" t="s">
        <v>292</v>
      </c>
      <c r="C239" s="51">
        <v>4184.0</v>
      </c>
      <c r="D239" s="52">
        <v>0.0</v>
      </c>
      <c r="E239" s="53">
        <v>26.7</v>
      </c>
      <c r="F239" s="54">
        <f t="shared" si="2"/>
        <v>18.8</v>
      </c>
      <c r="G239" s="54">
        <f t="shared" si="21"/>
        <v>1.175483633</v>
      </c>
      <c r="H239" s="55">
        <f t="shared" si="4"/>
        <v>31.38541299</v>
      </c>
      <c r="I239" s="56">
        <f t="shared" si="5"/>
        <v>1313.16568</v>
      </c>
      <c r="J239" s="63"/>
      <c r="K239" s="63"/>
      <c r="L239" s="64"/>
      <c r="M239" s="57">
        <v>294.0</v>
      </c>
      <c r="N239" s="51">
        <f t="shared" si="6"/>
        <v>92.2731142</v>
      </c>
    </row>
    <row r="240">
      <c r="A240" s="50">
        <v>51402.0</v>
      </c>
      <c r="B240" s="50" t="s">
        <v>293</v>
      </c>
      <c r="C240" s="51">
        <v>1559.0</v>
      </c>
      <c r="D240" s="52">
        <v>0.0</v>
      </c>
      <c r="E240" s="53">
        <v>26.7</v>
      </c>
      <c r="F240" s="54">
        <f t="shared" si="2"/>
        <v>18.8</v>
      </c>
      <c r="G240" s="54">
        <f t="shared" si="21"/>
        <v>1.175483633</v>
      </c>
      <c r="H240" s="55">
        <f t="shared" si="4"/>
        <v>31.38541299</v>
      </c>
      <c r="I240" s="56">
        <f t="shared" si="5"/>
        <v>489.2985886</v>
      </c>
      <c r="J240" s="50"/>
      <c r="K240" s="50"/>
      <c r="L240" s="50"/>
      <c r="M240" s="57">
        <v>96.0</v>
      </c>
      <c r="N240" s="51">
        <f t="shared" si="6"/>
        <v>30.12999647</v>
      </c>
    </row>
    <row r="241">
      <c r="A241" s="50">
        <v>51501.0</v>
      </c>
      <c r="B241" s="50" t="s">
        <v>294</v>
      </c>
      <c r="C241" s="51">
        <v>48971.0</v>
      </c>
      <c r="D241" s="52">
        <v>83.7</v>
      </c>
      <c r="E241" s="53">
        <v>26.7</v>
      </c>
      <c r="F241" s="54">
        <f t="shared" si="2"/>
        <v>13.4432</v>
      </c>
      <c r="G241" s="54">
        <f t="shared" si="21"/>
        <v>0.8405458282</v>
      </c>
      <c r="H241" s="55">
        <f t="shared" si="4"/>
        <v>22.44257361</v>
      </c>
      <c r="I241" s="56">
        <f t="shared" si="5"/>
        <v>10990.35272</v>
      </c>
      <c r="J241" s="63"/>
      <c r="K241" s="63"/>
      <c r="L241" s="64"/>
      <c r="M241" s="57">
        <v>3892.0</v>
      </c>
      <c r="N241" s="51">
        <f t="shared" si="6"/>
        <v>873.4649651</v>
      </c>
    </row>
    <row r="242">
      <c r="A242" s="50">
        <v>51601.0</v>
      </c>
      <c r="B242" s="50" t="s">
        <v>295</v>
      </c>
      <c r="C242" s="51">
        <v>2089.0</v>
      </c>
      <c r="D242" s="52">
        <v>0.0</v>
      </c>
      <c r="E242" s="53">
        <v>26.7</v>
      </c>
      <c r="F242" s="54">
        <f t="shared" si="2"/>
        <v>18.8</v>
      </c>
      <c r="G242" s="54">
        <f t="shared" si="21"/>
        <v>1.175483633</v>
      </c>
      <c r="H242" s="55">
        <f t="shared" si="4"/>
        <v>31.38541299</v>
      </c>
      <c r="I242" s="56">
        <f t="shared" si="5"/>
        <v>655.6412774</v>
      </c>
      <c r="J242" s="63"/>
      <c r="K242" s="63"/>
      <c r="L242" s="64"/>
      <c r="M242" s="57">
        <v>155.0</v>
      </c>
      <c r="N242" s="51">
        <f t="shared" si="6"/>
        <v>48.64739014</v>
      </c>
    </row>
    <row r="243">
      <c r="A243" s="50">
        <v>60101.0</v>
      </c>
      <c r="B243" s="50" t="s">
        <v>61</v>
      </c>
      <c r="C243" s="51">
        <v>235968.0</v>
      </c>
      <c r="D243" s="52">
        <v>90.1</v>
      </c>
      <c r="E243" s="53">
        <v>9.1</v>
      </c>
      <c r="F243" s="54">
        <f t="shared" si="2"/>
        <v>13.0336</v>
      </c>
      <c r="G243" s="54">
        <f t="shared" ref="G243:G253" si="22">1.19*F243/F$345</f>
        <v>0.9063299033</v>
      </c>
      <c r="H243" s="55">
        <f t="shared" si="4"/>
        <v>8.24760212</v>
      </c>
      <c r="I243" s="56">
        <f t="shared" si="5"/>
        <v>19461.70177</v>
      </c>
      <c r="J243" s="57">
        <f>SUM(C243:C253)</f>
        <v>529987</v>
      </c>
      <c r="K243" s="57">
        <f>SUM(I243:I253)</f>
        <v>48229.67392</v>
      </c>
      <c r="L243" s="58">
        <f>K243/J243</f>
        <v>0.09100161688</v>
      </c>
      <c r="M243" s="57">
        <v>14696.0</v>
      </c>
      <c r="N243" s="51">
        <f t="shared" si="6"/>
        <v>1212.067608</v>
      </c>
    </row>
    <row r="244">
      <c r="A244" s="50">
        <v>60201.0</v>
      </c>
      <c r="B244" s="50" t="s">
        <v>296</v>
      </c>
      <c r="C244" s="51">
        <v>17889.0</v>
      </c>
      <c r="D244" s="52">
        <v>0.0</v>
      </c>
      <c r="E244" s="53">
        <v>9.1</v>
      </c>
      <c r="F244" s="54">
        <f t="shared" si="2"/>
        <v>18.8</v>
      </c>
      <c r="G244" s="54">
        <f t="shared" si="22"/>
        <v>1.307313573</v>
      </c>
      <c r="H244" s="55">
        <f t="shared" si="4"/>
        <v>11.89655351</v>
      </c>
      <c r="I244" s="56">
        <f t="shared" si="5"/>
        <v>2128.174458</v>
      </c>
      <c r="J244" s="63"/>
      <c r="K244" s="63"/>
      <c r="L244" s="64"/>
      <c r="M244" s="57">
        <v>1167.0</v>
      </c>
      <c r="N244" s="51">
        <f t="shared" si="6"/>
        <v>138.8327795</v>
      </c>
    </row>
    <row r="245">
      <c r="A245" s="50">
        <v>60202.0</v>
      </c>
      <c r="B245" s="50" t="s">
        <v>297</v>
      </c>
      <c r="C245" s="51">
        <v>36765.0</v>
      </c>
      <c r="D245" s="52">
        <v>88.7</v>
      </c>
      <c r="E245" s="53">
        <v>9.1</v>
      </c>
      <c r="F245" s="54">
        <f t="shared" si="2"/>
        <v>13.1232</v>
      </c>
      <c r="G245" s="54">
        <f t="shared" si="22"/>
        <v>0.9125605042</v>
      </c>
      <c r="H245" s="55">
        <f t="shared" si="4"/>
        <v>8.304300588</v>
      </c>
      <c r="I245" s="56">
        <f t="shared" si="5"/>
        <v>3053.076111</v>
      </c>
      <c r="J245" s="63"/>
      <c r="K245" s="63"/>
      <c r="L245" s="64"/>
      <c r="M245" s="57">
        <v>2526.0</v>
      </c>
      <c r="N245" s="51">
        <f t="shared" si="6"/>
        <v>209.7666329</v>
      </c>
    </row>
    <row r="246">
      <c r="A246" s="50">
        <v>60301.0</v>
      </c>
      <c r="B246" s="50" t="s">
        <v>298</v>
      </c>
      <c r="C246" s="51">
        <v>97185.0</v>
      </c>
      <c r="D246" s="52">
        <v>73.6</v>
      </c>
      <c r="E246" s="53">
        <v>9.1</v>
      </c>
      <c r="F246" s="54">
        <f t="shared" si="2"/>
        <v>14.0896</v>
      </c>
      <c r="G246" s="54">
        <f t="shared" si="22"/>
        <v>0.9797619848</v>
      </c>
      <c r="H246" s="55">
        <f t="shared" si="4"/>
        <v>8.915834062</v>
      </c>
      <c r="I246" s="56">
        <f t="shared" si="5"/>
        <v>8664.853333</v>
      </c>
      <c r="J246" s="63"/>
      <c r="K246" s="63"/>
      <c r="L246" s="64"/>
      <c r="M246" s="57">
        <v>7411.0</v>
      </c>
      <c r="N246" s="51">
        <f t="shared" si="6"/>
        <v>660.7524623</v>
      </c>
    </row>
    <row r="247">
      <c r="A247" s="50">
        <v>60302.0</v>
      </c>
      <c r="B247" s="50" t="s">
        <v>299</v>
      </c>
      <c r="C247" s="51">
        <v>15543.0</v>
      </c>
      <c r="D247" s="52">
        <v>25.6</v>
      </c>
      <c r="E247" s="53">
        <v>9.1</v>
      </c>
      <c r="F247" s="54">
        <f t="shared" si="2"/>
        <v>17.1616</v>
      </c>
      <c r="G247" s="54">
        <f t="shared" si="22"/>
        <v>1.193382586</v>
      </c>
      <c r="H247" s="55">
        <f t="shared" si="4"/>
        <v>10.85978153</v>
      </c>
      <c r="I247" s="56">
        <f t="shared" si="5"/>
        <v>1687.935843</v>
      </c>
      <c r="J247" s="63"/>
      <c r="K247" s="63"/>
      <c r="L247" s="64"/>
      <c r="M247" s="57">
        <v>1252.0</v>
      </c>
      <c r="N247" s="51">
        <f t="shared" si="6"/>
        <v>135.9644648</v>
      </c>
    </row>
    <row r="248">
      <c r="A248" s="50">
        <v>60303.0</v>
      </c>
      <c r="B248" s="50" t="s">
        <v>300</v>
      </c>
      <c r="C248" s="51">
        <v>45554.0</v>
      </c>
      <c r="D248" s="52">
        <v>72.4</v>
      </c>
      <c r="E248" s="53">
        <v>9.1</v>
      </c>
      <c r="F248" s="54">
        <f t="shared" si="2"/>
        <v>14.1664</v>
      </c>
      <c r="G248" s="54">
        <f t="shared" si="22"/>
        <v>0.9851024999</v>
      </c>
      <c r="H248" s="55">
        <f t="shared" si="4"/>
        <v>8.964432749</v>
      </c>
      <c r="I248" s="56">
        <f t="shared" si="5"/>
        <v>4083.657694</v>
      </c>
      <c r="J248" s="63"/>
      <c r="K248" s="63"/>
      <c r="L248" s="64"/>
      <c r="M248" s="57">
        <v>3575.0</v>
      </c>
      <c r="N248" s="51">
        <f t="shared" si="6"/>
        <v>320.4784708</v>
      </c>
    </row>
    <row r="249">
      <c r="A249" s="50">
        <v>60401.0</v>
      </c>
      <c r="B249" s="50" t="s">
        <v>301</v>
      </c>
      <c r="C249" s="51">
        <v>15828.0</v>
      </c>
      <c r="D249" s="52">
        <v>14.2</v>
      </c>
      <c r="E249" s="53">
        <v>9.1</v>
      </c>
      <c r="F249" s="54">
        <f t="shared" si="2"/>
        <v>17.8912</v>
      </c>
      <c r="G249" s="54">
        <f t="shared" si="22"/>
        <v>1.244117478</v>
      </c>
      <c r="H249" s="55">
        <f t="shared" si="4"/>
        <v>11.32146905</v>
      </c>
      <c r="I249" s="56">
        <f t="shared" si="5"/>
        <v>1791.962122</v>
      </c>
      <c r="J249" s="63"/>
      <c r="K249" s="63"/>
      <c r="L249" s="64"/>
      <c r="M249" s="57">
        <v>1096.0</v>
      </c>
      <c r="N249" s="51">
        <f t="shared" si="6"/>
        <v>124.0833008</v>
      </c>
    </row>
    <row r="250">
      <c r="A250" s="50">
        <v>60402.0</v>
      </c>
      <c r="B250" s="50" t="s">
        <v>302</v>
      </c>
      <c r="C250" s="51">
        <v>4815.0</v>
      </c>
      <c r="D250" s="52">
        <v>0.0</v>
      </c>
      <c r="E250" s="53">
        <v>9.1</v>
      </c>
      <c r="F250" s="54">
        <f t="shared" si="2"/>
        <v>18.8</v>
      </c>
      <c r="G250" s="54">
        <f t="shared" si="22"/>
        <v>1.307313573</v>
      </c>
      <c r="H250" s="55">
        <f t="shared" si="4"/>
        <v>11.89655351</v>
      </c>
      <c r="I250" s="56">
        <f t="shared" si="5"/>
        <v>572.8190516</v>
      </c>
      <c r="J250" s="63"/>
      <c r="K250" s="63"/>
      <c r="L250" s="64"/>
      <c r="M250" s="57">
        <v>387.0</v>
      </c>
      <c r="N250" s="51">
        <f t="shared" si="6"/>
        <v>46.03966209</v>
      </c>
    </row>
    <row r="251">
      <c r="A251" s="50">
        <v>60501.0</v>
      </c>
      <c r="B251" s="50" t="s">
        <v>303</v>
      </c>
      <c r="C251" s="51">
        <v>29806.0</v>
      </c>
      <c r="D251" s="52">
        <v>19.4</v>
      </c>
      <c r="E251" s="53">
        <v>9.1</v>
      </c>
      <c r="F251" s="54">
        <f t="shared" si="2"/>
        <v>17.5584</v>
      </c>
      <c r="G251" s="54">
        <f t="shared" si="22"/>
        <v>1.220975247</v>
      </c>
      <c r="H251" s="55">
        <f t="shared" si="4"/>
        <v>11.11087474</v>
      </c>
      <c r="I251" s="56">
        <f t="shared" si="5"/>
        <v>3311.707326</v>
      </c>
      <c r="J251" s="50"/>
      <c r="K251" s="50"/>
      <c r="L251" s="50"/>
      <c r="M251" s="57">
        <v>1980.0</v>
      </c>
      <c r="N251" s="51">
        <f t="shared" si="6"/>
        <v>219.9953199</v>
      </c>
    </row>
    <row r="252">
      <c r="A252" s="50">
        <v>60502.0</v>
      </c>
      <c r="B252" s="50" t="s">
        <v>304</v>
      </c>
      <c r="C252" s="51">
        <v>9676.0</v>
      </c>
      <c r="D252" s="52">
        <v>0.0</v>
      </c>
      <c r="E252" s="53">
        <v>9.1</v>
      </c>
      <c r="F252" s="54">
        <f t="shared" si="2"/>
        <v>18.8</v>
      </c>
      <c r="G252" s="54">
        <f t="shared" si="22"/>
        <v>1.307313573</v>
      </c>
      <c r="H252" s="55">
        <f t="shared" si="4"/>
        <v>11.89655351</v>
      </c>
      <c r="I252" s="56">
        <f t="shared" si="5"/>
        <v>1151.110518</v>
      </c>
      <c r="J252" s="63"/>
      <c r="K252" s="63"/>
      <c r="L252" s="64"/>
      <c r="M252" s="57">
        <v>656.0</v>
      </c>
      <c r="N252" s="51">
        <f t="shared" si="6"/>
        <v>78.04139104</v>
      </c>
    </row>
    <row r="253">
      <c r="A253" s="50">
        <v>60601.0</v>
      </c>
      <c r="B253" s="50" t="s">
        <v>209</v>
      </c>
      <c r="C253" s="51">
        <v>20958.0</v>
      </c>
      <c r="D253" s="52">
        <v>20.1</v>
      </c>
      <c r="E253" s="53">
        <v>9.1</v>
      </c>
      <c r="F253" s="54">
        <f t="shared" si="2"/>
        <v>17.5136</v>
      </c>
      <c r="G253" s="54">
        <f t="shared" si="22"/>
        <v>1.217859946</v>
      </c>
      <c r="H253" s="55">
        <f t="shared" si="4"/>
        <v>11.08252551</v>
      </c>
      <c r="I253" s="56">
        <f t="shared" si="5"/>
        <v>2322.675696</v>
      </c>
      <c r="J253" s="63"/>
      <c r="K253" s="63"/>
      <c r="L253" s="64"/>
      <c r="M253" s="57">
        <v>1610.0</v>
      </c>
      <c r="N253" s="51">
        <f t="shared" si="6"/>
        <v>178.4286607</v>
      </c>
    </row>
    <row r="254">
      <c r="A254" s="50">
        <v>70101.0</v>
      </c>
      <c r="B254" s="50" t="s">
        <v>305</v>
      </c>
      <c r="C254" s="51">
        <v>1597102.0</v>
      </c>
      <c r="D254" s="52">
        <v>99.4</v>
      </c>
      <c r="E254" s="53">
        <v>10.1</v>
      </c>
      <c r="F254" s="54">
        <f t="shared" si="2"/>
        <v>12.4384</v>
      </c>
      <c r="G254" s="54">
        <f t="shared" ref="G254:G309" si="23">1.27*F254/F$345</f>
        <v>0.9230882001</v>
      </c>
      <c r="H254" s="55">
        <f t="shared" si="4"/>
        <v>9.323190821</v>
      </c>
      <c r="I254" s="56">
        <f t="shared" si="5"/>
        <v>148900.8671</v>
      </c>
      <c r="J254" s="57">
        <f>SUM(C254:C309)</f>
        <v>3083870</v>
      </c>
      <c r="K254" s="57">
        <f>SUM(I254:I309)</f>
        <v>312257.0632</v>
      </c>
      <c r="L254" s="58">
        <f>K254/J254</f>
        <v>0.1012549372</v>
      </c>
      <c r="M254" s="57">
        <v>117053.0</v>
      </c>
      <c r="N254" s="51">
        <f t="shared" si="6"/>
        <v>10913.07455</v>
      </c>
    </row>
    <row r="255">
      <c r="A255" s="50">
        <v>70102.0</v>
      </c>
      <c r="B255" s="50" t="s">
        <v>306</v>
      </c>
      <c r="C255" s="51">
        <v>102356.0</v>
      </c>
      <c r="D255" s="52">
        <v>82.8</v>
      </c>
      <c r="E255" s="53">
        <v>10.1</v>
      </c>
      <c r="F255" s="54">
        <f t="shared" si="2"/>
        <v>13.5008</v>
      </c>
      <c r="G255" s="54">
        <f t="shared" si="23"/>
        <v>1.001931854</v>
      </c>
      <c r="H255" s="55">
        <f t="shared" si="4"/>
        <v>10.11951172</v>
      </c>
      <c r="I255" s="56">
        <f t="shared" si="5"/>
        <v>10357.92742</v>
      </c>
      <c r="J255" s="63"/>
      <c r="K255" s="63"/>
      <c r="L255" s="64"/>
      <c r="M255" s="57">
        <v>9604.0</v>
      </c>
      <c r="N255" s="51">
        <f t="shared" si="6"/>
        <v>971.877906</v>
      </c>
    </row>
    <row r="256">
      <c r="A256" s="50">
        <v>70103.0</v>
      </c>
      <c r="B256" s="50" t="s">
        <v>307</v>
      </c>
      <c r="C256" s="51">
        <v>22475.0</v>
      </c>
      <c r="D256" s="52">
        <v>47.2</v>
      </c>
      <c r="E256" s="53">
        <v>10.1</v>
      </c>
      <c r="F256" s="54">
        <f t="shared" si="2"/>
        <v>15.7792</v>
      </c>
      <c r="G256" s="54">
        <f t="shared" si="23"/>
        <v>1.171018244</v>
      </c>
      <c r="H256" s="55">
        <f t="shared" si="4"/>
        <v>11.82728427</v>
      </c>
      <c r="I256" s="56">
        <f t="shared" si="5"/>
        <v>2658.182139</v>
      </c>
      <c r="J256" s="63"/>
      <c r="K256" s="63"/>
      <c r="L256" s="64"/>
      <c r="M256" s="57">
        <v>1608.0</v>
      </c>
      <c r="N256" s="51">
        <f t="shared" si="6"/>
        <v>190.182731</v>
      </c>
    </row>
    <row r="257">
      <c r="A257" s="50">
        <v>70104.0</v>
      </c>
      <c r="B257" s="50" t="s">
        <v>308</v>
      </c>
      <c r="C257" s="51">
        <v>142856.0</v>
      </c>
      <c r="D257" s="52">
        <v>94.1</v>
      </c>
      <c r="E257" s="53">
        <v>10.1</v>
      </c>
      <c r="F257" s="54">
        <f t="shared" si="2"/>
        <v>12.7776</v>
      </c>
      <c r="G257" s="54">
        <f t="shared" si="23"/>
        <v>0.9482611739</v>
      </c>
      <c r="H257" s="55">
        <f t="shared" si="4"/>
        <v>9.577437857</v>
      </c>
      <c r="I257" s="56">
        <f t="shared" si="5"/>
        <v>13681.94462</v>
      </c>
      <c r="J257" s="63"/>
      <c r="K257" s="63"/>
      <c r="L257" s="64"/>
      <c r="M257" s="57">
        <v>12051.0</v>
      </c>
      <c r="N257" s="51">
        <f t="shared" si="6"/>
        <v>1154.177036</v>
      </c>
    </row>
    <row r="258">
      <c r="A258" s="50">
        <v>70105.0</v>
      </c>
      <c r="B258" s="50" t="s">
        <v>309</v>
      </c>
      <c r="C258" s="51">
        <v>55193.0</v>
      </c>
      <c r="D258" s="52">
        <v>71.2</v>
      </c>
      <c r="E258" s="53">
        <v>10.1</v>
      </c>
      <c r="F258" s="54">
        <f t="shared" si="2"/>
        <v>14.2432</v>
      </c>
      <c r="G258" s="54">
        <f t="shared" si="23"/>
        <v>1.057027419</v>
      </c>
      <c r="H258" s="55">
        <f t="shared" si="4"/>
        <v>10.67597693</v>
      </c>
      <c r="I258" s="56">
        <f t="shared" si="5"/>
        <v>5892.391949</v>
      </c>
      <c r="J258" s="63"/>
      <c r="K258" s="63"/>
      <c r="L258" s="64"/>
      <c r="M258" s="57">
        <v>4479.0</v>
      </c>
      <c r="N258" s="51">
        <f t="shared" si="6"/>
        <v>478.1770069</v>
      </c>
    </row>
    <row r="259">
      <c r="A259" s="50">
        <v>70201.0</v>
      </c>
      <c r="B259" s="50" t="s">
        <v>310</v>
      </c>
      <c r="C259" s="51">
        <v>146678.0</v>
      </c>
      <c r="D259" s="52">
        <v>88.8</v>
      </c>
      <c r="E259" s="53">
        <v>10.1</v>
      </c>
      <c r="F259" s="54">
        <f t="shared" si="2"/>
        <v>13.1168</v>
      </c>
      <c r="G259" s="54">
        <f t="shared" si="23"/>
        <v>0.9734341477</v>
      </c>
      <c r="H259" s="55">
        <f t="shared" si="4"/>
        <v>9.831684892</v>
      </c>
      <c r="I259" s="56">
        <f t="shared" si="5"/>
        <v>14420.91877</v>
      </c>
      <c r="J259" s="63"/>
      <c r="K259" s="63"/>
      <c r="L259" s="64"/>
      <c r="M259" s="57">
        <v>12908.0</v>
      </c>
      <c r="N259" s="51">
        <f t="shared" si="6"/>
        <v>1269.073886</v>
      </c>
    </row>
    <row r="260">
      <c r="A260" s="50">
        <v>70202.0</v>
      </c>
      <c r="B260" s="50" t="s">
        <v>311</v>
      </c>
      <c r="C260" s="51">
        <v>10816.0</v>
      </c>
      <c r="D260" s="52">
        <v>48.9</v>
      </c>
      <c r="E260" s="53">
        <v>10.1</v>
      </c>
      <c r="F260" s="54">
        <f t="shared" si="2"/>
        <v>15.6704</v>
      </c>
      <c r="G260" s="54">
        <f t="shared" si="23"/>
        <v>1.162943894</v>
      </c>
      <c r="H260" s="55">
        <f t="shared" si="4"/>
        <v>11.74573333</v>
      </c>
      <c r="I260" s="56">
        <f t="shared" si="5"/>
        <v>1270.418517</v>
      </c>
      <c r="J260" s="63"/>
      <c r="K260" s="63"/>
      <c r="L260" s="64"/>
      <c r="M260" s="57">
        <v>1007.0</v>
      </c>
      <c r="N260" s="51">
        <f t="shared" si="6"/>
        <v>118.2795346</v>
      </c>
    </row>
    <row r="261">
      <c r="A261" s="50">
        <v>70301.0</v>
      </c>
      <c r="B261" s="50" t="s">
        <v>312</v>
      </c>
      <c r="C261" s="51">
        <v>65875.0</v>
      </c>
      <c r="D261" s="52">
        <v>47.4</v>
      </c>
      <c r="E261" s="53">
        <v>10.1</v>
      </c>
      <c r="F261" s="54">
        <f t="shared" si="2"/>
        <v>15.7664</v>
      </c>
      <c r="G261" s="54">
        <f t="shared" si="23"/>
        <v>1.170068321</v>
      </c>
      <c r="H261" s="55">
        <f t="shared" si="4"/>
        <v>11.81769004</v>
      </c>
      <c r="I261" s="56">
        <f t="shared" si="5"/>
        <v>7784.903312</v>
      </c>
      <c r="J261" s="63"/>
      <c r="K261" s="63"/>
      <c r="L261" s="64"/>
      <c r="M261" s="57">
        <v>7322.0</v>
      </c>
      <c r="N261" s="51">
        <f t="shared" si="6"/>
        <v>865.2912645</v>
      </c>
    </row>
    <row r="262">
      <c r="A262" s="50">
        <v>70302.0</v>
      </c>
      <c r="B262" s="50" t="s">
        <v>313</v>
      </c>
      <c r="C262" s="51">
        <v>14913.0</v>
      </c>
      <c r="D262" s="52">
        <v>35.4</v>
      </c>
      <c r="E262" s="53">
        <v>10.1</v>
      </c>
      <c r="F262" s="54">
        <f t="shared" si="2"/>
        <v>16.5344</v>
      </c>
      <c r="G262" s="54">
        <f t="shared" si="23"/>
        <v>1.227063733</v>
      </c>
      <c r="H262" s="55">
        <f t="shared" si="4"/>
        <v>12.3933437</v>
      </c>
      <c r="I262" s="56">
        <f t="shared" si="5"/>
        <v>1848.219346</v>
      </c>
      <c r="J262" s="63"/>
      <c r="K262" s="63"/>
      <c r="L262" s="64"/>
      <c r="M262" s="57">
        <v>1501.0</v>
      </c>
      <c r="N262" s="51">
        <f t="shared" si="6"/>
        <v>186.024089</v>
      </c>
    </row>
    <row r="263">
      <c r="A263" s="50">
        <v>70303.0</v>
      </c>
      <c r="B263" s="50" t="s">
        <v>314</v>
      </c>
      <c r="C263" s="51">
        <v>8617.0</v>
      </c>
      <c r="D263" s="52">
        <v>33.6</v>
      </c>
      <c r="E263" s="53">
        <v>10.1</v>
      </c>
      <c r="F263" s="54">
        <f t="shared" si="2"/>
        <v>16.6496</v>
      </c>
      <c r="G263" s="54">
        <f t="shared" si="23"/>
        <v>1.235613045</v>
      </c>
      <c r="H263" s="55">
        <f t="shared" si="4"/>
        <v>12.47969175</v>
      </c>
      <c r="I263" s="56">
        <f t="shared" si="5"/>
        <v>1075.375038</v>
      </c>
      <c r="J263" s="63"/>
      <c r="K263" s="63"/>
      <c r="L263" s="64"/>
      <c r="M263" s="57">
        <v>850.0</v>
      </c>
      <c r="N263" s="51">
        <f t="shared" si="6"/>
        <v>106.0773799</v>
      </c>
    </row>
    <row r="264">
      <c r="A264" s="50">
        <v>70401.0</v>
      </c>
      <c r="B264" s="50" t="s">
        <v>315</v>
      </c>
      <c r="C264" s="51">
        <v>13587.0</v>
      </c>
      <c r="D264" s="52">
        <v>40.1</v>
      </c>
      <c r="E264" s="53">
        <v>10.1</v>
      </c>
      <c r="F264" s="54">
        <f t="shared" si="2"/>
        <v>16.2336</v>
      </c>
      <c r="G264" s="54">
        <f t="shared" si="23"/>
        <v>1.20474053</v>
      </c>
      <c r="H264" s="55">
        <f t="shared" si="4"/>
        <v>12.16787935</v>
      </c>
      <c r="I264" s="56">
        <f t="shared" si="5"/>
        <v>1653.249767</v>
      </c>
      <c r="J264" s="63"/>
      <c r="K264" s="63"/>
      <c r="L264" s="64"/>
      <c r="M264" s="57">
        <v>1141.0</v>
      </c>
      <c r="N264" s="51">
        <f t="shared" si="6"/>
        <v>138.8355034</v>
      </c>
    </row>
    <row r="265">
      <c r="A265" s="50">
        <v>70402.0</v>
      </c>
      <c r="B265" s="50" t="s">
        <v>316</v>
      </c>
      <c r="C265" s="51">
        <v>19038.0</v>
      </c>
      <c r="D265" s="52">
        <v>66.8</v>
      </c>
      <c r="E265" s="53">
        <v>10.1</v>
      </c>
      <c r="F265" s="54">
        <f t="shared" si="2"/>
        <v>14.5248</v>
      </c>
      <c r="G265" s="54">
        <f t="shared" si="23"/>
        <v>1.077925737</v>
      </c>
      <c r="H265" s="55">
        <f t="shared" si="4"/>
        <v>10.88704995</v>
      </c>
      <c r="I265" s="56">
        <f t="shared" si="5"/>
        <v>2072.676569</v>
      </c>
      <c r="J265" s="63"/>
      <c r="K265" s="63"/>
      <c r="L265" s="64"/>
      <c r="M265" s="57">
        <v>1614.0</v>
      </c>
      <c r="N265" s="51">
        <f t="shared" si="6"/>
        <v>175.7169861</v>
      </c>
    </row>
    <row r="266">
      <c r="A266" s="50">
        <v>70403.0</v>
      </c>
      <c r="B266" s="50" t="s">
        <v>317</v>
      </c>
      <c r="C266" s="51">
        <v>57191.0</v>
      </c>
      <c r="D266" s="52">
        <v>62.4</v>
      </c>
      <c r="E266" s="53">
        <v>10.1</v>
      </c>
      <c r="F266" s="54">
        <f t="shared" si="2"/>
        <v>14.8064</v>
      </c>
      <c r="G266" s="54">
        <f t="shared" si="23"/>
        <v>1.098824055</v>
      </c>
      <c r="H266" s="55">
        <f t="shared" si="4"/>
        <v>11.09812296</v>
      </c>
      <c r="I266" s="56">
        <f t="shared" si="5"/>
        <v>6347.1275</v>
      </c>
      <c r="J266" s="63"/>
      <c r="K266" s="63"/>
      <c r="L266" s="64"/>
      <c r="M266" s="57">
        <v>4740.0</v>
      </c>
      <c r="N266" s="51">
        <f t="shared" si="6"/>
        <v>526.0510281</v>
      </c>
    </row>
    <row r="267">
      <c r="A267" s="50">
        <v>70404.0</v>
      </c>
      <c r="B267" s="50" t="s">
        <v>318</v>
      </c>
      <c r="C267" s="51">
        <v>10116.0</v>
      </c>
      <c r="D267" s="52">
        <v>59.7</v>
      </c>
      <c r="E267" s="53">
        <v>10.1</v>
      </c>
      <c r="F267" s="54">
        <f t="shared" si="2"/>
        <v>14.9792</v>
      </c>
      <c r="G267" s="54">
        <f t="shared" si="23"/>
        <v>1.111648023</v>
      </c>
      <c r="H267" s="55">
        <f t="shared" si="4"/>
        <v>11.22764503</v>
      </c>
      <c r="I267" s="56">
        <f t="shared" si="5"/>
        <v>1135.788571</v>
      </c>
      <c r="J267" s="63"/>
      <c r="K267" s="63"/>
      <c r="L267" s="64"/>
      <c r="M267" s="57">
        <v>888.0</v>
      </c>
      <c r="N267" s="51">
        <f t="shared" si="6"/>
        <v>99.70148787</v>
      </c>
    </row>
    <row r="268">
      <c r="A268" s="50">
        <v>70501.0</v>
      </c>
      <c r="B268" s="50" t="s">
        <v>319</v>
      </c>
      <c r="C268" s="51">
        <v>39970.0</v>
      </c>
      <c r="D268" s="52">
        <v>32.9</v>
      </c>
      <c r="E268" s="53">
        <v>10.1</v>
      </c>
      <c r="F268" s="54">
        <f t="shared" si="2"/>
        <v>16.6944</v>
      </c>
      <c r="G268" s="54">
        <f t="shared" si="23"/>
        <v>1.238937777</v>
      </c>
      <c r="H268" s="55">
        <f t="shared" si="4"/>
        <v>12.51327155</v>
      </c>
      <c r="I268" s="56">
        <f t="shared" si="5"/>
        <v>5001.554638</v>
      </c>
      <c r="J268" s="63"/>
      <c r="K268" s="63"/>
      <c r="L268" s="64"/>
      <c r="M268" s="57">
        <v>4777.0</v>
      </c>
      <c r="N268" s="51">
        <f t="shared" si="6"/>
        <v>597.7589819</v>
      </c>
    </row>
    <row r="269">
      <c r="A269" s="50">
        <v>70502.0</v>
      </c>
      <c r="B269" s="50" t="s">
        <v>320</v>
      </c>
      <c r="C269" s="51">
        <v>53109.0</v>
      </c>
      <c r="D269" s="52">
        <v>30.9</v>
      </c>
      <c r="E269" s="53">
        <v>10.1</v>
      </c>
      <c r="F269" s="54">
        <f t="shared" si="2"/>
        <v>16.8224</v>
      </c>
      <c r="G269" s="54">
        <f t="shared" si="23"/>
        <v>1.248437013</v>
      </c>
      <c r="H269" s="55">
        <f t="shared" si="4"/>
        <v>12.60921383</v>
      </c>
      <c r="I269" s="56">
        <f t="shared" si="5"/>
        <v>6696.627371</v>
      </c>
      <c r="J269" s="63"/>
      <c r="K269" s="63"/>
      <c r="L269" s="64"/>
      <c r="M269" s="57">
        <v>7164.0</v>
      </c>
      <c r="N269" s="51">
        <f t="shared" si="6"/>
        <v>903.3240786</v>
      </c>
    </row>
    <row r="270">
      <c r="A270" s="50">
        <v>70503.0</v>
      </c>
      <c r="B270" s="50" t="s">
        <v>321</v>
      </c>
      <c r="C270" s="51">
        <v>18503.0</v>
      </c>
      <c r="D270" s="52">
        <v>64.2</v>
      </c>
      <c r="E270" s="53">
        <v>10.1</v>
      </c>
      <c r="F270" s="54">
        <f t="shared" si="2"/>
        <v>14.6912</v>
      </c>
      <c r="G270" s="54">
        <f t="shared" si="23"/>
        <v>1.090274743</v>
      </c>
      <c r="H270" s="55">
        <f t="shared" si="4"/>
        <v>11.01177491</v>
      </c>
      <c r="I270" s="56">
        <f t="shared" si="5"/>
        <v>2037.508711</v>
      </c>
      <c r="J270" s="63"/>
      <c r="K270" s="63"/>
      <c r="L270" s="64"/>
      <c r="M270" s="57">
        <v>1636.0</v>
      </c>
      <c r="N270" s="51">
        <f t="shared" si="6"/>
        <v>180.1526375</v>
      </c>
    </row>
    <row r="271">
      <c r="A271" s="50">
        <v>70601.0</v>
      </c>
      <c r="B271" s="50" t="s">
        <v>322</v>
      </c>
      <c r="C271" s="51">
        <v>20505.0</v>
      </c>
      <c r="D271" s="52">
        <v>79.6</v>
      </c>
      <c r="E271" s="53">
        <v>10.1</v>
      </c>
      <c r="F271" s="54">
        <f t="shared" si="2"/>
        <v>13.7056</v>
      </c>
      <c r="G271" s="54">
        <f t="shared" si="23"/>
        <v>1.017130631</v>
      </c>
      <c r="H271" s="55">
        <f t="shared" si="4"/>
        <v>10.27301937</v>
      </c>
      <c r="I271" s="56">
        <f t="shared" si="5"/>
        <v>2106.482622</v>
      </c>
      <c r="J271" s="63"/>
      <c r="K271" s="63"/>
      <c r="L271" s="64"/>
      <c r="M271" s="57">
        <v>1758.0</v>
      </c>
      <c r="N271" s="51">
        <f t="shared" si="6"/>
        <v>180.5996805</v>
      </c>
    </row>
    <row r="272">
      <c r="A272" s="50">
        <v>70602.0</v>
      </c>
      <c r="B272" s="50" t="s">
        <v>323</v>
      </c>
      <c r="C272" s="51">
        <v>18101.0</v>
      </c>
      <c r="D272" s="52">
        <v>26.0</v>
      </c>
      <c r="E272" s="53">
        <v>10.1</v>
      </c>
      <c r="F272" s="54">
        <f t="shared" si="2"/>
        <v>17.136</v>
      </c>
      <c r="G272" s="54">
        <f t="shared" si="23"/>
        <v>1.271710139</v>
      </c>
      <c r="H272" s="55">
        <f t="shared" si="4"/>
        <v>12.84427241</v>
      </c>
      <c r="I272" s="56">
        <f t="shared" si="5"/>
        <v>2324.941748</v>
      </c>
      <c r="J272" s="63"/>
      <c r="K272" s="63"/>
      <c r="L272" s="64"/>
      <c r="M272" s="57">
        <v>1454.0</v>
      </c>
      <c r="N272" s="51">
        <f t="shared" si="6"/>
        <v>186.7557208</v>
      </c>
    </row>
    <row r="273">
      <c r="A273" s="50">
        <v>70603.0</v>
      </c>
      <c r="B273" s="50" t="s">
        <v>324</v>
      </c>
      <c r="C273" s="51">
        <v>6012.0</v>
      </c>
      <c r="D273" s="52">
        <v>82.5</v>
      </c>
      <c r="E273" s="53">
        <v>10.1</v>
      </c>
      <c r="F273" s="54">
        <f t="shared" si="2"/>
        <v>13.52</v>
      </c>
      <c r="G273" s="54">
        <f t="shared" si="23"/>
        <v>1.003356739</v>
      </c>
      <c r="H273" s="55">
        <f t="shared" si="4"/>
        <v>10.13390307</v>
      </c>
      <c r="I273" s="56">
        <f t="shared" si="5"/>
        <v>609.2502523</v>
      </c>
      <c r="J273" s="63"/>
      <c r="K273" s="63"/>
      <c r="L273" s="64"/>
      <c r="M273" s="57">
        <v>509.0</v>
      </c>
      <c r="N273" s="51">
        <f t="shared" si="6"/>
        <v>51.58156661</v>
      </c>
    </row>
    <row r="274">
      <c r="A274" s="50">
        <v>70701.0</v>
      </c>
      <c r="B274" s="50" t="s">
        <v>325</v>
      </c>
      <c r="C274" s="51">
        <v>5898.0</v>
      </c>
      <c r="D274" s="52">
        <v>0.0</v>
      </c>
      <c r="E274" s="53">
        <v>10.1</v>
      </c>
      <c r="F274" s="54">
        <f t="shared" si="2"/>
        <v>18.8</v>
      </c>
      <c r="G274" s="54">
        <f t="shared" si="23"/>
        <v>1.3952002</v>
      </c>
      <c r="H274" s="55">
        <f t="shared" si="4"/>
        <v>14.09152202</v>
      </c>
      <c r="I274" s="56">
        <f t="shared" si="5"/>
        <v>831.1179685</v>
      </c>
      <c r="J274" s="63"/>
      <c r="K274" s="63"/>
      <c r="L274" s="64"/>
      <c r="M274" s="57">
        <v>573.0</v>
      </c>
      <c r="N274" s="51">
        <f t="shared" si="6"/>
        <v>80.74442115</v>
      </c>
    </row>
    <row r="275">
      <c r="A275" s="50">
        <v>70702.0</v>
      </c>
      <c r="B275" s="50" t="s">
        <v>326</v>
      </c>
      <c r="C275" s="51">
        <v>37901.0</v>
      </c>
      <c r="D275" s="52">
        <v>14.4</v>
      </c>
      <c r="E275" s="53">
        <v>10.1</v>
      </c>
      <c r="F275" s="54">
        <f t="shared" si="2"/>
        <v>17.8784</v>
      </c>
      <c r="G275" s="54">
        <f t="shared" si="23"/>
        <v>1.326805705</v>
      </c>
      <c r="H275" s="55">
        <f t="shared" si="4"/>
        <v>13.40073762</v>
      </c>
      <c r="I275" s="56">
        <f t="shared" si="5"/>
        <v>5079.013564</v>
      </c>
      <c r="J275" s="63"/>
      <c r="K275" s="63"/>
      <c r="L275" s="64"/>
      <c r="M275" s="57">
        <v>4376.0</v>
      </c>
      <c r="N275" s="51">
        <f t="shared" si="6"/>
        <v>586.4162781</v>
      </c>
    </row>
    <row r="276">
      <c r="A276" s="50">
        <v>70703.0</v>
      </c>
      <c r="B276" s="50" t="s">
        <v>327</v>
      </c>
      <c r="C276" s="51">
        <v>32417.0</v>
      </c>
      <c r="D276" s="52">
        <v>26.3</v>
      </c>
      <c r="E276" s="53">
        <v>10.1</v>
      </c>
      <c r="F276" s="54">
        <f t="shared" si="2"/>
        <v>17.1168</v>
      </c>
      <c r="G276" s="54">
        <f t="shared" si="23"/>
        <v>1.270285254</v>
      </c>
      <c r="H276" s="55">
        <f t="shared" si="4"/>
        <v>12.82988107</v>
      </c>
      <c r="I276" s="56">
        <f t="shared" si="5"/>
        <v>4159.062545</v>
      </c>
      <c r="J276" s="63"/>
      <c r="K276" s="63"/>
      <c r="L276" s="64"/>
      <c r="M276" s="57">
        <v>3553.0</v>
      </c>
      <c r="N276" s="51">
        <f t="shared" si="6"/>
        <v>455.8456743</v>
      </c>
    </row>
    <row r="277">
      <c r="A277" s="50">
        <v>70704.0</v>
      </c>
      <c r="B277" s="50" t="s">
        <v>328</v>
      </c>
      <c r="C277" s="51">
        <v>5311.0</v>
      </c>
      <c r="D277" s="52">
        <v>54.6</v>
      </c>
      <c r="E277" s="53">
        <v>10.1</v>
      </c>
      <c r="F277" s="54">
        <f t="shared" si="2"/>
        <v>15.3056</v>
      </c>
      <c r="G277" s="54">
        <f t="shared" si="23"/>
        <v>1.135871073</v>
      </c>
      <c r="H277" s="55">
        <f t="shared" si="4"/>
        <v>11.47229784</v>
      </c>
      <c r="I277" s="56">
        <f t="shared" si="5"/>
        <v>609.2937382</v>
      </c>
      <c r="J277" s="63"/>
      <c r="K277" s="63"/>
      <c r="L277" s="64"/>
      <c r="M277" s="57">
        <v>401.0</v>
      </c>
      <c r="N277" s="51">
        <f t="shared" si="6"/>
        <v>46.00391433</v>
      </c>
    </row>
    <row r="278">
      <c r="A278" s="50">
        <v>70705.0</v>
      </c>
      <c r="B278" s="50" t="s">
        <v>329</v>
      </c>
      <c r="C278" s="51">
        <v>14213.0</v>
      </c>
      <c r="D278" s="52">
        <v>0.0</v>
      </c>
      <c r="E278" s="53">
        <v>10.1</v>
      </c>
      <c r="F278" s="54">
        <f t="shared" si="2"/>
        <v>18.8</v>
      </c>
      <c r="G278" s="54">
        <f t="shared" si="23"/>
        <v>1.3952002</v>
      </c>
      <c r="H278" s="55">
        <f t="shared" si="4"/>
        <v>14.09152202</v>
      </c>
      <c r="I278" s="56">
        <f t="shared" si="5"/>
        <v>2002.828024</v>
      </c>
      <c r="J278" s="63"/>
      <c r="K278" s="63"/>
      <c r="L278" s="64"/>
      <c r="M278" s="57">
        <v>1613.0</v>
      </c>
      <c r="N278" s="51">
        <f t="shared" si="6"/>
        <v>227.2962501</v>
      </c>
    </row>
    <row r="279">
      <c r="A279" s="50">
        <v>70706.0</v>
      </c>
      <c r="B279" s="50" t="s">
        <v>330</v>
      </c>
      <c r="C279" s="51">
        <v>32414.0</v>
      </c>
      <c r="D279" s="52">
        <v>80.6</v>
      </c>
      <c r="E279" s="53">
        <v>10.1</v>
      </c>
      <c r="F279" s="54">
        <f t="shared" si="2"/>
        <v>13.6416</v>
      </c>
      <c r="G279" s="54">
        <f t="shared" si="23"/>
        <v>1.012381013</v>
      </c>
      <c r="H279" s="55">
        <f t="shared" si="4"/>
        <v>10.22504823</v>
      </c>
      <c r="I279" s="56">
        <f t="shared" si="5"/>
        <v>3314.347133</v>
      </c>
      <c r="J279" s="63"/>
      <c r="K279" s="63"/>
      <c r="L279" s="64"/>
      <c r="M279" s="57">
        <v>2319.0</v>
      </c>
      <c r="N279" s="51">
        <f t="shared" si="6"/>
        <v>237.1188685</v>
      </c>
    </row>
    <row r="280">
      <c r="A280" s="50">
        <v>70707.0</v>
      </c>
      <c r="B280" s="50" t="s">
        <v>331</v>
      </c>
      <c r="C280" s="51">
        <v>5568.0</v>
      </c>
      <c r="D280" s="52">
        <v>68.9</v>
      </c>
      <c r="E280" s="53">
        <v>10.1</v>
      </c>
      <c r="F280" s="54">
        <f t="shared" si="2"/>
        <v>14.3904</v>
      </c>
      <c r="G280" s="54">
        <f t="shared" si="23"/>
        <v>1.06795154</v>
      </c>
      <c r="H280" s="55">
        <f t="shared" si="4"/>
        <v>10.78631055</v>
      </c>
      <c r="I280" s="56">
        <f t="shared" si="5"/>
        <v>600.5817716</v>
      </c>
      <c r="J280" s="63"/>
      <c r="K280" s="63"/>
      <c r="L280" s="64"/>
      <c r="M280" s="57">
        <v>587.0</v>
      </c>
      <c r="N280" s="51">
        <f t="shared" si="6"/>
        <v>63.31564295</v>
      </c>
    </row>
    <row r="281">
      <c r="A281" s="50">
        <v>70801.0</v>
      </c>
      <c r="B281" s="50" t="s">
        <v>332</v>
      </c>
      <c r="C281" s="51">
        <v>17246.0</v>
      </c>
      <c r="D281" s="52">
        <v>62.2</v>
      </c>
      <c r="E281" s="53">
        <v>10.1</v>
      </c>
      <c r="F281" s="54">
        <f t="shared" si="2"/>
        <v>14.8192</v>
      </c>
      <c r="G281" s="54">
        <f t="shared" si="23"/>
        <v>1.099773979</v>
      </c>
      <c r="H281" s="55">
        <f t="shared" si="4"/>
        <v>11.10771718</v>
      </c>
      <c r="I281" s="56">
        <f t="shared" si="5"/>
        <v>1915.636905</v>
      </c>
      <c r="J281" s="63"/>
      <c r="K281" s="63"/>
      <c r="L281" s="64"/>
      <c r="M281" s="57">
        <v>1134.0</v>
      </c>
      <c r="N281" s="51">
        <f t="shared" si="6"/>
        <v>125.9615129</v>
      </c>
    </row>
    <row r="282">
      <c r="A282" s="50">
        <v>70802.0</v>
      </c>
      <c r="B282" s="50" t="s">
        <v>333</v>
      </c>
      <c r="C282" s="51">
        <v>2340.0</v>
      </c>
      <c r="D282" s="52">
        <v>0.0</v>
      </c>
      <c r="E282" s="53">
        <v>10.1</v>
      </c>
      <c r="F282" s="54">
        <f t="shared" si="2"/>
        <v>18.8</v>
      </c>
      <c r="G282" s="54">
        <f t="shared" si="23"/>
        <v>1.3952002</v>
      </c>
      <c r="H282" s="55">
        <f t="shared" si="4"/>
        <v>14.09152202</v>
      </c>
      <c r="I282" s="56">
        <f t="shared" si="5"/>
        <v>329.7416152</v>
      </c>
      <c r="J282" s="63"/>
      <c r="K282" s="63"/>
      <c r="L282" s="64"/>
      <c r="M282" s="57">
        <v>150.0</v>
      </c>
      <c r="N282" s="51">
        <f t="shared" si="6"/>
        <v>21.13728302</v>
      </c>
    </row>
    <row r="283">
      <c r="A283" s="50">
        <v>70803.0</v>
      </c>
      <c r="B283" s="50" t="s">
        <v>334</v>
      </c>
      <c r="C283" s="51">
        <v>2791.0</v>
      </c>
      <c r="D283" s="52">
        <v>0.0</v>
      </c>
      <c r="E283" s="53">
        <v>10.1</v>
      </c>
      <c r="F283" s="54">
        <f t="shared" si="2"/>
        <v>18.8</v>
      </c>
      <c r="G283" s="54">
        <f t="shared" si="23"/>
        <v>1.3952002</v>
      </c>
      <c r="H283" s="55">
        <f t="shared" si="4"/>
        <v>14.09152202</v>
      </c>
      <c r="I283" s="56">
        <f t="shared" si="5"/>
        <v>393.2943794</v>
      </c>
      <c r="J283" s="63"/>
      <c r="K283" s="63"/>
      <c r="L283" s="64"/>
      <c r="M283" s="57">
        <v>183.0</v>
      </c>
      <c r="N283" s="51">
        <f t="shared" si="6"/>
        <v>25.78748529</v>
      </c>
    </row>
    <row r="284">
      <c r="A284" s="50">
        <v>70804.0</v>
      </c>
      <c r="B284" s="50" t="s">
        <v>335</v>
      </c>
      <c r="C284" s="51">
        <v>1855.0</v>
      </c>
      <c r="D284" s="52">
        <v>0.0</v>
      </c>
      <c r="E284" s="53">
        <v>10.1</v>
      </c>
      <c r="F284" s="54">
        <f t="shared" si="2"/>
        <v>18.8</v>
      </c>
      <c r="G284" s="54">
        <f t="shared" si="23"/>
        <v>1.3952002</v>
      </c>
      <c r="H284" s="55">
        <f t="shared" si="4"/>
        <v>14.09152202</v>
      </c>
      <c r="I284" s="56">
        <f t="shared" si="5"/>
        <v>261.3977334</v>
      </c>
      <c r="J284" s="63"/>
      <c r="K284" s="63"/>
      <c r="L284" s="64"/>
      <c r="M284" s="57">
        <v>123.0</v>
      </c>
      <c r="N284" s="51">
        <f t="shared" si="6"/>
        <v>17.33257208</v>
      </c>
    </row>
    <row r="285">
      <c r="A285" s="50">
        <v>70805.0</v>
      </c>
      <c r="B285" s="50" t="s">
        <v>336</v>
      </c>
      <c r="C285" s="51">
        <v>2020.0</v>
      </c>
      <c r="D285" s="52">
        <v>0.0</v>
      </c>
      <c r="E285" s="53">
        <v>10.1</v>
      </c>
      <c r="F285" s="54">
        <f t="shared" si="2"/>
        <v>18.8</v>
      </c>
      <c r="G285" s="54">
        <f t="shared" si="23"/>
        <v>1.3952002</v>
      </c>
      <c r="H285" s="55">
        <f t="shared" si="4"/>
        <v>14.09152202</v>
      </c>
      <c r="I285" s="56">
        <f t="shared" si="5"/>
        <v>284.6487447</v>
      </c>
      <c r="J285" s="63"/>
      <c r="K285" s="63"/>
      <c r="L285" s="64"/>
      <c r="M285" s="57">
        <v>147.0</v>
      </c>
      <c r="N285" s="51">
        <f t="shared" si="6"/>
        <v>20.71453736</v>
      </c>
    </row>
    <row r="286">
      <c r="A286" s="50">
        <v>70901.0</v>
      </c>
      <c r="B286" s="50" t="s">
        <v>337</v>
      </c>
      <c r="C286" s="51">
        <v>11729.0</v>
      </c>
      <c r="D286" s="52">
        <v>44.7</v>
      </c>
      <c r="E286" s="53">
        <v>10.1</v>
      </c>
      <c r="F286" s="54">
        <f t="shared" si="2"/>
        <v>15.9392</v>
      </c>
      <c r="G286" s="54">
        <f t="shared" si="23"/>
        <v>1.182892288</v>
      </c>
      <c r="H286" s="55">
        <f t="shared" si="4"/>
        <v>11.94721211</v>
      </c>
      <c r="I286" s="56">
        <f t="shared" si="5"/>
        <v>1401.288509</v>
      </c>
      <c r="J286" s="63"/>
      <c r="K286" s="63"/>
      <c r="L286" s="64"/>
      <c r="M286" s="57">
        <v>871.0</v>
      </c>
      <c r="N286" s="51">
        <f t="shared" si="6"/>
        <v>104.0602175</v>
      </c>
    </row>
    <row r="287">
      <c r="A287" s="50">
        <v>70902.0</v>
      </c>
      <c r="B287" s="50" t="s">
        <v>338</v>
      </c>
      <c r="C287" s="51">
        <v>9651.0</v>
      </c>
      <c r="D287" s="52">
        <v>40.5</v>
      </c>
      <c r="E287" s="53">
        <v>10.1</v>
      </c>
      <c r="F287" s="54">
        <f t="shared" si="2"/>
        <v>16.208</v>
      </c>
      <c r="G287" s="54">
        <f t="shared" si="23"/>
        <v>1.202840683</v>
      </c>
      <c r="H287" s="55">
        <f t="shared" si="4"/>
        <v>12.14869089</v>
      </c>
      <c r="I287" s="56">
        <f t="shared" si="5"/>
        <v>1172.470158</v>
      </c>
      <c r="J287" s="63"/>
      <c r="K287" s="63"/>
      <c r="L287" s="64"/>
      <c r="M287" s="57">
        <v>898.0</v>
      </c>
      <c r="N287" s="51">
        <f t="shared" si="6"/>
        <v>109.0952442</v>
      </c>
    </row>
    <row r="288">
      <c r="A288" s="50">
        <v>70903.0</v>
      </c>
      <c r="B288" s="50" t="s">
        <v>339</v>
      </c>
      <c r="C288" s="51">
        <v>12522.0</v>
      </c>
      <c r="D288" s="52">
        <v>61.2</v>
      </c>
      <c r="E288" s="53">
        <v>10.1</v>
      </c>
      <c r="F288" s="54">
        <f t="shared" si="2"/>
        <v>14.8832</v>
      </c>
      <c r="G288" s="54">
        <f t="shared" si="23"/>
        <v>1.104523596</v>
      </c>
      <c r="H288" s="55">
        <f t="shared" si="4"/>
        <v>11.15568832</v>
      </c>
      <c r="I288" s="56">
        <f t="shared" si="5"/>
        <v>1396.915292</v>
      </c>
      <c r="J288" s="63"/>
      <c r="K288" s="63"/>
      <c r="L288" s="64"/>
      <c r="M288" s="57">
        <v>1110.0</v>
      </c>
      <c r="N288" s="51">
        <f t="shared" si="6"/>
        <v>123.8281404</v>
      </c>
    </row>
    <row r="289">
      <c r="A289" s="50">
        <v>70904.0</v>
      </c>
      <c r="B289" s="50" t="s">
        <v>340</v>
      </c>
      <c r="C289" s="51">
        <v>3078.0</v>
      </c>
      <c r="D289" s="52">
        <v>0.0</v>
      </c>
      <c r="E289" s="53">
        <v>10.1</v>
      </c>
      <c r="F289" s="54">
        <f t="shared" si="2"/>
        <v>18.8</v>
      </c>
      <c r="G289" s="54">
        <f t="shared" si="23"/>
        <v>1.3952002</v>
      </c>
      <c r="H289" s="55">
        <f t="shared" si="4"/>
        <v>14.09152202</v>
      </c>
      <c r="I289" s="56">
        <f t="shared" si="5"/>
        <v>433.7370476</v>
      </c>
      <c r="J289" s="63"/>
      <c r="K289" s="63"/>
      <c r="L289" s="64"/>
      <c r="M289" s="57">
        <v>205.0</v>
      </c>
      <c r="N289" s="51">
        <f t="shared" si="6"/>
        <v>28.88762013</v>
      </c>
    </row>
    <row r="290">
      <c r="A290" s="50">
        <v>71001.0</v>
      </c>
      <c r="B290" s="50" t="s">
        <v>341</v>
      </c>
      <c r="C290" s="51">
        <v>125439.0</v>
      </c>
      <c r="D290" s="52">
        <v>99.3</v>
      </c>
      <c r="E290" s="53">
        <v>10.1</v>
      </c>
      <c r="F290" s="54">
        <f t="shared" si="2"/>
        <v>12.4448</v>
      </c>
      <c r="G290" s="54">
        <f t="shared" si="23"/>
        <v>0.9235631619</v>
      </c>
      <c r="H290" s="55">
        <f t="shared" si="4"/>
        <v>9.327987935</v>
      </c>
      <c r="I290" s="56">
        <f t="shared" si="5"/>
        <v>11700.93479</v>
      </c>
      <c r="J290" s="63"/>
      <c r="K290" s="63"/>
      <c r="L290" s="64"/>
      <c r="M290" s="57">
        <v>10752.0</v>
      </c>
      <c r="N290" s="51">
        <f t="shared" si="6"/>
        <v>1002.945263</v>
      </c>
    </row>
    <row r="291">
      <c r="A291" s="50">
        <v>71002.0</v>
      </c>
      <c r="B291" s="50" t="s">
        <v>342</v>
      </c>
      <c r="C291" s="51">
        <v>16399.0</v>
      </c>
      <c r="D291" s="52">
        <v>46.5</v>
      </c>
      <c r="E291" s="53">
        <v>10.1</v>
      </c>
      <c r="F291" s="54">
        <f t="shared" si="2"/>
        <v>15.824</v>
      </c>
      <c r="G291" s="54">
        <f t="shared" si="23"/>
        <v>1.174342976</v>
      </c>
      <c r="H291" s="55">
        <f t="shared" si="4"/>
        <v>11.86086406</v>
      </c>
      <c r="I291" s="56">
        <f t="shared" si="5"/>
        <v>1945.063098</v>
      </c>
      <c r="J291" s="63"/>
      <c r="K291" s="63"/>
      <c r="L291" s="64"/>
      <c r="M291" s="57">
        <v>1557.0</v>
      </c>
      <c r="N291" s="51">
        <f t="shared" si="6"/>
        <v>184.6736534</v>
      </c>
    </row>
    <row r="292">
      <c r="A292" s="50">
        <v>71003.0</v>
      </c>
      <c r="B292" s="50" t="s">
        <v>343</v>
      </c>
      <c r="C292" s="51">
        <v>23122.0</v>
      </c>
      <c r="D292" s="52">
        <v>80.6</v>
      </c>
      <c r="E292" s="53">
        <v>10.1</v>
      </c>
      <c r="F292" s="54">
        <f t="shared" si="2"/>
        <v>13.6416</v>
      </c>
      <c r="G292" s="54">
        <f t="shared" si="23"/>
        <v>1.012381013</v>
      </c>
      <c r="H292" s="55">
        <f t="shared" si="4"/>
        <v>10.22504823</v>
      </c>
      <c r="I292" s="56">
        <f t="shared" si="5"/>
        <v>2364.235652</v>
      </c>
      <c r="J292" s="63"/>
      <c r="K292" s="63"/>
      <c r="L292" s="64"/>
      <c r="M292" s="57">
        <v>2171.0</v>
      </c>
      <c r="N292" s="51">
        <f t="shared" si="6"/>
        <v>221.9857971</v>
      </c>
    </row>
    <row r="293">
      <c r="A293" s="50">
        <v>71004.0</v>
      </c>
      <c r="B293" s="50" t="s">
        <v>344</v>
      </c>
      <c r="C293" s="51">
        <v>14652.0</v>
      </c>
      <c r="D293" s="52">
        <v>71.7</v>
      </c>
      <c r="E293" s="53">
        <v>10.1</v>
      </c>
      <c r="F293" s="54">
        <f t="shared" si="2"/>
        <v>14.2112</v>
      </c>
      <c r="G293" s="54">
        <f t="shared" si="23"/>
        <v>1.05465261</v>
      </c>
      <c r="H293" s="55">
        <f t="shared" si="4"/>
        <v>10.65199137</v>
      </c>
      <c r="I293" s="56">
        <f t="shared" si="5"/>
        <v>1560.729775</v>
      </c>
      <c r="J293" s="63"/>
      <c r="K293" s="63"/>
      <c r="L293" s="64"/>
      <c r="M293" s="57">
        <v>1198.0</v>
      </c>
      <c r="N293" s="51">
        <f t="shared" si="6"/>
        <v>127.6108566</v>
      </c>
    </row>
    <row r="294">
      <c r="A294" s="50">
        <v>71005.0</v>
      </c>
      <c r="B294" s="50" t="s">
        <v>270</v>
      </c>
      <c r="C294" s="51">
        <v>15567.0</v>
      </c>
      <c r="D294" s="52">
        <v>56.5</v>
      </c>
      <c r="E294" s="53">
        <v>10.1</v>
      </c>
      <c r="F294" s="54">
        <f t="shared" si="2"/>
        <v>15.184</v>
      </c>
      <c r="G294" s="54">
        <f t="shared" si="23"/>
        <v>1.126846799</v>
      </c>
      <c r="H294" s="55">
        <f t="shared" si="4"/>
        <v>11.38115267</v>
      </c>
      <c r="I294" s="56">
        <f t="shared" si="5"/>
        <v>1771.704037</v>
      </c>
      <c r="J294" s="63"/>
      <c r="K294" s="63"/>
      <c r="L294" s="64"/>
      <c r="M294" s="57">
        <v>1311.0</v>
      </c>
      <c r="N294" s="51">
        <f t="shared" si="6"/>
        <v>149.2069116</v>
      </c>
    </row>
    <row r="295">
      <c r="A295" s="50">
        <v>71101.0</v>
      </c>
      <c r="B295" s="50" t="s">
        <v>345</v>
      </c>
      <c r="C295" s="51">
        <v>29175.0</v>
      </c>
      <c r="D295" s="52">
        <v>49.8</v>
      </c>
      <c r="E295" s="53">
        <v>10.1</v>
      </c>
      <c r="F295" s="54">
        <f t="shared" si="2"/>
        <v>15.6128</v>
      </c>
      <c r="G295" s="54">
        <f t="shared" si="23"/>
        <v>1.158669238</v>
      </c>
      <c r="H295" s="55">
        <f t="shared" si="4"/>
        <v>11.7025593</v>
      </c>
      <c r="I295" s="56">
        <f t="shared" si="5"/>
        <v>3414.221677</v>
      </c>
      <c r="J295" s="63"/>
      <c r="K295" s="63"/>
      <c r="L295" s="64"/>
      <c r="M295" s="57">
        <v>2991.0</v>
      </c>
      <c r="N295" s="51">
        <f t="shared" si="6"/>
        <v>350.0235488</v>
      </c>
    </row>
    <row r="296">
      <c r="A296" s="50">
        <v>71102.0</v>
      </c>
      <c r="B296" s="50" t="s">
        <v>346</v>
      </c>
      <c r="C296" s="51">
        <v>14782.0</v>
      </c>
      <c r="D296" s="52">
        <v>53.3</v>
      </c>
      <c r="E296" s="53">
        <v>10.1</v>
      </c>
      <c r="F296" s="54">
        <f t="shared" si="2"/>
        <v>15.3888</v>
      </c>
      <c r="G296" s="54">
        <f t="shared" si="23"/>
        <v>1.142045576</v>
      </c>
      <c r="H296" s="55">
        <f t="shared" si="4"/>
        <v>11.53466032</v>
      </c>
      <c r="I296" s="56">
        <f t="shared" si="5"/>
        <v>1705.053488</v>
      </c>
      <c r="J296" s="63"/>
      <c r="K296" s="63"/>
      <c r="L296" s="64"/>
      <c r="M296" s="57">
        <v>1576.0</v>
      </c>
      <c r="N296" s="51">
        <f t="shared" si="6"/>
        <v>181.7862466</v>
      </c>
    </row>
    <row r="297">
      <c r="A297" s="50">
        <v>71103.0</v>
      </c>
      <c r="B297" s="50" t="s">
        <v>347</v>
      </c>
      <c r="C297" s="51">
        <v>8453.0</v>
      </c>
      <c r="D297" s="52">
        <v>86.0</v>
      </c>
      <c r="E297" s="53">
        <v>10.1</v>
      </c>
      <c r="F297" s="54">
        <f t="shared" si="2"/>
        <v>13.296</v>
      </c>
      <c r="G297" s="54">
        <f t="shared" si="23"/>
        <v>0.9867330773</v>
      </c>
      <c r="H297" s="55">
        <f t="shared" si="4"/>
        <v>9.966004081</v>
      </c>
      <c r="I297" s="56">
        <f t="shared" si="5"/>
        <v>842.4263249</v>
      </c>
      <c r="J297" s="63"/>
      <c r="K297" s="63"/>
      <c r="L297" s="64"/>
      <c r="M297" s="57">
        <v>815.0</v>
      </c>
      <c r="N297" s="51">
        <f t="shared" si="6"/>
        <v>81.22293326</v>
      </c>
    </row>
    <row r="298">
      <c r="A298" s="50">
        <v>71104.0</v>
      </c>
      <c r="B298" s="50" t="s">
        <v>348</v>
      </c>
      <c r="C298" s="51">
        <v>45118.0</v>
      </c>
      <c r="D298" s="52">
        <v>51.7</v>
      </c>
      <c r="E298" s="53">
        <v>10.1</v>
      </c>
      <c r="F298" s="54">
        <f t="shared" si="2"/>
        <v>15.4912</v>
      </c>
      <c r="G298" s="54">
        <f t="shared" si="23"/>
        <v>1.149644964</v>
      </c>
      <c r="H298" s="55">
        <f t="shared" si="4"/>
        <v>11.61141414</v>
      </c>
      <c r="I298" s="56">
        <f t="shared" si="5"/>
        <v>5238.837832</v>
      </c>
      <c r="J298" s="63"/>
      <c r="K298" s="63"/>
      <c r="L298" s="64"/>
      <c r="M298" s="57">
        <v>4247.0</v>
      </c>
      <c r="N298" s="51">
        <f t="shared" si="6"/>
        <v>493.1367586</v>
      </c>
    </row>
    <row r="299">
      <c r="A299" s="50">
        <v>71105.0</v>
      </c>
      <c r="B299" s="50" t="s">
        <v>349</v>
      </c>
      <c r="C299" s="51">
        <v>6374.0</v>
      </c>
      <c r="D299" s="52">
        <v>0.0</v>
      </c>
      <c r="E299" s="53">
        <v>10.1</v>
      </c>
      <c r="F299" s="54">
        <f t="shared" si="2"/>
        <v>18.8</v>
      </c>
      <c r="G299" s="54">
        <f t="shared" si="23"/>
        <v>1.3952002</v>
      </c>
      <c r="H299" s="55">
        <f t="shared" si="4"/>
        <v>14.09152202</v>
      </c>
      <c r="I299" s="56">
        <f t="shared" si="5"/>
        <v>898.1936133</v>
      </c>
      <c r="J299" s="63"/>
      <c r="K299" s="63"/>
      <c r="L299" s="64"/>
      <c r="M299" s="57">
        <v>718.0</v>
      </c>
      <c r="N299" s="51">
        <f t="shared" si="6"/>
        <v>101.1771281</v>
      </c>
    </row>
    <row r="300">
      <c r="A300" s="50">
        <v>71106.0</v>
      </c>
      <c r="B300" s="50" t="s">
        <v>350</v>
      </c>
      <c r="C300" s="51">
        <v>25057.0</v>
      </c>
      <c r="D300" s="52">
        <v>41.8</v>
      </c>
      <c r="E300" s="53">
        <v>10.1</v>
      </c>
      <c r="F300" s="54">
        <f t="shared" si="2"/>
        <v>16.1248</v>
      </c>
      <c r="G300" s="54">
        <f t="shared" si="23"/>
        <v>1.19666618</v>
      </c>
      <c r="H300" s="55">
        <f t="shared" si="4"/>
        <v>12.08632841</v>
      </c>
      <c r="I300" s="56">
        <f t="shared" si="5"/>
        <v>3028.471311</v>
      </c>
      <c r="J300" s="63"/>
      <c r="K300" s="63"/>
      <c r="L300" s="64"/>
      <c r="M300" s="57">
        <v>2773.0</v>
      </c>
      <c r="N300" s="51">
        <f t="shared" si="6"/>
        <v>335.1538869</v>
      </c>
    </row>
    <row r="301">
      <c r="A301" s="50">
        <v>71201.0</v>
      </c>
      <c r="B301" s="50" t="s">
        <v>351</v>
      </c>
      <c r="C301" s="51">
        <v>15302.0</v>
      </c>
      <c r="D301" s="52">
        <v>50.9</v>
      </c>
      <c r="E301" s="53">
        <v>10.1</v>
      </c>
      <c r="F301" s="54">
        <f t="shared" si="2"/>
        <v>15.5424</v>
      </c>
      <c r="G301" s="54">
        <f t="shared" si="23"/>
        <v>1.153444659</v>
      </c>
      <c r="H301" s="55">
        <f t="shared" si="4"/>
        <v>11.64979105</v>
      </c>
      <c r="I301" s="56">
        <f t="shared" si="5"/>
        <v>1782.651027</v>
      </c>
      <c r="J301" s="63"/>
      <c r="K301" s="63"/>
      <c r="L301" s="64"/>
      <c r="M301" s="57">
        <v>1574.0</v>
      </c>
      <c r="N301" s="51">
        <f t="shared" si="6"/>
        <v>183.3677112</v>
      </c>
    </row>
    <row r="302">
      <c r="A302" s="50">
        <v>71301.0</v>
      </c>
      <c r="B302" s="50" t="s">
        <v>352</v>
      </c>
      <c r="C302" s="51">
        <v>17089.0</v>
      </c>
      <c r="D302" s="52">
        <v>36.6</v>
      </c>
      <c r="E302" s="53">
        <v>10.1</v>
      </c>
      <c r="F302" s="54">
        <f t="shared" si="2"/>
        <v>16.4576</v>
      </c>
      <c r="G302" s="54">
        <f t="shared" si="23"/>
        <v>1.221364192</v>
      </c>
      <c r="H302" s="55">
        <f t="shared" si="4"/>
        <v>12.33577834</v>
      </c>
      <c r="I302" s="56">
        <f t="shared" si="5"/>
        <v>2108.06116</v>
      </c>
      <c r="J302" s="63"/>
      <c r="K302" s="63"/>
      <c r="L302" s="64"/>
      <c r="M302" s="57">
        <v>1512.0</v>
      </c>
      <c r="N302" s="51">
        <f t="shared" si="6"/>
        <v>186.5169684</v>
      </c>
    </row>
    <row r="303">
      <c r="A303" s="50">
        <v>71302.0</v>
      </c>
      <c r="B303" s="50" t="s">
        <v>353</v>
      </c>
      <c r="C303" s="51">
        <v>6160.0</v>
      </c>
      <c r="D303" s="52">
        <v>60.4</v>
      </c>
      <c r="E303" s="53">
        <v>10.1</v>
      </c>
      <c r="F303" s="54">
        <f t="shared" si="2"/>
        <v>14.9344</v>
      </c>
      <c r="G303" s="54">
        <f t="shared" si="23"/>
        <v>1.10832329</v>
      </c>
      <c r="H303" s="55">
        <f t="shared" si="4"/>
        <v>11.19406523</v>
      </c>
      <c r="I303" s="56">
        <f t="shared" si="5"/>
        <v>689.5544184</v>
      </c>
      <c r="J303" s="63"/>
      <c r="K303" s="63"/>
      <c r="L303" s="64"/>
      <c r="M303" s="57">
        <v>529.0</v>
      </c>
      <c r="N303" s="51">
        <f t="shared" si="6"/>
        <v>59.21660508</v>
      </c>
    </row>
    <row r="304">
      <c r="A304" s="50">
        <v>71401.0</v>
      </c>
      <c r="B304" s="50" t="s">
        <v>354</v>
      </c>
      <c r="C304" s="51">
        <v>17618.0</v>
      </c>
      <c r="D304" s="52">
        <v>69.2</v>
      </c>
      <c r="E304" s="53">
        <v>10.1</v>
      </c>
      <c r="F304" s="54">
        <f t="shared" si="2"/>
        <v>14.3712</v>
      </c>
      <c r="G304" s="54">
        <f t="shared" si="23"/>
        <v>1.066526655</v>
      </c>
      <c r="H304" s="55">
        <f t="shared" si="4"/>
        <v>10.77191921</v>
      </c>
      <c r="I304" s="56">
        <f t="shared" si="5"/>
        <v>1897.796727</v>
      </c>
      <c r="J304" s="63"/>
      <c r="K304" s="63"/>
      <c r="L304" s="64"/>
      <c r="M304" s="57">
        <v>1278.0</v>
      </c>
      <c r="N304" s="51">
        <f t="shared" si="6"/>
        <v>137.6651275</v>
      </c>
    </row>
    <row r="305">
      <c r="A305" s="50">
        <v>71402.0</v>
      </c>
      <c r="B305" s="50" t="s">
        <v>355</v>
      </c>
      <c r="C305" s="51">
        <v>17864.0</v>
      </c>
      <c r="D305" s="52">
        <v>97.6</v>
      </c>
      <c r="E305" s="53">
        <v>10.1</v>
      </c>
      <c r="F305" s="54">
        <f t="shared" si="2"/>
        <v>12.5536</v>
      </c>
      <c r="G305" s="54">
        <f t="shared" si="23"/>
        <v>0.931637512</v>
      </c>
      <c r="H305" s="55">
        <f t="shared" si="4"/>
        <v>9.409538871</v>
      </c>
      <c r="I305" s="56">
        <f t="shared" si="5"/>
        <v>1680.920024</v>
      </c>
      <c r="J305" s="63"/>
      <c r="K305" s="63"/>
      <c r="L305" s="64"/>
      <c r="M305" s="57">
        <v>1354.0</v>
      </c>
      <c r="N305" s="51">
        <f t="shared" si="6"/>
        <v>127.4051563</v>
      </c>
    </row>
    <row r="306">
      <c r="A306" s="50">
        <v>71403.0</v>
      </c>
      <c r="B306" s="50" t="s">
        <v>356</v>
      </c>
      <c r="C306" s="51">
        <v>8610.0</v>
      </c>
      <c r="D306" s="52">
        <v>43.2</v>
      </c>
      <c r="E306" s="53">
        <v>10.1</v>
      </c>
      <c r="F306" s="54">
        <f t="shared" si="2"/>
        <v>16.0352</v>
      </c>
      <c r="G306" s="54">
        <f t="shared" si="23"/>
        <v>1.190016715</v>
      </c>
      <c r="H306" s="55">
        <f t="shared" si="4"/>
        <v>12.01916882</v>
      </c>
      <c r="I306" s="56">
        <f t="shared" si="5"/>
        <v>1034.850435</v>
      </c>
      <c r="J306" s="63"/>
      <c r="K306" s="63"/>
      <c r="L306" s="64"/>
      <c r="M306" s="57">
        <v>942.0</v>
      </c>
      <c r="N306" s="51">
        <f t="shared" si="6"/>
        <v>113.2205703</v>
      </c>
    </row>
    <row r="307">
      <c r="A307" s="50">
        <v>71501.0</v>
      </c>
      <c r="B307" s="50" t="s">
        <v>357</v>
      </c>
      <c r="C307" s="51">
        <v>33495.0</v>
      </c>
      <c r="D307" s="52">
        <v>68.9</v>
      </c>
      <c r="E307" s="53">
        <v>10.1</v>
      </c>
      <c r="F307" s="54">
        <f t="shared" si="2"/>
        <v>14.3904</v>
      </c>
      <c r="G307" s="54">
        <f t="shared" si="23"/>
        <v>1.06795154</v>
      </c>
      <c r="H307" s="55">
        <f t="shared" si="4"/>
        <v>10.78631055</v>
      </c>
      <c r="I307" s="56">
        <f t="shared" si="5"/>
        <v>3612.87472</v>
      </c>
      <c r="J307" s="50"/>
      <c r="K307" s="50"/>
      <c r="L307" s="50"/>
      <c r="M307" s="57">
        <v>3218.0</v>
      </c>
      <c r="N307" s="51">
        <f t="shared" si="6"/>
        <v>347.1034736</v>
      </c>
    </row>
    <row r="308">
      <c r="A308" s="50">
        <v>71502.0</v>
      </c>
      <c r="B308" s="50" t="s">
        <v>358</v>
      </c>
      <c r="C308" s="51">
        <v>6594.0</v>
      </c>
      <c r="D308" s="52">
        <v>84.1</v>
      </c>
      <c r="E308" s="53">
        <v>10.1</v>
      </c>
      <c r="F308" s="54">
        <f t="shared" si="2"/>
        <v>13.4176</v>
      </c>
      <c r="G308" s="54">
        <f t="shared" si="23"/>
        <v>0.9957573509</v>
      </c>
      <c r="H308" s="55">
        <f t="shared" si="4"/>
        <v>10.05714924</v>
      </c>
      <c r="I308" s="56">
        <f t="shared" si="5"/>
        <v>663.1684212</v>
      </c>
      <c r="J308" s="63"/>
      <c r="K308" s="63"/>
      <c r="L308" s="64"/>
      <c r="M308" s="57">
        <v>643.0</v>
      </c>
      <c r="N308" s="51">
        <f t="shared" si="6"/>
        <v>64.66746964</v>
      </c>
    </row>
    <row r="309">
      <c r="A309" s="50">
        <v>71503.0</v>
      </c>
      <c r="B309" s="50" t="s">
        <v>304</v>
      </c>
      <c r="C309" s="51">
        <v>17033.0</v>
      </c>
      <c r="D309" s="52">
        <v>17.7</v>
      </c>
      <c r="E309" s="53">
        <v>10.1</v>
      </c>
      <c r="F309" s="54">
        <f t="shared" si="2"/>
        <v>17.6672</v>
      </c>
      <c r="G309" s="54">
        <f t="shared" si="23"/>
        <v>1.311131966</v>
      </c>
      <c r="H309" s="55">
        <f t="shared" si="4"/>
        <v>13.24243286</v>
      </c>
      <c r="I309" s="56">
        <f t="shared" si="5"/>
        <v>2255.583589</v>
      </c>
      <c r="J309" s="63"/>
      <c r="K309" s="63"/>
      <c r="L309" s="64"/>
      <c r="M309" s="57">
        <v>1436.0</v>
      </c>
      <c r="N309" s="51">
        <f t="shared" si="6"/>
        <v>190.1613359</v>
      </c>
    </row>
    <row r="310">
      <c r="A310" s="50">
        <v>80101.0</v>
      </c>
      <c r="B310" s="50" t="s">
        <v>359</v>
      </c>
      <c r="C310" s="51">
        <v>126756.0</v>
      </c>
      <c r="D310" s="52">
        <v>95.4</v>
      </c>
      <c r="E310" s="50">
        <v>15.5</v>
      </c>
      <c r="F310" s="54">
        <f t="shared" si="2"/>
        <v>12.6944</v>
      </c>
      <c r="G310" s="54">
        <f t="shared" ref="G310:G329" si="24">1.21*F310/F$345</f>
        <v>0.8975786392</v>
      </c>
      <c r="H310" s="55">
        <f t="shared" si="4"/>
        <v>13.91246891</v>
      </c>
      <c r="I310" s="56">
        <f t="shared" si="5"/>
        <v>17634.88909</v>
      </c>
      <c r="J310" s="57">
        <f>SUM(C310:C329)</f>
        <v>482739.8333</v>
      </c>
      <c r="K310" s="57">
        <f>SUM(I310:I329)</f>
        <v>74731.38362</v>
      </c>
      <c r="L310" s="58">
        <f>K310/J310</f>
        <v>0.1548067478</v>
      </c>
      <c r="M310" s="57">
        <v>10233.0</v>
      </c>
      <c r="N310" s="51">
        <f t="shared" si="6"/>
        <v>1423.662943</v>
      </c>
    </row>
    <row r="311">
      <c r="A311" s="50">
        <v>80102.0</v>
      </c>
      <c r="B311" s="50" t="s">
        <v>346</v>
      </c>
      <c r="C311" s="51">
        <v>7693.0</v>
      </c>
      <c r="D311" s="52">
        <v>0.0</v>
      </c>
      <c r="E311" s="50">
        <v>15.5</v>
      </c>
      <c r="F311" s="54">
        <f t="shared" si="2"/>
        <v>18.8</v>
      </c>
      <c r="G311" s="54">
        <f t="shared" si="24"/>
        <v>1.329285229</v>
      </c>
      <c r="H311" s="55">
        <f t="shared" si="4"/>
        <v>20.60392106</v>
      </c>
      <c r="I311" s="56">
        <f t="shared" si="5"/>
        <v>1585.059647</v>
      </c>
      <c r="J311" s="63"/>
      <c r="K311" s="63"/>
      <c r="L311" s="64"/>
      <c r="M311" s="57">
        <v>881.0</v>
      </c>
      <c r="N311" s="51">
        <f t="shared" si="6"/>
        <v>181.5205445</v>
      </c>
    </row>
    <row r="312">
      <c r="A312" s="50">
        <v>80201.0</v>
      </c>
      <c r="B312" s="50" t="s">
        <v>360</v>
      </c>
      <c r="C312" s="51">
        <v>108529.0</v>
      </c>
      <c r="D312" s="52">
        <v>89.1</v>
      </c>
      <c r="E312" s="50">
        <v>15.5</v>
      </c>
      <c r="F312" s="54">
        <f t="shared" si="2"/>
        <v>13.0976</v>
      </c>
      <c r="G312" s="54">
        <f t="shared" si="24"/>
        <v>0.926087565</v>
      </c>
      <c r="H312" s="55">
        <f t="shared" si="4"/>
        <v>14.35435726</v>
      </c>
      <c r="I312" s="56">
        <f t="shared" si="5"/>
        <v>15578.64039</v>
      </c>
      <c r="J312" s="63"/>
      <c r="K312" s="63"/>
      <c r="L312" s="64"/>
      <c r="M312" s="57">
        <v>10294.0</v>
      </c>
      <c r="N312" s="51">
        <f t="shared" si="6"/>
        <v>1477.637536</v>
      </c>
    </row>
    <row r="313">
      <c r="A313" s="50">
        <v>80202.0</v>
      </c>
      <c r="B313" s="50" t="s">
        <v>361</v>
      </c>
      <c r="C313" s="51">
        <v>42013.0</v>
      </c>
      <c r="D313" s="52">
        <v>85.1</v>
      </c>
      <c r="E313" s="50">
        <v>15.5</v>
      </c>
      <c r="F313" s="54">
        <f t="shared" si="2"/>
        <v>13.3536</v>
      </c>
      <c r="G313" s="54">
        <f t="shared" si="24"/>
        <v>0.9441884702</v>
      </c>
      <c r="H313" s="55">
        <f t="shared" si="4"/>
        <v>14.63492129</v>
      </c>
      <c r="I313" s="56">
        <f t="shared" si="5"/>
        <v>6148.569481</v>
      </c>
      <c r="J313" s="63"/>
      <c r="K313" s="63"/>
      <c r="L313" s="64"/>
      <c r="M313" s="57">
        <v>3709.0</v>
      </c>
      <c r="N313" s="51">
        <f t="shared" si="6"/>
        <v>542.8092306</v>
      </c>
    </row>
    <row r="314">
      <c r="A314" s="50">
        <v>80301.0</v>
      </c>
      <c r="B314" s="50" t="s">
        <v>362</v>
      </c>
      <c r="C314" s="51">
        <v>11625.0</v>
      </c>
      <c r="D314" s="52">
        <v>58.3</v>
      </c>
      <c r="E314" s="50">
        <v>15.5</v>
      </c>
      <c r="F314" s="54">
        <f t="shared" si="2"/>
        <v>15.0688</v>
      </c>
      <c r="G314" s="54">
        <f t="shared" si="24"/>
        <v>1.065464535</v>
      </c>
      <c r="H314" s="55">
        <f t="shared" si="4"/>
        <v>16.5147003</v>
      </c>
      <c r="I314" s="56">
        <f t="shared" si="5"/>
        <v>1919.83391</v>
      </c>
      <c r="J314" s="63"/>
      <c r="K314" s="63"/>
      <c r="L314" s="64"/>
      <c r="M314" s="57">
        <v>1261.0</v>
      </c>
      <c r="N314" s="51">
        <f t="shared" si="6"/>
        <v>208.2503708</v>
      </c>
    </row>
    <row r="315">
      <c r="A315" s="50">
        <v>80302.0</v>
      </c>
      <c r="B315" s="50" t="s">
        <v>363</v>
      </c>
      <c r="C315" s="51">
        <v>45387.0</v>
      </c>
      <c r="D315" s="52">
        <v>49.4</v>
      </c>
      <c r="E315" s="50">
        <v>15.5</v>
      </c>
      <c r="F315" s="54">
        <f t="shared" si="2"/>
        <v>15.6384</v>
      </c>
      <c r="G315" s="54">
        <f t="shared" si="24"/>
        <v>1.10573905</v>
      </c>
      <c r="H315" s="55">
        <f t="shared" si="4"/>
        <v>17.13895527</v>
      </c>
      <c r="I315" s="56">
        <f t="shared" si="5"/>
        <v>7778.857628</v>
      </c>
      <c r="J315" s="63"/>
      <c r="K315" s="63"/>
      <c r="L315" s="64"/>
      <c r="M315" s="57">
        <v>5475.0</v>
      </c>
      <c r="N315" s="51">
        <f t="shared" si="6"/>
        <v>938.357801</v>
      </c>
    </row>
    <row r="316">
      <c r="A316" s="50">
        <v>80303.0</v>
      </c>
      <c r="B316" s="50" t="s">
        <v>323</v>
      </c>
      <c r="C316" s="51">
        <v>10985.0</v>
      </c>
      <c r="D316" s="52">
        <v>50.0</v>
      </c>
      <c r="E316" s="50">
        <v>15.5</v>
      </c>
      <c r="F316" s="54">
        <f t="shared" si="2"/>
        <v>15.6</v>
      </c>
      <c r="G316" s="54">
        <f t="shared" si="24"/>
        <v>1.103023914</v>
      </c>
      <c r="H316" s="55">
        <f t="shared" si="4"/>
        <v>17.09687066</v>
      </c>
      <c r="I316" s="56">
        <f t="shared" si="5"/>
        <v>1878.091242</v>
      </c>
      <c r="J316" s="63"/>
      <c r="K316" s="63"/>
      <c r="L316" s="64"/>
      <c r="M316" s="57">
        <v>1225.0</v>
      </c>
      <c r="N316" s="51">
        <f t="shared" si="6"/>
        <v>209.4366656</v>
      </c>
    </row>
    <row r="317">
      <c r="A317" s="50">
        <v>80304.0</v>
      </c>
      <c r="B317" s="50" t="s">
        <v>364</v>
      </c>
      <c r="C317" s="51">
        <v>21070.0</v>
      </c>
      <c r="D317" s="52">
        <v>67.3</v>
      </c>
      <c r="E317" s="50">
        <v>15.5</v>
      </c>
      <c r="F317" s="54">
        <f t="shared" si="2"/>
        <v>14.4928</v>
      </c>
      <c r="G317" s="54">
        <f t="shared" si="24"/>
        <v>1.024737499</v>
      </c>
      <c r="H317" s="55">
        <f t="shared" si="4"/>
        <v>15.88343123</v>
      </c>
      <c r="I317" s="56">
        <f t="shared" si="5"/>
        <v>3346.63896</v>
      </c>
      <c r="J317" s="63"/>
      <c r="K317" s="63"/>
      <c r="L317" s="64"/>
      <c r="M317" s="57">
        <v>2126.0</v>
      </c>
      <c r="N317" s="51">
        <f t="shared" si="6"/>
        <v>337.6817479</v>
      </c>
    </row>
    <row r="318">
      <c r="A318" s="50">
        <v>80401.0</v>
      </c>
      <c r="B318" s="50" t="s">
        <v>365</v>
      </c>
      <c r="C318" s="51">
        <v>18003.0</v>
      </c>
      <c r="D318" s="52">
        <v>72.0</v>
      </c>
      <c r="E318" s="50">
        <v>15.5</v>
      </c>
      <c r="F318" s="54">
        <f t="shared" si="2"/>
        <v>14.192</v>
      </c>
      <c r="G318" s="54">
        <f t="shared" si="24"/>
        <v>1.003468935</v>
      </c>
      <c r="H318" s="55">
        <f t="shared" si="4"/>
        <v>15.55376849</v>
      </c>
      <c r="I318" s="56">
        <f t="shared" si="5"/>
        <v>2800.144942</v>
      </c>
      <c r="J318" s="63"/>
      <c r="K318" s="63"/>
      <c r="L318" s="64"/>
      <c r="M318" s="57">
        <v>1955.0</v>
      </c>
      <c r="N318" s="51">
        <f t="shared" si="6"/>
        <v>304.076174</v>
      </c>
    </row>
    <row r="319">
      <c r="A319" s="50">
        <v>80402.0</v>
      </c>
      <c r="B319" s="50" t="s">
        <v>366</v>
      </c>
      <c r="C319" s="51">
        <v>7875.0</v>
      </c>
      <c r="D319" s="52">
        <v>23.9</v>
      </c>
      <c r="E319" s="50">
        <v>15.5</v>
      </c>
      <c r="F319" s="54">
        <f t="shared" si="2"/>
        <v>17.2704</v>
      </c>
      <c r="G319" s="54">
        <f t="shared" si="24"/>
        <v>1.221132321</v>
      </c>
      <c r="H319" s="55">
        <f t="shared" si="4"/>
        <v>18.92755097</v>
      </c>
      <c r="I319" s="56">
        <f t="shared" si="5"/>
        <v>1490.544639</v>
      </c>
      <c r="J319" s="63"/>
      <c r="K319" s="63"/>
      <c r="L319" s="64"/>
      <c r="M319" s="57">
        <v>839.0</v>
      </c>
      <c r="N319" s="51">
        <f t="shared" si="6"/>
        <v>158.8021526</v>
      </c>
    </row>
    <row r="320">
      <c r="A320" s="50">
        <v>80501.0</v>
      </c>
      <c r="B320" s="50" t="s">
        <v>312</v>
      </c>
      <c r="C320" s="51">
        <v>21390.0</v>
      </c>
      <c r="D320" s="52">
        <v>48.2</v>
      </c>
      <c r="E320" s="50">
        <v>15.5</v>
      </c>
      <c r="F320" s="54">
        <f t="shared" si="2"/>
        <v>15.7152</v>
      </c>
      <c r="G320" s="54">
        <f t="shared" si="24"/>
        <v>1.111169321</v>
      </c>
      <c r="H320" s="55">
        <f t="shared" si="4"/>
        <v>17.22312448</v>
      </c>
      <c r="I320" s="56">
        <f t="shared" si="5"/>
        <v>3684.026326</v>
      </c>
      <c r="J320" s="63"/>
      <c r="K320" s="63"/>
      <c r="L320" s="64"/>
      <c r="M320" s="57">
        <v>2572.0</v>
      </c>
      <c r="N320" s="51">
        <f t="shared" si="6"/>
        <v>442.9787616</v>
      </c>
    </row>
    <row r="321">
      <c r="A321" s="50">
        <v>80601.0</v>
      </c>
      <c r="B321" s="50" t="s">
        <v>367</v>
      </c>
      <c r="C321" s="51">
        <v>4232.0</v>
      </c>
      <c r="D321" s="52">
        <v>0.0</v>
      </c>
      <c r="E321" s="50">
        <v>15.5</v>
      </c>
      <c r="F321" s="54">
        <f t="shared" si="2"/>
        <v>18.8</v>
      </c>
      <c r="G321" s="54">
        <f t="shared" si="24"/>
        <v>1.329285229</v>
      </c>
      <c r="H321" s="55">
        <f t="shared" si="4"/>
        <v>20.60392106</v>
      </c>
      <c r="I321" s="56">
        <f t="shared" si="5"/>
        <v>871.9579391</v>
      </c>
      <c r="J321" s="63"/>
      <c r="K321" s="63"/>
      <c r="L321" s="64"/>
      <c r="M321" s="57">
        <v>564.0</v>
      </c>
      <c r="N321" s="51">
        <f t="shared" si="6"/>
        <v>116.2061148</v>
      </c>
    </row>
    <row r="322">
      <c r="A322" s="50">
        <v>80602.0</v>
      </c>
      <c r="B322" s="50" t="s">
        <v>368</v>
      </c>
      <c r="C322" s="51">
        <v>15314.0</v>
      </c>
      <c r="D322" s="52">
        <v>16.6</v>
      </c>
      <c r="E322" s="50">
        <v>15.5</v>
      </c>
      <c r="F322" s="54">
        <f t="shared" si="2"/>
        <v>17.7376</v>
      </c>
      <c r="G322" s="54">
        <f t="shared" si="24"/>
        <v>1.254166473</v>
      </c>
      <c r="H322" s="55">
        <f t="shared" si="4"/>
        <v>19.43958033</v>
      </c>
      <c r="I322" s="56">
        <f t="shared" si="5"/>
        <v>2976.977331</v>
      </c>
      <c r="J322" s="63"/>
      <c r="K322" s="63"/>
      <c r="L322" s="64"/>
      <c r="M322" s="57">
        <v>1311.0</v>
      </c>
      <c r="N322" s="51">
        <f t="shared" si="6"/>
        <v>254.8528981</v>
      </c>
    </row>
    <row r="323">
      <c r="A323" s="50">
        <v>80701.0</v>
      </c>
      <c r="B323" s="50" t="s">
        <v>369</v>
      </c>
      <c r="C323" s="51">
        <v>6817.0</v>
      </c>
      <c r="D323" s="52">
        <v>70.1</v>
      </c>
      <c r="E323" s="50">
        <v>15.5</v>
      </c>
      <c r="F323" s="54">
        <f t="shared" si="2"/>
        <v>14.3136</v>
      </c>
      <c r="G323" s="54">
        <f t="shared" si="24"/>
        <v>1.012066865</v>
      </c>
      <c r="H323" s="55">
        <f t="shared" si="4"/>
        <v>15.68703641</v>
      </c>
      <c r="I323" s="56">
        <f t="shared" si="5"/>
        <v>1069.385272</v>
      </c>
      <c r="J323" s="63"/>
      <c r="K323" s="63"/>
      <c r="L323" s="64"/>
      <c r="M323" s="57">
        <v>684.0</v>
      </c>
      <c r="N323" s="51">
        <f t="shared" si="6"/>
        <v>107.299329</v>
      </c>
    </row>
    <row r="324">
      <c r="A324" s="50">
        <v>80702.0</v>
      </c>
      <c r="B324" s="50" t="s">
        <v>347</v>
      </c>
      <c r="C324" s="51">
        <v>5445.0</v>
      </c>
      <c r="D324" s="52">
        <v>70.0</v>
      </c>
      <c r="E324" s="50">
        <v>15.5</v>
      </c>
      <c r="F324" s="54">
        <f t="shared" si="2"/>
        <v>14.32</v>
      </c>
      <c r="G324" s="54">
        <f t="shared" si="24"/>
        <v>1.012519388</v>
      </c>
      <c r="H324" s="55">
        <f t="shared" si="4"/>
        <v>15.69405051</v>
      </c>
      <c r="I324" s="56">
        <f t="shared" si="5"/>
        <v>854.5410501</v>
      </c>
      <c r="J324" s="63"/>
      <c r="K324" s="63"/>
      <c r="L324" s="64"/>
      <c r="M324" s="57">
        <v>511.0</v>
      </c>
      <c r="N324" s="51">
        <f t="shared" si="6"/>
        <v>80.19659809</v>
      </c>
    </row>
    <row r="325">
      <c r="A325" s="50">
        <v>80703.0</v>
      </c>
      <c r="B325" s="50" t="s">
        <v>370</v>
      </c>
      <c r="C325" s="51">
        <v>1078.833333</v>
      </c>
      <c r="D325" s="52">
        <v>0.0</v>
      </c>
      <c r="E325" s="50">
        <v>15.5</v>
      </c>
      <c r="F325" s="54">
        <f t="shared" si="2"/>
        <v>18.8</v>
      </c>
      <c r="G325" s="54">
        <f t="shared" si="24"/>
        <v>1.329285229</v>
      </c>
      <c r="H325" s="55">
        <f t="shared" si="4"/>
        <v>20.60392106</v>
      </c>
      <c r="I325" s="56">
        <f t="shared" si="5"/>
        <v>222.2819683</v>
      </c>
      <c r="J325" s="63"/>
      <c r="K325" s="63"/>
      <c r="L325" s="64"/>
      <c r="M325" s="57">
        <v>116.0</v>
      </c>
      <c r="N325" s="51">
        <f t="shared" si="6"/>
        <v>23.90054843</v>
      </c>
    </row>
    <row r="326">
      <c r="A326" s="50">
        <v>80801.0</v>
      </c>
      <c r="B326" s="50" t="s">
        <v>371</v>
      </c>
      <c r="C326" s="51">
        <v>12668.0</v>
      </c>
      <c r="D326" s="52">
        <v>76.5</v>
      </c>
      <c r="E326" s="50">
        <v>15.5</v>
      </c>
      <c r="F326" s="54">
        <f t="shared" si="2"/>
        <v>13.904</v>
      </c>
      <c r="G326" s="54">
        <f t="shared" si="24"/>
        <v>0.9831054165</v>
      </c>
      <c r="H326" s="55">
        <f t="shared" si="4"/>
        <v>15.23813396</v>
      </c>
      <c r="I326" s="56">
        <f t="shared" si="5"/>
        <v>1930.36681</v>
      </c>
      <c r="J326" s="50"/>
      <c r="K326" s="50"/>
      <c r="L326" s="50"/>
      <c r="M326" s="57">
        <v>1263.0</v>
      </c>
      <c r="N326" s="51">
        <f t="shared" si="6"/>
        <v>192.4576319</v>
      </c>
    </row>
    <row r="327">
      <c r="A327" s="50">
        <v>80802.0</v>
      </c>
      <c r="B327" s="50" t="s">
        <v>372</v>
      </c>
      <c r="C327" s="51">
        <v>7361.0</v>
      </c>
      <c r="D327" s="52">
        <v>29.3</v>
      </c>
      <c r="E327" s="50">
        <v>15.5</v>
      </c>
      <c r="F327" s="54">
        <f t="shared" si="2"/>
        <v>16.9248</v>
      </c>
      <c r="G327" s="54">
        <f t="shared" si="24"/>
        <v>1.196696099</v>
      </c>
      <c r="H327" s="55">
        <f t="shared" si="4"/>
        <v>18.54878953</v>
      </c>
      <c r="I327" s="56">
        <f t="shared" si="5"/>
        <v>1365.376397</v>
      </c>
      <c r="J327" s="63"/>
      <c r="K327" s="63"/>
      <c r="L327" s="64"/>
      <c r="M327" s="57">
        <v>534.0</v>
      </c>
      <c r="N327" s="51">
        <f t="shared" si="6"/>
        <v>99.05053607</v>
      </c>
    </row>
    <row r="328">
      <c r="A328" s="50">
        <v>80803.0</v>
      </c>
      <c r="B328" s="50" t="s">
        <v>373</v>
      </c>
      <c r="C328" s="51">
        <v>4587.0</v>
      </c>
      <c r="D328" s="52">
        <v>48.4</v>
      </c>
      <c r="E328" s="50">
        <v>15.5</v>
      </c>
      <c r="F328" s="54">
        <f t="shared" si="2"/>
        <v>15.7024</v>
      </c>
      <c r="G328" s="54">
        <f t="shared" si="24"/>
        <v>1.110264276</v>
      </c>
      <c r="H328" s="55">
        <f t="shared" si="4"/>
        <v>17.20909628</v>
      </c>
      <c r="I328" s="56">
        <f t="shared" si="5"/>
        <v>789.3812462</v>
      </c>
      <c r="J328" s="63"/>
      <c r="K328" s="63"/>
      <c r="L328" s="64"/>
      <c r="M328" s="57">
        <v>404.0</v>
      </c>
      <c r="N328" s="51">
        <f t="shared" si="6"/>
        <v>69.52474896</v>
      </c>
    </row>
    <row r="329">
      <c r="A329" s="50">
        <v>80901.0</v>
      </c>
      <c r="B329" s="50" t="s">
        <v>374</v>
      </c>
      <c r="C329" s="51">
        <v>3911.0</v>
      </c>
      <c r="D329" s="52">
        <v>0.0</v>
      </c>
      <c r="E329" s="50">
        <v>15.5</v>
      </c>
      <c r="F329" s="54">
        <f t="shared" si="2"/>
        <v>18.8</v>
      </c>
      <c r="G329" s="54">
        <f t="shared" si="24"/>
        <v>1.329285229</v>
      </c>
      <c r="H329" s="55">
        <f t="shared" si="4"/>
        <v>20.60392106</v>
      </c>
      <c r="I329" s="56">
        <f t="shared" si="5"/>
        <v>805.8193525</v>
      </c>
      <c r="J329" s="63"/>
      <c r="K329" s="63"/>
      <c r="L329" s="64"/>
      <c r="M329" s="57">
        <v>569.0</v>
      </c>
      <c r="N329" s="51">
        <f t="shared" si="6"/>
        <v>117.2363108</v>
      </c>
    </row>
    <row r="330">
      <c r="A330" s="50">
        <v>90101.0</v>
      </c>
      <c r="B330" s="50" t="s">
        <v>375</v>
      </c>
      <c r="C330" s="51">
        <v>54377.0</v>
      </c>
      <c r="D330" s="52">
        <v>96.7</v>
      </c>
      <c r="E330" s="50">
        <v>9.2</v>
      </c>
      <c r="F330" s="54">
        <f t="shared" si="2"/>
        <v>12.6112</v>
      </c>
      <c r="G330" s="54">
        <f t="shared" ref="G330:G344" si="25">1.11*F330/F$345</f>
        <v>0.8180019735</v>
      </c>
      <c r="H330" s="55">
        <f t="shared" si="4"/>
        <v>7.525618156</v>
      </c>
      <c r="I330" s="56">
        <f t="shared" si="5"/>
        <v>4092.205385</v>
      </c>
      <c r="J330" s="57">
        <f>SUM(C330:C344)</f>
        <v>132213</v>
      </c>
      <c r="K330" s="57">
        <f>SUM(I330:I344)</f>
        <v>12189.46606</v>
      </c>
      <c r="L330" s="58">
        <f>K330/J330</f>
        <v>0.09219566956</v>
      </c>
      <c r="M330" s="57">
        <v>4172.0</v>
      </c>
      <c r="N330" s="51">
        <f t="shared" si="6"/>
        <v>313.9687895</v>
      </c>
    </row>
    <row r="331">
      <c r="A331" s="50">
        <v>90102.0</v>
      </c>
      <c r="B331" s="50" t="s">
        <v>376</v>
      </c>
      <c r="C331" s="51">
        <v>9236.0</v>
      </c>
      <c r="D331" s="52">
        <v>76.2</v>
      </c>
      <c r="E331" s="50">
        <v>9.2</v>
      </c>
      <c r="F331" s="54">
        <f t="shared" si="2"/>
        <v>13.9232</v>
      </c>
      <c r="G331" s="54">
        <f t="shared" si="25"/>
        <v>0.9031024072</v>
      </c>
      <c r="H331" s="55">
        <f t="shared" si="4"/>
        <v>8.308542146</v>
      </c>
      <c r="I331" s="56">
        <f t="shared" si="5"/>
        <v>767.3769526</v>
      </c>
      <c r="J331" s="63"/>
      <c r="K331" s="63"/>
      <c r="L331" s="64"/>
      <c r="M331" s="57">
        <v>908.0</v>
      </c>
      <c r="N331" s="51">
        <f t="shared" si="6"/>
        <v>75.44156269</v>
      </c>
    </row>
    <row r="332">
      <c r="A332" s="50">
        <v>90103.0</v>
      </c>
      <c r="B332" s="50" t="s">
        <v>377</v>
      </c>
      <c r="C332" s="51">
        <v>2415.0</v>
      </c>
      <c r="D332" s="52">
        <v>0.0</v>
      </c>
      <c r="E332" s="50">
        <v>9.2</v>
      </c>
      <c r="F332" s="54">
        <f t="shared" si="2"/>
        <v>18.8</v>
      </c>
      <c r="G332" s="54">
        <f t="shared" si="25"/>
        <v>1.219426946</v>
      </c>
      <c r="H332" s="55">
        <f t="shared" si="4"/>
        <v>11.2187279</v>
      </c>
      <c r="I332" s="56">
        <f t="shared" si="5"/>
        <v>270.9322789</v>
      </c>
      <c r="J332" s="63"/>
      <c r="K332" s="63"/>
      <c r="L332" s="64"/>
      <c r="M332" s="57">
        <v>178.0</v>
      </c>
      <c r="N332" s="51">
        <f t="shared" si="6"/>
        <v>19.96933567</v>
      </c>
    </row>
    <row r="333">
      <c r="A333" s="50">
        <v>90104.0</v>
      </c>
      <c r="B333" s="50" t="s">
        <v>378</v>
      </c>
      <c r="C333" s="51">
        <v>3653.0</v>
      </c>
      <c r="D333" s="52">
        <v>0.0</v>
      </c>
      <c r="E333" s="50">
        <v>9.2</v>
      </c>
      <c r="F333" s="54">
        <f t="shared" si="2"/>
        <v>18.8</v>
      </c>
      <c r="G333" s="54">
        <f t="shared" si="25"/>
        <v>1.219426946</v>
      </c>
      <c r="H333" s="55">
        <f t="shared" si="4"/>
        <v>11.2187279</v>
      </c>
      <c r="I333" s="56">
        <f t="shared" si="5"/>
        <v>409.8201303</v>
      </c>
      <c r="J333" s="63"/>
      <c r="K333" s="63"/>
      <c r="L333" s="64"/>
      <c r="M333" s="57">
        <v>295.0</v>
      </c>
      <c r="N333" s="51">
        <f t="shared" si="6"/>
        <v>33.09524732</v>
      </c>
    </row>
    <row r="334">
      <c r="A334" s="50">
        <v>90201.0</v>
      </c>
      <c r="B334" s="50" t="s">
        <v>379</v>
      </c>
      <c r="C334" s="51">
        <v>7273.0</v>
      </c>
      <c r="D334" s="52">
        <v>47.7</v>
      </c>
      <c r="E334" s="50">
        <v>9.2</v>
      </c>
      <c r="F334" s="54">
        <f t="shared" si="2"/>
        <v>15.7472</v>
      </c>
      <c r="G334" s="54">
        <f t="shared" si="25"/>
        <v>1.021412766</v>
      </c>
      <c r="H334" s="55">
        <f t="shared" si="4"/>
        <v>9.396997449</v>
      </c>
      <c r="I334" s="56">
        <f t="shared" si="5"/>
        <v>683.4436245</v>
      </c>
      <c r="J334" s="63"/>
      <c r="K334" s="63"/>
      <c r="L334" s="64"/>
      <c r="M334" s="57">
        <v>682.0</v>
      </c>
      <c r="N334" s="51">
        <f t="shared" si="6"/>
        <v>64.0875226</v>
      </c>
    </row>
    <row r="335">
      <c r="A335" s="50">
        <v>90202.0</v>
      </c>
      <c r="B335" s="50" t="s">
        <v>270</v>
      </c>
      <c r="C335" s="51">
        <v>3474.0</v>
      </c>
      <c r="D335" s="52">
        <v>0.0</v>
      </c>
      <c r="E335" s="50">
        <v>9.2</v>
      </c>
      <c r="F335" s="54">
        <f t="shared" si="2"/>
        <v>18.8</v>
      </c>
      <c r="G335" s="54">
        <f t="shared" si="25"/>
        <v>1.219426946</v>
      </c>
      <c r="H335" s="55">
        <f t="shared" si="4"/>
        <v>11.2187279</v>
      </c>
      <c r="I335" s="56">
        <f t="shared" si="5"/>
        <v>389.7386074</v>
      </c>
      <c r="J335" s="63"/>
      <c r="K335" s="63"/>
      <c r="L335" s="64"/>
      <c r="M335" s="57">
        <v>369.0</v>
      </c>
      <c r="N335" s="51">
        <f t="shared" si="6"/>
        <v>41.39710596</v>
      </c>
    </row>
    <row r="336">
      <c r="A336" s="50">
        <v>90203.0</v>
      </c>
      <c r="B336" s="50" t="s">
        <v>380</v>
      </c>
      <c r="C336" s="51">
        <v>7854.0</v>
      </c>
      <c r="D336" s="52">
        <v>0.0</v>
      </c>
      <c r="E336" s="50">
        <v>9.2</v>
      </c>
      <c r="F336" s="54">
        <f t="shared" si="2"/>
        <v>18.8</v>
      </c>
      <c r="G336" s="54">
        <f t="shared" si="25"/>
        <v>1.219426946</v>
      </c>
      <c r="H336" s="55">
        <f t="shared" si="4"/>
        <v>11.2187279</v>
      </c>
      <c r="I336" s="56">
        <f t="shared" si="5"/>
        <v>881.1188896</v>
      </c>
      <c r="J336" s="63"/>
      <c r="K336" s="63"/>
      <c r="L336" s="64"/>
      <c r="M336" s="57">
        <v>730.0</v>
      </c>
      <c r="N336" s="51">
        <f t="shared" si="6"/>
        <v>81.8967137</v>
      </c>
    </row>
    <row r="337">
      <c r="A337" s="50">
        <v>90301.0</v>
      </c>
      <c r="B337" s="50" t="s">
        <v>381</v>
      </c>
      <c r="C337" s="51">
        <v>12075.0</v>
      </c>
      <c r="D337" s="52">
        <v>14.9</v>
      </c>
      <c r="E337" s="50">
        <v>9.2</v>
      </c>
      <c r="F337" s="54">
        <f t="shared" si="2"/>
        <v>17.8464</v>
      </c>
      <c r="G337" s="54">
        <f t="shared" si="25"/>
        <v>1.15757346</v>
      </c>
      <c r="H337" s="55">
        <f t="shared" si="4"/>
        <v>10.64967583</v>
      </c>
      <c r="I337" s="56">
        <f t="shared" si="5"/>
        <v>1285.948357</v>
      </c>
      <c r="J337" s="63"/>
      <c r="K337" s="63"/>
      <c r="L337" s="64"/>
      <c r="M337" s="57">
        <v>1460.0</v>
      </c>
      <c r="N337" s="51">
        <f t="shared" si="6"/>
        <v>155.4852672</v>
      </c>
    </row>
    <row r="338">
      <c r="A338" s="50">
        <v>90302.0</v>
      </c>
      <c r="B338" s="50" t="s">
        <v>303</v>
      </c>
      <c r="C338" s="51">
        <v>9650.0</v>
      </c>
      <c r="D338" s="52">
        <v>0.0</v>
      </c>
      <c r="E338" s="50">
        <v>9.2</v>
      </c>
      <c r="F338" s="54">
        <f t="shared" si="2"/>
        <v>18.8</v>
      </c>
      <c r="G338" s="54">
        <f t="shared" si="25"/>
        <v>1.219426946</v>
      </c>
      <c r="H338" s="55">
        <f t="shared" si="4"/>
        <v>11.2187279</v>
      </c>
      <c r="I338" s="56">
        <f t="shared" si="5"/>
        <v>1082.607243</v>
      </c>
      <c r="J338" s="63"/>
      <c r="K338" s="63"/>
      <c r="L338" s="64"/>
      <c r="M338" s="57">
        <v>1266.0</v>
      </c>
      <c r="N338" s="51">
        <f t="shared" si="6"/>
        <v>142.0290953</v>
      </c>
    </row>
    <row r="339">
      <c r="A339" s="50">
        <v>90303.0</v>
      </c>
      <c r="B339" s="50" t="s">
        <v>382</v>
      </c>
      <c r="C339" s="51">
        <v>10333.0</v>
      </c>
      <c r="D339" s="52">
        <v>41.8</v>
      </c>
      <c r="E339" s="50">
        <v>9.2</v>
      </c>
      <c r="F339" s="54">
        <f t="shared" si="2"/>
        <v>16.1248</v>
      </c>
      <c r="G339" s="54">
        <f t="shared" si="25"/>
        <v>1.045905086</v>
      </c>
      <c r="H339" s="55">
        <f t="shared" si="4"/>
        <v>9.622326793</v>
      </c>
      <c r="I339" s="56">
        <f t="shared" si="5"/>
        <v>994.2750275</v>
      </c>
      <c r="J339" s="63"/>
      <c r="K339" s="63"/>
      <c r="L339" s="64"/>
      <c r="M339" s="57">
        <v>1177.0</v>
      </c>
      <c r="N339" s="51">
        <f t="shared" si="6"/>
        <v>113.2547863</v>
      </c>
    </row>
    <row r="340">
      <c r="A340" s="50">
        <v>90401.0</v>
      </c>
      <c r="B340" s="50" t="s">
        <v>323</v>
      </c>
      <c r="C340" s="51">
        <v>2848.0</v>
      </c>
      <c r="D340" s="52">
        <v>0.0</v>
      </c>
      <c r="E340" s="50">
        <v>9.2</v>
      </c>
      <c r="F340" s="54">
        <f t="shared" si="2"/>
        <v>18.8</v>
      </c>
      <c r="G340" s="54">
        <f t="shared" si="25"/>
        <v>1.219426946</v>
      </c>
      <c r="H340" s="55">
        <f t="shared" si="4"/>
        <v>11.2187279</v>
      </c>
      <c r="I340" s="56">
        <f t="shared" si="5"/>
        <v>319.5093707</v>
      </c>
      <c r="J340" s="63"/>
      <c r="K340" s="63"/>
      <c r="L340" s="64"/>
      <c r="M340" s="57">
        <v>269.0</v>
      </c>
      <c r="N340" s="51">
        <f t="shared" si="6"/>
        <v>30.17837806</v>
      </c>
    </row>
    <row r="341">
      <c r="A341" s="50">
        <v>90402.0</v>
      </c>
      <c r="B341" s="50" t="s">
        <v>383</v>
      </c>
      <c r="C341" s="51">
        <v>2521.0</v>
      </c>
      <c r="D341" s="52">
        <v>0.0</v>
      </c>
      <c r="E341" s="50">
        <v>9.2</v>
      </c>
      <c r="F341" s="54">
        <f t="shared" si="2"/>
        <v>18.8</v>
      </c>
      <c r="G341" s="54">
        <f t="shared" si="25"/>
        <v>1.219426946</v>
      </c>
      <c r="H341" s="55">
        <f t="shared" si="4"/>
        <v>11.2187279</v>
      </c>
      <c r="I341" s="56">
        <f t="shared" si="5"/>
        <v>282.8241305</v>
      </c>
      <c r="J341" s="63"/>
      <c r="K341" s="63"/>
      <c r="L341" s="64"/>
      <c r="M341" s="57">
        <v>261.0</v>
      </c>
      <c r="N341" s="51">
        <f t="shared" si="6"/>
        <v>29.28087983</v>
      </c>
    </row>
    <row r="342">
      <c r="A342" s="50">
        <v>90501.0</v>
      </c>
      <c r="B342" s="50" t="s">
        <v>384</v>
      </c>
      <c r="C342" s="73">
        <v>1637.0</v>
      </c>
      <c r="D342" s="74">
        <v>0.0</v>
      </c>
      <c r="E342" s="50">
        <v>9.2</v>
      </c>
      <c r="F342" s="54">
        <f t="shared" si="2"/>
        <v>18.8</v>
      </c>
      <c r="G342" s="54">
        <f t="shared" si="25"/>
        <v>1.219426946</v>
      </c>
      <c r="H342" s="55">
        <f t="shared" si="4"/>
        <v>11.2187279</v>
      </c>
      <c r="I342" s="56">
        <f t="shared" si="5"/>
        <v>183.6505758</v>
      </c>
      <c r="J342" s="63"/>
      <c r="K342" s="63"/>
      <c r="L342" s="64"/>
      <c r="M342" s="73">
        <v>166.0</v>
      </c>
      <c r="N342" s="51">
        <f t="shared" si="6"/>
        <v>18.62308832</v>
      </c>
    </row>
    <row r="343">
      <c r="A343" s="50">
        <v>90502.0</v>
      </c>
      <c r="B343" s="50" t="s">
        <v>385</v>
      </c>
      <c r="C343" s="73">
        <v>2535.0</v>
      </c>
      <c r="D343" s="74">
        <v>0.0</v>
      </c>
      <c r="E343" s="50">
        <v>9.2</v>
      </c>
      <c r="F343" s="54">
        <f t="shared" si="2"/>
        <v>18.8</v>
      </c>
      <c r="G343" s="54">
        <f t="shared" si="25"/>
        <v>1.219426946</v>
      </c>
      <c r="H343" s="55">
        <f t="shared" si="4"/>
        <v>11.2187279</v>
      </c>
      <c r="I343" s="56">
        <f t="shared" si="5"/>
        <v>284.3947524</v>
      </c>
      <c r="J343" s="63"/>
      <c r="K343" s="63"/>
      <c r="L343" s="64"/>
      <c r="M343" s="73">
        <v>262.0</v>
      </c>
      <c r="N343" s="51">
        <f t="shared" si="6"/>
        <v>29.39306711</v>
      </c>
    </row>
    <row r="344">
      <c r="A344" s="50">
        <v>90503.0</v>
      </c>
      <c r="B344" s="75" t="s">
        <v>386</v>
      </c>
      <c r="C344" s="76">
        <v>2332.0</v>
      </c>
      <c r="D344" s="77">
        <v>0.0</v>
      </c>
      <c r="E344" s="50">
        <v>9.2</v>
      </c>
      <c r="F344" s="54">
        <f t="shared" si="2"/>
        <v>18.8</v>
      </c>
      <c r="G344" s="54">
        <f t="shared" si="25"/>
        <v>1.219426946</v>
      </c>
      <c r="H344" s="78">
        <f t="shared" si="4"/>
        <v>11.2187279</v>
      </c>
      <c r="I344" s="79">
        <f t="shared" si="5"/>
        <v>261.6207347</v>
      </c>
      <c r="J344" s="80"/>
      <c r="K344" s="81"/>
      <c r="L344" s="82"/>
      <c r="M344" s="76">
        <v>217.0</v>
      </c>
      <c r="N344" s="70">
        <f t="shared" si="6"/>
        <v>24.34463955</v>
      </c>
    </row>
    <row r="345">
      <c r="B345" s="83" t="s">
        <v>67</v>
      </c>
      <c r="C345" s="84">
        <f>SUM(C2:C344)</f>
        <v>11256556</v>
      </c>
      <c r="D345" s="85"/>
      <c r="E345" s="86">
        <v>14.4</v>
      </c>
      <c r="F345" s="87">
        <f>AVERAGE(F2:F344)</f>
        <v>17.11295627</v>
      </c>
      <c r="G345" s="88"/>
      <c r="H345" s="89">
        <f>AVERAGE(H2:H344)</f>
        <v>18.88438722</v>
      </c>
      <c r="I345" s="90">
        <f>SUM(I2:I344)</f>
        <v>1650946.444</v>
      </c>
      <c r="J345" s="91"/>
      <c r="K345" s="92"/>
      <c r="L345" s="93"/>
      <c r="M345" s="94">
        <f t="shared" ref="M345:N345" si="26">SUM(M2:M344)</f>
        <v>872350</v>
      </c>
      <c r="N345" s="95">
        <f t="shared" si="26"/>
        <v>129096.4953</v>
      </c>
    </row>
    <row r="346">
      <c r="C346" s="96"/>
      <c r="D346" s="97"/>
      <c r="J346" s="98"/>
      <c r="K346" s="98"/>
      <c r="L346" s="99"/>
      <c r="M346" s="96"/>
    </row>
    <row r="347">
      <c r="C347" s="96"/>
      <c r="D347" s="97"/>
      <c r="J347" s="98"/>
      <c r="K347" s="98"/>
      <c r="L347" s="99"/>
      <c r="M347" s="96"/>
    </row>
    <row r="348">
      <c r="C348" s="96"/>
      <c r="D348" s="97"/>
      <c r="J348" s="98"/>
      <c r="K348" s="98"/>
      <c r="L348" s="99"/>
      <c r="M348" s="96"/>
    </row>
    <row r="349">
      <c r="C349" s="96"/>
      <c r="D349" s="97"/>
      <c r="J349" s="98"/>
      <c r="K349" s="98"/>
      <c r="L349" s="99"/>
      <c r="M349" s="96"/>
    </row>
    <row r="350">
      <c r="C350" s="96"/>
      <c r="D350" s="97"/>
      <c r="J350" s="98"/>
      <c r="K350" s="98"/>
      <c r="L350" s="99"/>
      <c r="M350" s="96"/>
    </row>
    <row r="351">
      <c r="C351" s="96"/>
      <c r="D351" s="97"/>
      <c r="J351" s="98"/>
      <c r="K351" s="98"/>
      <c r="L351" s="99"/>
      <c r="M351" s="96"/>
    </row>
    <row r="352">
      <c r="C352" s="96"/>
      <c r="D352" s="97"/>
      <c r="J352" s="98"/>
      <c r="K352" s="98"/>
      <c r="L352" s="99"/>
      <c r="M352" s="96"/>
    </row>
    <row r="353">
      <c r="C353" s="96"/>
      <c r="D353" s="97"/>
      <c r="J353" s="98"/>
      <c r="K353" s="98"/>
      <c r="L353" s="99"/>
      <c r="M353" s="96"/>
    </row>
    <row r="354">
      <c r="C354" s="96"/>
      <c r="D354" s="97"/>
      <c r="J354" s="98"/>
      <c r="K354" s="98"/>
      <c r="L354" s="99"/>
      <c r="M354" s="96"/>
    </row>
    <row r="355">
      <c r="C355" s="96"/>
      <c r="D355" s="97"/>
      <c r="J355" s="98"/>
      <c r="K355" s="98"/>
      <c r="L355" s="99"/>
      <c r="M355" s="96"/>
    </row>
    <row r="356">
      <c r="C356" s="96"/>
      <c r="D356" s="97"/>
      <c r="J356" s="98"/>
      <c r="K356" s="98"/>
      <c r="L356" s="99"/>
      <c r="M356" s="96"/>
    </row>
    <row r="357">
      <c r="C357" s="96"/>
      <c r="D357" s="97"/>
      <c r="J357" s="98"/>
      <c r="K357" s="98"/>
      <c r="L357" s="99"/>
      <c r="M357" s="96"/>
    </row>
    <row r="358">
      <c r="C358" s="96"/>
      <c r="D358" s="97"/>
      <c r="J358" s="98"/>
      <c r="K358" s="98"/>
      <c r="L358" s="99"/>
      <c r="M358" s="96"/>
    </row>
    <row r="359">
      <c r="C359" s="96"/>
      <c r="D359" s="97"/>
      <c r="J359" s="98"/>
      <c r="K359" s="98"/>
      <c r="L359" s="99"/>
      <c r="M359" s="96"/>
    </row>
    <row r="360">
      <c r="C360" s="96"/>
      <c r="D360" s="97"/>
      <c r="J360" s="98"/>
      <c r="K360" s="98"/>
      <c r="L360" s="99"/>
      <c r="M360" s="96"/>
    </row>
    <row r="361">
      <c r="C361" s="96"/>
      <c r="D361" s="97"/>
      <c r="J361" s="98"/>
      <c r="K361" s="98"/>
      <c r="L361" s="99"/>
      <c r="M361" s="96"/>
    </row>
    <row r="362">
      <c r="C362" s="96"/>
      <c r="D362" s="97"/>
      <c r="J362" s="98"/>
      <c r="K362" s="98"/>
      <c r="L362" s="99"/>
      <c r="M362" s="96"/>
    </row>
    <row r="363">
      <c r="C363" s="96"/>
      <c r="D363" s="97"/>
      <c r="J363" s="98"/>
      <c r="K363" s="98"/>
      <c r="L363" s="99"/>
      <c r="M363" s="96"/>
    </row>
    <row r="364">
      <c r="C364" s="96"/>
      <c r="D364" s="97"/>
      <c r="J364" s="98"/>
      <c r="K364" s="98"/>
      <c r="L364" s="99"/>
      <c r="M364" s="96"/>
    </row>
    <row r="365">
      <c r="C365" s="96"/>
      <c r="D365" s="97"/>
      <c r="J365" s="98"/>
      <c r="K365" s="98"/>
      <c r="L365" s="99"/>
      <c r="M365" s="96"/>
    </row>
    <row r="366">
      <c r="C366" s="96"/>
      <c r="D366" s="97"/>
      <c r="J366" s="98"/>
      <c r="K366" s="98"/>
      <c r="L366" s="99"/>
      <c r="M366" s="96"/>
    </row>
    <row r="367">
      <c r="C367" s="96"/>
      <c r="D367" s="97"/>
      <c r="J367" s="98"/>
      <c r="K367" s="98"/>
      <c r="L367" s="99"/>
      <c r="M367" s="96"/>
    </row>
    <row r="368">
      <c r="C368" s="96"/>
      <c r="D368" s="97"/>
      <c r="J368" s="98"/>
      <c r="K368" s="98"/>
      <c r="L368" s="99"/>
      <c r="M368" s="96"/>
    </row>
    <row r="369">
      <c r="C369" s="96"/>
      <c r="D369" s="97"/>
      <c r="J369" s="98"/>
      <c r="K369" s="98"/>
      <c r="L369" s="99"/>
      <c r="M369" s="96"/>
    </row>
    <row r="370">
      <c r="C370" s="96"/>
      <c r="D370" s="97"/>
      <c r="J370" s="98"/>
      <c r="K370" s="98"/>
      <c r="L370" s="99"/>
      <c r="M370" s="96"/>
    </row>
    <row r="371">
      <c r="C371" s="96"/>
      <c r="D371" s="97"/>
      <c r="J371" s="98"/>
      <c r="K371" s="98"/>
      <c r="L371" s="99"/>
      <c r="M371" s="96"/>
    </row>
    <row r="372">
      <c r="C372" s="96"/>
      <c r="D372" s="97"/>
      <c r="J372" s="98"/>
      <c r="K372" s="98"/>
      <c r="L372" s="99"/>
      <c r="M372" s="96"/>
    </row>
    <row r="373">
      <c r="C373" s="96"/>
      <c r="D373" s="97"/>
      <c r="J373" s="98"/>
      <c r="K373" s="98"/>
      <c r="L373" s="99"/>
      <c r="M373" s="96"/>
    </row>
    <row r="374">
      <c r="C374" s="96"/>
      <c r="D374" s="97"/>
      <c r="J374" s="98"/>
      <c r="K374" s="98"/>
      <c r="L374" s="99"/>
      <c r="M374" s="96"/>
    </row>
    <row r="375">
      <c r="C375" s="96"/>
      <c r="D375" s="97"/>
      <c r="J375" s="98"/>
      <c r="K375" s="98"/>
      <c r="L375" s="99"/>
      <c r="M375" s="96"/>
    </row>
    <row r="376">
      <c r="C376" s="96"/>
      <c r="D376" s="97"/>
      <c r="J376" s="98"/>
      <c r="K376" s="98"/>
      <c r="L376" s="99"/>
      <c r="M376" s="96"/>
    </row>
    <row r="377">
      <c r="C377" s="96"/>
      <c r="D377" s="97"/>
      <c r="J377" s="98"/>
      <c r="K377" s="98"/>
      <c r="L377" s="99"/>
      <c r="M377" s="96"/>
    </row>
    <row r="378">
      <c r="C378" s="96"/>
      <c r="D378" s="97"/>
      <c r="J378" s="98"/>
      <c r="K378" s="98"/>
      <c r="L378" s="99"/>
      <c r="M378" s="96"/>
    </row>
    <row r="379">
      <c r="C379" s="96"/>
      <c r="D379" s="97"/>
      <c r="J379" s="98"/>
      <c r="K379" s="98"/>
      <c r="L379" s="99"/>
      <c r="M379" s="96"/>
    </row>
    <row r="380">
      <c r="C380" s="96"/>
      <c r="D380" s="97"/>
      <c r="J380" s="98"/>
      <c r="K380" s="98"/>
      <c r="L380" s="99"/>
      <c r="M380" s="96"/>
    </row>
    <row r="381">
      <c r="C381" s="96"/>
      <c r="D381" s="97"/>
      <c r="J381" s="98"/>
      <c r="K381" s="98"/>
      <c r="L381" s="99"/>
      <c r="M381" s="96"/>
    </row>
    <row r="382">
      <c r="C382" s="96"/>
      <c r="D382" s="97"/>
      <c r="J382" s="98"/>
      <c r="K382" s="98"/>
      <c r="L382" s="99"/>
      <c r="M382" s="96"/>
    </row>
    <row r="383">
      <c r="C383" s="96"/>
      <c r="D383" s="97"/>
      <c r="J383" s="98"/>
      <c r="K383" s="98"/>
      <c r="L383" s="99"/>
      <c r="M383" s="96"/>
    </row>
    <row r="384">
      <c r="C384" s="96"/>
      <c r="D384" s="97"/>
      <c r="J384" s="98"/>
      <c r="K384" s="98"/>
      <c r="L384" s="99"/>
      <c r="M384" s="96"/>
    </row>
    <row r="385">
      <c r="C385" s="96"/>
      <c r="D385" s="97"/>
      <c r="J385" s="98"/>
      <c r="K385" s="98"/>
      <c r="L385" s="99"/>
      <c r="M385" s="96"/>
    </row>
    <row r="386">
      <c r="C386" s="96"/>
      <c r="D386" s="97"/>
      <c r="J386" s="98"/>
      <c r="K386" s="98"/>
      <c r="L386" s="99"/>
      <c r="M386" s="96"/>
    </row>
    <row r="387">
      <c r="C387" s="96"/>
      <c r="D387" s="97"/>
      <c r="J387" s="98"/>
      <c r="K387" s="98"/>
      <c r="L387" s="99"/>
      <c r="M387" s="96"/>
    </row>
    <row r="388">
      <c r="C388" s="96"/>
      <c r="D388" s="97"/>
      <c r="J388" s="98"/>
      <c r="K388" s="98"/>
      <c r="L388" s="99"/>
      <c r="M388" s="96"/>
    </row>
    <row r="389">
      <c r="C389" s="96"/>
      <c r="D389" s="97"/>
      <c r="J389" s="98"/>
      <c r="K389" s="98"/>
      <c r="L389" s="99"/>
      <c r="M389" s="96"/>
    </row>
    <row r="390">
      <c r="C390" s="96"/>
      <c r="D390" s="97"/>
      <c r="J390" s="98"/>
      <c r="K390" s="98"/>
      <c r="L390" s="99"/>
      <c r="M390" s="96"/>
    </row>
    <row r="391">
      <c r="C391" s="96"/>
      <c r="D391" s="97"/>
      <c r="J391" s="98"/>
      <c r="K391" s="98"/>
      <c r="L391" s="99"/>
      <c r="M391" s="96"/>
    </row>
    <row r="392">
      <c r="C392" s="96"/>
      <c r="D392" s="97"/>
      <c r="J392" s="98"/>
      <c r="K392" s="98"/>
      <c r="L392" s="99"/>
      <c r="M392" s="96"/>
    </row>
    <row r="393">
      <c r="C393" s="96"/>
      <c r="D393" s="97"/>
      <c r="J393" s="98"/>
      <c r="K393" s="98"/>
      <c r="L393" s="99"/>
      <c r="M393" s="96"/>
    </row>
    <row r="394">
      <c r="C394" s="96"/>
      <c r="D394" s="97"/>
      <c r="J394" s="98"/>
      <c r="K394" s="98"/>
      <c r="L394" s="99"/>
      <c r="M394" s="96"/>
    </row>
    <row r="395">
      <c r="C395" s="96"/>
      <c r="D395" s="97"/>
      <c r="J395" s="98"/>
      <c r="K395" s="98"/>
      <c r="L395" s="99"/>
      <c r="M395" s="96"/>
    </row>
    <row r="396">
      <c r="C396" s="96"/>
      <c r="D396" s="97"/>
      <c r="J396" s="98"/>
      <c r="K396" s="98"/>
      <c r="L396" s="99"/>
      <c r="M396" s="96"/>
    </row>
    <row r="397">
      <c r="C397" s="96"/>
      <c r="D397" s="97"/>
      <c r="J397" s="98"/>
      <c r="K397" s="98"/>
      <c r="L397" s="99"/>
      <c r="M397" s="96"/>
    </row>
    <row r="398">
      <c r="C398" s="96"/>
      <c r="D398" s="97"/>
      <c r="J398" s="98"/>
      <c r="K398" s="98"/>
      <c r="L398" s="99"/>
      <c r="M398" s="96"/>
    </row>
    <row r="399">
      <c r="C399" s="96"/>
      <c r="D399" s="97"/>
      <c r="J399" s="98"/>
      <c r="K399" s="98"/>
      <c r="L399" s="99"/>
      <c r="M399" s="96"/>
    </row>
    <row r="400">
      <c r="C400" s="96"/>
      <c r="D400" s="97"/>
      <c r="J400" s="98"/>
      <c r="K400" s="98"/>
      <c r="L400" s="99"/>
      <c r="M400" s="96"/>
    </row>
    <row r="401">
      <c r="C401" s="96"/>
      <c r="D401" s="97"/>
      <c r="J401" s="98"/>
      <c r="K401" s="98"/>
      <c r="L401" s="99"/>
      <c r="M401" s="96"/>
    </row>
    <row r="402">
      <c r="C402" s="96"/>
      <c r="D402" s="97"/>
      <c r="J402" s="98"/>
      <c r="K402" s="98"/>
      <c r="L402" s="99"/>
      <c r="M402" s="96"/>
    </row>
    <row r="403">
      <c r="C403" s="96"/>
      <c r="D403" s="97"/>
      <c r="J403" s="98"/>
      <c r="K403" s="98"/>
      <c r="L403" s="99"/>
      <c r="M403" s="96"/>
    </row>
    <row r="404">
      <c r="C404" s="96"/>
      <c r="D404" s="97"/>
      <c r="J404" s="98"/>
      <c r="K404" s="98"/>
      <c r="L404" s="99"/>
      <c r="M404" s="96"/>
    </row>
    <row r="405">
      <c r="C405" s="96"/>
      <c r="D405" s="97"/>
      <c r="J405" s="98"/>
      <c r="K405" s="98"/>
      <c r="L405" s="99"/>
      <c r="M405" s="96"/>
    </row>
    <row r="406">
      <c r="C406" s="96"/>
      <c r="D406" s="97"/>
      <c r="J406" s="98"/>
      <c r="K406" s="98"/>
      <c r="L406" s="99"/>
      <c r="M406" s="96"/>
    </row>
    <row r="407">
      <c r="C407" s="96"/>
      <c r="D407" s="97"/>
      <c r="J407" s="98"/>
      <c r="K407" s="98"/>
      <c r="L407" s="99"/>
      <c r="M407" s="96"/>
    </row>
    <row r="408">
      <c r="C408" s="96"/>
      <c r="D408" s="97"/>
      <c r="J408" s="98"/>
      <c r="K408" s="98"/>
      <c r="L408" s="99"/>
      <c r="M408" s="96"/>
    </row>
    <row r="409">
      <c r="C409" s="96"/>
      <c r="D409" s="97"/>
      <c r="J409" s="98"/>
      <c r="K409" s="98"/>
      <c r="L409" s="99"/>
      <c r="M409" s="96"/>
    </row>
    <row r="410">
      <c r="C410" s="96"/>
      <c r="D410" s="97"/>
      <c r="J410" s="98"/>
      <c r="K410" s="98"/>
      <c r="L410" s="99"/>
      <c r="M410" s="96"/>
    </row>
    <row r="411">
      <c r="C411" s="96"/>
      <c r="D411" s="97"/>
      <c r="J411" s="98"/>
      <c r="K411" s="98"/>
      <c r="L411" s="99"/>
      <c r="M411" s="96"/>
    </row>
    <row r="412">
      <c r="C412" s="96"/>
      <c r="D412" s="97"/>
      <c r="J412" s="98"/>
      <c r="K412" s="98"/>
      <c r="L412" s="99"/>
      <c r="M412" s="96"/>
    </row>
    <row r="413">
      <c r="C413" s="96"/>
      <c r="D413" s="97"/>
      <c r="J413" s="98"/>
      <c r="K413" s="98"/>
      <c r="L413" s="99"/>
      <c r="M413" s="96"/>
    </row>
    <row r="414">
      <c r="C414" s="96"/>
      <c r="D414" s="97"/>
      <c r="J414" s="98"/>
      <c r="K414" s="98"/>
      <c r="L414" s="99"/>
      <c r="M414" s="96"/>
    </row>
    <row r="415">
      <c r="C415" s="96"/>
      <c r="D415" s="97"/>
      <c r="J415" s="98"/>
      <c r="K415" s="98"/>
      <c r="L415" s="99"/>
      <c r="M415" s="96"/>
    </row>
    <row r="416">
      <c r="C416" s="96"/>
      <c r="D416" s="97"/>
      <c r="J416" s="98"/>
      <c r="K416" s="98"/>
      <c r="L416" s="99"/>
      <c r="M416" s="96"/>
    </row>
    <row r="417">
      <c r="C417" s="96"/>
      <c r="D417" s="97"/>
      <c r="J417" s="98"/>
      <c r="K417" s="98"/>
      <c r="L417" s="99"/>
      <c r="M417" s="96"/>
    </row>
    <row r="418">
      <c r="C418" s="96"/>
      <c r="D418" s="97"/>
      <c r="J418" s="98"/>
      <c r="K418" s="98"/>
      <c r="L418" s="99"/>
      <c r="M418" s="96"/>
    </row>
    <row r="419">
      <c r="C419" s="96"/>
      <c r="D419" s="97"/>
      <c r="J419" s="98"/>
      <c r="K419" s="98"/>
      <c r="L419" s="99"/>
      <c r="M419" s="96"/>
    </row>
    <row r="420">
      <c r="C420" s="96"/>
      <c r="D420" s="97"/>
      <c r="J420" s="98"/>
      <c r="K420" s="98"/>
      <c r="L420" s="99"/>
      <c r="M420" s="96"/>
    </row>
    <row r="421">
      <c r="C421" s="96"/>
      <c r="D421" s="97"/>
      <c r="J421" s="98"/>
      <c r="K421" s="98"/>
      <c r="L421" s="99"/>
      <c r="M421" s="96"/>
    </row>
    <row r="422">
      <c r="C422" s="96"/>
      <c r="D422" s="97"/>
      <c r="J422" s="98"/>
      <c r="K422" s="98"/>
      <c r="L422" s="99"/>
      <c r="M422" s="96"/>
    </row>
    <row r="423">
      <c r="C423" s="96"/>
      <c r="D423" s="97"/>
      <c r="J423" s="98"/>
      <c r="K423" s="98"/>
      <c r="L423" s="99"/>
      <c r="M423" s="96"/>
    </row>
    <row r="424">
      <c r="C424" s="96"/>
      <c r="D424" s="97"/>
      <c r="J424" s="98"/>
      <c r="K424" s="98"/>
      <c r="L424" s="99"/>
      <c r="M424" s="96"/>
    </row>
    <row r="425">
      <c r="C425" s="96"/>
      <c r="D425" s="97"/>
      <c r="J425" s="98"/>
      <c r="K425" s="98"/>
      <c r="L425" s="99"/>
      <c r="M425" s="96"/>
    </row>
    <row r="426">
      <c r="C426" s="96"/>
      <c r="D426" s="97"/>
      <c r="J426" s="98"/>
      <c r="K426" s="98"/>
      <c r="L426" s="99"/>
      <c r="M426" s="96"/>
    </row>
    <row r="427">
      <c r="C427" s="96"/>
      <c r="D427" s="97"/>
      <c r="J427" s="98"/>
      <c r="K427" s="98"/>
      <c r="L427" s="99"/>
      <c r="M427" s="96"/>
    </row>
    <row r="428">
      <c r="C428" s="96"/>
      <c r="D428" s="97"/>
      <c r="J428" s="98"/>
      <c r="K428" s="98"/>
      <c r="L428" s="99"/>
      <c r="M428" s="96"/>
    </row>
    <row r="429">
      <c r="C429" s="96"/>
      <c r="D429" s="97"/>
      <c r="J429" s="98"/>
      <c r="K429" s="98"/>
      <c r="L429" s="99"/>
      <c r="M429" s="96"/>
    </row>
    <row r="430">
      <c r="C430" s="96"/>
      <c r="D430" s="97"/>
      <c r="J430" s="98"/>
      <c r="K430" s="98"/>
      <c r="L430" s="99"/>
      <c r="M430" s="96"/>
    </row>
    <row r="431">
      <c r="C431" s="96"/>
      <c r="D431" s="97"/>
      <c r="J431" s="98"/>
      <c r="K431" s="98"/>
      <c r="L431" s="99"/>
      <c r="M431" s="96"/>
    </row>
    <row r="432">
      <c r="C432" s="96"/>
      <c r="D432" s="97"/>
      <c r="J432" s="98"/>
      <c r="K432" s="98"/>
      <c r="L432" s="99"/>
      <c r="M432" s="96"/>
    </row>
    <row r="433">
      <c r="C433" s="96"/>
      <c r="D433" s="97"/>
      <c r="J433" s="98"/>
      <c r="K433" s="98"/>
      <c r="L433" s="99"/>
      <c r="M433" s="96"/>
    </row>
    <row r="434">
      <c r="C434" s="96"/>
      <c r="D434" s="97"/>
      <c r="J434" s="98"/>
      <c r="K434" s="98"/>
      <c r="L434" s="99"/>
      <c r="M434" s="96"/>
    </row>
    <row r="435">
      <c r="C435" s="96"/>
      <c r="D435" s="97"/>
      <c r="J435" s="98"/>
      <c r="K435" s="98"/>
      <c r="L435" s="99"/>
      <c r="M435" s="96"/>
    </row>
    <row r="436">
      <c r="C436" s="96"/>
      <c r="D436" s="97"/>
      <c r="J436" s="98"/>
      <c r="K436" s="98"/>
      <c r="L436" s="99"/>
      <c r="M436" s="96"/>
    </row>
    <row r="437">
      <c r="C437" s="96"/>
      <c r="D437" s="97"/>
      <c r="J437" s="98"/>
      <c r="K437" s="98"/>
      <c r="L437" s="99"/>
      <c r="M437" s="96"/>
    </row>
    <row r="438">
      <c r="C438" s="96"/>
      <c r="D438" s="97"/>
      <c r="J438" s="98"/>
      <c r="K438" s="98"/>
      <c r="L438" s="99"/>
      <c r="M438" s="96"/>
    </row>
    <row r="439">
      <c r="C439" s="96"/>
      <c r="D439" s="97"/>
      <c r="J439" s="98"/>
      <c r="K439" s="98"/>
      <c r="L439" s="99"/>
      <c r="M439" s="96"/>
    </row>
    <row r="440">
      <c r="C440" s="96"/>
      <c r="D440" s="97"/>
      <c r="J440" s="98"/>
      <c r="K440" s="98"/>
      <c r="L440" s="99"/>
      <c r="M440" s="96"/>
    </row>
    <row r="441">
      <c r="C441" s="96"/>
      <c r="D441" s="97"/>
      <c r="J441" s="98"/>
      <c r="K441" s="98"/>
      <c r="L441" s="99"/>
      <c r="M441" s="96"/>
    </row>
    <row r="442">
      <c r="C442" s="96"/>
      <c r="D442" s="97"/>
      <c r="J442" s="98"/>
      <c r="K442" s="98"/>
      <c r="L442" s="99"/>
      <c r="M442" s="96"/>
    </row>
    <row r="443">
      <c r="C443" s="96"/>
      <c r="D443" s="97"/>
      <c r="J443" s="98"/>
      <c r="K443" s="98"/>
      <c r="L443" s="99"/>
      <c r="M443" s="96"/>
    </row>
    <row r="444">
      <c r="C444" s="96"/>
      <c r="D444" s="97"/>
      <c r="J444" s="98"/>
      <c r="K444" s="98"/>
      <c r="L444" s="99"/>
      <c r="M444" s="96"/>
    </row>
    <row r="445">
      <c r="C445" s="96"/>
      <c r="D445" s="97"/>
      <c r="J445" s="98"/>
      <c r="K445" s="98"/>
      <c r="L445" s="99"/>
      <c r="M445" s="96"/>
    </row>
    <row r="446">
      <c r="C446" s="96"/>
      <c r="D446" s="97"/>
      <c r="J446" s="98"/>
      <c r="K446" s="98"/>
      <c r="L446" s="99"/>
      <c r="M446" s="96"/>
    </row>
    <row r="447">
      <c r="C447" s="96"/>
      <c r="D447" s="97"/>
      <c r="J447" s="98"/>
      <c r="K447" s="98"/>
      <c r="L447" s="99"/>
      <c r="M447" s="96"/>
    </row>
    <row r="448">
      <c r="C448" s="96"/>
      <c r="D448" s="97"/>
      <c r="J448" s="98"/>
      <c r="K448" s="98"/>
      <c r="L448" s="99"/>
      <c r="M448" s="96"/>
    </row>
    <row r="449">
      <c r="C449" s="96"/>
      <c r="D449" s="97"/>
      <c r="J449" s="98"/>
      <c r="K449" s="98"/>
      <c r="L449" s="99"/>
      <c r="M449" s="96"/>
    </row>
    <row r="450">
      <c r="C450" s="96"/>
      <c r="D450" s="97"/>
      <c r="J450" s="98"/>
      <c r="K450" s="98"/>
      <c r="L450" s="99"/>
      <c r="M450" s="96"/>
    </row>
    <row r="451">
      <c r="C451" s="96"/>
      <c r="D451" s="97"/>
      <c r="J451" s="98"/>
      <c r="K451" s="98"/>
      <c r="L451" s="99"/>
      <c r="M451" s="96"/>
    </row>
    <row r="452">
      <c r="C452" s="96"/>
      <c r="D452" s="97"/>
      <c r="J452" s="98"/>
      <c r="K452" s="98"/>
      <c r="L452" s="99"/>
      <c r="M452" s="96"/>
    </row>
    <row r="453">
      <c r="C453" s="96"/>
      <c r="D453" s="97"/>
      <c r="J453" s="98"/>
      <c r="K453" s="98"/>
      <c r="L453" s="99"/>
      <c r="M453" s="96"/>
    </row>
    <row r="454">
      <c r="C454" s="96"/>
      <c r="D454" s="97"/>
      <c r="J454" s="98"/>
      <c r="K454" s="98"/>
      <c r="L454" s="99"/>
      <c r="M454" s="96"/>
    </row>
    <row r="455">
      <c r="C455" s="96"/>
      <c r="D455" s="97"/>
      <c r="J455" s="98"/>
      <c r="K455" s="98"/>
      <c r="L455" s="99"/>
      <c r="M455" s="96"/>
    </row>
    <row r="456">
      <c r="C456" s="96"/>
      <c r="D456" s="97"/>
      <c r="J456" s="98"/>
      <c r="K456" s="98"/>
      <c r="L456" s="99"/>
      <c r="M456" s="96"/>
    </row>
    <row r="457">
      <c r="C457" s="96"/>
      <c r="D457" s="97"/>
      <c r="J457" s="98"/>
      <c r="K457" s="98"/>
      <c r="L457" s="99"/>
      <c r="M457" s="96"/>
    </row>
    <row r="458">
      <c r="C458" s="96"/>
      <c r="D458" s="97"/>
      <c r="J458" s="98"/>
      <c r="K458" s="98"/>
      <c r="L458" s="99"/>
      <c r="M458" s="96"/>
    </row>
    <row r="459">
      <c r="C459" s="96"/>
      <c r="D459" s="97"/>
      <c r="J459" s="98"/>
      <c r="K459" s="98"/>
      <c r="L459" s="99"/>
      <c r="M459" s="96"/>
    </row>
    <row r="460">
      <c r="C460" s="96"/>
      <c r="D460" s="97"/>
      <c r="J460" s="98"/>
      <c r="K460" s="98"/>
      <c r="L460" s="99"/>
      <c r="M460" s="96"/>
    </row>
    <row r="461">
      <c r="C461" s="96"/>
      <c r="D461" s="97"/>
      <c r="J461" s="98"/>
      <c r="K461" s="98"/>
      <c r="L461" s="99"/>
      <c r="M461" s="96"/>
    </row>
    <row r="462">
      <c r="C462" s="96"/>
      <c r="D462" s="97"/>
      <c r="J462" s="98"/>
      <c r="K462" s="98"/>
      <c r="L462" s="99"/>
      <c r="M462" s="96"/>
    </row>
    <row r="463">
      <c r="C463" s="96"/>
      <c r="D463" s="97"/>
      <c r="J463" s="98"/>
      <c r="K463" s="98"/>
      <c r="L463" s="99"/>
      <c r="M463" s="96"/>
    </row>
    <row r="464">
      <c r="C464" s="96"/>
      <c r="D464" s="97"/>
      <c r="J464" s="98"/>
      <c r="K464" s="98"/>
      <c r="L464" s="99"/>
      <c r="M464" s="96"/>
    </row>
    <row r="465">
      <c r="C465" s="96"/>
      <c r="D465" s="97"/>
      <c r="J465" s="98"/>
      <c r="K465" s="98"/>
      <c r="L465" s="99"/>
      <c r="M465" s="96"/>
    </row>
    <row r="466">
      <c r="C466" s="96"/>
      <c r="D466" s="97"/>
      <c r="J466" s="98"/>
      <c r="K466" s="98"/>
      <c r="L466" s="99"/>
      <c r="M466" s="96"/>
    </row>
    <row r="467">
      <c r="C467" s="96"/>
      <c r="D467" s="97"/>
      <c r="J467" s="98"/>
      <c r="K467" s="98"/>
      <c r="L467" s="99"/>
      <c r="M467" s="96"/>
    </row>
    <row r="468">
      <c r="C468" s="96"/>
      <c r="D468" s="97"/>
      <c r="J468" s="98"/>
      <c r="K468" s="98"/>
      <c r="L468" s="99"/>
      <c r="M468" s="96"/>
    </row>
    <row r="469">
      <c r="C469" s="96"/>
      <c r="D469" s="97"/>
      <c r="J469" s="98"/>
      <c r="K469" s="98"/>
      <c r="L469" s="99"/>
      <c r="M469" s="96"/>
    </row>
    <row r="470">
      <c r="C470" s="96"/>
      <c r="D470" s="97"/>
      <c r="J470" s="98"/>
      <c r="K470" s="98"/>
      <c r="L470" s="99"/>
      <c r="M470" s="96"/>
    </row>
    <row r="471">
      <c r="C471" s="96"/>
      <c r="D471" s="97"/>
      <c r="J471" s="98"/>
      <c r="K471" s="98"/>
      <c r="L471" s="99"/>
      <c r="M471" s="96"/>
    </row>
    <row r="472">
      <c r="C472" s="96"/>
      <c r="D472" s="97"/>
      <c r="J472" s="98"/>
      <c r="K472" s="98"/>
      <c r="L472" s="99"/>
      <c r="M472" s="96"/>
    </row>
    <row r="473">
      <c r="C473" s="96"/>
      <c r="D473" s="97"/>
      <c r="J473" s="98"/>
      <c r="K473" s="98"/>
      <c r="L473" s="99"/>
      <c r="M473" s="96"/>
    </row>
    <row r="474">
      <c r="C474" s="96"/>
      <c r="D474" s="97"/>
      <c r="J474" s="98"/>
      <c r="K474" s="98"/>
      <c r="L474" s="99"/>
      <c r="M474" s="96"/>
    </row>
    <row r="475">
      <c r="C475" s="96"/>
      <c r="D475" s="97"/>
      <c r="J475" s="98"/>
      <c r="K475" s="98"/>
      <c r="L475" s="99"/>
      <c r="M475" s="96"/>
    </row>
    <row r="476">
      <c r="C476" s="96"/>
      <c r="D476" s="97"/>
      <c r="J476" s="98"/>
      <c r="K476" s="98"/>
      <c r="L476" s="99"/>
      <c r="M476" s="96"/>
    </row>
    <row r="477">
      <c r="C477" s="96"/>
      <c r="D477" s="97"/>
      <c r="J477" s="98"/>
      <c r="K477" s="98"/>
      <c r="L477" s="99"/>
      <c r="M477" s="96"/>
    </row>
    <row r="478">
      <c r="C478" s="96"/>
      <c r="D478" s="97"/>
      <c r="J478" s="98"/>
      <c r="K478" s="98"/>
      <c r="L478" s="99"/>
      <c r="M478" s="96"/>
    </row>
    <row r="479">
      <c r="C479" s="96"/>
      <c r="D479" s="97"/>
      <c r="J479" s="98"/>
      <c r="K479" s="98"/>
      <c r="L479" s="99"/>
      <c r="M479" s="96"/>
    </row>
    <row r="480">
      <c r="C480" s="96"/>
      <c r="D480" s="97"/>
      <c r="J480" s="98"/>
      <c r="K480" s="98"/>
      <c r="L480" s="99"/>
      <c r="M480" s="96"/>
    </row>
    <row r="481">
      <c r="C481" s="96"/>
      <c r="D481" s="97"/>
      <c r="J481" s="98"/>
      <c r="K481" s="98"/>
      <c r="L481" s="99"/>
      <c r="M481" s="96"/>
    </row>
    <row r="482">
      <c r="C482" s="96"/>
      <c r="D482" s="97"/>
      <c r="J482" s="98"/>
      <c r="K482" s="98"/>
      <c r="L482" s="99"/>
      <c r="M482" s="96"/>
    </row>
    <row r="483">
      <c r="C483" s="96"/>
      <c r="D483" s="97"/>
      <c r="J483" s="98"/>
      <c r="K483" s="98"/>
      <c r="L483" s="99"/>
      <c r="M483" s="96"/>
    </row>
    <row r="484">
      <c r="C484" s="96"/>
      <c r="D484" s="97"/>
      <c r="J484" s="98"/>
      <c r="K484" s="98"/>
      <c r="L484" s="99"/>
      <c r="M484" s="96"/>
    </row>
    <row r="485">
      <c r="C485" s="96"/>
      <c r="D485" s="97"/>
      <c r="J485" s="98"/>
      <c r="K485" s="98"/>
      <c r="L485" s="99"/>
      <c r="M485" s="96"/>
    </row>
    <row r="486">
      <c r="C486" s="96"/>
      <c r="D486" s="97"/>
      <c r="J486" s="98"/>
      <c r="K486" s="98"/>
      <c r="L486" s="99"/>
      <c r="M486" s="96"/>
    </row>
    <row r="487">
      <c r="C487" s="96"/>
      <c r="D487" s="97"/>
      <c r="J487" s="98"/>
      <c r="K487" s="98"/>
      <c r="L487" s="99"/>
      <c r="M487" s="96"/>
    </row>
    <row r="488">
      <c r="C488" s="96"/>
      <c r="D488" s="97"/>
      <c r="J488" s="98"/>
      <c r="K488" s="98"/>
      <c r="L488" s="99"/>
      <c r="M488" s="96"/>
    </row>
    <row r="489">
      <c r="C489" s="96"/>
      <c r="D489" s="97"/>
      <c r="J489" s="98"/>
      <c r="K489" s="98"/>
      <c r="L489" s="99"/>
      <c r="M489" s="96"/>
    </row>
    <row r="490">
      <c r="C490" s="96"/>
      <c r="D490" s="97"/>
      <c r="J490" s="98"/>
      <c r="K490" s="98"/>
      <c r="L490" s="99"/>
      <c r="M490" s="96"/>
    </row>
    <row r="491">
      <c r="C491" s="96"/>
      <c r="D491" s="97"/>
      <c r="J491" s="98"/>
      <c r="K491" s="98"/>
      <c r="L491" s="99"/>
      <c r="M491" s="96"/>
    </row>
    <row r="492">
      <c r="C492" s="96"/>
      <c r="D492" s="97"/>
      <c r="J492" s="98"/>
      <c r="K492" s="98"/>
      <c r="L492" s="99"/>
      <c r="M492" s="96"/>
    </row>
    <row r="493">
      <c r="C493" s="96"/>
      <c r="D493" s="97"/>
      <c r="J493" s="98"/>
      <c r="K493" s="98"/>
      <c r="L493" s="99"/>
      <c r="M493" s="96"/>
    </row>
    <row r="494">
      <c r="C494" s="96"/>
      <c r="D494" s="97"/>
      <c r="J494" s="98"/>
      <c r="K494" s="98"/>
      <c r="L494" s="99"/>
      <c r="M494" s="96"/>
    </row>
    <row r="495">
      <c r="C495" s="96"/>
      <c r="D495" s="97"/>
      <c r="J495" s="98"/>
      <c r="K495" s="98"/>
      <c r="L495" s="99"/>
      <c r="M495" s="96"/>
    </row>
    <row r="496">
      <c r="C496" s="96"/>
      <c r="D496" s="97"/>
      <c r="J496" s="98"/>
      <c r="K496" s="98"/>
      <c r="L496" s="99"/>
      <c r="M496" s="96"/>
    </row>
    <row r="497">
      <c r="C497" s="96"/>
      <c r="D497" s="97"/>
      <c r="J497" s="98"/>
      <c r="K497" s="98"/>
      <c r="L497" s="99"/>
      <c r="M497" s="96"/>
    </row>
    <row r="498">
      <c r="C498" s="96"/>
      <c r="D498" s="97"/>
      <c r="J498" s="98"/>
      <c r="K498" s="98"/>
      <c r="L498" s="99"/>
      <c r="M498" s="96"/>
    </row>
    <row r="499">
      <c r="C499" s="96"/>
      <c r="D499" s="97"/>
      <c r="J499" s="98"/>
      <c r="K499" s="98"/>
      <c r="L499" s="99"/>
      <c r="M499" s="96"/>
    </row>
    <row r="500">
      <c r="C500" s="96"/>
      <c r="D500" s="97"/>
      <c r="J500" s="98"/>
      <c r="K500" s="98"/>
      <c r="L500" s="99"/>
      <c r="M500" s="96"/>
    </row>
    <row r="501">
      <c r="C501" s="96"/>
      <c r="D501" s="97"/>
      <c r="J501" s="98"/>
      <c r="K501" s="98"/>
      <c r="L501" s="99"/>
      <c r="M501" s="96"/>
    </row>
    <row r="502">
      <c r="C502" s="96"/>
      <c r="D502" s="97"/>
      <c r="J502" s="98"/>
      <c r="K502" s="98"/>
      <c r="L502" s="99"/>
      <c r="M502" s="96"/>
    </row>
    <row r="503">
      <c r="C503" s="96"/>
      <c r="D503" s="97"/>
      <c r="J503" s="98"/>
      <c r="K503" s="98"/>
      <c r="L503" s="99"/>
      <c r="M503" s="96"/>
    </row>
    <row r="504">
      <c r="C504" s="96"/>
      <c r="D504" s="97"/>
      <c r="J504" s="98"/>
      <c r="K504" s="98"/>
      <c r="L504" s="99"/>
      <c r="M504" s="96"/>
    </row>
    <row r="505">
      <c r="C505" s="96"/>
      <c r="D505" s="97"/>
      <c r="J505" s="98"/>
      <c r="K505" s="98"/>
      <c r="L505" s="99"/>
      <c r="M505" s="96"/>
    </row>
    <row r="506">
      <c r="C506" s="96"/>
      <c r="D506" s="97"/>
      <c r="J506" s="98"/>
      <c r="K506" s="98"/>
      <c r="L506" s="99"/>
      <c r="M506" s="96"/>
    </row>
    <row r="507">
      <c r="C507" s="96"/>
      <c r="D507" s="97"/>
      <c r="J507" s="98"/>
      <c r="K507" s="98"/>
      <c r="L507" s="99"/>
      <c r="M507" s="96"/>
    </row>
    <row r="508">
      <c r="C508" s="96"/>
      <c r="D508" s="97"/>
      <c r="J508" s="98"/>
      <c r="K508" s="98"/>
      <c r="L508" s="99"/>
      <c r="M508" s="96"/>
    </row>
    <row r="509">
      <c r="C509" s="96"/>
      <c r="D509" s="97"/>
      <c r="J509" s="98"/>
      <c r="K509" s="98"/>
      <c r="L509" s="99"/>
      <c r="M509" s="96"/>
    </row>
    <row r="510">
      <c r="C510" s="96"/>
      <c r="D510" s="97"/>
      <c r="J510" s="98"/>
      <c r="K510" s="98"/>
      <c r="L510" s="99"/>
      <c r="M510" s="96"/>
    </row>
    <row r="511">
      <c r="C511" s="96"/>
      <c r="D511" s="97"/>
      <c r="J511" s="98"/>
      <c r="K511" s="98"/>
      <c r="L511" s="99"/>
      <c r="M511" s="96"/>
    </row>
    <row r="512">
      <c r="C512" s="96"/>
      <c r="D512" s="97"/>
      <c r="J512" s="98"/>
      <c r="K512" s="98"/>
      <c r="L512" s="99"/>
      <c r="M512" s="96"/>
    </row>
    <row r="513">
      <c r="C513" s="96"/>
      <c r="D513" s="97"/>
      <c r="J513" s="98"/>
      <c r="K513" s="98"/>
      <c r="L513" s="99"/>
      <c r="M513" s="96"/>
    </row>
    <row r="514">
      <c r="C514" s="96"/>
      <c r="D514" s="97"/>
      <c r="J514" s="98"/>
      <c r="K514" s="98"/>
      <c r="L514" s="99"/>
      <c r="M514" s="96"/>
    </row>
    <row r="515">
      <c r="C515" s="96"/>
      <c r="D515" s="97"/>
      <c r="J515" s="98"/>
      <c r="K515" s="98"/>
      <c r="L515" s="99"/>
      <c r="M515" s="96"/>
    </row>
    <row r="516">
      <c r="C516" s="96"/>
      <c r="D516" s="97"/>
      <c r="J516" s="98"/>
      <c r="K516" s="98"/>
      <c r="L516" s="99"/>
      <c r="M516" s="96"/>
    </row>
    <row r="517">
      <c r="C517" s="96"/>
      <c r="D517" s="97"/>
      <c r="J517" s="98"/>
      <c r="K517" s="98"/>
      <c r="L517" s="99"/>
      <c r="M517" s="96"/>
    </row>
    <row r="518">
      <c r="C518" s="96"/>
      <c r="D518" s="97"/>
      <c r="J518" s="98"/>
      <c r="K518" s="98"/>
      <c r="L518" s="99"/>
      <c r="M518" s="96"/>
    </row>
    <row r="519">
      <c r="C519" s="96"/>
      <c r="D519" s="97"/>
      <c r="J519" s="98"/>
      <c r="K519" s="98"/>
      <c r="L519" s="99"/>
      <c r="M519" s="96"/>
    </row>
    <row r="520">
      <c r="C520" s="96"/>
      <c r="D520" s="97"/>
      <c r="J520" s="98"/>
      <c r="K520" s="98"/>
      <c r="L520" s="99"/>
      <c r="M520" s="96"/>
    </row>
    <row r="521">
      <c r="C521" s="96"/>
      <c r="D521" s="97"/>
      <c r="J521" s="98"/>
      <c r="K521" s="98"/>
      <c r="L521" s="99"/>
      <c r="M521" s="96"/>
    </row>
    <row r="522">
      <c r="C522" s="96"/>
      <c r="D522" s="97"/>
      <c r="J522" s="98"/>
      <c r="K522" s="98"/>
      <c r="L522" s="99"/>
      <c r="M522" s="96"/>
    </row>
    <row r="523">
      <c r="C523" s="96"/>
      <c r="D523" s="97"/>
      <c r="J523" s="98"/>
      <c r="K523" s="98"/>
      <c r="L523" s="99"/>
      <c r="M523" s="96"/>
    </row>
    <row r="524">
      <c r="C524" s="96"/>
      <c r="D524" s="97"/>
      <c r="J524" s="98"/>
      <c r="K524" s="98"/>
      <c r="L524" s="99"/>
      <c r="M524" s="96"/>
    </row>
    <row r="525">
      <c r="C525" s="96"/>
      <c r="D525" s="97"/>
      <c r="J525" s="98"/>
      <c r="K525" s="98"/>
      <c r="L525" s="99"/>
      <c r="M525" s="96"/>
    </row>
    <row r="526">
      <c r="C526" s="96"/>
      <c r="D526" s="97"/>
      <c r="J526" s="98"/>
      <c r="K526" s="98"/>
      <c r="L526" s="99"/>
      <c r="M526" s="96"/>
    </row>
    <row r="527">
      <c r="C527" s="96"/>
      <c r="D527" s="97"/>
      <c r="J527" s="98"/>
      <c r="K527" s="98"/>
      <c r="L527" s="99"/>
      <c r="M527" s="96"/>
    </row>
    <row r="528">
      <c r="C528" s="96"/>
      <c r="D528" s="97"/>
      <c r="J528" s="98"/>
      <c r="K528" s="98"/>
      <c r="L528" s="99"/>
      <c r="M528" s="96"/>
    </row>
    <row r="529">
      <c r="C529" s="96"/>
      <c r="D529" s="97"/>
      <c r="J529" s="98"/>
      <c r="K529" s="98"/>
      <c r="L529" s="99"/>
      <c r="M529" s="96"/>
    </row>
    <row r="530">
      <c r="C530" s="96"/>
      <c r="D530" s="97"/>
      <c r="J530" s="98"/>
      <c r="K530" s="98"/>
      <c r="L530" s="99"/>
      <c r="M530" s="96"/>
    </row>
    <row r="531">
      <c r="C531" s="96"/>
      <c r="D531" s="97"/>
      <c r="J531" s="98"/>
      <c r="K531" s="98"/>
      <c r="L531" s="99"/>
      <c r="M531" s="96"/>
    </row>
    <row r="532">
      <c r="C532" s="96"/>
      <c r="D532" s="97"/>
      <c r="J532" s="98"/>
      <c r="K532" s="98"/>
      <c r="L532" s="99"/>
      <c r="M532" s="96"/>
    </row>
    <row r="533">
      <c r="C533" s="96"/>
      <c r="D533" s="97"/>
      <c r="J533" s="98"/>
      <c r="K533" s="98"/>
      <c r="L533" s="99"/>
      <c r="M533" s="96"/>
    </row>
    <row r="534">
      <c r="C534" s="96"/>
      <c r="D534" s="97"/>
      <c r="J534" s="98"/>
      <c r="K534" s="98"/>
      <c r="L534" s="99"/>
      <c r="M534" s="96"/>
    </row>
    <row r="535">
      <c r="C535" s="96"/>
      <c r="D535" s="97"/>
      <c r="J535" s="98"/>
      <c r="K535" s="98"/>
      <c r="L535" s="99"/>
      <c r="M535" s="96"/>
    </row>
    <row r="536">
      <c r="C536" s="96"/>
      <c r="D536" s="97"/>
      <c r="J536" s="98"/>
      <c r="K536" s="98"/>
      <c r="L536" s="99"/>
      <c r="M536" s="96"/>
    </row>
    <row r="537">
      <c r="C537" s="96"/>
      <c r="D537" s="97"/>
      <c r="J537" s="98"/>
      <c r="K537" s="98"/>
      <c r="L537" s="99"/>
      <c r="M537" s="96"/>
    </row>
    <row r="538">
      <c r="C538" s="96"/>
      <c r="D538" s="97"/>
      <c r="J538" s="98"/>
      <c r="K538" s="98"/>
      <c r="L538" s="99"/>
      <c r="M538" s="96"/>
    </row>
    <row r="539">
      <c r="C539" s="96"/>
      <c r="D539" s="97"/>
      <c r="J539" s="98"/>
      <c r="K539" s="98"/>
      <c r="L539" s="99"/>
      <c r="M539" s="96"/>
    </row>
    <row r="540">
      <c r="C540" s="96"/>
      <c r="D540" s="97"/>
      <c r="J540" s="98"/>
      <c r="K540" s="98"/>
      <c r="L540" s="99"/>
      <c r="M540" s="96"/>
    </row>
    <row r="541">
      <c r="C541" s="96"/>
      <c r="D541" s="97"/>
      <c r="J541" s="98"/>
      <c r="K541" s="98"/>
      <c r="L541" s="99"/>
      <c r="M541" s="96"/>
    </row>
    <row r="542">
      <c r="C542" s="96"/>
      <c r="D542" s="97"/>
      <c r="J542" s="98"/>
      <c r="K542" s="98"/>
      <c r="L542" s="99"/>
      <c r="M542" s="96"/>
    </row>
    <row r="543">
      <c r="C543" s="96"/>
      <c r="D543" s="97"/>
      <c r="J543" s="98"/>
      <c r="K543" s="98"/>
      <c r="L543" s="99"/>
      <c r="M543" s="96"/>
    </row>
    <row r="544">
      <c r="C544" s="96"/>
      <c r="D544" s="97"/>
      <c r="J544" s="98"/>
      <c r="K544" s="98"/>
      <c r="L544" s="99"/>
      <c r="M544" s="96"/>
    </row>
    <row r="545">
      <c r="C545" s="96"/>
      <c r="D545" s="97"/>
      <c r="J545" s="98"/>
      <c r="K545" s="98"/>
      <c r="L545" s="99"/>
      <c r="M545" s="96"/>
    </row>
    <row r="546">
      <c r="C546" s="96"/>
      <c r="D546" s="97"/>
      <c r="J546" s="98"/>
      <c r="K546" s="98"/>
      <c r="L546" s="99"/>
      <c r="M546" s="96"/>
    </row>
    <row r="547">
      <c r="C547" s="96"/>
      <c r="D547" s="97"/>
      <c r="J547" s="98"/>
      <c r="K547" s="98"/>
      <c r="L547" s="99"/>
      <c r="M547" s="96"/>
    </row>
    <row r="548">
      <c r="C548" s="96"/>
      <c r="D548" s="97"/>
      <c r="J548" s="98"/>
      <c r="K548" s="98"/>
      <c r="L548" s="99"/>
      <c r="M548" s="96"/>
    </row>
    <row r="549">
      <c r="C549" s="96"/>
      <c r="D549" s="97"/>
      <c r="J549" s="98"/>
      <c r="K549" s="98"/>
      <c r="L549" s="99"/>
      <c r="M549" s="96"/>
    </row>
    <row r="550">
      <c r="C550" s="96"/>
      <c r="D550" s="97"/>
      <c r="J550" s="98"/>
      <c r="K550" s="98"/>
      <c r="L550" s="99"/>
      <c r="M550" s="96"/>
    </row>
    <row r="551">
      <c r="C551" s="96"/>
      <c r="D551" s="97"/>
      <c r="J551" s="98"/>
      <c r="K551" s="98"/>
      <c r="L551" s="99"/>
      <c r="M551" s="96"/>
    </row>
    <row r="552">
      <c r="C552" s="96"/>
      <c r="D552" s="97"/>
      <c r="J552" s="98"/>
      <c r="K552" s="98"/>
      <c r="L552" s="99"/>
      <c r="M552" s="96"/>
    </row>
    <row r="553">
      <c r="C553" s="96"/>
      <c r="D553" s="97"/>
      <c r="J553" s="98"/>
      <c r="K553" s="98"/>
      <c r="L553" s="99"/>
      <c r="M553" s="96"/>
    </row>
    <row r="554">
      <c r="C554" s="96"/>
      <c r="D554" s="97"/>
      <c r="J554" s="98"/>
      <c r="K554" s="98"/>
      <c r="L554" s="99"/>
      <c r="M554" s="96"/>
    </row>
    <row r="555">
      <c r="C555" s="96"/>
      <c r="D555" s="97"/>
      <c r="J555" s="98"/>
      <c r="K555" s="98"/>
      <c r="L555" s="99"/>
      <c r="M555" s="96"/>
    </row>
    <row r="556">
      <c r="C556" s="96"/>
      <c r="D556" s="97"/>
      <c r="J556" s="98"/>
      <c r="K556" s="98"/>
      <c r="L556" s="99"/>
      <c r="M556" s="96"/>
    </row>
    <row r="557">
      <c r="C557" s="96"/>
      <c r="D557" s="97"/>
      <c r="J557" s="98"/>
      <c r="K557" s="98"/>
      <c r="L557" s="99"/>
      <c r="M557" s="96"/>
    </row>
    <row r="558">
      <c r="C558" s="96"/>
      <c r="D558" s="97"/>
      <c r="J558" s="98"/>
      <c r="K558" s="98"/>
      <c r="L558" s="99"/>
      <c r="M558" s="96"/>
    </row>
    <row r="559">
      <c r="C559" s="96"/>
      <c r="D559" s="97"/>
      <c r="J559" s="98"/>
      <c r="K559" s="98"/>
      <c r="L559" s="99"/>
      <c r="M559" s="96"/>
    </row>
    <row r="560">
      <c r="C560" s="96"/>
      <c r="D560" s="97"/>
      <c r="J560" s="98"/>
      <c r="K560" s="98"/>
      <c r="L560" s="99"/>
      <c r="M560" s="96"/>
    </row>
    <row r="561">
      <c r="C561" s="96"/>
      <c r="D561" s="97"/>
      <c r="J561" s="98"/>
      <c r="K561" s="98"/>
      <c r="L561" s="99"/>
      <c r="M561" s="96"/>
    </row>
    <row r="562">
      <c r="C562" s="96"/>
      <c r="D562" s="97"/>
      <c r="J562" s="98"/>
      <c r="K562" s="98"/>
      <c r="L562" s="99"/>
      <c r="M562" s="96"/>
    </row>
    <row r="563">
      <c r="C563" s="96"/>
      <c r="D563" s="97"/>
      <c r="J563" s="98"/>
      <c r="K563" s="98"/>
      <c r="L563" s="99"/>
      <c r="M563" s="96"/>
    </row>
    <row r="564">
      <c r="C564" s="96"/>
      <c r="D564" s="97"/>
      <c r="J564" s="98"/>
      <c r="K564" s="98"/>
      <c r="L564" s="99"/>
      <c r="M564" s="96"/>
    </row>
    <row r="565">
      <c r="C565" s="96"/>
      <c r="D565" s="97"/>
      <c r="J565" s="98"/>
      <c r="K565" s="98"/>
      <c r="L565" s="99"/>
      <c r="M565" s="96"/>
    </row>
    <row r="566">
      <c r="C566" s="96"/>
      <c r="D566" s="97"/>
      <c r="J566" s="98"/>
      <c r="K566" s="98"/>
      <c r="L566" s="99"/>
      <c r="M566" s="96"/>
    </row>
    <row r="567">
      <c r="C567" s="96"/>
      <c r="D567" s="97"/>
      <c r="J567" s="98"/>
      <c r="K567" s="98"/>
      <c r="L567" s="99"/>
      <c r="M567" s="96"/>
    </row>
    <row r="568">
      <c r="C568" s="96"/>
      <c r="D568" s="97"/>
      <c r="J568" s="98"/>
      <c r="K568" s="98"/>
      <c r="L568" s="99"/>
      <c r="M568" s="96"/>
    </row>
    <row r="569">
      <c r="C569" s="96"/>
      <c r="D569" s="97"/>
      <c r="J569" s="98"/>
      <c r="K569" s="98"/>
      <c r="L569" s="99"/>
      <c r="M569" s="96"/>
    </row>
    <row r="570">
      <c r="C570" s="96"/>
      <c r="D570" s="97"/>
      <c r="J570" s="98"/>
      <c r="K570" s="98"/>
      <c r="L570" s="99"/>
      <c r="M570" s="96"/>
    </row>
    <row r="571">
      <c r="C571" s="96"/>
      <c r="D571" s="97"/>
      <c r="J571" s="98"/>
      <c r="K571" s="98"/>
      <c r="L571" s="99"/>
      <c r="M571" s="96"/>
    </row>
    <row r="572">
      <c r="C572" s="96"/>
      <c r="D572" s="97"/>
      <c r="J572" s="98"/>
      <c r="K572" s="98"/>
      <c r="L572" s="99"/>
      <c r="M572" s="96"/>
    </row>
    <row r="573">
      <c r="C573" s="96"/>
      <c r="D573" s="97"/>
      <c r="J573" s="98"/>
      <c r="K573" s="98"/>
      <c r="L573" s="99"/>
      <c r="M573" s="96"/>
    </row>
    <row r="574">
      <c r="C574" s="96"/>
      <c r="D574" s="97"/>
      <c r="J574" s="98"/>
      <c r="K574" s="98"/>
      <c r="L574" s="99"/>
      <c r="M574" s="96"/>
    </row>
    <row r="575">
      <c r="C575" s="96"/>
      <c r="D575" s="97"/>
      <c r="J575" s="98"/>
      <c r="K575" s="98"/>
      <c r="L575" s="99"/>
      <c r="M575" s="96"/>
    </row>
    <row r="576">
      <c r="C576" s="96"/>
      <c r="D576" s="97"/>
      <c r="J576" s="98"/>
      <c r="K576" s="98"/>
      <c r="L576" s="99"/>
      <c r="M576" s="96"/>
    </row>
    <row r="577">
      <c r="C577" s="96"/>
      <c r="D577" s="97"/>
      <c r="J577" s="98"/>
      <c r="K577" s="98"/>
      <c r="L577" s="99"/>
      <c r="M577" s="96"/>
    </row>
    <row r="578">
      <c r="C578" s="96"/>
      <c r="D578" s="97"/>
      <c r="J578" s="98"/>
      <c r="K578" s="98"/>
      <c r="L578" s="99"/>
      <c r="M578" s="96"/>
    </row>
    <row r="579">
      <c r="C579" s="96"/>
      <c r="D579" s="97"/>
      <c r="J579" s="98"/>
      <c r="K579" s="98"/>
      <c r="L579" s="99"/>
      <c r="M579" s="96"/>
    </row>
    <row r="580">
      <c r="C580" s="96"/>
      <c r="D580" s="97"/>
      <c r="J580" s="98"/>
      <c r="K580" s="98"/>
      <c r="L580" s="99"/>
      <c r="M580" s="96"/>
    </row>
    <row r="581">
      <c r="C581" s="96"/>
      <c r="D581" s="97"/>
      <c r="J581" s="98"/>
      <c r="K581" s="98"/>
      <c r="L581" s="99"/>
      <c r="M581" s="96"/>
    </row>
    <row r="582">
      <c r="C582" s="96"/>
      <c r="D582" s="97"/>
      <c r="J582" s="98"/>
      <c r="K582" s="98"/>
      <c r="L582" s="99"/>
      <c r="M582" s="96"/>
    </row>
    <row r="583">
      <c r="C583" s="96"/>
      <c r="D583" s="97"/>
      <c r="J583" s="98"/>
      <c r="K583" s="98"/>
      <c r="L583" s="99"/>
      <c r="M583" s="96"/>
    </row>
    <row r="584">
      <c r="C584" s="96"/>
      <c r="D584" s="97"/>
      <c r="J584" s="98"/>
      <c r="K584" s="98"/>
      <c r="L584" s="99"/>
      <c r="M584" s="96"/>
    </row>
    <row r="585">
      <c r="C585" s="96"/>
      <c r="D585" s="97"/>
      <c r="J585" s="98"/>
      <c r="K585" s="98"/>
      <c r="L585" s="99"/>
      <c r="M585" s="96"/>
    </row>
    <row r="586">
      <c r="C586" s="96"/>
      <c r="D586" s="97"/>
      <c r="J586" s="98"/>
      <c r="K586" s="98"/>
      <c r="L586" s="99"/>
      <c r="M586" s="96"/>
    </row>
    <row r="587">
      <c r="C587" s="96"/>
      <c r="D587" s="97"/>
      <c r="J587" s="98"/>
      <c r="K587" s="98"/>
      <c r="L587" s="99"/>
      <c r="M587" s="96"/>
    </row>
    <row r="588">
      <c r="C588" s="96"/>
      <c r="D588" s="97"/>
      <c r="J588" s="98"/>
      <c r="K588" s="98"/>
      <c r="L588" s="99"/>
      <c r="M588" s="96"/>
    </row>
    <row r="589">
      <c r="C589" s="96"/>
      <c r="D589" s="97"/>
      <c r="J589" s="98"/>
      <c r="K589" s="98"/>
      <c r="L589" s="99"/>
      <c r="M589" s="96"/>
    </row>
    <row r="590">
      <c r="C590" s="96"/>
      <c r="D590" s="97"/>
      <c r="J590" s="98"/>
      <c r="K590" s="98"/>
      <c r="L590" s="99"/>
      <c r="M590" s="96"/>
    </row>
    <row r="591">
      <c r="C591" s="96"/>
      <c r="D591" s="97"/>
      <c r="J591" s="98"/>
      <c r="K591" s="98"/>
      <c r="L591" s="99"/>
      <c r="M591" s="96"/>
    </row>
    <row r="592">
      <c r="C592" s="96"/>
      <c r="D592" s="97"/>
      <c r="J592" s="98"/>
      <c r="K592" s="98"/>
      <c r="L592" s="99"/>
      <c r="M592" s="96"/>
    </row>
    <row r="593">
      <c r="C593" s="96"/>
      <c r="D593" s="97"/>
      <c r="J593" s="98"/>
      <c r="K593" s="98"/>
      <c r="L593" s="99"/>
      <c r="M593" s="96"/>
    </row>
    <row r="594">
      <c r="C594" s="96"/>
      <c r="D594" s="97"/>
      <c r="J594" s="98"/>
      <c r="K594" s="98"/>
      <c r="L594" s="99"/>
      <c r="M594" s="96"/>
    </row>
    <row r="595">
      <c r="C595" s="96"/>
      <c r="D595" s="97"/>
      <c r="J595" s="98"/>
      <c r="K595" s="98"/>
      <c r="L595" s="99"/>
      <c r="M595" s="96"/>
    </row>
    <row r="596">
      <c r="C596" s="96"/>
      <c r="D596" s="97"/>
      <c r="J596" s="98"/>
      <c r="K596" s="98"/>
      <c r="L596" s="99"/>
      <c r="M596" s="96"/>
    </row>
    <row r="597">
      <c r="C597" s="96"/>
      <c r="D597" s="97"/>
      <c r="J597" s="98"/>
      <c r="K597" s="98"/>
      <c r="L597" s="99"/>
      <c r="M597" s="96"/>
    </row>
    <row r="598">
      <c r="C598" s="96"/>
      <c r="D598" s="97"/>
      <c r="J598" s="98"/>
      <c r="K598" s="98"/>
      <c r="L598" s="99"/>
      <c r="M598" s="96"/>
    </row>
    <row r="599">
      <c r="C599" s="96"/>
      <c r="D599" s="97"/>
      <c r="J599" s="98"/>
      <c r="K599" s="98"/>
      <c r="L599" s="99"/>
      <c r="M599" s="96"/>
    </row>
    <row r="600">
      <c r="C600" s="96"/>
      <c r="D600" s="97"/>
      <c r="J600" s="98"/>
      <c r="K600" s="98"/>
      <c r="L600" s="99"/>
      <c r="M600" s="96"/>
    </row>
    <row r="601">
      <c r="C601" s="96"/>
      <c r="D601" s="97"/>
      <c r="J601" s="98"/>
      <c r="K601" s="98"/>
      <c r="L601" s="99"/>
      <c r="M601" s="96"/>
    </row>
    <row r="602">
      <c r="C602" s="96"/>
      <c r="D602" s="97"/>
      <c r="J602" s="98"/>
      <c r="K602" s="98"/>
      <c r="L602" s="99"/>
      <c r="M602" s="96"/>
    </row>
    <row r="603">
      <c r="C603" s="96"/>
      <c r="D603" s="97"/>
      <c r="J603" s="98"/>
      <c r="K603" s="98"/>
      <c r="L603" s="99"/>
      <c r="M603" s="96"/>
    </row>
    <row r="604">
      <c r="C604" s="96"/>
      <c r="D604" s="97"/>
      <c r="J604" s="98"/>
      <c r="K604" s="98"/>
      <c r="L604" s="99"/>
      <c r="M604" s="96"/>
    </row>
    <row r="605">
      <c r="C605" s="96"/>
      <c r="D605" s="97"/>
      <c r="J605" s="98"/>
      <c r="K605" s="98"/>
      <c r="L605" s="99"/>
      <c r="M605" s="96"/>
    </row>
    <row r="606">
      <c r="C606" s="96"/>
      <c r="D606" s="97"/>
      <c r="J606" s="98"/>
      <c r="K606" s="98"/>
      <c r="L606" s="99"/>
      <c r="M606" s="96"/>
    </row>
    <row r="607">
      <c r="C607" s="96"/>
      <c r="D607" s="97"/>
      <c r="J607" s="98"/>
      <c r="K607" s="98"/>
      <c r="L607" s="99"/>
      <c r="M607" s="96"/>
    </row>
    <row r="608">
      <c r="C608" s="96"/>
      <c r="D608" s="97"/>
      <c r="J608" s="98"/>
      <c r="K608" s="98"/>
      <c r="L608" s="99"/>
      <c r="M608" s="96"/>
    </row>
    <row r="609">
      <c r="C609" s="96"/>
      <c r="D609" s="97"/>
      <c r="J609" s="98"/>
      <c r="K609" s="98"/>
      <c r="L609" s="99"/>
      <c r="M609" s="96"/>
    </row>
    <row r="610">
      <c r="C610" s="96"/>
      <c r="D610" s="97"/>
      <c r="J610" s="98"/>
      <c r="K610" s="98"/>
      <c r="L610" s="99"/>
      <c r="M610" s="96"/>
    </row>
    <row r="611">
      <c r="C611" s="96"/>
      <c r="D611" s="97"/>
      <c r="J611" s="98"/>
      <c r="K611" s="98"/>
      <c r="L611" s="99"/>
      <c r="M611" s="96"/>
    </row>
    <row r="612">
      <c r="C612" s="96"/>
      <c r="D612" s="97"/>
      <c r="J612" s="98"/>
      <c r="K612" s="98"/>
      <c r="L612" s="99"/>
      <c r="M612" s="96"/>
    </row>
    <row r="613">
      <c r="C613" s="96"/>
      <c r="D613" s="97"/>
      <c r="J613" s="98"/>
      <c r="K613" s="98"/>
      <c r="L613" s="99"/>
      <c r="M613" s="96"/>
    </row>
    <row r="614">
      <c r="C614" s="96"/>
      <c r="D614" s="97"/>
      <c r="J614" s="98"/>
      <c r="K614" s="98"/>
      <c r="L614" s="99"/>
      <c r="M614" s="96"/>
    </row>
    <row r="615">
      <c r="C615" s="96"/>
      <c r="D615" s="97"/>
      <c r="J615" s="98"/>
      <c r="K615" s="98"/>
      <c r="L615" s="99"/>
      <c r="M615" s="96"/>
    </row>
    <row r="616">
      <c r="C616" s="96"/>
      <c r="D616" s="97"/>
      <c r="J616" s="98"/>
      <c r="K616" s="98"/>
      <c r="L616" s="99"/>
      <c r="M616" s="96"/>
    </row>
    <row r="617">
      <c r="C617" s="96"/>
      <c r="D617" s="97"/>
      <c r="J617" s="98"/>
      <c r="K617" s="98"/>
      <c r="L617" s="99"/>
      <c r="M617" s="96"/>
    </row>
    <row r="618">
      <c r="C618" s="96"/>
      <c r="D618" s="97"/>
      <c r="J618" s="98"/>
      <c r="K618" s="98"/>
      <c r="L618" s="99"/>
      <c r="M618" s="96"/>
    </row>
    <row r="619">
      <c r="C619" s="96"/>
      <c r="D619" s="97"/>
      <c r="J619" s="98"/>
      <c r="K619" s="98"/>
      <c r="L619" s="99"/>
      <c r="M619" s="96"/>
    </row>
    <row r="620">
      <c r="C620" s="96"/>
      <c r="D620" s="97"/>
      <c r="J620" s="98"/>
      <c r="K620" s="98"/>
      <c r="L620" s="99"/>
      <c r="M620" s="96"/>
    </row>
    <row r="621">
      <c r="C621" s="96"/>
      <c r="D621" s="97"/>
      <c r="J621" s="98"/>
      <c r="K621" s="98"/>
      <c r="L621" s="99"/>
      <c r="M621" s="96"/>
    </row>
    <row r="622">
      <c r="C622" s="96"/>
      <c r="D622" s="97"/>
      <c r="J622" s="98"/>
      <c r="K622" s="98"/>
      <c r="L622" s="99"/>
      <c r="M622" s="96"/>
    </row>
    <row r="623">
      <c r="C623" s="96"/>
      <c r="D623" s="97"/>
      <c r="J623" s="98"/>
      <c r="K623" s="98"/>
      <c r="L623" s="99"/>
      <c r="M623" s="96"/>
    </row>
    <row r="624">
      <c r="C624" s="96"/>
      <c r="D624" s="97"/>
      <c r="J624" s="98"/>
      <c r="K624" s="98"/>
      <c r="L624" s="99"/>
      <c r="M624" s="96"/>
    </row>
    <row r="625">
      <c r="C625" s="96"/>
      <c r="D625" s="97"/>
      <c r="J625" s="98"/>
      <c r="K625" s="98"/>
      <c r="L625" s="99"/>
      <c r="M625" s="96"/>
    </row>
    <row r="626">
      <c r="C626" s="96"/>
      <c r="D626" s="97"/>
      <c r="J626" s="98"/>
      <c r="K626" s="98"/>
      <c r="L626" s="99"/>
      <c r="M626" s="96"/>
    </row>
    <row r="627">
      <c r="C627" s="96"/>
      <c r="D627" s="97"/>
      <c r="J627" s="98"/>
      <c r="K627" s="98"/>
      <c r="L627" s="99"/>
      <c r="M627" s="96"/>
    </row>
    <row r="628">
      <c r="C628" s="96"/>
      <c r="D628" s="97"/>
      <c r="J628" s="98"/>
      <c r="K628" s="98"/>
      <c r="L628" s="99"/>
      <c r="M628" s="96"/>
    </row>
    <row r="629">
      <c r="C629" s="96"/>
      <c r="D629" s="97"/>
      <c r="J629" s="98"/>
      <c r="K629" s="98"/>
      <c r="L629" s="99"/>
      <c r="M629" s="96"/>
    </row>
    <row r="630">
      <c r="C630" s="96"/>
      <c r="D630" s="97"/>
      <c r="J630" s="98"/>
      <c r="K630" s="98"/>
      <c r="L630" s="99"/>
      <c r="M630" s="96"/>
    </row>
    <row r="631">
      <c r="C631" s="96"/>
      <c r="D631" s="97"/>
      <c r="J631" s="98"/>
      <c r="K631" s="98"/>
      <c r="L631" s="99"/>
      <c r="M631" s="96"/>
    </row>
    <row r="632">
      <c r="C632" s="96"/>
      <c r="D632" s="97"/>
      <c r="J632" s="98"/>
      <c r="K632" s="98"/>
      <c r="L632" s="99"/>
      <c r="M632" s="96"/>
    </row>
    <row r="633">
      <c r="C633" s="96"/>
      <c r="D633" s="97"/>
      <c r="J633" s="98"/>
      <c r="K633" s="98"/>
      <c r="L633" s="99"/>
      <c r="M633" s="96"/>
    </row>
    <row r="634">
      <c r="C634" s="96"/>
      <c r="D634" s="97"/>
      <c r="J634" s="98"/>
      <c r="K634" s="98"/>
      <c r="L634" s="99"/>
      <c r="M634" s="96"/>
    </row>
    <row r="635">
      <c r="C635" s="96"/>
      <c r="D635" s="97"/>
      <c r="J635" s="98"/>
      <c r="K635" s="98"/>
      <c r="L635" s="99"/>
      <c r="M635" s="96"/>
    </row>
    <row r="636">
      <c r="C636" s="96"/>
      <c r="D636" s="97"/>
      <c r="J636" s="98"/>
      <c r="K636" s="98"/>
      <c r="L636" s="99"/>
      <c r="M636" s="96"/>
    </row>
    <row r="637">
      <c r="C637" s="96"/>
      <c r="D637" s="97"/>
      <c r="J637" s="98"/>
      <c r="K637" s="98"/>
      <c r="L637" s="99"/>
      <c r="M637" s="96"/>
    </row>
    <row r="638">
      <c r="C638" s="96"/>
      <c r="D638" s="97"/>
      <c r="J638" s="98"/>
      <c r="K638" s="98"/>
      <c r="L638" s="99"/>
      <c r="M638" s="96"/>
    </row>
    <row r="639">
      <c r="C639" s="96"/>
      <c r="D639" s="97"/>
      <c r="J639" s="98"/>
      <c r="K639" s="98"/>
      <c r="L639" s="99"/>
      <c r="M639" s="96"/>
    </row>
    <row r="640">
      <c r="C640" s="96"/>
      <c r="D640" s="97"/>
      <c r="J640" s="98"/>
      <c r="K640" s="98"/>
      <c r="L640" s="99"/>
      <c r="M640" s="96"/>
    </row>
    <row r="641">
      <c r="C641" s="96"/>
      <c r="D641" s="97"/>
      <c r="J641" s="98"/>
      <c r="K641" s="98"/>
      <c r="L641" s="99"/>
      <c r="M641" s="96"/>
    </row>
    <row r="642">
      <c r="C642" s="96"/>
      <c r="D642" s="97"/>
      <c r="J642" s="98"/>
      <c r="K642" s="98"/>
      <c r="L642" s="99"/>
      <c r="M642" s="96"/>
    </row>
    <row r="643">
      <c r="C643" s="96"/>
      <c r="D643" s="97"/>
      <c r="J643" s="98"/>
      <c r="K643" s="98"/>
      <c r="L643" s="99"/>
      <c r="M643" s="96"/>
    </row>
    <row r="644">
      <c r="C644" s="96"/>
      <c r="D644" s="97"/>
      <c r="J644" s="98"/>
      <c r="K644" s="98"/>
      <c r="L644" s="99"/>
      <c r="M644" s="96"/>
    </row>
    <row r="645">
      <c r="C645" s="96"/>
      <c r="D645" s="97"/>
      <c r="J645" s="98"/>
      <c r="K645" s="98"/>
      <c r="L645" s="99"/>
      <c r="M645" s="96"/>
    </row>
    <row r="646">
      <c r="C646" s="96"/>
      <c r="D646" s="97"/>
      <c r="J646" s="98"/>
      <c r="K646" s="98"/>
      <c r="L646" s="99"/>
      <c r="M646" s="96"/>
    </row>
    <row r="647">
      <c r="C647" s="96"/>
      <c r="D647" s="97"/>
      <c r="J647" s="98"/>
      <c r="K647" s="98"/>
      <c r="L647" s="99"/>
      <c r="M647" s="96"/>
    </row>
    <row r="648">
      <c r="C648" s="96"/>
      <c r="D648" s="97"/>
      <c r="J648" s="98"/>
      <c r="K648" s="98"/>
      <c r="L648" s="99"/>
      <c r="M648" s="96"/>
    </row>
    <row r="649">
      <c r="C649" s="96"/>
      <c r="D649" s="97"/>
      <c r="J649" s="98"/>
      <c r="K649" s="98"/>
      <c r="L649" s="99"/>
      <c r="M649" s="96"/>
    </row>
    <row r="650">
      <c r="C650" s="96"/>
      <c r="D650" s="97"/>
      <c r="J650" s="98"/>
      <c r="K650" s="98"/>
      <c r="L650" s="99"/>
      <c r="M650" s="96"/>
    </row>
    <row r="651">
      <c r="C651" s="96"/>
      <c r="D651" s="97"/>
      <c r="J651" s="98"/>
      <c r="K651" s="98"/>
      <c r="L651" s="99"/>
      <c r="M651" s="96"/>
    </row>
    <row r="652">
      <c r="C652" s="96"/>
      <c r="D652" s="97"/>
      <c r="J652" s="98"/>
      <c r="K652" s="98"/>
      <c r="L652" s="99"/>
      <c r="M652" s="96"/>
    </row>
    <row r="653">
      <c r="C653" s="96"/>
      <c r="D653" s="97"/>
      <c r="J653" s="98"/>
      <c r="K653" s="98"/>
      <c r="L653" s="99"/>
      <c r="M653" s="96"/>
    </row>
    <row r="654">
      <c r="C654" s="96"/>
      <c r="D654" s="97"/>
      <c r="J654" s="98"/>
      <c r="K654" s="98"/>
      <c r="L654" s="99"/>
      <c r="M654" s="96"/>
    </row>
    <row r="655">
      <c r="C655" s="96"/>
      <c r="D655" s="97"/>
      <c r="J655" s="98"/>
      <c r="K655" s="98"/>
      <c r="L655" s="99"/>
      <c r="M655" s="96"/>
    </row>
    <row r="656">
      <c r="C656" s="96"/>
      <c r="D656" s="97"/>
      <c r="J656" s="98"/>
      <c r="K656" s="98"/>
      <c r="L656" s="99"/>
      <c r="M656" s="96"/>
    </row>
    <row r="657">
      <c r="C657" s="96"/>
      <c r="D657" s="97"/>
      <c r="J657" s="98"/>
      <c r="K657" s="98"/>
      <c r="L657" s="99"/>
      <c r="M657" s="96"/>
    </row>
    <row r="658">
      <c r="C658" s="96"/>
      <c r="D658" s="97"/>
      <c r="J658" s="98"/>
      <c r="K658" s="98"/>
      <c r="L658" s="99"/>
      <c r="M658" s="96"/>
    </row>
    <row r="659">
      <c r="C659" s="96"/>
      <c r="D659" s="97"/>
      <c r="J659" s="98"/>
      <c r="K659" s="98"/>
      <c r="L659" s="99"/>
      <c r="M659" s="96"/>
    </row>
    <row r="660">
      <c r="C660" s="96"/>
      <c r="D660" s="97"/>
      <c r="J660" s="98"/>
      <c r="K660" s="98"/>
      <c r="L660" s="99"/>
      <c r="M660" s="96"/>
    </row>
    <row r="661">
      <c r="C661" s="96"/>
      <c r="D661" s="97"/>
      <c r="J661" s="98"/>
      <c r="K661" s="98"/>
      <c r="L661" s="99"/>
      <c r="M661" s="96"/>
    </row>
    <row r="662">
      <c r="C662" s="96"/>
      <c r="D662" s="97"/>
      <c r="J662" s="98"/>
      <c r="K662" s="98"/>
      <c r="L662" s="99"/>
      <c r="M662" s="96"/>
    </row>
    <row r="663">
      <c r="C663" s="96"/>
      <c r="D663" s="97"/>
      <c r="J663" s="98"/>
      <c r="K663" s="98"/>
      <c r="L663" s="99"/>
      <c r="M663" s="96"/>
    </row>
    <row r="664">
      <c r="C664" s="96"/>
      <c r="D664" s="97"/>
      <c r="J664" s="98"/>
      <c r="K664" s="98"/>
      <c r="L664" s="99"/>
      <c r="M664" s="96"/>
    </row>
    <row r="665">
      <c r="C665" s="96"/>
      <c r="D665" s="97"/>
      <c r="J665" s="98"/>
      <c r="K665" s="98"/>
      <c r="L665" s="99"/>
      <c r="M665" s="96"/>
    </row>
    <row r="666">
      <c r="C666" s="96"/>
      <c r="D666" s="97"/>
      <c r="J666" s="98"/>
      <c r="K666" s="98"/>
      <c r="L666" s="99"/>
      <c r="M666" s="96"/>
    </row>
    <row r="667">
      <c r="C667" s="96"/>
      <c r="D667" s="97"/>
      <c r="J667" s="98"/>
      <c r="K667" s="98"/>
      <c r="L667" s="99"/>
      <c r="M667" s="96"/>
    </row>
    <row r="668">
      <c r="C668" s="96"/>
      <c r="D668" s="97"/>
      <c r="J668" s="98"/>
      <c r="K668" s="98"/>
      <c r="L668" s="99"/>
      <c r="M668" s="96"/>
    </row>
    <row r="669">
      <c r="C669" s="96"/>
      <c r="D669" s="97"/>
      <c r="J669" s="98"/>
      <c r="K669" s="98"/>
      <c r="L669" s="99"/>
      <c r="M669" s="96"/>
    </row>
    <row r="670">
      <c r="C670" s="96"/>
      <c r="D670" s="97"/>
      <c r="J670" s="98"/>
      <c r="K670" s="98"/>
      <c r="L670" s="99"/>
      <c r="M670" s="96"/>
    </row>
    <row r="671">
      <c r="C671" s="96"/>
      <c r="D671" s="97"/>
      <c r="J671" s="98"/>
      <c r="K671" s="98"/>
      <c r="L671" s="99"/>
      <c r="M671" s="96"/>
    </row>
    <row r="672">
      <c r="C672" s="96"/>
      <c r="D672" s="97"/>
      <c r="J672" s="98"/>
      <c r="K672" s="98"/>
      <c r="L672" s="99"/>
      <c r="M672" s="96"/>
    </row>
    <row r="673">
      <c r="C673" s="96"/>
      <c r="D673" s="97"/>
      <c r="J673" s="98"/>
      <c r="K673" s="98"/>
      <c r="L673" s="99"/>
      <c r="M673" s="96"/>
    </row>
    <row r="674">
      <c r="C674" s="96"/>
      <c r="D674" s="97"/>
      <c r="J674" s="98"/>
      <c r="K674" s="98"/>
      <c r="L674" s="99"/>
      <c r="M674" s="96"/>
    </row>
    <row r="675">
      <c r="C675" s="96"/>
      <c r="D675" s="97"/>
      <c r="J675" s="98"/>
      <c r="K675" s="98"/>
      <c r="L675" s="99"/>
      <c r="M675" s="96"/>
    </row>
    <row r="676">
      <c r="C676" s="96"/>
      <c r="D676" s="97"/>
      <c r="J676" s="98"/>
      <c r="K676" s="98"/>
      <c r="L676" s="99"/>
      <c r="M676" s="96"/>
    </row>
    <row r="677">
      <c r="C677" s="96"/>
      <c r="D677" s="97"/>
      <c r="J677" s="98"/>
      <c r="K677" s="98"/>
      <c r="L677" s="99"/>
      <c r="M677" s="96"/>
    </row>
    <row r="678">
      <c r="C678" s="96"/>
      <c r="D678" s="97"/>
      <c r="J678" s="98"/>
      <c r="K678" s="98"/>
      <c r="L678" s="99"/>
      <c r="M678" s="96"/>
    </row>
    <row r="679">
      <c r="C679" s="96"/>
      <c r="D679" s="97"/>
      <c r="J679" s="98"/>
      <c r="K679" s="98"/>
      <c r="L679" s="99"/>
      <c r="M679" s="96"/>
    </row>
    <row r="680">
      <c r="C680" s="96"/>
      <c r="D680" s="97"/>
      <c r="J680" s="98"/>
      <c r="K680" s="98"/>
      <c r="L680" s="99"/>
      <c r="M680" s="96"/>
    </row>
    <row r="681">
      <c r="C681" s="96"/>
      <c r="D681" s="97"/>
      <c r="J681" s="98"/>
      <c r="K681" s="98"/>
      <c r="L681" s="99"/>
      <c r="M681" s="96"/>
    </row>
    <row r="682">
      <c r="C682" s="96"/>
      <c r="D682" s="97"/>
      <c r="J682" s="98"/>
      <c r="K682" s="98"/>
      <c r="L682" s="99"/>
      <c r="M682" s="96"/>
    </row>
    <row r="683">
      <c r="C683" s="96"/>
      <c r="D683" s="97"/>
      <c r="J683" s="98"/>
      <c r="K683" s="98"/>
      <c r="L683" s="99"/>
      <c r="M683" s="96"/>
    </row>
    <row r="684">
      <c r="C684" s="96"/>
      <c r="D684" s="97"/>
      <c r="J684" s="98"/>
      <c r="K684" s="98"/>
      <c r="L684" s="99"/>
      <c r="M684" s="96"/>
    </row>
    <row r="685">
      <c r="C685" s="96"/>
      <c r="D685" s="97"/>
      <c r="J685" s="98"/>
      <c r="K685" s="98"/>
      <c r="L685" s="99"/>
      <c r="M685" s="96"/>
    </row>
    <row r="686">
      <c r="C686" s="96"/>
      <c r="D686" s="97"/>
      <c r="J686" s="98"/>
      <c r="K686" s="98"/>
      <c r="L686" s="99"/>
      <c r="M686" s="96"/>
    </row>
    <row r="687">
      <c r="C687" s="96"/>
      <c r="D687" s="97"/>
      <c r="J687" s="98"/>
      <c r="K687" s="98"/>
      <c r="L687" s="99"/>
      <c r="M687" s="96"/>
    </row>
    <row r="688">
      <c r="C688" s="96"/>
      <c r="D688" s="97"/>
      <c r="J688" s="98"/>
      <c r="K688" s="98"/>
      <c r="L688" s="99"/>
      <c r="M688" s="96"/>
    </row>
    <row r="689">
      <c r="C689" s="96"/>
      <c r="D689" s="97"/>
      <c r="J689" s="98"/>
      <c r="K689" s="98"/>
      <c r="L689" s="99"/>
      <c r="M689" s="96"/>
    </row>
    <row r="690">
      <c r="C690" s="96"/>
      <c r="D690" s="97"/>
      <c r="J690" s="98"/>
      <c r="K690" s="98"/>
      <c r="L690" s="99"/>
      <c r="M690" s="96"/>
    </row>
    <row r="691">
      <c r="C691" s="96"/>
      <c r="D691" s="97"/>
      <c r="J691" s="98"/>
      <c r="K691" s="98"/>
      <c r="L691" s="99"/>
      <c r="M691" s="96"/>
    </row>
    <row r="692">
      <c r="C692" s="96"/>
      <c r="D692" s="97"/>
      <c r="J692" s="98"/>
      <c r="K692" s="98"/>
      <c r="L692" s="99"/>
      <c r="M692" s="96"/>
    </row>
    <row r="693">
      <c r="C693" s="96"/>
      <c r="D693" s="97"/>
      <c r="J693" s="98"/>
      <c r="K693" s="98"/>
      <c r="L693" s="99"/>
      <c r="M693" s="96"/>
    </row>
    <row r="694">
      <c r="C694" s="96"/>
      <c r="D694" s="97"/>
      <c r="J694" s="98"/>
      <c r="K694" s="98"/>
      <c r="L694" s="99"/>
      <c r="M694" s="96"/>
    </row>
    <row r="695">
      <c r="C695" s="96"/>
      <c r="D695" s="97"/>
      <c r="J695" s="98"/>
      <c r="K695" s="98"/>
      <c r="L695" s="99"/>
      <c r="M695" s="96"/>
    </row>
    <row r="696">
      <c r="C696" s="96"/>
      <c r="D696" s="97"/>
      <c r="J696" s="98"/>
      <c r="K696" s="98"/>
      <c r="L696" s="99"/>
      <c r="M696" s="96"/>
    </row>
    <row r="697">
      <c r="C697" s="96"/>
      <c r="D697" s="97"/>
      <c r="J697" s="98"/>
      <c r="K697" s="98"/>
      <c r="L697" s="99"/>
      <c r="M697" s="96"/>
    </row>
    <row r="698">
      <c r="C698" s="96"/>
      <c r="D698" s="97"/>
      <c r="J698" s="98"/>
      <c r="K698" s="98"/>
      <c r="L698" s="99"/>
      <c r="M698" s="96"/>
    </row>
    <row r="699">
      <c r="C699" s="96"/>
      <c r="D699" s="97"/>
      <c r="J699" s="98"/>
      <c r="K699" s="98"/>
      <c r="L699" s="99"/>
      <c r="M699" s="96"/>
    </row>
    <row r="700">
      <c r="C700" s="96"/>
      <c r="D700" s="97"/>
      <c r="J700" s="98"/>
      <c r="K700" s="98"/>
      <c r="L700" s="99"/>
      <c r="M700" s="96"/>
    </row>
    <row r="701">
      <c r="C701" s="96"/>
      <c r="D701" s="97"/>
      <c r="J701" s="98"/>
      <c r="K701" s="98"/>
      <c r="L701" s="99"/>
      <c r="M701" s="96"/>
    </row>
    <row r="702">
      <c r="C702" s="96"/>
      <c r="D702" s="97"/>
      <c r="J702" s="98"/>
      <c r="K702" s="98"/>
      <c r="L702" s="99"/>
      <c r="M702" s="96"/>
    </row>
    <row r="703">
      <c r="C703" s="96"/>
      <c r="D703" s="97"/>
      <c r="J703" s="98"/>
      <c r="K703" s="98"/>
      <c r="L703" s="99"/>
      <c r="M703" s="96"/>
    </row>
    <row r="704">
      <c r="C704" s="96"/>
      <c r="D704" s="97"/>
      <c r="J704" s="98"/>
      <c r="K704" s="98"/>
      <c r="L704" s="99"/>
      <c r="M704" s="96"/>
    </row>
    <row r="705">
      <c r="C705" s="96"/>
      <c r="D705" s="97"/>
      <c r="J705" s="98"/>
      <c r="K705" s="98"/>
      <c r="L705" s="99"/>
      <c r="M705" s="96"/>
    </row>
    <row r="706">
      <c r="C706" s="96"/>
      <c r="D706" s="97"/>
      <c r="J706" s="98"/>
      <c r="K706" s="98"/>
      <c r="L706" s="99"/>
      <c r="M706" s="96"/>
    </row>
    <row r="707">
      <c r="C707" s="96"/>
      <c r="D707" s="97"/>
      <c r="J707" s="98"/>
      <c r="K707" s="98"/>
      <c r="L707" s="99"/>
      <c r="M707" s="96"/>
    </row>
    <row r="708">
      <c r="C708" s="96"/>
      <c r="D708" s="97"/>
      <c r="J708" s="98"/>
      <c r="K708" s="98"/>
      <c r="L708" s="99"/>
      <c r="M708" s="96"/>
    </row>
    <row r="709">
      <c r="C709" s="96"/>
      <c r="D709" s="97"/>
      <c r="J709" s="98"/>
      <c r="K709" s="98"/>
      <c r="L709" s="99"/>
      <c r="M709" s="96"/>
    </row>
    <row r="710">
      <c r="C710" s="96"/>
      <c r="D710" s="97"/>
      <c r="J710" s="98"/>
      <c r="K710" s="98"/>
      <c r="L710" s="99"/>
      <c r="M710" s="96"/>
    </row>
    <row r="711">
      <c r="C711" s="96"/>
      <c r="D711" s="97"/>
      <c r="J711" s="98"/>
      <c r="K711" s="98"/>
      <c r="L711" s="99"/>
      <c r="M711" s="96"/>
    </row>
    <row r="712">
      <c r="C712" s="96"/>
      <c r="D712" s="97"/>
      <c r="J712" s="98"/>
      <c r="K712" s="98"/>
      <c r="L712" s="99"/>
      <c r="M712" s="96"/>
    </row>
    <row r="713">
      <c r="C713" s="96"/>
      <c r="D713" s="97"/>
      <c r="J713" s="98"/>
      <c r="K713" s="98"/>
      <c r="L713" s="99"/>
      <c r="M713" s="96"/>
    </row>
    <row r="714">
      <c r="C714" s="96"/>
      <c r="D714" s="97"/>
      <c r="J714" s="98"/>
      <c r="K714" s="98"/>
      <c r="L714" s="99"/>
      <c r="M714" s="96"/>
    </row>
    <row r="715">
      <c r="C715" s="96"/>
      <c r="D715" s="97"/>
      <c r="J715" s="98"/>
      <c r="K715" s="98"/>
      <c r="L715" s="99"/>
      <c r="M715" s="96"/>
    </row>
    <row r="716">
      <c r="C716" s="96"/>
      <c r="D716" s="97"/>
      <c r="J716" s="98"/>
      <c r="K716" s="98"/>
      <c r="L716" s="99"/>
      <c r="M716" s="96"/>
    </row>
    <row r="717">
      <c r="C717" s="96"/>
      <c r="D717" s="97"/>
      <c r="J717" s="98"/>
      <c r="K717" s="98"/>
      <c r="L717" s="99"/>
      <c r="M717" s="96"/>
    </row>
    <row r="718">
      <c r="C718" s="96"/>
      <c r="D718" s="97"/>
      <c r="J718" s="98"/>
      <c r="K718" s="98"/>
      <c r="L718" s="99"/>
      <c r="M718" s="96"/>
    </row>
    <row r="719">
      <c r="C719" s="96"/>
      <c r="D719" s="97"/>
      <c r="J719" s="98"/>
      <c r="K719" s="98"/>
      <c r="L719" s="99"/>
      <c r="M719" s="96"/>
    </row>
    <row r="720">
      <c r="C720" s="96"/>
      <c r="D720" s="97"/>
      <c r="J720" s="98"/>
      <c r="K720" s="98"/>
      <c r="L720" s="99"/>
      <c r="M720" s="96"/>
    </row>
    <row r="721">
      <c r="C721" s="96"/>
      <c r="D721" s="97"/>
      <c r="J721" s="98"/>
      <c r="K721" s="98"/>
      <c r="L721" s="99"/>
      <c r="M721" s="96"/>
    </row>
    <row r="722">
      <c r="C722" s="96"/>
      <c r="D722" s="97"/>
      <c r="J722" s="98"/>
      <c r="K722" s="98"/>
      <c r="L722" s="99"/>
      <c r="M722" s="96"/>
    </row>
    <row r="723">
      <c r="C723" s="96"/>
      <c r="D723" s="97"/>
      <c r="J723" s="98"/>
      <c r="K723" s="98"/>
      <c r="L723" s="99"/>
      <c r="M723" s="96"/>
    </row>
    <row r="724">
      <c r="C724" s="96"/>
      <c r="D724" s="97"/>
      <c r="J724" s="98"/>
      <c r="K724" s="98"/>
      <c r="L724" s="99"/>
      <c r="M724" s="96"/>
    </row>
    <row r="725">
      <c r="C725" s="96"/>
      <c r="D725" s="97"/>
      <c r="J725" s="98"/>
      <c r="K725" s="98"/>
      <c r="L725" s="99"/>
      <c r="M725" s="96"/>
    </row>
    <row r="726">
      <c r="C726" s="96"/>
      <c r="D726" s="97"/>
      <c r="J726" s="98"/>
      <c r="K726" s="98"/>
      <c r="L726" s="99"/>
      <c r="M726" s="96"/>
    </row>
    <row r="727">
      <c r="C727" s="96"/>
      <c r="D727" s="97"/>
      <c r="J727" s="98"/>
      <c r="K727" s="98"/>
      <c r="L727" s="99"/>
      <c r="M727" s="96"/>
    </row>
    <row r="728">
      <c r="C728" s="96"/>
      <c r="D728" s="97"/>
      <c r="J728" s="98"/>
      <c r="K728" s="98"/>
      <c r="L728" s="99"/>
      <c r="M728" s="96"/>
    </row>
    <row r="729">
      <c r="C729" s="96"/>
      <c r="D729" s="97"/>
      <c r="J729" s="98"/>
      <c r="K729" s="98"/>
      <c r="L729" s="99"/>
      <c r="M729" s="96"/>
    </row>
    <row r="730">
      <c r="C730" s="96"/>
      <c r="D730" s="97"/>
      <c r="J730" s="98"/>
      <c r="K730" s="98"/>
      <c r="L730" s="99"/>
      <c r="M730" s="96"/>
    </row>
    <row r="731">
      <c r="C731" s="96"/>
      <c r="D731" s="97"/>
      <c r="J731" s="98"/>
      <c r="K731" s="98"/>
      <c r="L731" s="99"/>
      <c r="M731" s="96"/>
    </row>
    <row r="732">
      <c r="C732" s="96"/>
      <c r="D732" s="97"/>
      <c r="J732" s="98"/>
      <c r="K732" s="98"/>
      <c r="L732" s="99"/>
      <c r="M732" s="96"/>
    </row>
    <row r="733">
      <c r="C733" s="96"/>
      <c r="D733" s="97"/>
      <c r="J733" s="98"/>
      <c r="K733" s="98"/>
      <c r="L733" s="99"/>
      <c r="M733" s="96"/>
    </row>
    <row r="734">
      <c r="C734" s="96"/>
      <c r="D734" s="97"/>
      <c r="J734" s="98"/>
      <c r="K734" s="98"/>
      <c r="L734" s="99"/>
      <c r="M734" s="96"/>
    </row>
    <row r="735">
      <c r="C735" s="96"/>
      <c r="D735" s="97"/>
      <c r="J735" s="98"/>
      <c r="K735" s="98"/>
      <c r="L735" s="99"/>
      <c r="M735" s="96"/>
    </row>
    <row r="736">
      <c r="C736" s="96"/>
      <c r="D736" s="97"/>
      <c r="J736" s="98"/>
      <c r="K736" s="98"/>
      <c r="L736" s="99"/>
      <c r="M736" s="96"/>
    </row>
    <row r="737">
      <c r="C737" s="96"/>
      <c r="D737" s="97"/>
      <c r="J737" s="98"/>
      <c r="K737" s="98"/>
      <c r="L737" s="99"/>
      <c r="M737" s="96"/>
    </row>
    <row r="738">
      <c r="C738" s="96"/>
      <c r="D738" s="97"/>
      <c r="J738" s="98"/>
      <c r="K738" s="98"/>
      <c r="L738" s="99"/>
      <c r="M738" s="96"/>
    </row>
    <row r="739">
      <c r="C739" s="96"/>
      <c r="D739" s="97"/>
      <c r="J739" s="98"/>
      <c r="K739" s="98"/>
      <c r="L739" s="99"/>
      <c r="M739" s="96"/>
    </row>
    <row r="740">
      <c r="C740" s="96"/>
      <c r="D740" s="97"/>
      <c r="J740" s="98"/>
      <c r="K740" s="98"/>
      <c r="L740" s="99"/>
      <c r="M740" s="96"/>
    </row>
    <row r="741">
      <c r="C741" s="96"/>
      <c r="D741" s="97"/>
      <c r="J741" s="98"/>
      <c r="K741" s="98"/>
      <c r="L741" s="99"/>
      <c r="M741" s="96"/>
    </row>
    <row r="742">
      <c r="C742" s="96"/>
      <c r="D742" s="97"/>
      <c r="J742" s="98"/>
      <c r="K742" s="98"/>
      <c r="L742" s="99"/>
      <c r="M742" s="96"/>
    </row>
    <row r="743">
      <c r="C743" s="96"/>
      <c r="D743" s="97"/>
      <c r="J743" s="98"/>
      <c r="K743" s="98"/>
      <c r="L743" s="99"/>
      <c r="M743" s="96"/>
    </row>
    <row r="744">
      <c r="C744" s="96"/>
      <c r="D744" s="97"/>
      <c r="J744" s="98"/>
      <c r="K744" s="98"/>
      <c r="L744" s="99"/>
      <c r="M744" s="96"/>
    </row>
    <row r="745">
      <c r="C745" s="96"/>
      <c r="D745" s="97"/>
      <c r="J745" s="98"/>
      <c r="K745" s="98"/>
      <c r="L745" s="99"/>
      <c r="M745" s="96"/>
    </row>
    <row r="746">
      <c r="C746" s="96"/>
      <c r="D746" s="97"/>
      <c r="J746" s="98"/>
      <c r="K746" s="98"/>
      <c r="L746" s="99"/>
      <c r="M746" s="96"/>
    </row>
    <row r="747">
      <c r="C747" s="96"/>
      <c r="D747" s="97"/>
      <c r="J747" s="98"/>
      <c r="K747" s="98"/>
      <c r="L747" s="99"/>
      <c r="M747" s="96"/>
    </row>
    <row r="748">
      <c r="C748" s="96"/>
      <c r="D748" s="97"/>
      <c r="J748" s="98"/>
      <c r="K748" s="98"/>
      <c r="L748" s="99"/>
      <c r="M748" s="96"/>
    </row>
    <row r="749">
      <c r="C749" s="96"/>
      <c r="D749" s="97"/>
      <c r="J749" s="98"/>
      <c r="K749" s="98"/>
      <c r="L749" s="99"/>
      <c r="M749" s="96"/>
    </row>
    <row r="750">
      <c r="C750" s="96"/>
      <c r="D750" s="97"/>
      <c r="J750" s="98"/>
      <c r="K750" s="98"/>
      <c r="L750" s="99"/>
      <c r="M750" s="96"/>
    </row>
    <row r="751">
      <c r="C751" s="96"/>
      <c r="D751" s="97"/>
      <c r="J751" s="98"/>
      <c r="K751" s="98"/>
      <c r="L751" s="99"/>
      <c r="M751" s="96"/>
    </row>
    <row r="752">
      <c r="C752" s="96"/>
      <c r="D752" s="97"/>
      <c r="J752" s="98"/>
      <c r="K752" s="98"/>
      <c r="L752" s="99"/>
      <c r="M752" s="96"/>
    </row>
    <row r="753">
      <c r="C753" s="96"/>
      <c r="D753" s="97"/>
      <c r="J753" s="98"/>
      <c r="K753" s="98"/>
      <c r="L753" s="99"/>
      <c r="M753" s="96"/>
    </row>
    <row r="754">
      <c r="C754" s="96"/>
      <c r="D754" s="97"/>
      <c r="J754" s="98"/>
      <c r="K754" s="98"/>
      <c r="L754" s="99"/>
      <c r="M754" s="96"/>
    </row>
    <row r="755">
      <c r="C755" s="96"/>
      <c r="D755" s="97"/>
      <c r="J755" s="98"/>
      <c r="K755" s="98"/>
      <c r="L755" s="99"/>
      <c r="M755" s="96"/>
    </row>
    <row r="756">
      <c r="C756" s="96"/>
      <c r="D756" s="97"/>
      <c r="J756" s="98"/>
      <c r="K756" s="98"/>
      <c r="L756" s="99"/>
      <c r="M756" s="96"/>
    </row>
    <row r="757">
      <c r="C757" s="96"/>
      <c r="D757" s="97"/>
      <c r="J757" s="98"/>
      <c r="K757" s="98"/>
      <c r="L757" s="99"/>
      <c r="M757" s="96"/>
    </row>
    <row r="758">
      <c r="C758" s="96"/>
      <c r="D758" s="97"/>
      <c r="J758" s="98"/>
      <c r="K758" s="98"/>
      <c r="L758" s="99"/>
      <c r="M758" s="96"/>
    </row>
    <row r="759">
      <c r="C759" s="96"/>
      <c r="D759" s="97"/>
      <c r="J759" s="98"/>
      <c r="K759" s="98"/>
      <c r="L759" s="99"/>
      <c r="M759" s="96"/>
    </row>
    <row r="760">
      <c r="C760" s="96"/>
      <c r="D760" s="97"/>
      <c r="J760" s="98"/>
      <c r="K760" s="98"/>
      <c r="L760" s="99"/>
      <c r="M760" s="96"/>
    </row>
    <row r="761">
      <c r="C761" s="96"/>
      <c r="D761" s="97"/>
      <c r="J761" s="98"/>
      <c r="K761" s="98"/>
      <c r="L761" s="99"/>
      <c r="M761" s="96"/>
    </row>
    <row r="762">
      <c r="C762" s="96"/>
      <c r="D762" s="97"/>
      <c r="J762" s="98"/>
      <c r="K762" s="98"/>
      <c r="L762" s="99"/>
      <c r="M762" s="96"/>
    </row>
    <row r="763">
      <c r="C763" s="96"/>
      <c r="D763" s="97"/>
      <c r="J763" s="98"/>
      <c r="K763" s="98"/>
      <c r="L763" s="99"/>
      <c r="M763" s="96"/>
    </row>
    <row r="764">
      <c r="C764" s="96"/>
      <c r="D764" s="97"/>
      <c r="J764" s="98"/>
      <c r="K764" s="98"/>
      <c r="L764" s="99"/>
      <c r="M764" s="96"/>
    </row>
    <row r="765">
      <c r="C765" s="96"/>
      <c r="D765" s="97"/>
      <c r="J765" s="98"/>
      <c r="K765" s="98"/>
      <c r="L765" s="99"/>
      <c r="M765" s="96"/>
    </row>
    <row r="766">
      <c r="C766" s="96"/>
      <c r="D766" s="97"/>
      <c r="J766" s="98"/>
      <c r="K766" s="98"/>
      <c r="L766" s="99"/>
      <c r="M766" s="96"/>
    </row>
    <row r="767">
      <c r="C767" s="96"/>
      <c r="D767" s="97"/>
      <c r="J767" s="98"/>
      <c r="K767" s="98"/>
      <c r="L767" s="99"/>
      <c r="M767" s="96"/>
    </row>
    <row r="768">
      <c r="C768" s="96"/>
      <c r="D768" s="97"/>
      <c r="J768" s="98"/>
      <c r="K768" s="98"/>
      <c r="L768" s="99"/>
      <c r="M768" s="96"/>
    </row>
    <row r="769">
      <c r="C769" s="96"/>
      <c r="D769" s="97"/>
      <c r="J769" s="98"/>
      <c r="K769" s="98"/>
      <c r="L769" s="99"/>
      <c r="M769" s="96"/>
    </row>
    <row r="770">
      <c r="C770" s="96"/>
      <c r="D770" s="97"/>
      <c r="J770" s="98"/>
      <c r="K770" s="98"/>
      <c r="L770" s="99"/>
      <c r="M770" s="96"/>
    </row>
    <row r="771">
      <c r="C771" s="96"/>
      <c r="D771" s="97"/>
      <c r="J771" s="98"/>
      <c r="K771" s="98"/>
      <c r="L771" s="99"/>
      <c r="M771" s="96"/>
    </row>
    <row r="772">
      <c r="C772" s="96"/>
      <c r="D772" s="97"/>
      <c r="J772" s="98"/>
      <c r="K772" s="98"/>
      <c r="L772" s="99"/>
      <c r="M772" s="96"/>
    </row>
    <row r="773">
      <c r="C773" s="96"/>
      <c r="D773" s="97"/>
      <c r="J773" s="98"/>
      <c r="K773" s="98"/>
      <c r="L773" s="99"/>
      <c r="M773" s="96"/>
    </row>
    <row r="774">
      <c r="C774" s="96"/>
      <c r="D774" s="97"/>
      <c r="J774" s="98"/>
      <c r="K774" s="98"/>
      <c r="L774" s="99"/>
      <c r="M774" s="96"/>
    </row>
    <row r="775">
      <c r="C775" s="96"/>
      <c r="D775" s="97"/>
      <c r="J775" s="98"/>
      <c r="K775" s="98"/>
      <c r="L775" s="99"/>
      <c r="M775" s="96"/>
    </row>
    <row r="776">
      <c r="C776" s="96"/>
      <c r="D776" s="97"/>
      <c r="J776" s="98"/>
      <c r="K776" s="98"/>
      <c r="L776" s="99"/>
      <c r="M776" s="96"/>
    </row>
    <row r="777">
      <c r="C777" s="96"/>
      <c r="D777" s="97"/>
      <c r="J777" s="98"/>
      <c r="K777" s="98"/>
      <c r="L777" s="99"/>
      <c r="M777" s="96"/>
    </row>
    <row r="778">
      <c r="C778" s="96"/>
      <c r="D778" s="97"/>
      <c r="J778" s="98"/>
      <c r="K778" s="98"/>
      <c r="L778" s="99"/>
      <c r="M778" s="96"/>
    </row>
    <row r="779">
      <c r="C779" s="96"/>
      <c r="D779" s="97"/>
      <c r="J779" s="98"/>
      <c r="K779" s="98"/>
      <c r="L779" s="99"/>
      <c r="M779" s="96"/>
    </row>
    <row r="780">
      <c r="C780" s="96"/>
      <c r="D780" s="97"/>
      <c r="J780" s="98"/>
      <c r="K780" s="98"/>
      <c r="L780" s="99"/>
      <c r="M780" s="96"/>
    </row>
    <row r="781">
      <c r="C781" s="96"/>
      <c r="D781" s="97"/>
      <c r="J781" s="98"/>
      <c r="K781" s="98"/>
      <c r="L781" s="99"/>
      <c r="M781" s="96"/>
    </row>
    <row r="782">
      <c r="C782" s="96"/>
      <c r="D782" s="97"/>
      <c r="J782" s="98"/>
      <c r="K782" s="98"/>
      <c r="L782" s="99"/>
      <c r="M782" s="96"/>
    </row>
    <row r="783">
      <c r="C783" s="96"/>
      <c r="D783" s="97"/>
      <c r="J783" s="98"/>
      <c r="K783" s="98"/>
      <c r="L783" s="99"/>
      <c r="M783" s="96"/>
    </row>
    <row r="784">
      <c r="C784" s="96"/>
      <c r="D784" s="97"/>
      <c r="J784" s="98"/>
      <c r="K784" s="98"/>
      <c r="L784" s="99"/>
      <c r="M784" s="96"/>
    </row>
    <row r="785">
      <c r="C785" s="96"/>
      <c r="D785" s="97"/>
      <c r="J785" s="98"/>
      <c r="K785" s="98"/>
      <c r="L785" s="99"/>
      <c r="M785" s="96"/>
    </row>
    <row r="786">
      <c r="C786" s="96"/>
      <c r="D786" s="97"/>
      <c r="J786" s="98"/>
      <c r="K786" s="98"/>
      <c r="L786" s="99"/>
      <c r="M786" s="96"/>
    </row>
    <row r="787">
      <c r="C787" s="96"/>
      <c r="D787" s="97"/>
      <c r="J787" s="98"/>
      <c r="K787" s="98"/>
      <c r="L787" s="99"/>
      <c r="M787" s="96"/>
    </row>
    <row r="788">
      <c r="C788" s="96"/>
      <c r="D788" s="97"/>
      <c r="J788" s="98"/>
      <c r="K788" s="98"/>
      <c r="L788" s="99"/>
      <c r="M788" s="96"/>
    </row>
    <row r="789">
      <c r="C789" s="96"/>
      <c r="D789" s="97"/>
      <c r="J789" s="98"/>
      <c r="K789" s="98"/>
      <c r="L789" s="99"/>
      <c r="M789" s="96"/>
    </row>
    <row r="790">
      <c r="C790" s="96"/>
      <c r="D790" s="97"/>
      <c r="J790" s="98"/>
      <c r="K790" s="98"/>
      <c r="L790" s="99"/>
      <c r="M790" s="96"/>
    </row>
    <row r="791">
      <c r="C791" s="96"/>
      <c r="D791" s="97"/>
      <c r="J791" s="98"/>
      <c r="K791" s="98"/>
      <c r="L791" s="99"/>
      <c r="M791" s="96"/>
    </row>
    <row r="792">
      <c r="C792" s="96"/>
      <c r="D792" s="97"/>
      <c r="J792" s="98"/>
      <c r="K792" s="98"/>
      <c r="L792" s="99"/>
      <c r="M792" s="96"/>
    </row>
    <row r="793">
      <c r="C793" s="96"/>
      <c r="D793" s="97"/>
      <c r="J793" s="98"/>
      <c r="K793" s="98"/>
      <c r="L793" s="99"/>
      <c r="M793" s="96"/>
    </row>
    <row r="794">
      <c r="C794" s="96"/>
      <c r="D794" s="97"/>
      <c r="J794" s="98"/>
      <c r="K794" s="98"/>
      <c r="L794" s="99"/>
      <c r="M794" s="96"/>
    </row>
    <row r="795">
      <c r="C795" s="96"/>
      <c r="D795" s="97"/>
      <c r="J795" s="98"/>
      <c r="K795" s="98"/>
      <c r="L795" s="99"/>
      <c r="M795" s="96"/>
    </row>
    <row r="796">
      <c r="C796" s="96"/>
      <c r="D796" s="97"/>
      <c r="J796" s="98"/>
      <c r="K796" s="98"/>
      <c r="L796" s="99"/>
      <c r="M796" s="96"/>
    </row>
    <row r="797">
      <c r="C797" s="96"/>
      <c r="D797" s="97"/>
      <c r="J797" s="98"/>
      <c r="K797" s="98"/>
      <c r="L797" s="99"/>
      <c r="M797" s="96"/>
    </row>
    <row r="798">
      <c r="C798" s="96"/>
      <c r="D798" s="97"/>
      <c r="J798" s="98"/>
      <c r="K798" s="98"/>
      <c r="L798" s="99"/>
      <c r="M798" s="96"/>
    </row>
    <row r="799">
      <c r="C799" s="96"/>
      <c r="D799" s="97"/>
      <c r="J799" s="98"/>
      <c r="K799" s="98"/>
      <c r="L799" s="99"/>
      <c r="M799" s="96"/>
    </row>
    <row r="800">
      <c r="C800" s="96"/>
      <c r="D800" s="97"/>
      <c r="J800" s="98"/>
      <c r="K800" s="98"/>
      <c r="L800" s="99"/>
      <c r="M800" s="96"/>
    </row>
    <row r="801">
      <c r="C801" s="96"/>
      <c r="D801" s="97"/>
      <c r="J801" s="98"/>
      <c r="K801" s="98"/>
      <c r="L801" s="99"/>
      <c r="M801" s="96"/>
    </row>
    <row r="802">
      <c r="C802" s="96"/>
      <c r="D802" s="97"/>
      <c r="J802" s="98"/>
      <c r="K802" s="98"/>
      <c r="L802" s="99"/>
      <c r="M802" s="96"/>
    </row>
    <row r="803">
      <c r="C803" s="96"/>
      <c r="D803" s="97"/>
      <c r="J803" s="98"/>
      <c r="K803" s="98"/>
      <c r="L803" s="99"/>
      <c r="M803" s="96"/>
    </row>
    <row r="804">
      <c r="C804" s="96"/>
      <c r="D804" s="97"/>
      <c r="J804" s="98"/>
      <c r="K804" s="98"/>
      <c r="L804" s="99"/>
      <c r="M804" s="96"/>
    </row>
    <row r="805">
      <c r="C805" s="96"/>
      <c r="D805" s="97"/>
      <c r="J805" s="98"/>
      <c r="K805" s="98"/>
      <c r="L805" s="99"/>
      <c r="M805" s="96"/>
    </row>
    <row r="806">
      <c r="C806" s="96"/>
      <c r="D806" s="97"/>
      <c r="J806" s="98"/>
      <c r="K806" s="98"/>
      <c r="L806" s="99"/>
      <c r="M806" s="96"/>
    </row>
    <row r="807">
      <c r="C807" s="96"/>
      <c r="D807" s="97"/>
      <c r="J807" s="98"/>
      <c r="K807" s="98"/>
      <c r="L807" s="99"/>
      <c r="M807" s="96"/>
    </row>
    <row r="808">
      <c r="C808" s="96"/>
      <c r="D808" s="97"/>
      <c r="J808" s="98"/>
      <c r="K808" s="98"/>
      <c r="L808" s="99"/>
      <c r="M808" s="96"/>
    </row>
    <row r="809">
      <c r="C809" s="96"/>
      <c r="D809" s="97"/>
      <c r="J809" s="98"/>
      <c r="K809" s="98"/>
      <c r="L809" s="99"/>
      <c r="M809" s="96"/>
    </row>
    <row r="810">
      <c r="C810" s="96"/>
      <c r="D810" s="97"/>
      <c r="J810" s="98"/>
      <c r="K810" s="98"/>
      <c r="L810" s="99"/>
      <c r="M810" s="96"/>
    </row>
    <row r="811">
      <c r="C811" s="96"/>
      <c r="D811" s="97"/>
      <c r="J811" s="98"/>
      <c r="K811" s="98"/>
      <c r="L811" s="99"/>
      <c r="M811" s="96"/>
    </row>
    <row r="812">
      <c r="C812" s="96"/>
      <c r="D812" s="97"/>
      <c r="J812" s="98"/>
      <c r="K812" s="98"/>
      <c r="L812" s="99"/>
      <c r="M812" s="96"/>
    </row>
    <row r="813">
      <c r="C813" s="96"/>
      <c r="D813" s="97"/>
      <c r="J813" s="98"/>
      <c r="K813" s="98"/>
      <c r="L813" s="99"/>
      <c r="M813" s="96"/>
    </row>
    <row r="814">
      <c r="C814" s="96"/>
      <c r="D814" s="97"/>
      <c r="J814" s="98"/>
      <c r="K814" s="98"/>
      <c r="L814" s="99"/>
      <c r="M814" s="96"/>
    </row>
    <row r="815">
      <c r="C815" s="96"/>
      <c r="D815" s="97"/>
      <c r="J815" s="98"/>
      <c r="K815" s="98"/>
      <c r="L815" s="99"/>
      <c r="M815" s="96"/>
    </row>
    <row r="816">
      <c r="C816" s="96"/>
      <c r="D816" s="97"/>
      <c r="J816" s="98"/>
      <c r="K816" s="98"/>
      <c r="L816" s="99"/>
      <c r="M816" s="96"/>
    </row>
    <row r="817">
      <c r="C817" s="96"/>
      <c r="D817" s="97"/>
      <c r="J817" s="98"/>
      <c r="K817" s="98"/>
      <c r="L817" s="99"/>
      <c r="M817" s="96"/>
    </row>
    <row r="818">
      <c r="C818" s="96"/>
      <c r="D818" s="97"/>
      <c r="J818" s="98"/>
      <c r="K818" s="98"/>
      <c r="L818" s="99"/>
      <c r="M818" s="96"/>
    </row>
    <row r="819">
      <c r="C819" s="96"/>
      <c r="D819" s="97"/>
      <c r="J819" s="98"/>
      <c r="K819" s="98"/>
      <c r="L819" s="99"/>
      <c r="M819" s="96"/>
    </row>
    <row r="820">
      <c r="C820" s="96"/>
      <c r="D820" s="97"/>
      <c r="J820" s="98"/>
      <c r="K820" s="98"/>
      <c r="L820" s="99"/>
      <c r="M820" s="96"/>
    </row>
    <row r="821">
      <c r="C821" s="96"/>
      <c r="D821" s="97"/>
      <c r="J821" s="98"/>
      <c r="K821" s="98"/>
      <c r="L821" s="99"/>
      <c r="M821" s="96"/>
    </row>
    <row r="822">
      <c r="C822" s="96"/>
      <c r="D822" s="97"/>
      <c r="J822" s="98"/>
      <c r="K822" s="98"/>
      <c r="L822" s="99"/>
      <c r="M822" s="96"/>
    </row>
    <row r="823">
      <c r="C823" s="96"/>
      <c r="D823" s="97"/>
      <c r="J823" s="98"/>
      <c r="K823" s="98"/>
      <c r="L823" s="99"/>
      <c r="M823" s="96"/>
    </row>
    <row r="824">
      <c r="C824" s="96"/>
      <c r="D824" s="97"/>
      <c r="J824" s="98"/>
      <c r="K824" s="98"/>
      <c r="L824" s="99"/>
      <c r="M824" s="96"/>
    </row>
    <row r="825">
      <c r="C825" s="96"/>
      <c r="D825" s="97"/>
      <c r="J825" s="98"/>
      <c r="K825" s="98"/>
      <c r="L825" s="99"/>
      <c r="M825" s="96"/>
    </row>
    <row r="826">
      <c r="C826" s="96"/>
      <c r="D826" s="97"/>
      <c r="J826" s="98"/>
      <c r="K826" s="98"/>
      <c r="L826" s="99"/>
      <c r="M826" s="96"/>
    </row>
    <row r="827">
      <c r="C827" s="96"/>
      <c r="D827" s="97"/>
      <c r="J827" s="98"/>
      <c r="K827" s="98"/>
      <c r="L827" s="99"/>
      <c r="M827" s="96"/>
    </row>
    <row r="828">
      <c r="C828" s="96"/>
      <c r="D828" s="97"/>
      <c r="J828" s="98"/>
      <c r="K828" s="98"/>
      <c r="L828" s="99"/>
      <c r="M828" s="96"/>
    </row>
    <row r="829">
      <c r="C829" s="96"/>
      <c r="D829" s="97"/>
      <c r="J829" s="98"/>
      <c r="K829" s="98"/>
      <c r="L829" s="99"/>
      <c r="M829" s="96"/>
    </row>
    <row r="830">
      <c r="C830" s="96"/>
      <c r="D830" s="97"/>
      <c r="J830" s="98"/>
      <c r="K830" s="98"/>
      <c r="L830" s="99"/>
      <c r="M830" s="96"/>
    </row>
    <row r="831">
      <c r="C831" s="96"/>
      <c r="D831" s="97"/>
      <c r="J831" s="98"/>
      <c r="K831" s="98"/>
      <c r="L831" s="99"/>
      <c r="M831" s="96"/>
    </row>
    <row r="832">
      <c r="C832" s="96"/>
      <c r="D832" s="97"/>
      <c r="J832" s="98"/>
      <c r="K832" s="98"/>
      <c r="L832" s="99"/>
      <c r="M832" s="96"/>
    </row>
    <row r="833">
      <c r="C833" s="96"/>
      <c r="D833" s="97"/>
      <c r="J833" s="98"/>
      <c r="K833" s="98"/>
      <c r="L833" s="99"/>
      <c r="M833" s="96"/>
    </row>
    <row r="834">
      <c r="C834" s="96"/>
      <c r="D834" s="97"/>
      <c r="J834" s="98"/>
      <c r="K834" s="98"/>
      <c r="L834" s="99"/>
      <c r="M834" s="96"/>
    </row>
    <row r="835">
      <c r="C835" s="96"/>
      <c r="D835" s="97"/>
      <c r="J835" s="98"/>
      <c r="K835" s="98"/>
      <c r="L835" s="99"/>
      <c r="M835" s="96"/>
    </row>
    <row r="836">
      <c r="C836" s="96"/>
      <c r="D836" s="97"/>
      <c r="J836" s="98"/>
      <c r="K836" s="98"/>
      <c r="L836" s="99"/>
      <c r="M836" s="96"/>
    </row>
    <row r="837">
      <c r="C837" s="96"/>
      <c r="D837" s="97"/>
      <c r="J837" s="98"/>
      <c r="K837" s="98"/>
      <c r="L837" s="99"/>
      <c r="M837" s="96"/>
    </row>
    <row r="838">
      <c r="C838" s="96"/>
      <c r="D838" s="97"/>
      <c r="J838" s="98"/>
      <c r="K838" s="98"/>
      <c r="L838" s="99"/>
      <c r="M838" s="96"/>
    </row>
    <row r="839">
      <c r="C839" s="96"/>
      <c r="D839" s="97"/>
      <c r="J839" s="98"/>
      <c r="K839" s="98"/>
      <c r="L839" s="99"/>
      <c r="M839" s="96"/>
    </row>
    <row r="840">
      <c r="C840" s="96"/>
      <c r="D840" s="97"/>
      <c r="J840" s="98"/>
      <c r="K840" s="98"/>
      <c r="L840" s="99"/>
      <c r="M840" s="96"/>
    </row>
    <row r="841">
      <c r="C841" s="96"/>
      <c r="D841" s="97"/>
      <c r="J841" s="98"/>
      <c r="K841" s="98"/>
      <c r="L841" s="99"/>
      <c r="M841" s="96"/>
    </row>
    <row r="842">
      <c r="C842" s="96"/>
      <c r="D842" s="97"/>
      <c r="J842" s="98"/>
      <c r="K842" s="98"/>
      <c r="L842" s="99"/>
      <c r="M842" s="96"/>
    </row>
    <row r="843">
      <c r="C843" s="96"/>
      <c r="D843" s="97"/>
      <c r="J843" s="98"/>
      <c r="K843" s="98"/>
      <c r="L843" s="99"/>
      <c r="M843" s="96"/>
    </row>
    <row r="844">
      <c r="C844" s="96"/>
      <c r="D844" s="97"/>
      <c r="J844" s="98"/>
      <c r="K844" s="98"/>
      <c r="L844" s="99"/>
      <c r="M844" s="96"/>
    </row>
    <row r="845">
      <c r="C845" s="96"/>
      <c r="D845" s="97"/>
      <c r="J845" s="98"/>
      <c r="K845" s="98"/>
      <c r="L845" s="99"/>
      <c r="M845" s="96"/>
    </row>
    <row r="846">
      <c r="C846" s="96"/>
      <c r="D846" s="97"/>
      <c r="J846" s="98"/>
      <c r="K846" s="98"/>
      <c r="L846" s="99"/>
      <c r="M846" s="96"/>
    </row>
    <row r="847">
      <c r="C847" s="96"/>
      <c r="D847" s="97"/>
      <c r="J847" s="98"/>
      <c r="K847" s="98"/>
      <c r="L847" s="99"/>
      <c r="M847" s="96"/>
    </row>
    <row r="848">
      <c r="C848" s="96"/>
      <c r="D848" s="97"/>
      <c r="J848" s="98"/>
      <c r="K848" s="98"/>
      <c r="L848" s="99"/>
      <c r="M848" s="96"/>
    </row>
    <row r="849">
      <c r="C849" s="96"/>
      <c r="D849" s="97"/>
      <c r="J849" s="98"/>
      <c r="K849" s="98"/>
      <c r="L849" s="99"/>
      <c r="M849" s="96"/>
    </row>
    <row r="850">
      <c r="C850" s="96"/>
      <c r="D850" s="97"/>
      <c r="J850" s="98"/>
      <c r="K850" s="98"/>
      <c r="L850" s="99"/>
      <c r="M850" s="96"/>
    </row>
    <row r="851">
      <c r="C851" s="96"/>
      <c r="D851" s="97"/>
      <c r="J851" s="98"/>
      <c r="K851" s="98"/>
      <c r="L851" s="99"/>
      <c r="M851" s="96"/>
    </row>
    <row r="852">
      <c r="C852" s="96"/>
      <c r="D852" s="97"/>
      <c r="J852" s="98"/>
      <c r="K852" s="98"/>
      <c r="L852" s="99"/>
      <c r="M852" s="96"/>
    </row>
    <row r="853">
      <c r="C853" s="96"/>
      <c r="D853" s="97"/>
      <c r="J853" s="98"/>
      <c r="K853" s="98"/>
      <c r="L853" s="99"/>
      <c r="M853" s="96"/>
    </row>
    <row r="854">
      <c r="C854" s="96"/>
      <c r="D854" s="97"/>
      <c r="J854" s="98"/>
      <c r="K854" s="98"/>
      <c r="L854" s="99"/>
      <c r="M854" s="96"/>
    </row>
    <row r="855">
      <c r="C855" s="96"/>
      <c r="D855" s="97"/>
      <c r="J855" s="98"/>
      <c r="K855" s="98"/>
      <c r="L855" s="99"/>
      <c r="M855" s="96"/>
    </row>
    <row r="856">
      <c r="C856" s="96"/>
      <c r="D856" s="97"/>
      <c r="J856" s="98"/>
      <c r="K856" s="98"/>
      <c r="L856" s="99"/>
      <c r="M856" s="96"/>
    </row>
    <row r="857">
      <c r="C857" s="96"/>
      <c r="D857" s="97"/>
      <c r="J857" s="98"/>
      <c r="K857" s="98"/>
      <c r="L857" s="99"/>
      <c r="M857" s="96"/>
    </row>
    <row r="858">
      <c r="C858" s="96"/>
      <c r="D858" s="97"/>
      <c r="J858" s="98"/>
      <c r="K858" s="98"/>
      <c r="L858" s="99"/>
      <c r="M858" s="96"/>
    </row>
    <row r="859">
      <c r="C859" s="96"/>
      <c r="D859" s="97"/>
      <c r="J859" s="98"/>
      <c r="K859" s="98"/>
      <c r="L859" s="99"/>
      <c r="M859" s="96"/>
    </row>
    <row r="860">
      <c r="C860" s="96"/>
      <c r="D860" s="97"/>
      <c r="J860" s="98"/>
      <c r="K860" s="98"/>
      <c r="L860" s="99"/>
      <c r="M860" s="96"/>
    </row>
    <row r="861">
      <c r="C861" s="96"/>
      <c r="D861" s="97"/>
      <c r="J861" s="98"/>
      <c r="K861" s="98"/>
      <c r="L861" s="99"/>
      <c r="M861" s="96"/>
    </row>
    <row r="862">
      <c r="C862" s="96"/>
      <c r="D862" s="97"/>
      <c r="J862" s="98"/>
      <c r="K862" s="98"/>
      <c r="L862" s="99"/>
      <c r="M862" s="96"/>
    </row>
    <row r="863">
      <c r="C863" s="96"/>
      <c r="D863" s="97"/>
      <c r="J863" s="98"/>
      <c r="K863" s="98"/>
      <c r="L863" s="99"/>
      <c r="M863" s="96"/>
    </row>
    <row r="864">
      <c r="C864" s="96"/>
      <c r="D864" s="97"/>
      <c r="J864" s="98"/>
      <c r="K864" s="98"/>
      <c r="L864" s="99"/>
      <c r="M864" s="96"/>
    </row>
    <row r="865">
      <c r="C865" s="96"/>
      <c r="D865" s="97"/>
      <c r="J865" s="98"/>
      <c r="K865" s="98"/>
      <c r="L865" s="99"/>
      <c r="M865" s="96"/>
    </row>
    <row r="866">
      <c r="C866" s="96"/>
      <c r="D866" s="97"/>
      <c r="J866" s="98"/>
      <c r="K866" s="98"/>
      <c r="L866" s="99"/>
      <c r="M866" s="96"/>
    </row>
    <row r="867">
      <c r="C867" s="96"/>
      <c r="D867" s="97"/>
      <c r="J867" s="98"/>
      <c r="K867" s="98"/>
      <c r="L867" s="99"/>
      <c r="M867" s="96"/>
    </row>
    <row r="868">
      <c r="C868" s="96"/>
      <c r="D868" s="97"/>
      <c r="J868" s="98"/>
      <c r="K868" s="98"/>
      <c r="L868" s="99"/>
      <c r="M868" s="96"/>
    </row>
    <row r="869">
      <c r="C869" s="96"/>
      <c r="D869" s="97"/>
      <c r="J869" s="98"/>
      <c r="K869" s="98"/>
      <c r="L869" s="99"/>
      <c r="M869" s="96"/>
    </row>
    <row r="870">
      <c r="C870" s="96"/>
      <c r="D870" s="97"/>
      <c r="J870" s="98"/>
      <c r="K870" s="98"/>
      <c r="L870" s="99"/>
      <c r="M870" s="96"/>
    </row>
    <row r="871">
      <c r="C871" s="96"/>
      <c r="D871" s="97"/>
      <c r="J871" s="98"/>
      <c r="K871" s="98"/>
      <c r="L871" s="99"/>
      <c r="M871" s="96"/>
    </row>
    <row r="872">
      <c r="C872" s="96"/>
      <c r="D872" s="97"/>
      <c r="J872" s="98"/>
      <c r="K872" s="98"/>
      <c r="L872" s="99"/>
      <c r="M872" s="96"/>
    </row>
    <row r="873">
      <c r="C873" s="96"/>
      <c r="D873" s="97"/>
      <c r="J873" s="98"/>
      <c r="K873" s="98"/>
      <c r="L873" s="99"/>
      <c r="M873" s="96"/>
    </row>
    <row r="874">
      <c r="C874" s="96"/>
      <c r="D874" s="97"/>
      <c r="J874" s="98"/>
      <c r="K874" s="98"/>
      <c r="L874" s="99"/>
      <c r="M874" s="96"/>
    </row>
    <row r="875">
      <c r="C875" s="96"/>
      <c r="D875" s="97"/>
      <c r="J875" s="98"/>
      <c r="K875" s="98"/>
      <c r="L875" s="99"/>
      <c r="M875" s="96"/>
    </row>
    <row r="876">
      <c r="C876" s="96"/>
      <c r="D876" s="97"/>
      <c r="J876" s="98"/>
      <c r="K876" s="98"/>
      <c r="L876" s="99"/>
      <c r="M876" s="96"/>
    </row>
    <row r="877">
      <c r="C877" s="96"/>
      <c r="D877" s="97"/>
      <c r="J877" s="98"/>
      <c r="K877" s="98"/>
      <c r="L877" s="99"/>
      <c r="M877" s="96"/>
    </row>
    <row r="878">
      <c r="C878" s="96"/>
      <c r="D878" s="97"/>
      <c r="J878" s="98"/>
      <c r="K878" s="98"/>
      <c r="L878" s="99"/>
      <c r="M878" s="96"/>
    </row>
    <row r="879">
      <c r="C879" s="96"/>
      <c r="D879" s="97"/>
      <c r="J879" s="98"/>
      <c r="K879" s="98"/>
      <c r="L879" s="99"/>
      <c r="M879" s="96"/>
    </row>
    <row r="880">
      <c r="C880" s="96"/>
      <c r="D880" s="97"/>
      <c r="J880" s="98"/>
      <c r="K880" s="98"/>
      <c r="L880" s="99"/>
      <c r="M880" s="96"/>
    </row>
    <row r="881">
      <c r="C881" s="96"/>
      <c r="D881" s="97"/>
      <c r="J881" s="98"/>
      <c r="K881" s="98"/>
      <c r="L881" s="99"/>
      <c r="M881" s="96"/>
    </row>
    <row r="882">
      <c r="C882" s="96"/>
      <c r="D882" s="97"/>
      <c r="J882" s="98"/>
      <c r="K882" s="98"/>
      <c r="L882" s="99"/>
      <c r="M882" s="96"/>
    </row>
    <row r="883">
      <c r="C883" s="96"/>
      <c r="D883" s="97"/>
      <c r="J883" s="98"/>
      <c r="K883" s="98"/>
      <c r="L883" s="99"/>
      <c r="M883" s="96"/>
    </row>
    <row r="884">
      <c r="C884" s="96"/>
      <c r="D884" s="97"/>
      <c r="J884" s="98"/>
      <c r="K884" s="98"/>
      <c r="L884" s="99"/>
      <c r="M884" s="96"/>
    </row>
    <row r="885">
      <c r="C885" s="96"/>
      <c r="D885" s="97"/>
      <c r="J885" s="98"/>
      <c r="K885" s="98"/>
      <c r="L885" s="99"/>
      <c r="M885" s="96"/>
    </row>
    <row r="886">
      <c r="C886" s="96"/>
      <c r="D886" s="97"/>
      <c r="J886" s="98"/>
      <c r="K886" s="98"/>
      <c r="L886" s="99"/>
      <c r="M886" s="96"/>
    </row>
    <row r="887">
      <c r="C887" s="96"/>
      <c r="D887" s="97"/>
      <c r="J887" s="98"/>
      <c r="K887" s="98"/>
      <c r="L887" s="99"/>
      <c r="M887" s="96"/>
    </row>
    <row r="888">
      <c r="C888" s="96"/>
      <c r="D888" s="97"/>
      <c r="J888" s="98"/>
      <c r="K888" s="98"/>
      <c r="L888" s="99"/>
      <c r="M888" s="96"/>
    </row>
    <row r="889">
      <c r="C889" s="96"/>
      <c r="D889" s="97"/>
      <c r="J889" s="98"/>
      <c r="K889" s="98"/>
      <c r="L889" s="99"/>
      <c r="M889" s="96"/>
    </row>
    <row r="890">
      <c r="C890" s="96"/>
      <c r="D890" s="97"/>
      <c r="J890" s="98"/>
      <c r="K890" s="98"/>
      <c r="L890" s="99"/>
      <c r="M890" s="96"/>
    </row>
    <row r="891">
      <c r="C891" s="96"/>
      <c r="D891" s="97"/>
      <c r="J891" s="98"/>
      <c r="K891" s="98"/>
      <c r="L891" s="99"/>
      <c r="M891" s="96"/>
    </row>
    <row r="892">
      <c r="C892" s="96"/>
      <c r="D892" s="97"/>
      <c r="J892" s="98"/>
      <c r="K892" s="98"/>
      <c r="L892" s="99"/>
      <c r="M892" s="96"/>
    </row>
    <row r="893">
      <c r="C893" s="96"/>
      <c r="D893" s="97"/>
      <c r="J893" s="98"/>
      <c r="K893" s="98"/>
      <c r="L893" s="99"/>
      <c r="M893" s="96"/>
    </row>
    <row r="894">
      <c r="C894" s="96"/>
      <c r="D894" s="97"/>
      <c r="J894" s="98"/>
      <c r="K894" s="98"/>
      <c r="L894" s="99"/>
      <c r="M894" s="96"/>
    </row>
    <row r="895">
      <c r="C895" s="96"/>
      <c r="D895" s="97"/>
      <c r="J895" s="98"/>
      <c r="K895" s="98"/>
      <c r="L895" s="99"/>
      <c r="M895" s="96"/>
    </row>
    <row r="896">
      <c r="C896" s="96"/>
      <c r="D896" s="97"/>
      <c r="J896" s="98"/>
      <c r="K896" s="98"/>
      <c r="L896" s="99"/>
      <c r="M896" s="96"/>
    </row>
    <row r="897">
      <c r="C897" s="96"/>
      <c r="D897" s="97"/>
      <c r="J897" s="98"/>
      <c r="K897" s="98"/>
      <c r="L897" s="99"/>
      <c r="M897" s="96"/>
    </row>
    <row r="898">
      <c r="C898" s="96"/>
      <c r="D898" s="97"/>
      <c r="J898" s="98"/>
      <c r="K898" s="98"/>
      <c r="L898" s="99"/>
      <c r="M898" s="96"/>
    </row>
    <row r="899">
      <c r="C899" s="96"/>
      <c r="D899" s="97"/>
      <c r="J899" s="98"/>
      <c r="K899" s="98"/>
      <c r="L899" s="99"/>
      <c r="M899" s="96"/>
    </row>
    <row r="900">
      <c r="C900" s="96"/>
      <c r="D900" s="97"/>
      <c r="J900" s="98"/>
      <c r="K900" s="98"/>
      <c r="L900" s="99"/>
      <c r="M900" s="96"/>
    </row>
    <row r="901">
      <c r="C901" s="96"/>
      <c r="D901" s="97"/>
      <c r="J901" s="98"/>
      <c r="K901" s="98"/>
      <c r="L901" s="99"/>
      <c r="M901" s="96"/>
    </row>
    <row r="902">
      <c r="C902" s="96"/>
      <c r="D902" s="97"/>
      <c r="J902" s="98"/>
      <c r="K902" s="98"/>
      <c r="L902" s="99"/>
      <c r="M902" s="96"/>
    </row>
    <row r="903">
      <c r="C903" s="96"/>
      <c r="D903" s="97"/>
      <c r="J903" s="98"/>
      <c r="K903" s="98"/>
      <c r="L903" s="99"/>
      <c r="M903" s="96"/>
    </row>
    <row r="904">
      <c r="C904" s="96"/>
      <c r="D904" s="97"/>
      <c r="J904" s="98"/>
      <c r="K904" s="98"/>
      <c r="L904" s="99"/>
      <c r="M904" s="96"/>
    </row>
    <row r="905">
      <c r="C905" s="96"/>
      <c r="D905" s="97"/>
      <c r="J905" s="98"/>
      <c r="K905" s="98"/>
      <c r="L905" s="99"/>
      <c r="M905" s="96"/>
    </row>
    <row r="906">
      <c r="C906" s="96"/>
      <c r="D906" s="97"/>
      <c r="J906" s="98"/>
      <c r="K906" s="98"/>
      <c r="L906" s="99"/>
      <c r="M906" s="96"/>
    </row>
    <row r="907">
      <c r="C907" s="96"/>
      <c r="D907" s="97"/>
      <c r="J907" s="98"/>
      <c r="K907" s="98"/>
      <c r="L907" s="99"/>
      <c r="M907" s="96"/>
    </row>
    <row r="908">
      <c r="C908" s="96"/>
      <c r="D908" s="97"/>
      <c r="J908" s="98"/>
      <c r="K908" s="98"/>
      <c r="L908" s="99"/>
      <c r="M908" s="96"/>
    </row>
    <row r="909">
      <c r="C909" s="96"/>
      <c r="D909" s="97"/>
      <c r="J909" s="98"/>
      <c r="K909" s="98"/>
      <c r="L909" s="99"/>
      <c r="M909" s="96"/>
    </row>
    <row r="910">
      <c r="C910" s="96"/>
      <c r="D910" s="97"/>
      <c r="J910" s="98"/>
      <c r="K910" s="98"/>
      <c r="L910" s="99"/>
      <c r="M910" s="96"/>
    </row>
    <row r="911">
      <c r="C911" s="96"/>
      <c r="D911" s="97"/>
      <c r="J911" s="98"/>
      <c r="K911" s="98"/>
      <c r="L911" s="99"/>
      <c r="M911" s="96"/>
    </row>
    <row r="912">
      <c r="C912" s="96"/>
      <c r="D912" s="97"/>
      <c r="J912" s="98"/>
      <c r="K912" s="98"/>
      <c r="L912" s="99"/>
      <c r="M912" s="96"/>
    </row>
    <row r="913">
      <c r="C913" s="96"/>
      <c r="D913" s="97"/>
      <c r="J913" s="98"/>
      <c r="K913" s="98"/>
      <c r="L913" s="99"/>
      <c r="M913" s="96"/>
    </row>
    <row r="914">
      <c r="C914" s="96"/>
      <c r="D914" s="97"/>
      <c r="J914" s="98"/>
      <c r="K914" s="98"/>
      <c r="L914" s="99"/>
      <c r="M914" s="96"/>
    </row>
    <row r="915">
      <c r="C915" s="96"/>
      <c r="D915" s="97"/>
      <c r="J915" s="98"/>
      <c r="K915" s="98"/>
      <c r="L915" s="99"/>
      <c r="M915" s="96"/>
    </row>
    <row r="916">
      <c r="C916" s="96"/>
      <c r="D916" s="97"/>
      <c r="J916" s="98"/>
      <c r="K916" s="98"/>
      <c r="L916" s="99"/>
      <c r="M916" s="96"/>
    </row>
    <row r="917">
      <c r="C917" s="96"/>
      <c r="D917" s="97"/>
      <c r="J917" s="98"/>
      <c r="K917" s="98"/>
      <c r="L917" s="99"/>
      <c r="M917" s="96"/>
    </row>
    <row r="918">
      <c r="C918" s="96"/>
      <c r="D918" s="97"/>
      <c r="J918" s="98"/>
      <c r="K918" s="98"/>
      <c r="L918" s="99"/>
      <c r="M918" s="96"/>
    </row>
    <row r="919">
      <c r="C919" s="96"/>
      <c r="D919" s="97"/>
      <c r="J919" s="98"/>
      <c r="K919" s="98"/>
      <c r="L919" s="99"/>
      <c r="M919" s="96"/>
    </row>
    <row r="920">
      <c r="C920" s="96"/>
      <c r="D920" s="97"/>
      <c r="J920" s="98"/>
      <c r="K920" s="98"/>
      <c r="L920" s="99"/>
      <c r="M920" s="96"/>
    </row>
    <row r="921">
      <c r="C921" s="96"/>
      <c r="D921" s="97"/>
      <c r="J921" s="98"/>
      <c r="K921" s="98"/>
      <c r="L921" s="99"/>
      <c r="M921" s="96"/>
    </row>
    <row r="922">
      <c r="C922" s="96"/>
      <c r="D922" s="97"/>
      <c r="J922" s="98"/>
      <c r="K922" s="98"/>
      <c r="L922" s="99"/>
      <c r="M922" s="96"/>
    </row>
    <row r="923">
      <c r="C923" s="96"/>
      <c r="D923" s="97"/>
      <c r="J923" s="98"/>
      <c r="K923" s="98"/>
      <c r="L923" s="99"/>
      <c r="M923" s="96"/>
    </row>
    <row r="924">
      <c r="C924" s="96"/>
      <c r="D924" s="97"/>
      <c r="J924" s="98"/>
      <c r="K924" s="98"/>
      <c r="L924" s="99"/>
      <c r="M924" s="96"/>
    </row>
    <row r="925">
      <c r="C925" s="96"/>
      <c r="D925" s="97"/>
      <c r="J925" s="98"/>
      <c r="K925" s="98"/>
      <c r="L925" s="99"/>
      <c r="M925" s="96"/>
    </row>
    <row r="926">
      <c r="C926" s="96"/>
      <c r="D926" s="97"/>
      <c r="J926" s="98"/>
      <c r="K926" s="98"/>
      <c r="L926" s="99"/>
      <c r="M926" s="96"/>
    </row>
    <row r="927">
      <c r="C927" s="96"/>
      <c r="D927" s="97"/>
      <c r="J927" s="98"/>
      <c r="K927" s="98"/>
      <c r="L927" s="99"/>
      <c r="M927" s="96"/>
    </row>
    <row r="928">
      <c r="C928" s="96"/>
      <c r="D928" s="97"/>
      <c r="J928" s="98"/>
      <c r="K928" s="98"/>
      <c r="L928" s="99"/>
      <c r="M928" s="96"/>
    </row>
    <row r="929">
      <c r="C929" s="96"/>
      <c r="D929" s="97"/>
      <c r="J929" s="98"/>
      <c r="K929" s="98"/>
      <c r="L929" s="99"/>
      <c r="M929" s="96"/>
    </row>
    <row r="930">
      <c r="C930" s="96"/>
      <c r="D930" s="97"/>
      <c r="J930" s="98"/>
      <c r="K930" s="98"/>
      <c r="L930" s="99"/>
      <c r="M930" s="96"/>
    </row>
    <row r="931">
      <c r="C931" s="96"/>
      <c r="D931" s="97"/>
      <c r="J931" s="98"/>
      <c r="K931" s="98"/>
      <c r="L931" s="99"/>
      <c r="M931" s="96"/>
    </row>
    <row r="932">
      <c r="C932" s="96"/>
      <c r="D932" s="97"/>
      <c r="J932" s="98"/>
      <c r="K932" s="98"/>
      <c r="L932" s="99"/>
      <c r="M932" s="96"/>
    </row>
    <row r="933">
      <c r="C933" s="96"/>
      <c r="D933" s="97"/>
      <c r="J933" s="98"/>
      <c r="K933" s="98"/>
      <c r="L933" s="99"/>
      <c r="M933" s="96"/>
    </row>
    <row r="934">
      <c r="C934" s="96"/>
      <c r="D934" s="97"/>
      <c r="J934" s="98"/>
      <c r="K934" s="98"/>
      <c r="L934" s="99"/>
      <c r="M934" s="96"/>
    </row>
    <row r="935">
      <c r="C935" s="96"/>
      <c r="D935" s="97"/>
      <c r="J935" s="98"/>
      <c r="K935" s="98"/>
      <c r="L935" s="99"/>
      <c r="M935" s="96"/>
    </row>
    <row r="936">
      <c r="C936" s="96"/>
      <c r="D936" s="97"/>
      <c r="J936" s="98"/>
      <c r="K936" s="98"/>
      <c r="L936" s="99"/>
      <c r="M936" s="96"/>
    </row>
    <row r="937">
      <c r="C937" s="96"/>
      <c r="D937" s="97"/>
      <c r="J937" s="98"/>
      <c r="K937" s="98"/>
      <c r="L937" s="99"/>
      <c r="M937" s="96"/>
    </row>
    <row r="938">
      <c r="C938" s="96"/>
      <c r="D938" s="97"/>
      <c r="J938" s="98"/>
      <c r="K938" s="98"/>
      <c r="L938" s="99"/>
      <c r="M938" s="96"/>
    </row>
    <row r="939">
      <c r="C939" s="96"/>
      <c r="D939" s="97"/>
      <c r="J939" s="98"/>
      <c r="K939" s="98"/>
      <c r="L939" s="99"/>
      <c r="M939" s="96"/>
    </row>
    <row r="940">
      <c r="C940" s="96"/>
      <c r="D940" s="97"/>
      <c r="J940" s="98"/>
      <c r="K940" s="98"/>
      <c r="L940" s="99"/>
      <c r="M940" s="96"/>
    </row>
    <row r="941">
      <c r="C941" s="96"/>
      <c r="D941" s="97"/>
      <c r="J941" s="98"/>
      <c r="K941" s="98"/>
      <c r="L941" s="99"/>
      <c r="M941" s="96"/>
    </row>
    <row r="942">
      <c r="C942" s="96"/>
      <c r="D942" s="97"/>
      <c r="J942" s="98"/>
      <c r="K942" s="98"/>
      <c r="L942" s="99"/>
      <c r="M942" s="96"/>
    </row>
    <row r="943">
      <c r="C943" s="96"/>
      <c r="D943" s="97"/>
      <c r="J943" s="98"/>
      <c r="K943" s="98"/>
      <c r="L943" s="99"/>
      <c r="M943" s="96"/>
    </row>
    <row r="944">
      <c r="C944" s="96"/>
      <c r="D944" s="97"/>
      <c r="J944" s="98"/>
      <c r="K944" s="98"/>
      <c r="L944" s="99"/>
      <c r="M944" s="96"/>
    </row>
    <row r="945">
      <c r="C945" s="96"/>
      <c r="D945" s="97"/>
      <c r="J945" s="98"/>
      <c r="K945" s="98"/>
      <c r="L945" s="99"/>
      <c r="M945" s="96"/>
    </row>
    <row r="946">
      <c r="C946" s="96"/>
      <c r="D946" s="97"/>
      <c r="J946" s="98"/>
      <c r="K946" s="98"/>
      <c r="L946" s="99"/>
      <c r="M946" s="96"/>
    </row>
    <row r="947">
      <c r="C947" s="96"/>
      <c r="D947" s="97"/>
      <c r="J947" s="98"/>
      <c r="K947" s="98"/>
      <c r="L947" s="99"/>
      <c r="M947" s="96"/>
    </row>
    <row r="948">
      <c r="C948" s="96"/>
      <c r="D948" s="97"/>
      <c r="J948" s="98"/>
      <c r="K948" s="98"/>
      <c r="L948" s="99"/>
      <c r="M948" s="96"/>
    </row>
    <row r="949">
      <c r="C949" s="96"/>
      <c r="D949" s="97"/>
      <c r="J949" s="98"/>
      <c r="K949" s="98"/>
      <c r="L949" s="99"/>
      <c r="M949" s="96"/>
    </row>
    <row r="950">
      <c r="C950" s="96"/>
      <c r="D950" s="97"/>
      <c r="J950" s="98"/>
      <c r="K950" s="98"/>
      <c r="L950" s="99"/>
      <c r="M950" s="96"/>
    </row>
    <row r="951">
      <c r="C951" s="96"/>
      <c r="D951" s="97"/>
      <c r="J951" s="98"/>
      <c r="K951" s="98"/>
      <c r="L951" s="99"/>
      <c r="M951" s="96"/>
    </row>
    <row r="952">
      <c r="C952" s="96"/>
      <c r="D952" s="97"/>
      <c r="J952" s="98"/>
      <c r="K952" s="98"/>
      <c r="L952" s="99"/>
      <c r="M952" s="96"/>
    </row>
    <row r="953">
      <c r="C953" s="96"/>
      <c r="D953" s="97"/>
      <c r="J953" s="98"/>
      <c r="K953" s="98"/>
      <c r="L953" s="99"/>
      <c r="M953" s="96"/>
    </row>
    <row r="954">
      <c r="C954" s="96"/>
      <c r="D954" s="97"/>
      <c r="J954" s="98"/>
      <c r="K954" s="98"/>
      <c r="L954" s="99"/>
      <c r="M954" s="96"/>
    </row>
    <row r="955">
      <c r="C955" s="96"/>
      <c r="D955" s="97"/>
      <c r="J955" s="98"/>
      <c r="K955" s="98"/>
      <c r="L955" s="99"/>
      <c r="M955" s="96"/>
    </row>
    <row r="956">
      <c r="C956" s="96"/>
      <c r="D956" s="97"/>
      <c r="J956" s="98"/>
      <c r="K956" s="98"/>
      <c r="L956" s="99"/>
      <c r="M956" s="96"/>
    </row>
    <row r="957">
      <c r="C957" s="96"/>
      <c r="D957" s="97"/>
      <c r="J957" s="98"/>
      <c r="K957" s="98"/>
      <c r="L957" s="99"/>
      <c r="M957" s="96"/>
    </row>
    <row r="958">
      <c r="C958" s="96"/>
      <c r="D958" s="97"/>
      <c r="J958" s="98"/>
      <c r="K958" s="98"/>
      <c r="L958" s="99"/>
      <c r="M958" s="96"/>
    </row>
    <row r="959">
      <c r="C959" s="96"/>
      <c r="D959" s="97"/>
      <c r="J959" s="98"/>
      <c r="K959" s="98"/>
      <c r="L959" s="99"/>
      <c r="M959" s="96"/>
    </row>
    <row r="960">
      <c r="C960" s="96"/>
      <c r="D960" s="97"/>
      <c r="J960" s="98"/>
      <c r="K960" s="98"/>
      <c r="L960" s="99"/>
      <c r="M960" s="96"/>
    </row>
    <row r="961">
      <c r="C961" s="96"/>
      <c r="D961" s="97"/>
      <c r="J961" s="98"/>
      <c r="K961" s="98"/>
      <c r="L961" s="99"/>
      <c r="M961" s="96"/>
    </row>
    <row r="962">
      <c r="C962" s="96"/>
      <c r="D962" s="97"/>
      <c r="J962" s="98"/>
      <c r="K962" s="98"/>
      <c r="L962" s="99"/>
      <c r="M962" s="96"/>
    </row>
    <row r="963">
      <c r="C963" s="96"/>
      <c r="D963" s="97"/>
      <c r="J963" s="98"/>
      <c r="K963" s="98"/>
      <c r="L963" s="99"/>
      <c r="M963" s="96"/>
    </row>
    <row r="964">
      <c r="C964" s="96"/>
      <c r="D964" s="97"/>
      <c r="J964" s="98"/>
      <c r="K964" s="98"/>
      <c r="L964" s="99"/>
      <c r="M964" s="96"/>
    </row>
    <row r="965">
      <c r="C965" s="96"/>
      <c r="D965" s="97"/>
      <c r="J965" s="98"/>
      <c r="K965" s="98"/>
      <c r="L965" s="99"/>
      <c r="M965" s="96"/>
    </row>
    <row r="966">
      <c r="C966" s="96"/>
      <c r="D966" s="97"/>
      <c r="J966" s="98"/>
      <c r="K966" s="98"/>
      <c r="L966" s="99"/>
      <c r="M966" s="96"/>
    </row>
    <row r="967">
      <c r="C967" s="96"/>
      <c r="D967" s="97"/>
      <c r="J967" s="98"/>
      <c r="K967" s="98"/>
      <c r="L967" s="99"/>
      <c r="M967" s="96"/>
    </row>
    <row r="968">
      <c r="C968" s="96"/>
      <c r="D968" s="97"/>
      <c r="J968" s="98"/>
      <c r="K968" s="98"/>
      <c r="L968" s="99"/>
      <c r="M968" s="96"/>
    </row>
    <row r="969">
      <c r="C969" s="96"/>
      <c r="D969" s="97"/>
      <c r="J969" s="98"/>
      <c r="K969" s="98"/>
      <c r="L969" s="99"/>
      <c r="M969" s="96"/>
    </row>
    <row r="970">
      <c r="C970" s="96"/>
      <c r="D970" s="97"/>
      <c r="J970" s="98"/>
      <c r="K970" s="98"/>
      <c r="L970" s="99"/>
      <c r="M970" s="96"/>
    </row>
    <row r="971">
      <c r="C971" s="96"/>
      <c r="D971" s="97"/>
      <c r="J971" s="98"/>
      <c r="K971" s="98"/>
      <c r="L971" s="99"/>
      <c r="M971" s="96"/>
    </row>
    <row r="972">
      <c r="C972" s="96"/>
      <c r="D972" s="97"/>
      <c r="J972" s="98"/>
      <c r="K972" s="98"/>
      <c r="L972" s="99"/>
      <c r="M972" s="96"/>
    </row>
    <row r="973">
      <c r="C973" s="96"/>
      <c r="D973" s="97"/>
      <c r="J973" s="98"/>
      <c r="K973" s="98"/>
      <c r="L973" s="99"/>
      <c r="M973" s="96"/>
    </row>
    <row r="974">
      <c r="C974" s="96"/>
      <c r="D974" s="97"/>
      <c r="J974" s="98"/>
      <c r="K974" s="98"/>
      <c r="L974" s="99"/>
      <c r="M974" s="96"/>
    </row>
    <row r="975">
      <c r="C975" s="96"/>
      <c r="D975" s="97"/>
      <c r="J975" s="98"/>
      <c r="K975" s="98"/>
      <c r="L975" s="99"/>
      <c r="M975" s="96"/>
    </row>
    <row r="976">
      <c r="C976" s="96"/>
      <c r="D976" s="97"/>
      <c r="J976" s="98"/>
      <c r="K976" s="98"/>
      <c r="L976" s="99"/>
      <c r="M976" s="96"/>
    </row>
    <row r="977">
      <c r="C977" s="96"/>
      <c r="D977" s="97"/>
      <c r="J977" s="98"/>
      <c r="K977" s="98"/>
      <c r="L977" s="99"/>
      <c r="M977" s="96"/>
    </row>
    <row r="978">
      <c r="C978" s="96"/>
      <c r="D978" s="97"/>
      <c r="J978" s="98"/>
      <c r="K978" s="98"/>
      <c r="L978" s="99"/>
      <c r="M978" s="96"/>
    </row>
    <row r="979">
      <c r="C979" s="96"/>
      <c r="D979" s="97"/>
      <c r="J979" s="98"/>
      <c r="K979" s="98"/>
      <c r="L979" s="99"/>
      <c r="M979" s="96"/>
    </row>
    <row r="980">
      <c r="C980" s="96"/>
      <c r="D980" s="97"/>
      <c r="J980" s="98"/>
      <c r="K980" s="98"/>
      <c r="L980" s="99"/>
      <c r="M980" s="96"/>
    </row>
    <row r="981">
      <c r="C981" s="96"/>
      <c r="D981" s="97"/>
      <c r="J981" s="98"/>
      <c r="K981" s="98"/>
      <c r="L981" s="99"/>
      <c r="M981" s="96"/>
    </row>
    <row r="982">
      <c r="C982" s="96"/>
      <c r="D982" s="97"/>
      <c r="J982" s="98"/>
      <c r="K982" s="98"/>
      <c r="L982" s="99"/>
      <c r="M982" s="96"/>
    </row>
    <row r="983">
      <c r="C983" s="96"/>
      <c r="D983" s="97"/>
      <c r="J983" s="98"/>
      <c r="K983" s="98"/>
      <c r="L983" s="99"/>
      <c r="M983" s="96"/>
    </row>
    <row r="984">
      <c r="C984" s="96"/>
      <c r="D984" s="97"/>
      <c r="J984" s="98"/>
      <c r="K984" s="98"/>
      <c r="L984" s="99"/>
      <c r="M984" s="96"/>
    </row>
    <row r="985">
      <c r="C985" s="96"/>
      <c r="D985" s="97"/>
      <c r="J985" s="98"/>
      <c r="K985" s="98"/>
      <c r="L985" s="99"/>
      <c r="M985" s="96"/>
    </row>
    <row r="986">
      <c r="C986" s="96"/>
      <c r="D986" s="97"/>
      <c r="J986" s="98"/>
      <c r="K986" s="98"/>
      <c r="L986" s="99"/>
      <c r="M986" s="96"/>
    </row>
    <row r="987">
      <c r="C987" s="96"/>
      <c r="D987" s="97"/>
      <c r="J987" s="98"/>
      <c r="K987" s="98"/>
      <c r="L987" s="99"/>
      <c r="M987" s="96"/>
    </row>
    <row r="988">
      <c r="C988" s="96"/>
      <c r="D988" s="97"/>
      <c r="J988" s="98"/>
      <c r="K988" s="98"/>
      <c r="L988" s="99"/>
      <c r="M988" s="96"/>
    </row>
    <row r="989">
      <c r="C989" s="96"/>
      <c r="D989" s="97"/>
      <c r="J989" s="98"/>
      <c r="K989" s="98"/>
      <c r="L989" s="99"/>
      <c r="M989" s="96"/>
    </row>
    <row r="990">
      <c r="C990" s="96"/>
      <c r="D990" s="97"/>
      <c r="J990" s="98"/>
      <c r="K990" s="98"/>
      <c r="L990" s="99"/>
      <c r="M990" s="96"/>
    </row>
    <row r="991">
      <c r="C991" s="96"/>
      <c r="D991" s="97"/>
      <c r="J991" s="98"/>
      <c r="K991" s="98"/>
      <c r="L991" s="99"/>
      <c r="M991" s="96"/>
    </row>
    <row r="992">
      <c r="C992" s="96"/>
      <c r="D992" s="97"/>
      <c r="J992" s="98"/>
      <c r="K992" s="98"/>
      <c r="L992" s="99"/>
      <c r="M992" s="96"/>
    </row>
    <row r="993">
      <c r="C993" s="96"/>
      <c r="D993" s="97"/>
      <c r="J993" s="98"/>
      <c r="K993" s="98"/>
      <c r="L993" s="99"/>
      <c r="M993" s="96"/>
    </row>
    <row r="994">
      <c r="C994" s="96"/>
      <c r="D994" s="97"/>
      <c r="J994" s="98"/>
      <c r="K994" s="98"/>
      <c r="L994" s="99"/>
      <c r="M994" s="96"/>
    </row>
    <row r="995">
      <c r="C995" s="96"/>
      <c r="D995" s="97"/>
      <c r="J995" s="98"/>
      <c r="K995" s="98"/>
      <c r="L995" s="99"/>
      <c r="M995" s="96"/>
    </row>
    <row r="996">
      <c r="C996" s="96"/>
      <c r="D996" s="97"/>
      <c r="J996" s="98"/>
      <c r="K996" s="98"/>
      <c r="L996" s="99"/>
      <c r="M996" s="96"/>
    </row>
    <row r="997">
      <c r="C997" s="96"/>
      <c r="D997" s="97"/>
      <c r="J997" s="98"/>
      <c r="K997" s="98"/>
      <c r="L997" s="99"/>
      <c r="M997" s="96"/>
    </row>
    <row r="998">
      <c r="C998" s="96"/>
      <c r="D998" s="97"/>
      <c r="J998" s="98"/>
      <c r="K998" s="98"/>
      <c r="L998" s="99"/>
      <c r="M998" s="96"/>
    </row>
    <row r="999">
      <c r="C999" s="96"/>
      <c r="D999" s="97"/>
      <c r="J999" s="98"/>
      <c r="K999" s="98"/>
      <c r="L999" s="99"/>
      <c r="M999" s="96"/>
    </row>
    <row r="1000">
      <c r="C1000" s="96"/>
      <c r="D1000" s="97"/>
      <c r="J1000" s="98"/>
      <c r="K1000" s="98"/>
      <c r="L1000" s="99"/>
      <c r="M1000" s="9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0" customHeight="1">
      <c r="A1" s="41" t="s">
        <v>32</v>
      </c>
      <c r="B1" s="41" t="s">
        <v>33</v>
      </c>
      <c r="C1" s="100" t="s">
        <v>394</v>
      </c>
      <c r="D1" s="100" t="s">
        <v>395</v>
      </c>
    </row>
    <row r="2">
      <c r="A2" s="50">
        <v>90101.0</v>
      </c>
      <c r="B2" s="50" t="s">
        <v>375</v>
      </c>
      <c r="C2" s="53">
        <v>9.502594354417182</v>
      </c>
      <c r="D2" s="53">
        <v>7.5256181562943585</v>
      </c>
    </row>
    <row r="3">
      <c r="A3" s="50">
        <v>70101.0</v>
      </c>
      <c r="B3" s="50" t="s">
        <v>305</v>
      </c>
      <c r="C3" s="53">
        <v>9.689676957869104</v>
      </c>
      <c r="D3" s="53">
        <v>9.323190820996597</v>
      </c>
    </row>
    <row r="4">
      <c r="A4" s="50">
        <v>71402.0</v>
      </c>
      <c r="B4" s="50" t="s">
        <v>355</v>
      </c>
      <c r="C4" s="53">
        <v>9.808606886002899</v>
      </c>
      <c r="D4" s="53">
        <v>9.409538870792295</v>
      </c>
    </row>
    <row r="5">
      <c r="A5" s="50">
        <v>71001.0</v>
      </c>
      <c r="B5" s="50" t="s">
        <v>341</v>
      </c>
      <c r="C5" s="53">
        <v>9.820499878816282</v>
      </c>
      <c r="D5" s="53">
        <v>9.327987934874136</v>
      </c>
    </row>
    <row r="6">
      <c r="A6" s="50">
        <v>70706.0</v>
      </c>
      <c r="B6" s="50" t="s">
        <v>330</v>
      </c>
      <c r="C6" s="53">
        <v>11.283337994861974</v>
      </c>
      <c r="D6" s="53">
        <v>10.225048229973885</v>
      </c>
    </row>
    <row r="7">
      <c r="A7" s="50">
        <v>71103.0</v>
      </c>
      <c r="B7" s="50" t="s">
        <v>347</v>
      </c>
      <c r="C7" s="53">
        <v>11.35469595174225</v>
      </c>
      <c r="D7" s="53">
        <v>9.96600408058679</v>
      </c>
    </row>
    <row r="8">
      <c r="A8" s="50">
        <v>71401.0</v>
      </c>
      <c r="B8" s="50" t="s">
        <v>354</v>
      </c>
      <c r="C8" s="53">
        <v>11.925559606784471</v>
      </c>
      <c r="D8" s="53">
        <v>10.771919212013305</v>
      </c>
    </row>
    <row r="9">
      <c r="A9" s="50">
        <v>60101.0</v>
      </c>
      <c r="B9" s="50" t="s">
        <v>61</v>
      </c>
      <c r="C9" s="53">
        <v>11.92903557623294</v>
      </c>
      <c r="D9" s="53">
        <v>8.247602120160582</v>
      </c>
    </row>
    <row r="10">
      <c r="A10" s="50">
        <v>70104.0</v>
      </c>
      <c r="B10" s="50" t="s">
        <v>308</v>
      </c>
      <c r="C10" s="53">
        <v>11.96123858522461</v>
      </c>
      <c r="D10" s="53">
        <v>9.57743785650615</v>
      </c>
    </row>
    <row r="11">
      <c r="A11" s="50">
        <v>70603.0</v>
      </c>
      <c r="B11" s="50" t="s">
        <v>324</v>
      </c>
      <c r="C11" s="53">
        <v>12.28234939118586</v>
      </c>
      <c r="D11" s="53">
        <v>10.133903066300647</v>
      </c>
    </row>
    <row r="12">
      <c r="A12" s="50">
        <v>71502.0</v>
      </c>
      <c r="B12" s="50" t="s">
        <v>358</v>
      </c>
      <c r="C12" s="53">
        <v>12.341814355252758</v>
      </c>
      <c r="D12" s="53">
        <v>10.05714924426003</v>
      </c>
    </row>
    <row r="13">
      <c r="A13" s="50">
        <v>70601.0</v>
      </c>
      <c r="B13" s="50" t="s">
        <v>322</v>
      </c>
      <c r="C13" s="53">
        <v>12.496423261826692</v>
      </c>
      <c r="D13" s="53">
        <v>10.273019368749273</v>
      </c>
    </row>
    <row r="14">
      <c r="A14" s="50">
        <v>60202.0</v>
      </c>
      <c r="B14" s="50" t="s">
        <v>297</v>
      </c>
      <c r="C14" s="53">
        <v>12.547562104384577</v>
      </c>
      <c r="D14" s="53">
        <v>8.304300587964288</v>
      </c>
    </row>
    <row r="15">
      <c r="A15" s="50">
        <v>71003.0</v>
      </c>
      <c r="B15" s="50" t="s">
        <v>343</v>
      </c>
      <c r="C15" s="53">
        <v>12.591567204333732</v>
      </c>
      <c r="D15" s="53">
        <v>10.225048229973885</v>
      </c>
    </row>
    <row r="16">
      <c r="A16" s="50">
        <v>71501.0</v>
      </c>
      <c r="B16" s="50" t="s">
        <v>357</v>
      </c>
      <c r="C16" s="53">
        <v>12.734283118094288</v>
      </c>
      <c r="D16" s="53">
        <v>10.78631055364592</v>
      </c>
    </row>
    <row r="17">
      <c r="A17" s="50">
        <v>70201.0</v>
      </c>
      <c r="B17" s="50" t="s">
        <v>310</v>
      </c>
      <c r="C17" s="53">
        <v>13.16243085937595</v>
      </c>
      <c r="D17" s="53">
        <v>9.831684892015707</v>
      </c>
    </row>
    <row r="18">
      <c r="A18" s="50">
        <v>70707.0</v>
      </c>
      <c r="B18" s="50" t="s">
        <v>331</v>
      </c>
      <c r="C18" s="53">
        <v>13.269467794696368</v>
      </c>
      <c r="D18" s="53">
        <v>10.78631055364592</v>
      </c>
    </row>
    <row r="19">
      <c r="A19" s="50">
        <v>70503.0</v>
      </c>
      <c r="B19" s="50" t="s">
        <v>321</v>
      </c>
      <c r="C19" s="53">
        <v>13.507327650963962</v>
      </c>
      <c r="D19" s="53">
        <v>11.011774905890242</v>
      </c>
    </row>
    <row r="20">
      <c r="A20" s="50">
        <v>60303.0</v>
      </c>
      <c r="B20" s="50" t="s">
        <v>300</v>
      </c>
      <c r="C20" s="53">
        <v>13.849045007370314</v>
      </c>
      <c r="D20" s="53">
        <v>8.964432748821729</v>
      </c>
    </row>
    <row r="21">
      <c r="A21" s="50">
        <v>60301.0</v>
      </c>
      <c r="B21" s="50" t="s">
        <v>298</v>
      </c>
      <c r="C21" s="53">
        <v>13.913474854052778</v>
      </c>
      <c r="D21" s="53">
        <v>8.915834062132838</v>
      </c>
    </row>
    <row r="22">
      <c r="A22" s="50">
        <v>71004.0</v>
      </c>
      <c r="B22" s="50" t="s">
        <v>344</v>
      </c>
      <c r="C22" s="53">
        <v>13.947368385059008</v>
      </c>
      <c r="D22" s="53">
        <v>10.651991365074835</v>
      </c>
    </row>
    <row r="23">
      <c r="A23" s="50">
        <v>70402.0</v>
      </c>
      <c r="B23" s="50" t="s">
        <v>316</v>
      </c>
      <c r="C23" s="53">
        <v>13.971154370685765</v>
      </c>
      <c r="D23" s="53">
        <v>10.887049945074235</v>
      </c>
    </row>
    <row r="24">
      <c r="A24" s="50">
        <v>80101.0</v>
      </c>
      <c r="B24" s="50" t="s">
        <v>359</v>
      </c>
      <c r="C24" s="53">
        <v>14.00579902193379</v>
      </c>
      <c r="D24" s="53">
        <v>13.912468907672935</v>
      </c>
    </row>
    <row r="25">
      <c r="A25" s="50">
        <v>70903.0</v>
      </c>
      <c r="B25" s="50" t="s">
        <v>339</v>
      </c>
      <c r="C25" s="53">
        <v>14.256586198206875</v>
      </c>
      <c r="D25" s="53">
        <v>11.155688322216406</v>
      </c>
    </row>
    <row r="26">
      <c r="A26" s="50">
        <v>70105.0</v>
      </c>
      <c r="B26" s="50" t="s">
        <v>309</v>
      </c>
      <c r="C26" s="53">
        <v>14.44687408322095</v>
      </c>
      <c r="D26" s="53">
        <v>10.675976934462527</v>
      </c>
    </row>
    <row r="27">
      <c r="A27" s="50">
        <v>70403.0</v>
      </c>
      <c r="B27" s="50" t="s">
        <v>317</v>
      </c>
      <c r="C27" s="53">
        <v>14.47066006884771</v>
      </c>
      <c r="D27" s="53">
        <v>11.09812295568594</v>
      </c>
    </row>
    <row r="28">
      <c r="A28" s="50">
        <v>70102.0</v>
      </c>
      <c r="B28" s="50" t="s">
        <v>306</v>
      </c>
      <c r="C28" s="53">
        <v>14.696626932301921</v>
      </c>
      <c r="D28" s="53">
        <v>10.119511724668033</v>
      </c>
    </row>
    <row r="29">
      <c r="A29" s="50">
        <v>70801.0</v>
      </c>
      <c r="B29" s="50" t="s">
        <v>332</v>
      </c>
      <c r="C29" s="53">
        <v>14.982058759823033</v>
      </c>
      <c r="D29" s="53">
        <v>11.107717183441016</v>
      </c>
    </row>
    <row r="30">
      <c r="A30" s="50">
        <v>80201.0</v>
      </c>
      <c r="B30" s="50" t="s">
        <v>360</v>
      </c>
      <c r="C30" s="53">
        <v>15.28540929710685</v>
      </c>
      <c r="D30" s="53">
        <v>14.3543572571478</v>
      </c>
    </row>
    <row r="31">
      <c r="A31" s="50">
        <v>71302.0</v>
      </c>
      <c r="B31" s="50" t="s">
        <v>353</v>
      </c>
      <c r="C31" s="53">
        <v>15.338848544224419</v>
      </c>
      <c r="D31" s="53">
        <v>11.194065233236715</v>
      </c>
    </row>
    <row r="32">
      <c r="A32" s="50">
        <v>71102.0</v>
      </c>
      <c r="B32" s="50" t="s">
        <v>346</v>
      </c>
      <c r="C32" s="53">
        <v>15.374527522664557</v>
      </c>
      <c r="D32" s="53">
        <v>11.534660318541968</v>
      </c>
    </row>
    <row r="33">
      <c r="A33" s="50">
        <v>70404.0</v>
      </c>
      <c r="B33" s="50" t="s">
        <v>318</v>
      </c>
      <c r="C33" s="53">
        <v>15.457778472358214</v>
      </c>
      <c r="D33" s="53">
        <v>11.227645030379486</v>
      </c>
    </row>
    <row r="34">
      <c r="A34" s="50">
        <v>71403.0</v>
      </c>
      <c r="B34" s="50" t="s">
        <v>356</v>
      </c>
      <c r="C34" s="53">
        <v>15.624280371745533</v>
      </c>
      <c r="D34" s="53">
        <v>12.019168820173382</v>
      </c>
    </row>
    <row r="35">
      <c r="A35" s="50">
        <v>70303.0</v>
      </c>
      <c r="B35" s="50" t="s">
        <v>314</v>
      </c>
      <c r="C35" s="53">
        <v>15.766996285506087</v>
      </c>
      <c r="D35" s="53">
        <v>12.479691752417104</v>
      </c>
    </row>
    <row r="36">
      <c r="A36" s="50">
        <v>80202.0</v>
      </c>
      <c r="B36" s="50" t="s">
        <v>361</v>
      </c>
      <c r="C36" s="53">
        <v>15.777567095250339</v>
      </c>
      <c r="D36" s="53">
        <v>14.634921288560411</v>
      </c>
    </row>
    <row r="37">
      <c r="A37" s="50">
        <v>70501.0</v>
      </c>
      <c r="B37" s="50" t="s">
        <v>319</v>
      </c>
      <c r="C37" s="53">
        <v>15.778889278319468</v>
      </c>
      <c r="D37" s="53">
        <v>12.51327154955988</v>
      </c>
    </row>
    <row r="38">
      <c r="A38" s="50">
        <v>71101.0</v>
      </c>
      <c r="B38" s="50" t="s">
        <v>345</v>
      </c>
      <c r="C38" s="53">
        <v>15.802675263946226</v>
      </c>
      <c r="D38" s="53">
        <v>11.702559304255823</v>
      </c>
    </row>
    <row r="39">
      <c r="A39" s="50">
        <v>70202.0</v>
      </c>
      <c r="B39" s="50" t="s">
        <v>311</v>
      </c>
      <c r="C39" s="53">
        <v>16.052428113027197</v>
      </c>
      <c r="D39" s="53">
        <v>11.745733329153675</v>
      </c>
    </row>
    <row r="40">
      <c r="A40" s="50">
        <v>70301.0</v>
      </c>
      <c r="B40" s="50" t="s">
        <v>312</v>
      </c>
      <c r="C40" s="53">
        <v>16.088107091467336</v>
      </c>
      <c r="D40" s="53">
        <v>11.817690037316757</v>
      </c>
    </row>
    <row r="41">
      <c r="A41" s="50">
        <v>90102.0</v>
      </c>
      <c r="B41" s="50" t="s">
        <v>376</v>
      </c>
      <c r="C41" s="53">
        <v>16.0943992485527</v>
      </c>
      <c r="D41" s="53">
        <v>8.308542146165125</v>
      </c>
    </row>
    <row r="42">
      <c r="A42" s="50">
        <v>71201.0</v>
      </c>
      <c r="B42" s="50" t="s">
        <v>351</v>
      </c>
      <c r="C42" s="53">
        <v>16.361645926175072</v>
      </c>
      <c r="D42" s="53">
        <v>11.649791051602898</v>
      </c>
    </row>
    <row r="43">
      <c r="A43" s="50">
        <v>70302.0</v>
      </c>
      <c r="B43" s="50" t="s">
        <v>313</v>
      </c>
      <c r="C43" s="53">
        <v>16.647077753696177</v>
      </c>
      <c r="D43" s="53">
        <v>12.393343702621408</v>
      </c>
    </row>
    <row r="44">
      <c r="A44" s="50">
        <v>71005.0</v>
      </c>
      <c r="B44" s="50" t="s">
        <v>270</v>
      </c>
      <c r="C44" s="53">
        <v>16.84925863152363</v>
      </c>
      <c r="D44" s="53">
        <v>11.381152674460727</v>
      </c>
    </row>
    <row r="45">
      <c r="A45" s="50">
        <v>90201.0</v>
      </c>
      <c r="B45" s="50" t="s">
        <v>379</v>
      </c>
      <c r="C45" s="53">
        <v>16.89206303406154</v>
      </c>
      <c r="D45" s="53">
        <v>9.396997449156189</v>
      </c>
    </row>
    <row r="46">
      <c r="A46" s="50">
        <v>70901.0</v>
      </c>
      <c r="B46" s="50" t="s">
        <v>337</v>
      </c>
      <c r="C46" s="53">
        <v>16.980081552470807</v>
      </c>
      <c r="D46" s="53">
        <v>11.947212112010302</v>
      </c>
    </row>
    <row r="47">
      <c r="A47" s="50">
        <v>70902.0</v>
      </c>
      <c r="B47" s="50" t="s">
        <v>338</v>
      </c>
      <c r="C47" s="53">
        <v>17.087118487791223</v>
      </c>
      <c r="D47" s="53">
        <v>12.148690894866933</v>
      </c>
    </row>
    <row r="48">
      <c r="A48" s="50">
        <v>71104.0</v>
      </c>
      <c r="B48" s="50" t="s">
        <v>348</v>
      </c>
      <c r="C48" s="53">
        <v>17.61041017157993</v>
      </c>
      <c r="D48" s="53">
        <v>11.611414140582587</v>
      </c>
    </row>
    <row r="49">
      <c r="A49" s="50">
        <v>71106.0</v>
      </c>
      <c r="B49" s="50" t="s">
        <v>350</v>
      </c>
      <c r="C49" s="53">
        <v>17.61041017157993</v>
      </c>
      <c r="D49" s="53">
        <v>12.086328414458926</v>
      </c>
    </row>
    <row r="50">
      <c r="A50" s="50">
        <v>70401.0</v>
      </c>
      <c r="B50" s="50" t="s">
        <v>315</v>
      </c>
      <c r="C50" s="53">
        <v>17.622303164393305</v>
      </c>
      <c r="D50" s="53">
        <v>12.167879350377083</v>
      </c>
    </row>
    <row r="51">
      <c r="A51" s="50">
        <v>71002.0</v>
      </c>
      <c r="B51" s="50" t="s">
        <v>342</v>
      </c>
      <c r="C51" s="53">
        <v>17.693661121273582</v>
      </c>
      <c r="D51" s="53">
        <v>11.860864062214606</v>
      </c>
    </row>
    <row r="52">
      <c r="A52" s="50">
        <v>71301.0</v>
      </c>
      <c r="B52" s="50" t="s">
        <v>352</v>
      </c>
      <c r="C52" s="53">
        <v>17.717447106900345</v>
      </c>
      <c r="D52" s="53">
        <v>12.335778336090941</v>
      </c>
    </row>
    <row r="53">
      <c r="A53" s="50">
        <v>70704.0</v>
      </c>
      <c r="B53" s="50" t="s">
        <v>328</v>
      </c>
      <c r="C53" s="53">
        <v>17.741233092527104</v>
      </c>
      <c r="D53" s="53">
        <v>11.472297838133963</v>
      </c>
    </row>
    <row r="54">
      <c r="A54" s="50">
        <v>90303.0</v>
      </c>
      <c r="B54" s="50" t="s">
        <v>382</v>
      </c>
      <c r="C54" s="53">
        <v>17.778356129071355</v>
      </c>
      <c r="D54" s="53">
        <v>9.622326792582408</v>
      </c>
    </row>
    <row r="55">
      <c r="A55" s="50">
        <v>70602.0</v>
      </c>
      <c r="B55" s="50" t="s">
        <v>323</v>
      </c>
      <c r="C55" s="53">
        <v>18.20505981224891</v>
      </c>
      <c r="D55" s="53">
        <v>12.844272407110049</v>
      </c>
    </row>
    <row r="56">
      <c r="A56" s="50">
        <v>80702.0</v>
      </c>
      <c r="B56" s="50" t="s">
        <v>347</v>
      </c>
      <c r="C56" s="53">
        <v>18.271166605844</v>
      </c>
      <c r="D56" s="53">
        <v>15.694050507143027</v>
      </c>
    </row>
    <row r="57">
      <c r="A57" s="50">
        <v>80801.0</v>
      </c>
      <c r="B57" s="50" t="s">
        <v>371</v>
      </c>
      <c r="C57" s="53">
        <v>18.35319290553458</v>
      </c>
      <c r="D57" s="53">
        <v>15.238133956097531</v>
      </c>
    </row>
    <row r="58">
      <c r="A58" s="50">
        <v>70502.0</v>
      </c>
      <c r="B58" s="50" t="s">
        <v>320</v>
      </c>
      <c r="C58" s="53">
        <v>18.407240690076364</v>
      </c>
      <c r="D58" s="53">
        <v>12.609213827110654</v>
      </c>
    </row>
    <row r="59">
      <c r="A59" s="50">
        <v>80304.0</v>
      </c>
      <c r="B59" s="50" t="s">
        <v>364</v>
      </c>
      <c r="C59" s="53">
        <v>18.58286654466821</v>
      </c>
      <c r="D59" s="53">
        <v>15.883431228346538</v>
      </c>
    </row>
    <row r="60">
      <c r="A60" s="50">
        <v>80401.0</v>
      </c>
      <c r="B60" s="50" t="s">
        <v>365</v>
      </c>
      <c r="C60" s="53">
        <v>18.599271804606325</v>
      </c>
      <c r="D60" s="53">
        <v>15.553768491436719</v>
      </c>
    </row>
    <row r="61">
      <c r="A61" s="50">
        <v>80701.0</v>
      </c>
      <c r="B61" s="50" t="s">
        <v>369</v>
      </c>
      <c r="C61" s="53">
        <v>18.861755963616183</v>
      </c>
      <c r="D61" s="53">
        <v>15.687036406357713</v>
      </c>
    </row>
    <row r="62">
      <c r="A62" s="50">
        <v>71503.0</v>
      </c>
      <c r="B62" s="50" t="s">
        <v>304</v>
      </c>
      <c r="C62" s="53">
        <v>19.10892726606576</v>
      </c>
      <c r="D62" s="53">
        <v>13.242432858945772</v>
      </c>
    </row>
    <row r="63">
      <c r="A63" s="50">
        <v>70103.0</v>
      </c>
      <c r="B63" s="50" t="s">
        <v>307</v>
      </c>
      <c r="C63" s="53">
        <v>19.44193106484039</v>
      </c>
      <c r="D63" s="53">
        <v>11.827284265071832</v>
      </c>
    </row>
    <row r="64">
      <c r="A64" s="50">
        <v>70703.0</v>
      </c>
      <c r="B64" s="50" t="s">
        <v>327</v>
      </c>
      <c r="C64" s="53">
        <v>19.67979092110798</v>
      </c>
      <c r="D64" s="53">
        <v>12.829881065477437</v>
      </c>
    </row>
    <row r="65">
      <c r="A65" s="50">
        <v>90103.0</v>
      </c>
      <c r="B65" s="50" t="s">
        <v>377</v>
      </c>
      <c r="C65" s="53">
        <v>19.983010202908282</v>
      </c>
      <c r="D65" s="53">
        <v>11.218727903635969</v>
      </c>
    </row>
    <row r="66">
      <c r="A66" s="50">
        <v>90104.0</v>
      </c>
      <c r="B66" s="50" t="s">
        <v>378</v>
      </c>
      <c r="C66" s="53">
        <v>19.983010202908282</v>
      </c>
      <c r="D66" s="53">
        <v>11.218727903635969</v>
      </c>
    </row>
    <row r="67">
      <c r="A67" s="50">
        <v>90202.0</v>
      </c>
      <c r="B67" s="50" t="s">
        <v>270</v>
      </c>
      <c r="C67" s="53">
        <v>19.983010202908282</v>
      </c>
      <c r="D67" s="53">
        <v>11.218727903635969</v>
      </c>
    </row>
    <row r="68">
      <c r="A68" s="50">
        <v>90203.0</v>
      </c>
      <c r="B68" s="50" t="s">
        <v>380</v>
      </c>
      <c r="C68" s="53">
        <v>19.983010202908282</v>
      </c>
      <c r="D68" s="53">
        <v>11.218727903635969</v>
      </c>
    </row>
    <row r="69">
      <c r="A69" s="50">
        <v>90301.0</v>
      </c>
      <c r="B69" s="50" t="s">
        <v>381</v>
      </c>
      <c r="C69" s="53">
        <v>19.983010202908282</v>
      </c>
      <c r="D69" s="53">
        <v>10.649675832949413</v>
      </c>
    </row>
    <row r="70">
      <c r="A70" s="50">
        <v>90302.0</v>
      </c>
      <c r="B70" s="50" t="s">
        <v>303</v>
      </c>
      <c r="C70" s="53">
        <v>19.983010202908282</v>
      </c>
      <c r="D70" s="53">
        <v>11.218727903635969</v>
      </c>
    </row>
    <row r="71">
      <c r="A71" s="50">
        <v>90401.0</v>
      </c>
      <c r="B71" s="50" t="s">
        <v>323</v>
      </c>
      <c r="C71" s="53">
        <v>19.983010202908282</v>
      </c>
      <c r="D71" s="53">
        <v>11.218727903635969</v>
      </c>
    </row>
    <row r="72">
      <c r="A72" s="50">
        <v>90402.0</v>
      </c>
      <c r="B72" s="50" t="s">
        <v>383</v>
      </c>
      <c r="C72" s="53">
        <v>19.983010202908282</v>
      </c>
      <c r="D72" s="53">
        <v>11.218727903635969</v>
      </c>
    </row>
    <row r="73">
      <c r="A73" s="50">
        <v>90501.0</v>
      </c>
      <c r="B73" s="50" t="s">
        <v>384</v>
      </c>
      <c r="C73" s="53">
        <v>19.983010202908282</v>
      </c>
      <c r="D73" s="53">
        <v>11.218727903635969</v>
      </c>
    </row>
    <row r="74">
      <c r="A74" s="50">
        <v>90502.0</v>
      </c>
      <c r="B74" s="50" t="s">
        <v>385</v>
      </c>
      <c r="C74" s="53">
        <v>19.983010202908282</v>
      </c>
      <c r="D74" s="53">
        <v>11.218727903635969</v>
      </c>
    </row>
    <row r="75">
      <c r="A75" s="50">
        <v>90503.0</v>
      </c>
      <c r="B75" s="50" t="s">
        <v>386</v>
      </c>
      <c r="C75" s="53">
        <v>19.983010202908282</v>
      </c>
      <c r="D75" s="53">
        <v>11.218727903635969</v>
      </c>
    </row>
    <row r="76">
      <c r="A76" s="50">
        <v>70702.0</v>
      </c>
      <c r="B76" s="50" t="s">
        <v>326</v>
      </c>
      <c r="C76" s="53">
        <v>20.143617640829785</v>
      </c>
      <c r="D76" s="53">
        <v>13.400737616904548</v>
      </c>
    </row>
    <row r="77">
      <c r="A77" s="50">
        <v>80302.0</v>
      </c>
      <c r="B77" s="50" t="s">
        <v>363</v>
      </c>
      <c r="C77" s="53">
        <v>20.567902997180273</v>
      </c>
      <c r="D77" s="53">
        <v>17.138955268917982</v>
      </c>
    </row>
    <row r="78">
      <c r="A78" s="50">
        <v>80301.0</v>
      </c>
      <c r="B78" s="50" t="s">
        <v>362</v>
      </c>
      <c r="C78" s="53">
        <v>20.584308257118387</v>
      </c>
      <c r="D78" s="53">
        <v>16.514700299024916</v>
      </c>
    </row>
    <row r="79">
      <c r="A79" s="50">
        <v>20105.0</v>
      </c>
      <c r="B79" s="50" t="s">
        <v>92</v>
      </c>
      <c r="C79" s="53">
        <v>21.09473177082418</v>
      </c>
      <c r="D79" s="53">
        <v>14.165211772915441</v>
      </c>
    </row>
    <row r="80">
      <c r="A80" s="50">
        <v>60601.0</v>
      </c>
      <c r="B80" s="50" t="s">
        <v>209</v>
      </c>
      <c r="C80" s="53">
        <v>21.142503651825052</v>
      </c>
      <c r="D80" s="53">
        <v>11.082525510345903</v>
      </c>
    </row>
    <row r="81">
      <c r="A81" s="50">
        <v>30101.0</v>
      </c>
      <c r="B81" s="50" t="s">
        <v>55</v>
      </c>
      <c r="C81" s="53">
        <v>21.2004626291286</v>
      </c>
      <c r="D81" s="53">
        <v>10.955909491112356</v>
      </c>
    </row>
    <row r="82">
      <c r="A82" s="50">
        <v>20101.0</v>
      </c>
      <c r="B82" s="50" t="s">
        <v>88</v>
      </c>
      <c r="C82" s="53">
        <v>21.22547262759589</v>
      </c>
      <c r="D82" s="53">
        <v>14.230977522699416</v>
      </c>
    </row>
    <row r="83">
      <c r="A83" s="50">
        <v>30905.0</v>
      </c>
      <c r="B83" s="50" t="s">
        <v>199</v>
      </c>
      <c r="C83" s="53">
        <v>21.279594588476858</v>
      </c>
      <c r="D83" s="53">
        <v>10.955909491112356</v>
      </c>
    </row>
    <row r="84">
      <c r="A84" s="50">
        <v>60302.0</v>
      </c>
      <c r="B84" s="50" t="s">
        <v>299</v>
      </c>
      <c r="C84" s="53">
        <v>21.348679161208928</v>
      </c>
      <c r="D84" s="53">
        <v>10.859781529688487</v>
      </c>
    </row>
    <row r="85">
      <c r="A85" s="50">
        <v>80501.0</v>
      </c>
      <c r="B85" s="50" t="s">
        <v>312</v>
      </c>
      <c r="C85" s="53">
        <v>21.38816599408608</v>
      </c>
      <c r="D85" s="53">
        <v>17.223124478341763</v>
      </c>
    </row>
    <row r="86">
      <c r="A86" s="50">
        <v>70701.0</v>
      </c>
      <c r="B86" s="50" t="s">
        <v>325</v>
      </c>
      <c r="C86" s="53">
        <v>21.451846850301543</v>
      </c>
      <c r="D86" s="53">
        <v>14.091522015270131</v>
      </c>
    </row>
    <row r="87">
      <c r="A87" s="50">
        <v>70705.0</v>
      </c>
      <c r="B87" s="50" t="s">
        <v>329</v>
      </c>
      <c r="C87" s="53">
        <v>21.451846850301543</v>
      </c>
      <c r="D87" s="53">
        <v>14.091522015270131</v>
      </c>
    </row>
    <row r="88">
      <c r="A88" s="50">
        <v>70802.0</v>
      </c>
      <c r="B88" s="50" t="s">
        <v>333</v>
      </c>
      <c r="C88" s="53">
        <v>21.451846850301543</v>
      </c>
      <c r="D88" s="53">
        <v>14.091522015270131</v>
      </c>
    </row>
    <row r="89">
      <c r="A89" s="50">
        <v>70803.0</v>
      </c>
      <c r="B89" s="50" t="s">
        <v>334</v>
      </c>
      <c r="C89" s="53">
        <v>21.451846850301543</v>
      </c>
      <c r="D89" s="53">
        <v>14.091522015270131</v>
      </c>
    </row>
    <row r="90">
      <c r="A90" s="50">
        <v>70804.0</v>
      </c>
      <c r="B90" s="50" t="s">
        <v>335</v>
      </c>
      <c r="C90" s="53">
        <v>21.451846850301543</v>
      </c>
      <c r="D90" s="53">
        <v>14.091522015270131</v>
      </c>
    </row>
    <row r="91">
      <c r="A91" s="50">
        <v>70805.0</v>
      </c>
      <c r="B91" s="50" t="s">
        <v>336</v>
      </c>
      <c r="C91" s="53">
        <v>21.451846850301543</v>
      </c>
      <c r="D91" s="53">
        <v>14.091522015270131</v>
      </c>
    </row>
    <row r="92">
      <c r="A92" s="50">
        <v>70904.0</v>
      </c>
      <c r="B92" s="50" t="s">
        <v>340</v>
      </c>
      <c r="C92" s="53">
        <v>21.451846850301543</v>
      </c>
      <c r="D92" s="53">
        <v>14.091522015270131</v>
      </c>
    </row>
    <row r="93">
      <c r="A93" s="50">
        <v>71105.0</v>
      </c>
      <c r="B93" s="50" t="s">
        <v>349</v>
      </c>
      <c r="C93" s="53">
        <v>21.451846850301543</v>
      </c>
      <c r="D93" s="53">
        <v>14.091522015270131</v>
      </c>
    </row>
    <row r="94">
      <c r="A94" s="50">
        <v>60501.0</v>
      </c>
      <c r="B94" s="50" t="s">
        <v>303</v>
      </c>
      <c r="C94" s="53">
        <v>21.464652885237363</v>
      </c>
      <c r="D94" s="53">
        <v>11.110874744247756</v>
      </c>
    </row>
    <row r="95">
      <c r="A95" s="50">
        <v>80303.0</v>
      </c>
      <c r="B95" s="50" t="s">
        <v>323</v>
      </c>
      <c r="C95" s="53">
        <v>21.716271192848406</v>
      </c>
      <c r="D95" s="53">
        <v>17.09687066420609</v>
      </c>
    </row>
    <row r="96">
      <c r="A96" s="50">
        <v>40101.0</v>
      </c>
      <c r="B96" s="50" t="s">
        <v>57</v>
      </c>
      <c r="C96" s="53">
        <v>22.792590228271965</v>
      </c>
      <c r="D96" s="53">
        <v>20.424945551288037</v>
      </c>
    </row>
    <row r="97">
      <c r="A97" s="50">
        <v>80802.0</v>
      </c>
      <c r="B97" s="50" t="s">
        <v>372</v>
      </c>
      <c r="C97" s="53">
        <v>23.127123547526395</v>
      </c>
      <c r="D97" s="53">
        <v>18.54878952676636</v>
      </c>
    </row>
    <row r="98">
      <c r="A98" s="50">
        <v>60201.0</v>
      </c>
      <c r="B98" s="50" t="s">
        <v>296</v>
      </c>
      <c r="C98" s="53">
        <v>23.242916653673323</v>
      </c>
      <c r="D98" s="53">
        <v>11.896553512384834</v>
      </c>
    </row>
    <row r="99">
      <c r="A99" s="50">
        <v>60401.0</v>
      </c>
      <c r="B99" s="50" t="s">
        <v>301</v>
      </c>
      <c r="C99" s="53">
        <v>23.242916653673323</v>
      </c>
      <c r="D99" s="53">
        <v>11.321469053232954</v>
      </c>
    </row>
    <row r="100">
      <c r="A100" s="50">
        <v>60402.0</v>
      </c>
      <c r="B100" s="50" t="s">
        <v>302</v>
      </c>
      <c r="C100" s="53">
        <v>23.242916653673323</v>
      </c>
      <c r="D100" s="53">
        <v>11.896553512384834</v>
      </c>
    </row>
    <row r="101">
      <c r="A101" s="50">
        <v>60502.0</v>
      </c>
      <c r="B101" s="50" t="s">
        <v>304</v>
      </c>
      <c r="C101" s="53">
        <v>23.242916653673323</v>
      </c>
      <c r="D101" s="53">
        <v>11.896553512384834</v>
      </c>
    </row>
    <row r="102">
      <c r="A102" s="50">
        <v>10101.0</v>
      </c>
      <c r="B102" s="50" t="s">
        <v>47</v>
      </c>
      <c r="C102" s="53">
        <v>23.860048857796976</v>
      </c>
      <c r="D102" s="53">
        <v>11.441519380470394</v>
      </c>
    </row>
    <row r="103">
      <c r="A103" s="50">
        <v>80803.0</v>
      </c>
      <c r="B103" s="50" t="s">
        <v>373</v>
      </c>
      <c r="C103" s="53">
        <v>24.373923302823233</v>
      </c>
      <c r="D103" s="53">
        <v>17.209096276771135</v>
      </c>
    </row>
    <row r="104">
      <c r="A104" s="50">
        <v>30901.0</v>
      </c>
      <c r="B104" s="50" t="s">
        <v>195</v>
      </c>
      <c r="C104" s="53">
        <v>24.392118322841714</v>
      </c>
      <c r="D104" s="53">
        <v>11.216023987417476</v>
      </c>
    </row>
    <row r="105">
      <c r="A105" s="50">
        <v>30903.0</v>
      </c>
      <c r="B105" s="50" t="s">
        <v>197</v>
      </c>
      <c r="C105" s="53">
        <v>25.39445647458633</v>
      </c>
      <c r="D105" s="53">
        <v>11.295189268901645</v>
      </c>
    </row>
    <row r="106">
      <c r="A106" s="50">
        <v>31001.0</v>
      </c>
      <c r="B106" s="50" t="s">
        <v>200</v>
      </c>
      <c r="C106" s="53">
        <v>25.39445647458633</v>
      </c>
      <c r="D106" s="53">
        <v>11.657087698543547</v>
      </c>
    </row>
    <row r="107">
      <c r="A107" s="50">
        <v>20104.0</v>
      </c>
      <c r="B107" s="50" t="s">
        <v>91</v>
      </c>
      <c r="C107" s="53">
        <v>26.742736783362133</v>
      </c>
      <c r="D107" s="53">
        <v>15.173619936269748</v>
      </c>
    </row>
    <row r="108">
      <c r="A108" s="50">
        <v>50101.0</v>
      </c>
      <c r="B108" s="50" t="s">
        <v>59</v>
      </c>
      <c r="C108" s="53">
        <v>27.1889053373439</v>
      </c>
      <c r="D108" s="53">
        <v>21.683981504065535</v>
      </c>
    </row>
    <row r="109">
      <c r="A109" s="50">
        <v>80602.0</v>
      </c>
      <c r="B109" s="50" t="s">
        <v>368</v>
      </c>
      <c r="C109" s="53">
        <v>27.638570030508358</v>
      </c>
      <c r="D109" s="53">
        <v>19.439580326501407</v>
      </c>
    </row>
    <row r="110">
      <c r="A110" s="50">
        <v>20801.0</v>
      </c>
      <c r="B110" s="50" t="s">
        <v>125</v>
      </c>
      <c r="C110" s="53">
        <v>28.23318255055965</v>
      </c>
      <c r="D110" s="53">
        <v>15.612058268162926</v>
      </c>
    </row>
    <row r="111">
      <c r="A111" s="50">
        <v>40701.0</v>
      </c>
      <c r="B111" s="50" t="s">
        <v>239</v>
      </c>
      <c r="C111" s="53">
        <v>28.2657272143655</v>
      </c>
      <c r="D111" s="53">
        <v>22.438449861118237</v>
      </c>
    </row>
    <row r="112">
      <c r="A112" s="50">
        <v>80102.0</v>
      </c>
      <c r="B112" s="50" t="s">
        <v>346</v>
      </c>
      <c r="C112" s="53">
        <v>29.590795963144185</v>
      </c>
      <c r="D112" s="53">
        <v>20.60392105686375</v>
      </c>
    </row>
    <row r="113">
      <c r="A113" s="50">
        <v>80402.0</v>
      </c>
      <c r="B113" s="50" t="s">
        <v>366</v>
      </c>
      <c r="C113" s="53">
        <v>29.590795963144185</v>
      </c>
      <c r="D113" s="53">
        <v>18.92755096917339</v>
      </c>
    </row>
    <row r="114">
      <c r="A114" s="50">
        <v>80601.0</v>
      </c>
      <c r="B114" s="50" t="s">
        <v>367</v>
      </c>
      <c r="C114" s="53">
        <v>29.590795963144185</v>
      </c>
      <c r="D114" s="53">
        <v>20.60392105686375</v>
      </c>
    </row>
    <row r="115">
      <c r="A115" s="50">
        <v>80703.0</v>
      </c>
      <c r="B115" s="50" t="s">
        <v>370</v>
      </c>
      <c r="C115" s="53">
        <v>29.590795963144185</v>
      </c>
      <c r="D115" s="53">
        <v>20.60392105686375</v>
      </c>
    </row>
    <row r="116">
      <c r="A116" s="50">
        <v>80901.0</v>
      </c>
      <c r="B116" s="50" t="s">
        <v>374</v>
      </c>
      <c r="C116" s="53">
        <v>29.590795963144185</v>
      </c>
      <c r="D116" s="53">
        <v>20.60392105686375</v>
      </c>
    </row>
    <row r="117">
      <c r="A117" s="50">
        <v>50203.0</v>
      </c>
      <c r="B117" s="50" t="s">
        <v>260</v>
      </c>
      <c r="C117" s="53">
        <v>29.86250352663198</v>
      </c>
      <c r="D117" s="53">
        <v>22.057935360996943</v>
      </c>
    </row>
    <row r="118">
      <c r="A118" s="50">
        <v>30904.0</v>
      </c>
      <c r="B118" s="50" t="s">
        <v>198</v>
      </c>
      <c r="C118" s="53">
        <v>30.01048743656811</v>
      </c>
      <c r="D118" s="53">
        <v>11.855000902253964</v>
      </c>
    </row>
    <row r="119">
      <c r="A119" s="50">
        <v>31401.0</v>
      </c>
      <c r="B119" s="50" t="s">
        <v>214</v>
      </c>
      <c r="C119" s="53">
        <v>30.77542971026795</v>
      </c>
      <c r="D119" s="53">
        <v>12.380884557827358</v>
      </c>
    </row>
    <row r="120">
      <c r="A120" s="50">
        <v>51501.0</v>
      </c>
      <c r="B120" s="50" t="s">
        <v>294</v>
      </c>
      <c r="C120" s="53">
        <v>31.399054210130874</v>
      </c>
      <c r="D120" s="53">
        <v>22.442573613840676</v>
      </c>
    </row>
    <row r="121">
      <c r="A121" s="50">
        <v>20804.0</v>
      </c>
      <c r="B121" s="50" t="s">
        <v>128</v>
      </c>
      <c r="C121" s="53">
        <v>33.25363145059338</v>
      </c>
      <c r="D121" s="53">
        <v>16.94929518043712</v>
      </c>
    </row>
    <row r="122">
      <c r="A122" s="50">
        <v>30803.0</v>
      </c>
      <c r="B122" s="50" t="s">
        <v>194</v>
      </c>
      <c r="C122" s="53">
        <v>33.386784368760495</v>
      </c>
      <c r="D122" s="53">
        <v>14.953756206062778</v>
      </c>
    </row>
    <row r="123">
      <c r="A123" s="50">
        <v>30801.0</v>
      </c>
      <c r="B123" s="50" t="s">
        <v>192</v>
      </c>
      <c r="C123" s="53">
        <v>34.65289571833265</v>
      </c>
      <c r="D123" s="53">
        <v>13.641874398610872</v>
      </c>
    </row>
    <row r="124">
      <c r="A124" s="50">
        <v>21305.0</v>
      </c>
      <c r="B124" s="50" t="s">
        <v>156</v>
      </c>
      <c r="C124" s="53">
        <v>34.97941075997998</v>
      </c>
      <c r="D124" s="53">
        <v>17.58503076168223</v>
      </c>
    </row>
    <row r="125">
      <c r="A125" s="50">
        <v>30701.0</v>
      </c>
      <c r="B125" s="50" t="s">
        <v>189</v>
      </c>
      <c r="C125" s="53">
        <v>35.39146067224973</v>
      </c>
      <c r="D125" s="53">
        <v>14.026391480105394</v>
      </c>
    </row>
    <row r="126">
      <c r="A126" s="50">
        <v>40702.0</v>
      </c>
      <c r="B126" s="50" t="s">
        <v>240</v>
      </c>
      <c r="C126" s="53">
        <v>35.411999341285565</v>
      </c>
      <c r="D126" s="53">
        <v>25.45343537217289</v>
      </c>
    </row>
    <row r="127">
      <c r="A127" s="50">
        <v>31403.0</v>
      </c>
      <c r="B127" s="50" t="s">
        <v>216</v>
      </c>
      <c r="C127" s="53">
        <v>35.523347271163495</v>
      </c>
      <c r="D127" s="53">
        <v>13.04813478747962</v>
      </c>
    </row>
    <row r="128">
      <c r="A128" s="50">
        <v>30401.0</v>
      </c>
      <c r="B128" s="50" t="s">
        <v>181</v>
      </c>
      <c r="C128" s="53">
        <v>35.89262974812205</v>
      </c>
      <c r="D128" s="53">
        <v>14.303469965299977</v>
      </c>
    </row>
    <row r="129">
      <c r="A129" s="50">
        <v>21502.0</v>
      </c>
      <c r="B129" s="50" t="s">
        <v>162</v>
      </c>
      <c r="C129" s="53">
        <v>37.09741263968171</v>
      </c>
      <c r="D129" s="53">
        <v>18.28653209271132</v>
      </c>
    </row>
    <row r="130">
      <c r="A130" s="50">
        <v>50801.0</v>
      </c>
      <c r="B130" s="50" t="s">
        <v>276</v>
      </c>
      <c r="C130" s="53">
        <v>37.11502275274676</v>
      </c>
      <c r="D130" s="53">
        <v>24.707665547253782</v>
      </c>
    </row>
    <row r="131">
      <c r="A131" s="50">
        <v>51201.0</v>
      </c>
      <c r="B131" s="50" t="s">
        <v>286</v>
      </c>
      <c r="C131" s="53">
        <v>37.17648478008672</v>
      </c>
      <c r="D131" s="53">
        <v>23.917020249741658</v>
      </c>
    </row>
    <row r="132">
      <c r="A132" s="50">
        <v>10501.0</v>
      </c>
      <c r="B132" s="50" t="s">
        <v>73</v>
      </c>
      <c r="C132" s="53">
        <v>37.43358720704749</v>
      </c>
      <c r="D132" s="53">
        <v>13.731532221371115</v>
      </c>
    </row>
    <row r="133">
      <c r="A133" s="50">
        <v>20607.0</v>
      </c>
      <c r="B133" s="50" t="s">
        <v>121</v>
      </c>
      <c r="C133" s="53">
        <v>37.43733886728816</v>
      </c>
      <c r="D133" s="53">
        <v>18.030776399106962</v>
      </c>
    </row>
    <row r="134">
      <c r="A134" s="50">
        <v>41101.0</v>
      </c>
      <c r="B134" s="50" t="s">
        <v>247</v>
      </c>
      <c r="C134" s="53">
        <v>37.45379137754844</v>
      </c>
      <c r="D134" s="53">
        <v>26.57087755459174</v>
      </c>
    </row>
    <row r="135">
      <c r="A135" s="50">
        <v>31206.0</v>
      </c>
      <c r="B135" s="50" t="s">
        <v>209</v>
      </c>
      <c r="C135" s="53">
        <v>37.47526893508722</v>
      </c>
      <c r="D135" s="53">
        <v>13.172537372669026</v>
      </c>
    </row>
    <row r="136">
      <c r="A136" s="50">
        <v>21002.0</v>
      </c>
      <c r="B136" s="50" t="s">
        <v>138</v>
      </c>
      <c r="C136" s="53">
        <v>37.69882058083159</v>
      </c>
      <c r="D136" s="53">
        <v>18.483829342063245</v>
      </c>
    </row>
    <row r="137">
      <c r="A137" s="50">
        <v>21307.0</v>
      </c>
      <c r="B137" s="50" t="s">
        <v>158</v>
      </c>
      <c r="C137" s="53">
        <v>37.77726509489461</v>
      </c>
      <c r="D137" s="53">
        <v>16.635081042580342</v>
      </c>
    </row>
    <row r="138">
      <c r="A138" s="50">
        <v>21703.0</v>
      </c>
      <c r="B138" s="50" t="s">
        <v>167</v>
      </c>
      <c r="C138" s="53">
        <v>37.98645046572935</v>
      </c>
      <c r="D138" s="53">
        <v>17.891937594007455</v>
      </c>
    </row>
    <row r="139">
      <c r="A139" s="50">
        <v>21701.0</v>
      </c>
      <c r="B139" s="50" t="s">
        <v>165</v>
      </c>
      <c r="C139" s="53">
        <v>38.06489497979238</v>
      </c>
      <c r="D139" s="53">
        <v>18.900345757361762</v>
      </c>
    </row>
    <row r="140">
      <c r="A140" s="50">
        <v>30501.0</v>
      </c>
      <c r="B140" s="50" t="s">
        <v>185</v>
      </c>
      <c r="C140" s="53">
        <v>38.39847512748357</v>
      </c>
      <c r="D140" s="53">
        <v>14.467455191231469</v>
      </c>
    </row>
    <row r="141">
      <c r="A141" s="50">
        <v>21301.0</v>
      </c>
      <c r="B141" s="50" t="s">
        <v>152</v>
      </c>
      <c r="C141" s="53">
        <v>38.84934012042265</v>
      </c>
      <c r="D141" s="53">
        <v>19.338784089254943</v>
      </c>
    </row>
    <row r="142">
      <c r="A142" s="50">
        <v>21306.0</v>
      </c>
      <c r="B142" s="50" t="s">
        <v>157</v>
      </c>
      <c r="C142" s="53">
        <v>39.18926634802909</v>
      </c>
      <c r="D142" s="53">
        <v>17.270816623825453</v>
      </c>
    </row>
    <row r="143">
      <c r="A143" s="50">
        <v>30201.0</v>
      </c>
      <c r="B143" s="50" t="s">
        <v>175</v>
      </c>
      <c r="C143" s="53">
        <v>39.21617204074892</v>
      </c>
      <c r="D143" s="53">
        <v>14.467455191231469</v>
      </c>
    </row>
    <row r="144">
      <c r="A144" s="50">
        <v>20602.0</v>
      </c>
      <c r="B144" s="50" t="s">
        <v>116</v>
      </c>
      <c r="C144" s="53">
        <v>39.26771086209213</v>
      </c>
      <c r="D144" s="53">
        <v>19.43377906116513</v>
      </c>
    </row>
    <row r="145">
      <c r="A145" s="50">
        <v>10701.0</v>
      </c>
      <c r="B145" s="50" t="s">
        <v>77</v>
      </c>
      <c r="C145" s="53">
        <v>39.353616207334404</v>
      </c>
      <c r="D145" s="53">
        <v>14.660069766313448</v>
      </c>
    </row>
    <row r="146">
      <c r="A146" s="50">
        <v>30202.0</v>
      </c>
      <c r="B146" s="50" t="s">
        <v>176</v>
      </c>
      <c r="C146" s="53">
        <v>39.9019823551005</v>
      </c>
      <c r="D146" s="53">
        <v>14.12817541344218</v>
      </c>
    </row>
    <row r="147">
      <c r="A147" s="50">
        <v>40201.0</v>
      </c>
      <c r="B147" s="50" t="s">
        <v>225</v>
      </c>
      <c r="C147" s="53">
        <v>39.97767320015115</v>
      </c>
      <c r="D147" s="53">
        <v>27.045263386750687</v>
      </c>
    </row>
    <row r="148">
      <c r="A148" s="50">
        <v>21501.0</v>
      </c>
      <c r="B148" s="50" t="s">
        <v>161</v>
      </c>
      <c r="C148" s="53">
        <v>39.99985966001372</v>
      </c>
      <c r="D148" s="53">
        <v>18.659204674820515</v>
      </c>
    </row>
    <row r="149">
      <c r="A149" s="50">
        <v>21004.0</v>
      </c>
      <c r="B149" s="50" t="s">
        <v>140</v>
      </c>
      <c r="C149" s="53">
        <v>40.02600783136806</v>
      </c>
      <c r="D149" s="53">
        <v>19.397242533507363</v>
      </c>
    </row>
    <row r="150">
      <c r="A150" s="50">
        <v>21006.0</v>
      </c>
      <c r="B150" s="50" t="s">
        <v>142</v>
      </c>
      <c r="C150" s="53">
        <v>40.07830417407675</v>
      </c>
      <c r="D150" s="53">
        <v>18.20615173186423</v>
      </c>
    </row>
    <row r="151">
      <c r="A151" s="50">
        <v>22001.0</v>
      </c>
      <c r="B151" s="50" t="s">
        <v>173</v>
      </c>
      <c r="C151" s="53">
        <v>40.104452345431085</v>
      </c>
      <c r="D151" s="53">
        <v>18.96611150714574</v>
      </c>
    </row>
    <row r="152">
      <c r="A152" s="50">
        <v>31602.0</v>
      </c>
      <c r="B152" s="50" t="s">
        <v>221</v>
      </c>
      <c r="C152" s="53">
        <v>40.21851019249354</v>
      </c>
      <c r="D152" s="53">
        <v>14.851972272725988</v>
      </c>
    </row>
    <row r="153">
      <c r="A153" s="50">
        <v>31204.0</v>
      </c>
      <c r="B153" s="50" t="s">
        <v>207</v>
      </c>
      <c r="C153" s="53">
        <v>40.24488751227629</v>
      </c>
      <c r="D153" s="53">
        <v>14.433527213452539</v>
      </c>
    </row>
    <row r="154">
      <c r="A154" s="50">
        <v>11001.0</v>
      </c>
      <c r="B154" s="50" t="s">
        <v>85</v>
      </c>
      <c r="C154" s="53">
        <v>40.366964846374714</v>
      </c>
      <c r="D154" s="53">
        <v>14.523352581782062</v>
      </c>
    </row>
    <row r="155">
      <c r="A155" s="50">
        <v>20701.0</v>
      </c>
      <c r="B155" s="50" t="s">
        <v>123</v>
      </c>
      <c r="C155" s="53">
        <v>40.41823040168319</v>
      </c>
      <c r="D155" s="53">
        <v>19.29494025606563</v>
      </c>
    </row>
    <row r="156">
      <c r="A156" s="50">
        <v>20606.0</v>
      </c>
      <c r="B156" s="50" t="s">
        <v>120</v>
      </c>
      <c r="C156" s="53">
        <v>40.44437857303753</v>
      </c>
      <c r="D156" s="53">
        <v>19.27301833947097</v>
      </c>
    </row>
    <row r="157">
      <c r="A157" s="50">
        <v>20306.0</v>
      </c>
      <c r="B157" s="50" t="s">
        <v>104</v>
      </c>
      <c r="C157" s="53">
        <v>40.49667491574622</v>
      </c>
      <c r="D157" s="53">
        <v>19.141486839903013</v>
      </c>
    </row>
    <row r="158">
      <c r="A158" s="50">
        <v>10401.0</v>
      </c>
      <c r="B158" s="50" t="s">
        <v>66</v>
      </c>
      <c r="C158" s="53">
        <v>40.58030140196217</v>
      </c>
      <c r="D158" s="53">
        <v>14.181559620453594</v>
      </c>
    </row>
    <row r="159">
      <c r="A159" s="50">
        <v>51203.0</v>
      </c>
      <c r="B159" s="50" t="s">
        <v>288</v>
      </c>
      <c r="C159" s="53">
        <v>40.833475406814095</v>
      </c>
      <c r="D159" s="53">
        <v>22.90200263807069</v>
      </c>
    </row>
    <row r="160">
      <c r="A160" s="50">
        <v>10801.0</v>
      </c>
      <c r="B160" s="50" t="s">
        <v>81</v>
      </c>
      <c r="C160" s="53">
        <v>40.84697209644645</v>
      </c>
      <c r="D160" s="53">
        <v>14.603104272758703</v>
      </c>
    </row>
    <row r="161">
      <c r="A161" s="50">
        <v>30902.0</v>
      </c>
      <c r="B161" s="50" t="s">
        <v>196</v>
      </c>
      <c r="C161" s="53">
        <v>40.85156586727961</v>
      </c>
      <c r="D161" s="53">
        <v>12.9633148430323</v>
      </c>
    </row>
    <row r="162">
      <c r="A162" s="50">
        <v>31205.0</v>
      </c>
      <c r="B162" s="50" t="s">
        <v>208</v>
      </c>
      <c r="C162" s="53">
        <v>41.405489582717415</v>
      </c>
      <c r="D162" s="53">
        <v>14.637095080126109</v>
      </c>
    </row>
    <row r="163">
      <c r="A163" s="50">
        <v>21104.0</v>
      </c>
      <c r="B163" s="50" t="s">
        <v>146</v>
      </c>
      <c r="C163" s="53">
        <v>41.80408348346334</v>
      </c>
      <c r="D163" s="53">
        <v>19.44839367222824</v>
      </c>
    </row>
    <row r="164">
      <c r="A164" s="50">
        <v>10301.0</v>
      </c>
      <c r="B164" s="50" t="s">
        <v>60</v>
      </c>
      <c r="C164" s="53">
        <v>41.86032073548676</v>
      </c>
      <c r="D164" s="53">
        <v>14.734124907934612</v>
      </c>
    </row>
    <row r="165">
      <c r="A165" s="50">
        <v>31002.0</v>
      </c>
      <c r="B165" s="50" t="s">
        <v>201</v>
      </c>
      <c r="C165" s="53">
        <v>42.11767721685175</v>
      </c>
      <c r="D165" s="53">
        <v>15.502258513488789</v>
      </c>
    </row>
    <row r="166">
      <c r="A166" s="50">
        <v>41401.0</v>
      </c>
      <c r="B166" s="50" t="s">
        <v>250</v>
      </c>
      <c r="C166" s="53">
        <v>42.161256350043395</v>
      </c>
      <c r="D166" s="53">
        <v>27.59344257057881</v>
      </c>
    </row>
    <row r="167">
      <c r="A167" s="50">
        <v>20201.0</v>
      </c>
      <c r="B167" s="50" t="s">
        <v>93</v>
      </c>
      <c r="C167" s="53">
        <v>42.24860239648715</v>
      </c>
      <c r="D167" s="53">
        <v>20.01105619815782</v>
      </c>
    </row>
    <row r="168">
      <c r="A168" s="50">
        <v>50802.0</v>
      </c>
      <c r="B168" s="50" t="s">
        <v>277</v>
      </c>
      <c r="C168" s="53">
        <v>42.339295076643005</v>
      </c>
      <c r="D168" s="53">
        <v>31.03282792735075</v>
      </c>
    </row>
    <row r="169">
      <c r="A169" s="50">
        <v>40601.0</v>
      </c>
      <c r="B169" s="50" t="s">
        <v>236</v>
      </c>
      <c r="C169" s="53">
        <v>42.444838577302136</v>
      </c>
      <c r="D169" s="53">
        <v>25.632647797655153</v>
      </c>
    </row>
    <row r="170">
      <c r="A170" s="50">
        <v>21601.0</v>
      </c>
      <c r="B170" s="50" t="s">
        <v>163</v>
      </c>
      <c r="C170" s="53">
        <v>42.92845485170005</v>
      </c>
      <c r="D170" s="53">
        <v>20.135280392194215</v>
      </c>
    </row>
    <row r="171">
      <c r="A171" s="50">
        <v>10403.0</v>
      </c>
      <c r="B171" s="50" t="s">
        <v>70</v>
      </c>
      <c r="C171" s="53">
        <v>43.140340069011366</v>
      </c>
      <c r="D171" s="53">
        <v>16.596896547174754</v>
      </c>
    </row>
    <row r="172">
      <c r="A172" s="50">
        <v>21101.0</v>
      </c>
      <c r="B172" s="50" t="s">
        <v>143</v>
      </c>
      <c r="C172" s="53">
        <v>43.268381079306515</v>
      </c>
      <c r="D172" s="53">
        <v>20.44218722451944</v>
      </c>
    </row>
    <row r="173">
      <c r="A173" s="50">
        <v>31301.0</v>
      </c>
      <c r="B173" s="50" t="s">
        <v>210</v>
      </c>
      <c r="C173" s="53">
        <v>43.43654320598941</v>
      </c>
      <c r="D173" s="53">
        <v>14.925482891247004</v>
      </c>
    </row>
    <row r="174">
      <c r="A174" s="50">
        <v>21401.0</v>
      </c>
      <c r="B174" s="50" t="s">
        <v>159</v>
      </c>
      <c r="C174" s="53">
        <v>43.45141827878691</v>
      </c>
      <c r="D174" s="53">
        <v>20.727172140250012</v>
      </c>
    </row>
    <row r="175">
      <c r="A175" s="50">
        <v>10601.0</v>
      </c>
      <c r="B175" s="50" t="s">
        <v>75</v>
      </c>
      <c r="C175" s="53">
        <v>43.91368508301582</v>
      </c>
      <c r="D175" s="53">
        <v>15.480372873501766</v>
      </c>
    </row>
    <row r="176">
      <c r="A176" s="50">
        <v>20601.0</v>
      </c>
      <c r="B176" s="50" t="s">
        <v>115</v>
      </c>
      <c r="C176" s="53">
        <v>44.07897439129112</v>
      </c>
      <c r="D176" s="53">
        <v>20.515260279834973</v>
      </c>
    </row>
    <row r="177">
      <c r="A177" s="50">
        <v>10302.0</v>
      </c>
      <c r="B177" s="50" t="s">
        <v>62</v>
      </c>
      <c r="C177" s="53">
        <v>44.100354569154824</v>
      </c>
      <c r="D177" s="53">
        <v>15.696841749009794</v>
      </c>
    </row>
    <row r="178">
      <c r="A178" s="50">
        <v>50201.0</v>
      </c>
      <c r="B178" s="50" t="s">
        <v>258</v>
      </c>
      <c r="C178" s="53">
        <v>44.12169386950173</v>
      </c>
      <c r="D178" s="53">
        <v>27.058232647965493</v>
      </c>
    </row>
    <row r="179">
      <c r="A179" s="50">
        <v>30403.0</v>
      </c>
      <c r="B179" s="50" t="s">
        <v>183</v>
      </c>
      <c r="C179" s="53">
        <v>44.14873084012374</v>
      </c>
      <c r="D179" s="53">
        <v>12.935041528216525</v>
      </c>
    </row>
    <row r="180">
      <c r="A180" s="50">
        <v>10902.0</v>
      </c>
      <c r="B180" s="50" t="s">
        <v>83</v>
      </c>
      <c r="C180" s="53">
        <v>44.313691124742256</v>
      </c>
      <c r="D180" s="53">
        <v>15.463283225435344</v>
      </c>
    </row>
    <row r="181">
      <c r="A181" s="50">
        <v>20803.0</v>
      </c>
      <c r="B181" s="50" t="s">
        <v>127</v>
      </c>
      <c r="C181" s="53">
        <v>44.39275244754323</v>
      </c>
      <c r="D181" s="53">
        <v>21.362907721495116</v>
      </c>
    </row>
    <row r="182">
      <c r="A182" s="50">
        <v>31003.0</v>
      </c>
      <c r="B182" s="50" t="s">
        <v>202</v>
      </c>
      <c r="C182" s="53">
        <v>44.70265455556155</v>
      </c>
      <c r="D182" s="53">
        <v>15.932012898688551</v>
      </c>
    </row>
    <row r="183">
      <c r="A183" s="50">
        <v>40102.0</v>
      </c>
      <c r="B183" s="50" t="s">
        <v>222</v>
      </c>
      <c r="C183" s="53">
        <v>44.770212840823746</v>
      </c>
      <c r="D183" s="53">
        <v>27.57235875581619</v>
      </c>
    </row>
    <row r="184">
      <c r="A184" s="50">
        <v>21203.0</v>
      </c>
      <c r="B184" s="50" t="s">
        <v>150</v>
      </c>
      <c r="C184" s="53">
        <v>44.994160388693096</v>
      </c>
      <c r="D184" s="53">
        <v>20.44949453005099</v>
      </c>
    </row>
    <row r="185">
      <c r="A185" s="50">
        <v>10704.0</v>
      </c>
      <c r="B185" s="50" t="s">
        <v>80</v>
      </c>
      <c r="C185" s="53">
        <v>45.11370320819514</v>
      </c>
      <c r="D185" s="53">
        <v>15.679752100943368</v>
      </c>
    </row>
    <row r="186">
      <c r="A186" s="50">
        <v>21402.0</v>
      </c>
      <c r="B186" s="50" t="s">
        <v>160</v>
      </c>
      <c r="C186" s="53">
        <v>45.334086616299565</v>
      </c>
      <c r="D186" s="53">
        <v>20.5883333351505</v>
      </c>
    </row>
    <row r="187">
      <c r="A187" s="50">
        <v>31601.0</v>
      </c>
      <c r="B187" s="50" t="s">
        <v>220</v>
      </c>
      <c r="C187" s="53">
        <v>45.678615387523415</v>
      </c>
      <c r="D187" s="53">
        <v>15.835883628314921</v>
      </c>
    </row>
    <row r="188">
      <c r="A188" s="50">
        <v>21105.0</v>
      </c>
      <c r="B188" s="50" t="s">
        <v>147</v>
      </c>
      <c r="C188" s="53">
        <v>46.17082809963851</v>
      </c>
      <c r="D188" s="53">
        <v>21.004849750449022</v>
      </c>
    </row>
    <row r="189">
      <c r="A189" s="50">
        <v>30301.0</v>
      </c>
      <c r="B189" s="50" t="s">
        <v>178</v>
      </c>
      <c r="C189" s="53">
        <v>46.8655947777473</v>
      </c>
      <c r="D189" s="53">
        <v>16.61057245426712</v>
      </c>
    </row>
    <row r="190">
      <c r="A190" s="50">
        <v>20102.0</v>
      </c>
      <c r="B190" s="50" t="s">
        <v>89</v>
      </c>
      <c r="C190" s="53">
        <v>47.16445861110352</v>
      </c>
      <c r="D190" s="53">
        <v>21.46520999893686</v>
      </c>
    </row>
    <row r="191">
      <c r="A191" s="50">
        <v>20103.0</v>
      </c>
      <c r="B191" s="50" t="s">
        <v>90</v>
      </c>
      <c r="C191" s="53">
        <v>47.16445861110352</v>
      </c>
      <c r="D191" s="53">
        <v>21.46520999893686</v>
      </c>
    </row>
    <row r="192">
      <c r="A192" s="50">
        <v>20202.0</v>
      </c>
      <c r="B192" s="50" t="s">
        <v>94</v>
      </c>
      <c r="C192" s="53">
        <v>47.16445861110352</v>
      </c>
      <c r="D192" s="53">
        <v>21.46520999893686</v>
      </c>
    </row>
    <row r="193">
      <c r="A193" s="50">
        <v>20203.0</v>
      </c>
      <c r="B193" s="50" t="s">
        <v>95</v>
      </c>
      <c r="C193" s="53">
        <v>47.16445861110352</v>
      </c>
      <c r="D193" s="53">
        <v>21.46520999893686</v>
      </c>
    </row>
    <row r="194">
      <c r="A194" s="50">
        <v>20204.0</v>
      </c>
      <c r="B194" s="50" t="s">
        <v>96</v>
      </c>
      <c r="C194" s="53">
        <v>47.16445861110352</v>
      </c>
      <c r="D194" s="53">
        <v>21.46520999893686</v>
      </c>
    </row>
    <row r="195">
      <c r="A195" s="50">
        <v>20205.0</v>
      </c>
      <c r="B195" s="50" t="s">
        <v>97</v>
      </c>
      <c r="C195" s="53">
        <v>47.16445861110352</v>
      </c>
      <c r="D195" s="53">
        <v>21.46520999893686</v>
      </c>
    </row>
    <row r="196">
      <c r="A196" s="50">
        <v>20206.0</v>
      </c>
      <c r="B196" s="50" t="s">
        <v>98</v>
      </c>
      <c r="C196" s="53">
        <v>47.16445861110352</v>
      </c>
      <c r="D196" s="53">
        <v>21.46520999893686</v>
      </c>
    </row>
    <row r="197">
      <c r="A197" s="50">
        <v>20301.0</v>
      </c>
      <c r="B197" s="50" t="s">
        <v>99</v>
      </c>
      <c r="C197" s="53">
        <v>47.16445861110352</v>
      </c>
      <c r="D197" s="53">
        <v>20.274119197293725</v>
      </c>
    </row>
    <row r="198">
      <c r="A198" s="50">
        <v>20302.0</v>
      </c>
      <c r="B198" s="50" t="s">
        <v>100</v>
      </c>
      <c r="C198" s="53">
        <v>47.16445861110352</v>
      </c>
      <c r="D198" s="53">
        <v>21.46520999893686</v>
      </c>
    </row>
    <row r="199">
      <c r="A199" s="50">
        <v>20303.0</v>
      </c>
      <c r="B199" s="50" t="s">
        <v>101</v>
      </c>
      <c r="C199" s="53">
        <v>47.16445861110352</v>
      </c>
      <c r="D199" s="53">
        <v>21.46520999893686</v>
      </c>
    </row>
    <row r="200">
      <c r="A200" s="50">
        <v>20304.0</v>
      </c>
      <c r="B200" s="50" t="s">
        <v>102</v>
      </c>
      <c r="C200" s="53">
        <v>47.16445861110352</v>
      </c>
      <c r="D200" s="53">
        <v>21.46520999893686</v>
      </c>
    </row>
    <row r="201">
      <c r="A201" s="50">
        <v>20305.0</v>
      </c>
      <c r="B201" s="50" t="s">
        <v>103</v>
      </c>
      <c r="C201" s="53">
        <v>47.16445861110352</v>
      </c>
      <c r="D201" s="53">
        <v>21.46520999893686</v>
      </c>
    </row>
    <row r="202">
      <c r="A202" s="50">
        <v>20307.0</v>
      </c>
      <c r="B202" s="50" t="s">
        <v>105</v>
      </c>
      <c r="C202" s="53">
        <v>47.16445861110352</v>
      </c>
      <c r="D202" s="53">
        <v>21.46520999893686</v>
      </c>
    </row>
    <row r="203">
      <c r="A203" s="50">
        <v>20308.0</v>
      </c>
      <c r="B203" s="50" t="s">
        <v>106</v>
      </c>
      <c r="C203" s="53">
        <v>47.16445861110352</v>
      </c>
      <c r="D203" s="53">
        <v>21.46520999893686</v>
      </c>
    </row>
    <row r="204">
      <c r="A204" s="50">
        <v>20401.0</v>
      </c>
      <c r="B204" s="50" t="s">
        <v>107</v>
      </c>
      <c r="C204" s="53">
        <v>47.16445861110352</v>
      </c>
      <c r="D204" s="53">
        <v>21.46520999893686</v>
      </c>
    </row>
    <row r="205">
      <c r="A205" s="50">
        <v>20402.0</v>
      </c>
      <c r="B205" s="50" t="s">
        <v>108</v>
      </c>
      <c r="C205" s="53">
        <v>47.16445861110352</v>
      </c>
      <c r="D205" s="53">
        <v>21.46520999893686</v>
      </c>
    </row>
    <row r="206">
      <c r="A206" s="50">
        <v>20403.0</v>
      </c>
      <c r="B206" s="50" t="s">
        <v>109</v>
      </c>
      <c r="C206" s="53">
        <v>47.16445861110352</v>
      </c>
      <c r="D206" s="53">
        <v>21.46520999893686</v>
      </c>
    </row>
    <row r="207">
      <c r="A207" s="50">
        <v>20404.0</v>
      </c>
      <c r="B207" s="50" t="s">
        <v>110</v>
      </c>
      <c r="C207" s="53">
        <v>47.16445861110352</v>
      </c>
      <c r="D207" s="53">
        <v>21.46520999893686</v>
      </c>
    </row>
    <row r="208">
      <c r="A208" s="50">
        <v>20405.0</v>
      </c>
      <c r="B208" s="50" t="s">
        <v>111</v>
      </c>
      <c r="C208" s="53">
        <v>47.16445861110352</v>
      </c>
      <c r="D208" s="53">
        <v>21.46520999893686</v>
      </c>
    </row>
    <row r="209">
      <c r="A209" s="50">
        <v>20501.0</v>
      </c>
      <c r="B209" s="50" t="s">
        <v>112</v>
      </c>
      <c r="C209" s="53">
        <v>47.16445861110352</v>
      </c>
      <c r="D209" s="53">
        <v>21.46520999893686</v>
      </c>
    </row>
    <row r="210">
      <c r="A210" s="50">
        <v>20502.0</v>
      </c>
      <c r="B210" s="50" t="s">
        <v>113</v>
      </c>
      <c r="C210" s="53">
        <v>47.16445861110352</v>
      </c>
      <c r="D210" s="53">
        <v>21.46520999893686</v>
      </c>
    </row>
    <row r="211">
      <c r="A211" s="50">
        <v>20503.0</v>
      </c>
      <c r="B211" s="50" t="s">
        <v>114</v>
      </c>
      <c r="C211" s="53">
        <v>47.16445861110352</v>
      </c>
      <c r="D211" s="53">
        <v>21.46520999893686</v>
      </c>
    </row>
    <row r="212">
      <c r="A212" s="50">
        <v>20603.0</v>
      </c>
      <c r="B212" s="50" t="s">
        <v>117</v>
      </c>
      <c r="C212" s="53">
        <v>47.16445861110352</v>
      </c>
      <c r="D212" s="53">
        <v>21.46520999893686</v>
      </c>
    </row>
    <row r="213">
      <c r="A213" s="50">
        <v>20604.0</v>
      </c>
      <c r="B213" s="50" t="s">
        <v>118</v>
      </c>
      <c r="C213" s="53">
        <v>47.16445861110352</v>
      </c>
      <c r="D213" s="53">
        <v>21.46520999893686</v>
      </c>
    </row>
    <row r="214">
      <c r="A214" s="50">
        <v>20605.0</v>
      </c>
      <c r="B214" s="50" t="s">
        <v>119</v>
      </c>
      <c r="C214" s="53">
        <v>47.16445861110352</v>
      </c>
      <c r="D214" s="53">
        <v>21.46520999893686</v>
      </c>
    </row>
    <row r="215">
      <c r="A215" s="50">
        <v>20608.0</v>
      </c>
      <c r="B215" s="50" t="s">
        <v>122</v>
      </c>
      <c r="C215" s="53">
        <v>47.16445861110352</v>
      </c>
      <c r="D215" s="53">
        <v>19.981826976031606</v>
      </c>
    </row>
    <row r="216">
      <c r="A216" s="50">
        <v>20702.0</v>
      </c>
      <c r="B216" s="50" t="s">
        <v>124</v>
      </c>
      <c r="C216" s="53">
        <v>47.16445861110352</v>
      </c>
      <c r="D216" s="53">
        <v>21.46520999893686</v>
      </c>
    </row>
    <row r="217">
      <c r="A217" s="50">
        <v>20802.0</v>
      </c>
      <c r="B217" s="50" t="s">
        <v>126</v>
      </c>
      <c r="C217" s="53">
        <v>47.16445861110352</v>
      </c>
      <c r="D217" s="53">
        <v>21.46520999893686</v>
      </c>
    </row>
    <row r="218">
      <c r="A218" s="50">
        <v>20805.0</v>
      </c>
      <c r="B218" s="50" t="s">
        <v>129</v>
      </c>
      <c r="C218" s="53">
        <v>47.16445861110352</v>
      </c>
      <c r="D218" s="53">
        <v>21.46520999893686</v>
      </c>
    </row>
    <row r="219">
      <c r="A219" s="50">
        <v>20806.0</v>
      </c>
      <c r="B219" s="50" t="s">
        <v>130</v>
      </c>
      <c r="C219" s="53">
        <v>47.16445861110352</v>
      </c>
      <c r="D219" s="53">
        <v>21.46520999893686</v>
      </c>
    </row>
    <row r="220">
      <c r="A220" s="50">
        <v>20807.0</v>
      </c>
      <c r="B220" s="50" t="s">
        <v>131</v>
      </c>
      <c r="C220" s="53">
        <v>47.16445861110352</v>
      </c>
      <c r="D220" s="53">
        <v>21.46520999893686</v>
      </c>
    </row>
    <row r="221">
      <c r="A221" s="50">
        <v>20901.0</v>
      </c>
      <c r="B221" s="50" t="s">
        <v>132</v>
      </c>
      <c r="C221" s="53">
        <v>47.16445861110352</v>
      </c>
      <c r="D221" s="53">
        <v>21.46520999893686</v>
      </c>
    </row>
    <row r="222">
      <c r="A222" s="50">
        <v>20902.0</v>
      </c>
      <c r="B222" s="50" t="s">
        <v>133</v>
      </c>
      <c r="C222" s="53">
        <v>47.16445861110352</v>
      </c>
      <c r="D222" s="53">
        <v>21.46520999893686</v>
      </c>
    </row>
    <row r="223">
      <c r="A223" s="50">
        <v>20903.0</v>
      </c>
      <c r="B223" s="50" t="s">
        <v>134</v>
      </c>
      <c r="C223" s="53">
        <v>47.16445861110352</v>
      </c>
      <c r="D223" s="53">
        <v>20.259504586230616</v>
      </c>
    </row>
    <row r="224">
      <c r="A224" s="50">
        <v>20904.0</v>
      </c>
      <c r="B224" s="50" t="s">
        <v>135</v>
      </c>
      <c r="C224" s="53">
        <v>47.16445861110352</v>
      </c>
      <c r="D224" s="53">
        <v>21.46520999893686</v>
      </c>
    </row>
    <row r="225">
      <c r="A225" s="50">
        <v>20905.0</v>
      </c>
      <c r="B225" s="50" t="s">
        <v>136</v>
      </c>
      <c r="C225" s="53">
        <v>47.16445861110352</v>
      </c>
      <c r="D225" s="53">
        <v>21.46520999893686</v>
      </c>
    </row>
    <row r="226">
      <c r="A226" s="50">
        <v>21001.0</v>
      </c>
      <c r="B226" s="50" t="s">
        <v>137</v>
      </c>
      <c r="C226" s="53">
        <v>47.16445861110352</v>
      </c>
      <c r="D226" s="53">
        <v>21.46520999893686</v>
      </c>
    </row>
    <row r="227">
      <c r="A227" s="50">
        <v>21003.0</v>
      </c>
      <c r="B227" s="50" t="s">
        <v>139</v>
      </c>
      <c r="C227" s="53">
        <v>47.16445861110352</v>
      </c>
      <c r="D227" s="53">
        <v>20.551796807492735</v>
      </c>
    </row>
    <row r="228">
      <c r="A228" s="50">
        <v>21005.0</v>
      </c>
      <c r="B228" s="50" t="s">
        <v>141</v>
      </c>
      <c r="C228" s="53">
        <v>47.16445861110352</v>
      </c>
      <c r="D228" s="53">
        <v>20.01105619815782</v>
      </c>
    </row>
    <row r="229">
      <c r="A229" s="50">
        <v>21102.0</v>
      </c>
      <c r="B229" s="50" t="s">
        <v>144</v>
      </c>
      <c r="C229" s="53">
        <v>47.16445861110352</v>
      </c>
      <c r="D229" s="53">
        <v>20.676021001529136</v>
      </c>
    </row>
    <row r="230">
      <c r="A230" s="50">
        <v>21103.0</v>
      </c>
      <c r="B230" s="50" t="s">
        <v>145</v>
      </c>
      <c r="C230" s="53">
        <v>47.16445861110352</v>
      </c>
      <c r="D230" s="53">
        <v>21.46520999893686</v>
      </c>
    </row>
    <row r="231">
      <c r="A231" s="50">
        <v>21201.0</v>
      </c>
      <c r="B231" s="50" t="s">
        <v>148</v>
      </c>
      <c r="C231" s="53">
        <v>47.16445861110352</v>
      </c>
      <c r="D231" s="53">
        <v>19.33147678372339</v>
      </c>
    </row>
    <row r="232">
      <c r="A232" s="50">
        <v>21202.0</v>
      </c>
      <c r="B232" s="50" t="s">
        <v>149</v>
      </c>
      <c r="C232" s="53">
        <v>47.16445861110352</v>
      </c>
      <c r="D232" s="53">
        <v>19.57261786626464</v>
      </c>
    </row>
    <row r="233">
      <c r="A233" s="50">
        <v>21204.0</v>
      </c>
      <c r="B233" s="50" t="s">
        <v>151</v>
      </c>
      <c r="C233" s="53">
        <v>47.16445861110352</v>
      </c>
      <c r="D233" s="53">
        <v>21.46520999893686</v>
      </c>
    </row>
    <row r="234">
      <c r="A234" s="50">
        <v>21302.0</v>
      </c>
      <c r="B234" s="50" t="s">
        <v>153</v>
      </c>
      <c r="C234" s="53">
        <v>47.16445861110352</v>
      </c>
      <c r="D234" s="53">
        <v>21.46520999893686</v>
      </c>
    </row>
    <row r="235">
      <c r="A235" s="50">
        <v>21303.0</v>
      </c>
      <c r="B235" s="50" t="s">
        <v>154</v>
      </c>
      <c r="C235" s="53">
        <v>47.16445861110352</v>
      </c>
      <c r="D235" s="53">
        <v>21.46520999893686</v>
      </c>
    </row>
    <row r="236">
      <c r="A236" s="50">
        <v>21304.0</v>
      </c>
      <c r="B236" s="50" t="s">
        <v>155</v>
      </c>
      <c r="C236" s="53">
        <v>47.16445861110352</v>
      </c>
      <c r="D236" s="53">
        <v>21.46520999893686</v>
      </c>
    </row>
    <row r="237">
      <c r="A237" s="50">
        <v>21602.0</v>
      </c>
      <c r="B237" s="50" t="s">
        <v>164</v>
      </c>
      <c r="C237" s="53">
        <v>47.16445861110352</v>
      </c>
      <c r="D237" s="53">
        <v>21.46520999893686</v>
      </c>
    </row>
    <row r="238">
      <c r="A238" s="50">
        <v>21702.0</v>
      </c>
      <c r="B238" s="50" t="s">
        <v>166</v>
      </c>
      <c r="C238" s="53">
        <v>47.16445861110352</v>
      </c>
      <c r="D238" s="53">
        <v>21.46520999893686</v>
      </c>
    </row>
    <row r="239">
      <c r="A239" s="50">
        <v>21801.0</v>
      </c>
      <c r="B239" s="50" t="s">
        <v>168</v>
      </c>
      <c r="C239" s="53">
        <v>47.16445861110352</v>
      </c>
      <c r="D239" s="53">
        <v>21.46520999893686</v>
      </c>
    </row>
    <row r="240">
      <c r="A240" s="50">
        <v>21802.0</v>
      </c>
      <c r="B240" s="50" t="s">
        <v>169</v>
      </c>
      <c r="C240" s="53">
        <v>47.16445861110352</v>
      </c>
      <c r="D240" s="53">
        <v>21.46520999893686</v>
      </c>
    </row>
    <row r="241">
      <c r="A241" s="50">
        <v>21803.0</v>
      </c>
      <c r="B241" s="50" t="s">
        <v>170</v>
      </c>
      <c r="C241" s="53">
        <v>47.16445861110352</v>
      </c>
      <c r="D241" s="53">
        <v>21.46520999893686</v>
      </c>
    </row>
    <row r="242">
      <c r="A242" s="50">
        <v>21901.0</v>
      </c>
      <c r="B242" s="50" t="s">
        <v>171</v>
      </c>
      <c r="C242" s="53">
        <v>47.16445861110352</v>
      </c>
      <c r="D242" s="53">
        <v>21.46520999893686</v>
      </c>
    </row>
    <row r="243">
      <c r="A243" s="50">
        <v>21902.0</v>
      </c>
      <c r="B243" s="50" t="s">
        <v>172</v>
      </c>
      <c r="C243" s="53">
        <v>47.16445861110352</v>
      </c>
      <c r="D243" s="53">
        <v>21.46520999893686</v>
      </c>
    </row>
    <row r="244">
      <c r="A244" s="50">
        <v>22002.0</v>
      </c>
      <c r="B244" s="50" t="s">
        <v>174</v>
      </c>
      <c r="C244" s="53">
        <v>47.16445861110352</v>
      </c>
      <c r="D244" s="53">
        <v>21.46520999893686</v>
      </c>
    </row>
    <row r="245">
      <c r="A245" s="50">
        <v>30203.0</v>
      </c>
      <c r="B245" s="50" t="s">
        <v>177</v>
      </c>
      <c r="C245" s="53">
        <v>47.577782411881635</v>
      </c>
      <c r="D245" s="53">
        <v>16.61057245426712</v>
      </c>
    </row>
    <row r="246">
      <c r="A246" s="50">
        <v>30302.0</v>
      </c>
      <c r="B246" s="50" t="s">
        <v>179</v>
      </c>
      <c r="C246" s="53">
        <v>47.577782411881635</v>
      </c>
      <c r="D246" s="53">
        <v>16.61057245426712</v>
      </c>
    </row>
    <row r="247">
      <c r="A247" s="50">
        <v>30303.0</v>
      </c>
      <c r="B247" s="50" t="s">
        <v>180</v>
      </c>
      <c r="C247" s="53">
        <v>47.577782411881635</v>
      </c>
      <c r="D247" s="53">
        <v>16.61057245426712</v>
      </c>
    </row>
    <row r="248">
      <c r="A248" s="50">
        <v>30402.0</v>
      </c>
      <c r="B248" s="50" t="s">
        <v>182</v>
      </c>
      <c r="C248" s="53">
        <v>47.577782411881635</v>
      </c>
      <c r="D248" s="53">
        <v>16.61057245426712</v>
      </c>
    </row>
    <row r="249">
      <c r="A249" s="50">
        <v>30404.0</v>
      </c>
      <c r="B249" s="50" t="s">
        <v>184</v>
      </c>
      <c r="C249" s="53">
        <v>47.577782411881635</v>
      </c>
      <c r="D249" s="53">
        <v>16.61057245426712</v>
      </c>
    </row>
    <row r="250">
      <c r="A250" s="50">
        <v>30502.0</v>
      </c>
      <c r="B250" s="50" t="s">
        <v>186</v>
      </c>
      <c r="C250" s="53">
        <v>47.577782411881635</v>
      </c>
      <c r="D250" s="53">
        <v>16.61057245426712</v>
      </c>
    </row>
    <row r="251">
      <c r="A251" s="50">
        <v>30601.0</v>
      </c>
      <c r="B251" s="50" t="s">
        <v>187</v>
      </c>
      <c r="C251" s="53">
        <v>47.577782411881635</v>
      </c>
      <c r="D251" s="53">
        <v>16.61057245426712</v>
      </c>
    </row>
    <row r="252">
      <c r="A252" s="50">
        <v>30602.0</v>
      </c>
      <c r="B252" s="50" t="s">
        <v>188</v>
      </c>
      <c r="C252" s="53">
        <v>47.577782411881635</v>
      </c>
      <c r="D252" s="53">
        <v>16.61057245426712</v>
      </c>
    </row>
    <row r="253">
      <c r="A253" s="50">
        <v>30702.0</v>
      </c>
      <c r="B253" s="50" t="s">
        <v>190</v>
      </c>
      <c r="C253" s="53">
        <v>47.577782411881635</v>
      </c>
      <c r="D253" s="53">
        <v>16.61057245426712</v>
      </c>
    </row>
    <row r="254">
      <c r="A254" s="50">
        <v>30703.0</v>
      </c>
      <c r="B254" s="50" t="s">
        <v>191</v>
      </c>
      <c r="C254" s="53">
        <v>47.577782411881635</v>
      </c>
      <c r="D254" s="53">
        <v>16.61057245426712</v>
      </c>
    </row>
    <row r="255">
      <c r="A255" s="50">
        <v>30802.0</v>
      </c>
      <c r="B255" s="50" t="s">
        <v>193</v>
      </c>
      <c r="C255" s="53">
        <v>47.577782411881635</v>
      </c>
      <c r="D255" s="53">
        <v>16.61057245426712</v>
      </c>
    </row>
    <row r="256">
      <c r="A256" s="50">
        <v>31101.0</v>
      </c>
      <c r="B256" s="50" t="s">
        <v>203</v>
      </c>
      <c r="C256" s="53">
        <v>47.577782411881635</v>
      </c>
      <c r="D256" s="53">
        <v>16.61057245426712</v>
      </c>
    </row>
    <row r="257">
      <c r="A257" s="50">
        <v>31201.0</v>
      </c>
      <c r="B257" s="50" t="s">
        <v>204</v>
      </c>
      <c r="C257" s="53">
        <v>47.577782411881635</v>
      </c>
      <c r="D257" s="53">
        <v>16.61057245426712</v>
      </c>
    </row>
    <row r="258">
      <c r="A258" s="50">
        <v>31202.0</v>
      </c>
      <c r="B258" s="50" t="s">
        <v>205</v>
      </c>
      <c r="C258" s="53">
        <v>47.577782411881635</v>
      </c>
      <c r="D258" s="53">
        <v>16.61057245426712</v>
      </c>
    </row>
    <row r="259">
      <c r="A259" s="50">
        <v>31203.0</v>
      </c>
      <c r="B259" s="50" t="s">
        <v>206</v>
      </c>
      <c r="C259" s="53">
        <v>47.577782411881635</v>
      </c>
      <c r="D259" s="53">
        <v>16.61057245426712</v>
      </c>
    </row>
    <row r="260">
      <c r="A260" s="50">
        <v>31302.0</v>
      </c>
      <c r="B260" s="50" t="s">
        <v>211</v>
      </c>
      <c r="C260" s="53">
        <v>47.577782411881635</v>
      </c>
      <c r="D260" s="53">
        <v>16.61057245426712</v>
      </c>
    </row>
    <row r="261">
      <c r="A261" s="50">
        <v>31303.0</v>
      </c>
      <c r="B261" s="50" t="s">
        <v>212</v>
      </c>
      <c r="C261" s="53">
        <v>47.577782411881635</v>
      </c>
      <c r="D261" s="53">
        <v>16.61057245426712</v>
      </c>
    </row>
    <row r="262">
      <c r="A262" s="50">
        <v>31304.0</v>
      </c>
      <c r="B262" s="50" t="s">
        <v>213</v>
      </c>
      <c r="C262" s="53">
        <v>47.577782411881635</v>
      </c>
      <c r="D262" s="53">
        <v>16.61057245426712</v>
      </c>
    </row>
    <row r="263">
      <c r="A263" s="50">
        <v>31402.0</v>
      </c>
      <c r="B263" s="50" t="s">
        <v>215</v>
      </c>
      <c r="C263" s="53">
        <v>47.577782411881635</v>
      </c>
      <c r="D263" s="53">
        <v>14.993338846804857</v>
      </c>
    </row>
    <row r="264">
      <c r="A264" s="50">
        <v>31404.0</v>
      </c>
      <c r="B264" s="50" t="s">
        <v>217</v>
      </c>
      <c r="C264" s="53">
        <v>47.577782411881635</v>
      </c>
      <c r="D264" s="53">
        <v>16.61057245426712</v>
      </c>
    </row>
    <row r="265">
      <c r="A265" s="50">
        <v>31405.0</v>
      </c>
      <c r="B265" s="50" t="s">
        <v>218</v>
      </c>
      <c r="C265" s="53">
        <v>47.577782411881635</v>
      </c>
      <c r="D265" s="53">
        <v>16.61057245426712</v>
      </c>
    </row>
    <row r="266">
      <c r="A266" s="50">
        <v>31501.0</v>
      </c>
      <c r="B266" s="50" t="s">
        <v>219</v>
      </c>
      <c r="C266" s="53">
        <v>47.577782411881635</v>
      </c>
      <c r="D266" s="53">
        <v>16.61057245426712</v>
      </c>
    </row>
    <row r="267">
      <c r="A267" s="50">
        <v>10102.0</v>
      </c>
      <c r="B267" s="50" t="s">
        <v>50</v>
      </c>
      <c r="C267" s="53">
        <v>48.100414986419224</v>
      </c>
      <c r="D267" s="53">
        <v>16.733613731706143</v>
      </c>
    </row>
    <row r="268">
      <c r="A268" s="50">
        <v>10103.0</v>
      </c>
      <c r="B268" s="50" t="s">
        <v>53</v>
      </c>
      <c r="C268" s="53">
        <v>48.100414986419224</v>
      </c>
      <c r="D268" s="53">
        <v>16.733613731706143</v>
      </c>
    </row>
    <row r="269">
      <c r="A269" s="50">
        <v>10201.0</v>
      </c>
      <c r="B269" s="50" t="s">
        <v>56</v>
      </c>
      <c r="C269" s="53">
        <v>48.100414986419224</v>
      </c>
      <c r="D269" s="53">
        <v>16.733613731706143</v>
      </c>
    </row>
    <row r="270">
      <c r="A270" s="50">
        <v>10202.0</v>
      </c>
      <c r="B270" s="50" t="s">
        <v>58</v>
      </c>
      <c r="C270" s="53">
        <v>48.100414986419224</v>
      </c>
      <c r="D270" s="53">
        <v>16.733613731706143</v>
      </c>
    </row>
    <row r="271">
      <c r="A271" s="50">
        <v>10303.0</v>
      </c>
      <c r="B271" s="50" t="s">
        <v>64</v>
      </c>
      <c r="C271" s="53">
        <v>48.100414986419224</v>
      </c>
      <c r="D271" s="53">
        <v>15.167062658950671</v>
      </c>
    </row>
    <row r="272">
      <c r="A272" s="50">
        <v>10304.0</v>
      </c>
      <c r="B272" s="50" t="s">
        <v>65</v>
      </c>
      <c r="C272" s="53">
        <v>48.100414986419224</v>
      </c>
      <c r="D272" s="53">
        <v>16.733613731706143</v>
      </c>
    </row>
    <row r="273">
      <c r="A273" s="50">
        <v>10402.0</v>
      </c>
      <c r="B273" s="50" t="s">
        <v>68</v>
      </c>
      <c r="C273" s="53">
        <v>48.100414986419224</v>
      </c>
      <c r="D273" s="53">
        <v>15.497462521568188</v>
      </c>
    </row>
    <row r="274">
      <c r="A274" s="50">
        <v>10404.0</v>
      </c>
      <c r="B274" s="50" t="s">
        <v>71</v>
      </c>
      <c r="C274" s="53">
        <v>48.100414986419224</v>
      </c>
      <c r="D274" s="53">
        <v>16.733613731706143</v>
      </c>
    </row>
    <row r="275">
      <c r="A275" s="50">
        <v>10405.0</v>
      </c>
      <c r="B275" s="50" t="s">
        <v>72</v>
      </c>
      <c r="C275" s="53">
        <v>48.100414986419224</v>
      </c>
      <c r="D275" s="53">
        <v>16.733613731706143</v>
      </c>
    </row>
    <row r="276">
      <c r="A276" s="50">
        <v>10502.0</v>
      </c>
      <c r="B276" s="50" t="s">
        <v>74</v>
      </c>
      <c r="C276" s="53">
        <v>48.100414986419224</v>
      </c>
      <c r="D276" s="53">
        <v>16.733613731706143</v>
      </c>
    </row>
    <row r="277">
      <c r="A277" s="50">
        <v>10602.0</v>
      </c>
      <c r="B277" s="50" t="s">
        <v>76</v>
      </c>
      <c r="C277" s="53">
        <v>48.100414986419224</v>
      </c>
      <c r="D277" s="53">
        <v>16.733613731706143</v>
      </c>
    </row>
    <row r="278">
      <c r="A278" s="50">
        <v>10702.0</v>
      </c>
      <c r="B278" s="50" t="s">
        <v>78</v>
      </c>
      <c r="C278" s="53">
        <v>48.100414986419224</v>
      </c>
      <c r="D278" s="53">
        <v>16.181048444225123</v>
      </c>
    </row>
    <row r="279">
      <c r="A279" s="50">
        <v>10703.0</v>
      </c>
      <c r="B279" s="50" t="s">
        <v>79</v>
      </c>
      <c r="C279" s="53">
        <v>48.100414986419224</v>
      </c>
      <c r="D279" s="53">
        <v>15.776593439986438</v>
      </c>
    </row>
    <row r="280">
      <c r="A280" s="50">
        <v>10901.0</v>
      </c>
      <c r="B280" s="50" t="s">
        <v>82</v>
      </c>
      <c r="C280" s="53">
        <v>48.100414986419224</v>
      </c>
      <c r="D280" s="53">
        <v>14.437904341449947</v>
      </c>
    </row>
    <row r="281">
      <c r="A281" s="50">
        <v>10903.0</v>
      </c>
      <c r="B281" s="50" t="s">
        <v>84</v>
      </c>
      <c r="C281" s="53">
        <v>48.100414986419224</v>
      </c>
      <c r="D281" s="53">
        <v>16.733613731706143</v>
      </c>
    </row>
    <row r="282">
      <c r="A282" s="50">
        <v>11002.0</v>
      </c>
      <c r="B282" s="50" t="s">
        <v>86</v>
      </c>
      <c r="C282" s="53">
        <v>48.100414986419224</v>
      </c>
      <c r="D282" s="53">
        <v>16.733613731706143</v>
      </c>
    </row>
    <row r="283">
      <c r="A283" s="50">
        <v>11003.0</v>
      </c>
      <c r="B283" s="50" t="s">
        <v>87</v>
      </c>
      <c r="C283" s="53">
        <v>48.100414986419224</v>
      </c>
      <c r="D283" s="53">
        <v>16.733613731706143</v>
      </c>
    </row>
    <row r="284">
      <c r="A284" s="50">
        <v>50401.0</v>
      </c>
      <c r="B284" s="50" t="s">
        <v>265</v>
      </c>
      <c r="C284" s="53">
        <v>49.96058646679754</v>
      </c>
      <c r="D284" s="53">
        <v>27.838193549565283</v>
      </c>
    </row>
    <row r="285">
      <c r="A285" s="50">
        <v>50202.0</v>
      </c>
      <c r="B285" s="50" t="s">
        <v>259</v>
      </c>
      <c r="C285" s="53">
        <v>50.85178586322689</v>
      </c>
      <c r="D285" s="53">
        <v>29.504959311888136</v>
      </c>
    </row>
    <row r="286">
      <c r="A286" s="50">
        <v>40103.0</v>
      </c>
      <c r="B286" s="50" t="s">
        <v>223</v>
      </c>
      <c r="C286" s="53">
        <v>51.15081295414522</v>
      </c>
      <c r="D286" s="53">
        <v>30.966852932597995</v>
      </c>
    </row>
    <row r="287">
      <c r="A287" s="50">
        <v>40104.0</v>
      </c>
      <c r="B287" s="50" t="s">
        <v>224</v>
      </c>
      <c r="C287" s="53">
        <v>51.15081295414522</v>
      </c>
      <c r="D287" s="53">
        <v>30.966852932597995</v>
      </c>
    </row>
    <row r="288">
      <c r="A288" s="50">
        <v>40202.0</v>
      </c>
      <c r="B288" s="50" t="s">
        <v>226</v>
      </c>
      <c r="C288" s="53">
        <v>51.15081295414522</v>
      </c>
      <c r="D288" s="53">
        <v>30.966852932597995</v>
      </c>
    </row>
    <row r="289">
      <c r="A289" s="50">
        <v>40301.0</v>
      </c>
      <c r="B289" s="50" t="s">
        <v>227</v>
      </c>
      <c r="C289" s="53">
        <v>51.15081295414522</v>
      </c>
      <c r="D289" s="53">
        <v>30.966852932597995</v>
      </c>
    </row>
    <row r="290">
      <c r="A290" s="50">
        <v>40302.0</v>
      </c>
      <c r="B290" s="50" t="s">
        <v>228</v>
      </c>
      <c r="C290" s="53">
        <v>51.15081295414522</v>
      </c>
      <c r="D290" s="53">
        <v>30.966852932597995</v>
      </c>
    </row>
    <row r="291">
      <c r="A291" s="50">
        <v>40401.0</v>
      </c>
      <c r="B291" s="50" t="s">
        <v>229</v>
      </c>
      <c r="C291" s="53">
        <v>51.15081295414522</v>
      </c>
      <c r="D291" s="53">
        <v>30.966852932597995</v>
      </c>
    </row>
    <row r="292">
      <c r="A292" s="50">
        <v>40402.0</v>
      </c>
      <c r="B292" s="50" t="s">
        <v>230</v>
      </c>
      <c r="C292" s="53">
        <v>51.15081295414522</v>
      </c>
      <c r="D292" s="53">
        <v>30.966852932597995</v>
      </c>
    </row>
    <row r="293">
      <c r="A293" s="50">
        <v>40501.0</v>
      </c>
      <c r="B293" s="50" t="s">
        <v>231</v>
      </c>
      <c r="C293" s="53">
        <v>51.15081295414522</v>
      </c>
      <c r="D293" s="53">
        <v>21.626722992757372</v>
      </c>
    </row>
    <row r="294">
      <c r="A294" s="50">
        <v>40502.0</v>
      </c>
      <c r="B294" s="50" t="s">
        <v>232</v>
      </c>
      <c r="C294" s="53">
        <v>51.15081295414522</v>
      </c>
      <c r="D294" s="53">
        <v>24.947423817870007</v>
      </c>
    </row>
    <row r="295">
      <c r="A295" s="50">
        <v>40503.0</v>
      </c>
      <c r="B295" s="50" t="s">
        <v>233</v>
      </c>
      <c r="C295" s="53">
        <v>51.15081295414522</v>
      </c>
      <c r="D295" s="53">
        <v>30.966852932597995</v>
      </c>
    </row>
    <row r="296">
      <c r="A296" s="50">
        <v>40504.0</v>
      </c>
      <c r="B296" s="50" t="s">
        <v>234</v>
      </c>
      <c r="C296" s="53">
        <v>51.15081295414522</v>
      </c>
      <c r="D296" s="53">
        <v>30.966852932597995</v>
      </c>
    </row>
    <row r="297">
      <c r="A297" s="50">
        <v>40505.0</v>
      </c>
      <c r="B297" s="50" t="s">
        <v>235</v>
      </c>
      <c r="C297" s="53">
        <v>51.15081295414522</v>
      </c>
      <c r="D297" s="53">
        <v>30.966852932597995</v>
      </c>
    </row>
    <row r="298">
      <c r="A298" s="50">
        <v>40602.0</v>
      </c>
      <c r="B298" s="50" t="s">
        <v>237</v>
      </c>
      <c r="C298" s="53">
        <v>51.15081295414522</v>
      </c>
      <c r="D298" s="53">
        <v>30.966852932597995</v>
      </c>
    </row>
    <row r="299">
      <c r="A299" s="50">
        <v>40603.0</v>
      </c>
      <c r="B299" s="50" t="s">
        <v>238</v>
      </c>
      <c r="C299" s="53">
        <v>51.15081295414522</v>
      </c>
      <c r="D299" s="53">
        <v>30.966852932597995</v>
      </c>
    </row>
    <row r="300">
      <c r="A300" s="50">
        <v>40801.0</v>
      </c>
      <c r="B300" s="50" t="s">
        <v>241</v>
      </c>
      <c r="C300" s="53">
        <v>51.15081295414522</v>
      </c>
      <c r="D300" s="53">
        <v>30.966852932597995</v>
      </c>
    </row>
    <row r="301">
      <c r="A301" s="50">
        <v>40802.0</v>
      </c>
      <c r="B301" s="50" t="s">
        <v>242</v>
      </c>
      <c r="C301" s="53">
        <v>51.15081295414522</v>
      </c>
      <c r="D301" s="53">
        <v>30.966852932597995</v>
      </c>
    </row>
    <row r="302">
      <c r="A302" s="50">
        <v>40901.0</v>
      </c>
      <c r="B302" s="50" t="s">
        <v>243</v>
      </c>
      <c r="C302" s="53">
        <v>51.15081295414522</v>
      </c>
      <c r="D302" s="53">
        <v>29.058767696580894</v>
      </c>
    </row>
    <row r="303">
      <c r="A303" s="50">
        <v>40902.0</v>
      </c>
      <c r="B303" s="50" t="s">
        <v>244</v>
      </c>
      <c r="C303" s="53">
        <v>51.15081295414522</v>
      </c>
      <c r="D303" s="53">
        <v>30.966852932597995</v>
      </c>
    </row>
    <row r="304">
      <c r="A304" s="50">
        <v>40903.0</v>
      </c>
      <c r="B304" s="50" t="s">
        <v>245</v>
      </c>
      <c r="C304" s="53">
        <v>51.15081295414522</v>
      </c>
      <c r="D304" s="53">
        <v>30.966852932597995</v>
      </c>
    </row>
    <row r="305">
      <c r="A305" s="50">
        <v>41001.0</v>
      </c>
      <c r="B305" s="50" t="s">
        <v>246</v>
      </c>
      <c r="C305" s="53">
        <v>51.15081295414522</v>
      </c>
      <c r="D305" s="53">
        <v>30.966852932597995</v>
      </c>
    </row>
    <row r="306">
      <c r="A306" s="50">
        <v>41201.0</v>
      </c>
      <c r="B306" s="50" t="s">
        <v>248</v>
      </c>
      <c r="C306" s="53">
        <v>51.15081295414522</v>
      </c>
      <c r="D306" s="53">
        <v>30.966852932597995</v>
      </c>
    </row>
    <row r="307">
      <c r="A307" s="50">
        <v>41202.0</v>
      </c>
      <c r="B307" s="50" t="s">
        <v>249</v>
      </c>
      <c r="C307" s="53">
        <v>51.15081295414522</v>
      </c>
      <c r="D307" s="53">
        <v>30.966852932597995</v>
      </c>
    </row>
    <row r="308">
      <c r="A308" s="50">
        <v>41301.0</v>
      </c>
      <c r="B308" s="50" t="s">
        <v>204</v>
      </c>
      <c r="C308" s="53">
        <v>51.15081295414522</v>
      </c>
      <c r="D308" s="53">
        <v>30.966852932597995</v>
      </c>
    </row>
    <row r="309">
      <c r="A309" s="50">
        <v>41501.0</v>
      </c>
      <c r="B309" s="50" t="s">
        <v>251</v>
      </c>
      <c r="C309" s="53">
        <v>51.15081295414522</v>
      </c>
      <c r="D309" s="53">
        <v>30.966852932597995</v>
      </c>
    </row>
    <row r="310">
      <c r="A310" s="50">
        <v>41502.0</v>
      </c>
      <c r="B310" s="50" t="s">
        <v>252</v>
      </c>
      <c r="C310" s="53">
        <v>51.15081295414522</v>
      </c>
      <c r="D310" s="53">
        <v>30.966852932597995</v>
      </c>
    </row>
    <row r="311">
      <c r="A311" s="50">
        <v>41503.0</v>
      </c>
      <c r="B311" s="50" t="s">
        <v>253</v>
      </c>
      <c r="C311" s="53">
        <v>51.15081295414522</v>
      </c>
      <c r="D311" s="53">
        <v>30.966852932597995</v>
      </c>
    </row>
    <row r="312">
      <c r="A312" s="50">
        <v>41601.0</v>
      </c>
      <c r="B312" s="50" t="s">
        <v>254</v>
      </c>
      <c r="C312" s="53">
        <v>51.15081295414522</v>
      </c>
      <c r="D312" s="53">
        <v>30.966852932597995</v>
      </c>
    </row>
    <row r="313">
      <c r="A313" s="50">
        <v>51102.0</v>
      </c>
      <c r="B313" s="50" t="s">
        <v>284</v>
      </c>
      <c r="C313" s="53">
        <v>51.15909599992666</v>
      </c>
      <c r="D313" s="53">
        <v>28.53267928386647</v>
      </c>
    </row>
    <row r="314">
      <c r="A314" s="50">
        <v>50301.0</v>
      </c>
      <c r="B314" s="50" t="s">
        <v>262</v>
      </c>
      <c r="C314" s="53">
        <v>51.43567512295646</v>
      </c>
      <c r="D314" s="53">
        <v>29.355377769115574</v>
      </c>
    </row>
    <row r="315">
      <c r="A315" s="50">
        <v>50601.0</v>
      </c>
      <c r="B315" s="50" t="s">
        <v>272</v>
      </c>
      <c r="C315" s="53">
        <v>51.46640613662644</v>
      </c>
      <c r="D315" s="53">
        <v>30.13533867071537</v>
      </c>
    </row>
    <row r="316">
      <c r="A316" s="50">
        <v>50701.0</v>
      </c>
      <c r="B316" s="50" t="s">
        <v>274</v>
      </c>
      <c r="C316" s="53">
        <v>53.033687833795305</v>
      </c>
      <c r="D316" s="53">
        <v>29.964388336118155</v>
      </c>
    </row>
    <row r="317">
      <c r="A317" s="50">
        <v>50102.0</v>
      </c>
      <c r="B317" s="50" t="s">
        <v>255</v>
      </c>
      <c r="C317" s="53">
        <v>55.43070690005359</v>
      </c>
      <c r="D317" s="53">
        <v>31.385412992457507</v>
      </c>
    </row>
    <row r="318">
      <c r="A318" s="50">
        <v>50103.0</v>
      </c>
      <c r="B318" s="50" t="s">
        <v>256</v>
      </c>
      <c r="C318" s="53">
        <v>55.43070690005359</v>
      </c>
      <c r="D318" s="53">
        <v>31.385412992457507</v>
      </c>
    </row>
    <row r="319">
      <c r="A319" s="50">
        <v>50104.0</v>
      </c>
      <c r="B319" s="50" t="s">
        <v>257</v>
      </c>
      <c r="C319" s="53">
        <v>55.43070690005359</v>
      </c>
      <c r="D319" s="53">
        <v>31.385412992457507</v>
      </c>
    </row>
    <row r="320">
      <c r="A320" s="50">
        <v>50204.0</v>
      </c>
      <c r="B320" s="50" t="s">
        <v>261</v>
      </c>
      <c r="C320" s="53">
        <v>55.43070690005359</v>
      </c>
      <c r="D320" s="53">
        <v>28.970739516271834</v>
      </c>
    </row>
    <row r="321">
      <c r="A321" s="50">
        <v>50302.0</v>
      </c>
      <c r="B321" s="50" t="s">
        <v>263</v>
      </c>
      <c r="C321" s="53">
        <v>55.43070690005359</v>
      </c>
      <c r="D321" s="53">
        <v>31.385412992457507</v>
      </c>
    </row>
    <row r="322">
      <c r="A322" s="50">
        <v>50303.0</v>
      </c>
      <c r="B322" s="50" t="s">
        <v>264</v>
      </c>
      <c r="C322" s="53">
        <v>55.43070690005359</v>
      </c>
      <c r="D322" s="53">
        <v>31.385412992457507</v>
      </c>
    </row>
    <row r="323">
      <c r="A323" s="50">
        <v>50402.0</v>
      </c>
      <c r="B323" s="50" t="s">
        <v>266</v>
      </c>
      <c r="C323" s="53">
        <v>55.43070690005359</v>
      </c>
      <c r="D323" s="53">
        <v>31.385412992457507</v>
      </c>
    </row>
    <row r="324">
      <c r="A324" s="50">
        <v>50403.0</v>
      </c>
      <c r="B324" s="50" t="s">
        <v>267</v>
      </c>
      <c r="C324" s="53">
        <v>55.43070690005359</v>
      </c>
      <c r="D324" s="53">
        <v>30.71229604998097</v>
      </c>
    </row>
    <row r="325">
      <c r="A325" s="50">
        <v>50404.0</v>
      </c>
      <c r="B325" s="50" t="s">
        <v>268</v>
      </c>
      <c r="C325" s="53">
        <v>55.43070690005359</v>
      </c>
      <c r="D325" s="53">
        <v>31.385412992457507</v>
      </c>
    </row>
    <row r="326">
      <c r="A326" s="50">
        <v>50405.0</v>
      </c>
      <c r="B326" s="50" t="s">
        <v>269</v>
      </c>
      <c r="C326" s="53">
        <v>55.43070690005359</v>
      </c>
      <c r="D326" s="53">
        <v>31.385412992457507</v>
      </c>
    </row>
    <row r="327">
      <c r="A327" s="50">
        <v>50501.0</v>
      </c>
      <c r="B327" s="50" t="s">
        <v>270</v>
      </c>
      <c r="C327" s="53">
        <v>55.43070690005359</v>
      </c>
      <c r="D327" s="53">
        <v>31.385412992457507</v>
      </c>
    </row>
    <row r="328">
      <c r="A328" s="50">
        <v>50502.0</v>
      </c>
      <c r="B328" s="50" t="s">
        <v>271</v>
      </c>
      <c r="C328" s="53">
        <v>55.43070690005359</v>
      </c>
      <c r="D328" s="53">
        <v>31.385412992457507</v>
      </c>
    </row>
    <row r="329">
      <c r="A329" s="50">
        <v>50602.0</v>
      </c>
      <c r="B329" s="50" t="s">
        <v>273</v>
      </c>
      <c r="C329" s="53">
        <v>55.43070690005359</v>
      </c>
      <c r="D329" s="53">
        <v>31.385412992457507</v>
      </c>
    </row>
    <row r="330">
      <c r="A330" s="50">
        <v>50702.0</v>
      </c>
      <c r="B330" s="50" t="s">
        <v>275</v>
      </c>
      <c r="C330" s="53">
        <v>55.43070690005359</v>
      </c>
      <c r="D330" s="53">
        <v>31.385412992457507</v>
      </c>
    </row>
    <row r="331">
      <c r="A331" s="50">
        <v>50901.0</v>
      </c>
      <c r="B331" s="50" t="s">
        <v>278</v>
      </c>
      <c r="C331" s="53">
        <v>55.43070690005359</v>
      </c>
      <c r="D331" s="53">
        <v>29.72933162604698</v>
      </c>
    </row>
    <row r="332">
      <c r="A332" s="50">
        <v>50902.0</v>
      </c>
      <c r="B332" s="50" t="s">
        <v>279</v>
      </c>
      <c r="C332" s="53">
        <v>55.43070690005359</v>
      </c>
      <c r="D332" s="53">
        <v>31.385412992457507</v>
      </c>
    </row>
    <row r="333">
      <c r="A333" s="50">
        <v>51001.0</v>
      </c>
      <c r="B333" s="50" t="s">
        <v>280</v>
      </c>
      <c r="C333" s="53">
        <v>55.43070690005359</v>
      </c>
      <c r="D333" s="53">
        <v>31.385412992457507</v>
      </c>
    </row>
    <row r="334">
      <c r="A334" s="50">
        <v>51002.0</v>
      </c>
      <c r="B334" s="50" t="s">
        <v>281</v>
      </c>
      <c r="C334" s="53">
        <v>55.43070690005359</v>
      </c>
      <c r="D334" s="53">
        <v>31.385412992457507</v>
      </c>
    </row>
    <row r="335">
      <c r="A335" s="50">
        <v>51003.0</v>
      </c>
      <c r="B335" s="50" t="s">
        <v>282</v>
      </c>
      <c r="C335" s="53">
        <v>55.43070690005359</v>
      </c>
      <c r="D335" s="53">
        <v>31.385412992457507</v>
      </c>
    </row>
    <row r="336">
      <c r="A336" s="50">
        <v>51101.0</v>
      </c>
      <c r="B336" s="50" t="s">
        <v>283</v>
      </c>
      <c r="C336" s="53">
        <v>55.43070690005359</v>
      </c>
      <c r="D336" s="53">
        <v>31.385412992457507</v>
      </c>
    </row>
    <row r="337">
      <c r="A337" s="50">
        <v>51103.0</v>
      </c>
      <c r="B337" s="50" t="s">
        <v>285</v>
      </c>
      <c r="C337" s="53">
        <v>55.43070690005359</v>
      </c>
      <c r="D337" s="53">
        <v>31.385412992457507</v>
      </c>
    </row>
    <row r="338">
      <c r="A338" s="50">
        <v>51202.0</v>
      </c>
      <c r="B338" s="50" t="s">
        <v>287</v>
      </c>
      <c r="C338" s="53">
        <v>55.43070690005359</v>
      </c>
      <c r="D338" s="53">
        <v>31.385412992457507</v>
      </c>
    </row>
    <row r="339">
      <c r="A339" s="50">
        <v>51204.0</v>
      </c>
      <c r="B339" s="50" t="s">
        <v>289</v>
      </c>
      <c r="C339" s="53">
        <v>55.43070690005359</v>
      </c>
      <c r="D339" s="53">
        <v>31.385412992457507</v>
      </c>
    </row>
    <row r="340">
      <c r="A340" s="50">
        <v>51301.0</v>
      </c>
      <c r="B340" s="50" t="s">
        <v>290</v>
      </c>
      <c r="C340" s="53">
        <v>55.43070690005359</v>
      </c>
      <c r="D340" s="53">
        <v>31.385412992457507</v>
      </c>
    </row>
    <row r="341">
      <c r="A341" s="50">
        <v>51302.0</v>
      </c>
      <c r="B341" s="50" t="s">
        <v>291</v>
      </c>
      <c r="C341" s="53">
        <v>55.43070690005359</v>
      </c>
      <c r="D341" s="53">
        <v>31.385412992457507</v>
      </c>
    </row>
    <row r="342">
      <c r="A342" s="50">
        <v>51401.0</v>
      </c>
      <c r="B342" s="50" t="s">
        <v>292</v>
      </c>
      <c r="C342" s="53">
        <v>55.43070690005359</v>
      </c>
      <c r="D342" s="53">
        <v>31.385412992457507</v>
      </c>
    </row>
    <row r="343">
      <c r="A343" s="50">
        <v>51402.0</v>
      </c>
      <c r="B343" s="50" t="s">
        <v>293</v>
      </c>
      <c r="C343" s="53">
        <v>55.43070690005359</v>
      </c>
      <c r="D343" s="53">
        <v>31.385412992457507</v>
      </c>
    </row>
    <row r="344">
      <c r="A344" s="50">
        <v>51601.0</v>
      </c>
      <c r="B344" s="50" t="s">
        <v>295</v>
      </c>
      <c r="C344" s="53">
        <v>55.43070690005359</v>
      </c>
      <c r="D344" s="53">
        <v>31.385412992457507</v>
      </c>
    </row>
    <row r="345">
      <c r="B345" s="1"/>
      <c r="C345" s="33"/>
      <c r="D345" s="33"/>
    </row>
  </sheetData>
  <autoFilter ref="$A$1:$D$1">
    <sortState ref="A1:D1">
      <sortCondition ref="C1"/>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5.75" customHeight="1">
      <c r="A1" s="41" t="s">
        <v>32</v>
      </c>
      <c r="B1" s="41" t="s">
        <v>33</v>
      </c>
      <c r="C1" s="100" t="s">
        <v>396</v>
      </c>
      <c r="D1" s="100" t="s">
        <v>397</v>
      </c>
      <c r="E1" s="101"/>
      <c r="F1" s="101"/>
      <c r="G1" s="101"/>
      <c r="H1" s="101"/>
      <c r="I1" s="101"/>
      <c r="J1" s="101"/>
      <c r="K1" s="101"/>
      <c r="L1" s="101"/>
      <c r="M1" s="101"/>
      <c r="N1" s="101"/>
      <c r="O1" s="101"/>
      <c r="P1" s="101"/>
      <c r="Q1" s="101"/>
      <c r="R1" s="101"/>
      <c r="S1" s="101"/>
      <c r="T1" s="101"/>
      <c r="U1" s="101"/>
      <c r="V1" s="101"/>
      <c r="W1" s="101"/>
      <c r="X1" s="101"/>
      <c r="Y1" s="101"/>
      <c r="Z1" s="101"/>
    </row>
    <row r="2">
      <c r="A2" s="50">
        <v>10101.0</v>
      </c>
      <c r="B2" s="50" t="s">
        <v>47</v>
      </c>
      <c r="C2" s="102">
        <v>6400.458106104039</v>
      </c>
      <c r="D2" s="102">
        <v>2315.305861831989</v>
      </c>
    </row>
    <row r="3">
      <c r="A3" s="50">
        <v>10102.0</v>
      </c>
      <c r="B3" s="50" t="s">
        <v>50</v>
      </c>
      <c r="C3" s="102">
        <v>515.636448654414</v>
      </c>
      <c r="D3" s="102">
        <v>109.27049766804112</v>
      </c>
    </row>
    <row r="4">
      <c r="A4" s="50">
        <v>10103.0</v>
      </c>
      <c r="B4" s="50" t="s">
        <v>53</v>
      </c>
      <c r="C4" s="102">
        <v>1166.4350634206662</v>
      </c>
      <c r="D4" s="102">
        <v>204.8194320760832</v>
      </c>
    </row>
    <row r="5">
      <c r="A5" s="50">
        <v>10201.0</v>
      </c>
      <c r="B5" s="50" t="s">
        <v>56</v>
      </c>
      <c r="C5" s="102">
        <v>772.973668831757</v>
      </c>
      <c r="D5" s="102">
        <v>130.02017869535675</v>
      </c>
    </row>
    <row r="6">
      <c r="A6" s="50">
        <v>10202.0</v>
      </c>
      <c r="B6" s="50" t="s">
        <v>58</v>
      </c>
      <c r="C6" s="102">
        <v>1007.7036939654828</v>
      </c>
      <c r="D6" s="102">
        <v>245.81678571876324</v>
      </c>
    </row>
    <row r="7">
      <c r="A7" s="50">
        <v>10301.0</v>
      </c>
      <c r="B7" s="50" t="s">
        <v>60</v>
      </c>
      <c r="C7" s="102">
        <v>457.95190884622514</v>
      </c>
      <c r="D7" s="102">
        <v>134.522560409443</v>
      </c>
    </row>
    <row r="8">
      <c r="A8" s="50">
        <v>10302.0</v>
      </c>
      <c r="B8" s="50" t="s">
        <v>62</v>
      </c>
      <c r="C8" s="102">
        <v>680.4684710020589</v>
      </c>
      <c r="D8" s="102">
        <v>171.40951189918695</v>
      </c>
    </row>
    <row r="9">
      <c r="A9" s="50">
        <v>10303.0</v>
      </c>
      <c r="B9" s="50" t="s">
        <v>64</v>
      </c>
      <c r="C9" s="102">
        <v>509.3833947061796</v>
      </c>
      <c r="D9" s="102">
        <v>118.30308873981522</v>
      </c>
    </row>
    <row r="10">
      <c r="A10" s="50">
        <v>10304.0</v>
      </c>
      <c r="B10" s="50" t="s">
        <v>65</v>
      </c>
      <c r="C10" s="102">
        <v>501.20632415848837</v>
      </c>
      <c r="D10" s="102">
        <v>101.5730353514563</v>
      </c>
    </row>
    <row r="11">
      <c r="A11" s="50">
        <v>10401.0</v>
      </c>
      <c r="B11" s="50" t="s">
        <v>66</v>
      </c>
      <c r="C11" s="102">
        <v>528.761327267567</v>
      </c>
      <c r="D11" s="102">
        <v>101.8235980748568</v>
      </c>
    </row>
    <row r="12">
      <c r="A12" s="50">
        <v>10402.0</v>
      </c>
      <c r="B12" s="50" t="s">
        <v>68</v>
      </c>
      <c r="C12" s="102">
        <v>545.9397100958581</v>
      </c>
      <c r="D12" s="102">
        <v>101.35340489105594</v>
      </c>
    </row>
    <row r="13">
      <c r="A13" s="50">
        <v>10403.0</v>
      </c>
      <c r="B13" s="50" t="s">
        <v>70</v>
      </c>
      <c r="C13" s="102">
        <v>418.46129866941027</v>
      </c>
      <c r="D13" s="102">
        <v>94.9342482498396</v>
      </c>
    </row>
    <row r="14">
      <c r="A14" s="50">
        <v>10404.0</v>
      </c>
      <c r="B14" s="50" t="s">
        <v>71</v>
      </c>
      <c r="C14" s="102">
        <v>265.03328657516994</v>
      </c>
      <c r="D14" s="102">
        <v>42.838051153167726</v>
      </c>
    </row>
    <row r="15">
      <c r="A15" s="50">
        <v>10405.0</v>
      </c>
      <c r="B15" s="50" t="s">
        <v>72</v>
      </c>
      <c r="C15" s="102">
        <v>247.2361330301948</v>
      </c>
      <c r="D15" s="102">
        <v>71.78720290901936</v>
      </c>
    </row>
    <row r="16">
      <c r="A16" s="50">
        <v>10501.0</v>
      </c>
      <c r="B16" s="50" t="s">
        <v>73</v>
      </c>
      <c r="C16" s="102">
        <v>1119.6385933627905</v>
      </c>
      <c r="D16" s="102">
        <v>246.0690574069704</v>
      </c>
    </row>
    <row r="17">
      <c r="A17" s="50">
        <v>10502.0</v>
      </c>
      <c r="B17" s="50" t="s">
        <v>74</v>
      </c>
      <c r="C17" s="102">
        <v>610.3942661776599</v>
      </c>
      <c r="D17" s="102">
        <v>107.76447243218756</v>
      </c>
    </row>
    <row r="18">
      <c r="A18" s="50">
        <v>10601.0</v>
      </c>
      <c r="B18" s="50" t="s">
        <v>75</v>
      </c>
      <c r="C18" s="102">
        <v>1034.1672837050226</v>
      </c>
      <c r="D18" s="102">
        <v>151.86245788905234</v>
      </c>
    </row>
    <row r="19">
      <c r="A19" s="50">
        <v>10602.0</v>
      </c>
      <c r="B19" s="50" t="s">
        <v>76</v>
      </c>
      <c r="C19" s="102">
        <v>567.1038926898826</v>
      </c>
      <c r="D19" s="102">
        <v>96.72028736926151</v>
      </c>
    </row>
    <row r="20">
      <c r="A20" s="50">
        <v>10701.0</v>
      </c>
      <c r="B20" s="50" t="s">
        <v>77</v>
      </c>
      <c r="C20" s="102">
        <v>725.287146701173</v>
      </c>
      <c r="D20" s="102">
        <v>149.97251370938656</v>
      </c>
    </row>
    <row r="21">
      <c r="A21" s="50">
        <v>10702.0</v>
      </c>
      <c r="B21" s="50" t="s">
        <v>78</v>
      </c>
      <c r="C21" s="102">
        <v>2294.389794852197</v>
      </c>
      <c r="D21" s="102">
        <v>399.9955175412451</v>
      </c>
    </row>
    <row r="22">
      <c r="A22" s="50">
        <v>10703.0</v>
      </c>
      <c r="B22" s="50" t="s">
        <v>79</v>
      </c>
      <c r="C22" s="102">
        <v>898.9967560961752</v>
      </c>
      <c r="D22" s="102">
        <v>221.9766697006092</v>
      </c>
    </row>
    <row r="23">
      <c r="A23" s="50">
        <v>10704.0</v>
      </c>
      <c r="B23" s="50" t="s">
        <v>80</v>
      </c>
      <c r="C23" s="102">
        <v>1006.4867185748336</v>
      </c>
      <c r="D23" s="102">
        <v>201.79840953914115</v>
      </c>
    </row>
    <row r="24">
      <c r="A24" s="50">
        <v>10801.0</v>
      </c>
      <c r="B24" s="50" t="s">
        <v>81</v>
      </c>
      <c r="C24" s="102">
        <v>561.6458663261387</v>
      </c>
      <c r="D24" s="102">
        <v>88.64084293564532</v>
      </c>
    </row>
    <row r="25">
      <c r="A25" s="50">
        <v>10901.0</v>
      </c>
      <c r="B25" s="50" t="s">
        <v>82</v>
      </c>
      <c r="C25" s="102">
        <v>199.1357180437756</v>
      </c>
      <c r="D25" s="102">
        <v>51.97645562921981</v>
      </c>
    </row>
    <row r="26">
      <c r="A26" s="50">
        <v>10902.0</v>
      </c>
      <c r="B26" s="50" t="s">
        <v>83</v>
      </c>
      <c r="C26" s="102">
        <v>1062.6423131713193</v>
      </c>
      <c r="D26" s="102">
        <v>212.00161302071857</v>
      </c>
    </row>
    <row r="27">
      <c r="A27" s="50">
        <v>10903.0</v>
      </c>
      <c r="B27" s="50" t="s">
        <v>84</v>
      </c>
      <c r="C27" s="102">
        <v>200.57873049336817</v>
      </c>
      <c r="D27" s="102">
        <v>52.87821939219141</v>
      </c>
    </row>
    <row r="28">
      <c r="A28" s="50">
        <v>11001.0</v>
      </c>
      <c r="B28" s="50" t="s">
        <v>85</v>
      </c>
      <c r="C28" s="102">
        <v>544.9540254260587</v>
      </c>
      <c r="D28" s="102">
        <v>121.8509281611515</v>
      </c>
    </row>
    <row r="29">
      <c r="A29" s="50">
        <v>11002.0</v>
      </c>
      <c r="B29" s="50" t="s">
        <v>86</v>
      </c>
      <c r="C29" s="102">
        <v>164.98442340341794</v>
      </c>
      <c r="D29" s="102">
        <v>36.31194179780233</v>
      </c>
    </row>
    <row r="30">
      <c r="A30" s="50">
        <v>11003.0</v>
      </c>
      <c r="B30" s="50" t="s">
        <v>87</v>
      </c>
      <c r="C30" s="102">
        <v>445.409842774242</v>
      </c>
      <c r="D30" s="102">
        <v>92.53688393633496</v>
      </c>
    </row>
    <row r="31">
      <c r="A31" s="50">
        <v>20101.0</v>
      </c>
      <c r="B31" s="50" t="s">
        <v>88</v>
      </c>
      <c r="C31" s="102">
        <v>14485.74830415537</v>
      </c>
      <c r="D31" s="102">
        <v>5612.5552251774225</v>
      </c>
    </row>
    <row r="32">
      <c r="A32" s="50">
        <v>20102.0</v>
      </c>
      <c r="B32" s="50" t="s">
        <v>89</v>
      </c>
      <c r="C32" s="102">
        <v>837.1691403470875</v>
      </c>
      <c r="D32" s="102">
        <v>384.8712152809379</v>
      </c>
    </row>
    <row r="33">
      <c r="A33" s="50">
        <v>20103.0</v>
      </c>
      <c r="B33" s="50" t="s">
        <v>90</v>
      </c>
      <c r="C33" s="102">
        <v>640.4933479387859</v>
      </c>
      <c r="D33" s="102">
        <v>278.8330778861898</v>
      </c>
    </row>
    <row r="34">
      <c r="A34" s="50">
        <v>20104.0</v>
      </c>
      <c r="B34" s="50" t="s">
        <v>91</v>
      </c>
      <c r="C34" s="102">
        <v>560.2603356114366</v>
      </c>
      <c r="D34" s="102">
        <v>480.85201578038834</v>
      </c>
    </row>
    <row r="35">
      <c r="A35" s="50">
        <v>20105.0</v>
      </c>
      <c r="B35" s="50" t="s">
        <v>92</v>
      </c>
      <c r="C35" s="102">
        <v>19202.32338366354</v>
      </c>
      <c r="D35" s="102">
        <v>9390.685492736562</v>
      </c>
    </row>
    <row r="36">
      <c r="A36" s="50">
        <v>20201.0</v>
      </c>
      <c r="B36" s="50" t="s">
        <v>93</v>
      </c>
      <c r="C36" s="102">
        <v>1824.294651480315</v>
      </c>
      <c r="D36" s="102">
        <v>589.1254944737663</v>
      </c>
    </row>
    <row r="37">
      <c r="A37" s="50">
        <v>20202.0</v>
      </c>
      <c r="B37" s="50" t="s">
        <v>94</v>
      </c>
      <c r="C37" s="102">
        <v>587.1975097082388</v>
      </c>
      <c r="D37" s="102">
        <v>213.36418738943237</v>
      </c>
    </row>
    <row r="38">
      <c r="A38" s="50">
        <v>20203.0</v>
      </c>
      <c r="B38" s="50" t="s">
        <v>95</v>
      </c>
      <c r="C38" s="102">
        <v>191.01605737496925</v>
      </c>
      <c r="D38" s="102">
        <v>82.42640639591755</v>
      </c>
    </row>
    <row r="39">
      <c r="A39" s="50">
        <v>20204.0</v>
      </c>
      <c r="B39" s="50" t="s">
        <v>96</v>
      </c>
      <c r="C39" s="102">
        <v>282.9867516666211</v>
      </c>
      <c r="D39" s="102">
        <v>101.53044329497135</v>
      </c>
    </row>
    <row r="40">
      <c r="A40" s="50">
        <v>20205.0</v>
      </c>
      <c r="B40" s="50" t="s">
        <v>97</v>
      </c>
      <c r="C40" s="102">
        <v>296.66444466384115</v>
      </c>
      <c r="D40" s="102">
        <v>100.88648699500324</v>
      </c>
    </row>
    <row r="41">
      <c r="A41" s="50">
        <v>20206.0</v>
      </c>
      <c r="B41" s="50" t="s">
        <v>98</v>
      </c>
      <c r="C41" s="102">
        <v>136.30528538608917</v>
      </c>
      <c r="D41" s="102">
        <v>64.18097789682122</v>
      </c>
    </row>
    <row r="42">
      <c r="A42" s="50">
        <v>20301.0</v>
      </c>
      <c r="B42" s="50" t="s">
        <v>99</v>
      </c>
      <c r="C42" s="102">
        <v>483.4357007638111</v>
      </c>
      <c r="D42" s="102">
        <v>181.2506256238059</v>
      </c>
    </row>
    <row r="43">
      <c r="A43" s="50">
        <v>20302.0</v>
      </c>
      <c r="B43" s="50" t="s">
        <v>100</v>
      </c>
      <c r="C43" s="102">
        <v>594.7438230860154</v>
      </c>
      <c r="D43" s="102">
        <v>227.10192178875198</v>
      </c>
    </row>
    <row r="44">
      <c r="A44" s="50">
        <v>20303.0</v>
      </c>
      <c r="B44" s="50" t="s">
        <v>101</v>
      </c>
      <c r="C44" s="102">
        <v>364.10962047771915</v>
      </c>
      <c r="D44" s="102">
        <v>166.35537749176066</v>
      </c>
    </row>
    <row r="45">
      <c r="A45" s="50">
        <v>20304.0</v>
      </c>
      <c r="B45" s="50" t="s">
        <v>102</v>
      </c>
      <c r="C45" s="102">
        <v>180.63987648052648</v>
      </c>
      <c r="D45" s="102">
        <v>79.85058119604513</v>
      </c>
    </row>
    <row r="46">
      <c r="A46" s="50">
        <v>20305.0</v>
      </c>
      <c r="B46" s="50" t="s">
        <v>103</v>
      </c>
      <c r="C46" s="102">
        <v>142.90830959164367</v>
      </c>
      <c r="D46" s="102">
        <v>61.81980479693816</v>
      </c>
    </row>
    <row r="47">
      <c r="A47" s="50">
        <v>20306.0</v>
      </c>
      <c r="B47" s="50" t="s">
        <v>104</v>
      </c>
      <c r="C47" s="102">
        <v>171.3009348936065</v>
      </c>
      <c r="D47" s="102">
        <v>71.20633104443921</v>
      </c>
    </row>
    <row r="48">
      <c r="A48" s="50">
        <v>20307.0</v>
      </c>
      <c r="B48" s="50" t="s">
        <v>105</v>
      </c>
      <c r="C48" s="102">
        <v>20.75236178888555</v>
      </c>
      <c r="D48" s="102">
        <v>53.01906869737404</v>
      </c>
    </row>
    <row r="49">
      <c r="A49" s="50">
        <v>20308.0</v>
      </c>
      <c r="B49" s="50" t="s">
        <v>106</v>
      </c>
      <c r="C49" s="102">
        <v>320.24667396939293</v>
      </c>
      <c r="D49" s="102">
        <v>98.95461809509892</v>
      </c>
    </row>
    <row r="50">
      <c r="A50" s="50">
        <v>20401.0</v>
      </c>
      <c r="B50" s="50" t="s">
        <v>107</v>
      </c>
      <c r="C50" s="102">
        <v>475.8893873860345</v>
      </c>
      <c r="D50" s="102">
        <v>156.48138089224972</v>
      </c>
    </row>
    <row r="51">
      <c r="A51" s="50">
        <v>20402.0</v>
      </c>
      <c r="B51" s="50" t="s">
        <v>108</v>
      </c>
      <c r="C51" s="102">
        <v>759.8194282248776</v>
      </c>
      <c r="D51" s="102">
        <v>223.4528360889327</v>
      </c>
    </row>
    <row r="52">
      <c r="A52" s="50">
        <v>20403.0</v>
      </c>
      <c r="B52" s="50" t="s">
        <v>109</v>
      </c>
      <c r="C52" s="102">
        <v>649.4545950748955</v>
      </c>
      <c r="D52" s="102">
        <v>213.57883948942177</v>
      </c>
    </row>
    <row r="53">
      <c r="A53" s="50">
        <v>20404.0</v>
      </c>
      <c r="B53" s="50" t="s">
        <v>110</v>
      </c>
      <c r="C53" s="102">
        <v>245.72682936384933</v>
      </c>
      <c r="D53" s="102">
        <v>75.55753919625775</v>
      </c>
    </row>
    <row r="54">
      <c r="A54" s="50">
        <v>20405.0</v>
      </c>
      <c r="B54" s="50" t="s">
        <v>111</v>
      </c>
      <c r="C54" s="102">
        <v>252.3298535694038</v>
      </c>
      <c r="D54" s="102">
        <v>96.59344499521586</v>
      </c>
    </row>
    <row r="55">
      <c r="A55" s="50">
        <v>20501.0</v>
      </c>
      <c r="B55" s="50" t="s">
        <v>112</v>
      </c>
      <c r="C55" s="102">
        <v>619.7409861499003</v>
      </c>
      <c r="D55" s="102">
        <v>289.35103078566885</v>
      </c>
    </row>
    <row r="56">
      <c r="A56" s="50">
        <v>20502.0</v>
      </c>
      <c r="B56" s="50" t="s">
        <v>113</v>
      </c>
      <c r="C56" s="102">
        <v>500.88655044991935</v>
      </c>
      <c r="D56" s="102">
        <v>151.7590346924836</v>
      </c>
    </row>
    <row r="57">
      <c r="A57" s="50">
        <v>20503.0</v>
      </c>
      <c r="B57" s="50" t="s">
        <v>114</v>
      </c>
      <c r="C57" s="102">
        <v>288.6464866999535</v>
      </c>
      <c r="D57" s="102">
        <v>126.85939109371684</v>
      </c>
    </row>
    <row r="58">
      <c r="A58" s="50">
        <v>20601.0</v>
      </c>
      <c r="B58" s="50" t="s">
        <v>115</v>
      </c>
      <c r="C58" s="102">
        <v>1012.053252024044</v>
      </c>
      <c r="D58" s="102">
        <v>477.18495410896145</v>
      </c>
    </row>
    <row r="59">
      <c r="A59" s="50">
        <v>20602.0</v>
      </c>
      <c r="B59" s="50" t="s">
        <v>116</v>
      </c>
      <c r="C59" s="102">
        <v>642.0270725952064</v>
      </c>
      <c r="D59" s="102">
        <v>268.5748266253021</v>
      </c>
    </row>
    <row r="60">
      <c r="A60" s="50">
        <v>20603.0</v>
      </c>
      <c r="B60" s="50" t="s">
        <v>117</v>
      </c>
      <c r="C60" s="102">
        <v>420.23532622493235</v>
      </c>
      <c r="D60" s="102">
        <v>173.8682009913886</v>
      </c>
    </row>
    <row r="61">
      <c r="A61" s="50">
        <v>20604.0</v>
      </c>
      <c r="B61" s="50" t="s">
        <v>118</v>
      </c>
      <c r="C61" s="102">
        <v>150.92626755553127</v>
      </c>
      <c r="D61" s="102">
        <v>79.63592909605575</v>
      </c>
    </row>
    <row r="62">
      <c r="A62" s="50">
        <v>20605.0</v>
      </c>
      <c r="B62" s="50" t="s">
        <v>119</v>
      </c>
      <c r="C62" s="102">
        <v>122.62759238886915</v>
      </c>
      <c r="D62" s="102">
        <v>46.79415779768235</v>
      </c>
    </row>
    <row r="63">
      <c r="A63" s="50">
        <v>20606.0</v>
      </c>
      <c r="B63" s="50" t="s">
        <v>120</v>
      </c>
      <c r="C63" s="102">
        <v>486.1414304479111</v>
      </c>
      <c r="D63" s="102">
        <v>136.45296984345447</v>
      </c>
    </row>
    <row r="64">
      <c r="A64" s="50">
        <v>20607.0</v>
      </c>
      <c r="B64" s="50" t="s">
        <v>121</v>
      </c>
      <c r="C64" s="102">
        <v>653.2815632341784</v>
      </c>
      <c r="D64" s="102">
        <v>355.5669105903893</v>
      </c>
    </row>
    <row r="65">
      <c r="A65" s="50">
        <v>20608.0</v>
      </c>
      <c r="B65" s="50" t="s">
        <v>122</v>
      </c>
      <c r="C65" s="102">
        <v>494.7551708304759</v>
      </c>
      <c r="D65" s="102">
        <v>233.7873756195698</v>
      </c>
    </row>
    <row r="66">
      <c r="A66" s="50">
        <v>20701.0</v>
      </c>
      <c r="B66" s="50" t="s">
        <v>123</v>
      </c>
      <c r="C66" s="102">
        <v>963.1664304721104</v>
      </c>
      <c r="D66" s="102">
        <v>381.65391826497813</v>
      </c>
    </row>
    <row r="67">
      <c r="A67" s="50">
        <v>20702.0</v>
      </c>
      <c r="B67" s="50" t="s">
        <v>124</v>
      </c>
      <c r="C67" s="102">
        <v>365.52455423605227</v>
      </c>
      <c r="D67" s="102">
        <v>156.26672879226035</v>
      </c>
    </row>
    <row r="68">
      <c r="A68" s="50">
        <v>20801.0</v>
      </c>
      <c r="B68" s="50" t="s">
        <v>125</v>
      </c>
      <c r="C68" s="102">
        <v>2018.6725523650152</v>
      </c>
      <c r="D68" s="102">
        <v>1286.2774807139435</v>
      </c>
    </row>
    <row r="69">
      <c r="A69" s="50">
        <v>20802.0</v>
      </c>
      <c r="B69" s="50" t="s">
        <v>126</v>
      </c>
      <c r="C69" s="102">
        <v>258.93287777495834</v>
      </c>
      <c r="D69" s="102">
        <v>102.81835589490757</v>
      </c>
    </row>
    <row r="70">
      <c r="A70" s="50">
        <v>20803.0</v>
      </c>
      <c r="B70" s="50" t="s">
        <v>127</v>
      </c>
      <c r="C70" s="102">
        <v>440.37610427962886</v>
      </c>
      <c r="D70" s="102">
        <v>202.5203651997737</v>
      </c>
    </row>
    <row r="71">
      <c r="A71" s="50">
        <v>20804.0</v>
      </c>
      <c r="B71" s="50" t="s">
        <v>128</v>
      </c>
      <c r="C71" s="102">
        <v>201.84954290510186</v>
      </c>
      <c r="D71" s="102">
        <v>89.83126445631673</v>
      </c>
    </row>
    <row r="72">
      <c r="A72" s="50">
        <v>20805.0</v>
      </c>
      <c r="B72" s="50" t="s">
        <v>129</v>
      </c>
      <c r="C72" s="102">
        <v>233.4640701249624</v>
      </c>
      <c r="D72" s="102">
        <v>99.59857439506703</v>
      </c>
    </row>
    <row r="73">
      <c r="A73" s="50">
        <v>20806.0</v>
      </c>
      <c r="B73" s="50" t="s">
        <v>130</v>
      </c>
      <c r="C73" s="102">
        <v>588.6124434665719</v>
      </c>
      <c r="D73" s="102">
        <v>245.77665448782705</v>
      </c>
    </row>
    <row r="74">
      <c r="A74" s="50">
        <v>20807.0</v>
      </c>
      <c r="B74" s="50" t="s">
        <v>131</v>
      </c>
      <c r="C74" s="102">
        <v>205.1653949583003</v>
      </c>
      <c r="D74" s="102">
        <v>97.45205339517335</v>
      </c>
    </row>
    <row r="75">
      <c r="A75" s="50">
        <v>20901.0</v>
      </c>
      <c r="B75" s="50" t="s">
        <v>132</v>
      </c>
      <c r="C75" s="102">
        <v>441.459332599929</v>
      </c>
      <c r="D75" s="102">
        <v>146.60738429273874</v>
      </c>
    </row>
    <row r="76">
      <c r="A76" s="50">
        <v>20902.0</v>
      </c>
      <c r="B76" s="50" t="s">
        <v>133</v>
      </c>
      <c r="C76" s="102">
        <v>550.409231991578</v>
      </c>
      <c r="D76" s="102">
        <v>232.03892008850747</v>
      </c>
    </row>
    <row r="77">
      <c r="A77" s="50">
        <v>20903.0</v>
      </c>
      <c r="B77" s="50" t="s">
        <v>134</v>
      </c>
      <c r="C77" s="102">
        <v>380.61718099160544</v>
      </c>
      <c r="D77" s="102">
        <v>185.37446696401014</v>
      </c>
    </row>
    <row r="78">
      <c r="A78" s="50">
        <v>20904.0</v>
      </c>
      <c r="B78" s="50" t="s">
        <v>135</v>
      </c>
      <c r="C78" s="102">
        <v>273.0822153582894</v>
      </c>
      <c r="D78" s="102">
        <v>114.8388734943122</v>
      </c>
    </row>
    <row r="79">
      <c r="A79" s="50">
        <v>20905.0</v>
      </c>
      <c r="B79" s="50" t="s">
        <v>136</v>
      </c>
      <c r="C79" s="102">
        <v>623.5141428387885</v>
      </c>
      <c r="D79" s="102">
        <v>243.84478558792273</v>
      </c>
    </row>
    <row r="80">
      <c r="A80" s="50">
        <v>21001.0</v>
      </c>
      <c r="B80" s="50" t="s">
        <v>137</v>
      </c>
      <c r="C80" s="102">
        <v>865.9394600998606</v>
      </c>
      <c r="D80" s="102">
        <v>343.8726641829685</v>
      </c>
    </row>
    <row r="81">
      <c r="A81" s="50">
        <v>21002.0</v>
      </c>
      <c r="B81" s="50" t="s">
        <v>138</v>
      </c>
      <c r="C81" s="102">
        <v>322.7019041719184</v>
      </c>
      <c r="D81" s="102">
        <v>162.65769821015655</v>
      </c>
    </row>
    <row r="82">
      <c r="A82" s="50">
        <v>21003.0</v>
      </c>
      <c r="B82" s="50" t="s">
        <v>139</v>
      </c>
      <c r="C82" s="102">
        <v>525.4120689276932</v>
      </c>
      <c r="D82" s="102">
        <v>293.0686224748464</v>
      </c>
    </row>
    <row r="83">
      <c r="A83" s="50">
        <v>21004.0</v>
      </c>
      <c r="B83" s="50" t="s">
        <v>140</v>
      </c>
      <c r="C83" s="102">
        <v>953.4195065431873</v>
      </c>
      <c r="D83" s="102">
        <v>385.8111539914615</v>
      </c>
    </row>
    <row r="84">
      <c r="A84" s="50">
        <v>21005.0</v>
      </c>
      <c r="B84" s="50" t="s">
        <v>141</v>
      </c>
      <c r="C84" s="102">
        <v>430.6115071193752</v>
      </c>
      <c r="D84" s="102">
        <v>149.8828109242021</v>
      </c>
    </row>
    <row r="85">
      <c r="A85" s="50">
        <v>21006.0</v>
      </c>
      <c r="B85" s="50" t="s">
        <v>142</v>
      </c>
      <c r="C85" s="102">
        <v>157.9085184458624</v>
      </c>
      <c r="D85" s="102">
        <v>149.47250571860533</v>
      </c>
    </row>
    <row r="86">
      <c r="A86" s="50">
        <v>21101.0</v>
      </c>
      <c r="B86" s="50" t="s">
        <v>143</v>
      </c>
      <c r="C86" s="102">
        <v>739.0239488345553</v>
      </c>
      <c r="D86" s="102">
        <v>275.96952753101243</v>
      </c>
    </row>
    <row r="87">
      <c r="A87" s="50">
        <v>21102.0</v>
      </c>
      <c r="B87" s="50" t="s">
        <v>144</v>
      </c>
      <c r="C87" s="102">
        <v>759.8194282248776</v>
      </c>
      <c r="D87" s="102">
        <v>336.8123821149096</v>
      </c>
    </row>
    <row r="88">
      <c r="A88" s="50">
        <v>21103.0</v>
      </c>
      <c r="B88" s="50" t="s">
        <v>145</v>
      </c>
      <c r="C88" s="102">
        <v>266.47919115273487</v>
      </c>
      <c r="D88" s="102">
        <v>108.61396259462052</v>
      </c>
    </row>
    <row r="89">
      <c r="A89" s="50">
        <v>21104.0</v>
      </c>
      <c r="B89" s="50" t="s">
        <v>146</v>
      </c>
      <c r="C89" s="102">
        <v>1183.473603416847</v>
      </c>
      <c r="D89" s="102">
        <v>461.3158979052538</v>
      </c>
    </row>
    <row r="90">
      <c r="A90" s="50">
        <v>21105.0</v>
      </c>
      <c r="B90" s="50" t="s">
        <v>147</v>
      </c>
      <c r="C90" s="102">
        <v>2146.9435066331907</v>
      </c>
      <c r="D90" s="102">
        <v>905.3090242443529</v>
      </c>
    </row>
    <row r="91">
      <c r="A91" s="50">
        <v>21201.0</v>
      </c>
      <c r="B91" s="50" t="s">
        <v>148</v>
      </c>
      <c r="C91" s="102">
        <v>1385.6917939942214</v>
      </c>
      <c r="D91" s="102">
        <v>694.1933313035069</v>
      </c>
    </row>
    <row r="92">
      <c r="A92" s="50">
        <v>21202.0</v>
      </c>
      <c r="B92" s="50" t="s">
        <v>149</v>
      </c>
      <c r="C92" s="102">
        <v>957.9101543915125</v>
      </c>
      <c r="D92" s="102">
        <v>558.7982400818555</v>
      </c>
    </row>
    <row r="93">
      <c r="A93" s="50">
        <v>21203.0</v>
      </c>
      <c r="B93" s="50" t="s">
        <v>150</v>
      </c>
      <c r="C93" s="102">
        <v>824.7429599247445</v>
      </c>
      <c r="D93" s="102">
        <v>288.5423678190195</v>
      </c>
    </row>
    <row r="94">
      <c r="A94" s="50">
        <v>21204.0</v>
      </c>
      <c r="B94" s="50" t="s">
        <v>151</v>
      </c>
      <c r="C94" s="102">
        <v>287.2315529416204</v>
      </c>
      <c r="D94" s="102">
        <v>99.38392229507767</v>
      </c>
    </row>
    <row r="95">
      <c r="A95" s="50">
        <v>21301.0</v>
      </c>
      <c r="B95" s="50" t="s">
        <v>152</v>
      </c>
      <c r="C95" s="102">
        <v>1278.5317833631095</v>
      </c>
      <c r="D95" s="102">
        <v>516.9256987057847</v>
      </c>
    </row>
    <row r="96">
      <c r="A96" s="50">
        <v>21302.0</v>
      </c>
      <c r="B96" s="50" t="s">
        <v>153</v>
      </c>
      <c r="C96" s="102">
        <v>433.44137463604136</v>
      </c>
      <c r="D96" s="102">
        <v>117.84400289416337</v>
      </c>
    </row>
    <row r="97">
      <c r="A97" s="50">
        <v>21303.0</v>
      </c>
      <c r="B97" s="50" t="s">
        <v>154</v>
      </c>
      <c r="C97" s="102">
        <v>378.25895806105024</v>
      </c>
      <c r="D97" s="102">
        <v>166.9993337917288</v>
      </c>
    </row>
    <row r="98">
      <c r="A98" s="50">
        <v>21304.0</v>
      </c>
      <c r="B98" s="50" t="s">
        <v>155</v>
      </c>
      <c r="C98" s="102">
        <v>581.0661300887954</v>
      </c>
      <c r="D98" s="102">
        <v>241.48361248803968</v>
      </c>
    </row>
    <row r="99">
      <c r="A99" s="50">
        <v>21305.0</v>
      </c>
      <c r="B99" s="50" t="s">
        <v>156</v>
      </c>
      <c r="C99" s="102">
        <v>892.3247684870892</v>
      </c>
      <c r="D99" s="102">
        <v>347.12850723560723</v>
      </c>
    </row>
    <row r="100">
      <c r="A100" s="50">
        <v>21306.0</v>
      </c>
      <c r="B100" s="50" t="s">
        <v>157</v>
      </c>
      <c r="C100" s="102">
        <v>395.81159011509385</v>
      </c>
      <c r="D100" s="102">
        <v>194.46939518427462</v>
      </c>
    </row>
    <row r="101">
      <c r="A101" s="50">
        <v>21307.0</v>
      </c>
      <c r="B101" s="50" t="s">
        <v>158</v>
      </c>
      <c r="C101" s="102">
        <v>156.77565014381264</v>
      </c>
      <c r="D101" s="102">
        <v>69.20193713713422</v>
      </c>
    </row>
    <row r="102">
      <c r="A102" s="50">
        <v>21401.0</v>
      </c>
      <c r="B102" s="50" t="s">
        <v>159</v>
      </c>
      <c r="C102" s="102">
        <v>728.2457703524686</v>
      </c>
      <c r="D102" s="102">
        <v>391.1217382865177</v>
      </c>
    </row>
    <row r="103">
      <c r="A103" s="50">
        <v>21402.0</v>
      </c>
      <c r="B103" s="50" t="s">
        <v>160</v>
      </c>
      <c r="C103" s="102">
        <v>710.8384781435773</v>
      </c>
      <c r="D103" s="102">
        <v>348.148716697395</v>
      </c>
    </row>
    <row r="104">
      <c r="A104" s="50">
        <v>21501.0</v>
      </c>
      <c r="B104" s="50" t="s">
        <v>161</v>
      </c>
      <c r="C104" s="102">
        <v>471.1983467949616</v>
      </c>
      <c r="D104" s="102">
        <v>235.6657550429831</v>
      </c>
    </row>
    <row r="105">
      <c r="A105" s="50">
        <v>21502.0</v>
      </c>
      <c r="B105" s="50" t="s">
        <v>162</v>
      </c>
      <c r="C105" s="102">
        <v>407.32959078370516</v>
      </c>
      <c r="D105" s="102">
        <v>188.16841523399947</v>
      </c>
    </row>
    <row r="106">
      <c r="A106" s="50">
        <v>21601.0</v>
      </c>
      <c r="B106" s="50" t="s">
        <v>163</v>
      </c>
      <c r="C106" s="102">
        <v>646.5025300666027</v>
      </c>
      <c r="D106" s="102">
        <v>315.11713813783945</v>
      </c>
    </row>
    <row r="107">
      <c r="A107" s="50">
        <v>21602.0</v>
      </c>
      <c r="B107" s="50" t="s">
        <v>164</v>
      </c>
      <c r="C107" s="102">
        <v>178.2816535499713</v>
      </c>
      <c r="D107" s="102">
        <v>156.26672879226035</v>
      </c>
    </row>
    <row r="108">
      <c r="A108" s="50">
        <v>21701.0</v>
      </c>
      <c r="B108" s="50" t="s">
        <v>165</v>
      </c>
      <c r="C108" s="102">
        <v>536.3343702652746</v>
      </c>
      <c r="D108" s="102">
        <v>185.97940225243977</v>
      </c>
    </row>
    <row r="109">
      <c r="A109" s="50">
        <v>21702.0</v>
      </c>
      <c r="B109" s="50" t="s">
        <v>166</v>
      </c>
      <c r="C109" s="102">
        <v>207.99526247496652</v>
      </c>
      <c r="D109" s="102">
        <v>92.51505509541786</v>
      </c>
    </row>
    <row r="110">
      <c r="A110" s="50">
        <v>21703.0</v>
      </c>
      <c r="B110" s="50" t="s">
        <v>167</v>
      </c>
      <c r="C110" s="102">
        <v>115.8586739204745</v>
      </c>
      <c r="D110" s="102">
        <v>54.92824841360289</v>
      </c>
    </row>
    <row r="111">
      <c r="A111" s="50">
        <v>21801.0</v>
      </c>
      <c r="B111" s="50" t="s">
        <v>168</v>
      </c>
      <c r="C111" s="102">
        <v>353.26179499716534</v>
      </c>
      <c r="D111" s="102">
        <v>116.98539449420588</v>
      </c>
    </row>
    <row r="112">
      <c r="A112" s="50">
        <v>21802.0</v>
      </c>
      <c r="B112" s="50" t="s">
        <v>169</v>
      </c>
      <c r="C112" s="102">
        <v>304.6824026277287</v>
      </c>
      <c r="D112" s="102">
        <v>87.57805679566239</v>
      </c>
    </row>
    <row r="113">
      <c r="A113" s="50">
        <v>21803.0</v>
      </c>
      <c r="B113" s="50" t="s">
        <v>170</v>
      </c>
      <c r="C113" s="102">
        <v>96.68714015276223</v>
      </c>
      <c r="D113" s="102">
        <v>31.124554498458448</v>
      </c>
    </row>
    <row r="114">
      <c r="A114" s="50">
        <v>21901.0</v>
      </c>
      <c r="B114" s="50" t="s">
        <v>171</v>
      </c>
      <c r="C114" s="102">
        <v>160.830803863863</v>
      </c>
      <c r="D114" s="102">
        <v>78.34801649611954</v>
      </c>
    </row>
    <row r="115">
      <c r="A115" s="50">
        <v>21902.0</v>
      </c>
      <c r="B115" s="50" t="s">
        <v>172</v>
      </c>
      <c r="C115" s="102">
        <v>117.91114652775879</v>
      </c>
      <c r="D115" s="102">
        <v>98.52531389512018</v>
      </c>
    </row>
    <row r="116">
      <c r="A116" s="50">
        <v>22001.0</v>
      </c>
      <c r="B116" s="50" t="s">
        <v>173</v>
      </c>
      <c r="C116" s="102">
        <v>2340.094794355904</v>
      </c>
      <c r="D116" s="102">
        <v>944.7020141709294</v>
      </c>
    </row>
    <row r="117">
      <c r="A117" s="50">
        <v>22002.0</v>
      </c>
      <c r="B117" s="50" t="s">
        <v>174</v>
      </c>
      <c r="C117" s="102">
        <v>582.0094192610175</v>
      </c>
      <c r="D117" s="102">
        <v>179.23450349112278</v>
      </c>
    </row>
    <row r="118">
      <c r="A118" s="50">
        <v>30101.0</v>
      </c>
      <c r="B118" s="50" t="s">
        <v>55</v>
      </c>
      <c r="C118" s="102">
        <v>12933.13022227361</v>
      </c>
      <c r="D118" s="102">
        <v>4843.936263305506</v>
      </c>
    </row>
    <row r="119">
      <c r="A119" s="50">
        <v>30201.0</v>
      </c>
      <c r="B119" s="50" t="s">
        <v>175</v>
      </c>
      <c r="C119" s="102">
        <v>1254.1331818631506</v>
      </c>
      <c r="D119" s="102">
        <v>262.0056135132019</v>
      </c>
    </row>
    <row r="120">
      <c r="A120" s="50">
        <v>30202.0</v>
      </c>
      <c r="B120" s="50" t="s">
        <v>176</v>
      </c>
      <c r="C120" s="102">
        <v>273.32857913243845</v>
      </c>
      <c r="D120" s="102">
        <v>62.87038058981771</v>
      </c>
    </row>
    <row r="121">
      <c r="A121" s="50">
        <v>30203.0</v>
      </c>
      <c r="B121" s="50" t="s">
        <v>177</v>
      </c>
      <c r="C121" s="102">
        <v>358.26070156146875</v>
      </c>
      <c r="D121" s="102">
        <v>95.67689733657862</v>
      </c>
    </row>
    <row r="122">
      <c r="A122" s="50">
        <v>30301.0</v>
      </c>
      <c r="B122" s="50" t="s">
        <v>178</v>
      </c>
      <c r="C122" s="102">
        <v>1631.860010161161</v>
      </c>
      <c r="D122" s="102">
        <v>332.3775548098851</v>
      </c>
    </row>
    <row r="123">
      <c r="A123" s="50">
        <v>30302.0</v>
      </c>
      <c r="B123" s="50" t="s">
        <v>179</v>
      </c>
      <c r="C123" s="102">
        <v>957.7407599511773</v>
      </c>
      <c r="D123" s="102">
        <v>196.8352835830654</v>
      </c>
    </row>
    <row r="124">
      <c r="A124" s="50">
        <v>30303.0</v>
      </c>
      <c r="B124" s="50" t="s">
        <v>180</v>
      </c>
      <c r="C124" s="102">
        <v>1236.070787060685</v>
      </c>
      <c r="D124" s="102">
        <v>332.87587198351315</v>
      </c>
    </row>
    <row r="125">
      <c r="A125" s="50">
        <v>30401.0</v>
      </c>
      <c r="B125" s="50" t="s">
        <v>181</v>
      </c>
      <c r="C125" s="102">
        <v>326.2640044104294</v>
      </c>
      <c r="D125" s="102">
        <v>116.0011414185828</v>
      </c>
    </row>
    <row r="126">
      <c r="A126" s="50">
        <v>30402.0</v>
      </c>
      <c r="B126" s="50" t="s">
        <v>182</v>
      </c>
      <c r="C126" s="102">
        <v>473.3989349982223</v>
      </c>
      <c r="D126" s="102">
        <v>82.72065082225026</v>
      </c>
    </row>
    <row r="127">
      <c r="A127" s="50">
        <v>30403.0</v>
      </c>
      <c r="B127" s="50" t="s">
        <v>183</v>
      </c>
      <c r="C127" s="102">
        <v>639.715109873393</v>
      </c>
      <c r="D127" s="102">
        <v>325.9630465110564</v>
      </c>
    </row>
    <row r="128">
      <c r="A128" s="50">
        <v>30404.0</v>
      </c>
      <c r="B128" s="50" t="s">
        <v>184</v>
      </c>
      <c r="C128" s="102">
        <v>262.6293589135866</v>
      </c>
      <c r="D128" s="102">
        <v>53.81825475182547</v>
      </c>
    </row>
    <row r="129">
      <c r="A129" s="50">
        <v>30501.0</v>
      </c>
      <c r="B129" s="50" t="s">
        <v>185</v>
      </c>
      <c r="C129" s="102">
        <v>386.28865978248473</v>
      </c>
      <c r="D129" s="102">
        <v>107.05916841511288</v>
      </c>
    </row>
    <row r="130">
      <c r="A130" s="50">
        <v>30502.0</v>
      </c>
      <c r="B130" s="50" t="s">
        <v>186</v>
      </c>
      <c r="C130" s="102">
        <v>596.6253914449957</v>
      </c>
      <c r="D130" s="102">
        <v>94.01584009115192</v>
      </c>
    </row>
    <row r="131">
      <c r="A131" s="50">
        <v>30601.0</v>
      </c>
      <c r="B131" s="50" t="s">
        <v>187</v>
      </c>
      <c r="C131" s="102">
        <v>866.8671955444834</v>
      </c>
      <c r="D131" s="102">
        <v>197.49970648123607</v>
      </c>
    </row>
    <row r="132">
      <c r="A132" s="50">
        <v>30602.0</v>
      </c>
      <c r="B132" s="50" t="s">
        <v>188</v>
      </c>
      <c r="C132" s="102">
        <v>719.8518478917691</v>
      </c>
      <c r="D132" s="102">
        <v>141.68818303489854</v>
      </c>
    </row>
    <row r="133">
      <c r="A133" s="50">
        <v>30701.0</v>
      </c>
      <c r="B133" s="50" t="s">
        <v>189</v>
      </c>
      <c r="C133" s="102">
        <v>825.682777483586</v>
      </c>
      <c r="D133" s="102">
        <v>225.54437500009473</v>
      </c>
    </row>
    <row r="134">
      <c r="A134" s="50">
        <v>30702.0</v>
      </c>
      <c r="B134" s="50" t="s">
        <v>190</v>
      </c>
      <c r="C134" s="102">
        <v>297.3611400742602</v>
      </c>
      <c r="D134" s="102">
        <v>94.34805154023725</v>
      </c>
    </row>
    <row r="135">
      <c r="A135" s="50">
        <v>30703.0</v>
      </c>
      <c r="B135" s="50" t="s">
        <v>191</v>
      </c>
      <c r="C135" s="102">
        <v>196.02046353695235</v>
      </c>
      <c r="D135" s="102">
        <v>57.804792140849585</v>
      </c>
    </row>
    <row r="136">
      <c r="A136" s="50">
        <v>30801.0</v>
      </c>
      <c r="B136" s="50" t="s">
        <v>192</v>
      </c>
      <c r="C136" s="102">
        <v>741.5719683723188</v>
      </c>
      <c r="D136" s="102">
        <v>224.27241511316277</v>
      </c>
    </row>
    <row r="137">
      <c r="A137" s="50">
        <v>30802.0</v>
      </c>
      <c r="B137" s="50" t="s">
        <v>193</v>
      </c>
      <c r="C137" s="102">
        <v>288.32136141600273</v>
      </c>
      <c r="D137" s="102">
        <v>82.5545450977076</v>
      </c>
    </row>
    <row r="138">
      <c r="A138" s="50">
        <v>30803.0</v>
      </c>
      <c r="B138" s="50" t="s">
        <v>194</v>
      </c>
      <c r="C138" s="102">
        <v>181.9579748097447</v>
      </c>
      <c r="D138" s="102">
        <v>85.83456062280034</v>
      </c>
    </row>
    <row r="139">
      <c r="A139" s="50">
        <v>30901.0</v>
      </c>
      <c r="B139" s="50" t="s">
        <v>195</v>
      </c>
      <c r="C139" s="102">
        <v>3392.699737524054</v>
      </c>
      <c r="D139" s="102">
        <v>1385.066802206184</v>
      </c>
    </row>
    <row r="140">
      <c r="A140" s="50">
        <v>30902.0</v>
      </c>
      <c r="B140" s="50" t="s">
        <v>196</v>
      </c>
      <c r="C140" s="102">
        <v>1882.8486708229173</v>
      </c>
      <c r="D140" s="102">
        <v>660.6105244009261</v>
      </c>
    </row>
    <row r="141">
      <c r="A141" s="50">
        <v>30903.0</v>
      </c>
      <c r="B141" s="50" t="s">
        <v>197</v>
      </c>
      <c r="C141" s="102">
        <v>1376.6334854873248</v>
      </c>
      <c r="D141" s="102">
        <v>498.2307986512515</v>
      </c>
    </row>
    <row r="142">
      <c r="A142" s="50">
        <v>30904.0</v>
      </c>
      <c r="B142" s="50" t="s">
        <v>198</v>
      </c>
      <c r="C142" s="102">
        <v>1596.5579316254234</v>
      </c>
      <c r="D142" s="102">
        <v>546.1598915668402</v>
      </c>
    </row>
    <row r="143">
      <c r="A143" s="50">
        <v>30905.0</v>
      </c>
      <c r="B143" s="50" t="s">
        <v>199</v>
      </c>
      <c r="C143" s="102">
        <v>1086.3233037417435</v>
      </c>
      <c r="D143" s="102">
        <v>475.15779462954293</v>
      </c>
    </row>
    <row r="144">
      <c r="A144" s="50">
        <v>31001.0</v>
      </c>
      <c r="B144" s="50" t="s">
        <v>200</v>
      </c>
      <c r="C144" s="102">
        <v>4365.30706798139</v>
      </c>
      <c r="D144" s="102">
        <v>1826.665642361774</v>
      </c>
    </row>
    <row r="145">
      <c r="A145" s="50">
        <v>31002.0</v>
      </c>
      <c r="B145" s="50" t="s">
        <v>201</v>
      </c>
      <c r="C145" s="102">
        <v>1058.838405231653</v>
      </c>
      <c r="D145" s="102">
        <v>284.0013759671146</v>
      </c>
    </row>
    <row r="146">
      <c r="A146" s="50">
        <v>31003.0</v>
      </c>
      <c r="B146" s="50" t="s">
        <v>202</v>
      </c>
      <c r="C146" s="102">
        <v>4143.042024209444</v>
      </c>
      <c r="D146" s="102">
        <v>1294.4760480184448</v>
      </c>
    </row>
    <row r="147">
      <c r="A147" s="50">
        <v>31101.0</v>
      </c>
      <c r="B147" s="50" t="s">
        <v>203</v>
      </c>
      <c r="C147" s="102">
        <v>1608.1290455215992</v>
      </c>
      <c r="D147" s="102">
        <v>371.08018862832745</v>
      </c>
    </row>
    <row r="148">
      <c r="A148" s="50">
        <v>31201.0</v>
      </c>
      <c r="B148" s="50" t="s">
        <v>204</v>
      </c>
      <c r="C148" s="102">
        <v>965.8289829611972</v>
      </c>
      <c r="D148" s="102">
        <v>257.131661592055</v>
      </c>
    </row>
    <row r="149">
      <c r="A149" s="50">
        <v>31202.0</v>
      </c>
      <c r="B149" s="50" t="s">
        <v>205</v>
      </c>
      <c r="C149" s="102">
        <v>767.9054081277696</v>
      </c>
      <c r="D149" s="102">
        <v>186.8689401105051</v>
      </c>
    </row>
    <row r="150">
      <c r="A150" s="50">
        <v>31203.0</v>
      </c>
      <c r="B150" s="50" t="s">
        <v>206</v>
      </c>
      <c r="C150" s="102">
        <v>718.4245144194127</v>
      </c>
      <c r="D150" s="102">
        <v>156.47159251919626</v>
      </c>
    </row>
    <row r="151">
      <c r="A151" s="50">
        <v>31204.0</v>
      </c>
      <c r="B151" s="50" t="s">
        <v>207</v>
      </c>
      <c r="C151" s="102">
        <v>1092.2462470831786</v>
      </c>
      <c r="D151" s="102">
        <v>339.0435542440001</v>
      </c>
    </row>
    <row r="152">
      <c r="A152" s="50">
        <v>31205.0</v>
      </c>
      <c r="B152" s="50" t="s">
        <v>208</v>
      </c>
      <c r="C152" s="102">
        <v>2546.023554441294</v>
      </c>
      <c r="D152" s="102">
        <v>854.5136107777622</v>
      </c>
    </row>
    <row r="153">
      <c r="A153" s="50">
        <v>31206.0</v>
      </c>
      <c r="B153" s="50" t="s">
        <v>209</v>
      </c>
      <c r="C153" s="102">
        <v>1412.8176388527884</v>
      </c>
      <c r="D153" s="102">
        <v>535.7270949464493</v>
      </c>
    </row>
    <row r="154">
      <c r="A154" s="50">
        <v>31301.0</v>
      </c>
      <c r="B154" s="50" t="s">
        <v>210</v>
      </c>
      <c r="C154" s="102">
        <v>1258.3566566775132</v>
      </c>
      <c r="D154" s="102">
        <v>263.5840278594221</v>
      </c>
    </row>
    <row r="155">
      <c r="A155" s="50">
        <v>31302.0</v>
      </c>
      <c r="B155" s="50" t="s">
        <v>211</v>
      </c>
      <c r="C155" s="102">
        <v>361.5911463303004</v>
      </c>
      <c r="D155" s="102">
        <v>119.92833311980861</v>
      </c>
    </row>
    <row r="156">
      <c r="A156" s="50">
        <v>31303.0</v>
      </c>
      <c r="B156" s="50" t="s">
        <v>212</v>
      </c>
      <c r="C156" s="102">
        <v>296.8853622501414</v>
      </c>
      <c r="D156" s="102">
        <v>46.84181432103328</v>
      </c>
    </row>
    <row r="157">
      <c r="A157" s="50">
        <v>31304.0</v>
      </c>
      <c r="B157" s="50" t="s">
        <v>213</v>
      </c>
      <c r="C157" s="102">
        <v>483.8660471288362</v>
      </c>
      <c r="D157" s="102">
        <v>140.52544296309986</v>
      </c>
    </row>
    <row r="158">
      <c r="A158" s="50">
        <v>31401.0</v>
      </c>
      <c r="B158" s="50" t="s">
        <v>214</v>
      </c>
      <c r="C158" s="102">
        <v>823.2427447496676</v>
      </c>
      <c r="D158" s="102">
        <v>314.10304123208005</v>
      </c>
    </row>
    <row r="159">
      <c r="A159" s="50">
        <v>31402.0</v>
      </c>
      <c r="B159" s="50" t="s">
        <v>215</v>
      </c>
      <c r="C159" s="102">
        <v>384.90425971212244</v>
      </c>
      <c r="D159" s="102">
        <v>100.3054368851245</v>
      </c>
    </row>
    <row r="160">
      <c r="A160" s="50">
        <v>31403.0</v>
      </c>
      <c r="B160" s="50" t="s">
        <v>216</v>
      </c>
      <c r="C160" s="102">
        <v>472.10528523376286</v>
      </c>
      <c r="D160" s="102">
        <v>124.87064991617997</v>
      </c>
    </row>
    <row r="161">
      <c r="A161" s="50">
        <v>31404.0</v>
      </c>
      <c r="B161" s="50" t="s">
        <v>217</v>
      </c>
      <c r="C161" s="102">
        <v>49.956671532475724</v>
      </c>
      <c r="D161" s="102">
        <v>14.285092310669725</v>
      </c>
    </row>
    <row r="162">
      <c r="A162" s="50">
        <v>31405.0</v>
      </c>
      <c r="B162" s="50" t="s">
        <v>218</v>
      </c>
      <c r="C162" s="102">
        <v>134.1693464015062</v>
      </c>
      <c r="D162" s="102">
        <v>40.52979678841178</v>
      </c>
    </row>
    <row r="163">
      <c r="A163" s="50">
        <v>31501.0</v>
      </c>
      <c r="B163" s="50" t="s">
        <v>219</v>
      </c>
      <c r="C163" s="102">
        <v>488.14804754590557</v>
      </c>
      <c r="D163" s="102">
        <v>122.08770753886334</v>
      </c>
    </row>
    <row r="164">
      <c r="A164" s="50">
        <v>31601.0</v>
      </c>
      <c r="B164" s="50" t="s">
        <v>220</v>
      </c>
      <c r="C164" s="102">
        <v>1297.272677005665</v>
      </c>
      <c r="D164" s="102">
        <v>235.637948389326</v>
      </c>
    </row>
    <row r="165">
      <c r="A165" s="50">
        <v>31602.0</v>
      </c>
      <c r="B165" s="50" t="s">
        <v>221</v>
      </c>
      <c r="C165" s="102">
        <v>985.3534997160917</v>
      </c>
      <c r="D165" s="102">
        <v>349.91246674542424</v>
      </c>
    </row>
    <row r="166">
      <c r="A166" s="50">
        <v>40101.0</v>
      </c>
      <c r="B166" s="50" t="s">
        <v>57</v>
      </c>
      <c r="C166" s="102">
        <v>6138.728326180489</v>
      </c>
      <c r="D166" s="102">
        <v>4581.9280355204455</v>
      </c>
    </row>
    <row r="167">
      <c r="A167" s="50">
        <v>40102.0</v>
      </c>
      <c r="B167" s="50" t="s">
        <v>222</v>
      </c>
      <c r="C167" s="102">
        <v>1151.937576394395</v>
      </c>
      <c r="D167" s="102">
        <v>487.75502639038837</v>
      </c>
    </row>
    <row r="168">
      <c r="A168" s="50">
        <v>40103.0</v>
      </c>
      <c r="B168" s="50" t="s">
        <v>223</v>
      </c>
      <c r="C168" s="102">
        <v>402.0453898195815</v>
      </c>
      <c r="D168" s="102">
        <v>275.9146596294481</v>
      </c>
    </row>
    <row r="169">
      <c r="A169" s="50">
        <v>40104.0</v>
      </c>
      <c r="B169" s="50" t="s">
        <v>224</v>
      </c>
      <c r="C169" s="102">
        <v>795.9066495664997</v>
      </c>
      <c r="D169" s="102">
        <v>389.5630098920828</v>
      </c>
    </row>
    <row r="170">
      <c r="A170" s="50">
        <v>40201.0</v>
      </c>
      <c r="B170" s="50" t="s">
        <v>225</v>
      </c>
      <c r="C170" s="102">
        <v>1312.067234428961</v>
      </c>
      <c r="D170" s="102">
        <v>820.8237437878832</v>
      </c>
    </row>
    <row r="171">
      <c r="A171" s="50">
        <v>40202.0</v>
      </c>
      <c r="B171" s="50" t="s">
        <v>226</v>
      </c>
      <c r="C171" s="102">
        <v>215.85643066649286</v>
      </c>
      <c r="D171" s="102">
        <v>91.35221615116409</v>
      </c>
    </row>
    <row r="172">
      <c r="A172" s="50">
        <v>40301.0</v>
      </c>
      <c r="B172" s="50" t="s">
        <v>227</v>
      </c>
      <c r="C172" s="102">
        <v>475.70256047355053</v>
      </c>
      <c r="D172" s="102">
        <v>334.44201167205836</v>
      </c>
    </row>
    <row r="173">
      <c r="A173" s="50">
        <v>40302.0</v>
      </c>
      <c r="B173" s="50" t="s">
        <v>228</v>
      </c>
      <c r="C173" s="102">
        <v>96.67503648333448</v>
      </c>
      <c r="D173" s="102">
        <v>51.714644397438654</v>
      </c>
    </row>
    <row r="174">
      <c r="A174" s="50">
        <v>40401.0</v>
      </c>
      <c r="B174" s="50" t="s">
        <v>229</v>
      </c>
      <c r="C174" s="102">
        <v>246.03541030943853</v>
      </c>
      <c r="D174" s="102">
        <v>118.60304673185031</v>
      </c>
    </row>
    <row r="175">
      <c r="A175" s="50">
        <v>40402.0</v>
      </c>
      <c r="B175" s="50" t="s">
        <v>230</v>
      </c>
      <c r="C175" s="102">
        <v>253.19652412301886</v>
      </c>
      <c r="D175" s="102">
        <v>125.10608584769591</v>
      </c>
    </row>
    <row r="176">
      <c r="A176" s="50">
        <v>40501.0</v>
      </c>
      <c r="B176" s="50" t="s">
        <v>231</v>
      </c>
      <c r="C176" s="102">
        <v>59.846451156349914</v>
      </c>
      <c r="D176" s="102">
        <v>50.82279903297983</v>
      </c>
    </row>
    <row r="177">
      <c r="A177" s="50">
        <v>40502.0</v>
      </c>
      <c r="B177" s="50" t="s">
        <v>232</v>
      </c>
      <c r="C177" s="102">
        <v>165.72863397143053</v>
      </c>
      <c r="D177" s="102">
        <v>89.56125150615333</v>
      </c>
    </row>
    <row r="178">
      <c r="A178" s="50">
        <v>40503.0</v>
      </c>
      <c r="B178" s="50" t="s">
        <v>233</v>
      </c>
      <c r="C178" s="102">
        <v>102.30162590829045</v>
      </c>
      <c r="D178" s="102">
        <v>34.37320675518377</v>
      </c>
    </row>
    <row r="179">
      <c r="A179" s="50">
        <v>40504.0</v>
      </c>
      <c r="B179" s="50" t="s">
        <v>234</v>
      </c>
      <c r="C179" s="102">
        <v>21.483341440740993</v>
      </c>
      <c r="D179" s="102">
        <v>22.605802640796536</v>
      </c>
    </row>
    <row r="180">
      <c r="A180" s="50">
        <v>40505.0</v>
      </c>
      <c r="B180" s="50" t="s">
        <v>235</v>
      </c>
      <c r="C180" s="102">
        <v>140.66473562389936</v>
      </c>
      <c r="D180" s="102">
        <v>100.95194056026946</v>
      </c>
    </row>
    <row r="181">
      <c r="A181" s="50">
        <v>40601.0</v>
      </c>
      <c r="B181" s="50" t="s">
        <v>236</v>
      </c>
      <c r="C181" s="102">
        <v>290.74714425451964</v>
      </c>
      <c r="D181" s="102">
        <v>192.5011849603902</v>
      </c>
    </row>
    <row r="182">
      <c r="A182" s="50">
        <v>40602.0</v>
      </c>
      <c r="B182" s="50" t="s">
        <v>237</v>
      </c>
      <c r="C182" s="102">
        <v>339.6413980155243</v>
      </c>
      <c r="D182" s="102">
        <v>102.50028320689937</v>
      </c>
    </row>
    <row r="183">
      <c r="A183" s="50">
        <v>40603.0</v>
      </c>
      <c r="B183" s="50" t="s">
        <v>238</v>
      </c>
      <c r="C183" s="102">
        <v>211.76436563016122</v>
      </c>
      <c r="D183" s="102">
        <v>80.2041490954288</v>
      </c>
    </row>
    <row r="184">
      <c r="A184" s="50">
        <v>40701.0</v>
      </c>
      <c r="B184" s="50" t="s">
        <v>239</v>
      </c>
      <c r="C184" s="102">
        <v>826.7725210201909</v>
      </c>
      <c r="D184" s="102">
        <v>325.5819074848256</v>
      </c>
    </row>
    <row r="185">
      <c r="A185" s="50">
        <v>40702.0</v>
      </c>
      <c r="B185" s="50" t="s">
        <v>240</v>
      </c>
      <c r="C185" s="102">
        <v>178.1223566866664</v>
      </c>
      <c r="D185" s="102">
        <v>112.50418434500418</v>
      </c>
    </row>
    <row r="186">
      <c r="A186" s="50">
        <v>40801.0</v>
      </c>
      <c r="B186" s="50" t="s">
        <v>241</v>
      </c>
      <c r="C186" s="102">
        <v>636.3161131495666</v>
      </c>
      <c r="D186" s="102">
        <v>376.8666001897176</v>
      </c>
    </row>
    <row r="187">
      <c r="A187" s="50">
        <v>40802.0</v>
      </c>
      <c r="B187" s="50" t="s">
        <v>242</v>
      </c>
      <c r="C187" s="102">
        <v>197.44213800300054</v>
      </c>
      <c r="D187" s="102">
        <v>71.53343027430137</v>
      </c>
    </row>
    <row r="188">
      <c r="A188" s="50">
        <v>40901.0</v>
      </c>
      <c r="B188" s="50" t="s">
        <v>243</v>
      </c>
      <c r="C188" s="102">
        <v>458.82279219868263</v>
      </c>
      <c r="D188" s="102">
        <v>378.34515540948325</v>
      </c>
    </row>
    <row r="189">
      <c r="A189" s="50">
        <v>40902.0</v>
      </c>
      <c r="B189" s="50" t="s">
        <v>244</v>
      </c>
      <c r="C189" s="102">
        <v>53.19684547231103</v>
      </c>
      <c r="D189" s="102">
        <v>55.12099822002443</v>
      </c>
    </row>
    <row r="190">
      <c r="A190" s="50">
        <v>40903.0</v>
      </c>
      <c r="B190" s="50" t="s">
        <v>245</v>
      </c>
      <c r="C190" s="102">
        <v>141.68775188298227</v>
      </c>
      <c r="D190" s="102">
        <v>67.50773939306363</v>
      </c>
    </row>
    <row r="191">
      <c r="A191" s="50">
        <v>41001.0</v>
      </c>
      <c r="B191" s="50" t="s">
        <v>246</v>
      </c>
      <c r="C191" s="102">
        <v>472.63351169630187</v>
      </c>
      <c r="D191" s="102">
        <v>203.45222376716885</v>
      </c>
    </row>
    <row r="192">
      <c r="A192" s="50">
        <v>41101.0</v>
      </c>
      <c r="B192" s="50" t="s">
        <v>247</v>
      </c>
      <c r="C192" s="102">
        <v>224.72274826529065</v>
      </c>
      <c r="D192" s="102">
        <v>107.08063654500471</v>
      </c>
    </row>
    <row r="193">
      <c r="A193" s="50">
        <v>41201.0</v>
      </c>
      <c r="B193" s="50" t="s">
        <v>248</v>
      </c>
      <c r="C193" s="102">
        <v>249.10445908668723</v>
      </c>
      <c r="D193" s="102">
        <v>114.26768732128659</v>
      </c>
    </row>
    <row r="194">
      <c r="A194" s="50">
        <v>41202.0</v>
      </c>
      <c r="B194" s="50" t="s">
        <v>249</v>
      </c>
      <c r="C194" s="102">
        <v>103.83615029691481</v>
      </c>
      <c r="D194" s="102">
        <v>60.695031747892074</v>
      </c>
    </row>
    <row r="195">
      <c r="A195" s="50">
        <v>41301.0</v>
      </c>
      <c r="B195" s="50" t="s">
        <v>204</v>
      </c>
      <c r="C195" s="102">
        <v>305.370353336247</v>
      </c>
      <c r="D195" s="102">
        <v>136.25415290343116</v>
      </c>
    </row>
    <row r="196">
      <c r="A196" s="50">
        <v>41401.0</v>
      </c>
      <c r="B196" s="50" t="s">
        <v>250</v>
      </c>
      <c r="C196" s="102">
        <v>549.3611702410655</v>
      </c>
      <c r="D196" s="102">
        <v>298.00917976225116</v>
      </c>
    </row>
    <row r="197">
      <c r="A197" s="50">
        <v>41501.0</v>
      </c>
      <c r="B197" s="50" t="s">
        <v>251</v>
      </c>
      <c r="C197" s="102">
        <v>31.713504031570036</v>
      </c>
      <c r="D197" s="102">
        <v>31.276521461923977</v>
      </c>
    </row>
    <row r="198">
      <c r="A198" s="50">
        <v>41502.0</v>
      </c>
      <c r="B198" s="50" t="s">
        <v>252</v>
      </c>
      <c r="C198" s="102">
        <v>37.34009345652601</v>
      </c>
      <c r="D198" s="102">
        <v>31.586189991249952</v>
      </c>
    </row>
    <row r="199">
      <c r="A199" s="50">
        <v>41503.0</v>
      </c>
      <c r="B199" s="50" t="s">
        <v>253</v>
      </c>
      <c r="C199" s="102">
        <v>47.058747917813605</v>
      </c>
      <c r="D199" s="102">
        <v>28.179836168664174</v>
      </c>
    </row>
    <row r="200">
      <c r="A200" s="50">
        <v>41601.0</v>
      </c>
      <c r="B200" s="50" t="s">
        <v>254</v>
      </c>
      <c r="C200" s="102">
        <v>255.24255664118468</v>
      </c>
      <c r="D200" s="102">
        <v>97.2359182083577</v>
      </c>
    </row>
    <row r="201">
      <c r="A201" s="50">
        <v>50101.0</v>
      </c>
      <c r="B201" s="50" t="s">
        <v>59</v>
      </c>
      <c r="C201" s="102">
        <v>5816.250629764607</v>
      </c>
      <c r="D201" s="102">
        <v>4147.061462652534</v>
      </c>
    </row>
    <row r="202">
      <c r="A202" s="50">
        <v>50102.0</v>
      </c>
      <c r="B202" s="50" t="s">
        <v>255</v>
      </c>
      <c r="C202" s="102">
        <v>1998.276983746932</v>
      </c>
      <c r="D202" s="102">
        <v>999.3115496798471</v>
      </c>
    </row>
    <row r="203">
      <c r="A203" s="50">
        <v>50103.0</v>
      </c>
      <c r="B203" s="50" t="s">
        <v>256</v>
      </c>
      <c r="C203" s="102">
        <v>469.4980874434539</v>
      </c>
      <c r="D203" s="102">
        <v>279.6440297627964</v>
      </c>
    </row>
    <row r="204">
      <c r="A204" s="50">
        <v>50104.0</v>
      </c>
      <c r="B204" s="50" t="s">
        <v>257</v>
      </c>
      <c r="C204" s="102">
        <v>150.21721569914524</v>
      </c>
      <c r="D204" s="102">
        <v>65.28165902431161</v>
      </c>
    </row>
    <row r="205">
      <c r="A205" s="50">
        <v>50201.0</v>
      </c>
      <c r="B205" s="50" t="s">
        <v>258</v>
      </c>
      <c r="C205" s="102">
        <v>1108.3369500018835</v>
      </c>
      <c r="D205" s="102">
        <v>503.2831272521582</v>
      </c>
    </row>
    <row r="206">
      <c r="A206" s="50">
        <v>50202.0</v>
      </c>
      <c r="B206" s="50" t="s">
        <v>259</v>
      </c>
      <c r="C206" s="102">
        <v>1034.3253244580349</v>
      </c>
      <c r="D206" s="102">
        <v>409.82388484212623</v>
      </c>
    </row>
    <row r="207">
      <c r="A207" s="50">
        <v>50203.0</v>
      </c>
      <c r="B207" s="50" t="s">
        <v>260</v>
      </c>
      <c r="C207" s="102">
        <v>1438.7754199131286</v>
      </c>
      <c r="D207" s="102">
        <v>722.61796242626</v>
      </c>
    </row>
    <row r="208">
      <c r="A208" s="50">
        <v>50204.0</v>
      </c>
      <c r="B208" s="50" t="s">
        <v>261</v>
      </c>
      <c r="C208" s="102">
        <v>629.6928303846088</v>
      </c>
      <c r="D208" s="102">
        <v>225.68206083175758</v>
      </c>
    </row>
    <row r="209">
      <c r="A209" s="50">
        <v>50301.0</v>
      </c>
      <c r="B209" s="50" t="s">
        <v>262</v>
      </c>
      <c r="C209" s="102">
        <v>2197.8463980039296</v>
      </c>
      <c r="D209" s="102">
        <v>777.9175108815627</v>
      </c>
    </row>
    <row r="210">
      <c r="A210" s="50">
        <v>50302.0</v>
      </c>
      <c r="B210" s="50" t="s">
        <v>263</v>
      </c>
      <c r="C210" s="102">
        <v>574.8164305535557</v>
      </c>
      <c r="D210" s="102">
        <v>223.46414050629744</v>
      </c>
    </row>
    <row r="211">
      <c r="A211" s="50">
        <v>50303.0</v>
      </c>
      <c r="B211" s="50" t="s">
        <v>264</v>
      </c>
      <c r="C211" s="102">
        <v>895.2059164358656</v>
      </c>
      <c r="D211" s="102">
        <v>400.4778697837578</v>
      </c>
    </row>
    <row r="212">
      <c r="A212" s="50">
        <v>50401.0</v>
      </c>
      <c r="B212" s="50" t="s">
        <v>265</v>
      </c>
      <c r="C212" s="102">
        <v>1022.1935991106776</v>
      </c>
      <c r="D212" s="102">
        <v>449.30844388998366</v>
      </c>
    </row>
    <row r="213">
      <c r="A213" s="50">
        <v>50402.0</v>
      </c>
      <c r="B213" s="50" t="s">
        <v>266</v>
      </c>
      <c r="C213" s="102">
        <v>1539.3107306144884</v>
      </c>
      <c r="D213" s="102">
        <v>389.8068293663223</v>
      </c>
    </row>
    <row r="214">
      <c r="A214" s="50">
        <v>50403.0</v>
      </c>
      <c r="B214" s="50" t="s">
        <v>267</v>
      </c>
      <c r="C214" s="102">
        <v>1676.7788837266212</v>
      </c>
      <c r="D214" s="102">
        <v>911.2338238029354</v>
      </c>
    </row>
    <row r="215">
      <c r="A215" s="50">
        <v>50404.0</v>
      </c>
      <c r="B215" s="50" t="s">
        <v>268</v>
      </c>
      <c r="C215" s="102">
        <v>1387.9849007773419</v>
      </c>
      <c r="D215" s="102">
        <v>402.98870282315437</v>
      </c>
    </row>
    <row r="216">
      <c r="A216" s="50">
        <v>50405.0</v>
      </c>
      <c r="B216" s="50" t="s">
        <v>269</v>
      </c>
      <c r="C216" s="102">
        <v>1527.6702821654771</v>
      </c>
      <c r="D216" s="102">
        <v>607.6215955339773</v>
      </c>
    </row>
    <row r="217">
      <c r="A217" s="50">
        <v>50501.0</v>
      </c>
      <c r="B217" s="50" t="s">
        <v>270</v>
      </c>
      <c r="C217" s="102">
        <v>2205.5878275531322</v>
      </c>
      <c r="D217" s="102">
        <v>904.84145657255</v>
      </c>
    </row>
    <row r="218">
      <c r="A218" s="50">
        <v>50502.0</v>
      </c>
      <c r="B218" s="50" t="s">
        <v>271</v>
      </c>
      <c r="C218" s="102">
        <v>808.7340136717819</v>
      </c>
      <c r="D218" s="102">
        <v>309.14631797570644</v>
      </c>
    </row>
    <row r="219">
      <c r="A219" s="50">
        <v>50601.0</v>
      </c>
      <c r="B219" s="50" t="s">
        <v>272</v>
      </c>
      <c r="C219" s="102">
        <v>1653.1009651084414</v>
      </c>
      <c r="D219" s="102">
        <v>642.7867738463589</v>
      </c>
    </row>
    <row r="220">
      <c r="A220" s="50">
        <v>50602.0</v>
      </c>
      <c r="B220" s="50" t="s">
        <v>273</v>
      </c>
      <c r="C220" s="102">
        <v>655.745262627634</v>
      </c>
      <c r="D220" s="102">
        <v>209.96841291954073</v>
      </c>
    </row>
    <row r="221">
      <c r="A221" s="50">
        <v>50701.0</v>
      </c>
      <c r="B221" s="50" t="s">
        <v>274</v>
      </c>
      <c r="C221" s="102">
        <v>1451.5320360109774</v>
      </c>
      <c r="D221" s="102">
        <v>522.2792886985394</v>
      </c>
    </row>
    <row r="222">
      <c r="A222" s="50">
        <v>50702.0</v>
      </c>
      <c r="B222" s="50" t="s">
        <v>275</v>
      </c>
      <c r="C222" s="102">
        <v>646.3220424546249</v>
      </c>
      <c r="D222" s="102">
        <v>224.71955702599575</v>
      </c>
    </row>
    <row r="223">
      <c r="A223" s="50">
        <v>50801.0</v>
      </c>
      <c r="B223" s="50" t="s">
        <v>276</v>
      </c>
      <c r="C223" s="102">
        <v>1768.9019843959106</v>
      </c>
      <c r="D223" s="102">
        <v>859.3326077334865</v>
      </c>
    </row>
    <row r="224">
      <c r="A224" s="50">
        <v>50802.0</v>
      </c>
      <c r="B224" s="50" t="s">
        <v>277</v>
      </c>
      <c r="C224" s="102">
        <v>600.3712041867979</v>
      </c>
      <c r="D224" s="102">
        <v>259.1241131933788</v>
      </c>
    </row>
    <row r="225">
      <c r="A225" s="50">
        <v>50901.0</v>
      </c>
      <c r="B225" s="50" t="s">
        <v>278</v>
      </c>
      <c r="C225" s="102">
        <v>766.0523693587406</v>
      </c>
      <c r="D225" s="102">
        <v>302.94188926941877</v>
      </c>
    </row>
    <row r="226">
      <c r="A226" s="50">
        <v>50902.0</v>
      </c>
      <c r="B226" s="50" t="s">
        <v>279</v>
      </c>
      <c r="C226" s="102">
        <v>48.22471500304662</v>
      </c>
      <c r="D226" s="102">
        <v>31.38541299245751</v>
      </c>
    </row>
    <row r="227">
      <c r="A227" s="50">
        <v>51001.0</v>
      </c>
      <c r="B227" s="50" t="s">
        <v>280</v>
      </c>
      <c r="C227" s="102">
        <v>235.58050432522776</v>
      </c>
      <c r="D227" s="102">
        <v>84.11290681978612</v>
      </c>
    </row>
    <row r="228">
      <c r="A228" s="50">
        <v>51002.0</v>
      </c>
      <c r="B228" s="50" t="s">
        <v>281</v>
      </c>
      <c r="C228" s="102">
        <v>75.38576138407288</v>
      </c>
      <c r="D228" s="102">
        <v>26.04989278373973</v>
      </c>
    </row>
    <row r="229">
      <c r="A229" s="50">
        <v>51003.0</v>
      </c>
      <c r="B229" s="50" t="s">
        <v>282</v>
      </c>
      <c r="C229" s="102">
        <v>152.4344439751474</v>
      </c>
      <c r="D229" s="102">
        <v>52.09978556747946</v>
      </c>
    </row>
    <row r="230">
      <c r="A230" s="50">
        <v>51101.0</v>
      </c>
      <c r="B230" s="50" t="s">
        <v>283</v>
      </c>
      <c r="C230" s="102">
        <v>1406.8313411233603</v>
      </c>
      <c r="D230" s="102">
        <v>358.1075622439401</v>
      </c>
    </row>
    <row r="231">
      <c r="A231" s="50">
        <v>51102.0</v>
      </c>
      <c r="B231" s="50" t="s">
        <v>284</v>
      </c>
      <c r="C231" s="102">
        <v>618.5134706391134</v>
      </c>
      <c r="D231" s="102">
        <v>299.59313248059794</v>
      </c>
    </row>
    <row r="232">
      <c r="A232" s="50">
        <v>51103.0</v>
      </c>
      <c r="B232" s="50" t="s">
        <v>285</v>
      </c>
      <c r="C232" s="102">
        <v>1337.5429574982932</v>
      </c>
      <c r="D232" s="102">
        <v>445.98671862282123</v>
      </c>
    </row>
    <row r="233">
      <c r="A233" s="50">
        <v>51201.0</v>
      </c>
      <c r="B233" s="50" t="s">
        <v>286</v>
      </c>
      <c r="C233" s="102">
        <v>1165.8545627035194</v>
      </c>
      <c r="D233" s="102">
        <v>663.4581417278335</v>
      </c>
    </row>
    <row r="234">
      <c r="A234" s="50">
        <v>51202.0</v>
      </c>
      <c r="B234" s="50" t="s">
        <v>287</v>
      </c>
      <c r="C234" s="102">
        <v>542.1123134825241</v>
      </c>
      <c r="D234" s="102">
        <v>184.54622839565013</v>
      </c>
    </row>
    <row r="235">
      <c r="A235" s="50">
        <v>51203.0</v>
      </c>
      <c r="B235" s="50" t="s">
        <v>288</v>
      </c>
      <c r="C235" s="102">
        <v>563.5019606140345</v>
      </c>
      <c r="D235" s="102">
        <v>329.10177790907585</v>
      </c>
    </row>
    <row r="236">
      <c r="A236" s="50">
        <v>51204.0</v>
      </c>
      <c r="B236" s="50" t="s">
        <v>289</v>
      </c>
      <c r="C236" s="102">
        <v>396.3295543353832</v>
      </c>
      <c r="D236" s="102">
        <v>140.9205043361342</v>
      </c>
    </row>
    <row r="237">
      <c r="A237" s="50">
        <v>51301.0</v>
      </c>
      <c r="B237" s="50" t="s">
        <v>290</v>
      </c>
      <c r="C237" s="102">
        <v>355.8651382983441</v>
      </c>
      <c r="D237" s="102">
        <v>108.90738308382755</v>
      </c>
    </row>
    <row r="238">
      <c r="A238" s="50">
        <v>51302.0</v>
      </c>
      <c r="B238" s="50" t="s">
        <v>291</v>
      </c>
      <c r="C238" s="102">
        <v>460.0748672704448</v>
      </c>
      <c r="D238" s="102">
        <v>106.39655004443095</v>
      </c>
    </row>
    <row r="239">
      <c r="A239" s="50">
        <v>51401.0</v>
      </c>
      <c r="B239" s="50" t="s">
        <v>292</v>
      </c>
      <c r="C239" s="102">
        <v>210.08237915120313</v>
      </c>
      <c r="D239" s="102">
        <v>92.27311419782507</v>
      </c>
    </row>
    <row r="240">
      <c r="A240" s="50">
        <v>51402.0</v>
      </c>
      <c r="B240" s="50" t="s">
        <v>293</v>
      </c>
      <c r="C240" s="102">
        <v>111.41572086910772</v>
      </c>
      <c r="D240" s="102">
        <v>30.129996472759206</v>
      </c>
    </row>
    <row r="241">
      <c r="A241" s="50">
        <v>51501.0</v>
      </c>
      <c r="B241" s="50" t="s">
        <v>294</v>
      </c>
      <c r="C241" s="102">
        <v>1509.3525358809911</v>
      </c>
      <c r="D241" s="102">
        <v>873.464965050679</v>
      </c>
    </row>
    <row r="242">
      <c r="A242" s="50">
        <v>51601.0</v>
      </c>
      <c r="B242" s="50" t="s">
        <v>295</v>
      </c>
      <c r="C242" s="102">
        <v>97.0037370750938</v>
      </c>
      <c r="D242" s="102">
        <v>48.647390138309134</v>
      </c>
    </row>
    <row r="243">
      <c r="A243" s="50">
        <v>60101.0</v>
      </c>
      <c r="B243" s="50" t="s">
        <v>61</v>
      </c>
      <c r="C243" s="102">
        <v>2248.265335052622</v>
      </c>
      <c r="D243" s="102">
        <v>1212.0676075787992</v>
      </c>
    </row>
    <row r="244">
      <c r="A244" s="50">
        <v>60201.0</v>
      </c>
      <c r="B244" s="50" t="s">
        <v>296</v>
      </c>
      <c r="C244" s="102">
        <v>519.9440455426723</v>
      </c>
      <c r="D244" s="102">
        <v>138.83277948953102</v>
      </c>
    </row>
    <row r="245">
      <c r="A245" s="50">
        <v>60202.0</v>
      </c>
      <c r="B245" s="50" t="s">
        <v>297</v>
      </c>
      <c r="C245" s="102">
        <v>471.7883351248601</v>
      </c>
      <c r="D245" s="102">
        <v>209.76663285197793</v>
      </c>
    </row>
    <row r="246">
      <c r="A246" s="50">
        <v>60301.0</v>
      </c>
      <c r="B246" s="50" t="s">
        <v>298</v>
      </c>
      <c r="C246" s="102">
        <v>1488.1852703894851</v>
      </c>
      <c r="D246" s="102">
        <v>660.7524623446647</v>
      </c>
    </row>
    <row r="247">
      <c r="A247" s="50">
        <v>60302.0</v>
      </c>
      <c r="B247" s="50" t="s">
        <v>299</v>
      </c>
      <c r="C247" s="102">
        <v>319.1627534600735</v>
      </c>
      <c r="D247" s="102">
        <v>135.96446475169986</v>
      </c>
    </row>
    <row r="248">
      <c r="A248" s="50">
        <v>60303.0</v>
      </c>
      <c r="B248" s="50" t="s">
        <v>300</v>
      </c>
      <c r="C248" s="102">
        <v>556.3161379460655</v>
      </c>
      <c r="D248" s="102">
        <v>320.4784707703768</v>
      </c>
    </row>
    <row r="249">
      <c r="A249" s="50">
        <v>60401.0</v>
      </c>
      <c r="B249" s="50" t="s">
        <v>301</v>
      </c>
      <c r="C249" s="102">
        <v>339.1141539770938</v>
      </c>
      <c r="D249" s="102">
        <v>124.08330082343318</v>
      </c>
    </row>
    <row r="250">
      <c r="A250" s="50">
        <v>60402.0</v>
      </c>
      <c r="B250" s="50" t="s">
        <v>302</v>
      </c>
      <c r="C250" s="102">
        <v>158.7491207445888</v>
      </c>
      <c r="D250" s="102">
        <v>46.03966209292931</v>
      </c>
    </row>
    <row r="251">
      <c r="A251" s="50">
        <v>60501.0</v>
      </c>
      <c r="B251" s="50" t="s">
        <v>303</v>
      </c>
      <c r="C251" s="102">
        <v>561.3006729489571</v>
      </c>
      <c r="D251" s="102">
        <v>219.99531993610555</v>
      </c>
    </row>
    <row r="252">
      <c r="A252" s="50">
        <v>60502.0</v>
      </c>
      <c r="B252" s="50" t="s">
        <v>304</v>
      </c>
      <c r="C252" s="102">
        <v>308.43350399424503</v>
      </c>
      <c r="D252" s="102">
        <v>78.04139104124451</v>
      </c>
    </row>
    <row r="253">
      <c r="A253" s="50">
        <v>60601.0</v>
      </c>
      <c r="B253" s="50" t="s">
        <v>209</v>
      </c>
      <c r="C253" s="102">
        <v>546.9565694727141</v>
      </c>
      <c r="D253" s="102">
        <v>178.42866071656903</v>
      </c>
    </row>
    <row r="254">
      <c r="A254" s="50">
        <v>70101.0</v>
      </c>
      <c r="B254" s="50" t="s">
        <v>305</v>
      </c>
      <c r="C254" s="102">
        <v>14395.08098537992</v>
      </c>
      <c r="D254" s="102">
        <v>10913.074551701147</v>
      </c>
    </row>
    <row r="255">
      <c r="A255" s="50">
        <v>70102.0</v>
      </c>
      <c r="B255" s="50" t="s">
        <v>306</v>
      </c>
      <c r="C255" s="102">
        <v>985.1149032721978</v>
      </c>
      <c r="D255" s="102">
        <v>971.8779060371179</v>
      </c>
    </row>
    <row r="256">
      <c r="A256" s="50">
        <v>70103.0</v>
      </c>
      <c r="B256" s="50" t="s">
        <v>307</v>
      </c>
      <c r="C256" s="102">
        <v>323.7081522295925</v>
      </c>
      <c r="D256" s="102">
        <v>190.18273098235505</v>
      </c>
    </row>
    <row r="257">
      <c r="A257" s="50">
        <v>70104.0</v>
      </c>
      <c r="B257" s="50" t="s">
        <v>308</v>
      </c>
      <c r="C257" s="102">
        <v>1036.5609357955648</v>
      </c>
      <c r="D257" s="102">
        <v>1154.177036087556</v>
      </c>
    </row>
    <row r="258">
      <c r="A258" s="50">
        <v>70105.0</v>
      </c>
      <c r="B258" s="50" t="s">
        <v>309</v>
      </c>
      <c r="C258" s="102">
        <v>789.9550748705215</v>
      </c>
      <c r="D258" s="102">
        <v>478.1770068945766</v>
      </c>
    </row>
    <row r="259">
      <c r="A259" s="50">
        <v>70201.0</v>
      </c>
      <c r="B259" s="50" t="s">
        <v>310</v>
      </c>
      <c r="C259" s="102">
        <v>1350.0705332461914</v>
      </c>
      <c r="D259" s="102">
        <v>1269.0738858613875</v>
      </c>
    </row>
    <row r="260">
      <c r="A260" s="50">
        <v>70202.0</v>
      </c>
      <c r="B260" s="50" t="s">
        <v>311</v>
      </c>
      <c r="C260" s="102">
        <v>273.2123264837229</v>
      </c>
      <c r="D260" s="102">
        <v>118.2795346245775</v>
      </c>
    </row>
    <row r="261">
      <c r="A261" s="50">
        <v>70301.0</v>
      </c>
      <c r="B261" s="50" t="s">
        <v>312</v>
      </c>
      <c r="C261" s="102">
        <v>1146.4385113379624</v>
      </c>
      <c r="D261" s="102">
        <v>865.2912645323329</v>
      </c>
    </row>
    <row r="262">
      <c r="A262" s="50">
        <v>70302.0</v>
      </c>
      <c r="B262" s="50" t="s">
        <v>313</v>
      </c>
      <c r="C262" s="102">
        <v>255.03323118662541</v>
      </c>
      <c r="D262" s="102">
        <v>186.02408897634734</v>
      </c>
    </row>
    <row r="263">
      <c r="A263" s="50">
        <v>70303.0</v>
      </c>
      <c r="B263" s="50" t="s">
        <v>314</v>
      </c>
      <c r="C263" s="102">
        <v>142.53364642097503</v>
      </c>
      <c r="D263" s="102">
        <v>106.07737989554538</v>
      </c>
    </row>
    <row r="264">
      <c r="A264" s="50">
        <v>70401.0</v>
      </c>
      <c r="B264" s="50" t="s">
        <v>315</v>
      </c>
      <c r="C264" s="102">
        <v>288.4771028011184</v>
      </c>
      <c r="D264" s="102">
        <v>138.8355033878025</v>
      </c>
    </row>
    <row r="265">
      <c r="A265" s="50">
        <v>70402.0</v>
      </c>
      <c r="B265" s="50" t="s">
        <v>316</v>
      </c>
      <c r="C265" s="102">
        <v>339.63876275137096</v>
      </c>
      <c r="D265" s="102">
        <v>175.71698611349817</v>
      </c>
    </row>
    <row r="266">
      <c r="A266" s="50">
        <v>70403.0</v>
      </c>
      <c r="B266" s="50" t="s">
        <v>317</v>
      </c>
      <c r="C266" s="102">
        <v>798.0569027969511</v>
      </c>
      <c r="D266" s="102">
        <v>526.0510280995135</v>
      </c>
    </row>
    <row r="267">
      <c r="A267" s="50">
        <v>70404.0</v>
      </c>
      <c r="B267" s="50" t="s">
        <v>318</v>
      </c>
      <c r="C267" s="102">
        <v>190.59440856417677</v>
      </c>
      <c r="D267" s="102">
        <v>99.70148786976985</v>
      </c>
    </row>
    <row r="268">
      <c r="A268" s="50">
        <v>70501.0</v>
      </c>
      <c r="B268" s="50" t="s">
        <v>319</v>
      </c>
      <c r="C268" s="102">
        <v>536.6400243556451</v>
      </c>
      <c r="D268" s="102">
        <v>597.7589819224754</v>
      </c>
    </row>
    <row r="269">
      <c r="A269" s="50">
        <v>70502.0</v>
      </c>
      <c r="B269" s="50" t="s">
        <v>320</v>
      </c>
      <c r="C269" s="102">
        <v>1064.1225842933145</v>
      </c>
      <c r="D269" s="102">
        <v>903.3240785742072</v>
      </c>
    </row>
    <row r="270">
      <c r="A270" s="50">
        <v>70503.0</v>
      </c>
      <c r="B270" s="50" t="s">
        <v>321</v>
      </c>
      <c r="C270" s="102">
        <v>228.6790571308199</v>
      </c>
      <c r="D270" s="102">
        <v>180.15263746036436</v>
      </c>
    </row>
    <row r="271">
      <c r="A271" s="50">
        <v>70601.0</v>
      </c>
      <c r="B271" s="50" t="s">
        <v>322</v>
      </c>
      <c r="C271" s="102">
        <v>268.2982074314191</v>
      </c>
      <c r="D271" s="102">
        <v>180.59968050261222</v>
      </c>
    </row>
    <row r="272">
      <c r="A272" s="50">
        <v>70602.0</v>
      </c>
      <c r="B272" s="50" t="s">
        <v>323</v>
      </c>
      <c r="C272" s="102">
        <v>418.8984262798474</v>
      </c>
      <c r="D272" s="102">
        <v>186.7557207993801</v>
      </c>
    </row>
    <row r="273">
      <c r="A273" s="50">
        <v>70603.0</v>
      </c>
      <c r="B273" s="50" t="s">
        <v>324</v>
      </c>
      <c r="C273" s="102">
        <v>104.27714633116796</v>
      </c>
      <c r="D273" s="102">
        <v>51.58156660747029</v>
      </c>
    </row>
    <row r="274">
      <c r="A274" s="50">
        <v>70701.0</v>
      </c>
      <c r="B274" s="50" t="s">
        <v>325</v>
      </c>
      <c r="C274" s="102">
        <v>157.0275189442073</v>
      </c>
      <c r="D274" s="102">
        <v>80.74442114749785</v>
      </c>
    </row>
    <row r="275">
      <c r="A275" s="50">
        <v>70702.0</v>
      </c>
      <c r="B275" s="50" t="s">
        <v>326</v>
      </c>
      <c r="C275" s="102">
        <v>925.3977944197203</v>
      </c>
      <c r="D275" s="102">
        <v>586.416278115743</v>
      </c>
    </row>
    <row r="276">
      <c r="A276" s="50">
        <v>70703.0</v>
      </c>
      <c r="B276" s="50" t="s">
        <v>327</v>
      </c>
      <c r="C276" s="102">
        <v>733.4658076296945</v>
      </c>
      <c r="D276" s="102">
        <v>455.8456742564133</v>
      </c>
    </row>
    <row r="277">
      <c r="A277" s="50">
        <v>70704.0</v>
      </c>
      <c r="B277" s="50" t="s">
        <v>328</v>
      </c>
      <c r="C277" s="102">
        <v>102.01209028203084</v>
      </c>
      <c r="D277" s="102">
        <v>46.0039143309172</v>
      </c>
    </row>
    <row r="278">
      <c r="A278" s="50">
        <v>70705.0</v>
      </c>
      <c r="B278" s="50" t="s">
        <v>329</v>
      </c>
      <c r="C278" s="102">
        <v>403.509239254172</v>
      </c>
      <c r="D278" s="102">
        <v>227.29625010630724</v>
      </c>
    </row>
    <row r="279">
      <c r="A279" s="50">
        <v>70706.0</v>
      </c>
      <c r="B279" s="50" t="s">
        <v>330</v>
      </c>
      <c r="C279" s="102">
        <v>393.11149574099113</v>
      </c>
      <c r="D279" s="102">
        <v>237.11886845309436</v>
      </c>
    </row>
    <row r="280">
      <c r="A280" s="50">
        <v>70707.0</v>
      </c>
      <c r="B280" s="50" t="s">
        <v>331</v>
      </c>
      <c r="C280" s="102">
        <v>72.98207287083002</v>
      </c>
      <c r="D280" s="102">
        <v>63.31564294990156</v>
      </c>
    </row>
    <row r="281">
      <c r="A281" s="50">
        <v>70801.0</v>
      </c>
      <c r="B281" s="50" t="s">
        <v>332</v>
      </c>
      <c r="C281" s="102">
        <v>257.39176949375974</v>
      </c>
      <c r="D281" s="102">
        <v>125.96151286022112</v>
      </c>
    </row>
    <row r="282">
      <c r="A282" s="50">
        <v>70802.0</v>
      </c>
      <c r="B282" s="50" t="s">
        <v>333</v>
      </c>
      <c r="C282" s="102">
        <v>45.47791532263928</v>
      </c>
      <c r="D282" s="102">
        <v>21.137283022905198</v>
      </c>
    </row>
    <row r="283">
      <c r="A283" s="50">
        <v>70803.0</v>
      </c>
      <c r="B283" s="50" t="s">
        <v>334</v>
      </c>
      <c r="C283" s="102">
        <v>69.503983794977</v>
      </c>
      <c r="D283" s="102">
        <v>25.787485287944342</v>
      </c>
    </row>
    <row r="284">
      <c r="A284" s="50">
        <v>70804.0</v>
      </c>
      <c r="B284" s="50" t="s">
        <v>335</v>
      </c>
      <c r="C284" s="102">
        <v>58.13450496431719</v>
      </c>
      <c r="D284" s="102">
        <v>17.332572078782263</v>
      </c>
    </row>
    <row r="285">
      <c r="A285" s="50">
        <v>70805.0</v>
      </c>
      <c r="B285" s="50" t="s">
        <v>336</v>
      </c>
      <c r="C285" s="102">
        <v>54.058654062759885</v>
      </c>
      <c r="D285" s="102">
        <v>20.714537362447096</v>
      </c>
    </row>
    <row r="286">
      <c r="A286" s="50">
        <v>70901.0</v>
      </c>
      <c r="B286" s="50" t="s">
        <v>337</v>
      </c>
      <c r="C286" s="102">
        <v>188.13930360137655</v>
      </c>
      <c r="D286" s="102">
        <v>104.06021749560972</v>
      </c>
    </row>
    <row r="287">
      <c r="A287" s="50">
        <v>70902.0</v>
      </c>
      <c r="B287" s="50" t="s">
        <v>338</v>
      </c>
      <c r="C287" s="102">
        <v>178.38951701254038</v>
      </c>
      <c r="D287" s="102">
        <v>109.09524423590504</v>
      </c>
    </row>
    <row r="288">
      <c r="A288" s="50">
        <v>70903.0</v>
      </c>
      <c r="B288" s="50" t="s">
        <v>339</v>
      </c>
      <c r="C288" s="102">
        <v>160.52916059180941</v>
      </c>
      <c r="D288" s="102">
        <v>123.82814037660211</v>
      </c>
    </row>
    <row r="289">
      <c r="A289" s="50">
        <v>70904.0</v>
      </c>
      <c r="B289" s="50" t="s">
        <v>340</v>
      </c>
      <c r="C289" s="102">
        <v>67.35879910994684</v>
      </c>
      <c r="D289" s="102">
        <v>28.88762013130377</v>
      </c>
    </row>
    <row r="290">
      <c r="A290" s="50">
        <v>71001.0</v>
      </c>
      <c r="B290" s="50" t="s">
        <v>341</v>
      </c>
      <c r="C290" s="102">
        <v>1140.3564459281467</v>
      </c>
      <c r="D290" s="102">
        <v>1002.945262757667</v>
      </c>
    </row>
    <row r="291">
      <c r="A291" s="50">
        <v>71002.0</v>
      </c>
      <c r="B291" s="50" t="s">
        <v>342</v>
      </c>
      <c r="C291" s="102">
        <v>385.72181244376407</v>
      </c>
      <c r="D291" s="102">
        <v>184.67365344868142</v>
      </c>
    </row>
    <row r="292">
      <c r="A292" s="50">
        <v>71003.0</v>
      </c>
      <c r="B292" s="50" t="s">
        <v>343</v>
      </c>
      <c r="C292" s="102">
        <v>375.73236537731856</v>
      </c>
      <c r="D292" s="102">
        <v>221.98579707273305</v>
      </c>
    </row>
    <row r="293">
      <c r="A293" s="50">
        <v>71004.0</v>
      </c>
      <c r="B293" s="50" t="s">
        <v>344</v>
      </c>
      <c r="C293" s="102">
        <v>238.63947306835962</v>
      </c>
      <c r="D293" s="102">
        <v>127.61085655359653</v>
      </c>
    </row>
    <row r="294">
      <c r="A294" s="50">
        <v>71005.0</v>
      </c>
      <c r="B294" s="50" t="s">
        <v>270</v>
      </c>
      <c r="C294" s="102">
        <v>372.20012317035696</v>
      </c>
      <c r="D294" s="102">
        <v>149.20691156218015</v>
      </c>
    </row>
    <row r="295">
      <c r="A295" s="50">
        <v>71101.0</v>
      </c>
      <c r="B295" s="50" t="s">
        <v>345</v>
      </c>
      <c r="C295" s="102">
        <v>392.6964803090637</v>
      </c>
      <c r="D295" s="102">
        <v>350.02354879029167</v>
      </c>
    </row>
    <row r="296">
      <c r="A296" s="50">
        <v>71102.0</v>
      </c>
      <c r="B296" s="50" t="s">
        <v>346</v>
      </c>
      <c r="C296" s="102">
        <v>288.4261363251871</v>
      </c>
      <c r="D296" s="102">
        <v>181.78624662022142</v>
      </c>
    </row>
    <row r="297">
      <c r="A297" s="50">
        <v>71103.0</v>
      </c>
      <c r="B297" s="50" t="s">
        <v>347</v>
      </c>
      <c r="C297" s="102">
        <v>103.66837403940676</v>
      </c>
      <c r="D297" s="102">
        <v>81.22293325678234</v>
      </c>
    </row>
    <row r="298">
      <c r="A298" s="50">
        <v>71104.0</v>
      </c>
      <c r="B298" s="50" t="s">
        <v>348</v>
      </c>
      <c r="C298" s="102">
        <v>1092.5498470448188</v>
      </c>
      <c r="D298" s="102">
        <v>493.1367585505425</v>
      </c>
    </row>
    <row r="299">
      <c r="A299" s="50">
        <v>71105.0</v>
      </c>
      <c r="B299" s="50" t="s">
        <v>349</v>
      </c>
      <c r="C299" s="102">
        <v>197.1424725542712</v>
      </c>
      <c r="D299" s="102">
        <v>101.17712806963955</v>
      </c>
    </row>
    <row r="300">
      <c r="A300" s="50">
        <v>71106.0</v>
      </c>
      <c r="B300" s="50" t="s">
        <v>350</v>
      </c>
      <c r="C300" s="102">
        <v>549.9731096584412</v>
      </c>
      <c r="D300" s="102">
        <v>335.153886932946</v>
      </c>
    </row>
    <row r="301">
      <c r="A301" s="50">
        <v>71201.0</v>
      </c>
      <c r="B301" s="50" t="s">
        <v>351</v>
      </c>
      <c r="C301" s="102">
        <v>297.4547229378628</v>
      </c>
      <c r="D301" s="102">
        <v>183.36771115222962</v>
      </c>
    </row>
    <row r="302">
      <c r="A302" s="50">
        <v>71301.0</v>
      </c>
      <c r="B302" s="50" t="s">
        <v>352</v>
      </c>
      <c r="C302" s="102">
        <v>362.321793336112</v>
      </c>
      <c r="D302" s="102">
        <v>186.516968441695</v>
      </c>
    </row>
    <row r="303">
      <c r="A303" s="50">
        <v>71302.0</v>
      </c>
      <c r="B303" s="50" t="s">
        <v>353</v>
      </c>
      <c r="C303" s="102">
        <v>134.6750902182904</v>
      </c>
      <c r="D303" s="102">
        <v>59.21660508382222</v>
      </c>
    </row>
    <row r="304">
      <c r="A304" s="50">
        <v>71401.0</v>
      </c>
      <c r="B304" s="50" t="s">
        <v>354</v>
      </c>
      <c r="C304" s="102">
        <v>237.19938057894313</v>
      </c>
      <c r="D304" s="102">
        <v>137.66512752953003</v>
      </c>
    </row>
    <row r="305">
      <c r="A305" s="50">
        <v>71402.0</v>
      </c>
      <c r="B305" s="50" t="s">
        <v>355</v>
      </c>
      <c r="C305" s="102">
        <v>174.39703043313156</v>
      </c>
      <c r="D305" s="102">
        <v>127.40515631052767</v>
      </c>
    </row>
    <row r="306">
      <c r="A306" s="50">
        <v>71403.0</v>
      </c>
      <c r="B306" s="50" t="s">
        <v>356</v>
      </c>
      <c r="C306" s="102">
        <v>120.15071605872316</v>
      </c>
      <c r="D306" s="102">
        <v>113.22057028603325</v>
      </c>
    </row>
    <row r="307">
      <c r="A307" s="50">
        <v>71501.0</v>
      </c>
      <c r="B307" s="50" t="s">
        <v>357</v>
      </c>
      <c r="C307" s="102">
        <v>421.7594568712828</v>
      </c>
      <c r="D307" s="102">
        <v>347.10347361632574</v>
      </c>
    </row>
    <row r="308">
      <c r="A308" s="50">
        <v>71502.0</v>
      </c>
      <c r="B308" s="50" t="s">
        <v>358</v>
      </c>
      <c r="C308" s="102">
        <v>123.66497983963264</v>
      </c>
      <c r="D308" s="102">
        <v>64.66746964059199</v>
      </c>
    </row>
    <row r="309">
      <c r="A309" s="50">
        <v>71503.0</v>
      </c>
      <c r="B309" s="50" t="s">
        <v>304</v>
      </c>
      <c r="C309" s="102">
        <v>328.4824597036704</v>
      </c>
      <c r="D309" s="102">
        <v>190.1613358544613</v>
      </c>
    </row>
    <row r="310">
      <c r="A310" s="50">
        <v>80101.0</v>
      </c>
      <c r="B310" s="50" t="s">
        <v>359</v>
      </c>
      <c r="C310" s="102">
        <v>1600.0224802657162</v>
      </c>
      <c r="D310" s="102">
        <v>1423.6629433221713</v>
      </c>
    </row>
    <row r="311">
      <c r="A311" s="50">
        <v>80102.0</v>
      </c>
      <c r="B311" s="50" t="s">
        <v>346</v>
      </c>
      <c r="C311" s="102">
        <v>191.15654192191144</v>
      </c>
      <c r="D311" s="102">
        <v>181.52054451096964</v>
      </c>
    </row>
    <row r="312">
      <c r="A312" s="50">
        <v>80201.0</v>
      </c>
      <c r="B312" s="50" t="s">
        <v>360</v>
      </c>
      <c r="C312" s="102">
        <v>1854.2730018320322</v>
      </c>
      <c r="D312" s="102">
        <v>1477.6375360507946</v>
      </c>
    </row>
    <row r="313">
      <c r="A313" s="50">
        <v>80202.0</v>
      </c>
      <c r="B313" s="50" t="s">
        <v>361</v>
      </c>
      <c r="C313" s="102">
        <v>851.1997447887558</v>
      </c>
      <c r="D313" s="102">
        <v>542.8092305927056</v>
      </c>
    </row>
    <row r="314">
      <c r="A314" s="50">
        <v>80301.0</v>
      </c>
      <c r="B314" s="50" t="s">
        <v>362</v>
      </c>
      <c r="C314" s="102">
        <v>353.8442589398651</v>
      </c>
      <c r="D314" s="102">
        <v>208.25037077070422</v>
      </c>
    </row>
    <row r="315">
      <c r="A315" s="50">
        <v>80302.0</v>
      </c>
      <c r="B315" s="50" t="s">
        <v>363</v>
      </c>
      <c r="C315" s="102">
        <v>1216.591462283213</v>
      </c>
      <c r="D315" s="102">
        <v>938.3578009732596</v>
      </c>
    </row>
    <row r="316">
      <c r="A316" s="50">
        <v>80303.0</v>
      </c>
      <c r="B316" s="50" t="s">
        <v>323</v>
      </c>
      <c r="C316" s="102">
        <v>289.69505771259776</v>
      </c>
      <c r="D316" s="102">
        <v>209.4366656365246</v>
      </c>
    </row>
    <row r="317">
      <c r="A317" s="50">
        <v>80304.0</v>
      </c>
      <c r="B317" s="50" t="s">
        <v>364</v>
      </c>
      <c r="C317" s="102">
        <v>425.73347253834874</v>
      </c>
      <c r="D317" s="102">
        <v>337.6817479146474</v>
      </c>
    </row>
    <row r="318">
      <c r="A318" s="50">
        <v>80401.0</v>
      </c>
      <c r="B318" s="50" t="s">
        <v>365</v>
      </c>
      <c r="C318" s="102">
        <v>483.7670596378105</v>
      </c>
      <c r="D318" s="102">
        <v>304.07617400758784</v>
      </c>
    </row>
    <row r="319">
      <c r="A319" s="50">
        <v>80402.0</v>
      </c>
      <c r="B319" s="50" t="s">
        <v>366</v>
      </c>
      <c r="C319" s="102">
        <v>303.00975066259645</v>
      </c>
      <c r="D319" s="102">
        <v>158.80215263136472</v>
      </c>
    </row>
    <row r="320">
      <c r="A320" s="50">
        <v>80501.0</v>
      </c>
      <c r="B320" s="50" t="s">
        <v>312</v>
      </c>
      <c r="C320" s="102">
        <v>630.7370151655985</v>
      </c>
      <c r="D320" s="102">
        <v>442.9787615829502</v>
      </c>
    </row>
    <row r="321">
      <c r="A321" s="50">
        <v>80601.0</v>
      </c>
      <c r="B321" s="50" t="s">
        <v>367</v>
      </c>
      <c r="C321" s="102">
        <v>191.4524498815429</v>
      </c>
      <c r="D321" s="102">
        <v>116.20611476071156</v>
      </c>
    </row>
    <row r="322">
      <c r="A322" s="50">
        <v>80602.0</v>
      </c>
      <c r="B322" s="50" t="s">
        <v>368</v>
      </c>
      <c r="C322" s="102">
        <v>458.2474911058286</v>
      </c>
      <c r="D322" s="102">
        <v>254.85289808043345</v>
      </c>
    </row>
    <row r="323">
      <c r="A323" s="50">
        <v>80701.0</v>
      </c>
      <c r="B323" s="50" t="s">
        <v>369</v>
      </c>
      <c r="C323" s="102">
        <v>155.9867218191058</v>
      </c>
      <c r="D323" s="102">
        <v>107.29932901948676</v>
      </c>
    </row>
    <row r="324">
      <c r="A324" s="50">
        <v>80702.0</v>
      </c>
      <c r="B324" s="50" t="s">
        <v>347</v>
      </c>
      <c r="C324" s="102">
        <v>138.67815453835598</v>
      </c>
      <c r="D324" s="102">
        <v>80.19659809150086</v>
      </c>
    </row>
    <row r="325">
      <c r="A325" s="50">
        <v>80703.0</v>
      </c>
      <c r="B325" s="50" t="s">
        <v>370</v>
      </c>
      <c r="C325" s="102">
        <v>49.12072129881935</v>
      </c>
      <c r="D325" s="102">
        <v>23.90054842596195</v>
      </c>
    </row>
    <row r="326">
      <c r="A326" s="50">
        <v>80801.0</v>
      </c>
      <c r="B326" s="50" t="s">
        <v>371</v>
      </c>
      <c r="C326" s="102">
        <v>267.9566164208049</v>
      </c>
      <c r="D326" s="102">
        <v>192.45763186551184</v>
      </c>
    </row>
    <row r="327">
      <c r="A327" s="50">
        <v>80802.0</v>
      </c>
      <c r="B327" s="50" t="s">
        <v>372</v>
      </c>
      <c r="C327" s="102">
        <v>167.67164571956636</v>
      </c>
      <c r="D327" s="102">
        <v>99.05053607293236</v>
      </c>
    </row>
    <row r="328">
      <c r="A328" s="50">
        <v>80803.0</v>
      </c>
      <c r="B328" s="50" t="s">
        <v>373</v>
      </c>
      <c r="C328" s="102">
        <v>122.84457344622909</v>
      </c>
      <c r="D328" s="102">
        <v>69.52474895815539</v>
      </c>
    </row>
    <row r="329">
      <c r="A329" s="50">
        <v>80901.0</v>
      </c>
      <c r="B329" s="50" t="s">
        <v>374</v>
      </c>
      <c r="C329" s="102">
        <v>140.85218878456632</v>
      </c>
      <c r="D329" s="102">
        <v>117.23631081355474</v>
      </c>
    </row>
    <row r="330">
      <c r="A330" s="50">
        <v>90101.0</v>
      </c>
      <c r="B330" s="50" t="s">
        <v>375</v>
      </c>
      <c r="C330" s="102">
        <v>459.64048892315907</v>
      </c>
      <c r="D330" s="102">
        <v>313.96878948060066</v>
      </c>
    </row>
    <row r="331">
      <c r="A331" s="50">
        <v>90102.0</v>
      </c>
      <c r="B331" s="50" t="s">
        <v>376</v>
      </c>
      <c r="C331" s="102">
        <v>136.96333760518348</v>
      </c>
      <c r="D331" s="102">
        <v>75.44156268717934</v>
      </c>
    </row>
    <row r="332">
      <c r="A332" s="50">
        <v>90103.0</v>
      </c>
      <c r="B332" s="50" t="s">
        <v>377</v>
      </c>
      <c r="C332" s="102">
        <v>53.15480713973603</v>
      </c>
      <c r="D332" s="102">
        <v>19.969335668472024</v>
      </c>
    </row>
    <row r="333">
      <c r="A333" s="50">
        <v>90104.0</v>
      </c>
      <c r="B333" s="50" t="s">
        <v>378</v>
      </c>
      <c r="C333" s="102">
        <v>87.12592448468011</v>
      </c>
      <c r="D333" s="102">
        <v>33.09524731572611</v>
      </c>
    </row>
    <row r="334">
      <c r="A334" s="50">
        <v>90201.0</v>
      </c>
      <c r="B334" s="50" t="s">
        <v>379</v>
      </c>
      <c r="C334" s="102">
        <v>140.7108850737326</v>
      </c>
      <c r="D334" s="102">
        <v>64.0875226032452</v>
      </c>
    </row>
    <row r="335">
      <c r="A335" s="50">
        <v>90202.0</v>
      </c>
      <c r="B335" s="50" t="s">
        <v>270</v>
      </c>
      <c r="C335" s="102">
        <v>60.14886071075394</v>
      </c>
      <c r="D335" s="102">
        <v>41.397105964416724</v>
      </c>
    </row>
    <row r="336">
      <c r="A336" s="50">
        <v>90203.0</v>
      </c>
      <c r="B336" s="50" t="s">
        <v>380</v>
      </c>
      <c r="C336" s="102">
        <v>146.87512499137586</v>
      </c>
      <c r="D336" s="102">
        <v>81.89671369654258</v>
      </c>
    </row>
    <row r="337">
      <c r="A337" s="50">
        <v>90301.0</v>
      </c>
      <c r="B337" s="50" t="s">
        <v>381</v>
      </c>
      <c r="C337" s="102">
        <v>202.02823315140276</v>
      </c>
      <c r="D337" s="102">
        <v>155.48526716106142</v>
      </c>
    </row>
    <row r="338">
      <c r="A338" s="50">
        <v>90302.0</v>
      </c>
      <c r="B338" s="50" t="s">
        <v>303</v>
      </c>
      <c r="C338" s="102">
        <v>198.43129131487925</v>
      </c>
      <c r="D338" s="102">
        <v>142.02909526003137</v>
      </c>
    </row>
    <row r="339">
      <c r="A339" s="50">
        <v>90303.0</v>
      </c>
      <c r="B339" s="50" t="s">
        <v>382</v>
      </c>
      <c r="C339" s="102">
        <v>181.5170160778185</v>
      </c>
      <c r="D339" s="102">
        <v>113.25478634869495</v>
      </c>
    </row>
    <row r="340">
      <c r="A340" s="50">
        <v>90401.0</v>
      </c>
      <c r="B340" s="50" t="s">
        <v>323</v>
      </c>
      <c r="C340" s="102">
        <v>63.146312241190174</v>
      </c>
      <c r="D340" s="102">
        <v>30.178378060780755</v>
      </c>
    </row>
    <row r="341">
      <c r="A341" s="50">
        <v>90402.0</v>
      </c>
      <c r="B341" s="50" t="s">
        <v>383</v>
      </c>
      <c r="C341" s="102">
        <v>48.35888469103805</v>
      </c>
      <c r="D341" s="102">
        <v>29.28087982848988</v>
      </c>
    </row>
    <row r="342">
      <c r="A342" s="50">
        <v>90501.0</v>
      </c>
      <c r="B342" s="50" t="s">
        <v>384</v>
      </c>
      <c r="C342" s="102">
        <v>39.166699997700235</v>
      </c>
      <c r="D342" s="102">
        <v>18.62308832003571</v>
      </c>
    </row>
    <row r="343">
      <c r="A343" s="50">
        <v>90502.0</v>
      </c>
      <c r="B343" s="50" t="s">
        <v>385</v>
      </c>
      <c r="C343" s="102">
        <v>71.53917652641165</v>
      </c>
      <c r="D343" s="102">
        <v>29.39306710752624</v>
      </c>
    </row>
    <row r="344">
      <c r="A344" s="50">
        <v>90503.0</v>
      </c>
      <c r="B344" s="50" t="s">
        <v>386</v>
      </c>
      <c r="C344" s="102">
        <v>43.562962242340056</v>
      </c>
      <c r="D344" s="102">
        <v>24.34463955089005</v>
      </c>
    </row>
    <row r="345">
      <c r="B345" s="1"/>
      <c r="C345" s="103"/>
      <c r="D345" s="103"/>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6.5" customHeight="1">
      <c r="A1" s="104" t="s">
        <v>398</v>
      </c>
      <c r="B1" s="104" t="s">
        <v>46</v>
      </c>
      <c r="C1" s="100" t="s">
        <v>394</v>
      </c>
      <c r="D1" s="100" t="s">
        <v>395</v>
      </c>
      <c r="E1" s="105"/>
      <c r="F1" s="105"/>
      <c r="G1" s="105"/>
      <c r="H1" s="105"/>
      <c r="I1" s="105"/>
      <c r="J1" s="105"/>
      <c r="K1" s="105"/>
      <c r="L1" s="105"/>
      <c r="M1" s="105"/>
      <c r="N1" s="105"/>
      <c r="O1" s="105"/>
      <c r="P1" s="105"/>
      <c r="Q1" s="105"/>
      <c r="R1" s="105"/>
      <c r="S1" s="105"/>
      <c r="T1" s="105"/>
      <c r="U1" s="105"/>
      <c r="V1" s="105"/>
      <c r="W1" s="105"/>
      <c r="X1" s="105"/>
      <c r="Y1" s="105"/>
      <c r="Z1" s="105"/>
    </row>
    <row r="2">
      <c r="A2" s="50">
        <v>1.0</v>
      </c>
      <c r="B2" s="50" t="s">
        <v>49</v>
      </c>
      <c r="C2" s="106">
        <v>36.90779990883139</v>
      </c>
      <c r="D2" s="106">
        <v>13.777709255870327</v>
      </c>
    </row>
    <row r="3">
      <c r="A3" s="50">
        <v>2.0</v>
      </c>
      <c r="B3" s="50" t="s">
        <v>52</v>
      </c>
      <c r="C3" s="106">
        <v>29.926178641372317</v>
      </c>
      <c r="D3" s="106">
        <v>16.91264883034321</v>
      </c>
    </row>
    <row r="4">
      <c r="A4" s="50">
        <v>3.0</v>
      </c>
      <c r="B4" s="50" t="s">
        <v>55</v>
      </c>
      <c r="C4" s="106">
        <v>31.638639091302846</v>
      </c>
      <c r="D4" s="106">
        <v>12.851786793645147</v>
      </c>
    </row>
    <row r="5">
      <c r="A5" s="50">
        <v>4.0</v>
      </c>
      <c r="B5" s="50" t="s">
        <v>57</v>
      </c>
      <c r="C5" s="106">
        <v>33.348348300150704</v>
      </c>
      <c r="D5" s="106">
        <v>24.320684696806218</v>
      </c>
    </row>
    <row r="6">
      <c r="A6" s="50">
        <v>5.0</v>
      </c>
      <c r="B6" s="50" t="s">
        <v>59</v>
      </c>
      <c r="C6" s="106">
        <v>44.069390544788845</v>
      </c>
      <c r="D6" s="106">
        <v>26.718553833912527</v>
      </c>
    </row>
    <row r="7">
      <c r="A7" s="50">
        <v>6.0</v>
      </c>
      <c r="B7" s="50" t="s">
        <v>61</v>
      </c>
      <c r="C7" s="106">
        <v>15.120197692523336</v>
      </c>
      <c r="D7" s="106">
        <v>9.144159842659619</v>
      </c>
    </row>
    <row r="8">
      <c r="A8" s="50">
        <v>7.0</v>
      </c>
      <c r="B8" s="50" t="s">
        <v>63</v>
      </c>
      <c r="C8" s="106">
        <v>12.333740425224972</v>
      </c>
      <c r="D8" s="106">
        <v>10.280227742690183</v>
      </c>
    </row>
    <row r="9">
      <c r="A9" s="50">
        <v>8.0</v>
      </c>
      <c r="B9" s="50" t="s">
        <v>22</v>
      </c>
      <c r="C9" s="106">
        <v>18.101847008770683</v>
      </c>
      <c r="D9" s="106">
        <v>15.659929166663648</v>
      </c>
    </row>
    <row r="10">
      <c r="A10" s="75">
        <v>9.0</v>
      </c>
      <c r="B10" s="75" t="s">
        <v>23</v>
      </c>
      <c r="C10" s="107">
        <v>15.31924849509594</v>
      </c>
      <c r="D10" s="107">
        <v>9.446064123861527</v>
      </c>
    </row>
    <row r="11" ht="15.0" customHeight="1">
      <c r="A11" s="50">
        <v>10.0</v>
      </c>
      <c r="B11" s="50" t="s">
        <v>69</v>
      </c>
      <c r="C11" s="108">
        <v>14.583317878798272</v>
      </c>
      <c r="D11" s="108">
        <v>9.128905032413314</v>
      </c>
    </row>
    <row r="12" ht="15.0" customHeight="1">
      <c r="A12" s="50">
        <v>11.0</v>
      </c>
      <c r="B12" s="50" t="s">
        <v>67</v>
      </c>
      <c r="C12" s="108">
        <v>25.935461729630187</v>
      </c>
      <c r="D12" s="108">
        <v>14.798704106599361</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sheetData>
    <row r="1" ht="44.25" customHeight="1">
      <c r="A1" s="104" t="s">
        <v>398</v>
      </c>
      <c r="B1" s="104" t="s">
        <v>46</v>
      </c>
      <c r="C1" s="100" t="s">
        <v>396</v>
      </c>
      <c r="D1" s="100" t="s">
        <v>397</v>
      </c>
    </row>
    <row r="2">
      <c r="A2" s="50">
        <v>1.0</v>
      </c>
      <c r="B2" s="50" t="s">
        <v>49</v>
      </c>
      <c r="C2" s="102">
        <v>25453.46420712557</v>
      </c>
      <c r="D2" s="102">
        <v>6176.133728128992</v>
      </c>
    </row>
    <row r="3">
      <c r="A3" s="50">
        <v>2.0</v>
      </c>
      <c r="B3" s="50" t="s">
        <v>52</v>
      </c>
      <c r="C3" s="102">
        <v>80523.56591748615</v>
      </c>
      <c r="D3" s="102">
        <v>35301.433650598774</v>
      </c>
    </row>
    <row r="4">
      <c r="A4" s="50">
        <v>3.0</v>
      </c>
      <c r="B4" s="50" t="s">
        <v>55</v>
      </c>
      <c r="C4" s="102">
        <v>60496.55819287108</v>
      </c>
      <c r="D4" s="102">
        <v>19559.519874852358</v>
      </c>
    </row>
    <row r="5">
      <c r="A5" s="50">
        <v>4.0</v>
      </c>
      <c r="B5" s="50" t="s">
        <v>57</v>
      </c>
      <c r="C5" s="102">
        <v>17189.07264782968</v>
      </c>
      <c r="D5" s="102">
        <v>10446.220490972206</v>
      </c>
    </row>
    <row r="6">
      <c r="A6" s="50">
        <v>5.0</v>
      </c>
      <c r="B6" s="50" t="s">
        <v>59</v>
      </c>
      <c r="C6" s="102">
        <v>43309.634251796684</v>
      </c>
      <c r="D6" s="102">
        <v>19625.84653316211</v>
      </c>
    </row>
    <row r="7">
      <c r="A7" s="50">
        <v>6.0</v>
      </c>
      <c r="B7" s="50" t="s">
        <v>61</v>
      </c>
      <c r="C7" s="102">
        <v>7518.215898653379</v>
      </c>
      <c r="D7" s="102">
        <v>3324.450752397331</v>
      </c>
    </row>
    <row r="8">
      <c r="A8" s="50">
        <v>7.0</v>
      </c>
      <c r="B8" s="50" t="s">
        <v>63</v>
      </c>
      <c r="C8" s="102">
        <v>36139.09281995169</v>
      </c>
      <c r="D8" s="102">
        <v>26204.506120672133</v>
      </c>
    </row>
    <row r="9">
      <c r="A9" s="50">
        <v>8.0</v>
      </c>
      <c r="B9" s="50" t="s">
        <v>22</v>
      </c>
      <c r="C9" s="102">
        <v>9892.840408763266</v>
      </c>
      <c r="D9" s="102">
        <v>7285.938644081929</v>
      </c>
    </row>
    <row r="10">
      <c r="A10" s="50">
        <v>9.0</v>
      </c>
      <c r="B10" s="50" t="s">
        <v>23</v>
      </c>
      <c r="C10" s="102">
        <v>1932.3700051714018</v>
      </c>
      <c r="D10" s="102">
        <v>1172.445479053693</v>
      </c>
      <c r="G10" s="109"/>
      <c r="H10" s="109"/>
    </row>
    <row r="11" ht="15.0" customHeight="1">
      <c r="A11" s="50">
        <v>10.0</v>
      </c>
      <c r="B11" s="50" t="s">
        <v>69</v>
      </c>
      <c r="C11" s="72">
        <v>2363.664161795624</v>
      </c>
      <c r="D11" s="72">
        <v>1117.1953978667414</v>
      </c>
    </row>
    <row r="12" ht="15.0" customHeight="1">
      <c r="A12" s="50">
        <v>11.0</v>
      </c>
      <c r="B12" s="50" t="s">
        <v>67</v>
      </c>
      <c r="C12" s="110">
        <v>282454.8143496489</v>
      </c>
      <c r="D12" s="110">
        <v>129096.49527391953</v>
      </c>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workbookViewId="0"/>
  </sheetViews>
  <sheetFormatPr customHeight="1" defaultColWidth="12.63" defaultRowHeight="15.0"/>
  <cols>
    <col customWidth="1" min="11" max="11" width="18.38"/>
  </cols>
  <sheetData>
    <row r="1" ht="44.25" customHeight="1">
      <c r="A1" s="111" t="s">
        <v>399</v>
      </c>
      <c r="B1" s="111" t="s">
        <v>400</v>
      </c>
      <c r="C1" s="112" t="s">
        <v>401</v>
      </c>
      <c r="D1" s="112" t="s">
        <v>402</v>
      </c>
      <c r="E1" s="113" t="s">
        <v>403</v>
      </c>
      <c r="F1" s="113" t="s">
        <v>404</v>
      </c>
      <c r="G1" s="114" t="s">
        <v>405</v>
      </c>
      <c r="H1" s="114" t="s">
        <v>406</v>
      </c>
      <c r="I1" s="115" t="s">
        <v>407</v>
      </c>
      <c r="J1" s="115" t="s">
        <v>408</v>
      </c>
      <c r="K1" s="116" t="s">
        <v>409</v>
      </c>
    </row>
    <row r="2" ht="45.0" customHeight="1">
      <c r="A2" s="117">
        <v>2.0</v>
      </c>
      <c r="B2" s="118" t="s">
        <v>410</v>
      </c>
      <c r="C2" s="117">
        <v>0.0</v>
      </c>
      <c r="D2" s="117">
        <v>7.5</v>
      </c>
      <c r="E2" s="117">
        <v>7.5</v>
      </c>
      <c r="F2" s="117">
        <v>11.3</v>
      </c>
      <c r="G2" s="117">
        <v>11.3</v>
      </c>
      <c r="H2" s="117">
        <v>15.0</v>
      </c>
      <c r="I2" s="117">
        <v>15.0</v>
      </c>
      <c r="J2" s="117">
        <v>100.0</v>
      </c>
      <c r="K2" s="119" t="s">
        <v>411</v>
      </c>
    </row>
    <row r="3">
      <c r="A3" s="120"/>
      <c r="B3" s="120"/>
      <c r="C3" s="120"/>
      <c r="D3" s="120"/>
      <c r="E3" s="120"/>
      <c r="F3" s="120"/>
      <c r="G3" s="120"/>
      <c r="H3" s="120"/>
      <c r="I3" s="120"/>
      <c r="J3" s="120"/>
    </row>
    <row r="4">
      <c r="A4" s="120"/>
      <c r="B4" s="120"/>
      <c r="C4" s="120"/>
      <c r="D4" s="120"/>
      <c r="E4" s="120"/>
      <c r="F4" s="120"/>
      <c r="G4" s="120"/>
      <c r="H4" s="120"/>
      <c r="I4" s="120"/>
      <c r="J4" s="120"/>
    </row>
    <row r="5">
      <c r="A5" s="120"/>
      <c r="B5" s="120"/>
      <c r="C5" s="120"/>
      <c r="D5" s="120"/>
      <c r="E5" s="120"/>
      <c r="F5" s="120"/>
      <c r="G5" s="120"/>
      <c r="H5" s="120"/>
      <c r="I5" s="120"/>
      <c r="J5" s="120"/>
    </row>
    <row r="6">
      <c r="A6" s="120"/>
      <c r="B6" s="120"/>
      <c r="C6" s="120"/>
      <c r="D6" s="120"/>
      <c r="E6" s="120"/>
      <c r="F6" s="120"/>
      <c r="G6" s="120"/>
      <c r="H6" s="120"/>
      <c r="I6" s="120"/>
      <c r="J6" s="120"/>
    </row>
    <row r="7">
      <c r="A7" s="120"/>
      <c r="B7" s="120"/>
      <c r="C7" s="120"/>
      <c r="D7" s="120"/>
      <c r="E7" s="120"/>
      <c r="F7" s="120"/>
      <c r="G7" s="120"/>
      <c r="H7" s="120"/>
      <c r="I7" s="120"/>
      <c r="J7" s="120"/>
    </row>
    <row r="8">
      <c r="A8" s="120"/>
      <c r="B8" s="120"/>
      <c r="C8" s="120"/>
      <c r="D8" s="120"/>
      <c r="E8" s="120"/>
      <c r="F8" s="120"/>
      <c r="G8" s="120"/>
      <c r="H8" s="120"/>
      <c r="I8" s="120"/>
      <c r="J8" s="120"/>
    </row>
    <row r="9">
      <c r="A9" s="120"/>
      <c r="B9" s="120"/>
      <c r="C9" s="120"/>
      <c r="D9" s="120"/>
      <c r="E9" s="120"/>
      <c r="F9" s="120"/>
      <c r="G9" s="120"/>
      <c r="H9" s="120"/>
      <c r="I9" s="120"/>
      <c r="J9" s="120"/>
    </row>
    <row r="10">
      <c r="A10" s="120"/>
      <c r="B10" s="120"/>
      <c r="C10" s="120"/>
      <c r="D10" s="120"/>
      <c r="E10" s="120"/>
      <c r="F10" s="120"/>
      <c r="G10" s="120"/>
      <c r="H10" s="120"/>
      <c r="I10" s="120"/>
      <c r="J10" s="120"/>
    </row>
    <row r="11">
      <c r="A11" s="120"/>
      <c r="B11" s="120"/>
      <c r="C11" s="120"/>
      <c r="D11" s="120"/>
      <c r="E11" s="120"/>
      <c r="F11" s="120"/>
      <c r="G11" s="120"/>
      <c r="H11" s="120"/>
      <c r="I11" s="120"/>
      <c r="J11" s="120"/>
    </row>
    <row r="12">
      <c r="A12" s="120"/>
      <c r="B12" s="120"/>
      <c r="C12" s="120"/>
      <c r="D12" s="120"/>
      <c r="E12" s="120"/>
      <c r="F12" s="120"/>
      <c r="G12" s="120"/>
      <c r="H12" s="120"/>
      <c r="I12" s="120"/>
      <c r="J12" s="120"/>
    </row>
    <row r="13">
      <c r="A13" s="120"/>
      <c r="B13" s="120"/>
      <c r="C13" s="120"/>
      <c r="D13" s="120"/>
      <c r="E13" s="120"/>
      <c r="F13" s="120"/>
      <c r="G13" s="120"/>
      <c r="H13" s="120"/>
      <c r="I13" s="120"/>
      <c r="J13" s="120"/>
    </row>
    <row r="14">
      <c r="A14" s="120"/>
      <c r="B14" s="120"/>
      <c r="C14" s="120"/>
      <c r="D14" s="120"/>
      <c r="E14" s="120"/>
      <c r="F14" s="120"/>
      <c r="G14" s="120"/>
      <c r="H14" s="120"/>
      <c r="I14" s="120"/>
      <c r="J14" s="120"/>
    </row>
    <row r="15">
      <c r="A15" s="120"/>
      <c r="B15" s="120"/>
      <c r="C15" s="120"/>
      <c r="D15" s="120"/>
      <c r="E15" s="120"/>
      <c r="F15" s="120"/>
      <c r="G15" s="120"/>
      <c r="H15" s="120"/>
      <c r="I15" s="120"/>
      <c r="J15" s="120"/>
    </row>
    <row r="16">
      <c r="A16" s="120"/>
      <c r="B16" s="120"/>
      <c r="C16" s="120"/>
      <c r="D16" s="120"/>
      <c r="E16" s="120"/>
      <c r="F16" s="120"/>
      <c r="G16" s="120"/>
      <c r="H16" s="120"/>
      <c r="I16" s="120"/>
      <c r="J16" s="120"/>
    </row>
    <row r="17">
      <c r="A17" s="120"/>
      <c r="B17" s="120"/>
      <c r="C17" s="120"/>
      <c r="D17" s="120"/>
      <c r="E17" s="120"/>
      <c r="F17" s="120"/>
      <c r="G17" s="120"/>
      <c r="H17" s="120"/>
      <c r="I17" s="120"/>
      <c r="J17" s="120"/>
    </row>
    <row r="18">
      <c r="A18" s="120"/>
      <c r="B18" s="120"/>
      <c r="C18" s="120"/>
      <c r="D18" s="120"/>
      <c r="E18" s="120"/>
      <c r="F18" s="120"/>
      <c r="G18" s="120"/>
      <c r="H18" s="120"/>
      <c r="I18" s="120"/>
      <c r="J18" s="120"/>
    </row>
    <row r="19">
      <c r="A19" s="120"/>
      <c r="B19" s="120"/>
      <c r="C19" s="120"/>
      <c r="D19" s="120"/>
      <c r="E19" s="120"/>
      <c r="F19" s="120"/>
      <c r="G19" s="120"/>
      <c r="H19" s="120"/>
      <c r="I19" s="120"/>
      <c r="J19" s="120"/>
    </row>
    <row r="20">
      <c r="A20" s="120"/>
      <c r="B20" s="120"/>
      <c r="C20" s="120"/>
      <c r="D20" s="120"/>
      <c r="E20" s="120"/>
      <c r="F20" s="120"/>
      <c r="G20" s="120"/>
      <c r="H20" s="120"/>
      <c r="I20" s="120"/>
      <c r="J20" s="120"/>
    </row>
    <row r="21">
      <c r="A21" s="120"/>
      <c r="B21" s="120"/>
      <c r="C21" s="120"/>
      <c r="D21" s="120"/>
      <c r="E21" s="120"/>
      <c r="F21" s="120"/>
      <c r="G21" s="120"/>
      <c r="H21" s="120"/>
      <c r="I21" s="120"/>
      <c r="J21" s="120"/>
    </row>
    <row r="22">
      <c r="A22" s="120"/>
      <c r="B22" s="120"/>
      <c r="C22" s="120"/>
      <c r="D22" s="120"/>
      <c r="E22" s="120"/>
      <c r="F22" s="120"/>
      <c r="G22" s="120"/>
      <c r="H22" s="120"/>
      <c r="I22" s="120"/>
      <c r="J22" s="120"/>
    </row>
    <row r="23">
      <c r="A23" s="120"/>
      <c r="B23" s="120"/>
      <c r="C23" s="120"/>
      <c r="D23" s="120"/>
      <c r="E23" s="120"/>
      <c r="F23" s="120"/>
      <c r="G23" s="120"/>
      <c r="H23" s="120"/>
      <c r="I23" s="120"/>
      <c r="J23" s="120"/>
    </row>
    <row r="24">
      <c r="A24" s="120"/>
      <c r="B24" s="120"/>
      <c r="C24" s="120"/>
      <c r="D24" s="120"/>
      <c r="E24" s="120"/>
      <c r="F24" s="120"/>
      <c r="G24" s="120"/>
      <c r="H24" s="120"/>
      <c r="I24" s="120"/>
      <c r="J24" s="120"/>
    </row>
    <row r="25">
      <c r="A25" s="120"/>
      <c r="B25" s="120"/>
      <c r="C25" s="120"/>
      <c r="D25" s="120"/>
      <c r="E25" s="120"/>
      <c r="F25" s="120"/>
      <c r="G25" s="120"/>
      <c r="H25" s="120"/>
      <c r="I25" s="120"/>
      <c r="J25" s="120"/>
    </row>
    <row r="26">
      <c r="A26" s="120"/>
      <c r="B26" s="120"/>
      <c r="C26" s="120"/>
      <c r="D26" s="120"/>
      <c r="E26" s="120"/>
      <c r="F26" s="120"/>
      <c r="G26" s="120"/>
      <c r="H26" s="120"/>
      <c r="I26" s="120"/>
      <c r="J26" s="120"/>
    </row>
    <row r="27">
      <c r="A27" s="120"/>
      <c r="B27" s="120"/>
      <c r="C27" s="120"/>
      <c r="D27" s="120"/>
      <c r="E27" s="120"/>
      <c r="F27" s="120"/>
      <c r="G27" s="120"/>
      <c r="H27" s="120"/>
      <c r="I27" s="120"/>
      <c r="J27" s="120"/>
    </row>
    <row r="28">
      <c r="A28" s="120"/>
      <c r="B28" s="120"/>
      <c r="C28" s="120"/>
      <c r="D28" s="120"/>
      <c r="E28" s="120"/>
      <c r="F28" s="120"/>
      <c r="G28" s="120"/>
      <c r="H28" s="120"/>
      <c r="I28" s="120"/>
      <c r="J28" s="120"/>
    </row>
    <row r="29">
      <c r="A29" s="120"/>
      <c r="B29" s="120"/>
      <c r="C29" s="120"/>
      <c r="D29" s="120"/>
      <c r="E29" s="120"/>
      <c r="F29" s="120"/>
      <c r="G29" s="120"/>
      <c r="H29" s="120"/>
      <c r="I29" s="120"/>
      <c r="J29" s="120"/>
    </row>
    <row r="30">
      <c r="A30" s="120"/>
      <c r="B30" s="120"/>
      <c r="C30" s="120"/>
      <c r="D30" s="120"/>
      <c r="E30" s="120"/>
      <c r="F30" s="120"/>
      <c r="G30" s="120"/>
      <c r="H30" s="120"/>
      <c r="I30" s="120"/>
      <c r="J30" s="120"/>
    </row>
    <row r="31">
      <c r="A31" s="120"/>
      <c r="B31" s="120"/>
      <c r="C31" s="120"/>
      <c r="D31" s="120"/>
      <c r="E31" s="120"/>
      <c r="F31" s="120"/>
      <c r="G31" s="120"/>
      <c r="H31" s="120"/>
      <c r="I31" s="120"/>
      <c r="J31" s="120"/>
    </row>
    <row r="32">
      <c r="A32" s="120"/>
      <c r="B32" s="120"/>
      <c r="C32" s="120"/>
      <c r="D32" s="120"/>
      <c r="E32" s="120"/>
      <c r="F32" s="120"/>
      <c r="G32" s="120"/>
      <c r="H32" s="120"/>
      <c r="I32" s="120"/>
      <c r="J32" s="120"/>
    </row>
    <row r="33">
      <c r="A33" s="120"/>
      <c r="B33" s="120"/>
      <c r="C33" s="120"/>
      <c r="D33" s="120"/>
      <c r="E33" s="120"/>
      <c r="F33" s="120"/>
      <c r="G33" s="120"/>
      <c r="H33" s="120"/>
      <c r="I33" s="120"/>
      <c r="J33" s="120"/>
    </row>
    <row r="34">
      <c r="A34" s="120"/>
      <c r="B34" s="120"/>
      <c r="C34" s="120"/>
      <c r="D34" s="120"/>
      <c r="E34" s="120"/>
      <c r="F34" s="120"/>
      <c r="G34" s="120"/>
      <c r="H34" s="120"/>
      <c r="I34" s="120"/>
      <c r="J34" s="120"/>
    </row>
    <row r="35">
      <c r="A35" s="120"/>
      <c r="B35" s="120"/>
      <c r="C35" s="120"/>
      <c r="D35" s="120"/>
      <c r="E35" s="120"/>
      <c r="F35" s="120"/>
      <c r="G35" s="120"/>
      <c r="H35" s="120"/>
      <c r="I35" s="120"/>
      <c r="J35" s="120"/>
    </row>
    <row r="36">
      <c r="A36" s="120"/>
      <c r="B36" s="120"/>
      <c r="C36" s="120"/>
      <c r="D36" s="120"/>
      <c r="E36" s="120"/>
      <c r="F36" s="120"/>
      <c r="G36" s="120"/>
      <c r="H36" s="120"/>
      <c r="I36" s="120"/>
      <c r="J36" s="120"/>
    </row>
    <row r="37">
      <c r="A37" s="120"/>
      <c r="B37" s="120"/>
      <c r="C37" s="120"/>
      <c r="D37" s="120"/>
      <c r="E37" s="120"/>
      <c r="F37" s="120"/>
      <c r="G37" s="120"/>
      <c r="H37" s="120"/>
      <c r="I37" s="120"/>
      <c r="J37" s="120"/>
    </row>
    <row r="38">
      <c r="A38" s="120"/>
      <c r="B38" s="120"/>
      <c r="C38" s="120"/>
      <c r="D38" s="120"/>
      <c r="E38" s="120"/>
      <c r="F38" s="120"/>
      <c r="G38" s="120"/>
      <c r="H38" s="120"/>
      <c r="I38" s="120"/>
      <c r="J38" s="120"/>
    </row>
    <row r="39">
      <c r="A39" s="120"/>
      <c r="B39" s="120"/>
      <c r="C39" s="120"/>
      <c r="D39" s="120"/>
      <c r="E39" s="120"/>
      <c r="F39" s="120"/>
      <c r="G39" s="120"/>
      <c r="H39" s="120"/>
      <c r="I39" s="120"/>
      <c r="J39" s="120"/>
    </row>
    <row r="40">
      <c r="A40" s="120"/>
      <c r="B40" s="120"/>
      <c r="C40" s="120"/>
      <c r="D40" s="120"/>
      <c r="E40" s="120"/>
      <c r="F40" s="120"/>
      <c r="G40" s="120"/>
      <c r="H40" s="120"/>
      <c r="I40" s="120"/>
      <c r="J40" s="120"/>
    </row>
    <row r="41">
      <c r="A41" s="120"/>
      <c r="B41" s="120"/>
      <c r="C41" s="120"/>
      <c r="D41" s="120"/>
      <c r="E41" s="120"/>
      <c r="F41" s="120"/>
      <c r="G41" s="120"/>
      <c r="H41" s="120"/>
      <c r="I41" s="120"/>
      <c r="J41" s="120"/>
    </row>
    <row r="42">
      <c r="A42" s="120"/>
      <c r="B42" s="120"/>
      <c r="C42" s="120"/>
      <c r="D42" s="120"/>
      <c r="E42" s="120"/>
      <c r="F42" s="120"/>
      <c r="G42" s="120"/>
      <c r="H42" s="120"/>
      <c r="I42" s="120"/>
      <c r="J42" s="120"/>
    </row>
    <row r="43">
      <c r="A43" s="120"/>
      <c r="B43" s="120"/>
      <c r="C43" s="120"/>
      <c r="D43" s="120"/>
      <c r="E43" s="120"/>
      <c r="F43" s="120"/>
      <c r="G43" s="120"/>
      <c r="H43" s="120"/>
      <c r="I43" s="120"/>
      <c r="J43" s="120"/>
    </row>
    <row r="44">
      <c r="A44" s="120"/>
      <c r="B44" s="120"/>
      <c r="C44" s="120"/>
      <c r="D44" s="120"/>
      <c r="E44" s="120"/>
      <c r="F44" s="120"/>
      <c r="G44" s="120"/>
      <c r="H44" s="120"/>
      <c r="I44" s="120"/>
      <c r="J44" s="120"/>
    </row>
    <row r="45">
      <c r="A45" s="120"/>
      <c r="B45" s="120"/>
      <c r="C45" s="120"/>
      <c r="D45" s="120"/>
      <c r="E45" s="120"/>
      <c r="F45" s="120"/>
      <c r="G45" s="120"/>
      <c r="H45" s="120"/>
      <c r="I45" s="120"/>
      <c r="J45" s="120"/>
    </row>
    <row r="46">
      <c r="A46" s="120"/>
      <c r="B46" s="120"/>
      <c r="C46" s="120"/>
      <c r="D46" s="120"/>
      <c r="E46" s="120"/>
      <c r="F46" s="120"/>
      <c r="G46" s="120"/>
      <c r="H46" s="120"/>
      <c r="I46" s="120"/>
      <c r="J46" s="120"/>
    </row>
    <row r="47">
      <c r="A47" s="120"/>
      <c r="B47" s="120"/>
      <c r="C47" s="120"/>
      <c r="D47" s="120"/>
      <c r="E47" s="120"/>
      <c r="F47" s="120"/>
      <c r="G47" s="120"/>
      <c r="H47" s="120"/>
      <c r="I47" s="120"/>
      <c r="J47" s="120"/>
    </row>
    <row r="48">
      <c r="A48" s="120"/>
      <c r="B48" s="120"/>
      <c r="C48" s="120"/>
      <c r="D48" s="120"/>
      <c r="E48" s="120"/>
      <c r="F48" s="120"/>
      <c r="G48" s="120"/>
      <c r="H48" s="120"/>
      <c r="I48" s="120"/>
      <c r="J48" s="120"/>
    </row>
    <row r="49">
      <c r="A49" s="120"/>
      <c r="B49" s="120"/>
      <c r="C49" s="120"/>
      <c r="D49" s="120"/>
      <c r="E49" s="120"/>
      <c r="F49" s="120"/>
      <c r="G49" s="120"/>
      <c r="H49" s="120"/>
      <c r="I49" s="120"/>
      <c r="J49" s="120"/>
    </row>
    <row r="50">
      <c r="A50" s="120"/>
      <c r="B50" s="120"/>
      <c r="C50" s="120"/>
      <c r="D50" s="120"/>
      <c r="E50" s="120"/>
      <c r="F50" s="120"/>
      <c r="G50" s="120"/>
      <c r="H50" s="120"/>
      <c r="I50" s="120"/>
      <c r="J50" s="120"/>
    </row>
    <row r="51">
      <c r="A51" s="120"/>
      <c r="B51" s="120"/>
      <c r="C51" s="120"/>
      <c r="D51" s="120"/>
      <c r="E51" s="120"/>
      <c r="F51" s="120"/>
      <c r="G51" s="120"/>
      <c r="H51" s="120"/>
      <c r="I51" s="120"/>
      <c r="J51" s="120"/>
    </row>
    <row r="52">
      <c r="A52" s="120"/>
      <c r="B52" s="120"/>
      <c r="C52" s="120"/>
      <c r="D52" s="120"/>
      <c r="E52" s="120"/>
      <c r="F52" s="120"/>
      <c r="G52" s="120"/>
      <c r="H52" s="120"/>
      <c r="I52" s="120"/>
      <c r="J52" s="120"/>
    </row>
    <row r="53">
      <c r="A53" s="120"/>
      <c r="B53" s="120"/>
      <c r="C53" s="120"/>
      <c r="D53" s="120"/>
      <c r="E53" s="120"/>
      <c r="F53" s="120"/>
      <c r="G53" s="120"/>
      <c r="H53" s="120"/>
      <c r="I53" s="120"/>
      <c r="J53" s="120"/>
    </row>
    <row r="54">
      <c r="A54" s="120"/>
      <c r="B54" s="120"/>
      <c r="C54" s="120"/>
      <c r="D54" s="120"/>
      <c r="E54" s="120"/>
      <c r="F54" s="120"/>
      <c r="G54" s="120"/>
      <c r="H54" s="120"/>
      <c r="I54" s="120"/>
      <c r="J54" s="120"/>
    </row>
    <row r="55">
      <c r="A55" s="120"/>
      <c r="B55" s="120"/>
      <c r="C55" s="120"/>
      <c r="D55" s="120"/>
      <c r="E55" s="120"/>
      <c r="F55" s="120"/>
      <c r="G55" s="120"/>
      <c r="H55" s="120"/>
      <c r="I55" s="120"/>
      <c r="J55" s="120"/>
    </row>
    <row r="56">
      <c r="A56" s="120"/>
      <c r="B56" s="120"/>
      <c r="C56" s="120"/>
      <c r="D56" s="120"/>
      <c r="E56" s="120"/>
      <c r="F56" s="120"/>
      <c r="G56" s="120"/>
      <c r="H56" s="120"/>
      <c r="I56" s="120"/>
      <c r="J56" s="120"/>
    </row>
    <row r="57">
      <c r="A57" s="120"/>
      <c r="B57" s="120"/>
      <c r="C57" s="120"/>
      <c r="D57" s="120"/>
      <c r="E57" s="120"/>
      <c r="F57" s="120"/>
      <c r="G57" s="120"/>
      <c r="H57" s="120"/>
      <c r="I57" s="120"/>
      <c r="J57" s="120"/>
    </row>
    <row r="58">
      <c r="A58" s="120"/>
      <c r="B58" s="120"/>
      <c r="C58" s="120"/>
      <c r="D58" s="120"/>
      <c r="E58" s="120"/>
      <c r="F58" s="120"/>
      <c r="G58" s="120"/>
      <c r="H58" s="120"/>
      <c r="I58" s="120"/>
      <c r="J58" s="120"/>
    </row>
    <row r="59">
      <c r="A59" s="120"/>
      <c r="B59" s="120"/>
      <c r="C59" s="120"/>
      <c r="D59" s="120"/>
      <c r="E59" s="120"/>
      <c r="F59" s="120"/>
      <c r="G59" s="120"/>
      <c r="H59" s="120"/>
      <c r="I59" s="120"/>
      <c r="J59" s="120"/>
    </row>
    <row r="60">
      <c r="A60" s="120"/>
      <c r="B60" s="120"/>
      <c r="C60" s="120"/>
      <c r="D60" s="120"/>
      <c r="E60" s="120"/>
      <c r="F60" s="120"/>
      <c r="G60" s="120"/>
      <c r="H60" s="120"/>
      <c r="I60" s="120"/>
      <c r="J60" s="120"/>
    </row>
    <row r="61">
      <c r="A61" s="120"/>
      <c r="B61" s="120"/>
      <c r="C61" s="120"/>
      <c r="D61" s="120"/>
      <c r="E61" s="120"/>
      <c r="F61" s="120"/>
      <c r="G61" s="120"/>
      <c r="H61" s="120"/>
      <c r="I61" s="120"/>
      <c r="J61" s="120"/>
    </row>
    <row r="62">
      <c r="A62" s="120"/>
      <c r="B62" s="120"/>
      <c r="C62" s="120"/>
      <c r="D62" s="120"/>
      <c r="E62" s="120"/>
      <c r="F62" s="120"/>
      <c r="G62" s="120"/>
      <c r="H62" s="120"/>
      <c r="I62" s="120"/>
      <c r="J62" s="120"/>
    </row>
    <row r="63">
      <c r="A63" s="120"/>
      <c r="B63" s="120"/>
      <c r="C63" s="120"/>
      <c r="D63" s="120"/>
      <c r="E63" s="120"/>
      <c r="F63" s="120"/>
      <c r="G63" s="120"/>
      <c r="H63" s="120"/>
      <c r="I63" s="120"/>
      <c r="J63" s="120"/>
    </row>
    <row r="64">
      <c r="A64" s="120"/>
      <c r="B64" s="120"/>
      <c r="C64" s="120"/>
      <c r="D64" s="120"/>
      <c r="E64" s="120"/>
      <c r="F64" s="120"/>
      <c r="G64" s="120"/>
      <c r="H64" s="120"/>
      <c r="I64" s="120"/>
      <c r="J64" s="120"/>
    </row>
    <row r="65">
      <c r="A65" s="120"/>
      <c r="B65" s="120"/>
      <c r="C65" s="120"/>
      <c r="D65" s="120"/>
      <c r="E65" s="120"/>
      <c r="F65" s="120"/>
      <c r="G65" s="120"/>
      <c r="H65" s="120"/>
      <c r="I65" s="120"/>
      <c r="J65" s="120"/>
    </row>
    <row r="66">
      <c r="A66" s="120"/>
      <c r="B66" s="120"/>
      <c r="C66" s="120"/>
      <c r="D66" s="120"/>
      <c r="E66" s="120"/>
      <c r="F66" s="120"/>
      <c r="G66" s="120"/>
      <c r="H66" s="120"/>
      <c r="I66" s="120"/>
      <c r="J66" s="120"/>
    </row>
    <row r="67">
      <c r="A67" s="120"/>
      <c r="B67" s="120"/>
      <c r="C67" s="120"/>
      <c r="D67" s="120"/>
      <c r="E67" s="120"/>
      <c r="F67" s="120"/>
      <c r="G67" s="120"/>
      <c r="H67" s="120"/>
      <c r="I67" s="120"/>
      <c r="J67" s="120"/>
    </row>
    <row r="68">
      <c r="A68" s="120"/>
      <c r="B68" s="120"/>
      <c r="C68" s="120"/>
      <c r="D68" s="120"/>
      <c r="E68" s="120"/>
      <c r="F68" s="120"/>
      <c r="G68" s="120"/>
      <c r="H68" s="120"/>
      <c r="I68" s="120"/>
      <c r="J68" s="120"/>
    </row>
    <row r="69">
      <c r="A69" s="120"/>
      <c r="B69" s="120"/>
      <c r="C69" s="120"/>
      <c r="D69" s="120"/>
      <c r="E69" s="120"/>
      <c r="F69" s="120"/>
      <c r="G69" s="120"/>
      <c r="H69" s="120"/>
      <c r="I69" s="120"/>
      <c r="J69" s="120"/>
    </row>
    <row r="70">
      <c r="A70" s="120"/>
      <c r="B70" s="120"/>
      <c r="C70" s="120"/>
      <c r="D70" s="120"/>
      <c r="E70" s="120"/>
      <c r="F70" s="120"/>
      <c r="G70" s="120"/>
      <c r="H70" s="120"/>
      <c r="I70" s="120"/>
      <c r="J70" s="120"/>
    </row>
    <row r="71">
      <c r="A71" s="120"/>
      <c r="B71" s="120"/>
      <c r="C71" s="120"/>
      <c r="D71" s="120"/>
      <c r="E71" s="120"/>
      <c r="F71" s="120"/>
      <c r="G71" s="120"/>
      <c r="H71" s="120"/>
      <c r="I71" s="120"/>
      <c r="J71" s="120"/>
    </row>
    <row r="72">
      <c r="A72" s="120"/>
      <c r="B72" s="120"/>
      <c r="C72" s="120"/>
      <c r="D72" s="120"/>
      <c r="E72" s="120"/>
      <c r="F72" s="120"/>
      <c r="G72" s="120"/>
      <c r="H72" s="120"/>
      <c r="I72" s="120"/>
      <c r="J72" s="120"/>
    </row>
    <row r="73">
      <c r="A73" s="120"/>
      <c r="B73" s="120"/>
      <c r="C73" s="120"/>
      <c r="D73" s="120"/>
      <c r="E73" s="120"/>
      <c r="F73" s="120"/>
      <c r="G73" s="120"/>
      <c r="H73" s="120"/>
      <c r="I73" s="120"/>
      <c r="J73" s="120"/>
    </row>
    <row r="74">
      <c r="A74" s="120"/>
      <c r="B74" s="120"/>
      <c r="C74" s="120"/>
      <c r="D74" s="120"/>
      <c r="E74" s="120"/>
      <c r="F74" s="120"/>
      <c r="G74" s="120"/>
      <c r="H74" s="120"/>
      <c r="I74" s="120"/>
      <c r="J74" s="120"/>
    </row>
    <row r="75">
      <c r="A75" s="120"/>
      <c r="B75" s="120"/>
      <c r="C75" s="120"/>
      <c r="D75" s="120"/>
      <c r="E75" s="120"/>
      <c r="F75" s="120"/>
      <c r="G75" s="120"/>
      <c r="H75" s="120"/>
      <c r="I75" s="120"/>
      <c r="J75" s="120"/>
    </row>
    <row r="76">
      <c r="A76" s="120"/>
      <c r="B76" s="120"/>
      <c r="C76" s="120"/>
      <c r="D76" s="120"/>
      <c r="E76" s="120"/>
      <c r="F76" s="120"/>
      <c r="G76" s="120"/>
      <c r="H76" s="120"/>
      <c r="I76" s="120"/>
      <c r="J76" s="120"/>
    </row>
    <row r="77">
      <c r="A77" s="120"/>
      <c r="B77" s="120"/>
      <c r="C77" s="120"/>
      <c r="D77" s="120"/>
      <c r="E77" s="120"/>
      <c r="F77" s="120"/>
      <c r="G77" s="120"/>
      <c r="H77" s="120"/>
      <c r="I77" s="120"/>
      <c r="J77" s="120"/>
    </row>
    <row r="78">
      <c r="A78" s="120"/>
      <c r="B78" s="120"/>
      <c r="C78" s="120"/>
      <c r="D78" s="120"/>
      <c r="E78" s="120"/>
      <c r="F78" s="120"/>
      <c r="G78" s="120"/>
      <c r="H78" s="120"/>
      <c r="I78" s="120"/>
      <c r="J78" s="120"/>
    </row>
    <row r="79">
      <c r="A79" s="120"/>
      <c r="B79" s="120"/>
      <c r="C79" s="120"/>
      <c r="D79" s="120"/>
      <c r="E79" s="120"/>
      <c r="F79" s="120"/>
      <c r="G79" s="120"/>
      <c r="H79" s="120"/>
      <c r="I79" s="120"/>
      <c r="J79" s="120"/>
    </row>
    <row r="80">
      <c r="A80" s="120"/>
      <c r="B80" s="120"/>
      <c r="C80" s="120"/>
      <c r="D80" s="120"/>
      <c r="E80" s="120"/>
      <c r="F80" s="120"/>
      <c r="G80" s="120"/>
      <c r="H80" s="120"/>
      <c r="I80" s="120"/>
      <c r="J80" s="120"/>
    </row>
    <row r="81">
      <c r="A81" s="120"/>
      <c r="B81" s="120"/>
      <c r="C81" s="120"/>
      <c r="D81" s="120"/>
      <c r="E81" s="120"/>
      <c r="F81" s="120"/>
      <c r="G81" s="120"/>
      <c r="H81" s="120"/>
      <c r="I81" s="120"/>
      <c r="J81" s="120"/>
    </row>
    <row r="82">
      <c r="A82" s="120"/>
      <c r="B82" s="120"/>
      <c r="C82" s="120"/>
      <c r="D82" s="120"/>
      <c r="E82" s="120"/>
      <c r="F82" s="120"/>
      <c r="G82" s="120"/>
      <c r="H82" s="120"/>
      <c r="I82" s="120"/>
      <c r="J82" s="120"/>
    </row>
    <row r="83">
      <c r="A83" s="120"/>
      <c r="B83" s="120"/>
      <c r="C83" s="120"/>
      <c r="D83" s="120"/>
      <c r="E83" s="120"/>
      <c r="F83" s="120"/>
      <c r="G83" s="120"/>
      <c r="H83" s="120"/>
      <c r="I83" s="120"/>
      <c r="J83" s="120"/>
    </row>
    <row r="84">
      <c r="A84" s="120"/>
      <c r="B84" s="120"/>
      <c r="C84" s="120"/>
      <c r="D84" s="120"/>
      <c r="E84" s="120"/>
      <c r="F84" s="120"/>
      <c r="G84" s="120"/>
      <c r="H84" s="120"/>
      <c r="I84" s="120"/>
      <c r="J84" s="120"/>
    </row>
    <row r="85">
      <c r="A85" s="120"/>
      <c r="B85" s="120"/>
      <c r="C85" s="120"/>
      <c r="D85" s="120"/>
      <c r="E85" s="120"/>
      <c r="F85" s="120"/>
      <c r="G85" s="120"/>
      <c r="H85" s="120"/>
      <c r="I85" s="120"/>
      <c r="J85" s="120"/>
    </row>
    <row r="86">
      <c r="A86" s="120"/>
      <c r="B86" s="120"/>
      <c r="C86" s="120"/>
      <c r="D86" s="120"/>
      <c r="E86" s="120"/>
      <c r="F86" s="120"/>
      <c r="G86" s="120"/>
      <c r="H86" s="120"/>
      <c r="I86" s="120"/>
      <c r="J86" s="120"/>
    </row>
    <row r="87">
      <c r="A87" s="120"/>
      <c r="B87" s="120"/>
      <c r="C87" s="120"/>
      <c r="D87" s="120"/>
      <c r="E87" s="120"/>
      <c r="F87" s="120"/>
      <c r="G87" s="120"/>
      <c r="H87" s="120"/>
      <c r="I87" s="120"/>
      <c r="J87" s="120"/>
    </row>
    <row r="88">
      <c r="A88" s="120"/>
      <c r="B88" s="120"/>
      <c r="C88" s="120"/>
      <c r="D88" s="120"/>
      <c r="E88" s="120"/>
      <c r="F88" s="120"/>
      <c r="G88" s="120"/>
      <c r="H88" s="120"/>
      <c r="I88" s="120"/>
      <c r="J88" s="120"/>
    </row>
    <row r="89">
      <c r="A89" s="120"/>
      <c r="B89" s="120"/>
      <c r="C89" s="120"/>
      <c r="D89" s="120"/>
      <c r="E89" s="120"/>
      <c r="F89" s="120"/>
      <c r="G89" s="120"/>
      <c r="H89" s="120"/>
      <c r="I89" s="120"/>
      <c r="J89" s="120"/>
    </row>
    <row r="90">
      <c r="A90" s="120"/>
      <c r="B90" s="120"/>
      <c r="C90" s="120"/>
      <c r="D90" s="120"/>
      <c r="E90" s="120"/>
      <c r="F90" s="120"/>
      <c r="G90" s="120"/>
      <c r="H90" s="120"/>
      <c r="I90" s="120"/>
      <c r="J90" s="120"/>
    </row>
    <row r="91">
      <c r="A91" s="120"/>
      <c r="B91" s="120"/>
      <c r="C91" s="120"/>
      <c r="D91" s="120"/>
      <c r="E91" s="120"/>
      <c r="F91" s="120"/>
      <c r="G91" s="120"/>
      <c r="H91" s="120"/>
      <c r="I91" s="120"/>
      <c r="J91" s="120"/>
    </row>
    <row r="92">
      <c r="A92" s="120"/>
      <c r="B92" s="120"/>
      <c r="C92" s="120"/>
      <c r="D92" s="120"/>
      <c r="E92" s="120"/>
      <c r="F92" s="120"/>
      <c r="G92" s="120"/>
      <c r="H92" s="120"/>
      <c r="I92" s="120"/>
      <c r="J92" s="120"/>
    </row>
    <row r="93">
      <c r="A93" s="120"/>
      <c r="B93" s="120"/>
      <c r="C93" s="120"/>
      <c r="D93" s="120"/>
      <c r="E93" s="120"/>
      <c r="F93" s="120"/>
      <c r="G93" s="120"/>
      <c r="H93" s="120"/>
      <c r="I93" s="120"/>
      <c r="J93" s="120"/>
    </row>
    <row r="94">
      <c r="A94" s="120"/>
      <c r="B94" s="120"/>
      <c r="C94" s="120"/>
      <c r="D94" s="120"/>
      <c r="E94" s="120"/>
      <c r="F94" s="120"/>
      <c r="G94" s="120"/>
      <c r="H94" s="120"/>
      <c r="I94" s="120"/>
      <c r="J94" s="120"/>
    </row>
    <row r="95">
      <c r="A95" s="120"/>
      <c r="B95" s="120"/>
      <c r="C95" s="120"/>
      <c r="D95" s="120"/>
      <c r="E95" s="120"/>
      <c r="F95" s="120"/>
      <c r="G95" s="120"/>
      <c r="H95" s="120"/>
      <c r="I95" s="120"/>
      <c r="J95" s="120"/>
    </row>
    <row r="96">
      <c r="A96" s="120"/>
      <c r="B96" s="120"/>
      <c r="C96" s="120"/>
      <c r="D96" s="120"/>
      <c r="E96" s="120"/>
      <c r="F96" s="120"/>
      <c r="G96" s="120"/>
      <c r="H96" s="120"/>
      <c r="I96" s="120"/>
      <c r="J96" s="120"/>
    </row>
    <row r="97">
      <c r="A97" s="120"/>
      <c r="B97" s="120"/>
      <c r="C97" s="120"/>
      <c r="D97" s="120"/>
      <c r="E97" s="120"/>
      <c r="F97" s="120"/>
      <c r="G97" s="120"/>
      <c r="H97" s="120"/>
      <c r="I97" s="120"/>
      <c r="J97" s="120"/>
    </row>
    <row r="98">
      <c r="A98" s="120"/>
      <c r="B98" s="120"/>
      <c r="C98" s="120"/>
      <c r="D98" s="120"/>
      <c r="E98" s="120"/>
      <c r="F98" s="120"/>
      <c r="G98" s="120"/>
      <c r="H98" s="120"/>
      <c r="I98" s="120"/>
      <c r="J98" s="120"/>
    </row>
    <row r="99">
      <c r="A99" s="120"/>
      <c r="B99" s="120"/>
      <c r="C99" s="120"/>
      <c r="D99" s="120"/>
      <c r="E99" s="120"/>
      <c r="F99" s="120"/>
      <c r="G99" s="120"/>
      <c r="H99" s="120"/>
      <c r="I99" s="120"/>
      <c r="J99" s="120"/>
    </row>
    <row r="100">
      <c r="A100" s="120"/>
      <c r="B100" s="120"/>
      <c r="C100" s="120"/>
      <c r="D100" s="120"/>
      <c r="E100" s="120"/>
      <c r="F100" s="120"/>
      <c r="G100" s="120"/>
      <c r="H100" s="120"/>
      <c r="I100" s="120"/>
      <c r="J100" s="120"/>
    </row>
    <row r="101">
      <c r="A101" s="120"/>
      <c r="B101" s="120"/>
      <c r="C101" s="120"/>
      <c r="D101" s="120"/>
      <c r="E101" s="120"/>
      <c r="F101" s="120"/>
      <c r="G101" s="120"/>
      <c r="H101" s="120"/>
      <c r="I101" s="120"/>
      <c r="J101" s="120"/>
    </row>
    <row r="102">
      <c r="A102" s="120"/>
      <c r="B102" s="120"/>
      <c r="C102" s="120"/>
      <c r="D102" s="120"/>
      <c r="E102" s="120"/>
      <c r="F102" s="120"/>
      <c r="G102" s="120"/>
      <c r="H102" s="120"/>
      <c r="I102" s="120"/>
      <c r="J102" s="120"/>
    </row>
    <row r="103">
      <c r="A103" s="120"/>
      <c r="B103" s="120"/>
      <c r="C103" s="120"/>
      <c r="D103" s="120"/>
      <c r="E103" s="120"/>
      <c r="F103" s="120"/>
      <c r="G103" s="120"/>
      <c r="H103" s="120"/>
      <c r="I103" s="120"/>
      <c r="J103" s="120"/>
    </row>
    <row r="104">
      <c r="A104" s="120"/>
      <c r="B104" s="120"/>
      <c r="C104" s="120"/>
      <c r="D104" s="120"/>
      <c r="E104" s="120"/>
      <c r="F104" s="120"/>
      <c r="G104" s="120"/>
      <c r="H104" s="120"/>
      <c r="I104" s="120"/>
      <c r="J104" s="120"/>
    </row>
    <row r="105">
      <c r="A105" s="120"/>
      <c r="B105" s="120"/>
      <c r="C105" s="120"/>
      <c r="D105" s="120"/>
      <c r="E105" s="120"/>
      <c r="F105" s="120"/>
      <c r="G105" s="120"/>
      <c r="H105" s="120"/>
      <c r="I105" s="120"/>
      <c r="J105" s="120"/>
    </row>
    <row r="106">
      <c r="A106" s="120"/>
      <c r="B106" s="120"/>
      <c r="C106" s="120"/>
      <c r="D106" s="120"/>
      <c r="E106" s="120"/>
      <c r="F106" s="120"/>
      <c r="G106" s="120"/>
      <c r="H106" s="120"/>
      <c r="I106" s="120"/>
      <c r="J106" s="120"/>
    </row>
    <row r="107">
      <c r="A107" s="120"/>
      <c r="B107" s="120"/>
      <c r="C107" s="120"/>
      <c r="D107" s="120"/>
      <c r="E107" s="120"/>
      <c r="F107" s="120"/>
      <c r="G107" s="120"/>
      <c r="H107" s="120"/>
      <c r="I107" s="120"/>
      <c r="J107" s="120"/>
    </row>
    <row r="108">
      <c r="A108" s="120"/>
      <c r="B108" s="120"/>
      <c r="C108" s="120"/>
      <c r="D108" s="120"/>
      <c r="E108" s="120"/>
      <c r="F108" s="120"/>
      <c r="G108" s="120"/>
      <c r="H108" s="120"/>
      <c r="I108" s="120"/>
      <c r="J108" s="120"/>
    </row>
    <row r="109">
      <c r="A109" s="120"/>
      <c r="B109" s="120"/>
      <c r="C109" s="120"/>
      <c r="D109" s="120"/>
      <c r="E109" s="120"/>
      <c r="F109" s="120"/>
      <c r="G109" s="120"/>
      <c r="H109" s="120"/>
      <c r="I109" s="120"/>
      <c r="J109" s="120"/>
    </row>
    <row r="110">
      <c r="A110" s="120"/>
      <c r="B110" s="120"/>
      <c r="C110" s="120"/>
      <c r="D110" s="120"/>
      <c r="E110" s="120"/>
      <c r="F110" s="120"/>
      <c r="G110" s="120"/>
      <c r="H110" s="120"/>
      <c r="I110" s="120"/>
      <c r="J110" s="120"/>
    </row>
    <row r="111">
      <c r="A111" s="120"/>
      <c r="B111" s="120"/>
      <c r="C111" s="120"/>
      <c r="D111" s="120"/>
      <c r="E111" s="120"/>
      <c r="F111" s="120"/>
      <c r="G111" s="120"/>
      <c r="H111" s="120"/>
      <c r="I111" s="120"/>
      <c r="J111" s="120"/>
    </row>
    <row r="112">
      <c r="A112" s="120"/>
      <c r="B112" s="120"/>
      <c r="C112" s="120"/>
      <c r="D112" s="120"/>
      <c r="E112" s="120"/>
      <c r="F112" s="120"/>
      <c r="G112" s="120"/>
      <c r="H112" s="120"/>
      <c r="I112" s="120"/>
      <c r="J112" s="120"/>
    </row>
    <row r="113">
      <c r="A113" s="120"/>
      <c r="B113" s="120"/>
      <c r="C113" s="120"/>
      <c r="D113" s="120"/>
      <c r="E113" s="120"/>
      <c r="F113" s="120"/>
      <c r="G113" s="120"/>
      <c r="H113" s="120"/>
      <c r="I113" s="120"/>
      <c r="J113" s="120"/>
    </row>
    <row r="114">
      <c r="A114" s="120"/>
      <c r="B114" s="120"/>
      <c r="C114" s="120"/>
      <c r="D114" s="120"/>
      <c r="E114" s="120"/>
      <c r="F114" s="120"/>
      <c r="G114" s="120"/>
      <c r="H114" s="120"/>
      <c r="I114" s="120"/>
      <c r="J114" s="120"/>
    </row>
    <row r="115">
      <c r="A115" s="120"/>
      <c r="B115" s="120"/>
      <c r="C115" s="120"/>
      <c r="D115" s="120"/>
      <c r="E115" s="120"/>
      <c r="F115" s="120"/>
      <c r="G115" s="120"/>
      <c r="H115" s="120"/>
      <c r="I115" s="120"/>
      <c r="J115" s="120"/>
    </row>
    <row r="116">
      <c r="A116" s="120"/>
      <c r="B116" s="120"/>
      <c r="C116" s="120"/>
      <c r="D116" s="120"/>
      <c r="E116" s="120"/>
      <c r="F116" s="120"/>
      <c r="G116" s="120"/>
      <c r="H116" s="120"/>
      <c r="I116" s="120"/>
      <c r="J116" s="120"/>
    </row>
    <row r="117">
      <c r="A117" s="120"/>
      <c r="B117" s="120"/>
      <c r="C117" s="120"/>
      <c r="D117" s="120"/>
      <c r="E117" s="120"/>
      <c r="F117" s="120"/>
      <c r="G117" s="120"/>
      <c r="H117" s="120"/>
      <c r="I117" s="120"/>
      <c r="J117" s="120"/>
    </row>
    <row r="118">
      <c r="A118" s="120"/>
      <c r="B118" s="120"/>
      <c r="C118" s="120"/>
      <c r="D118" s="120"/>
      <c r="E118" s="120"/>
      <c r="F118" s="120"/>
      <c r="G118" s="120"/>
      <c r="H118" s="120"/>
      <c r="I118" s="120"/>
      <c r="J118" s="120"/>
    </row>
    <row r="119">
      <c r="A119" s="120"/>
      <c r="B119" s="120"/>
      <c r="C119" s="120"/>
      <c r="D119" s="120"/>
      <c r="E119" s="120"/>
      <c r="F119" s="120"/>
      <c r="G119" s="120"/>
      <c r="H119" s="120"/>
      <c r="I119" s="120"/>
      <c r="J119" s="120"/>
    </row>
    <row r="120">
      <c r="A120" s="120"/>
      <c r="B120" s="120"/>
      <c r="C120" s="120"/>
      <c r="D120" s="120"/>
      <c r="E120" s="120"/>
      <c r="F120" s="120"/>
      <c r="G120" s="120"/>
      <c r="H120" s="120"/>
      <c r="I120" s="120"/>
      <c r="J120" s="120"/>
    </row>
    <row r="121">
      <c r="A121" s="120"/>
      <c r="B121" s="120"/>
      <c r="C121" s="120"/>
      <c r="D121" s="120"/>
      <c r="E121" s="120"/>
      <c r="F121" s="120"/>
      <c r="G121" s="120"/>
      <c r="H121" s="120"/>
      <c r="I121" s="120"/>
      <c r="J121" s="120"/>
    </row>
    <row r="122">
      <c r="A122" s="120"/>
      <c r="B122" s="120"/>
      <c r="C122" s="120"/>
      <c r="D122" s="120"/>
      <c r="E122" s="120"/>
      <c r="F122" s="120"/>
      <c r="G122" s="120"/>
      <c r="H122" s="120"/>
      <c r="I122" s="120"/>
      <c r="J122" s="120"/>
    </row>
    <row r="123">
      <c r="A123" s="120"/>
      <c r="B123" s="120"/>
      <c r="C123" s="120"/>
      <c r="D123" s="120"/>
      <c r="E123" s="120"/>
      <c r="F123" s="120"/>
      <c r="G123" s="120"/>
      <c r="H123" s="120"/>
      <c r="I123" s="120"/>
      <c r="J123" s="120"/>
    </row>
    <row r="124">
      <c r="A124" s="120"/>
      <c r="B124" s="120"/>
      <c r="C124" s="120"/>
      <c r="D124" s="120"/>
      <c r="E124" s="120"/>
      <c r="F124" s="120"/>
      <c r="G124" s="120"/>
      <c r="H124" s="120"/>
      <c r="I124" s="120"/>
      <c r="J124" s="120"/>
    </row>
    <row r="125">
      <c r="A125" s="120"/>
      <c r="B125" s="120"/>
      <c r="C125" s="120"/>
      <c r="D125" s="120"/>
      <c r="E125" s="120"/>
      <c r="F125" s="120"/>
      <c r="G125" s="120"/>
      <c r="H125" s="120"/>
      <c r="I125" s="120"/>
      <c r="J125" s="120"/>
    </row>
    <row r="126">
      <c r="A126" s="120"/>
      <c r="B126" s="120"/>
      <c r="C126" s="120"/>
      <c r="D126" s="120"/>
      <c r="E126" s="120"/>
      <c r="F126" s="120"/>
      <c r="G126" s="120"/>
      <c r="H126" s="120"/>
      <c r="I126" s="120"/>
      <c r="J126" s="120"/>
    </row>
    <row r="127">
      <c r="A127" s="120"/>
      <c r="B127" s="120"/>
      <c r="C127" s="120"/>
      <c r="D127" s="120"/>
      <c r="E127" s="120"/>
      <c r="F127" s="120"/>
      <c r="G127" s="120"/>
      <c r="H127" s="120"/>
      <c r="I127" s="120"/>
      <c r="J127" s="120"/>
    </row>
    <row r="128">
      <c r="A128" s="120"/>
      <c r="B128" s="120"/>
      <c r="C128" s="120"/>
      <c r="D128" s="120"/>
      <c r="E128" s="120"/>
      <c r="F128" s="120"/>
      <c r="G128" s="120"/>
      <c r="H128" s="120"/>
      <c r="I128" s="120"/>
      <c r="J128" s="120"/>
    </row>
    <row r="129">
      <c r="A129" s="120"/>
      <c r="B129" s="120"/>
      <c r="C129" s="120"/>
      <c r="D129" s="120"/>
      <c r="E129" s="120"/>
      <c r="F129" s="120"/>
      <c r="G129" s="120"/>
      <c r="H129" s="120"/>
      <c r="I129" s="120"/>
      <c r="J129" s="120"/>
    </row>
    <row r="130">
      <c r="A130" s="120"/>
      <c r="B130" s="120"/>
      <c r="C130" s="120"/>
      <c r="D130" s="120"/>
      <c r="E130" s="120"/>
      <c r="F130" s="120"/>
      <c r="G130" s="120"/>
      <c r="H130" s="120"/>
      <c r="I130" s="120"/>
      <c r="J130" s="120"/>
    </row>
    <row r="131">
      <c r="A131" s="120"/>
      <c r="B131" s="120"/>
      <c r="C131" s="120"/>
      <c r="D131" s="120"/>
      <c r="E131" s="120"/>
      <c r="F131" s="120"/>
      <c r="G131" s="120"/>
      <c r="H131" s="120"/>
      <c r="I131" s="120"/>
      <c r="J131" s="120"/>
    </row>
    <row r="132">
      <c r="A132" s="120"/>
      <c r="B132" s="120"/>
      <c r="C132" s="120"/>
      <c r="D132" s="120"/>
      <c r="E132" s="120"/>
      <c r="F132" s="120"/>
      <c r="G132" s="120"/>
      <c r="H132" s="120"/>
      <c r="I132" s="120"/>
      <c r="J132" s="120"/>
    </row>
    <row r="133">
      <c r="A133" s="120"/>
      <c r="B133" s="120"/>
      <c r="C133" s="120"/>
      <c r="D133" s="120"/>
      <c r="E133" s="120"/>
      <c r="F133" s="120"/>
      <c r="G133" s="120"/>
      <c r="H133" s="120"/>
      <c r="I133" s="120"/>
      <c r="J133" s="120"/>
    </row>
    <row r="134">
      <c r="A134" s="120"/>
      <c r="B134" s="120"/>
      <c r="C134" s="120"/>
      <c r="D134" s="120"/>
      <c r="E134" s="120"/>
      <c r="F134" s="120"/>
      <c r="G134" s="120"/>
      <c r="H134" s="120"/>
      <c r="I134" s="120"/>
      <c r="J134" s="120"/>
    </row>
    <row r="135">
      <c r="A135" s="120"/>
      <c r="B135" s="120"/>
      <c r="C135" s="120"/>
      <c r="D135" s="120"/>
      <c r="E135" s="120"/>
      <c r="F135" s="120"/>
      <c r="G135" s="120"/>
      <c r="H135" s="120"/>
      <c r="I135" s="120"/>
      <c r="J135" s="120"/>
    </row>
    <row r="136">
      <c r="A136" s="120"/>
      <c r="B136" s="120"/>
      <c r="C136" s="120"/>
      <c r="D136" s="120"/>
      <c r="E136" s="120"/>
      <c r="F136" s="120"/>
      <c r="G136" s="120"/>
      <c r="H136" s="120"/>
      <c r="I136" s="120"/>
      <c r="J136" s="120"/>
    </row>
    <row r="137">
      <c r="A137" s="120"/>
      <c r="B137" s="120"/>
      <c r="C137" s="120"/>
      <c r="D137" s="120"/>
      <c r="E137" s="120"/>
      <c r="F137" s="120"/>
      <c r="G137" s="120"/>
      <c r="H137" s="120"/>
      <c r="I137" s="120"/>
      <c r="J137" s="120"/>
    </row>
    <row r="138">
      <c r="A138" s="120"/>
      <c r="B138" s="120"/>
      <c r="C138" s="120"/>
      <c r="D138" s="120"/>
      <c r="E138" s="120"/>
      <c r="F138" s="120"/>
      <c r="G138" s="120"/>
      <c r="H138" s="120"/>
      <c r="I138" s="120"/>
      <c r="J138" s="120"/>
    </row>
    <row r="139">
      <c r="A139" s="120"/>
      <c r="B139" s="120"/>
      <c r="C139" s="120"/>
      <c r="D139" s="120"/>
      <c r="E139" s="120"/>
      <c r="F139" s="120"/>
      <c r="G139" s="120"/>
      <c r="H139" s="120"/>
      <c r="I139" s="120"/>
      <c r="J139" s="120"/>
    </row>
    <row r="140">
      <c r="A140" s="120"/>
      <c r="B140" s="120"/>
      <c r="C140" s="120"/>
      <c r="D140" s="120"/>
      <c r="E140" s="120"/>
      <c r="F140" s="120"/>
      <c r="G140" s="120"/>
      <c r="H140" s="120"/>
      <c r="I140" s="120"/>
      <c r="J140" s="120"/>
    </row>
    <row r="141">
      <c r="A141" s="120"/>
      <c r="B141" s="120"/>
      <c r="C141" s="120"/>
      <c r="D141" s="120"/>
      <c r="E141" s="120"/>
      <c r="F141" s="120"/>
      <c r="G141" s="120"/>
      <c r="H141" s="120"/>
      <c r="I141" s="120"/>
      <c r="J141" s="120"/>
    </row>
    <row r="142">
      <c r="A142" s="120"/>
      <c r="B142" s="120"/>
      <c r="C142" s="120"/>
      <c r="D142" s="120"/>
      <c r="E142" s="120"/>
      <c r="F142" s="120"/>
      <c r="G142" s="120"/>
      <c r="H142" s="120"/>
      <c r="I142" s="120"/>
      <c r="J142" s="120"/>
    </row>
    <row r="143">
      <c r="A143" s="120"/>
      <c r="B143" s="120"/>
      <c r="C143" s="120"/>
      <c r="D143" s="120"/>
      <c r="E143" s="120"/>
      <c r="F143" s="120"/>
      <c r="G143" s="120"/>
      <c r="H143" s="120"/>
      <c r="I143" s="120"/>
      <c r="J143" s="120"/>
    </row>
    <row r="144">
      <c r="A144" s="120"/>
      <c r="B144" s="120"/>
      <c r="C144" s="120"/>
      <c r="D144" s="120"/>
      <c r="E144" s="120"/>
      <c r="F144" s="120"/>
      <c r="G144" s="120"/>
      <c r="H144" s="120"/>
      <c r="I144" s="120"/>
      <c r="J144" s="120"/>
    </row>
    <row r="145">
      <c r="A145" s="120"/>
      <c r="B145" s="120"/>
      <c r="C145" s="120"/>
      <c r="D145" s="120"/>
      <c r="E145" s="120"/>
      <c r="F145" s="120"/>
      <c r="G145" s="120"/>
      <c r="H145" s="120"/>
      <c r="I145" s="120"/>
      <c r="J145" s="120"/>
    </row>
    <row r="146">
      <c r="A146" s="120"/>
      <c r="B146" s="120"/>
      <c r="C146" s="120"/>
      <c r="D146" s="120"/>
      <c r="E146" s="120"/>
      <c r="F146" s="120"/>
      <c r="G146" s="120"/>
      <c r="H146" s="120"/>
      <c r="I146" s="120"/>
      <c r="J146" s="120"/>
    </row>
    <row r="147">
      <c r="A147" s="120"/>
      <c r="B147" s="120"/>
      <c r="C147" s="120"/>
      <c r="D147" s="120"/>
      <c r="E147" s="120"/>
      <c r="F147" s="120"/>
      <c r="G147" s="120"/>
      <c r="H147" s="120"/>
      <c r="I147" s="120"/>
      <c r="J147" s="120"/>
    </row>
    <row r="148">
      <c r="A148" s="120"/>
      <c r="B148" s="120"/>
      <c r="C148" s="120"/>
      <c r="D148" s="120"/>
      <c r="E148" s="120"/>
      <c r="F148" s="120"/>
      <c r="G148" s="120"/>
      <c r="H148" s="120"/>
      <c r="I148" s="120"/>
      <c r="J148" s="120"/>
    </row>
    <row r="149">
      <c r="A149" s="120"/>
      <c r="B149" s="120"/>
      <c r="C149" s="120"/>
      <c r="D149" s="120"/>
      <c r="E149" s="120"/>
      <c r="F149" s="120"/>
      <c r="G149" s="120"/>
      <c r="H149" s="120"/>
      <c r="I149" s="120"/>
      <c r="J149" s="120"/>
    </row>
    <row r="150">
      <c r="A150" s="120"/>
      <c r="B150" s="120"/>
      <c r="C150" s="120"/>
      <c r="D150" s="120"/>
      <c r="E150" s="120"/>
      <c r="F150" s="120"/>
      <c r="G150" s="120"/>
      <c r="H150" s="120"/>
      <c r="I150" s="120"/>
      <c r="J150" s="120"/>
    </row>
    <row r="151">
      <c r="A151" s="120"/>
      <c r="B151" s="120"/>
      <c r="C151" s="120"/>
      <c r="D151" s="120"/>
      <c r="E151" s="120"/>
      <c r="F151" s="120"/>
      <c r="G151" s="120"/>
      <c r="H151" s="120"/>
      <c r="I151" s="120"/>
      <c r="J151" s="120"/>
    </row>
    <row r="152">
      <c r="A152" s="120"/>
      <c r="B152" s="120"/>
      <c r="C152" s="120"/>
      <c r="D152" s="120"/>
      <c r="E152" s="120"/>
      <c r="F152" s="120"/>
      <c r="G152" s="120"/>
      <c r="H152" s="120"/>
      <c r="I152" s="120"/>
      <c r="J152" s="120"/>
    </row>
    <row r="153">
      <c r="A153" s="120"/>
      <c r="B153" s="120"/>
      <c r="C153" s="120"/>
      <c r="D153" s="120"/>
      <c r="E153" s="120"/>
      <c r="F153" s="120"/>
      <c r="G153" s="120"/>
      <c r="H153" s="120"/>
      <c r="I153" s="120"/>
      <c r="J153" s="120"/>
    </row>
    <row r="154">
      <c r="A154" s="120"/>
      <c r="B154" s="120"/>
      <c r="C154" s="120"/>
      <c r="D154" s="120"/>
      <c r="E154" s="120"/>
      <c r="F154" s="120"/>
      <c r="G154" s="120"/>
      <c r="H154" s="120"/>
      <c r="I154" s="120"/>
      <c r="J154" s="120"/>
    </row>
    <row r="155">
      <c r="A155" s="120"/>
      <c r="B155" s="120"/>
      <c r="C155" s="120"/>
      <c r="D155" s="120"/>
      <c r="E155" s="120"/>
      <c r="F155" s="120"/>
      <c r="G155" s="120"/>
      <c r="H155" s="120"/>
      <c r="I155" s="120"/>
      <c r="J155" s="120"/>
    </row>
    <row r="156">
      <c r="A156" s="120"/>
      <c r="B156" s="120"/>
      <c r="C156" s="120"/>
      <c r="D156" s="120"/>
      <c r="E156" s="120"/>
      <c r="F156" s="120"/>
      <c r="G156" s="120"/>
      <c r="H156" s="120"/>
      <c r="I156" s="120"/>
      <c r="J156" s="120"/>
    </row>
    <row r="157">
      <c r="A157" s="120"/>
      <c r="B157" s="120"/>
      <c r="C157" s="120"/>
      <c r="D157" s="120"/>
      <c r="E157" s="120"/>
      <c r="F157" s="120"/>
      <c r="G157" s="120"/>
      <c r="H157" s="120"/>
      <c r="I157" s="120"/>
      <c r="J157" s="120"/>
    </row>
    <row r="158">
      <c r="A158" s="120"/>
      <c r="B158" s="120"/>
      <c r="C158" s="120"/>
      <c r="D158" s="120"/>
      <c r="E158" s="120"/>
      <c r="F158" s="120"/>
      <c r="G158" s="120"/>
      <c r="H158" s="120"/>
      <c r="I158" s="120"/>
      <c r="J158" s="120"/>
    </row>
    <row r="159">
      <c r="A159" s="120"/>
      <c r="B159" s="120"/>
      <c r="C159" s="120"/>
      <c r="D159" s="120"/>
      <c r="E159" s="120"/>
      <c r="F159" s="120"/>
      <c r="G159" s="120"/>
      <c r="H159" s="120"/>
      <c r="I159" s="120"/>
      <c r="J159" s="120"/>
    </row>
    <row r="160">
      <c r="A160" s="120"/>
      <c r="B160" s="120"/>
      <c r="C160" s="120"/>
      <c r="D160" s="120"/>
      <c r="E160" s="120"/>
      <c r="F160" s="120"/>
      <c r="G160" s="120"/>
      <c r="H160" s="120"/>
      <c r="I160" s="120"/>
      <c r="J160" s="120"/>
    </row>
    <row r="161">
      <c r="A161" s="120"/>
      <c r="B161" s="120"/>
      <c r="C161" s="120"/>
      <c r="D161" s="120"/>
      <c r="E161" s="120"/>
      <c r="F161" s="120"/>
      <c r="G161" s="120"/>
      <c r="H161" s="120"/>
      <c r="I161" s="120"/>
      <c r="J161" s="120"/>
    </row>
    <row r="162">
      <c r="A162" s="120"/>
      <c r="B162" s="120"/>
      <c r="C162" s="120"/>
      <c r="D162" s="120"/>
      <c r="E162" s="120"/>
      <c r="F162" s="120"/>
      <c r="G162" s="120"/>
      <c r="H162" s="120"/>
      <c r="I162" s="120"/>
      <c r="J162" s="120"/>
    </row>
    <row r="163">
      <c r="A163" s="120"/>
      <c r="B163" s="120"/>
      <c r="C163" s="120"/>
      <c r="D163" s="120"/>
      <c r="E163" s="120"/>
      <c r="F163" s="120"/>
      <c r="G163" s="120"/>
      <c r="H163" s="120"/>
      <c r="I163" s="120"/>
      <c r="J163" s="120"/>
    </row>
    <row r="164">
      <c r="A164" s="120"/>
      <c r="B164" s="120"/>
      <c r="C164" s="120"/>
      <c r="D164" s="120"/>
      <c r="E164" s="120"/>
      <c r="F164" s="120"/>
      <c r="G164" s="120"/>
      <c r="H164" s="120"/>
      <c r="I164" s="120"/>
      <c r="J164" s="120"/>
    </row>
    <row r="165">
      <c r="A165" s="120"/>
      <c r="B165" s="120"/>
      <c r="C165" s="120"/>
      <c r="D165" s="120"/>
      <c r="E165" s="120"/>
      <c r="F165" s="120"/>
      <c r="G165" s="120"/>
      <c r="H165" s="120"/>
      <c r="I165" s="120"/>
      <c r="J165" s="120"/>
    </row>
    <row r="166">
      <c r="A166" s="120"/>
      <c r="B166" s="120"/>
      <c r="C166" s="120"/>
      <c r="D166" s="120"/>
      <c r="E166" s="120"/>
      <c r="F166" s="120"/>
      <c r="G166" s="120"/>
      <c r="H166" s="120"/>
      <c r="I166" s="120"/>
      <c r="J166" s="120"/>
    </row>
    <row r="167">
      <c r="A167" s="120"/>
      <c r="B167" s="120"/>
      <c r="C167" s="120"/>
      <c r="D167" s="120"/>
      <c r="E167" s="120"/>
      <c r="F167" s="120"/>
      <c r="G167" s="120"/>
      <c r="H167" s="120"/>
      <c r="I167" s="120"/>
      <c r="J167" s="120"/>
    </row>
    <row r="168">
      <c r="A168" s="120"/>
      <c r="B168" s="120"/>
      <c r="C168" s="120"/>
      <c r="D168" s="120"/>
      <c r="E168" s="120"/>
      <c r="F168" s="120"/>
      <c r="G168" s="120"/>
      <c r="H168" s="120"/>
      <c r="I168" s="120"/>
      <c r="J168" s="120"/>
    </row>
    <row r="169">
      <c r="A169" s="120"/>
      <c r="B169" s="120"/>
      <c r="C169" s="120"/>
      <c r="D169" s="120"/>
      <c r="E169" s="120"/>
      <c r="F169" s="120"/>
      <c r="G169" s="120"/>
      <c r="H169" s="120"/>
      <c r="I169" s="120"/>
      <c r="J169" s="120"/>
    </row>
    <row r="170">
      <c r="A170" s="120"/>
      <c r="B170" s="120"/>
      <c r="C170" s="120"/>
      <c r="D170" s="120"/>
      <c r="E170" s="120"/>
      <c r="F170" s="120"/>
      <c r="G170" s="120"/>
      <c r="H170" s="120"/>
      <c r="I170" s="120"/>
      <c r="J170" s="120"/>
    </row>
    <row r="171">
      <c r="A171" s="120"/>
      <c r="B171" s="120"/>
      <c r="C171" s="120"/>
      <c r="D171" s="120"/>
      <c r="E171" s="120"/>
      <c r="F171" s="120"/>
      <c r="G171" s="120"/>
      <c r="H171" s="120"/>
      <c r="I171" s="120"/>
      <c r="J171" s="120"/>
    </row>
    <row r="172">
      <c r="A172" s="120"/>
      <c r="B172" s="120"/>
      <c r="C172" s="120"/>
      <c r="D172" s="120"/>
      <c r="E172" s="120"/>
      <c r="F172" s="120"/>
      <c r="G172" s="120"/>
      <c r="H172" s="120"/>
      <c r="I172" s="120"/>
      <c r="J172" s="120"/>
    </row>
    <row r="173">
      <c r="A173" s="120"/>
      <c r="B173" s="120"/>
      <c r="C173" s="120"/>
      <c r="D173" s="120"/>
      <c r="E173" s="120"/>
      <c r="F173" s="120"/>
      <c r="G173" s="120"/>
      <c r="H173" s="120"/>
      <c r="I173" s="120"/>
      <c r="J173" s="120"/>
    </row>
    <row r="174">
      <c r="A174" s="120"/>
      <c r="B174" s="120"/>
      <c r="C174" s="120"/>
      <c r="D174" s="120"/>
      <c r="E174" s="120"/>
      <c r="F174" s="120"/>
      <c r="G174" s="120"/>
      <c r="H174" s="120"/>
      <c r="I174" s="120"/>
      <c r="J174" s="120"/>
    </row>
    <row r="175">
      <c r="A175" s="120"/>
      <c r="B175" s="120"/>
      <c r="C175" s="120"/>
      <c r="D175" s="120"/>
      <c r="E175" s="120"/>
      <c r="F175" s="120"/>
      <c r="G175" s="120"/>
      <c r="H175" s="120"/>
      <c r="I175" s="120"/>
      <c r="J175" s="120"/>
    </row>
    <row r="176">
      <c r="A176" s="120"/>
      <c r="B176" s="120"/>
      <c r="C176" s="120"/>
      <c r="D176" s="120"/>
      <c r="E176" s="120"/>
      <c r="F176" s="120"/>
      <c r="G176" s="120"/>
      <c r="H176" s="120"/>
      <c r="I176" s="120"/>
      <c r="J176" s="120"/>
    </row>
    <row r="177">
      <c r="A177" s="120"/>
      <c r="B177" s="120"/>
      <c r="C177" s="120"/>
      <c r="D177" s="120"/>
      <c r="E177" s="120"/>
      <c r="F177" s="120"/>
      <c r="G177" s="120"/>
      <c r="H177" s="120"/>
      <c r="I177" s="120"/>
      <c r="J177" s="120"/>
    </row>
    <row r="178">
      <c r="A178" s="120"/>
      <c r="B178" s="120"/>
      <c r="C178" s="120"/>
      <c r="D178" s="120"/>
      <c r="E178" s="120"/>
      <c r="F178" s="120"/>
      <c r="G178" s="120"/>
      <c r="H178" s="120"/>
      <c r="I178" s="120"/>
      <c r="J178" s="120"/>
    </row>
    <row r="179">
      <c r="A179" s="120"/>
      <c r="B179" s="120"/>
      <c r="C179" s="120"/>
      <c r="D179" s="120"/>
      <c r="E179" s="120"/>
      <c r="F179" s="120"/>
      <c r="G179" s="120"/>
      <c r="H179" s="120"/>
      <c r="I179" s="120"/>
      <c r="J179" s="120"/>
    </row>
    <row r="180">
      <c r="A180" s="120"/>
      <c r="B180" s="120"/>
      <c r="C180" s="120"/>
      <c r="D180" s="120"/>
      <c r="E180" s="120"/>
      <c r="F180" s="120"/>
      <c r="G180" s="120"/>
      <c r="H180" s="120"/>
      <c r="I180" s="120"/>
      <c r="J180" s="120"/>
    </row>
    <row r="181">
      <c r="A181" s="120"/>
      <c r="B181" s="120"/>
      <c r="C181" s="120"/>
      <c r="D181" s="120"/>
      <c r="E181" s="120"/>
      <c r="F181" s="120"/>
      <c r="G181" s="120"/>
      <c r="H181" s="120"/>
      <c r="I181" s="120"/>
      <c r="J181" s="120"/>
    </row>
    <row r="182">
      <c r="A182" s="120"/>
      <c r="B182" s="120"/>
      <c r="C182" s="120"/>
      <c r="D182" s="120"/>
      <c r="E182" s="120"/>
      <c r="F182" s="120"/>
      <c r="G182" s="120"/>
      <c r="H182" s="120"/>
      <c r="I182" s="120"/>
      <c r="J182" s="120"/>
    </row>
    <row r="183">
      <c r="A183" s="120"/>
      <c r="B183" s="120"/>
      <c r="C183" s="120"/>
      <c r="D183" s="120"/>
      <c r="E183" s="120"/>
      <c r="F183" s="120"/>
      <c r="G183" s="120"/>
      <c r="H183" s="120"/>
      <c r="I183" s="120"/>
      <c r="J183" s="120"/>
    </row>
    <row r="184">
      <c r="A184" s="120"/>
      <c r="B184" s="120"/>
      <c r="C184" s="120"/>
      <c r="D184" s="120"/>
      <c r="E184" s="120"/>
      <c r="F184" s="120"/>
      <c r="G184" s="120"/>
      <c r="H184" s="120"/>
      <c r="I184" s="120"/>
      <c r="J184" s="120"/>
    </row>
    <row r="185">
      <c r="A185" s="120"/>
      <c r="B185" s="120"/>
      <c r="C185" s="120"/>
      <c r="D185" s="120"/>
      <c r="E185" s="120"/>
      <c r="F185" s="120"/>
      <c r="G185" s="120"/>
      <c r="H185" s="120"/>
      <c r="I185" s="120"/>
      <c r="J185" s="120"/>
    </row>
    <row r="186">
      <c r="A186" s="120"/>
      <c r="B186" s="120"/>
      <c r="C186" s="120"/>
      <c r="D186" s="120"/>
      <c r="E186" s="120"/>
      <c r="F186" s="120"/>
      <c r="G186" s="120"/>
      <c r="H186" s="120"/>
      <c r="I186" s="120"/>
      <c r="J186" s="120"/>
    </row>
    <row r="187">
      <c r="A187" s="120"/>
      <c r="B187" s="120"/>
      <c r="C187" s="120"/>
      <c r="D187" s="120"/>
      <c r="E187" s="120"/>
      <c r="F187" s="120"/>
      <c r="G187" s="120"/>
      <c r="H187" s="120"/>
      <c r="I187" s="120"/>
      <c r="J187" s="120"/>
    </row>
    <row r="188">
      <c r="A188" s="120"/>
      <c r="B188" s="120"/>
      <c r="C188" s="120"/>
      <c r="D188" s="120"/>
      <c r="E188" s="120"/>
      <c r="F188" s="120"/>
      <c r="G188" s="120"/>
      <c r="H188" s="120"/>
      <c r="I188" s="120"/>
      <c r="J188" s="120"/>
    </row>
    <row r="189">
      <c r="A189" s="120"/>
      <c r="B189" s="120"/>
      <c r="C189" s="120"/>
      <c r="D189" s="120"/>
      <c r="E189" s="120"/>
      <c r="F189" s="120"/>
      <c r="G189" s="120"/>
      <c r="H189" s="120"/>
      <c r="I189" s="120"/>
      <c r="J189" s="120"/>
    </row>
    <row r="190">
      <c r="A190" s="120"/>
      <c r="B190" s="120"/>
      <c r="C190" s="120"/>
      <c r="D190" s="120"/>
      <c r="E190" s="120"/>
      <c r="F190" s="120"/>
      <c r="G190" s="120"/>
      <c r="H190" s="120"/>
      <c r="I190" s="120"/>
      <c r="J190" s="120"/>
    </row>
    <row r="191">
      <c r="A191" s="120"/>
      <c r="B191" s="120"/>
      <c r="C191" s="120"/>
      <c r="D191" s="120"/>
      <c r="E191" s="120"/>
      <c r="F191" s="120"/>
      <c r="G191" s="120"/>
      <c r="H191" s="120"/>
      <c r="I191" s="120"/>
      <c r="J191" s="120"/>
    </row>
    <row r="192">
      <c r="A192" s="120"/>
      <c r="B192" s="120"/>
      <c r="C192" s="120"/>
      <c r="D192" s="120"/>
      <c r="E192" s="120"/>
      <c r="F192" s="120"/>
      <c r="G192" s="120"/>
      <c r="H192" s="120"/>
      <c r="I192" s="120"/>
      <c r="J192" s="120"/>
    </row>
    <row r="193">
      <c r="A193" s="120"/>
      <c r="B193" s="120"/>
      <c r="C193" s="120"/>
      <c r="D193" s="120"/>
      <c r="E193" s="120"/>
      <c r="F193" s="120"/>
      <c r="G193" s="120"/>
      <c r="H193" s="120"/>
      <c r="I193" s="120"/>
      <c r="J193" s="120"/>
    </row>
    <row r="194">
      <c r="A194" s="120"/>
      <c r="B194" s="120"/>
      <c r="C194" s="120"/>
      <c r="D194" s="120"/>
      <c r="E194" s="120"/>
      <c r="F194" s="120"/>
      <c r="G194" s="120"/>
      <c r="H194" s="120"/>
      <c r="I194" s="120"/>
      <c r="J194" s="120"/>
    </row>
    <row r="195">
      <c r="A195" s="120"/>
      <c r="B195" s="120"/>
      <c r="C195" s="120"/>
      <c r="D195" s="120"/>
      <c r="E195" s="120"/>
      <c r="F195" s="120"/>
      <c r="G195" s="120"/>
      <c r="H195" s="120"/>
      <c r="I195" s="120"/>
      <c r="J195" s="120"/>
    </row>
    <row r="196">
      <c r="A196" s="120"/>
      <c r="B196" s="120"/>
      <c r="C196" s="120"/>
      <c r="D196" s="120"/>
      <c r="E196" s="120"/>
      <c r="F196" s="120"/>
      <c r="G196" s="120"/>
      <c r="H196" s="120"/>
      <c r="I196" s="120"/>
      <c r="J196" s="120"/>
    </row>
    <row r="197">
      <c r="A197" s="120"/>
      <c r="B197" s="120"/>
      <c r="C197" s="120"/>
      <c r="D197" s="120"/>
      <c r="E197" s="120"/>
      <c r="F197" s="120"/>
      <c r="G197" s="120"/>
      <c r="H197" s="120"/>
      <c r="I197" s="120"/>
      <c r="J197" s="120"/>
    </row>
    <row r="198">
      <c r="A198" s="120"/>
      <c r="B198" s="120"/>
      <c r="C198" s="120"/>
      <c r="D198" s="120"/>
      <c r="E198" s="120"/>
      <c r="F198" s="120"/>
      <c r="G198" s="120"/>
      <c r="H198" s="120"/>
      <c r="I198" s="120"/>
      <c r="J198" s="120"/>
    </row>
    <row r="199">
      <c r="A199" s="120"/>
      <c r="B199" s="120"/>
      <c r="C199" s="120"/>
      <c r="D199" s="120"/>
      <c r="E199" s="120"/>
      <c r="F199" s="120"/>
      <c r="G199" s="120"/>
      <c r="H199" s="120"/>
      <c r="I199" s="120"/>
      <c r="J199" s="120"/>
    </row>
    <row r="200">
      <c r="A200" s="120"/>
      <c r="B200" s="120"/>
      <c r="C200" s="120"/>
      <c r="D200" s="120"/>
      <c r="E200" s="120"/>
      <c r="F200" s="120"/>
      <c r="G200" s="120"/>
      <c r="H200" s="120"/>
      <c r="I200" s="120"/>
      <c r="J200" s="120"/>
    </row>
    <row r="201">
      <c r="A201" s="120"/>
      <c r="B201" s="120"/>
      <c r="C201" s="120"/>
      <c r="D201" s="120"/>
      <c r="E201" s="120"/>
      <c r="F201" s="120"/>
      <c r="G201" s="120"/>
      <c r="H201" s="120"/>
      <c r="I201" s="120"/>
      <c r="J201" s="120"/>
    </row>
    <row r="202">
      <c r="A202" s="120"/>
      <c r="B202" s="120"/>
      <c r="C202" s="120"/>
      <c r="D202" s="120"/>
      <c r="E202" s="120"/>
      <c r="F202" s="120"/>
      <c r="G202" s="120"/>
      <c r="H202" s="120"/>
      <c r="I202" s="120"/>
      <c r="J202" s="120"/>
    </row>
    <row r="203">
      <c r="A203" s="120"/>
      <c r="B203" s="120"/>
      <c r="C203" s="120"/>
      <c r="D203" s="120"/>
      <c r="E203" s="120"/>
      <c r="F203" s="120"/>
      <c r="G203" s="120"/>
      <c r="H203" s="120"/>
      <c r="I203" s="120"/>
      <c r="J203" s="120"/>
    </row>
    <row r="204">
      <c r="A204" s="120"/>
      <c r="B204" s="120"/>
      <c r="C204" s="120"/>
      <c r="D204" s="120"/>
      <c r="E204" s="120"/>
      <c r="F204" s="120"/>
      <c r="G204" s="120"/>
      <c r="H204" s="120"/>
      <c r="I204" s="120"/>
      <c r="J204" s="120"/>
    </row>
    <row r="205">
      <c r="A205" s="120"/>
      <c r="B205" s="120"/>
      <c r="C205" s="120"/>
      <c r="D205" s="120"/>
      <c r="E205" s="120"/>
      <c r="F205" s="120"/>
      <c r="G205" s="120"/>
      <c r="H205" s="120"/>
      <c r="I205" s="120"/>
      <c r="J205" s="120"/>
    </row>
    <row r="206">
      <c r="A206" s="120"/>
      <c r="B206" s="120"/>
      <c r="C206" s="120"/>
      <c r="D206" s="120"/>
      <c r="E206" s="120"/>
      <c r="F206" s="120"/>
      <c r="G206" s="120"/>
      <c r="H206" s="120"/>
      <c r="I206" s="120"/>
      <c r="J206" s="120"/>
    </row>
    <row r="207">
      <c r="A207" s="120"/>
      <c r="B207" s="120"/>
      <c r="C207" s="120"/>
      <c r="D207" s="120"/>
      <c r="E207" s="120"/>
      <c r="F207" s="120"/>
      <c r="G207" s="120"/>
      <c r="H207" s="120"/>
      <c r="I207" s="120"/>
      <c r="J207" s="120"/>
    </row>
    <row r="208">
      <c r="A208" s="120"/>
      <c r="B208" s="120"/>
      <c r="C208" s="120"/>
      <c r="D208" s="120"/>
      <c r="E208" s="120"/>
      <c r="F208" s="120"/>
      <c r="G208" s="120"/>
      <c r="H208" s="120"/>
      <c r="I208" s="120"/>
      <c r="J208" s="120"/>
    </row>
    <row r="209">
      <c r="A209" s="120"/>
      <c r="B209" s="120"/>
      <c r="C209" s="120"/>
      <c r="D209" s="120"/>
      <c r="E209" s="120"/>
      <c r="F209" s="120"/>
      <c r="G209" s="120"/>
      <c r="H209" s="120"/>
      <c r="I209" s="120"/>
      <c r="J209" s="120"/>
    </row>
    <row r="210">
      <c r="A210" s="120"/>
      <c r="B210" s="120"/>
      <c r="C210" s="120"/>
      <c r="D210" s="120"/>
      <c r="E210" s="120"/>
      <c r="F210" s="120"/>
      <c r="G210" s="120"/>
      <c r="H210" s="120"/>
      <c r="I210" s="120"/>
      <c r="J210" s="120"/>
    </row>
    <row r="211">
      <c r="A211" s="120"/>
      <c r="B211" s="120"/>
      <c r="C211" s="120"/>
      <c r="D211" s="120"/>
      <c r="E211" s="120"/>
      <c r="F211" s="120"/>
      <c r="G211" s="120"/>
      <c r="H211" s="120"/>
      <c r="I211" s="120"/>
      <c r="J211" s="120"/>
    </row>
    <row r="212">
      <c r="A212" s="120"/>
      <c r="B212" s="120"/>
      <c r="C212" s="120"/>
      <c r="D212" s="120"/>
      <c r="E212" s="120"/>
      <c r="F212" s="120"/>
      <c r="G212" s="120"/>
      <c r="H212" s="120"/>
      <c r="I212" s="120"/>
      <c r="J212" s="120"/>
    </row>
    <row r="213">
      <c r="A213" s="120"/>
      <c r="B213" s="120"/>
      <c r="C213" s="120"/>
      <c r="D213" s="120"/>
      <c r="E213" s="120"/>
      <c r="F213" s="120"/>
      <c r="G213" s="120"/>
      <c r="H213" s="120"/>
      <c r="I213" s="120"/>
      <c r="J213" s="120"/>
    </row>
    <row r="214">
      <c r="A214" s="120"/>
      <c r="B214" s="120"/>
      <c r="C214" s="120"/>
      <c r="D214" s="120"/>
      <c r="E214" s="120"/>
      <c r="F214" s="120"/>
      <c r="G214" s="120"/>
      <c r="H214" s="120"/>
      <c r="I214" s="120"/>
      <c r="J214" s="120"/>
    </row>
    <row r="215">
      <c r="A215" s="120"/>
      <c r="B215" s="120"/>
      <c r="C215" s="120"/>
      <c r="D215" s="120"/>
      <c r="E215" s="120"/>
      <c r="F215" s="120"/>
      <c r="G215" s="120"/>
      <c r="H215" s="120"/>
      <c r="I215" s="120"/>
      <c r="J215" s="120"/>
    </row>
    <row r="216">
      <c r="A216" s="120"/>
      <c r="B216" s="120"/>
      <c r="C216" s="120"/>
      <c r="D216" s="120"/>
      <c r="E216" s="120"/>
      <c r="F216" s="120"/>
      <c r="G216" s="120"/>
      <c r="H216" s="120"/>
      <c r="I216" s="120"/>
      <c r="J216" s="120"/>
    </row>
    <row r="217">
      <c r="A217" s="120"/>
      <c r="B217" s="120"/>
      <c r="C217" s="120"/>
      <c r="D217" s="120"/>
      <c r="E217" s="120"/>
      <c r="F217" s="120"/>
      <c r="G217" s="120"/>
      <c r="H217" s="120"/>
      <c r="I217" s="120"/>
      <c r="J217" s="120"/>
    </row>
    <row r="218">
      <c r="A218" s="120"/>
      <c r="B218" s="120"/>
      <c r="C218" s="120"/>
      <c r="D218" s="120"/>
      <c r="E218" s="120"/>
      <c r="F218" s="120"/>
      <c r="G218" s="120"/>
      <c r="H218" s="120"/>
      <c r="I218" s="120"/>
      <c r="J218" s="120"/>
    </row>
    <row r="219">
      <c r="A219" s="120"/>
      <c r="B219" s="120"/>
      <c r="C219" s="120"/>
      <c r="D219" s="120"/>
      <c r="E219" s="120"/>
      <c r="F219" s="120"/>
      <c r="G219" s="120"/>
      <c r="H219" s="120"/>
      <c r="I219" s="120"/>
      <c r="J219" s="120"/>
    </row>
    <row r="220">
      <c r="A220" s="120"/>
      <c r="B220" s="120"/>
      <c r="C220" s="120"/>
      <c r="D220" s="120"/>
      <c r="E220" s="120"/>
      <c r="F220" s="120"/>
      <c r="G220" s="120"/>
      <c r="H220" s="120"/>
      <c r="I220" s="120"/>
      <c r="J220" s="120"/>
    </row>
    <row r="221">
      <c r="A221" s="120"/>
      <c r="B221" s="120"/>
      <c r="C221" s="120"/>
      <c r="D221" s="120"/>
      <c r="E221" s="120"/>
      <c r="F221" s="120"/>
      <c r="G221" s="120"/>
      <c r="H221" s="120"/>
      <c r="I221" s="120"/>
      <c r="J221" s="120"/>
    </row>
    <row r="222">
      <c r="A222" s="120"/>
      <c r="B222" s="120"/>
      <c r="C222" s="120"/>
      <c r="D222" s="120"/>
      <c r="E222" s="120"/>
      <c r="F222" s="120"/>
      <c r="G222" s="120"/>
      <c r="H222" s="120"/>
      <c r="I222" s="120"/>
      <c r="J222" s="120"/>
    </row>
    <row r="223">
      <c r="A223" s="120"/>
      <c r="B223" s="120"/>
      <c r="C223" s="120"/>
      <c r="D223" s="120"/>
      <c r="E223" s="120"/>
      <c r="F223" s="120"/>
      <c r="G223" s="120"/>
      <c r="H223" s="120"/>
      <c r="I223" s="120"/>
      <c r="J223" s="120"/>
    </row>
    <row r="224">
      <c r="A224" s="120"/>
      <c r="B224" s="120"/>
      <c r="C224" s="120"/>
      <c r="D224" s="120"/>
      <c r="E224" s="120"/>
      <c r="F224" s="120"/>
      <c r="G224" s="120"/>
      <c r="H224" s="120"/>
      <c r="I224" s="120"/>
      <c r="J224" s="120"/>
    </row>
    <row r="225">
      <c r="A225" s="120"/>
      <c r="B225" s="120"/>
      <c r="C225" s="120"/>
      <c r="D225" s="120"/>
      <c r="E225" s="120"/>
      <c r="F225" s="120"/>
      <c r="G225" s="120"/>
      <c r="H225" s="120"/>
      <c r="I225" s="120"/>
      <c r="J225" s="120"/>
    </row>
    <row r="226">
      <c r="A226" s="120"/>
      <c r="B226" s="120"/>
      <c r="C226" s="120"/>
      <c r="D226" s="120"/>
      <c r="E226" s="120"/>
      <c r="F226" s="120"/>
      <c r="G226" s="120"/>
      <c r="H226" s="120"/>
      <c r="I226" s="120"/>
      <c r="J226" s="120"/>
    </row>
    <row r="227">
      <c r="A227" s="120"/>
      <c r="B227" s="120"/>
      <c r="C227" s="120"/>
      <c r="D227" s="120"/>
      <c r="E227" s="120"/>
      <c r="F227" s="120"/>
      <c r="G227" s="120"/>
      <c r="H227" s="120"/>
      <c r="I227" s="120"/>
      <c r="J227" s="120"/>
    </row>
    <row r="228">
      <c r="A228" s="120"/>
      <c r="B228" s="120"/>
      <c r="C228" s="120"/>
      <c r="D228" s="120"/>
      <c r="E228" s="120"/>
      <c r="F228" s="120"/>
      <c r="G228" s="120"/>
      <c r="H228" s="120"/>
      <c r="I228" s="120"/>
      <c r="J228" s="120"/>
    </row>
    <row r="229">
      <c r="A229" s="120"/>
      <c r="B229" s="120"/>
      <c r="C229" s="120"/>
      <c r="D229" s="120"/>
      <c r="E229" s="120"/>
      <c r="F229" s="120"/>
      <c r="G229" s="120"/>
      <c r="H229" s="120"/>
      <c r="I229" s="120"/>
      <c r="J229" s="120"/>
    </row>
    <row r="230">
      <c r="A230" s="120"/>
      <c r="B230" s="120"/>
      <c r="C230" s="120"/>
      <c r="D230" s="120"/>
      <c r="E230" s="120"/>
      <c r="F230" s="120"/>
      <c r="G230" s="120"/>
      <c r="H230" s="120"/>
      <c r="I230" s="120"/>
      <c r="J230" s="120"/>
    </row>
    <row r="231">
      <c r="A231" s="120"/>
      <c r="B231" s="120"/>
      <c r="C231" s="120"/>
      <c r="D231" s="120"/>
      <c r="E231" s="120"/>
      <c r="F231" s="120"/>
      <c r="G231" s="120"/>
      <c r="H231" s="120"/>
      <c r="I231" s="120"/>
      <c r="J231" s="120"/>
    </row>
    <row r="232">
      <c r="A232" s="120"/>
      <c r="B232" s="120"/>
      <c r="C232" s="120"/>
      <c r="D232" s="120"/>
      <c r="E232" s="120"/>
      <c r="F232" s="120"/>
      <c r="G232" s="120"/>
      <c r="H232" s="120"/>
      <c r="I232" s="120"/>
      <c r="J232" s="120"/>
    </row>
    <row r="233">
      <c r="A233" s="120"/>
      <c r="B233" s="120"/>
      <c r="C233" s="120"/>
      <c r="D233" s="120"/>
      <c r="E233" s="120"/>
      <c r="F233" s="120"/>
      <c r="G233" s="120"/>
      <c r="H233" s="120"/>
      <c r="I233" s="120"/>
      <c r="J233" s="120"/>
    </row>
    <row r="234">
      <c r="A234" s="120"/>
      <c r="B234" s="120"/>
      <c r="C234" s="120"/>
      <c r="D234" s="120"/>
      <c r="E234" s="120"/>
      <c r="F234" s="120"/>
      <c r="G234" s="120"/>
      <c r="H234" s="120"/>
      <c r="I234" s="120"/>
      <c r="J234" s="120"/>
    </row>
    <row r="235">
      <c r="A235" s="120"/>
      <c r="B235" s="120"/>
      <c r="C235" s="120"/>
      <c r="D235" s="120"/>
      <c r="E235" s="120"/>
      <c r="F235" s="120"/>
      <c r="G235" s="120"/>
      <c r="H235" s="120"/>
      <c r="I235" s="120"/>
      <c r="J235" s="120"/>
    </row>
    <row r="236">
      <c r="A236" s="120"/>
      <c r="B236" s="120"/>
      <c r="C236" s="120"/>
      <c r="D236" s="120"/>
      <c r="E236" s="120"/>
      <c r="F236" s="120"/>
      <c r="G236" s="120"/>
      <c r="H236" s="120"/>
      <c r="I236" s="120"/>
      <c r="J236" s="120"/>
    </row>
    <row r="237">
      <c r="A237" s="120"/>
      <c r="B237" s="120"/>
      <c r="C237" s="120"/>
      <c r="D237" s="120"/>
      <c r="E237" s="120"/>
      <c r="F237" s="120"/>
      <c r="G237" s="120"/>
      <c r="H237" s="120"/>
      <c r="I237" s="120"/>
      <c r="J237" s="120"/>
    </row>
    <row r="238">
      <c r="A238" s="120"/>
      <c r="B238" s="120"/>
      <c r="C238" s="120"/>
      <c r="D238" s="120"/>
      <c r="E238" s="120"/>
      <c r="F238" s="120"/>
      <c r="G238" s="120"/>
      <c r="H238" s="120"/>
      <c r="I238" s="120"/>
      <c r="J238" s="120"/>
    </row>
    <row r="239">
      <c r="A239" s="120"/>
      <c r="B239" s="120"/>
      <c r="C239" s="120"/>
      <c r="D239" s="120"/>
      <c r="E239" s="120"/>
      <c r="F239" s="120"/>
      <c r="G239" s="120"/>
      <c r="H239" s="120"/>
      <c r="I239" s="120"/>
      <c r="J239" s="120"/>
    </row>
    <row r="240">
      <c r="A240" s="120"/>
      <c r="B240" s="120"/>
      <c r="C240" s="120"/>
      <c r="D240" s="120"/>
      <c r="E240" s="120"/>
      <c r="F240" s="120"/>
      <c r="G240" s="120"/>
      <c r="H240" s="120"/>
      <c r="I240" s="120"/>
      <c r="J240" s="120"/>
    </row>
    <row r="241">
      <c r="A241" s="120"/>
      <c r="B241" s="120"/>
      <c r="C241" s="120"/>
      <c r="D241" s="120"/>
      <c r="E241" s="120"/>
      <c r="F241" s="120"/>
      <c r="G241" s="120"/>
      <c r="H241" s="120"/>
      <c r="I241" s="120"/>
      <c r="J241" s="120"/>
    </row>
    <row r="242">
      <c r="A242" s="120"/>
      <c r="B242" s="120"/>
      <c r="C242" s="120"/>
      <c r="D242" s="120"/>
      <c r="E242" s="120"/>
      <c r="F242" s="120"/>
      <c r="G242" s="120"/>
      <c r="H242" s="120"/>
      <c r="I242" s="120"/>
      <c r="J242" s="120"/>
    </row>
    <row r="243">
      <c r="A243" s="120"/>
      <c r="B243" s="120"/>
      <c r="C243" s="120"/>
      <c r="D243" s="120"/>
      <c r="E243" s="120"/>
      <c r="F243" s="120"/>
      <c r="G243" s="120"/>
      <c r="H243" s="120"/>
      <c r="I243" s="120"/>
      <c r="J243" s="120"/>
    </row>
    <row r="244">
      <c r="A244" s="120"/>
      <c r="B244" s="120"/>
      <c r="C244" s="120"/>
      <c r="D244" s="120"/>
      <c r="E244" s="120"/>
      <c r="F244" s="120"/>
      <c r="G244" s="120"/>
      <c r="H244" s="120"/>
      <c r="I244" s="120"/>
      <c r="J244" s="120"/>
    </row>
    <row r="245">
      <c r="A245" s="120"/>
      <c r="B245" s="120"/>
      <c r="C245" s="120"/>
      <c r="D245" s="120"/>
      <c r="E245" s="120"/>
      <c r="F245" s="120"/>
      <c r="G245" s="120"/>
      <c r="H245" s="120"/>
      <c r="I245" s="120"/>
      <c r="J245" s="120"/>
    </row>
    <row r="246">
      <c r="A246" s="120"/>
      <c r="B246" s="120"/>
      <c r="C246" s="120"/>
      <c r="D246" s="120"/>
      <c r="E246" s="120"/>
      <c r="F246" s="120"/>
      <c r="G246" s="120"/>
      <c r="H246" s="120"/>
      <c r="I246" s="120"/>
      <c r="J246" s="120"/>
    </row>
    <row r="247">
      <c r="A247" s="120"/>
      <c r="B247" s="120"/>
      <c r="C247" s="120"/>
      <c r="D247" s="120"/>
      <c r="E247" s="120"/>
      <c r="F247" s="120"/>
      <c r="G247" s="120"/>
      <c r="H247" s="120"/>
      <c r="I247" s="120"/>
      <c r="J247" s="120"/>
    </row>
    <row r="248">
      <c r="A248" s="120"/>
      <c r="B248" s="120"/>
      <c r="C248" s="120"/>
      <c r="D248" s="120"/>
      <c r="E248" s="120"/>
      <c r="F248" s="120"/>
      <c r="G248" s="120"/>
      <c r="H248" s="120"/>
      <c r="I248" s="120"/>
      <c r="J248" s="120"/>
    </row>
    <row r="249">
      <c r="A249" s="120"/>
      <c r="B249" s="120"/>
      <c r="C249" s="120"/>
      <c r="D249" s="120"/>
      <c r="E249" s="120"/>
      <c r="F249" s="120"/>
      <c r="G249" s="120"/>
      <c r="H249" s="120"/>
      <c r="I249" s="120"/>
      <c r="J249" s="120"/>
    </row>
    <row r="250">
      <c r="A250" s="120"/>
      <c r="B250" s="120"/>
      <c r="C250" s="120"/>
      <c r="D250" s="120"/>
      <c r="E250" s="120"/>
      <c r="F250" s="120"/>
      <c r="G250" s="120"/>
      <c r="H250" s="120"/>
      <c r="I250" s="120"/>
      <c r="J250" s="120"/>
    </row>
    <row r="251">
      <c r="A251" s="120"/>
      <c r="B251" s="120"/>
      <c r="C251" s="120"/>
      <c r="D251" s="120"/>
      <c r="E251" s="120"/>
      <c r="F251" s="120"/>
      <c r="G251" s="120"/>
      <c r="H251" s="120"/>
      <c r="I251" s="120"/>
      <c r="J251" s="120"/>
    </row>
    <row r="252">
      <c r="A252" s="120"/>
      <c r="B252" s="120"/>
      <c r="C252" s="120"/>
      <c r="D252" s="120"/>
      <c r="E252" s="120"/>
      <c r="F252" s="120"/>
      <c r="G252" s="120"/>
      <c r="H252" s="120"/>
      <c r="I252" s="120"/>
      <c r="J252" s="120"/>
    </row>
    <row r="253">
      <c r="A253" s="120"/>
      <c r="B253" s="120"/>
      <c r="C253" s="120"/>
      <c r="D253" s="120"/>
      <c r="E253" s="120"/>
      <c r="F253" s="120"/>
      <c r="G253" s="120"/>
      <c r="H253" s="120"/>
      <c r="I253" s="120"/>
      <c r="J253" s="120"/>
    </row>
    <row r="254">
      <c r="A254" s="120"/>
      <c r="B254" s="120"/>
      <c r="C254" s="120"/>
      <c r="D254" s="120"/>
      <c r="E254" s="120"/>
      <c r="F254" s="120"/>
      <c r="G254" s="120"/>
      <c r="H254" s="120"/>
      <c r="I254" s="120"/>
      <c r="J254" s="120"/>
    </row>
    <row r="255">
      <c r="A255" s="120"/>
      <c r="B255" s="120"/>
      <c r="C255" s="120"/>
      <c r="D255" s="120"/>
      <c r="E255" s="120"/>
      <c r="F255" s="120"/>
      <c r="G255" s="120"/>
      <c r="H255" s="120"/>
      <c r="I255" s="120"/>
      <c r="J255" s="120"/>
    </row>
    <row r="256">
      <c r="A256" s="120"/>
      <c r="B256" s="120"/>
      <c r="C256" s="120"/>
      <c r="D256" s="120"/>
      <c r="E256" s="120"/>
      <c r="F256" s="120"/>
      <c r="G256" s="120"/>
      <c r="H256" s="120"/>
      <c r="I256" s="120"/>
      <c r="J256" s="120"/>
    </row>
    <row r="257">
      <c r="A257" s="120"/>
      <c r="B257" s="120"/>
      <c r="C257" s="120"/>
      <c r="D257" s="120"/>
      <c r="E257" s="120"/>
      <c r="F257" s="120"/>
      <c r="G257" s="120"/>
      <c r="H257" s="120"/>
      <c r="I257" s="120"/>
      <c r="J257" s="120"/>
    </row>
    <row r="258">
      <c r="A258" s="120"/>
      <c r="B258" s="120"/>
      <c r="C258" s="120"/>
      <c r="D258" s="120"/>
      <c r="E258" s="120"/>
      <c r="F258" s="120"/>
      <c r="G258" s="120"/>
      <c r="H258" s="120"/>
      <c r="I258" s="120"/>
      <c r="J258" s="120"/>
    </row>
    <row r="259">
      <c r="A259" s="120"/>
      <c r="B259" s="120"/>
      <c r="C259" s="120"/>
      <c r="D259" s="120"/>
      <c r="E259" s="120"/>
      <c r="F259" s="120"/>
      <c r="G259" s="120"/>
      <c r="H259" s="120"/>
      <c r="I259" s="120"/>
      <c r="J259" s="120"/>
    </row>
    <row r="260">
      <c r="A260" s="120"/>
      <c r="B260" s="120"/>
      <c r="C260" s="120"/>
      <c r="D260" s="120"/>
      <c r="E260" s="120"/>
      <c r="F260" s="120"/>
      <c r="G260" s="120"/>
      <c r="H260" s="120"/>
      <c r="I260" s="120"/>
      <c r="J260" s="120"/>
    </row>
    <row r="261">
      <c r="A261" s="120"/>
      <c r="B261" s="120"/>
      <c r="C261" s="120"/>
      <c r="D261" s="120"/>
      <c r="E261" s="120"/>
      <c r="F261" s="120"/>
      <c r="G261" s="120"/>
      <c r="H261" s="120"/>
      <c r="I261" s="120"/>
      <c r="J261" s="120"/>
    </row>
    <row r="262">
      <c r="A262" s="120"/>
      <c r="B262" s="120"/>
      <c r="C262" s="120"/>
      <c r="D262" s="120"/>
      <c r="E262" s="120"/>
      <c r="F262" s="120"/>
      <c r="G262" s="120"/>
      <c r="H262" s="120"/>
      <c r="I262" s="120"/>
      <c r="J262" s="120"/>
    </row>
    <row r="263">
      <c r="A263" s="120"/>
      <c r="B263" s="120"/>
      <c r="C263" s="120"/>
      <c r="D263" s="120"/>
      <c r="E263" s="120"/>
      <c r="F263" s="120"/>
      <c r="G263" s="120"/>
      <c r="H263" s="120"/>
      <c r="I263" s="120"/>
      <c r="J263" s="120"/>
    </row>
    <row r="264">
      <c r="A264" s="120"/>
      <c r="B264" s="120"/>
      <c r="C264" s="120"/>
      <c r="D264" s="120"/>
      <c r="E264" s="120"/>
      <c r="F264" s="120"/>
      <c r="G264" s="120"/>
      <c r="H264" s="120"/>
      <c r="I264" s="120"/>
      <c r="J264" s="120"/>
    </row>
    <row r="265">
      <c r="A265" s="120"/>
      <c r="B265" s="120"/>
      <c r="C265" s="120"/>
      <c r="D265" s="120"/>
      <c r="E265" s="120"/>
      <c r="F265" s="120"/>
      <c r="G265" s="120"/>
      <c r="H265" s="120"/>
      <c r="I265" s="120"/>
      <c r="J265" s="120"/>
    </row>
    <row r="266">
      <c r="A266" s="120"/>
      <c r="B266" s="120"/>
      <c r="C266" s="120"/>
      <c r="D266" s="120"/>
      <c r="E266" s="120"/>
      <c r="F266" s="120"/>
      <c r="G266" s="120"/>
      <c r="H266" s="120"/>
      <c r="I266" s="120"/>
      <c r="J266" s="120"/>
    </row>
    <row r="267">
      <c r="A267" s="120"/>
      <c r="B267" s="120"/>
      <c r="C267" s="120"/>
      <c r="D267" s="120"/>
      <c r="E267" s="120"/>
      <c r="F267" s="120"/>
      <c r="G267" s="120"/>
      <c r="H267" s="120"/>
      <c r="I267" s="120"/>
      <c r="J267" s="120"/>
    </row>
    <row r="268">
      <c r="A268" s="120"/>
      <c r="B268" s="120"/>
      <c r="C268" s="120"/>
      <c r="D268" s="120"/>
      <c r="E268" s="120"/>
      <c r="F268" s="120"/>
      <c r="G268" s="120"/>
      <c r="H268" s="120"/>
      <c r="I268" s="120"/>
      <c r="J268" s="120"/>
    </row>
    <row r="269">
      <c r="A269" s="120"/>
      <c r="B269" s="120"/>
      <c r="C269" s="120"/>
      <c r="D269" s="120"/>
      <c r="E269" s="120"/>
      <c r="F269" s="120"/>
      <c r="G269" s="120"/>
      <c r="H269" s="120"/>
      <c r="I269" s="120"/>
      <c r="J269" s="120"/>
    </row>
    <row r="270">
      <c r="A270" s="120"/>
      <c r="B270" s="120"/>
      <c r="C270" s="120"/>
      <c r="D270" s="120"/>
      <c r="E270" s="120"/>
      <c r="F270" s="120"/>
      <c r="G270" s="120"/>
      <c r="H270" s="120"/>
      <c r="I270" s="120"/>
      <c r="J270" s="120"/>
    </row>
    <row r="271">
      <c r="A271" s="120"/>
      <c r="B271" s="120"/>
      <c r="C271" s="120"/>
      <c r="D271" s="120"/>
      <c r="E271" s="120"/>
      <c r="F271" s="120"/>
      <c r="G271" s="120"/>
      <c r="H271" s="120"/>
      <c r="I271" s="120"/>
      <c r="J271" s="120"/>
    </row>
    <row r="272">
      <c r="A272" s="120"/>
      <c r="B272" s="120"/>
      <c r="C272" s="120"/>
      <c r="D272" s="120"/>
      <c r="E272" s="120"/>
      <c r="F272" s="120"/>
      <c r="G272" s="120"/>
      <c r="H272" s="120"/>
      <c r="I272" s="120"/>
      <c r="J272" s="120"/>
    </row>
    <row r="273">
      <c r="A273" s="120"/>
      <c r="B273" s="120"/>
      <c r="C273" s="120"/>
      <c r="D273" s="120"/>
      <c r="E273" s="120"/>
      <c r="F273" s="120"/>
      <c r="G273" s="120"/>
      <c r="H273" s="120"/>
      <c r="I273" s="120"/>
      <c r="J273" s="120"/>
    </row>
    <row r="274">
      <c r="A274" s="120"/>
      <c r="B274" s="120"/>
      <c r="C274" s="120"/>
      <c r="D274" s="120"/>
      <c r="E274" s="120"/>
      <c r="F274" s="120"/>
      <c r="G274" s="120"/>
      <c r="H274" s="120"/>
      <c r="I274" s="120"/>
      <c r="J274" s="120"/>
    </row>
    <row r="275">
      <c r="A275" s="120"/>
      <c r="B275" s="120"/>
      <c r="C275" s="120"/>
      <c r="D275" s="120"/>
      <c r="E275" s="120"/>
      <c r="F275" s="120"/>
      <c r="G275" s="120"/>
      <c r="H275" s="120"/>
      <c r="I275" s="120"/>
      <c r="J275" s="120"/>
    </row>
    <row r="276">
      <c r="A276" s="120"/>
      <c r="B276" s="120"/>
      <c r="C276" s="120"/>
      <c r="D276" s="120"/>
      <c r="E276" s="120"/>
      <c r="F276" s="120"/>
      <c r="G276" s="120"/>
      <c r="H276" s="120"/>
      <c r="I276" s="120"/>
      <c r="J276" s="120"/>
    </row>
    <row r="277">
      <c r="A277" s="120"/>
      <c r="B277" s="120"/>
      <c r="C277" s="120"/>
      <c r="D277" s="120"/>
      <c r="E277" s="120"/>
      <c r="F277" s="120"/>
      <c r="G277" s="120"/>
      <c r="H277" s="120"/>
      <c r="I277" s="120"/>
      <c r="J277" s="120"/>
    </row>
    <row r="278">
      <c r="A278" s="120"/>
      <c r="B278" s="120"/>
      <c r="C278" s="120"/>
      <c r="D278" s="120"/>
      <c r="E278" s="120"/>
      <c r="F278" s="120"/>
      <c r="G278" s="120"/>
      <c r="H278" s="120"/>
      <c r="I278" s="120"/>
      <c r="J278" s="120"/>
    </row>
    <row r="279">
      <c r="A279" s="120"/>
      <c r="B279" s="120"/>
      <c r="C279" s="120"/>
      <c r="D279" s="120"/>
      <c r="E279" s="120"/>
      <c r="F279" s="120"/>
      <c r="G279" s="120"/>
      <c r="H279" s="120"/>
      <c r="I279" s="120"/>
      <c r="J279" s="120"/>
    </row>
    <row r="280">
      <c r="A280" s="120"/>
      <c r="B280" s="120"/>
      <c r="C280" s="120"/>
      <c r="D280" s="120"/>
      <c r="E280" s="120"/>
      <c r="F280" s="120"/>
      <c r="G280" s="120"/>
      <c r="H280" s="120"/>
      <c r="I280" s="120"/>
      <c r="J280" s="120"/>
    </row>
    <row r="281">
      <c r="A281" s="120"/>
      <c r="B281" s="120"/>
      <c r="C281" s="120"/>
      <c r="D281" s="120"/>
      <c r="E281" s="120"/>
      <c r="F281" s="120"/>
      <c r="G281" s="120"/>
      <c r="H281" s="120"/>
      <c r="I281" s="120"/>
      <c r="J281" s="120"/>
    </row>
    <row r="282">
      <c r="A282" s="120"/>
      <c r="B282" s="120"/>
      <c r="C282" s="120"/>
      <c r="D282" s="120"/>
      <c r="E282" s="120"/>
      <c r="F282" s="120"/>
      <c r="G282" s="120"/>
      <c r="H282" s="120"/>
      <c r="I282" s="120"/>
      <c r="J282" s="120"/>
    </row>
    <row r="283">
      <c r="A283" s="120"/>
      <c r="B283" s="120"/>
      <c r="C283" s="120"/>
      <c r="D283" s="120"/>
      <c r="E283" s="120"/>
      <c r="F283" s="120"/>
      <c r="G283" s="120"/>
      <c r="H283" s="120"/>
      <c r="I283" s="120"/>
      <c r="J283" s="120"/>
    </row>
    <row r="284">
      <c r="A284" s="120"/>
      <c r="B284" s="120"/>
      <c r="C284" s="120"/>
      <c r="D284" s="120"/>
      <c r="E284" s="120"/>
      <c r="F284" s="120"/>
      <c r="G284" s="120"/>
      <c r="H284" s="120"/>
      <c r="I284" s="120"/>
      <c r="J284" s="120"/>
    </row>
    <row r="285">
      <c r="A285" s="120"/>
      <c r="B285" s="120"/>
      <c r="C285" s="120"/>
      <c r="D285" s="120"/>
      <c r="E285" s="120"/>
      <c r="F285" s="120"/>
      <c r="G285" s="120"/>
      <c r="H285" s="120"/>
      <c r="I285" s="120"/>
      <c r="J285" s="120"/>
    </row>
    <row r="286">
      <c r="A286" s="120"/>
      <c r="B286" s="120"/>
      <c r="C286" s="120"/>
      <c r="D286" s="120"/>
      <c r="E286" s="120"/>
      <c r="F286" s="120"/>
      <c r="G286" s="120"/>
      <c r="H286" s="120"/>
      <c r="I286" s="120"/>
      <c r="J286" s="120"/>
    </row>
    <row r="287">
      <c r="A287" s="120"/>
      <c r="B287" s="120"/>
      <c r="C287" s="120"/>
      <c r="D287" s="120"/>
      <c r="E287" s="120"/>
      <c r="F287" s="120"/>
      <c r="G287" s="120"/>
      <c r="H287" s="120"/>
      <c r="I287" s="120"/>
      <c r="J287" s="120"/>
    </row>
    <row r="288">
      <c r="A288" s="120"/>
      <c r="B288" s="120"/>
      <c r="C288" s="120"/>
      <c r="D288" s="120"/>
      <c r="E288" s="120"/>
      <c r="F288" s="120"/>
      <c r="G288" s="120"/>
      <c r="H288" s="120"/>
      <c r="I288" s="120"/>
      <c r="J288" s="120"/>
    </row>
    <row r="289">
      <c r="A289" s="120"/>
      <c r="B289" s="120"/>
      <c r="C289" s="120"/>
      <c r="D289" s="120"/>
      <c r="E289" s="120"/>
      <c r="F289" s="120"/>
      <c r="G289" s="120"/>
      <c r="H289" s="120"/>
      <c r="I289" s="120"/>
      <c r="J289" s="120"/>
    </row>
    <row r="290">
      <c r="A290" s="120"/>
      <c r="B290" s="120"/>
      <c r="C290" s="120"/>
      <c r="D290" s="120"/>
      <c r="E290" s="120"/>
      <c r="F290" s="120"/>
      <c r="G290" s="120"/>
      <c r="H290" s="120"/>
      <c r="I290" s="120"/>
      <c r="J290" s="120"/>
    </row>
    <row r="291">
      <c r="A291" s="120"/>
      <c r="B291" s="120"/>
      <c r="C291" s="120"/>
      <c r="D291" s="120"/>
      <c r="E291" s="120"/>
      <c r="F291" s="120"/>
      <c r="G291" s="120"/>
      <c r="H291" s="120"/>
      <c r="I291" s="120"/>
      <c r="J291" s="120"/>
    </row>
    <row r="292">
      <c r="A292" s="120"/>
      <c r="B292" s="120"/>
      <c r="C292" s="120"/>
      <c r="D292" s="120"/>
      <c r="E292" s="120"/>
      <c r="F292" s="120"/>
      <c r="G292" s="120"/>
      <c r="H292" s="120"/>
      <c r="I292" s="120"/>
      <c r="J292" s="120"/>
    </row>
    <row r="293">
      <c r="A293" s="120"/>
      <c r="B293" s="120"/>
      <c r="C293" s="120"/>
      <c r="D293" s="120"/>
      <c r="E293" s="120"/>
      <c r="F293" s="120"/>
      <c r="G293" s="120"/>
      <c r="H293" s="120"/>
      <c r="I293" s="120"/>
      <c r="J293" s="120"/>
    </row>
    <row r="294">
      <c r="A294" s="120"/>
      <c r="B294" s="120"/>
      <c r="C294" s="120"/>
      <c r="D294" s="120"/>
      <c r="E294" s="120"/>
      <c r="F294" s="120"/>
      <c r="G294" s="120"/>
      <c r="H294" s="120"/>
      <c r="I294" s="120"/>
      <c r="J294" s="120"/>
    </row>
    <row r="295">
      <c r="A295" s="120"/>
      <c r="B295" s="120"/>
      <c r="C295" s="120"/>
      <c r="D295" s="120"/>
      <c r="E295" s="120"/>
      <c r="F295" s="120"/>
      <c r="G295" s="120"/>
      <c r="H295" s="120"/>
      <c r="I295" s="120"/>
      <c r="J295" s="120"/>
    </row>
    <row r="296">
      <c r="A296" s="120"/>
      <c r="B296" s="120"/>
      <c r="C296" s="120"/>
      <c r="D296" s="120"/>
      <c r="E296" s="120"/>
      <c r="F296" s="120"/>
      <c r="G296" s="120"/>
      <c r="H296" s="120"/>
      <c r="I296" s="120"/>
      <c r="J296" s="120"/>
    </row>
    <row r="297">
      <c r="A297" s="120"/>
      <c r="B297" s="120"/>
      <c r="C297" s="120"/>
      <c r="D297" s="120"/>
      <c r="E297" s="120"/>
      <c r="F297" s="120"/>
      <c r="G297" s="120"/>
      <c r="H297" s="120"/>
      <c r="I297" s="120"/>
      <c r="J297" s="120"/>
    </row>
    <row r="298">
      <c r="A298" s="120"/>
      <c r="B298" s="120"/>
      <c r="C298" s="120"/>
      <c r="D298" s="120"/>
      <c r="E298" s="120"/>
      <c r="F298" s="120"/>
      <c r="G298" s="120"/>
      <c r="H298" s="120"/>
      <c r="I298" s="120"/>
      <c r="J298" s="120"/>
    </row>
    <row r="299">
      <c r="A299" s="120"/>
      <c r="B299" s="120"/>
      <c r="C299" s="120"/>
      <c r="D299" s="120"/>
      <c r="E299" s="120"/>
      <c r="F299" s="120"/>
      <c r="G299" s="120"/>
      <c r="H299" s="120"/>
      <c r="I299" s="120"/>
      <c r="J299" s="120"/>
    </row>
    <row r="300">
      <c r="A300" s="120"/>
      <c r="B300" s="120"/>
      <c r="C300" s="120"/>
      <c r="D300" s="120"/>
      <c r="E300" s="120"/>
      <c r="F300" s="120"/>
      <c r="G300" s="120"/>
      <c r="H300" s="120"/>
      <c r="I300" s="120"/>
      <c r="J300" s="120"/>
    </row>
    <row r="301">
      <c r="A301" s="120"/>
      <c r="B301" s="120"/>
      <c r="C301" s="120"/>
      <c r="D301" s="120"/>
      <c r="E301" s="120"/>
      <c r="F301" s="120"/>
      <c r="G301" s="120"/>
      <c r="H301" s="120"/>
      <c r="I301" s="120"/>
      <c r="J301" s="120"/>
    </row>
    <row r="302">
      <c r="A302" s="120"/>
      <c r="B302" s="120"/>
      <c r="C302" s="120"/>
      <c r="D302" s="120"/>
      <c r="E302" s="120"/>
      <c r="F302" s="120"/>
      <c r="G302" s="120"/>
      <c r="H302" s="120"/>
      <c r="I302" s="120"/>
      <c r="J302" s="120"/>
    </row>
    <row r="303">
      <c r="A303" s="120"/>
      <c r="B303" s="120"/>
      <c r="C303" s="120"/>
      <c r="D303" s="120"/>
      <c r="E303" s="120"/>
      <c r="F303" s="120"/>
      <c r="G303" s="120"/>
      <c r="H303" s="120"/>
      <c r="I303" s="120"/>
      <c r="J303" s="120"/>
    </row>
    <row r="304">
      <c r="A304" s="120"/>
      <c r="B304" s="120"/>
      <c r="C304" s="120"/>
      <c r="D304" s="120"/>
      <c r="E304" s="120"/>
      <c r="F304" s="120"/>
      <c r="G304" s="120"/>
      <c r="H304" s="120"/>
      <c r="I304" s="120"/>
      <c r="J304" s="120"/>
    </row>
    <row r="305">
      <c r="A305" s="120"/>
      <c r="B305" s="120"/>
      <c r="C305" s="120"/>
      <c r="D305" s="120"/>
      <c r="E305" s="120"/>
      <c r="F305" s="120"/>
      <c r="G305" s="120"/>
      <c r="H305" s="120"/>
      <c r="I305" s="120"/>
      <c r="J305" s="120"/>
    </row>
    <row r="306">
      <c r="A306" s="120"/>
      <c r="B306" s="120"/>
      <c r="C306" s="120"/>
      <c r="D306" s="120"/>
      <c r="E306" s="120"/>
      <c r="F306" s="120"/>
      <c r="G306" s="120"/>
      <c r="H306" s="120"/>
      <c r="I306" s="120"/>
      <c r="J306" s="120"/>
    </row>
    <row r="307">
      <c r="A307" s="120"/>
      <c r="B307" s="120"/>
      <c r="C307" s="120"/>
      <c r="D307" s="120"/>
      <c r="E307" s="120"/>
      <c r="F307" s="120"/>
      <c r="G307" s="120"/>
      <c r="H307" s="120"/>
      <c r="I307" s="120"/>
      <c r="J307" s="120"/>
    </row>
    <row r="308">
      <c r="A308" s="120"/>
      <c r="B308" s="120"/>
      <c r="C308" s="120"/>
      <c r="D308" s="120"/>
      <c r="E308" s="120"/>
      <c r="F308" s="120"/>
      <c r="G308" s="120"/>
      <c r="H308" s="120"/>
      <c r="I308" s="120"/>
      <c r="J308" s="120"/>
    </row>
    <row r="309">
      <c r="A309" s="120"/>
      <c r="B309" s="120"/>
      <c r="C309" s="120"/>
      <c r="D309" s="120"/>
      <c r="E309" s="120"/>
      <c r="F309" s="120"/>
      <c r="G309" s="120"/>
      <c r="H309" s="120"/>
      <c r="I309" s="120"/>
      <c r="J309" s="120"/>
    </row>
    <row r="310">
      <c r="A310" s="120"/>
      <c r="B310" s="120"/>
      <c r="C310" s="120"/>
      <c r="D310" s="120"/>
      <c r="E310" s="120"/>
      <c r="F310" s="120"/>
      <c r="G310" s="120"/>
      <c r="H310" s="120"/>
      <c r="I310" s="120"/>
      <c r="J310" s="120"/>
    </row>
    <row r="311">
      <c r="A311" s="120"/>
      <c r="B311" s="120"/>
      <c r="C311" s="120"/>
      <c r="D311" s="120"/>
      <c r="E311" s="120"/>
      <c r="F311" s="120"/>
      <c r="G311" s="120"/>
      <c r="H311" s="120"/>
      <c r="I311" s="120"/>
      <c r="J311" s="120"/>
    </row>
    <row r="312">
      <c r="A312" s="120"/>
      <c r="B312" s="120"/>
      <c r="C312" s="120"/>
      <c r="D312" s="120"/>
      <c r="E312" s="120"/>
      <c r="F312" s="120"/>
      <c r="G312" s="120"/>
      <c r="H312" s="120"/>
      <c r="I312" s="120"/>
      <c r="J312" s="120"/>
    </row>
    <row r="313">
      <c r="A313" s="120"/>
      <c r="B313" s="120"/>
      <c r="C313" s="120"/>
      <c r="D313" s="120"/>
      <c r="E313" s="120"/>
      <c r="F313" s="120"/>
      <c r="G313" s="120"/>
      <c r="H313" s="120"/>
      <c r="I313" s="120"/>
      <c r="J313" s="120"/>
    </row>
    <row r="314">
      <c r="A314" s="120"/>
      <c r="B314" s="120"/>
      <c r="C314" s="120"/>
      <c r="D314" s="120"/>
      <c r="E314" s="120"/>
      <c r="F314" s="120"/>
      <c r="G314" s="120"/>
      <c r="H314" s="120"/>
      <c r="I314" s="120"/>
      <c r="J314" s="120"/>
    </row>
    <row r="315">
      <c r="A315" s="120"/>
      <c r="B315" s="120"/>
      <c r="C315" s="120"/>
      <c r="D315" s="120"/>
      <c r="E315" s="120"/>
      <c r="F315" s="120"/>
      <c r="G315" s="120"/>
      <c r="H315" s="120"/>
      <c r="I315" s="120"/>
      <c r="J315" s="120"/>
    </row>
    <row r="316">
      <c r="A316" s="120"/>
      <c r="B316" s="120"/>
      <c r="C316" s="120"/>
      <c r="D316" s="120"/>
      <c r="E316" s="120"/>
      <c r="F316" s="120"/>
      <c r="G316" s="120"/>
      <c r="H316" s="120"/>
      <c r="I316" s="120"/>
      <c r="J316" s="120"/>
    </row>
    <row r="317">
      <c r="A317" s="120"/>
      <c r="B317" s="120"/>
      <c r="C317" s="120"/>
      <c r="D317" s="120"/>
      <c r="E317" s="120"/>
      <c r="F317" s="120"/>
      <c r="G317" s="120"/>
      <c r="H317" s="120"/>
      <c r="I317" s="120"/>
      <c r="J317" s="120"/>
    </row>
    <row r="318">
      <c r="A318" s="120"/>
      <c r="B318" s="120"/>
      <c r="C318" s="120"/>
      <c r="D318" s="120"/>
      <c r="E318" s="120"/>
      <c r="F318" s="120"/>
      <c r="G318" s="120"/>
      <c r="H318" s="120"/>
      <c r="I318" s="120"/>
      <c r="J318" s="120"/>
    </row>
    <row r="319">
      <c r="A319" s="120"/>
      <c r="B319" s="120"/>
      <c r="C319" s="120"/>
      <c r="D319" s="120"/>
      <c r="E319" s="120"/>
      <c r="F319" s="120"/>
      <c r="G319" s="120"/>
      <c r="H319" s="120"/>
      <c r="I319" s="120"/>
      <c r="J319" s="120"/>
    </row>
    <row r="320">
      <c r="A320" s="120"/>
      <c r="B320" s="120"/>
      <c r="C320" s="120"/>
      <c r="D320" s="120"/>
      <c r="E320" s="120"/>
      <c r="F320" s="120"/>
      <c r="G320" s="120"/>
      <c r="H320" s="120"/>
      <c r="I320" s="120"/>
      <c r="J320" s="120"/>
    </row>
    <row r="321">
      <c r="A321" s="120"/>
      <c r="B321" s="120"/>
      <c r="C321" s="120"/>
      <c r="D321" s="120"/>
      <c r="E321" s="120"/>
      <c r="F321" s="120"/>
      <c r="G321" s="120"/>
      <c r="H321" s="120"/>
      <c r="I321" s="120"/>
      <c r="J321" s="120"/>
    </row>
    <row r="322">
      <c r="A322" s="120"/>
      <c r="B322" s="120"/>
      <c r="C322" s="120"/>
      <c r="D322" s="120"/>
      <c r="E322" s="120"/>
      <c r="F322" s="120"/>
      <c r="G322" s="120"/>
      <c r="H322" s="120"/>
      <c r="I322" s="120"/>
      <c r="J322" s="120"/>
    </row>
    <row r="323">
      <c r="A323" s="120"/>
      <c r="B323" s="120"/>
      <c r="C323" s="120"/>
      <c r="D323" s="120"/>
      <c r="E323" s="120"/>
      <c r="F323" s="120"/>
      <c r="G323" s="120"/>
      <c r="H323" s="120"/>
      <c r="I323" s="120"/>
      <c r="J323" s="120"/>
    </row>
    <row r="324">
      <c r="A324" s="120"/>
      <c r="B324" s="120"/>
      <c r="C324" s="120"/>
      <c r="D324" s="120"/>
      <c r="E324" s="120"/>
      <c r="F324" s="120"/>
      <c r="G324" s="120"/>
      <c r="H324" s="120"/>
      <c r="I324" s="120"/>
      <c r="J324" s="120"/>
    </row>
    <row r="325">
      <c r="A325" s="120"/>
      <c r="B325" s="120"/>
      <c r="C325" s="120"/>
      <c r="D325" s="120"/>
      <c r="E325" s="120"/>
      <c r="F325" s="120"/>
      <c r="G325" s="120"/>
      <c r="H325" s="120"/>
      <c r="I325" s="120"/>
      <c r="J325" s="120"/>
    </row>
    <row r="326">
      <c r="A326" s="120"/>
      <c r="B326" s="120"/>
      <c r="C326" s="120"/>
      <c r="D326" s="120"/>
      <c r="E326" s="120"/>
      <c r="F326" s="120"/>
      <c r="G326" s="120"/>
      <c r="H326" s="120"/>
      <c r="I326" s="120"/>
      <c r="J326" s="120"/>
    </row>
    <row r="327">
      <c r="A327" s="120"/>
      <c r="B327" s="120"/>
      <c r="C327" s="120"/>
      <c r="D327" s="120"/>
      <c r="E327" s="120"/>
      <c r="F327" s="120"/>
      <c r="G327" s="120"/>
      <c r="H327" s="120"/>
      <c r="I327" s="120"/>
      <c r="J327" s="120"/>
    </row>
    <row r="328">
      <c r="A328" s="120"/>
      <c r="B328" s="120"/>
      <c r="C328" s="120"/>
      <c r="D328" s="120"/>
      <c r="E328" s="120"/>
      <c r="F328" s="120"/>
      <c r="G328" s="120"/>
      <c r="H328" s="120"/>
      <c r="I328" s="120"/>
      <c r="J328" s="120"/>
    </row>
    <row r="329">
      <c r="A329" s="120"/>
      <c r="B329" s="120"/>
      <c r="C329" s="120"/>
      <c r="D329" s="120"/>
      <c r="E329" s="120"/>
      <c r="F329" s="120"/>
      <c r="G329" s="120"/>
      <c r="H329" s="120"/>
      <c r="I329" s="120"/>
      <c r="J329" s="120"/>
    </row>
    <row r="330">
      <c r="A330" s="120"/>
      <c r="B330" s="120"/>
      <c r="C330" s="120"/>
      <c r="D330" s="120"/>
      <c r="E330" s="120"/>
      <c r="F330" s="120"/>
      <c r="G330" s="120"/>
      <c r="H330" s="120"/>
      <c r="I330" s="120"/>
      <c r="J330" s="120"/>
    </row>
    <row r="331">
      <c r="A331" s="120"/>
      <c r="B331" s="120"/>
      <c r="C331" s="120"/>
      <c r="D331" s="120"/>
      <c r="E331" s="120"/>
      <c r="F331" s="120"/>
      <c r="G331" s="120"/>
      <c r="H331" s="120"/>
      <c r="I331" s="120"/>
      <c r="J331" s="120"/>
    </row>
    <row r="332">
      <c r="A332" s="120"/>
      <c r="B332" s="120"/>
      <c r="C332" s="120"/>
      <c r="D332" s="120"/>
      <c r="E332" s="120"/>
      <c r="F332" s="120"/>
      <c r="G332" s="120"/>
      <c r="H332" s="120"/>
      <c r="I332" s="120"/>
      <c r="J332" s="120"/>
    </row>
    <row r="333">
      <c r="A333" s="120"/>
      <c r="B333" s="120"/>
      <c r="C333" s="120"/>
      <c r="D333" s="120"/>
      <c r="E333" s="120"/>
      <c r="F333" s="120"/>
      <c r="G333" s="120"/>
      <c r="H333" s="120"/>
      <c r="I333" s="120"/>
      <c r="J333" s="120"/>
    </row>
    <row r="334">
      <c r="A334" s="120"/>
      <c r="B334" s="120"/>
      <c r="C334" s="120"/>
      <c r="D334" s="120"/>
      <c r="E334" s="120"/>
      <c r="F334" s="120"/>
      <c r="G334" s="120"/>
      <c r="H334" s="120"/>
      <c r="I334" s="120"/>
      <c r="J334" s="120"/>
    </row>
    <row r="335">
      <c r="A335" s="120"/>
      <c r="B335" s="120"/>
      <c r="C335" s="120"/>
      <c r="D335" s="120"/>
      <c r="E335" s="120"/>
      <c r="F335" s="120"/>
      <c r="G335" s="120"/>
      <c r="H335" s="120"/>
      <c r="I335" s="120"/>
      <c r="J335" s="120"/>
    </row>
    <row r="336">
      <c r="A336" s="120"/>
      <c r="B336" s="120"/>
      <c r="C336" s="120"/>
      <c r="D336" s="120"/>
      <c r="E336" s="120"/>
      <c r="F336" s="120"/>
      <c r="G336" s="120"/>
      <c r="H336" s="120"/>
      <c r="I336" s="120"/>
      <c r="J336" s="120"/>
    </row>
    <row r="337">
      <c r="A337" s="120"/>
      <c r="B337" s="120"/>
      <c r="C337" s="120"/>
      <c r="D337" s="120"/>
      <c r="E337" s="120"/>
      <c r="F337" s="120"/>
      <c r="G337" s="120"/>
      <c r="H337" s="120"/>
      <c r="I337" s="120"/>
      <c r="J337" s="120"/>
    </row>
    <row r="338">
      <c r="A338" s="120"/>
      <c r="B338" s="120"/>
      <c r="C338" s="120"/>
      <c r="D338" s="120"/>
      <c r="E338" s="120"/>
      <c r="F338" s="120"/>
      <c r="G338" s="120"/>
      <c r="H338" s="120"/>
      <c r="I338" s="120"/>
      <c r="J338" s="120"/>
    </row>
    <row r="339">
      <c r="A339" s="120"/>
      <c r="B339" s="120"/>
      <c r="C339" s="120"/>
      <c r="D339" s="120"/>
      <c r="E339" s="120"/>
      <c r="F339" s="120"/>
      <c r="G339" s="120"/>
      <c r="H339" s="120"/>
      <c r="I339" s="120"/>
      <c r="J339" s="120"/>
    </row>
    <row r="340">
      <c r="A340" s="120"/>
      <c r="B340" s="120"/>
      <c r="C340" s="120"/>
      <c r="D340" s="120"/>
      <c r="E340" s="120"/>
      <c r="F340" s="120"/>
      <c r="G340" s="120"/>
      <c r="H340" s="120"/>
      <c r="I340" s="120"/>
      <c r="J340" s="120"/>
    </row>
    <row r="341">
      <c r="A341" s="120"/>
      <c r="B341" s="120"/>
      <c r="C341" s="120"/>
      <c r="D341" s="120"/>
      <c r="E341" s="120"/>
      <c r="F341" s="120"/>
      <c r="G341" s="120"/>
      <c r="H341" s="120"/>
      <c r="I341" s="120"/>
      <c r="J341" s="120"/>
    </row>
    <row r="342">
      <c r="A342" s="120"/>
      <c r="B342" s="120"/>
      <c r="C342" s="120"/>
      <c r="D342" s="120"/>
      <c r="E342" s="120"/>
      <c r="F342" s="120"/>
      <c r="G342" s="120"/>
      <c r="H342" s="120"/>
      <c r="I342" s="120"/>
      <c r="J342" s="120"/>
    </row>
    <row r="343">
      <c r="A343" s="120"/>
      <c r="B343" s="120"/>
      <c r="C343" s="120"/>
      <c r="D343" s="120"/>
      <c r="E343" s="120"/>
      <c r="F343" s="120"/>
      <c r="G343" s="120"/>
      <c r="H343" s="120"/>
      <c r="I343" s="120"/>
      <c r="J343" s="120"/>
    </row>
    <row r="344">
      <c r="A344" s="120"/>
      <c r="B344" s="120"/>
      <c r="C344" s="120"/>
      <c r="D344" s="120"/>
      <c r="E344" s="120"/>
      <c r="F344" s="120"/>
      <c r="G344" s="120"/>
      <c r="H344" s="120"/>
      <c r="I344" s="120"/>
      <c r="J344" s="120"/>
    </row>
    <row r="345">
      <c r="A345" s="120"/>
      <c r="B345" s="120"/>
      <c r="C345" s="120"/>
      <c r="D345" s="120"/>
      <c r="E345" s="120"/>
      <c r="F345" s="120"/>
      <c r="G345" s="120"/>
      <c r="H345" s="120"/>
      <c r="I345" s="120"/>
      <c r="J345" s="120"/>
    </row>
    <row r="346">
      <c r="A346" s="120"/>
      <c r="B346" s="120"/>
      <c r="C346" s="120"/>
      <c r="D346" s="120"/>
      <c r="E346" s="120"/>
      <c r="F346" s="120"/>
      <c r="G346" s="120"/>
      <c r="H346" s="120"/>
      <c r="I346" s="120"/>
      <c r="J346" s="120"/>
    </row>
    <row r="347">
      <c r="A347" s="120"/>
      <c r="B347" s="120"/>
      <c r="C347" s="120"/>
      <c r="D347" s="120"/>
      <c r="E347" s="120"/>
      <c r="F347" s="120"/>
      <c r="G347" s="120"/>
      <c r="H347" s="120"/>
      <c r="I347" s="120"/>
      <c r="J347" s="120"/>
    </row>
    <row r="348">
      <c r="A348" s="120"/>
      <c r="B348" s="120"/>
      <c r="C348" s="120"/>
      <c r="D348" s="120"/>
      <c r="E348" s="120"/>
      <c r="F348" s="120"/>
      <c r="G348" s="120"/>
      <c r="H348" s="120"/>
      <c r="I348" s="120"/>
      <c r="J348" s="120"/>
    </row>
    <row r="349">
      <c r="A349" s="120"/>
      <c r="B349" s="120"/>
      <c r="C349" s="120"/>
      <c r="D349" s="120"/>
      <c r="E349" s="120"/>
      <c r="F349" s="120"/>
      <c r="G349" s="120"/>
      <c r="H349" s="120"/>
      <c r="I349" s="120"/>
      <c r="J349" s="120"/>
    </row>
    <row r="350">
      <c r="A350" s="120"/>
      <c r="B350" s="120"/>
      <c r="C350" s="120"/>
      <c r="D350" s="120"/>
      <c r="E350" s="120"/>
      <c r="F350" s="120"/>
      <c r="G350" s="120"/>
      <c r="H350" s="120"/>
      <c r="I350" s="120"/>
      <c r="J350" s="120"/>
    </row>
    <row r="351">
      <c r="A351" s="120"/>
      <c r="B351" s="120"/>
      <c r="C351" s="120"/>
      <c r="D351" s="120"/>
      <c r="E351" s="120"/>
      <c r="F351" s="120"/>
      <c r="G351" s="120"/>
      <c r="H351" s="120"/>
      <c r="I351" s="120"/>
      <c r="J351" s="120"/>
    </row>
    <row r="352">
      <c r="A352" s="120"/>
      <c r="B352" s="120"/>
      <c r="C352" s="120"/>
      <c r="D352" s="120"/>
      <c r="E352" s="120"/>
      <c r="F352" s="120"/>
      <c r="G352" s="120"/>
      <c r="H352" s="120"/>
      <c r="I352" s="120"/>
      <c r="J352" s="120"/>
    </row>
    <row r="353">
      <c r="A353" s="120"/>
      <c r="B353" s="120"/>
      <c r="C353" s="120"/>
      <c r="D353" s="120"/>
      <c r="E353" s="120"/>
      <c r="F353" s="120"/>
      <c r="G353" s="120"/>
      <c r="H353" s="120"/>
      <c r="I353" s="120"/>
      <c r="J353" s="120"/>
    </row>
    <row r="354">
      <c r="A354" s="120"/>
      <c r="B354" s="120"/>
      <c r="C354" s="120"/>
      <c r="D354" s="120"/>
      <c r="E354" s="120"/>
      <c r="F354" s="120"/>
      <c r="G354" s="120"/>
      <c r="H354" s="120"/>
      <c r="I354" s="120"/>
      <c r="J354" s="120"/>
    </row>
    <row r="355">
      <c r="A355" s="120"/>
      <c r="B355" s="120"/>
      <c r="C355" s="120"/>
      <c r="D355" s="120"/>
      <c r="E355" s="120"/>
      <c r="F355" s="120"/>
      <c r="G355" s="120"/>
      <c r="H355" s="120"/>
      <c r="I355" s="120"/>
      <c r="J355" s="120"/>
    </row>
    <row r="356">
      <c r="A356" s="120"/>
      <c r="B356" s="120"/>
      <c r="C356" s="120"/>
      <c r="D356" s="120"/>
      <c r="E356" s="120"/>
      <c r="F356" s="120"/>
      <c r="G356" s="120"/>
      <c r="H356" s="120"/>
      <c r="I356" s="120"/>
      <c r="J356" s="120"/>
    </row>
    <row r="357">
      <c r="A357" s="120"/>
      <c r="B357" s="120"/>
      <c r="C357" s="120"/>
      <c r="D357" s="120"/>
      <c r="E357" s="120"/>
      <c r="F357" s="120"/>
      <c r="G357" s="120"/>
      <c r="H357" s="120"/>
      <c r="I357" s="120"/>
      <c r="J357" s="120"/>
    </row>
    <row r="358">
      <c r="A358" s="120"/>
      <c r="B358" s="120"/>
      <c r="C358" s="120"/>
      <c r="D358" s="120"/>
      <c r="E358" s="120"/>
      <c r="F358" s="120"/>
      <c r="G358" s="120"/>
      <c r="H358" s="120"/>
      <c r="I358" s="120"/>
      <c r="J358" s="120"/>
    </row>
    <row r="359">
      <c r="A359" s="120"/>
      <c r="B359" s="120"/>
      <c r="C359" s="120"/>
      <c r="D359" s="120"/>
      <c r="E359" s="120"/>
      <c r="F359" s="120"/>
      <c r="G359" s="120"/>
      <c r="H359" s="120"/>
      <c r="I359" s="120"/>
      <c r="J359" s="120"/>
    </row>
    <row r="360">
      <c r="A360" s="120"/>
      <c r="B360" s="120"/>
      <c r="C360" s="120"/>
      <c r="D360" s="120"/>
      <c r="E360" s="120"/>
      <c r="F360" s="120"/>
      <c r="G360" s="120"/>
      <c r="H360" s="120"/>
      <c r="I360" s="120"/>
      <c r="J360" s="120"/>
    </row>
    <row r="361">
      <c r="A361" s="120"/>
      <c r="B361" s="120"/>
      <c r="C361" s="120"/>
      <c r="D361" s="120"/>
      <c r="E361" s="120"/>
      <c r="F361" s="120"/>
      <c r="G361" s="120"/>
      <c r="H361" s="120"/>
      <c r="I361" s="120"/>
      <c r="J361" s="120"/>
    </row>
    <row r="362">
      <c r="A362" s="120"/>
      <c r="B362" s="120"/>
      <c r="C362" s="120"/>
      <c r="D362" s="120"/>
      <c r="E362" s="120"/>
      <c r="F362" s="120"/>
      <c r="G362" s="120"/>
      <c r="H362" s="120"/>
      <c r="I362" s="120"/>
      <c r="J362" s="120"/>
    </row>
    <row r="363">
      <c r="A363" s="120"/>
      <c r="B363" s="120"/>
      <c r="C363" s="120"/>
      <c r="D363" s="120"/>
      <c r="E363" s="120"/>
      <c r="F363" s="120"/>
      <c r="G363" s="120"/>
      <c r="H363" s="120"/>
      <c r="I363" s="120"/>
      <c r="J363" s="120"/>
    </row>
    <row r="364">
      <c r="A364" s="120"/>
      <c r="B364" s="120"/>
      <c r="C364" s="120"/>
      <c r="D364" s="120"/>
      <c r="E364" s="120"/>
      <c r="F364" s="120"/>
      <c r="G364" s="120"/>
      <c r="H364" s="120"/>
      <c r="I364" s="120"/>
      <c r="J364" s="120"/>
    </row>
    <row r="365">
      <c r="A365" s="120"/>
      <c r="B365" s="120"/>
      <c r="C365" s="120"/>
      <c r="D365" s="120"/>
      <c r="E365" s="120"/>
      <c r="F365" s="120"/>
      <c r="G365" s="120"/>
      <c r="H365" s="120"/>
      <c r="I365" s="120"/>
      <c r="J365" s="120"/>
    </row>
    <row r="366">
      <c r="A366" s="120"/>
      <c r="B366" s="120"/>
      <c r="C366" s="120"/>
      <c r="D366" s="120"/>
      <c r="E366" s="120"/>
      <c r="F366" s="120"/>
      <c r="G366" s="120"/>
      <c r="H366" s="120"/>
      <c r="I366" s="120"/>
      <c r="J366" s="120"/>
    </row>
    <row r="367">
      <c r="A367" s="120"/>
      <c r="B367" s="120"/>
      <c r="C367" s="120"/>
      <c r="D367" s="120"/>
      <c r="E367" s="120"/>
      <c r="F367" s="120"/>
      <c r="G367" s="120"/>
      <c r="H367" s="120"/>
      <c r="I367" s="120"/>
      <c r="J367" s="120"/>
    </row>
    <row r="368">
      <c r="A368" s="120"/>
      <c r="B368" s="120"/>
      <c r="C368" s="120"/>
      <c r="D368" s="120"/>
      <c r="E368" s="120"/>
      <c r="F368" s="120"/>
      <c r="G368" s="120"/>
      <c r="H368" s="120"/>
      <c r="I368" s="120"/>
      <c r="J368" s="120"/>
    </row>
    <row r="369">
      <c r="A369" s="120"/>
      <c r="B369" s="120"/>
      <c r="C369" s="120"/>
      <c r="D369" s="120"/>
      <c r="E369" s="120"/>
      <c r="F369" s="120"/>
      <c r="G369" s="120"/>
      <c r="H369" s="120"/>
      <c r="I369" s="120"/>
      <c r="J369" s="120"/>
    </row>
    <row r="370">
      <c r="A370" s="120"/>
      <c r="B370" s="120"/>
      <c r="C370" s="120"/>
      <c r="D370" s="120"/>
      <c r="E370" s="120"/>
      <c r="F370" s="120"/>
      <c r="G370" s="120"/>
      <c r="H370" s="120"/>
      <c r="I370" s="120"/>
      <c r="J370" s="120"/>
    </row>
    <row r="371">
      <c r="A371" s="120"/>
      <c r="B371" s="120"/>
      <c r="C371" s="120"/>
      <c r="D371" s="120"/>
      <c r="E371" s="120"/>
      <c r="F371" s="120"/>
      <c r="G371" s="120"/>
      <c r="H371" s="120"/>
      <c r="I371" s="120"/>
      <c r="J371" s="120"/>
    </row>
    <row r="372">
      <c r="A372" s="120"/>
      <c r="B372" s="120"/>
      <c r="C372" s="120"/>
      <c r="D372" s="120"/>
      <c r="E372" s="120"/>
      <c r="F372" s="120"/>
      <c r="G372" s="120"/>
      <c r="H372" s="120"/>
      <c r="I372" s="120"/>
      <c r="J372" s="120"/>
    </row>
    <row r="373">
      <c r="A373" s="120"/>
      <c r="B373" s="120"/>
      <c r="C373" s="120"/>
      <c r="D373" s="120"/>
      <c r="E373" s="120"/>
      <c r="F373" s="120"/>
      <c r="G373" s="120"/>
      <c r="H373" s="120"/>
      <c r="I373" s="120"/>
      <c r="J373" s="120"/>
    </row>
    <row r="374">
      <c r="A374" s="120"/>
      <c r="B374" s="120"/>
      <c r="C374" s="120"/>
      <c r="D374" s="120"/>
      <c r="E374" s="120"/>
      <c r="F374" s="120"/>
      <c r="G374" s="120"/>
      <c r="H374" s="120"/>
      <c r="I374" s="120"/>
      <c r="J374" s="120"/>
    </row>
    <row r="375">
      <c r="A375" s="120"/>
      <c r="B375" s="120"/>
      <c r="C375" s="120"/>
      <c r="D375" s="120"/>
      <c r="E375" s="120"/>
      <c r="F375" s="120"/>
      <c r="G375" s="120"/>
      <c r="H375" s="120"/>
      <c r="I375" s="120"/>
      <c r="J375" s="120"/>
    </row>
    <row r="376">
      <c r="A376" s="120"/>
      <c r="B376" s="120"/>
      <c r="C376" s="120"/>
      <c r="D376" s="120"/>
      <c r="E376" s="120"/>
      <c r="F376" s="120"/>
      <c r="G376" s="120"/>
      <c r="H376" s="120"/>
      <c r="I376" s="120"/>
      <c r="J376" s="120"/>
    </row>
    <row r="377">
      <c r="A377" s="120"/>
      <c r="B377" s="120"/>
      <c r="C377" s="120"/>
      <c r="D377" s="120"/>
      <c r="E377" s="120"/>
      <c r="F377" s="120"/>
      <c r="G377" s="120"/>
      <c r="H377" s="120"/>
      <c r="I377" s="120"/>
      <c r="J377" s="120"/>
    </row>
    <row r="378">
      <c r="A378" s="120"/>
      <c r="B378" s="120"/>
      <c r="C378" s="120"/>
      <c r="D378" s="120"/>
      <c r="E378" s="120"/>
      <c r="F378" s="120"/>
      <c r="G378" s="120"/>
      <c r="H378" s="120"/>
      <c r="I378" s="120"/>
      <c r="J378" s="120"/>
    </row>
    <row r="379">
      <c r="A379" s="120"/>
      <c r="B379" s="120"/>
      <c r="C379" s="120"/>
      <c r="D379" s="120"/>
      <c r="E379" s="120"/>
      <c r="F379" s="120"/>
      <c r="G379" s="120"/>
      <c r="H379" s="120"/>
      <c r="I379" s="120"/>
      <c r="J379" s="120"/>
    </row>
    <row r="380">
      <c r="A380" s="120"/>
      <c r="B380" s="120"/>
      <c r="C380" s="120"/>
      <c r="D380" s="120"/>
      <c r="E380" s="120"/>
      <c r="F380" s="120"/>
      <c r="G380" s="120"/>
      <c r="H380" s="120"/>
      <c r="I380" s="120"/>
      <c r="J380" s="120"/>
    </row>
    <row r="381">
      <c r="A381" s="120"/>
      <c r="B381" s="120"/>
      <c r="C381" s="120"/>
      <c r="D381" s="120"/>
      <c r="E381" s="120"/>
      <c r="F381" s="120"/>
      <c r="G381" s="120"/>
      <c r="H381" s="120"/>
      <c r="I381" s="120"/>
      <c r="J381" s="120"/>
    </row>
    <row r="382">
      <c r="A382" s="120"/>
      <c r="B382" s="120"/>
      <c r="C382" s="120"/>
      <c r="D382" s="120"/>
      <c r="E382" s="120"/>
      <c r="F382" s="120"/>
      <c r="G382" s="120"/>
      <c r="H382" s="120"/>
      <c r="I382" s="120"/>
      <c r="J382" s="120"/>
    </row>
    <row r="383">
      <c r="A383" s="120"/>
      <c r="B383" s="120"/>
      <c r="C383" s="120"/>
      <c r="D383" s="120"/>
      <c r="E383" s="120"/>
      <c r="F383" s="120"/>
      <c r="G383" s="120"/>
      <c r="H383" s="120"/>
      <c r="I383" s="120"/>
      <c r="J383" s="120"/>
    </row>
    <row r="384">
      <c r="A384" s="120"/>
      <c r="B384" s="120"/>
      <c r="C384" s="120"/>
      <c r="D384" s="120"/>
      <c r="E384" s="120"/>
      <c r="F384" s="120"/>
      <c r="G384" s="120"/>
      <c r="H384" s="120"/>
      <c r="I384" s="120"/>
      <c r="J384" s="120"/>
    </row>
    <row r="385">
      <c r="A385" s="120"/>
      <c r="B385" s="120"/>
      <c r="C385" s="120"/>
      <c r="D385" s="120"/>
      <c r="E385" s="120"/>
      <c r="F385" s="120"/>
      <c r="G385" s="120"/>
      <c r="H385" s="120"/>
      <c r="I385" s="120"/>
      <c r="J385" s="120"/>
    </row>
    <row r="386">
      <c r="A386" s="120"/>
      <c r="B386" s="120"/>
      <c r="C386" s="120"/>
      <c r="D386" s="120"/>
      <c r="E386" s="120"/>
      <c r="F386" s="120"/>
      <c r="G386" s="120"/>
      <c r="H386" s="120"/>
      <c r="I386" s="120"/>
      <c r="J386" s="120"/>
    </row>
    <row r="387">
      <c r="A387" s="120"/>
      <c r="B387" s="120"/>
      <c r="C387" s="120"/>
      <c r="D387" s="120"/>
      <c r="E387" s="120"/>
      <c r="F387" s="120"/>
      <c r="G387" s="120"/>
      <c r="H387" s="120"/>
      <c r="I387" s="120"/>
      <c r="J387" s="120"/>
    </row>
    <row r="388">
      <c r="A388" s="120"/>
      <c r="B388" s="120"/>
      <c r="C388" s="120"/>
      <c r="D388" s="120"/>
      <c r="E388" s="120"/>
      <c r="F388" s="120"/>
      <c r="G388" s="120"/>
      <c r="H388" s="120"/>
      <c r="I388" s="120"/>
      <c r="J388" s="120"/>
    </row>
    <row r="389">
      <c r="A389" s="120"/>
      <c r="B389" s="120"/>
      <c r="C389" s="120"/>
      <c r="D389" s="120"/>
      <c r="E389" s="120"/>
      <c r="F389" s="120"/>
      <c r="G389" s="120"/>
      <c r="H389" s="120"/>
      <c r="I389" s="120"/>
      <c r="J389" s="120"/>
    </row>
    <row r="390">
      <c r="A390" s="120"/>
      <c r="B390" s="120"/>
      <c r="C390" s="120"/>
      <c r="D390" s="120"/>
      <c r="E390" s="120"/>
      <c r="F390" s="120"/>
      <c r="G390" s="120"/>
      <c r="H390" s="120"/>
      <c r="I390" s="120"/>
      <c r="J390" s="120"/>
    </row>
    <row r="391">
      <c r="A391" s="120"/>
      <c r="B391" s="120"/>
      <c r="C391" s="120"/>
      <c r="D391" s="120"/>
      <c r="E391" s="120"/>
      <c r="F391" s="120"/>
      <c r="G391" s="120"/>
      <c r="H391" s="120"/>
      <c r="I391" s="120"/>
      <c r="J391" s="120"/>
    </row>
    <row r="392">
      <c r="A392" s="120"/>
      <c r="B392" s="120"/>
      <c r="C392" s="120"/>
      <c r="D392" s="120"/>
      <c r="E392" s="120"/>
      <c r="F392" s="120"/>
      <c r="G392" s="120"/>
      <c r="H392" s="120"/>
      <c r="I392" s="120"/>
      <c r="J392" s="120"/>
    </row>
    <row r="393">
      <c r="A393" s="120"/>
      <c r="B393" s="120"/>
      <c r="C393" s="120"/>
      <c r="D393" s="120"/>
      <c r="E393" s="120"/>
      <c r="F393" s="120"/>
      <c r="G393" s="120"/>
      <c r="H393" s="120"/>
      <c r="I393" s="120"/>
      <c r="J393" s="120"/>
    </row>
    <row r="394">
      <c r="A394" s="120"/>
      <c r="B394" s="120"/>
      <c r="C394" s="120"/>
      <c r="D394" s="120"/>
      <c r="E394" s="120"/>
      <c r="F394" s="120"/>
      <c r="G394" s="120"/>
      <c r="H394" s="120"/>
      <c r="I394" s="120"/>
      <c r="J394" s="120"/>
    </row>
    <row r="395">
      <c r="A395" s="120"/>
      <c r="B395" s="120"/>
      <c r="C395" s="120"/>
      <c r="D395" s="120"/>
      <c r="E395" s="120"/>
      <c r="F395" s="120"/>
      <c r="G395" s="120"/>
      <c r="H395" s="120"/>
      <c r="I395" s="120"/>
      <c r="J395" s="120"/>
    </row>
    <row r="396">
      <c r="A396" s="120"/>
      <c r="B396" s="120"/>
      <c r="C396" s="120"/>
      <c r="D396" s="120"/>
      <c r="E396" s="120"/>
      <c r="F396" s="120"/>
      <c r="G396" s="120"/>
      <c r="H396" s="120"/>
      <c r="I396" s="120"/>
      <c r="J396" s="120"/>
    </row>
    <row r="397">
      <c r="A397" s="120"/>
      <c r="B397" s="120"/>
      <c r="C397" s="120"/>
      <c r="D397" s="120"/>
      <c r="E397" s="120"/>
      <c r="F397" s="120"/>
      <c r="G397" s="120"/>
      <c r="H397" s="120"/>
      <c r="I397" s="120"/>
      <c r="J397" s="120"/>
    </row>
    <row r="398">
      <c r="A398" s="120"/>
      <c r="B398" s="120"/>
      <c r="C398" s="120"/>
      <c r="D398" s="120"/>
      <c r="E398" s="120"/>
      <c r="F398" s="120"/>
      <c r="G398" s="120"/>
      <c r="H398" s="120"/>
      <c r="I398" s="120"/>
      <c r="J398" s="120"/>
    </row>
    <row r="399">
      <c r="A399" s="120"/>
      <c r="B399" s="120"/>
      <c r="C399" s="120"/>
      <c r="D399" s="120"/>
      <c r="E399" s="120"/>
      <c r="F399" s="120"/>
      <c r="G399" s="120"/>
      <c r="H399" s="120"/>
      <c r="I399" s="120"/>
      <c r="J399" s="120"/>
    </row>
    <row r="400">
      <c r="A400" s="120"/>
      <c r="B400" s="120"/>
      <c r="C400" s="120"/>
      <c r="D400" s="120"/>
      <c r="E400" s="120"/>
      <c r="F400" s="120"/>
      <c r="G400" s="120"/>
      <c r="H400" s="120"/>
      <c r="I400" s="120"/>
      <c r="J400" s="120"/>
    </row>
    <row r="401">
      <c r="A401" s="120"/>
      <c r="B401" s="120"/>
      <c r="C401" s="120"/>
      <c r="D401" s="120"/>
      <c r="E401" s="120"/>
      <c r="F401" s="120"/>
      <c r="G401" s="120"/>
      <c r="H401" s="120"/>
      <c r="I401" s="120"/>
      <c r="J401" s="120"/>
    </row>
    <row r="402">
      <c r="A402" s="120"/>
      <c r="B402" s="120"/>
      <c r="C402" s="120"/>
      <c r="D402" s="120"/>
      <c r="E402" s="120"/>
      <c r="F402" s="120"/>
      <c r="G402" s="120"/>
      <c r="H402" s="120"/>
      <c r="I402" s="120"/>
      <c r="J402" s="120"/>
    </row>
    <row r="403">
      <c r="A403" s="120"/>
      <c r="B403" s="120"/>
      <c r="C403" s="120"/>
      <c r="D403" s="120"/>
      <c r="E403" s="120"/>
      <c r="F403" s="120"/>
      <c r="G403" s="120"/>
      <c r="H403" s="120"/>
      <c r="I403" s="120"/>
      <c r="J403" s="120"/>
    </row>
    <row r="404">
      <c r="A404" s="120"/>
      <c r="B404" s="120"/>
      <c r="C404" s="120"/>
      <c r="D404" s="120"/>
      <c r="E404" s="120"/>
      <c r="F404" s="120"/>
      <c r="G404" s="120"/>
      <c r="H404" s="120"/>
      <c r="I404" s="120"/>
      <c r="J404" s="120"/>
    </row>
    <row r="405">
      <c r="A405" s="120"/>
      <c r="B405" s="120"/>
      <c r="C405" s="120"/>
      <c r="D405" s="120"/>
      <c r="E405" s="120"/>
      <c r="F405" s="120"/>
      <c r="G405" s="120"/>
      <c r="H405" s="120"/>
      <c r="I405" s="120"/>
      <c r="J405" s="120"/>
    </row>
    <row r="406">
      <c r="A406" s="120"/>
      <c r="B406" s="120"/>
      <c r="C406" s="120"/>
      <c r="D406" s="120"/>
      <c r="E406" s="120"/>
      <c r="F406" s="120"/>
      <c r="G406" s="120"/>
      <c r="H406" s="120"/>
      <c r="I406" s="120"/>
      <c r="J406" s="120"/>
    </row>
    <row r="407">
      <c r="A407" s="120"/>
      <c r="B407" s="120"/>
      <c r="C407" s="120"/>
      <c r="D407" s="120"/>
      <c r="E407" s="120"/>
      <c r="F407" s="120"/>
      <c r="G407" s="120"/>
      <c r="H407" s="120"/>
      <c r="I407" s="120"/>
      <c r="J407" s="120"/>
    </row>
    <row r="408">
      <c r="A408" s="120"/>
      <c r="B408" s="120"/>
      <c r="C408" s="120"/>
      <c r="D408" s="120"/>
      <c r="E408" s="120"/>
      <c r="F408" s="120"/>
      <c r="G408" s="120"/>
      <c r="H408" s="120"/>
      <c r="I408" s="120"/>
      <c r="J408" s="120"/>
    </row>
    <row r="409">
      <c r="A409" s="120"/>
      <c r="B409" s="120"/>
      <c r="C409" s="120"/>
      <c r="D409" s="120"/>
      <c r="E409" s="120"/>
      <c r="F409" s="120"/>
      <c r="G409" s="120"/>
      <c r="H409" s="120"/>
      <c r="I409" s="120"/>
      <c r="J409" s="120"/>
    </row>
    <row r="410">
      <c r="A410" s="120"/>
      <c r="B410" s="120"/>
      <c r="C410" s="120"/>
      <c r="D410" s="120"/>
      <c r="E410" s="120"/>
      <c r="F410" s="120"/>
      <c r="G410" s="120"/>
      <c r="H410" s="120"/>
      <c r="I410" s="120"/>
      <c r="J410" s="120"/>
    </row>
    <row r="411">
      <c r="A411" s="120"/>
      <c r="B411" s="120"/>
      <c r="C411" s="120"/>
      <c r="D411" s="120"/>
      <c r="E411" s="120"/>
      <c r="F411" s="120"/>
      <c r="G411" s="120"/>
      <c r="H411" s="120"/>
      <c r="I411" s="120"/>
      <c r="J411" s="120"/>
    </row>
    <row r="412">
      <c r="A412" s="120"/>
      <c r="B412" s="120"/>
      <c r="C412" s="120"/>
      <c r="D412" s="120"/>
      <c r="E412" s="120"/>
      <c r="F412" s="120"/>
      <c r="G412" s="120"/>
      <c r="H412" s="120"/>
      <c r="I412" s="120"/>
      <c r="J412" s="120"/>
    </row>
    <row r="413">
      <c r="A413" s="120"/>
      <c r="B413" s="120"/>
      <c r="C413" s="120"/>
      <c r="D413" s="120"/>
      <c r="E413" s="120"/>
      <c r="F413" s="120"/>
      <c r="G413" s="120"/>
      <c r="H413" s="120"/>
      <c r="I413" s="120"/>
      <c r="J413" s="120"/>
    </row>
    <row r="414">
      <c r="A414" s="120"/>
      <c r="B414" s="120"/>
      <c r="C414" s="120"/>
      <c r="D414" s="120"/>
      <c r="E414" s="120"/>
      <c r="F414" s="120"/>
      <c r="G414" s="120"/>
      <c r="H414" s="120"/>
      <c r="I414" s="120"/>
      <c r="J414" s="120"/>
    </row>
    <row r="415">
      <c r="A415" s="120"/>
      <c r="B415" s="120"/>
      <c r="C415" s="120"/>
      <c r="D415" s="120"/>
      <c r="E415" s="120"/>
      <c r="F415" s="120"/>
      <c r="G415" s="120"/>
      <c r="H415" s="120"/>
      <c r="I415" s="120"/>
      <c r="J415" s="120"/>
    </row>
    <row r="416">
      <c r="A416" s="120"/>
      <c r="B416" s="120"/>
      <c r="C416" s="120"/>
      <c r="D416" s="120"/>
      <c r="E416" s="120"/>
      <c r="F416" s="120"/>
      <c r="G416" s="120"/>
      <c r="H416" s="120"/>
      <c r="I416" s="120"/>
      <c r="J416" s="120"/>
    </row>
    <row r="417">
      <c r="A417" s="120"/>
      <c r="B417" s="120"/>
      <c r="C417" s="120"/>
      <c r="D417" s="120"/>
      <c r="E417" s="120"/>
      <c r="F417" s="120"/>
      <c r="G417" s="120"/>
      <c r="H417" s="120"/>
      <c r="I417" s="120"/>
      <c r="J417" s="120"/>
    </row>
    <row r="418">
      <c r="A418" s="120"/>
      <c r="B418" s="120"/>
      <c r="C418" s="120"/>
      <c r="D418" s="120"/>
      <c r="E418" s="120"/>
      <c r="F418" s="120"/>
      <c r="G418" s="120"/>
      <c r="H418" s="120"/>
      <c r="I418" s="120"/>
      <c r="J418" s="120"/>
    </row>
    <row r="419">
      <c r="A419" s="120"/>
      <c r="B419" s="120"/>
      <c r="C419" s="120"/>
      <c r="D419" s="120"/>
      <c r="E419" s="120"/>
      <c r="F419" s="120"/>
      <c r="G419" s="120"/>
      <c r="H419" s="120"/>
      <c r="I419" s="120"/>
      <c r="J419" s="120"/>
    </row>
    <row r="420">
      <c r="A420" s="120"/>
      <c r="B420" s="120"/>
      <c r="C420" s="120"/>
      <c r="D420" s="120"/>
      <c r="E420" s="120"/>
      <c r="F420" s="120"/>
      <c r="G420" s="120"/>
      <c r="H420" s="120"/>
      <c r="I420" s="120"/>
      <c r="J420" s="120"/>
    </row>
    <row r="421">
      <c r="A421" s="120"/>
      <c r="B421" s="120"/>
      <c r="C421" s="120"/>
      <c r="D421" s="120"/>
      <c r="E421" s="120"/>
      <c r="F421" s="120"/>
      <c r="G421" s="120"/>
      <c r="H421" s="120"/>
      <c r="I421" s="120"/>
      <c r="J421" s="120"/>
    </row>
    <row r="422">
      <c r="A422" s="120"/>
      <c r="B422" s="120"/>
      <c r="C422" s="120"/>
      <c r="D422" s="120"/>
      <c r="E422" s="120"/>
      <c r="F422" s="120"/>
      <c r="G422" s="120"/>
      <c r="H422" s="120"/>
      <c r="I422" s="120"/>
      <c r="J422" s="120"/>
    </row>
    <row r="423">
      <c r="A423" s="120"/>
      <c r="B423" s="120"/>
      <c r="C423" s="120"/>
      <c r="D423" s="120"/>
      <c r="E423" s="120"/>
      <c r="F423" s="120"/>
      <c r="G423" s="120"/>
      <c r="H423" s="120"/>
      <c r="I423" s="120"/>
      <c r="J423" s="120"/>
    </row>
    <row r="424">
      <c r="A424" s="120"/>
      <c r="B424" s="120"/>
      <c r="C424" s="120"/>
      <c r="D424" s="120"/>
      <c r="E424" s="120"/>
      <c r="F424" s="120"/>
      <c r="G424" s="120"/>
      <c r="H424" s="120"/>
      <c r="I424" s="120"/>
      <c r="J424" s="120"/>
    </row>
    <row r="425">
      <c r="A425" s="120"/>
      <c r="B425" s="120"/>
      <c r="C425" s="120"/>
      <c r="D425" s="120"/>
      <c r="E425" s="120"/>
      <c r="F425" s="120"/>
      <c r="G425" s="120"/>
      <c r="H425" s="120"/>
      <c r="I425" s="120"/>
      <c r="J425" s="120"/>
    </row>
    <row r="426">
      <c r="A426" s="120"/>
      <c r="B426" s="120"/>
      <c r="C426" s="120"/>
      <c r="D426" s="120"/>
      <c r="E426" s="120"/>
      <c r="F426" s="120"/>
      <c r="G426" s="120"/>
      <c r="H426" s="120"/>
      <c r="I426" s="120"/>
      <c r="J426" s="120"/>
    </row>
    <row r="427">
      <c r="A427" s="120"/>
      <c r="B427" s="120"/>
      <c r="C427" s="120"/>
      <c r="D427" s="120"/>
      <c r="E427" s="120"/>
      <c r="F427" s="120"/>
      <c r="G427" s="120"/>
      <c r="H427" s="120"/>
      <c r="I427" s="120"/>
      <c r="J427" s="120"/>
    </row>
    <row r="428">
      <c r="A428" s="120"/>
      <c r="B428" s="120"/>
      <c r="C428" s="120"/>
      <c r="D428" s="120"/>
      <c r="E428" s="120"/>
      <c r="F428" s="120"/>
      <c r="G428" s="120"/>
      <c r="H428" s="120"/>
      <c r="I428" s="120"/>
      <c r="J428" s="120"/>
    </row>
    <row r="429">
      <c r="A429" s="120"/>
      <c r="B429" s="120"/>
      <c r="C429" s="120"/>
      <c r="D429" s="120"/>
      <c r="E429" s="120"/>
      <c r="F429" s="120"/>
      <c r="G429" s="120"/>
      <c r="H429" s="120"/>
      <c r="I429" s="120"/>
      <c r="J429" s="120"/>
    </row>
    <row r="430">
      <c r="A430" s="120"/>
      <c r="B430" s="120"/>
      <c r="C430" s="120"/>
      <c r="D430" s="120"/>
      <c r="E430" s="120"/>
      <c r="F430" s="120"/>
      <c r="G430" s="120"/>
      <c r="H430" s="120"/>
      <c r="I430" s="120"/>
      <c r="J430" s="120"/>
    </row>
    <row r="431">
      <c r="A431" s="120"/>
      <c r="B431" s="120"/>
      <c r="C431" s="120"/>
      <c r="D431" s="120"/>
      <c r="E431" s="120"/>
      <c r="F431" s="120"/>
      <c r="G431" s="120"/>
      <c r="H431" s="120"/>
      <c r="I431" s="120"/>
      <c r="J431" s="120"/>
    </row>
    <row r="432">
      <c r="A432" s="120"/>
      <c r="B432" s="120"/>
      <c r="C432" s="120"/>
      <c r="D432" s="120"/>
      <c r="E432" s="120"/>
      <c r="F432" s="120"/>
      <c r="G432" s="120"/>
      <c r="H432" s="120"/>
      <c r="I432" s="120"/>
      <c r="J432" s="120"/>
    </row>
    <row r="433">
      <c r="A433" s="120"/>
      <c r="B433" s="120"/>
      <c r="C433" s="120"/>
      <c r="D433" s="120"/>
      <c r="E433" s="120"/>
      <c r="F433" s="120"/>
      <c r="G433" s="120"/>
      <c r="H433" s="120"/>
      <c r="I433" s="120"/>
      <c r="J433" s="120"/>
    </row>
    <row r="434">
      <c r="A434" s="120"/>
      <c r="B434" s="120"/>
      <c r="C434" s="120"/>
      <c r="D434" s="120"/>
      <c r="E434" s="120"/>
      <c r="F434" s="120"/>
      <c r="G434" s="120"/>
      <c r="H434" s="120"/>
      <c r="I434" s="120"/>
      <c r="J434" s="120"/>
    </row>
    <row r="435">
      <c r="A435" s="120"/>
      <c r="B435" s="120"/>
      <c r="C435" s="120"/>
      <c r="D435" s="120"/>
      <c r="E435" s="120"/>
      <c r="F435" s="120"/>
      <c r="G435" s="120"/>
      <c r="H435" s="120"/>
      <c r="I435" s="120"/>
      <c r="J435" s="120"/>
    </row>
    <row r="436">
      <c r="A436" s="120"/>
      <c r="B436" s="120"/>
      <c r="C436" s="120"/>
      <c r="D436" s="120"/>
      <c r="E436" s="120"/>
      <c r="F436" s="120"/>
      <c r="G436" s="120"/>
      <c r="H436" s="120"/>
      <c r="I436" s="120"/>
      <c r="J436" s="120"/>
    </row>
    <row r="437">
      <c r="A437" s="120"/>
      <c r="B437" s="120"/>
      <c r="C437" s="120"/>
      <c r="D437" s="120"/>
      <c r="E437" s="120"/>
      <c r="F437" s="120"/>
      <c r="G437" s="120"/>
      <c r="H437" s="120"/>
      <c r="I437" s="120"/>
      <c r="J437" s="120"/>
    </row>
    <row r="438">
      <c r="A438" s="120"/>
      <c r="B438" s="120"/>
      <c r="C438" s="120"/>
      <c r="D438" s="120"/>
      <c r="E438" s="120"/>
      <c r="F438" s="120"/>
      <c r="G438" s="120"/>
      <c r="H438" s="120"/>
      <c r="I438" s="120"/>
      <c r="J438" s="120"/>
    </row>
    <row r="439">
      <c r="A439" s="120"/>
      <c r="B439" s="120"/>
      <c r="C439" s="120"/>
      <c r="D439" s="120"/>
      <c r="E439" s="120"/>
      <c r="F439" s="120"/>
      <c r="G439" s="120"/>
      <c r="H439" s="120"/>
      <c r="I439" s="120"/>
      <c r="J439" s="120"/>
    </row>
    <row r="440">
      <c r="A440" s="120"/>
      <c r="B440" s="120"/>
      <c r="C440" s="120"/>
      <c r="D440" s="120"/>
      <c r="E440" s="120"/>
      <c r="F440" s="120"/>
      <c r="G440" s="120"/>
      <c r="H440" s="120"/>
      <c r="I440" s="120"/>
      <c r="J440" s="120"/>
    </row>
    <row r="441">
      <c r="A441" s="120"/>
      <c r="B441" s="120"/>
      <c r="C441" s="120"/>
      <c r="D441" s="120"/>
      <c r="E441" s="120"/>
      <c r="F441" s="120"/>
      <c r="G441" s="120"/>
      <c r="H441" s="120"/>
      <c r="I441" s="120"/>
      <c r="J441" s="120"/>
    </row>
    <row r="442">
      <c r="A442" s="120"/>
      <c r="B442" s="120"/>
      <c r="C442" s="120"/>
      <c r="D442" s="120"/>
      <c r="E442" s="120"/>
      <c r="F442" s="120"/>
      <c r="G442" s="120"/>
      <c r="H442" s="120"/>
      <c r="I442" s="120"/>
      <c r="J442" s="120"/>
    </row>
    <row r="443">
      <c r="A443" s="120"/>
      <c r="B443" s="120"/>
      <c r="C443" s="120"/>
      <c r="D443" s="120"/>
      <c r="E443" s="120"/>
      <c r="F443" s="120"/>
      <c r="G443" s="120"/>
      <c r="H443" s="120"/>
      <c r="I443" s="120"/>
      <c r="J443" s="120"/>
    </row>
    <row r="444">
      <c r="A444" s="120"/>
      <c r="B444" s="120"/>
      <c r="C444" s="120"/>
      <c r="D444" s="120"/>
      <c r="E444" s="120"/>
      <c r="F444" s="120"/>
      <c r="G444" s="120"/>
      <c r="H444" s="120"/>
      <c r="I444" s="120"/>
      <c r="J444" s="120"/>
    </row>
    <row r="445">
      <c r="A445" s="120"/>
      <c r="B445" s="120"/>
      <c r="C445" s="120"/>
      <c r="D445" s="120"/>
      <c r="E445" s="120"/>
      <c r="F445" s="120"/>
      <c r="G445" s="120"/>
      <c r="H445" s="120"/>
      <c r="I445" s="120"/>
      <c r="J445" s="120"/>
    </row>
    <row r="446">
      <c r="A446" s="120"/>
      <c r="B446" s="120"/>
      <c r="C446" s="120"/>
      <c r="D446" s="120"/>
      <c r="E446" s="120"/>
      <c r="F446" s="120"/>
      <c r="G446" s="120"/>
      <c r="H446" s="120"/>
      <c r="I446" s="120"/>
      <c r="J446" s="120"/>
    </row>
    <row r="447">
      <c r="A447" s="120"/>
      <c r="B447" s="120"/>
      <c r="C447" s="120"/>
      <c r="D447" s="120"/>
      <c r="E447" s="120"/>
      <c r="F447" s="120"/>
      <c r="G447" s="120"/>
      <c r="H447" s="120"/>
      <c r="I447" s="120"/>
      <c r="J447" s="120"/>
    </row>
    <row r="448">
      <c r="A448" s="120"/>
      <c r="B448" s="120"/>
      <c r="C448" s="120"/>
      <c r="D448" s="120"/>
      <c r="E448" s="120"/>
      <c r="F448" s="120"/>
      <c r="G448" s="120"/>
      <c r="H448" s="120"/>
      <c r="I448" s="120"/>
      <c r="J448" s="120"/>
    </row>
    <row r="449">
      <c r="A449" s="120"/>
      <c r="B449" s="120"/>
      <c r="C449" s="120"/>
      <c r="D449" s="120"/>
      <c r="E449" s="120"/>
      <c r="F449" s="120"/>
      <c r="G449" s="120"/>
      <c r="H449" s="120"/>
      <c r="I449" s="120"/>
      <c r="J449" s="120"/>
    </row>
    <row r="450">
      <c r="A450" s="120"/>
      <c r="B450" s="120"/>
      <c r="C450" s="120"/>
      <c r="D450" s="120"/>
      <c r="E450" s="120"/>
      <c r="F450" s="120"/>
      <c r="G450" s="120"/>
      <c r="H450" s="120"/>
      <c r="I450" s="120"/>
      <c r="J450" s="120"/>
    </row>
    <row r="451">
      <c r="A451" s="120"/>
      <c r="B451" s="120"/>
      <c r="C451" s="120"/>
      <c r="D451" s="120"/>
      <c r="E451" s="120"/>
      <c r="F451" s="120"/>
      <c r="G451" s="120"/>
      <c r="H451" s="120"/>
      <c r="I451" s="120"/>
      <c r="J451" s="120"/>
    </row>
    <row r="452">
      <c r="A452" s="120"/>
      <c r="B452" s="120"/>
      <c r="C452" s="120"/>
      <c r="D452" s="120"/>
      <c r="E452" s="120"/>
      <c r="F452" s="120"/>
      <c r="G452" s="120"/>
      <c r="H452" s="120"/>
      <c r="I452" s="120"/>
      <c r="J452" s="120"/>
    </row>
    <row r="453">
      <c r="A453" s="120"/>
      <c r="B453" s="120"/>
      <c r="C453" s="120"/>
      <c r="D453" s="120"/>
      <c r="E453" s="120"/>
      <c r="F453" s="120"/>
      <c r="G453" s="120"/>
      <c r="H453" s="120"/>
      <c r="I453" s="120"/>
      <c r="J453" s="120"/>
    </row>
    <row r="454">
      <c r="A454" s="120"/>
      <c r="B454" s="120"/>
      <c r="C454" s="120"/>
      <c r="D454" s="120"/>
      <c r="E454" s="120"/>
      <c r="F454" s="120"/>
      <c r="G454" s="120"/>
      <c r="H454" s="120"/>
      <c r="I454" s="120"/>
      <c r="J454" s="120"/>
    </row>
    <row r="455">
      <c r="A455" s="120"/>
      <c r="B455" s="120"/>
      <c r="C455" s="120"/>
      <c r="D455" s="120"/>
      <c r="E455" s="120"/>
      <c r="F455" s="120"/>
      <c r="G455" s="120"/>
      <c r="H455" s="120"/>
      <c r="I455" s="120"/>
      <c r="J455" s="120"/>
    </row>
    <row r="456">
      <c r="A456" s="120"/>
      <c r="B456" s="120"/>
      <c r="C456" s="120"/>
      <c r="D456" s="120"/>
      <c r="E456" s="120"/>
      <c r="F456" s="120"/>
      <c r="G456" s="120"/>
      <c r="H456" s="120"/>
      <c r="I456" s="120"/>
      <c r="J456" s="120"/>
    </row>
    <row r="457">
      <c r="A457" s="120"/>
      <c r="B457" s="120"/>
      <c r="C457" s="120"/>
      <c r="D457" s="120"/>
      <c r="E457" s="120"/>
      <c r="F457" s="120"/>
      <c r="G457" s="120"/>
      <c r="H457" s="120"/>
      <c r="I457" s="120"/>
      <c r="J457" s="120"/>
    </row>
    <row r="458">
      <c r="A458" s="120"/>
      <c r="B458" s="120"/>
      <c r="C458" s="120"/>
      <c r="D458" s="120"/>
      <c r="E458" s="120"/>
      <c r="F458" s="120"/>
      <c r="G458" s="120"/>
      <c r="H458" s="120"/>
      <c r="I458" s="120"/>
      <c r="J458" s="120"/>
    </row>
    <row r="459">
      <c r="A459" s="120"/>
      <c r="B459" s="120"/>
      <c r="C459" s="120"/>
      <c r="D459" s="120"/>
      <c r="E459" s="120"/>
      <c r="F459" s="120"/>
      <c r="G459" s="120"/>
      <c r="H459" s="120"/>
      <c r="I459" s="120"/>
      <c r="J459" s="120"/>
    </row>
    <row r="460">
      <c r="A460" s="120"/>
      <c r="B460" s="120"/>
      <c r="C460" s="120"/>
      <c r="D460" s="120"/>
      <c r="E460" s="120"/>
      <c r="F460" s="120"/>
      <c r="G460" s="120"/>
      <c r="H460" s="120"/>
      <c r="I460" s="120"/>
      <c r="J460" s="120"/>
    </row>
    <row r="461">
      <c r="A461" s="120"/>
      <c r="B461" s="120"/>
      <c r="C461" s="120"/>
      <c r="D461" s="120"/>
      <c r="E461" s="120"/>
      <c r="F461" s="120"/>
      <c r="G461" s="120"/>
      <c r="H461" s="120"/>
      <c r="I461" s="120"/>
      <c r="J461" s="120"/>
    </row>
    <row r="462">
      <c r="A462" s="120"/>
      <c r="B462" s="120"/>
      <c r="C462" s="120"/>
      <c r="D462" s="120"/>
      <c r="E462" s="120"/>
      <c r="F462" s="120"/>
      <c r="G462" s="120"/>
      <c r="H462" s="120"/>
      <c r="I462" s="120"/>
      <c r="J462" s="120"/>
    </row>
    <row r="463">
      <c r="A463" s="120"/>
      <c r="B463" s="120"/>
      <c r="C463" s="120"/>
      <c r="D463" s="120"/>
      <c r="E463" s="120"/>
      <c r="F463" s="120"/>
      <c r="G463" s="120"/>
      <c r="H463" s="120"/>
      <c r="I463" s="120"/>
      <c r="J463" s="120"/>
    </row>
    <row r="464">
      <c r="A464" s="120"/>
      <c r="B464" s="120"/>
      <c r="C464" s="120"/>
      <c r="D464" s="120"/>
      <c r="E464" s="120"/>
      <c r="F464" s="120"/>
      <c r="G464" s="120"/>
      <c r="H464" s="120"/>
      <c r="I464" s="120"/>
      <c r="J464" s="120"/>
    </row>
    <row r="465">
      <c r="A465" s="120"/>
      <c r="B465" s="120"/>
      <c r="C465" s="120"/>
      <c r="D465" s="120"/>
      <c r="E465" s="120"/>
      <c r="F465" s="120"/>
      <c r="G465" s="120"/>
      <c r="H465" s="120"/>
      <c r="I465" s="120"/>
      <c r="J465" s="120"/>
    </row>
    <row r="466">
      <c r="A466" s="120"/>
      <c r="B466" s="120"/>
      <c r="C466" s="120"/>
      <c r="D466" s="120"/>
      <c r="E466" s="120"/>
      <c r="F466" s="120"/>
      <c r="G466" s="120"/>
      <c r="H466" s="120"/>
      <c r="I466" s="120"/>
      <c r="J466" s="120"/>
    </row>
    <row r="467">
      <c r="A467" s="120"/>
      <c r="B467" s="120"/>
      <c r="C467" s="120"/>
      <c r="D467" s="120"/>
      <c r="E467" s="120"/>
      <c r="F467" s="120"/>
      <c r="G467" s="120"/>
      <c r="H467" s="120"/>
      <c r="I467" s="120"/>
      <c r="J467" s="120"/>
    </row>
    <row r="468">
      <c r="A468" s="120"/>
      <c r="B468" s="120"/>
      <c r="C468" s="120"/>
      <c r="D468" s="120"/>
      <c r="E468" s="120"/>
      <c r="F468" s="120"/>
      <c r="G468" s="120"/>
      <c r="H468" s="120"/>
      <c r="I468" s="120"/>
      <c r="J468" s="120"/>
    </row>
    <row r="469">
      <c r="A469" s="120"/>
      <c r="B469" s="120"/>
      <c r="C469" s="120"/>
      <c r="D469" s="120"/>
      <c r="E469" s="120"/>
      <c r="F469" s="120"/>
      <c r="G469" s="120"/>
      <c r="H469" s="120"/>
      <c r="I469" s="120"/>
      <c r="J469" s="120"/>
    </row>
    <row r="470">
      <c r="A470" s="120"/>
      <c r="B470" s="120"/>
      <c r="C470" s="120"/>
      <c r="D470" s="120"/>
      <c r="E470" s="120"/>
      <c r="F470" s="120"/>
      <c r="G470" s="120"/>
      <c r="H470" s="120"/>
      <c r="I470" s="120"/>
      <c r="J470" s="120"/>
    </row>
    <row r="471">
      <c r="A471" s="120"/>
      <c r="B471" s="120"/>
      <c r="C471" s="120"/>
      <c r="D471" s="120"/>
      <c r="E471" s="120"/>
      <c r="F471" s="120"/>
      <c r="G471" s="120"/>
      <c r="H471" s="120"/>
      <c r="I471" s="120"/>
      <c r="J471" s="120"/>
    </row>
    <row r="472">
      <c r="A472" s="120"/>
      <c r="B472" s="120"/>
      <c r="C472" s="120"/>
      <c r="D472" s="120"/>
      <c r="E472" s="120"/>
      <c r="F472" s="120"/>
      <c r="G472" s="120"/>
      <c r="H472" s="120"/>
      <c r="I472" s="120"/>
      <c r="J472" s="120"/>
    </row>
    <row r="473">
      <c r="A473" s="120"/>
      <c r="B473" s="120"/>
      <c r="C473" s="120"/>
      <c r="D473" s="120"/>
      <c r="E473" s="120"/>
      <c r="F473" s="120"/>
      <c r="G473" s="120"/>
      <c r="H473" s="120"/>
      <c r="I473" s="120"/>
      <c r="J473" s="120"/>
    </row>
    <row r="474">
      <c r="A474" s="120"/>
      <c r="B474" s="120"/>
      <c r="C474" s="120"/>
      <c r="D474" s="120"/>
      <c r="E474" s="120"/>
      <c r="F474" s="120"/>
      <c r="G474" s="120"/>
      <c r="H474" s="120"/>
      <c r="I474" s="120"/>
      <c r="J474" s="120"/>
    </row>
    <row r="475">
      <c r="A475" s="120"/>
      <c r="B475" s="120"/>
      <c r="C475" s="120"/>
      <c r="D475" s="120"/>
      <c r="E475" s="120"/>
      <c r="F475" s="120"/>
      <c r="G475" s="120"/>
      <c r="H475" s="120"/>
      <c r="I475" s="120"/>
      <c r="J475" s="120"/>
    </row>
    <row r="476">
      <c r="A476" s="120"/>
      <c r="B476" s="120"/>
      <c r="C476" s="120"/>
      <c r="D476" s="120"/>
      <c r="E476" s="120"/>
      <c r="F476" s="120"/>
      <c r="G476" s="120"/>
      <c r="H476" s="120"/>
      <c r="I476" s="120"/>
      <c r="J476" s="120"/>
    </row>
    <row r="477">
      <c r="A477" s="120"/>
      <c r="B477" s="120"/>
      <c r="C477" s="120"/>
      <c r="D477" s="120"/>
      <c r="E477" s="120"/>
      <c r="F477" s="120"/>
      <c r="G477" s="120"/>
      <c r="H477" s="120"/>
      <c r="I477" s="120"/>
      <c r="J477" s="120"/>
    </row>
    <row r="478">
      <c r="A478" s="120"/>
      <c r="B478" s="120"/>
      <c r="C478" s="120"/>
      <c r="D478" s="120"/>
      <c r="E478" s="120"/>
      <c r="F478" s="120"/>
      <c r="G478" s="120"/>
      <c r="H478" s="120"/>
      <c r="I478" s="120"/>
      <c r="J478" s="120"/>
    </row>
    <row r="479">
      <c r="A479" s="120"/>
      <c r="B479" s="120"/>
      <c r="C479" s="120"/>
      <c r="D479" s="120"/>
      <c r="E479" s="120"/>
      <c r="F479" s="120"/>
      <c r="G479" s="120"/>
      <c r="H479" s="120"/>
      <c r="I479" s="120"/>
      <c r="J479" s="120"/>
    </row>
    <row r="480">
      <c r="A480" s="120"/>
      <c r="B480" s="120"/>
      <c r="C480" s="120"/>
      <c r="D480" s="120"/>
      <c r="E480" s="120"/>
      <c r="F480" s="120"/>
      <c r="G480" s="120"/>
      <c r="H480" s="120"/>
      <c r="I480" s="120"/>
      <c r="J480" s="120"/>
    </row>
    <row r="481">
      <c r="A481" s="120"/>
      <c r="B481" s="120"/>
      <c r="C481" s="120"/>
      <c r="D481" s="120"/>
      <c r="E481" s="120"/>
      <c r="F481" s="120"/>
      <c r="G481" s="120"/>
      <c r="H481" s="120"/>
      <c r="I481" s="120"/>
      <c r="J481" s="120"/>
    </row>
    <row r="482">
      <c r="A482" s="120"/>
      <c r="B482" s="120"/>
      <c r="C482" s="120"/>
      <c r="D482" s="120"/>
      <c r="E482" s="120"/>
      <c r="F482" s="120"/>
      <c r="G482" s="120"/>
      <c r="H482" s="120"/>
      <c r="I482" s="120"/>
      <c r="J482" s="120"/>
    </row>
    <row r="483">
      <c r="A483" s="120"/>
      <c r="B483" s="120"/>
      <c r="C483" s="120"/>
      <c r="D483" s="120"/>
      <c r="E483" s="120"/>
      <c r="F483" s="120"/>
      <c r="G483" s="120"/>
      <c r="H483" s="120"/>
      <c r="I483" s="120"/>
      <c r="J483" s="120"/>
    </row>
    <row r="484">
      <c r="A484" s="120"/>
      <c r="B484" s="120"/>
      <c r="C484" s="120"/>
      <c r="D484" s="120"/>
      <c r="E484" s="120"/>
      <c r="F484" s="120"/>
      <c r="G484" s="120"/>
      <c r="H484" s="120"/>
      <c r="I484" s="120"/>
      <c r="J484" s="120"/>
    </row>
    <row r="485">
      <c r="A485" s="120"/>
      <c r="B485" s="120"/>
      <c r="C485" s="120"/>
      <c r="D485" s="120"/>
      <c r="E485" s="120"/>
      <c r="F485" s="120"/>
      <c r="G485" s="120"/>
      <c r="H485" s="120"/>
      <c r="I485" s="120"/>
      <c r="J485" s="120"/>
    </row>
    <row r="486">
      <c r="A486" s="120"/>
      <c r="B486" s="120"/>
      <c r="C486" s="120"/>
      <c r="D486" s="120"/>
      <c r="E486" s="120"/>
      <c r="F486" s="120"/>
      <c r="G486" s="120"/>
      <c r="H486" s="120"/>
      <c r="I486" s="120"/>
      <c r="J486" s="120"/>
    </row>
    <row r="487">
      <c r="A487" s="120"/>
      <c r="B487" s="120"/>
      <c r="C487" s="120"/>
      <c r="D487" s="120"/>
      <c r="E487" s="120"/>
      <c r="F487" s="120"/>
      <c r="G487" s="120"/>
      <c r="H487" s="120"/>
      <c r="I487" s="120"/>
      <c r="J487" s="120"/>
    </row>
    <row r="488">
      <c r="A488" s="120"/>
      <c r="B488" s="120"/>
      <c r="C488" s="120"/>
      <c r="D488" s="120"/>
      <c r="E488" s="120"/>
      <c r="F488" s="120"/>
      <c r="G488" s="120"/>
      <c r="H488" s="120"/>
      <c r="I488" s="120"/>
      <c r="J488" s="120"/>
    </row>
    <row r="489">
      <c r="A489" s="120"/>
      <c r="B489" s="120"/>
      <c r="C489" s="120"/>
      <c r="D489" s="120"/>
      <c r="E489" s="120"/>
      <c r="F489" s="120"/>
      <c r="G489" s="120"/>
      <c r="H489" s="120"/>
      <c r="I489" s="120"/>
      <c r="J489" s="120"/>
    </row>
    <row r="490">
      <c r="A490" s="120"/>
      <c r="B490" s="120"/>
      <c r="C490" s="120"/>
      <c r="D490" s="120"/>
      <c r="E490" s="120"/>
      <c r="F490" s="120"/>
      <c r="G490" s="120"/>
      <c r="H490" s="120"/>
      <c r="I490" s="120"/>
      <c r="J490" s="120"/>
    </row>
    <row r="491">
      <c r="A491" s="120"/>
      <c r="B491" s="120"/>
      <c r="C491" s="120"/>
      <c r="D491" s="120"/>
      <c r="E491" s="120"/>
      <c r="F491" s="120"/>
      <c r="G491" s="120"/>
      <c r="H491" s="120"/>
      <c r="I491" s="120"/>
      <c r="J491" s="120"/>
    </row>
    <row r="492">
      <c r="A492" s="120"/>
      <c r="B492" s="120"/>
      <c r="C492" s="120"/>
      <c r="D492" s="120"/>
      <c r="E492" s="120"/>
      <c r="F492" s="120"/>
      <c r="G492" s="120"/>
      <c r="H492" s="120"/>
      <c r="I492" s="120"/>
      <c r="J492" s="120"/>
    </row>
    <row r="493">
      <c r="A493" s="120"/>
      <c r="B493" s="120"/>
      <c r="C493" s="120"/>
      <c r="D493" s="120"/>
      <c r="E493" s="120"/>
      <c r="F493" s="120"/>
      <c r="G493" s="120"/>
      <c r="H493" s="120"/>
      <c r="I493" s="120"/>
      <c r="J493" s="120"/>
    </row>
    <row r="494">
      <c r="A494" s="120"/>
      <c r="B494" s="120"/>
      <c r="C494" s="120"/>
      <c r="D494" s="120"/>
      <c r="E494" s="120"/>
      <c r="F494" s="120"/>
      <c r="G494" s="120"/>
      <c r="H494" s="120"/>
      <c r="I494" s="120"/>
      <c r="J494" s="120"/>
    </row>
    <row r="495">
      <c r="A495" s="120"/>
      <c r="B495" s="120"/>
      <c r="C495" s="120"/>
      <c r="D495" s="120"/>
      <c r="E495" s="120"/>
      <c r="F495" s="120"/>
      <c r="G495" s="120"/>
      <c r="H495" s="120"/>
      <c r="I495" s="120"/>
      <c r="J495" s="120"/>
    </row>
    <row r="496">
      <c r="A496" s="120"/>
      <c r="B496" s="120"/>
      <c r="C496" s="120"/>
      <c r="D496" s="120"/>
      <c r="E496" s="120"/>
      <c r="F496" s="120"/>
      <c r="G496" s="120"/>
      <c r="H496" s="120"/>
      <c r="I496" s="120"/>
      <c r="J496" s="120"/>
    </row>
    <row r="497">
      <c r="A497" s="120"/>
      <c r="B497" s="120"/>
      <c r="C497" s="120"/>
      <c r="D497" s="120"/>
      <c r="E497" s="120"/>
      <c r="F497" s="120"/>
      <c r="G497" s="120"/>
      <c r="H497" s="120"/>
      <c r="I497" s="120"/>
      <c r="J497" s="120"/>
    </row>
    <row r="498">
      <c r="A498" s="120"/>
      <c r="B498" s="120"/>
      <c r="C498" s="120"/>
      <c r="D498" s="120"/>
      <c r="E498" s="120"/>
      <c r="F498" s="120"/>
      <c r="G498" s="120"/>
      <c r="H498" s="120"/>
      <c r="I498" s="120"/>
      <c r="J498" s="120"/>
    </row>
    <row r="499">
      <c r="A499" s="120"/>
      <c r="B499" s="120"/>
      <c r="C499" s="120"/>
      <c r="D499" s="120"/>
      <c r="E499" s="120"/>
      <c r="F499" s="120"/>
      <c r="G499" s="120"/>
      <c r="H499" s="120"/>
      <c r="I499" s="120"/>
      <c r="J499" s="120"/>
    </row>
    <row r="500">
      <c r="A500" s="120"/>
      <c r="B500" s="120"/>
      <c r="C500" s="120"/>
      <c r="D500" s="120"/>
      <c r="E500" s="120"/>
      <c r="F500" s="120"/>
      <c r="G500" s="120"/>
      <c r="H500" s="120"/>
      <c r="I500" s="120"/>
      <c r="J500" s="120"/>
    </row>
    <row r="501">
      <c r="A501" s="120"/>
      <c r="B501" s="120"/>
      <c r="C501" s="120"/>
      <c r="D501" s="120"/>
      <c r="E501" s="120"/>
      <c r="F501" s="120"/>
      <c r="G501" s="120"/>
      <c r="H501" s="120"/>
      <c r="I501" s="120"/>
      <c r="J501" s="120"/>
    </row>
    <row r="502">
      <c r="A502" s="120"/>
      <c r="B502" s="120"/>
      <c r="C502" s="120"/>
      <c r="D502" s="120"/>
      <c r="E502" s="120"/>
      <c r="F502" s="120"/>
      <c r="G502" s="120"/>
      <c r="H502" s="120"/>
      <c r="I502" s="120"/>
      <c r="J502" s="120"/>
    </row>
    <row r="503">
      <c r="A503" s="120"/>
      <c r="B503" s="120"/>
      <c r="C503" s="120"/>
      <c r="D503" s="120"/>
      <c r="E503" s="120"/>
      <c r="F503" s="120"/>
      <c r="G503" s="120"/>
      <c r="H503" s="120"/>
      <c r="I503" s="120"/>
      <c r="J503" s="120"/>
    </row>
    <row r="504">
      <c r="A504" s="120"/>
      <c r="B504" s="120"/>
      <c r="C504" s="120"/>
      <c r="D504" s="120"/>
      <c r="E504" s="120"/>
      <c r="F504" s="120"/>
      <c r="G504" s="120"/>
      <c r="H504" s="120"/>
      <c r="I504" s="120"/>
      <c r="J504" s="120"/>
    </row>
    <row r="505">
      <c r="A505" s="120"/>
      <c r="B505" s="120"/>
      <c r="C505" s="120"/>
      <c r="D505" s="120"/>
      <c r="E505" s="120"/>
      <c r="F505" s="120"/>
      <c r="G505" s="120"/>
      <c r="H505" s="120"/>
      <c r="I505" s="120"/>
      <c r="J505" s="120"/>
    </row>
    <row r="506">
      <c r="A506" s="120"/>
      <c r="B506" s="120"/>
      <c r="C506" s="120"/>
      <c r="D506" s="120"/>
      <c r="E506" s="120"/>
      <c r="F506" s="120"/>
      <c r="G506" s="120"/>
      <c r="H506" s="120"/>
      <c r="I506" s="120"/>
      <c r="J506" s="120"/>
    </row>
    <row r="507">
      <c r="A507" s="120"/>
      <c r="B507" s="120"/>
      <c r="C507" s="120"/>
      <c r="D507" s="120"/>
      <c r="E507" s="120"/>
      <c r="F507" s="120"/>
      <c r="G507" s="120"/>
      <c r="H507" s="120"/>
      <c r="I507" s="120"/>
      <c r="J507" s="120"/>
    </row>
    <row r="508">
      <c r="A508" s="120"/>
      <c r="B508" s="120"/>
      <c r="C508" s="120"/>
      <c r="D508" s="120"/>
      <c r="E508" s="120"/>
      <c r="F508" s="120"/>
      <c r="G508" s="120"/>
      <c r="H508" s="120"/>
      <c r="I508" s="120"/>
      <c r="J508" s="120"/>
    </row>
    <row r="509">
      <c r="A509" s="120"/>
      <c r="B509" s="120"/>
      <c r="C509" s="120"/>
      <c r="D509" s="120"/>
      <c r="E509" s="120"/>
      <c r="F509" s="120"/>
      <c r="G509" s="120"/>
      <c r="H509" s="120"/>
      <c r="I509" s="120"/>
      <c r="J509" s="120"/>
    </row>
    <row r="510">
      <c r="A510" s="120"/>
      <c r="B510" s="120"/>
      <c r="C510" s="120"/>
      <c r="D510" s="120"/>
      <c r="E510" s="120"/>
      <c r="F510" s="120"/>
      <c r="G510" s="120"/>
      <c r="H510" s="120"/>
      <c r="I510" s="120"/>
      <c r="J510" s="120"/>
    </row>
    <row r="511">
      <c r="A511" s="120"/>
      <c r="B511" s="120"/>
      <c r="C511" s="120"/>
      <c r="D511" s="120"/>
      <c r="E511" s="120"/>
      <c r="F511" s="120"/>
      <c r="G511" s="120"/>
      <c r="H511" s="120"/>
      <c r="I511" s="120"/>
      <c r="J511" s="120"/>
    </row>
    <row r="512">
      <c r="A512" s="120"/>
      <c r="B512" s="120"/>
      <c r="C512" s="120"/>
      <c r="D512" s="120"/>
      <c r="E512" s="120"/>
      <c r="F512" s="120"/>
      <c r="G512" s="120"/>
      <c r="H512" s="120"/>
      <c r="I512" s="120"/>
      <c r="J512" s="120"/>
    </row>
    <row r="513">
      <c r="A513" s="120"/>
      <c r="B513" s="120"/>
      <c r="C513" s="120"/>
      <c r="D513" s="120"/>
      <c r="E513" s="120"/>
      <c r="F513" s="120"/>
      <c r="G513" s="120"/>
      <c r="H513" s="120"/>
      <c r="I513" s="120"/>
      <c r="J513" s="120"/>
    </row>
    <row r="514">
      <c r="A514" s="120"/>
      <c r="B514" s="120"/>
      <c r="C514" s="120"/>
      <c r="D514" s="120"/>
      <c r="E514" s="120"/>
      <c r="F514" s="120"/>
      <c r="G514" s="120"/>
      <c r="H514" s="120"/>
      <c r="I514" s="120"/>
      <c r="J514" s="120"/>
    </row>
    <row r="515">
      <c r="A515" s="120"/>
      <c r="B515" s="120"/>
      <c r="C515" s="120"/>
      <c r="D515" s="120"/>
      <c r="E515" s="120"/>
      <c r="F515" s="120"/>
      <c r="G515" s="120"/>
      <c r="H515" s="120"/>
      <c r="I515" s="120"/>
      <c r="J515" s="120"/>
    </row>
    <row r="516">
      <c r="A516" s="120"/>
      <c r="B516" s="120"/>
      <c r="C516" s="120"/>
      <c r="D516" s="120"/>
      <c r="E516" s="120"/>
      <c r="F516" s="120"/>
      <c r="G516" s="120"/>
      <c r="H516" s="120"/>
      <c r="I516" s="120"/>
      <c r="J516" s="120"/>
    </row>
    <row r="517">
      <c r="A517" s="120"/>
      <c r="B517" s="120"/>
      <c r="C517" s="120"/>
      <c r="D517" s="120"/>
      <c r="E517" s="120"/>
      <c r="F517" s="120"/>
      <c r="G517" s="120"/>
      <c r="H517" s="120"/>
      <c r="I517" s="120"/>
      <c r="J517" s="120"/>
    </row>
    <row r="518">
      <c r="A518" s="120"/>
      <c r="B518" s="120"/>
      <c r="C518" s="120"/>
      <c r="D518" s="120"/>
      <c r="E518" s="120"/>
      <c r="F518" s="120"/>
      <c r="G518" s="120"/>
      <c r="H518" s="120"/>
      <c r="I518" s="120"/>
      <c r="J518" s="120"/>
    </row>
    <row r="519">
      <c r="A519" s="120"/>
      <c r="B519" s="120"/>
      <c r="C519" s="120"/>
      <c r="D519" s="120"/>
      <c r="E519" s="120"/>
      <c r="F519" s="120"/>
      <c r="G519" s="120"/>
      <c r="H519" s="120"/>
      <c r="I519" s="120"/>
      <c r="J519" s="120"/>
    </row>
    <row r="520">
      <c r="A520" s="120"/>
      <c r="B520" s="120"/>
      <c r="C520" s="120"/>
      <c r="D520" s="120"/>
      <c r="E520" s="120"/>
      <c r="F520" s="120"/>
      <c r="G520" s="120"/>
      <c r="H520" s="120"/>
      <c r="I520" s="120"/>
      <c r="J520" s="120"/>
    </row>
    <row r="521">
      <c r="A521" s="120"/>
      <c r="B521" s="120"/>
      <c r="C521" s="120"/>
      <c r="D521" s="120"/>
      <c r="E521" s="120"/>
      <c r="F521" s="120"/>
      <c r="G521" s="120"/>
      <c r="H521" s="120"/>
      <c r="I521" s="120"/>
      <c r="J521" s="120"/>
    </row>
    <row r="522">
      <c r="A522" s="120"/>
      <c r="B522" s="120"/>
      <c r="C522" s="120"/>
      <c r="D522" s="120"/>
      <c r="E522" s="120"/>
      <c r="F522" s="120"/>
      <c r="G522" s="120"/>
      <c r="H522" s="120"/>
      <c r="I522" s="120"/>
      <c r="J522" s="120"/>
    </row>
    <row r="523">
      <c r="A523" s="120"/>
      <c r="B523" s="120"/>
      <c r="C523" s="120"/>
      <c r="D523" s="120"/>
      <c r="E523" s="120"/>
      <c r="F523" s="120"/>
      <c r="G523" s="120"/>
      <c r="H523" s="120"/>
      <c r="I523" s="120"/>
      <c r="J523" s="120"/>
    </row>
    <row r="524">
      <c r="A524" s="120"/>
      <c r="B524" s="120"/>
      <c r="C524" s="120"/>
      <c r="D524" s="120"/>
      <c r="E524" s="120"/>
      <c r="F524" s="120"/>
      <c r="G524" s="120"/>
      <c r="H524" s="120"/>
      <c r="I524" s="120"/>
      <c r="J524" s="120"/>
    </row>
    <row r="525">
      <c r="A525" s="120"/>
      <c r="B525" s="120"/>
      <c r="C525" s="120"/>
      <c r="D525" s="120"/>
      <c r="E525" s="120"/>
      <c r="F525" s="120"/>
      <c r="G525" s="120"/>
      <c r="H525" s="120"/>
      <c r="I525" s="120"/>
      <c r="J525" s="120"/>
    </row>
    <row r="526">
      <c r="A526" s="120"/>
      <c r="B526" s="120"/>
      <c r="C526" s="120"/>
      <c r="D526" s="120"/>
      <c r="E526" s="120"/>
      <c r="F526" s="120"/>
      <c r="G526" s="120"/>
      <c r="H526" s="120"/>
      <c r="I526" s="120"/>
      <c r="J526" s="120"/>
    </row>
    <row r="527">
      <c r="A527" s="120"/>
      <c r="B527" s="120"/>
      <c r="C527" s="120"/>
      <c r="D527" s="120"/>
      <c r="E527" s="120"/>
      <c r="F527" s="120"/>
      <c r="G527" s="120"/>
      <c r="H527" s="120"/>
      <c r="I527" s="120"/>
      <c r="J527" s="120"/>
    </row>
    <row r="528">
      <c r="A528" s="120"/>
      <c r="B528" s="120"/>
      <c r="C528" s="120"/>
      <c r="D528" s="120"/>
      <c r="E528" s="120"/>
      <c r="F528" s="120"/>
      <c r="G528" s="120"/>
      <c r="H528" s="120"/>
      <c r="I528" s="120"/>
      <c r="J528" s="120"/>
    </row>
    <row r="529">
      <c r="A529" s="120"/>
      <c r="B529" s="120"/>
      <c r="C529" s="120"/>
      <c r="D529" s="120"/>
      <c r="E529" s="120"/>
      <c r="F529" s="120"/>
      <c r="G529" s="120"/>
      <c r="H529" s="120"/>
      <c r="I529" s="120"/>
      <c r="J529" s="120"/>
    </row>
    <row r="530">
      <c r="A530" s="120"/>
      <c r="B530" s="120"/>
      <c r="C530" s="120"/>
      <c r="D530" s="120"/>
      <c r="E530" s="120"/>
      <c r="F530" s="120"/>
      <c r="G530" s="120"/>
      <c r="H530" s="120"/>
      <c r="I530" s="120"/>
      <c r="J530" s="120"/>
    </row>
    <row r="531">
      <c r="A531" s="120"/>
      <c r="B531" s="120"/>
      <c r="C531" s="120"/>
      <c r="D531" s="120"/>
      <c r="E531" s="120"/>
      <c r="F531" s="120"/>
      <c r="G531" s="120"/>
      <c r="H531" s="120"/>
      <c r="I531" s="120"/>
      <c r="J531" s="120"/>
    </row>
    <row r="532">
      <c r="A532" s="120"/>
      <c r="B532" s="120"/>
      <c r="C532" s="120"/>
      <c r="D532" s="120"/>
      <c r="E532" s="120"/>
      <c r="F532" s="120"/>
      <c r="G532" s="120"/>
      <c r="H532" s="120"/>
      <c r="I532" s="120"/>
      <c r="J532" s="120"/>
    </row>
    <row r="533">
      <c r="A533" s="120"/>
      <c r="B533" s="120"/>
      <c r="C533" s="120"/>
      <c r="D533" s="120"/>
      <c r="E533" s="120"/>
      <c r="F533" s="120"/>
      <c r="G533" s="120"/>
      <c r="H533" s="120"/>
      <c r="I533" s="120"/>
      <c r="J533" s="120"/>
    </row>
    <row r="534">
      <c r="A534" s="120"/>
      <c r="B534" s="120"/>
      <c r="C534" s="120"/>
      <c r="D534" s="120"/>
      <c r="E534" s="120"/>
      <c r="F534" s="120"/>
      <c r="G534" s="120"/>
      <c r="H534" s="120"/>
      <c r="I534" s="120"/>
      <c r="J534" s="120"/>
    </row>
    <row r="535">
      <c r="A535" s="120"/>
      <c r="B535" s="120"/>
      <c r="C535" s="120"/>
      <c r="D535" s="120"/>
      <c r="E535" s="120"/>
      <c r="F535" s="120"/>
      <c r="G535" s="120"/>
      <c r="H535" s="120"/>
      <c r="I535" s="120"/>
      <c r="J535" s="120"/>
    </row>
    <row r="536">
      <c r="A536" s="120"/>
      <c r="B536" s="120"/>
      <c r="C536" s="120"/>
      <c r="D536" s="120"/>
      <c r="E536" s="120"/>
      <c r="F536" s="120"/>
      <c r="G536" s="120"/>
      <c r="H536" s="120"/>
      <c r="I536" s="120"/>
      <c r="J536" s="120"/>
    </row>
    <row r="537">
      <c r="A537" s="120"/>
      <c r="B537" s="120"/>
      <c r="C537" s="120"/>
      <c r="D537" s="120"/>
      <c r="E537" s="120"/>
      <c r="F537" s="120"/>
      <c r="G537" s="120"/>
      <c r="H537" s="120"/>
      <c r="I537" s="120"/>
      <c r="J537" s="120"/>
    </row>
    <row r="538">
      <c r="A538" s="120"/>
      <c r="B538" s="120"/>
      <c r="C538" s="120"/>
      <c r="D538" s="120"/>
      <c r="E538" s="120"/>
      <c r="F538" s="120"/>
      <c r="G538" s="120"/>
      <c r="H538" s="120"/>
      <c r="I538" s="120"/>
      <c r="J538" s="120"/>
    </row>
    <row r="539">
      <c r="A539" s="120"/>
      <c r="B539" s="120"/>
      <c r="C539" s="120"/>
      <c r="D539" s="120"/>
      <c r="E539" s="120"/>
      <c r="F539" s="120"/>
      <c r="G539" s="120"/>
      <c r="H539" s="120"/>
      <c r="I539" s="120"/>
      <c r="J539" s="120"/>
    </row>
    <row r="540">
      <c r="A540" s="120"/>
      <c r="B540" s="120"/>
      <c r="C540" s="120"/>
      <c r="D540" s="120"/>
      <c r="E540" s="120"/>
      <c r="F540" s="120"/>
      <c r="G540" s="120"/>
      <c r="H540" s="120"/>
      <c r="I540" s="120"/>
      <c r="J540" s="120"/>
    </row>
    <row r="541">
      <c r="A541" s="120"/>
      <c r="B541" s="120"/>
      <c r="C541" s="120"/>
      <c r="D541" s="120"/>
      <c r="E541" s="120"/>
      <c r="F541" s="120"/>
      <c r="G541" s="120"/>
      <c r="H541" s="120"/>
      <c r="I541" s="120"/>
      <c r="J541" s="120"/>
    </row>
    <row r="542">
      <c r="A542" s="120"/>
      <c r="B542" s="120"/>
      <c r="C542" s="120"/>
      <c r="D542" s="120"/>
      <c r="E542" s="120"/>
      <c r="F542" s="120"/>
      <c r="G542" s="120"/>
      <c r="H542" s="120"/>
      <c r="I542" s="120"/>
      <c r="J542" s="120"/>
    </row>
    <row r="543">
      <c r="A543" s="120"/>
      <c r="B543" s="120"/>
      <c r="C543" s="120"/>
      <c r="D543" s="120"/>
      <c r="E543" s="120"/>
      <c r="F543" s="120"/>
      <c r="G543" s="120"/>
      <c r="H543" s="120"/>
      <c r="I543" s="120"/>
      <c r="J543" s="120"/>
    </row>
    <row r="544">
      <c r="A544" s="120"/>
      <c r="B544" s="120"/>
      <c r="C544" s="120"/>
      <c r="D544" s="120"/>
      <c r="E544" s="120"/>
      <c r="F544" s="120"/>
      <c r="G544" s="120"/>
      <c r="H544" s="120"/>
      <c r="I544" s="120"/>
      <c r="J544" s="120"/>
    </row>
    <row r="545">
      <c r="A545" s="120"/>
      <c r="B545" s="120"/>
      <c r="C545" s="120"/>
      <c r="D545" s="120"/>
      <c r="E545" s="120"/>
      <c r="F545" s="120"/>
      <c r="G545" s="120"/>
      <c r="H545" s="120"/>
      <c r="I545" s="120"/>
      <c r="J545" s="120"/>
    </row>
    <row r="546">
      <c r="A546" s="120"/>
      <c r="B546" s="120"/>
      <c r="C546" s="120"/>
      <c r="D546" s="120"/>
      <c r="E546" s="120"/>
      <c r="F546" s="120"/>
      <c r="G546" s="120"/>
      <c r="H546" s="120"/>
      <c r="I546" s="120"/>
      <c r="J546" s="120"/>
    </row>
    <row r="547">
      <c r="A547" s="120"/>
      <c r="B547" s="120"/>
      <c r="C547" s="120"/>
      <c r="D547" s="120"/>
      <c r="E547" s="120"/>
      <c r="F547" s="120"/>
      <c r="G547" s="120"/>
      <c r="H547" s="120"/>
      <c r="I547" s="120"/>
      <c r="J547" s="120"/>
    </row>
    <row r="548">
      <c r="A548" s="120"/>
      <c r="B548" s="120"/>
      <c r="C548" s="120"/>
      <c r="D548" s="120"/>
      <c r="E548" s="120"/>
      <c r="F548" s="120"/>
      <c r="G548" s="120"/>
      <c r="H548" s="120"/>
      <c r="I548" s="120"/>
      <c r="J548" s="120"/>
    </row>
    <row r="549">
      <c r="A549" s="120"/>
      <c r="B549" s="120"/>
      <c r="C549" s="120"/>
      <c r="D549" s="120"/>
      <c r="E549" s="120"/>
      <c r="F549" s="120"/>
      <c r="G549" s="120"/>
      <c r="H549" s="120"/>
      <c r="I549" s="120"/>
      <c r="J549" s="120"/>
    </row>
    <row r="550">
      <c r="A550" s="120"/>
      <c r="B550" s="120"/>
      <c r="C550" s="120"/>
      <c r="D550" s="120"/>
      <c r="E550" s="120"/>
      <c r="F550" s="120"/>
      <c r="G550" s="120"/>
      <c r="H550" s="120"/>
      <c r="I550" s="120"/>
      <c r="J550" s="120"/>
    </row>
    <row r="551">
      <c r="A551" s="120"/>
      <c r="B551" s="120"/>
      <c r="C551" s="120"/>
      <c r="D551" s="120"/>
      <c r="E551" s="120"/>
      <c r="F551" s="120"/>
      <c r="G551" s="120"/>
      <c r="H551" s="120"/>
      <c r="I551" s="120"/>
      <c r="J551" s="120"/>
    </row>
    <row r="552">
      <c r="A552" s="120"/>
      <c r="B552" s="120"/>
      <c r="C552" s="120"/>
      <c r="D552" s="120"/>
      <c r="E552" s="120"/>
      <c r="F552" s="120"/>
      <c r="G552" s="120"/>
      <c r="H552" s="120"/>
      <c r="I552" s="120"/>
      <c r="J552" s="120"/>
    </row>
    <row r="553">
      <c r="A553" s="120"/>
      <c r="B553" s="120"/>
      <c r="C553" s="120"/>
      <c r="D553" s="120"/>
      <c r="E553" s="120"/>
      <c r="F553" s="120"/>
      <c r="G553" s="120"/>
      <c r="H553" s="120"/>
      <c r="I553" s="120"/>
      <c r="J553" s="120"/>
    </row>
    <row r="554">
      <c r="A554" s="120"/>
      <c r="B554" s="120"/>
      <c r="C554" s="120"/>
      <c r="D554" s="120"/>
      <c r="E554" s="120"/>
      <c r="F554" s="120"/>
      <c r="G554" s="120"/>
      <c r="H554" s="120"/>
      <c r="I554" s="120"/>
      <c r="J554" s="120"/>
    </row>
    <row r="555">
      <c r="A555" s="120"/>
      <c r="B555" s="120"/>
      <c r="C555" s="120"/>
      <c r="D555" s="120"/>
      <c r="E555" s="120"/>
      <c r="F555" s="120"/>
      <c r="G555" s="120"/>
      <c r="H555" s="120"/>
      <c r="I555" s="120"/>
      <c r="J555" s="120"/>
    </row>
    <row r="556">
      <c r="A556" s="120"/>
      <c r="B556" s="120"/>
      <c r="C556" s="120"/>
      <c r="D556" s="120"/>
      <c r="E556" s="120"/>
      <c r="F556" s="120"/>
      <c r="G556" s="120"/>
      <c r="H556" s="120"/>
      <c r="I556" s="120"/>
      <c r="J556" s="120"/>
    </row>
    <row r="557">
      <c r="A557" s="120"/>
      <c r="B557" s="120"/>
      <c r="C557" s="120"/>
      <c r="D557" s="120"/>
      <c r="E557" s="120"/>
      <c r="F557" s="120"/>
      <c r="G557" s="120"/>
      <c r="H557" s="120"/>
      <c r="I557" s="120"/>
      <c r="J557" s="120"/>
    </row>
    <row r="558">
      <c r="A558" s="120"/>
      <c r="B558" s="120"/>
      <c r="C558" s="120"/>
      <c r="D558" s="120"/>
      <c r="E558" s="120"/>
      <c r="F558" s="120"/>
      <c r="G558" s="120"/>
      <c r="H558" s="120"/>
      <c r="I558" s="120"/>
      <c r="J558" s="120"/>
    </row>
    <row r="559">
      <c r="A559" s="120"/>
      <c r="B559" s="120"/>
      <c r="C559" s="120"/>
      <c r="D559" s="120"/>
      <c r="E559" s="120"/>
      <c r="F559" s="120"/>
      <c r="G559" s="120"/>
      <c r="H559" s="120"/>
      <c r="I559" s="120"/>
      <c r="J559" s="120"/>
    </row>
    <row r="560">
      <c r="A560" s="120"/>
      <c r="B560" s="120"/>
      <c r="C560" s="120"/>
      <c r="D560" s="120"/>
      <c r="E560" s="120"/>
      <c r="F560" s="120"/>
      <c r="G560" s="120"/>
      <c r="H560" s="120"/>
      <c r="I560" s="120"/>
      <c r="J560" s="120"/>
    </row>
    <row r="561">
      <c r="A561" s="120"/>
      <c r="B561" s="120"/>
      <c r="C561" s="120"/>
      <c r="D561" s="120"/>
      <c r="E561" s="120"/>
      <c r="F561" s="120"/>
      <c r="G561" s="120"/>
      <c r="H561" s="120"/>
      <c r="I561" s="120"/>
      <c r="J561" s="120"/>
    </row>
    <row r="562">
      <c r="A562" s="120"/>
      <c r="B562" s="120"/>
      <c r="C562" s="120"/>
      <c r="D562" s="120"/>
      <c r="E562" s="120"/>
      <c r="F562" s="120"/>
      <c r="G562" s="120"/>
      <c r="H562" s="120"/>
      <c r="I562" s="120"/>
      <c r="J562" s="120"/>
    </row>
    <row r="563">
      <c r="A563" s="120"/>
      <c r="B563" s="120"/>
      <c r="C563" s="120"/>
      <c r="D563" s="120"/>
      <c r="E563" s="120"/>
      <c r="F563" s="120"/>
      <c r="G563" s="120"/>
      <c r="H563" s="120"/>
      <c r="I563" s="120"/>
      <c r="J563" s="120"/>
    </row>
    <row r="564">
      <c r="A564" s="120"/>
      <c r="B564" s="120"/>
      <c r="C564" s="120"/>
      <c r="D564" s="120"/>
      <c r="E564" s="120"/>
      <c r="F564" s="120"/>
      <c r="G564" s="120"/>
      <c r="H564" s="120"/>
      <c r="I564" s="120"/>
      <c r="J564" s="120"/>
    </row>
    <row r="565">
      <c r="A565" s="120"/>
      <c r="B565" s="120"/>
      <c r="C565" s="120"/>
      <c r="D565" s="120"/>
      <c r="E565" s="120"/>
      <c r="F565" s="120"/>
      <c r="G565" s="120"/>
      <c r="H565" s="120"/>
      <c r="I565" s="120"/>
      <c r="J565" s="120"/>
    </row>
    <row r="566">
      <c r="A566" s="120"/>
      <c r="B566" s="120"/>
      <c r="C566" s="120"/>
      <c r="D566" s="120"/>
      <c r="E566" s="120"/>
      <c r="F566" s="120"/>
      <c r="G566" s="120"/>
      <c r="H566" s="120"/>
      <c r="I566" s="120"/>
      <c r="J566" s="120"/>
    </row>
    <row r="567">
      <c r="A567" s="120"/>
      <c r="B567" s="120"/>
      <c r="C567" s="120"/>
      <c r="D567" s="120"/>
      <c r="E567" s="120"/>
      <c r="F567" s="120"/>
      <c r="G567" s="120"/>
      <c r="H567" s="120"/>
      <c r="I567" s="120"/>
      <c r="J567" s="120"/>
    </row>
    <row r="568">
      <c r="A568" s="120"/>
      <c r="B568" s="120"/>
      <c r="C568" s="120"/>
      <c r="D568" s="120"/>
      <c r="E568" s="120"/>
      <c r="F568" s="120"/>
      <c r="G568" s="120"/>
      <c r="H568" s="120"/>
      <c r="I568" s="120"/>
      <c r="J568" s="120"/>
    </row>
    <row r="569">
      <c r="A569" s="120"/>
      <c r="B569" s="120"/>
      <c r="C569" s="120"/>
      <c r="D569" s="120"/>
      <c r="E569" s="120"/>
      <c r="F569" s="120"/>
      <c r="G569" s="120"/>
      <c r="H569" s="120"/>
      <c r="I569" s="120"/>
      <c r="J569" s="120"/>
    </row>
    <row r="570">
      <c r="A570" s="120"/>
      <c r="B570" s="120"/>
      <c r="C570" s="120"/>
      <c r="D570" s="120"/>
      <c r="E570" s="120"/>
      <c r="F570" s="120"/>
      <c r="G570" s="120"/>
      <c r="H570" s="120"/>
      <c r="I570" s="120"/>
      <c r="J570" s="120"/>
    </row>
    <row r="571">
      <c r="A571" s="120"/>
      <c r="B571" s="120"/>
      <c r="C571" s="120"/>
      <c r="D571" s="120"/>
      <c r="E571" s="120"/>
      <c r="F571" s="120"/>
      <c r="G571" s="120"/>
      <c r="H571" s="120"/>
      <c r="I571" s="120"/>
      <c r="J571" s="120"/>
    </row>
    <row r="572">
      <c r="A572" s="120"/>
      <c r="B572" s="120"/>
      <c r="C572" s="120"/>
      <c r="D572" s="120"/>
      <c r="E572" s="120"/>
      <c r="F572" s="120"/>
      <c r="G572" s="120"/>
      <c r="H572" s="120"/>
      <c r="I572" s="120"/>
      <c r="J572" s="120"/>
    </row>
    <row r="573">
      <c r="A573" s="120"/>
      <c r="B573" s="120"/>
      <c r="C573" s="120"/>
      <c r="D573" s="120"/>
      <c r="E573" s="120"/>
      <c r="F573" s="120"/>
      <c r="G573" s="120"/>
      <c r="H573" s="120"/>
      <c r="I573" s="120"/>
      <c r="J573" s="120"/>
    </row>
    <row r="574">
      <c r="A574" s="120"/>
      <c r="B574" s="120"/>
      <c r="C574" s="120"/>
      <c r="D574" s="120"/>
      <c r="E574" s="120"/>
      <c r="F574" s="120"/>
      <c r="G574" s="120"/>
      <c r="H574" s="120"/>
      <c r="I574" s="120"/>
      <c r="J574" s="120"/>
    </row>
    <row r="575">
      <c r="A575" s="120"/>
      <c r="B575" s="120"/>
      <c r="C575" s="120"/>
      <c r="D575" s="120"/>
      <c r="E575" s="120"/>
      <c r="F575" s="120"/>
      <c r="G575" s="120"/>
      <c r="H575" s="120"/>
      <c r="I575" s="120"/>
      <c r="J575" s="120"/>
    </row>
    <row r="576">
      <c r="A576" s="120"/>
      <c r="B576" s="120"/>
      <c r="C576" s="120"/>
      <c r="D576" s="120"/>
      <c r="E576" s="120"/>
      <c r="F576" s="120"/>
      <c r="G576" s="120"/>
      <c r="H576" s="120"/>
      <c r="I576" s="120"/>
      <c r="J576" s="120"/>
    </row>
    <row r="577">
      <c r="A577" s="120"/>
      <c r="B577" s="120"/>
      <c r="C577" s="120"/>
      <c r="D577" s="120"/>
      <c r="E577" s="120"/>
      <c r="F577" s="120"/>
      <c r="G577" s="120"/>
      <c r="H577" s="120"/>
      <c r="I577" s="120"/>
      <c r="J577" s="120"/>
    </row>
    <row r="578">
      <c r="A578" s="120"/>
      <c r="B578" s="120"/>
      <c r="C578" s="120"/>
      <c r="D578" s="120"/>
      <c r="E578" s="120"/>
      <c r="F578" s="120"/>
      <c r="G578" s="120"/>
      <c r="H578" s="120"/>
      <c r="I578" s="120"/>
      <c r="J578" s="120"/>
    </row>
    <row r="579">
      <c r="A579" s="120"/>
      <c r="B579" s="120"/>
      <c r="C579" s="120"/>
      <c r="D579" s="120"/>
      <c r="E579" s="120"/>
      <c r="F579" s="120"/>
      <c r="G579" s="120"/>
      <c r="H579" s="120"/>
      <c r="I579" s="120"/>
      <c r="J579" s="120"/>
    </row>
    <row r="580">
      <c r="A580" s="120"/>
      <c r="B580" s="120"/>
      <c r="C580" s="120"/>
      <c r="D580" s="120"/>
      <c r="E580" s="120"/>
      <c r="F580" s="120"/>
      <c r="G580" s="120"/>
      <c r="H580" s="120"/>
      <c r="I580" s="120"/>
      <c r="J580" s="120"/>
    </row>
    <row r="581">
      <c r="A581" s="120"/>
      <c r="B581" s="120"/>
      <c r="C581" s="120"/>
      <c r="D581" s="120"/>
      <c r="E581" s="120"/>
      <c r="F581" s="120"/>
      <c r="G581" s="120"/>
      <c r="H581" s="120"/>
      <c r="I581" s="120"/>
      <c r="J581" s="120"/>
    </row>
    <row r="582">
      <c r="A582" s="120"/>
      <c r="B582" s="120"/>
      <c r="C582" s="120"/>
      <c r="D582" s="120"/>
      <c r="E582" s="120"/>
      <c r="F582" s="120"/>
      <c r="G582" s="120"/>
      <c r="H582" s="120"/>
      <c r="I582" s="120"/>
      <c r="J582" s="120"/>
    </row>
    <row r="583">
      <c r="A583" s="120"/>
      <c r="B583" s="120"/>
      <c r="C583" s="120"/>
      <c r="D583" s="120"/>
      <c r="E583" s="120"/>
      <c r="F583" s="120"/>
      <c r="G583" s="120"/>
      <c r="H583" s="120"/>
      <c r="I583" s="120"/>
      <c r="J583" s="120"/>
    </row>
    <row r="584">
      <c r="A584" s="120"/>
      <c r="B584" s="120"/>
      <c r="C584" s="120"/>
      <c r="D584" s="120"/>
      <c r="E584" s="120"/>
      <c r="F584" s="120"/>
      <c r="G584" s="120"/>
      <c r="H584" s="120"/>
      <c r="I584" s="120"/>
      <c r="J584" s="120"/>
    </row>
    <row r="585">
      <c r="A585" s="120"/>
      <c r="B585" s="120"/>
      <c r="C585" s="120"/>
      <c r="D585" s="120"/>
      <c r="E585" s="120"/>
      <c r="F585" s="120"/>
      <c r="G585" s="120"/>
      <c r="H585" s="120"/>
      <c r="I585" s="120"/>
      <c r="J585" s="120"/>
    </row>
    <row r="586">
      <c r="A586" s="120"/>
      <c r="B586" s="120"/>
      <c r="C586" s="120"/>
      <c r="D586" s="120"/>
      <c r="E586" s="120"/>
      <c r="F586" s="120"/>
      <c r="G586" s="120"/>
      <c r="H586" s="120"/>
      <c r="I586" s="120"/>
      <c r="J586" s="120"/>
    </row>
    <row r="587">
      <c r="A587" s="120"/>
      <c r="B587" s="120"/>
      <c r="C587" s="120"/>
      <c r="D587" s="120"/>
      <c r="E587" s="120"/>
      <c r="F587" s="120"/>
      <c r="G587" s="120"/>
      <c r="H587" s="120"/>
      <c r="I587" s="120"/>
      <c r="J587" s="120"/>
    </row>
    <row r="588">
      <c r="A588" s="120"/>
      <c r="B588" s="120"/>
      <c r="C588" s="120"/>
      <c r="D588" s="120"/>
      <c r="E588" s="120"/>
      <c r="F588" s="120"/>
      <c r="G588" s="120"/>
      <c r="H588" s="120"/>
      <c r="I588" s="120"/>
      <c r="J588" s="120"/>
    </row>
    <row r="589">
      <c r="A589" s="120"/>
      <c r="B589" s="120"/>
      <c r="C589" s="120"/>
      <c r="D589" s="120"/>
      <c r="E589" s="120"/>
      <c r="F589" s="120"/>
      <c r="G589" s="120"/>
      <c r="H589" s="120"/>
      <c r="I589" s="120"/>
      <c r="J589" s="120"/>
    </row>
    <row r="590">
      <c r="A590" s="120"/>
      <c r="B590" s="120"/>
      <c r="C590" s="120"/>
      <c r="D590" s="120"/>
      <c r="E590" s="120"/>
      <c r="F590" s="120"/>
      <c r="G590" s="120"/>
      <c r="H590" s="120"/>
      <c r="I590" s="120"/>
      <c r="J590" s="120"/>
    </row>
    <row r="591">
      <c r="A591" s="120"/>
      <c r="B591" s="120"/>
      <c r="C591" s="120"/>
      <c r="D591" s="120"/>
      <c r="E591" s="120"/>
      <c r="F591" s="120"/>
      <c r="G591" s="120"/>
      <c r="H591" s="120"/>
      <c r="I591" s="120"/>
      <c r="J591" s="120"/>
    </row>
    <row r="592">
      <c r="A592" s="120"/>
      <c r="B592" s="120"/>
      <c r="C592" s="120"/>
      <c r="D592" s="120"/>
      <c r="E592" s="120"/>
      <c r="F592" s="120"/>
      <c r="G592" s="120"/>
      <c r="H592" s="120"/>
      <c r="I592" s="120"/>
      <c r="J592" s="120"/>
    </row>
    <row r="593">
      <c r="A593" s="120"/>
      <c r="B593" s="120"/>
      <c r="C593" s="120"/>
      <c r="D593" s="120"/>
      <c r="E593" s="120"/>
      <c r="F593" s="120"/>
      <c r="G593" s="120"/>
      <c r="H593" s="120"/>
      <c r="I593" s="120"/>
      <c r="J593" s="120"/>
    </row>
    <row r="594">
      <c r="A594" s="120"/>
      <c r="B594" s="120"/>
      <c r="C594" s="120"/>
      <c r="D594" s="120"/>
      <c r="E594" s="120"/>
      <c r="F594" s="120"/>
      <c r="G594" s="120"/>
      <c r="H594" s="120"/>
      <c r="I594" s="120"/>
      <c r="J594" s="120"/>
    </row>
    <row r="595">
      <c r="A595" s="120"/>
      <c r="B595" s="120"/>
      <c r="C595" s="120"/>
      <c r="D595" s="120"/>
      <c r="E595" s="120"/>
      <c r="F595" s="120"/>
      <c r="G595" s="120"/>
      <c r="H595" s="120"/>
      <c r="I595" s="120"/>
      <c r="J595" s="120"/>
    </row>
    <row r="596">
      <c r="A596" s="120"/>
      <c r="B596" s="120"/>
      <c r="C596" s="120"/>
      <c r="D596" s="120"/>
      <c r="E596" s="120"/>
      <c r="F596" s="120"/>
      <c r="G596" s="120"/>
      <c r="H596" s="120"/>
      <c r="I596" s="120"/>
      <c r="J596" s="120"/>
    </row>
    <row r="597">
      <c r="A597" s="120"/>
      <c r="B597" s="120"/>
      <c r="C597" s="120"/>
      <c r="D597" s="120"/>
      <c r="E597" s="120"/>
      <c r="F597" s="120"/>
      <c r="G597" s="120"/>
      <c r="H597" s="120"/>
      <c r="I597" s="120"/>
      <c r="J597" s="120"/>
    </row>
    <row r="598">
      <c r="A598" s="120"/>
      <c r="B598" s="120"/>
      <c r="C598" s="120"/>
      <c r="D598" s="120"/>
      <c r="E598" s="120"/>
      <c r="F598" s="120"/>
      <c r="G598" s="120"/>
      <c r="H598" s="120"/>
      <c r="I598" s="120"/>
      <c r="J598" s="120"/>
    </row>
    <row r="599">
      <c r="A599" s="120"/>
      <c r="B599" s="120"/>
      <c r="C599" s="120"/>
      <c r="D599" s="120"/>
      <c r="E599" s="120"/>
      <c r="F599" s="120"/>
      <c r="G599" s="120"/>
      <c r="H599" s="120"/>
      <c r="I599" s="120"/>
      <c r="J599" s="120"/>
    </row>
    <row r="600">
      <c r="A600" s="120"/>
      <c r="B600" s="120"/>
      <c r="C600" s="120"/>
      <c r="D600" s="120"/>
      <c r="E600" s="120"/>
      <c r="F600" s="120"/>
      <c r="G600" s="120"/>
      <c r="H600" s="120"/>
      <c r="I600" s="120"/>
      <c r="J600" s="120"/>
    </row>
    <row r="601">
      <c r="A601" s="120"/>
      <c r="B601" s="120"/>
      <c r="C601" s="120"/>
      <c r="D601" s="120"/>
      <c r="E601" s="120"/>
      <c r="F601" s="120"/>
      <c r="G601" s="120"/>
      <c r="H601" s="120"/>
      <c r="I601" s="120"/>
      <c r="J601" s="120"/>
    </row>
    <row r="602">
      <c r="A602" s="120"/>
      <c r="B602" s="120"/>
      <c r="C602" s="120"/>
      <c r="D602" s="120"/>
      <c r="E602" s="120"/>
      <c r="F602" s="120"/>
      <c r="G602" s="120"/>
      <c r="H602" s="120"/>
      <c r="I602" s="120"/>
      <c r="J602" s="120"/>
    </row>
    <row r="603">
      <c r="A603" s="120"/>
      <c r="B603" s="120"/>
      <c r="C603" s="120"/>
      <c r="D603" s="120"/>
      <c r="E603" s="120"/>
      <c r="F603" s="120"/>
      <c r="G603" s="120"/>
      <c r="H603" s="120"/>
      <c r="I603" s="120"/>
      <c r="J603" s="120"/>
    </row>
    <row r="604">
      <c r="A604" s="120"/>
      <c r="B604" s="120"/>
      <c r="C604" s="120"/>
      <c r="D604" s="120"/>
      <c r="E604" s="120"/>
      <c r="F604" s="120"/>
      <c r="G604" s="120"/>
      <c r="H604" s="120"/>
      <c r="I604" s="120"/>
      <c r="J604" s="120"/>
    </row>
    <row r="605">
      <c r="A605" s="120"/>
      <c r="B605" s="120"/>
      <c r="C605" s="120"/>
      <c r="D605" s="120"/>
      <c r="E605" s="120"/>
      <c r="F605" s="120"/>
      <c r="G605" s="120"/>
      <c r="H605" s="120"/>
      <c r="I605" s="120"/>
      <c r="J605" s="120"/>
    </row>
    <row r="606">
      <c r="A606" s="120"/>
      <c r="B606" s="120"/>
      <c r="C606" s="120"/>
      <c r="D606" s="120"/>
      <c r="E606" s="120"/>
      <c r="F606" s="120"/>
      <c r="G606" s="120"/>
      <c r="H606" s="120"/>
      <c r="I606" s="120"/>
      <c r="J606" s="120"/>
    </row>
    <row r="607">
      <c r="A607" s="120"/>
      <c r="B607" s="120"/>
      <c r="C607" s="120"/>
      <c r="D607" s="120"/>
      <c r="E607" s="120"/>
      <c r="F607" s="120"/>
      <c r="G607" s="120"/>
      <c r="H607" s="120"/>
      <c r="I607" s="120"/>
      <c r="J607" s="120"/>
    </row>
    <row r="608">
      <c r="A608" s="120"/>
      <c r="B608" s="120"/>
      <c r="C608" s="120"/>
      <c r="D608" s="120"/>
      <c r="E608" s="120"/>
      <c r="F608" s="120"/>
      <c r="G608" s="120"/>
      <c r="H608" s="120"/>
      <c r="I608" s="120"/>
      <c r="J608" s="120"/>
    </row>
    <row r="609">
      <c r="A609" s="120"/>
      <c r="B609" s="120"/>
      <c r="C609" s="120"/>
      <c r="D609" s="120"/>
      <c r="E609" s="120"/>
      <c r="F609" s="120"/>
      <c r="G609" s="120"/>
      <c r="H609" s="120"/>
      <c r="I609" s="120"/>
      <c r="J609" s="120"/>
    </row>
    <row r="610">
      <c r="A610" s="120"/>
      <c r="B610" s="120"/>
      <c r="C610" s="120"/>
      <c r="D610" s="120"/>
      <c r="E610" s="120"/>
      <c r="F610" s="120"/>
      <c r="G610" s="120"/>
      <c r="H610" s="120"/>
      <c r="I610" s="120"/>
      <c r="J610" s="120"/>
    </row>
    <row r="611">
      <c r="A611" s="120"/>
      <c r="B611" s="120"/>
      <c r="C611" s="120"/>
      <c r="D611" s="120"/>
      <c r="E611" s="120"/>
      <c r="F611" s="120"/>
      <c r="G611" s="120"/>
      <c r="H611" s="120"/>
      <c r="I611" s="120"/>
      <c r="J611" s="120"/>
    </row>
    <row r="612">
      <c r="A612" s="120"/>
      <c r="B612" s="120"/>
      <c r="C612" s="120"/>
      <c r="D612" s="120"/>
      <c r="E612" s="120"/>
      <c r="F612" s="120"/>
      <c r="G612" s="120"/>
      <c r="H612" s="120"/>
      <c r="I612" s="120"/>
      <c r="J612" s="120"/>
    </row>
    <row r="613">
      <c r="A613" s="120"/>
      <c r="B613" s="120"/>
      <c r="C613" s="120"/>
      <c r="D613" s="120"/>
      <c r="E613" s="120"/>
      <c r="F613" s="120"/>
      <c r="G613" s="120"/>
      <c r="H613" s="120"/>
      <c r="I613" s="120"/>
      <c r="J613" s="120"/>
    </row>
    <row r="614">
      <c r="A614" s="120"/>
      <c r="B614" s="120"/>
      <c r="C614" s="120"/>
      <c r="D614" s="120"/>
      <c r="E614" s="120"/>
      <c r="F614" s="120"/>
      <c r="G614" s="120"/>
      <c r="H614" s="120"/>
      <c r="I614" s="120"/>
      <c r="J614" s="120"/>
    </row>
    <row r="615">
      <c r="A615" s="120"/>
      <c r="B615" s="120"/>
      <c r="C615" s="120"/>
      <c r="D615" s="120"/>
      <c r="E615" s="120"/>
      <c r="F615" s="120"/>
      <c r="G615" s="120"/>
      <c r="H615" s="120"/>
      <c r="I615" s="120"/>
      <c r="J615" s="120"/>
    </row>
    <row r="616">
      <c r="A616" s="120"/>
      <c r="B616" s="120"/>
      <c r="C616" s="120"/>
      <c r="D616" s="120"/>
      <c r="E616" s="120"/>
      <c r="F616" s="120"/>
      <c r="G616" s="120"/>
      <c r="H616" s="120"/>
      <c r="I616" s="120"/>
      <c r="J616" s="120"/>
    </row>
    <row r="617">
      <c r="A617" s="120"/>
      <c r="B617" s="120"/>
      <c r="C617" s="120"/>
      <c r="D617" s="120"/>
      <c r="E617" s="120"/>
      <c r="F617" s="120"/>
      <c r="G617" s="120"/>
      <c r="H617" s="120"/>
      <c r="I617" s="120"/>
      <c r="J617" s="120"/>
    </row>
    <row r="618">
      <c r="A618" s="120"/>
      <c r="B618" s="120"/>
      <c r="C618" s="120"/>
      <c r="D618" s="120"/>
      <c r="E618" s="120"/>
      <c r="F618" s="120"/>
      <c r="G618" s="120"/>
      <c r="H618" s="120"/>
      <c r="I618" s="120"/>
      <c r="J618" s="120"/>
    </row>
    <row r="619">
      <c r="A619" s="120"/>
      <c r="B619" s="120"/>
      <c r="C619" s="120"/>
      <c r="D619" s="120"/>
      <c r="E619" s="120"/>
      <c r="F619" s="120"/>
      <c r="G619" s="120"/>
      <c r="H619" s="120"/>
      <c r="I619" s="120"/>
      <c r="J619" s="120"/>
    </row>
    <row r="620">
      <c r="A620" s="120"/>
      <c r="B620" s="120"/>
      <c r="C620" s="120"/>
      <c r="D620" s="120"/>
      <c r="E620" s="120"/>
      <c r="F620" s="120"/>
      <c r="G620" s="120"/>
      <c r="H620" s="120"/>
      <c r="I620" s="120"/>
      <c r="J620" s="120"/>
    </row>
    <row r="621">
      <c r="A621" s="120"/>
      <c r="B621" s="120"/>
      <c r="C621" s="120"/>
      <c r="D621" s="120"/>
      <c r="E621" s="120"/>
      <c r="F621" s="120"/>
      <c r="G621" s="120"/>
      <c r="H621" s="120"/>
      <c r="I621" s="120"/>
      <c r="J621" s="120"/>
    </row>
    <row r="622">
      <c r="A622" s="120"/>
      <c r="B622" s="120"/>
      <c r="C622" s="120"/>
      <c r="D622" s="120"/>
      <c r="E622" s="120"/>
      <c r="F622" s="120"/>
      <c r="G622" s="120"/>
      <c r="H622" s="120"/>
      <c r="I622" s="120"/>
      <c r="J622" s="120"/>
    </row>
    <row r="623">
      <c r="A623" s="120"/>
      <c r="B623" s="120"/>
      <c r="C623" s="120"/>
      <c r="D623" s="120"/>
      <c r="E623" s="120"/>
      <c r="F623" s="120"/>
      <c r="G623" s="120"/>
      <c r="H623" s="120"/>
      <c r="I623" s="120"/>
      <c r="J623" s="120"/>
    </row>
    <row r="624">
      <c r="A624" s="120"/>
      <c r="B624" s="120"/>
      <c r="C624" s="120"/>
      <c r="D624" s="120"/>
      <c r="E624" s="120"/>
      <c r="F624" s="120"/>
      <c r="G624" s="120"/>
      <c r="H624" s="120"/>
      <c r="I624" s="120"/>
      <c r="J624" s="120"/>
    </row>
    <row r="625">
      <c r="A625" s="120"/>
      <c r="B625" s="120"/>
      <c r="C625" s="120"/>
      <c r="D625" s="120"/>
      <c r="E625" s="120"/>
      <c r="F625" s="120"/>
      <c r="G625" s="120"/>
      <c r="H625" s="120"/>
      <c r="I625" s="120"/>
      <c r="J625" s="120"/>
    </row>
    <row r="626">
      <c r="A626" s="120"/>
      <c r="B626" s="120"/>
      <c r="C626" s="120"/>
      <c r="D626" s="120"/>
      <c r="E626" s="120"/>
      <c r="F626" s="120"/>
      <c r="G626" s="120"/>
      <c r="H626" s="120"/>
      <c r="I626" s="120"/>
      <c r="J626" s="120"/>
    </row>
    <row r="627">
      <c r="A627" s="120"/>
      <c r="B627" s="120"/>
      <c r="C627" s="120"/>
      <c r="D627" s="120"/>
      <c r="E627" s="120"/>
      <c r="F627" s="120"/>
      <c r="G627" s="120"/>
      <c r="H627" s="120"/>
      <c r="I627" s="120"/>
      <c r="J627" s="120"/>
    </row>
    <row r="628">
      <c r="A628" s="120"/>
      <c r="B628" s="120"/>
      <c r="C628" s="120"/>
      <c r="D628" s="120"/>
      <c r="E628" s="120"/>
      <c r="F628" s="120"/>
      <c r="G628" s="120"/>
      <c r="H628" s="120"/>
      <c r="I628" s="120"/>
      <c r="J628" s="120"/>
    </row>
    <row r="629">
      <c r="A629" s="120"/>
      <c r="B629" s="120"/>
      <c r="C629" s="120"/>
      <c r="D629" s="120"/>
      <c r="E629" s="120"/>
      <c r="F629" s="120"/>
      <c r="G629" s="120"/>
      <c r="H629" s="120"/>
      <c r="I629" s="120"/>
      <c r="J629" s="120"/>
    </row>
    <row r="630">
      <c r="A630" s="120"/>
      <c r="B630" s="120"/>
      <c r="C630" s="120"/>
      <c r="D630" s="120"/>
      <c r="E630" s="120"/>
      <c r="F630" s="120"/>
      <c r="G630" s="120"/>
      <c r="H630" s="120"/>
      <c r="I630" s="120"/>
      <c r="J630" s="120"/>
    </row>
    <row r="631">
      <c r="A631" s="120"/>
      <c r="B631" s="120"/>
      <c r="C631" s="120"/>
      <c r="D631" s="120"/>
      <c r="E631" s="120"/>
      <c r="F631" s="120"/>
      <c r="G631" s="120"/>
      <c r="H631" s="120"/>
      <c r="I631" s="120"/>
      <c r="J631" s="120"/>
    </row>
    <row r="632">
      <c r="A632" s="120"/>
      <c r="B632" s="120"/>
      <c r="C632" s="120"/>
      <c r="D632" s="120"/>
      <c r="E632" s="120"/>
      <c r="F632" s="120"/>
      <c r="G632" s="120"/>
      <c r="H632" s="120"/>
      <c r="I632" s="120"/>
      <c r="J632" s="120"/>
    </row>
    <row r="633">
      <c r="A633" s="120"/>
      <c r="B633" s="120"/>
      <c r="C633" s="120"/>
      <c r="D633" s="120"/>
      <c r="E633" s="120"/>
      <c r="F633" s="120"/>
      <c r="G633" s="120"/>
      <c r="H633" s="120"/>
      <c r="I633" s="120"/>
      <c r="J633" s="120"/>
    </row>
    <row r="634">
      <c r="A634" s="120"/>
      <c r="B634" s="120"/>
      <c r="C634" s="120"/>
      <c r="D634" s="120"/>
      <c r="E634" s="120"/>
      <c r="F634" s="120"/>
      <c r="G634" s="120"/>
      <c r="H634" s="120"/>
      <c r="I634" s="120"/>
      <c r="J634" s="120"/>
    </row>
    <row r="635">
      <c r="A635" s="120"/>
      <c r="B635" s="120"/>
      <c r="C635" s="120"/>
      <c r="D635" s="120"/>
      <c r="E635" s="120"/>
      <c r="F635" s="120"/>
      <c r="G635" s="120"/>
      <c r="H635" s="120"/>
      <c r="I635" s="120"/>
      <c r="J635" s="120"/>
    </row>
    <row r="636">
      <c r="A636" s="120"/>
      <c r="B636" s="120"/>
      <c r="C636" s="120"/>
      <c r="D636" s="120"/>
      <c r="E636" s="120"/>
      <c r="F636" s="120"/>
      <c r="G636" s="120"/>
      <c r="H636" s="120"/>
      <c r="I636" s="120"/>
      <c r="J636" s="120"/>
    </row>
    <row r="637">
      <c r="A637" s="120"/>
      <c r="B637" s="120"/>
      <c r="C637" s="120"/>
      <c r="D637" s="120"/>
      <c r="E637" s="120"/>
      <c r="F637" s="120"/>
      <c r="G637" s="120"/>
      <c r="H637" s="120"/>
      <c r="I637" s="120"/>
      <c r="J637" s="120"/>
    </row>
    <row r="638">
      <c r="A638" s="120"/>
      <c r="B638" s="120"/>
      <c r="C638" s="120"/>
      <c r="D638" s="120"/>
      <c r="E638" s="120"/>
      <c r="F638" s="120"/>
      <c r="G638" s="120"/>
      <c r="H638" s="120"/>
      <c r="I638" s="120"/>
      <c r="J638" s="120"/>
    </row>
    <row r="639">
      <c r="A639" s="120"/>
      <c r="B639" s="120"/>
      <c r="C639" s="120"/>
      <c r="D639" s="120"/>
      <c r="E639" s="120"/>
      <c r="F639" s="120"/>
      <c r="G639" s="120"/>
      <c r="H639" s="120"/>
      <c r="I639" s="120"/>
      <c r="J639" s="120"/>
    </row>
    <row r="640">
      <c r="A640" s="120"/>
      <c r="B640" s="120"/>
      <c r="C640" s="120"/>
      <c r="D640" s="120"/>
      <c r="E640" s="120"/>
      <c r="F640" s="120"/>
      <c r="G640" s="120"/>
      <c r="H640" s="120"/>
      <c r="I640" s="120"/>
      <c r="J640" s="120"/>
    </row>
    <row r="641">
      <c r="A641" s="120"/>
      <c r="B641" s="120"/>
      <c r="C641" s="120"/>
      <c r="D641" s="120"/>
      <c r="E641" s="120"/>
      <c r="F641" s="120"/>
      <c r="G641" s="120"/>
      <c r="H641" s="120"/>
      <c r="I641" s="120"/>
      <c r="J641" s="120"/>
    </row>
    <row r="642">
      <c r="A642" s="120"/>
      <c r="B642" s="120"/>
      <c r="C642" s="120"/>
      <c r="D642" s="120"/>
      <c r="E642" s="120"/>
      <c r="F642" s="120"/>
      <c r="G642" s="120"/>
      <c r="H642" s="120"/>
      <c r="I642" s="120"/>
      <c r="J642" s="120"/>
    </row>
    <row r="643">
      <c r="A643" s="120"/>
      <c r="B643" s="120"/>
      <c r="C643" s="120"/>
      <c r="D643" s="120"/>
      <c r="E643" s="120"/>
      <c r="F643" s="120"/>
      <c r="G643" s="120"/>
      <c r="H643" s="120"/>
      <c r="I643" s="120"/>
      <c r="J643" s="120"/>
    </row>
    <row r="644">
      <c r="A644" s="120"/>
      <c r="B644" s="120"/>
      <c r="C644" s="120"/>
      <c r="D644" s="120"/>
      <c r="E644" s="120"/>
      <c r="F644" s="120"/>
      <c r="G644" s="120"/>
      <c r="H644" s="120"/>
      <c r="I644" s="120"/>
      <c r="J644" s="120"/>
    </row>
    <row r="645">
      <c r="A645" s="120"/>
      <c r="B645" s="120"/>
      <c r="C645" s="120"/>
      <c r="D645" s="120"/>
      <c r="E645" s="120"/>
      <c r="F645" s="120"/>
      <c r="G645" s="120"/>
      <c r="H645" s="120"/>
      <c r="I645" s="120"/>
      <c r="J645" s="120"/>
    </row>
    <row r="646">
      <c r="A646" s="120"/>
      <c r="B646" s="120"/>
      <c r="C646" s="120"/>
      <c r="D646" s="120"/>
      <c r="E646" s="120"/>
      <c r="F646" s="120"/>
      <c r="G646" s="120"/>
      <c r="H646" s="120"/>
      <c r="I646" s="120"/>
      <c r="J646" s="120"/>
    </row>
    <row r="647">
      <c r="A647" s="120"/>
      <c r="B647" s="120"/>
      <c r="C647" s="120"/>
      <c r="D647" s="120"/>
      <c r="E647" s="120"/>
      <c r="F647" s="120"/>
      <c r="G647" s="120"/>
      <c r="H647" s="120"/>
      <c r="I647" s="120"/>
      <c r="J647" s="120"/>
    </row>
    <row r="648">
      <c r="A648" s="120"/>
      <c r="B648" s="120"/>
      <c r="C648" s="120"/>
      <c r="D648" s="120"/>
      <c r="E648" s="120"/>
      <c r="F648" s="120"/>
      <c r="G648" s="120"/>
      <c r="H648" s="120"/>
      <c r="I648" s="120"/>
      <c r="J648" s="120"/>
    </row>
    <row r="649">
      <c r="A649" s="120"/>
      <c r="B649" s="120"/>
      <c r="C649" s="120"/>
      <c r="D649" s="120"/>
      <c r="E649" s="120"/>
      <c r="F649" s="120"/>
      <c r="G649" s="120"/>
      <c r="H649" s="120"/>
      <c r="I649" s="120"/>
      <c r="J649" s="120"/>
    </row>
    <row r="650">
      <c r="A650" s="120"/>
      <c r="B650" s="120"/>
      <c r="C650" s="120"/>
      <c r="D650" s="120"/>
      <c r="E650" s="120"/>
      <c r="F650" s="120"/>
      <c r="G650" s="120"/>
      <c r="H650" s="120"/>
      <c r="I650" s="120"/>
      <c r="J650" s="120"/>
    </row>
    <row r="651">
      <c r="A651" s="120"/>
      <c r="B651" s="120"/>
      <c r="C651" s="120"/>
      <c r="D651" s="120"/>
      <c r="E651" s="120"/>
      <c r="F651" s="120"/>
      <c r="G651" s="120"/>
      <c r="H651" s="120"/>
      <c r="I651" s="120"/>
      <c r="J651" s="120"/>
    </row>
    <row r="652">
      <c r="A652" s="120"/>
      <c r="B652" s="120"/>
      <c r="C652" s="120"/>
      <c r="D652" s="120"/>
      <c r="E652" s="120"/>
      <c r="F652" s="120"/>
      <c r="G652" s="120"/>
      <c r="H652" s="120"/>
      <c r="I652" s="120"/>
      <c r="J652" s="120"/>
    </row>
    <row r="653">
      <c r="A653" s="120"/>
      <c r="B653" s="120"/>
      <c r="C653" s="120"/>
      <c r="D653" s="120"/>
      <c r="E653" s="120"/>
      <c r="F653" s="120"/>
      <c r="G653" s="120"/>
      <c r="H653" s="120"/>
      <c r="I653" s="120"/>
      <c r="J653" s="120"/>
    </row>
    <row r="654">
      <c r="A654" s="120"/>
      <c r="B654" s="120"/>
      <c r="C654" s="120"/>
      <c r="D654" s="120"/>
      <c r="E654" s="120"/>
      <c r="F654" s="120"/>
      <c r="G654" s="120"/>
      <c r="H654" s="120"/>
      <c r="I654" s="120"/>
      <c r="J654" s="120"/>
    </row>
    <row r="655">
      <c r="A655" s="120"/>
      <c r="B655" s="120"/>
      <c r="C655" s="120"/>
      <c r="D655" s="120"/>
      <c r="E655" s="120"/>
      <c r="F655" s="120"/>
      <c r="G655" s="120"/>
      <c r="H655" s="120"/>
      <c r="I655" s="120"/>
      <c r="J655" s="120"/>
    </row>
    <row r="656">
      <c r="A656" s="120"/>
      <c r="B656" s="120"/>
      <c r="C656" s="120"/>
      <c r="D656" s="120"/>
      <c r="E656" s="120"/>
      <c r="F656" s="120"/>
      <c r="G656" s="120"/>
      <c r="H656" s="120"/>
      <c r="I656" s="120"/>
      <c r="J656" s="120"/>
    </row>
    <row r="657">
      <c r="A657" s="120"/>
      <c r="B657" s="120"/>
      <c r="C657" s="120"/>
      <c r="D657" s="120"/>
      <c r="E657" s="120"/>
      <c r="F657" s="120"/>
      <c r="G657" s="120"/>
      <c r="H657" s="120"/>
      <c r="I657" s="120"/>
      <c r="J657" s="120"/>
    </row>
    <row r="658">
      <c r="A658" s="120"/>
      <c r="B658" s="120"/>
      <c r="C658" s="120"/>
      <c r="D658" s="120"/>
      <c r="E658" s="120"/>
      <c r="F658" s="120"/>
      <c r="G658" s="120"/>
      <c r="H658" s="120"/>
      <c r="I658" s="120"/>
      <c r="J658" s="120"/>
    </row>
    <row r="659">
      <c r="A659" s="120"/>
      <c r="B659" s="120"/>
      <c r="C659" s="120"/>
      <c r="D659" s="120"/>
      <c r="E659" s="120"/>
      <c r="F659" s="120"/>
      <c r="G659" s="120"/>
      <c r="H659" s="120"/>
      <c r="I659" s="120"/>
      <c r="J659" s="120"/>
    </row>
    <row r="660">
      <c r="A660" s="120"/>
      <c r="B660" s="120"/>
      <c r="C660" s="120"/>
      <c r="D660" s="120"/>
      <c r="E660" s="120"/>
      <c r="F660" s="120"/>
      <c r="G660" s="120"/>
      <c r="H660" s="120"/>
      <c r="I660" s="120"/>
      <c r="J660" s="120"/>
    </row>
    <row r="661">
      <c r="A661" s="120"/>
      <c r="B661" s="120"/>
      <c r="C661" s="120"/>
      <c r="D661" s="120"/>
      <c r="E661" s="120"/>
      <c r="F661" s="120"/>
      <c r="G661" s="120"/>
      <c r="H661" s="120"/>
      <c r="I661" s="120"/>
      <c r="J661" s="120"/>
    </row>
    <row r="662">
      <c r="A662" s="120"/>
      <c r="B662" s="120"/>
      <c r="C662" s="120"/>
      <c r="D662" s="120"/>
      <c r="E662" s="120"/>
      <c r="F662" s="120"/>
      <c r="G662" s="120"/>
      <c r="H662" s="120"/>
      <c r="I662" s="120"/>
      <c r="J662" s="120"/>
    </row>
    <row r="663">
      <c r="A663" s="120"/>
      <c r="B663" s="120"/>
      <c r="C663" s="120"/>
      <c r="D663" s="120"/>
      <c r="E663" s="120"/>
      <c r="F663" s="120"/>
      <c r="G663" s="120"/>
      <c r="H663" s="120"/>
      <c r="I663" s="120"/>
      <c r="J663" s="120"/>
    </row>
    <row r="664">
      <c r="A664" s="120"/>
      <c r="B664" s="120"/>
      <c r="C664" s="120"/>
      <c r="D664" s="120"/>
      <c r="E664" s="120"/>
      <c r="F664" s="120"/>
      <c r="G664" s="120"/>
      <c r="H664" s="120"/>
      <c r="I664" s="120"/>
      <c r="J664" s="120"/>
    </row>
    <row r="665">
      <c r="A665" s="120"/>
      <c r="B665" s="120"/>
      <c r="C665" s="120"/>
      <c r="D665" s="120"/>
      <c r="E665" s="120"/>
      <c r="F665" s="120"/>
      <c r="G665" s="120"/>
      <c r="H665" s="120"/>
      <c r="I665" s="120"/>
      <c r="J665" s="120"/>
    </row>
    <row r="666">
      <c r="A666" s="120"/>
      <c r="B666" s="120"/>
      <c r="C666" s="120"/>
      <c r="D666" s="120"/>
      <c r="E666" s="120"/>
      <c r="F666" s="120"/>
      <c r="G666" s="120"/>
      <c r="H666" s="120"/>
      <c r="I666" s="120"/>
      <c r="J666" s="120"/>
    </row>
    <row r="667">
      <c r="A667" s="120"/>
      <c r="B667" s="120"/>
      <c r="C667" s="120"/>
      <c r="D667" s="120"/>
      <c r="E667" s="120"/>
      <c r="F667" s="120"/>
      <c r="G667" s="120"/>
      <c r="H667" s="120"/>
      <c r="I667" s="120"/>
      <c r="J667" s="120"/>
    </row>
    <row r="668">
      <c r="A668" s="120"/>
      <c r="B668" s="120"/>
      <c r="C668" s="120"/>
      <c r="D668" s="120"/>
      <c r="E668" s="120"/>
      <c r="F668" s="120"/>
      <c r="G668" s="120"/>
      <c r="H668" s="120"/>
      <c r="I668" s="120"/>
      <c r="J668" s="120"/>
    </row>
    <row r="669">
      <c r="A669" s="120"/>
      <c r="B669" s="120"/>
      <c r="C669" s="120"/>
      <c r="D669" s="120"/>
      <c r="E669" s="120"/>
      <c r="F669" s="120"/>
      <c r="G669" s="120"/>
      <c r="H669" s="120"/>
      <c r="I669" s="120"/>
      <c r="J669" s="120"/>
    </row>
    <row r="670">
      <c r="A670" s="120"/>
      <c r="B670" s="120"/>
      <c r="C670" s="120"/>
      <c r="D670" s="120"/>
      <c r="E670" s="120"/>
      <c r="F670" s="120"/>
      <c r="G670" s="120"/>
      <c r="H670" s="120"/>
      <c r="I670" s="120"/>
      <c r="J670" s="120"/>
    </row>
    <row r="671">
      <c r="A671" s="120"/>
      <c r="B671" s="120"/>
      <c r="C671" s="120"/>
      <c r="D671" s="120"/>
      <c r="E671" s="120"/>
      <c r="F671" s="120"/>
      <c r="G671" s="120"/>
      <c r="H671" s="120"/>
      <c r="I671" s="120"/>
      <c r="J671" s="120"/>
    </row>
    <row r="672">
      <c r="A672" s="120"/>
      <c r="B672" s="120"/>
      <c r="C672" s="120"/>
      <c r="D672" s="120"/>
      <c r="E672" s="120"/>
      <c r="F672" s="120"/>
      <c r="G672" s="120"/>
      <c r="H672" s="120"/>
      <c r="I672" s="120"/>
      <c r="J672" s="120"/>
    </row>
    <row r="673">
      <c r="A673" s="120"/>
      <c r="B673" s="120"/>
      <c r="C673" s="120"/>
      <c r="D673" s="120"/>
      <c r="E673" s="120"/>
      <c r="F673" s="120"/>
      <c r="G673" s="120"/>
      <c r="H673" s="120"/>
      <c r="I673" s="120"/>
      <c r="J673" s="120"/>
    </row>
    <row r="674">
      <c r="A674" s="120"/>
      <c r="B674" s="120"/>
      <c r="C674" s="120"/>
      <c r="D674" s="120"/>
      <c r="E674" s="120"/>
      <c r="F674" s="120"/>
      <c r="G674" s="120"/>
      <c r="H674" s="120"/>
      <c r="I674" s="120"/>
      <c r="J674" s="120"/>
    </row>
    <row r="675">
      <c r="A675" s="120"/>
      <c r="B675" s="120"/>
      <c r="C675" s="120"/>
      <c r="D675" s="120"/>
      <c r="E675" s="120"/>
      <c r="F675" s="120"/>
      <c r="G675" s="120"/>
      <c r="H675" s="120"/>
      <c r="I675" s="120"/>
      <c r="J675" s="120"/>
    </row>
    <row r="676">
      <c r="A676" s="120"/>
      <c r="B676" s="120"/>
      <c r="C676" s="120"/>
      <c r="D676" s="120"/>
      <c r="E676" s="120"/>
      <c r="F676" s="120"/>
      <c r="G676" s="120"/>
      <c r="H676" s="120"/>
      <c r="I676" s="120"/>
      <c r="J676" s="120"/>
    </row>
    <row r="677">
      <c r="A677" s="120"/>
      <c r="B677" s="120"/>
      <c r="C677" s="120"/>
      <c r="D677" s="120"/>
      <c r="E677" s="120"/>
      <c r="F677" s="120"/>
      <c r="G677" s="120"/>
      <c r="H677" s="120"/>
      <c r="I677" s="120"/>
      <c r="J677" s="120"/>
    </row>
    <row r="678">
      <c r="A678" s="120"/>
      <c r="B678" s="120"/>
      <c r="C678" s="120"/>
      <c r="D678" s="120"/>
      <c r="E678" s="120"/>
      <c r="F678" s="120"/>
      <c r="G678" s="120"/>
      <c r="H678" s="120"/>
      <c r="I678" s="120"/>
      <c r="J678" s="120"/>
    </row>
    <row r="679">
      <c r="A679" s="120"/>
      <c r="B679" s="120"/>
      <c r="C679" s="120"/>
      <c r="D679" s="120"/>
      <c r="E679" s="120"/>
      <c r="F679" s="120"/>
      <c r="G679" s="120"/>
      <c r="H679" s="120"/>
      <c r="I679" s="120"/>
      <c r="J679" s="120"/>
    </row>
    <row r="680">
      <c r="A680" s="120"/>
      <c r="B680" s="120"/>
      <c r="C680" s="120"/>
      <c r="D680" s="120"/>
      <c r="E680" s="120"/>
      <c r="F680" s="120"/>
      <c r="G680" s="120"/>
      <c r="H680" s="120"/>
      <c r="I680" s="120"/>
      <c r="J680" s="120"/>
    </row>
    <row r="681">
      <c r="A681" s="120"/>
      <c r="B681" s="120"/>
      <c r="C681" s="120"/>
      <c r="D681" s="120"/>
      <c r="E681" s="120"/>
      <c r="F681" s="120"/>
      <c r="G681" s="120"/>
      <c r="H681" s="120"/>
      <c r="I681" s="120"/>
      <c r="J681" s="120"/>
    </row>
    <row r="682">
      <c r="A682" s="120"/>
      <c r="B682" s="120"/>
      <c r="C682" s="120"/>
      <c r="D682" s="120"/>
      <c r="E682" s="120"/>
      <c r="F682" s="120"/>
      <c r="G682" s="120"/>
      <c r="H682" s="120"/>
      <c r="I682" s="120"/>
      <c r="J682" s="120"/>
    </row>
    <row r="683">
      <c r="A683" s="120"/>
      <c r="B683" s="120"/>
      <c r="C683" s="120"/>
      <c r="D683" s="120"/>
      <c r="E683" s="120"/>
      <c r="F683" s="120"/>
      <c r="G683" s="120"/>
      <c r="H683" s="120"/>
      <c r="I683" s="120"/>
      <c r="J683" s="120"/>
    </row>
    <row r="684">
      <c r="A684" s="120"/>
      <c r="B684" s="120"/>
      <c r="C684" s="120"/>
      <c r="D684" s="120"/>
      <c r="E684" s="120"/>
      <c r="F684" s="120"/>
      <c r="G684" s="120"/>
      <c r="H684" s="120"/>
      <c r="I684" s="120"/>
      <c r="J684" s="120"/>
    </row>
    <row r="685">
      <c r="A685" s="120"/>
      <c r="B685" s="120"/>
      <c r="C685" s="120"/>
      <c r="D685" s="120"/>
      <c r="E685" s="120"/>
      <c r="F685" s="120"/>
      <c r="G685" s="120"/>
      <c r="H685" s="120"/>
      <c r="I685" s="120"/>
      <c r="J685" s="120"/>
    </row>
    <row r="686">
      <c r="A686" s="120"/>
      <c r="B686" s="120"/>
      <c r="C686" s="120"/>
      <c r="D686" s="120"/>
      <c r="E686" s="120"/>
      <c r="F686" s="120"/>
      <c r="G686" s="120"/>
      <c r="H686" s="120"/>
      <c r="I686" s="120"/>
      <c r="J686" s="120"/>
    </row>
    <row r="687">
      <c r="A687" s="120"/>
      <c r="B687" s="120"/>
      <c r="C687" s="120"/>
      <c r="D687" s="120"/>
      <c r="E687" s="120"/>
      <c r="F687" s="120"/>
      <c r="G687" s="120"/>
      <c r="H687" s="120"/>
      <c r="I687" s="120"/>
      <c r="J687" s="120"/>
    </row>
    <row r="688">
      <c r="A688" s="120"/>
      <c r="B688" s="120"/>
      <c r="C688" s="120"/>
      <c r="D688" s="120"/>
      <c r="E688" s="120"/>
      <c r="F688" s="120"/>
      <c r="G688" s="120"/>
      <c r="H688" s="120"/>
      <c r="I688" s="120"/>
      <c r="J688" s="120"/>
    </row>
    <row r="689">
      <c r="A689" s="120"/>
      <c r="B689" s="120"/>
      <c r="C689" s="120"/>
      <c r="D689" s="120"/>
      <c r="E689" s="120"/>
      <c r="F689" s="120"/>
      <c r="G689" s="120"/>
      <c r="H689" s="120"/>
      <c r="I689" s="120"/>
      <c r="J689" s="120"/>
    </row>
    <row r="690">
      <c r="A690" s="120"/>
      <c r="B690" s="120"/>
      <c r="C690" s="120"/>
      <c r="D690" s="120"/>
      <c r="E690" s="120"/>
      <c r="F690" s="120"/>
      <c r="G690" s="120"/>
      <c r="H690" s="120"/>
      <c r="I690" s="120"/>
      <c r="J690" s="120"/>
    </row>
    <row r="691">
      <c r="A691" s="120"/>
      <c r="B691" s="120"/>
      <c r="C691" s="120"/>
      <c r="D691" s="120"/>
      <c r="E691" s="120"/>
      <c r="F691" s="120"/>
      <c r="G691" s="120"/>
      <c r="H691" s="120"/>
      <c r="I691" s="120"/>
      <c r="J691" s="120"/>
    </row>
    <row r="692">
      <c r="A692" s="120"/>
      <c r="B692" s="120"/>
      <c r="C692" s="120"/>
      <c r="D692" s="120"/>
      <c r="E692" s="120"/>
      <c r="F692" s="120"/>
      <c r="G692" s="120"/>
      <c r="H692" s="120"/>
      <c r="I692" s="120"/>
      <c r="J692" s="120"/>
    </row>
    <row r="693">
      <c r="A693" s="120"/>
      <c r="B693" s="120"/>
      <c r="C693" s="120"/>
      <c r="D693" s="120"/>
      <c r="E693" s="120"/>
      <c r="F693" s="120"/>
      <c r="G693" s="120"/>
      <c r="H693" s="120"/>
      <c r="I693" s="120"/>
      <c r="J693" s="120"/>
    </row>
    <row r="694">
      <c r="A694" s="120"/>
      <c r="B694" s="120"/>
      <c r="C694" s="120"/>
      <c r="D694" s="120"/>
      <c r="E694" s="120"/>
      <c r="F694" s="120"/>
      <c r="G694" s="120"/>
      <c r="H694" s="120"/>
      <c r="I694" s="120"/>
      <c r="J694" s="120"/>
    </row>
    <row r="695">
      <c r="A695" s="120"/>
      <c r="B695" s="120"/>
      <c r="C695" s="120"/>
      <c r="D695" s="120"/>
      <c r="E695" s="120"/>
      <c r="F695" s="120"/>
      <c r="G695" s="120"/>
      <c r="H695" s="120"/>
      <c r="I695" s="120"/>
      <c r="J695" s="120"/>
    </row>
    <row r="696">
      <c r="A696" s="120"/>
      <c r="B696" s="120"/>
      <c r="C696" s="120"/>
      <c r="D696" s="120"/>
      <c r="E696" s="120"/>
      <c r="F696" s="120"/>
      <c r="G696" s="120"/>
      <c r="H696" s="120"/>
      <c r="I696" s="120"/>
      <c r="J696" s="120"/>
    </row>
    <row r="697">
      <c r="A697" s="120"/>
      <c r="B697" s="120"/>
      <c r="C697" s="120"/>
      <c r="D697" s="120"/>
      <c r="E697" s="120"/>
      <c r="F697" s="120"/>
      <c r="G697" s="120"/>
      <c r="H697" s="120"/>
      <c r="I697" s="120"/>
      <c r="J697" s="120"/>
    </row>
    <row r="698">
      <c r="A698" s="120"/>
      <c r="B698" s="120"/>
      <c r="C698" s="120"/>
      <c r="D698" s="120"/>
      <c r="E698" s="120"/>
      <c r="F698" s="120"/>
      <c r="G698" s="120"/>
      <c r="H698" s="120"/>
      <c r="I698" s="120"/>
      <c r="J698" s="120"/>
    </row>
    <row r="699">
      <c r="A699" s="120"/>
      <c r="B699" s="120"/>
      <c r="C699" s="120"/>
      <c r="D699" s="120"/>
      <c r="E699" s="120"/>
      <c r="F699" s="120"/>
      <c r="G699" s="120"/>
      <c r="H699" s="120"/>
      <c r="I699" s="120"/>
      <c r="J699" s="120"/>
    </row>
    <row r="700">
      <c r="A700" s="120"/>
      <c r="B700" s="120"/>
      <c r="C700" s="120"/>
      <c r="D700" s="120"/>
      <c r="E700" s="120"/>
      <c r="F700" s="120"/>
      <c r="G700" s="120"/>
      <c r="H700" s="120"/>
      <c r="I700" s="120"/>
      <c r="J700" s="120"/>
    </row>
    <row r="701">
      <c r="A701" s="120"/>
      <c r="B701" s="120"/>
      <c r="C701" s="120"/>
      <c r="D701" s="120"/>
      <c r="E701" s="120"/>
      <c r="F701" s="120"/>
      <c r="G701" s="120"/>
      <c r="H701" s="120"/>
      <c r="I701" s="120"/>
      <c r="J701" s="120"/>
    </row>
    <row r="702">
      <c r="A702" s="120"/>
      <c r="B702" s="120"/>
      <c r="C702" s="120"/>
      <c r="D702" s="120"/>
      <c r="E702" s="120"/>
      <c r="F702" s="120"/>
      <c r="G702" s="120"/>
      <c r="H702" s="120"/>
      <c r="I702" s="120"/>
      <c r="J702" s="120"/>
    </row>
    <row r="703">
      <c r="A703" s="120"/>
      <c r="B703" s="120"/>
      <c r="C703" s="120"/>
      <c r="D703" s="120"/>
      <c r="E703" s="120"/>
      <c r="F703" s="120"/>
      <c r="G703" s="120"/>
      <c r="H703" s="120"/>
      <c r="I703" s="120"/>
      <c r="J703" s="120"/>
    </row>
    <row r="704">
      <c r="A704" s="120"/>
      <c r="B704" s="120"/>
      <c r="C704" s="120"/>
      <c r="D704" s="120"/>
      <c r="E704" s="120"/>
      <c r="F704" s="120"/>
      <c r="G704" s="120"/>
      <c r="H704" s="120"/>
      <c r="I704" s="120"/>
      <c r="J704" s="120"/>
    </row>
    <row r="705">
      <c r="A705" s="120"/>
      <c r="B705" s="120"/>
      <c r="C705" s="120"/>
      <c r="D705" s="120"/>
      <c r="E705" s="120"/>
      <c r="F705" s="120"/>
      <c r="G705" s="120"/>
      <c r="H705" s="120"/>
      <c r="I705" s="120"/>
      <c r="J705" s="120"/>
    </row>
    <row r="706">
      <c r="A706" s="120"/>
      <c r="B706" s="120"/>
      <c r="C706" s="120"/>
      <c r="D706" s="120"/>
      <c r="E706" s="120"/>
      <c r="F706" s="120"/>
      <c r="G706" s="120"/>
      <c r="H706" s="120"/>
      <c r="I706" s="120"/>
      <c r="J706" s="120"/>
    </row>
    <row r="707">
      <c r="A707" s="120"/>
      <c r="B707" s="120"/>
      <c r="C707" s="120"/>
      <c r="D707" s="120"/>
      <c r="E707" s="120"/>
      <c r="F707" s="120"/>
      <c r="G707" s="120"/>
      <c r="H707" s="120"/>
      <c r="I707" s="120"/>
      <c r="J707" s="120"/>
    </row>
    <row r="708">
      <c r="A708" s="120"/>
      <c r="B708" s="120"/>
      <c r="C708" s="120"/>
      <c r="D708" s="120"/>
      <c r="E708" s="120"/>
      <c r="F708" s="120"/>
      <c r="G708" s="120"/>
      <c r="H708" s="120"/>
      <c r="I708" s="120"/>
      <c r="J708" s="120"/>
    </row>
    <row r="709">
      <c r="A709" s="120"/>
      <c r="B709" s="120"/>
      <c r="C709" s="120"/>
      <c r="D709" s="120"/>
      <c r="E709" s="120"/>
      <c r="F709" s="120"/>
      <c r="G709" s="120"/>
      <c r="H709" s="120"/>
      <c r="I709" s="120"/>
      <c r="J709" s="120"/>
    </row>
    <row r="710">
      <c r="A710" s="120"/>
      <c r="B710" s="120"/>
      <c r="C710" s="120"/>
      <c r="D710" s="120"/>
      <c r="E710" s="120"/>
      <c r="F710" s="120"/>
      <c r="G710" s="120"/>
      <c r="H710" s="120"/>
      <c r="I710" s="120"/>
      <c r="J710" s="120"/>
    </row>
    <row r="711">
      <c r="A711" s="120"/>
      <c r="B711" s="120"/>
      <c r="C711" s="120"/>
      <c r="D711" s="120"/>
      <c r="E711" s="120"/>
      <c r="F711" s="120"/>
      <c r="G711" s="120"/>
      <c r="H711" s="120"/>
      <c r="I711" s="120"/>
      <c r="J711" s="120"/>
    </row>
    <row r="712">
      <c r="A712" s="120"/>
      <c r="B712" s="120"/>
      <c r="C712" s="120"/>
      <c r="D712" s="120"/>
      <c r="E712" s="120"/>
      <c r="F712" s="120"/>
      <c r="G712" s="120"/>
      <c r="H712" s="120"/>
      <c r="I712" s="120"/>
      <c r="J712" s="120"/>
    </row>
    <row r="713">
      <c r="A713" s="120"/>
      <c r="B713" s="120"/>
      <c r="C713" s="120"/>
      <c r="D713" s="120"/>
      <c r="E713" s="120"/>
      <c r="F713" s="120"/>
      <c r="G713" s="120"/>
      <c r="H713" s="120"/>
      <c r="I713" s="120"/>
      <c r="J713" s="120"/>
    </row>
    <row r="714">
      <c r="A714" s="120"/>
      <c r="B714" s="120"/>
      <c r="C714" s="120"/>
      <c r="D714" s="120"/>
      <c r="E714" s="120"/>
      <c r="F714" s="120"/>
      <c r="G714" s="120"/>
      <c r="H714" s="120"/>
      <c r="I714" s="120"/>
      <c r="J714" s="120"/>
    </row>
    <row r="715">
      <c r="A715" s="120"/>
      <c r="B715" s="120"/>
      <c r="C715" s="120"/>
      <c r="D715" s="120"/>
      <c r="E715" s="120"/>
      <c r="F715" s="120"/>
      <c r="G715" s="120"/>
      <c r="H715" s="120"/>
      <c r="I715" s="120"/>
      <c r="J715" s="120"/>
    </row>
    <row r="716">
      <c r="A716" s="120"/>
      <c r="B716" s="120"/>
      <c r="C716" s="120"/>
      <c r="D716" s="120"/>
      <c r="E716" s="120"/>
      <c r="F716" s="120"/>
      <c r="G716" s="120"/>
      <c r="H716" s="120"/>
      <c r="I716" s="120"/>
      <c r="J716" s="120"/>
    </row>
    <row r="717">
      <c r="A717" s="120"/>
      <c r="B717" s="120"/>
      <c r="C717" s="120"/>
      <c r="D717" s="120"/>
      <c r="E717" s="120"/>
      <c r="F717" s="120"/>
      <c r="G717" s="120"/>
      <c r="H717" s="120"/>
      <c r="I717" s="120"/>
      <c r="J717" s="120"/>
    </row>
    <row r="718">
      <c r="A718" s="120"/>
      <c r="B718" s="120"/>
      <c r="C718" s="120"/>
      <c r="D718" s="120"/>
      <c r="E718" s="120"/>
      <c r="F718" s="120"/>
      <c r="G718" s="120"/>
      <c r="H718" s="120"/>
      <c r="I718" s="120"/>
      <c r="J718" s="120"/>
    </row>
    <row r="719">
      <c r="A719" s="120"/>
      <c r="B719" s="120"/>
      <c r="C719" s="120"/>
      <c r="D719" s="120"/>
      <c r="E719" s="120"/>
      <c r="F719" s="120"/>
      <c r="G719" s="120"/>
      <c r="H719" s="120"/>
      <c r="I719" s="120"/>
      <c r="J719" s="120"/>
    </row>
    <row r="720">
      <c r="A720" s="120"/>
      <c r="B720" s="120"/>
      <c r="C720" s="120"/>
      <c r="D720" s="120"/>
      <c r="E720" s="120"/>
      <c r="F720" s="120"/>
      <c r="G720" s="120"/>
      <c r="H720" s="120"/>
      <c r="I720" s="120"/>
      <c r="J720" s="120"/>
    </row>
    <row r="721">
      <c r="A721" s="120"/>
      <c r="B721" s="120"/>
      <c r="C721" s="120"/>
      <c r="D721" s="120"/>
      <c r="E721" s="120"/>
      <c r="F721" s="120"/>
      <c r="G721" s="120"/>
      <c r="H721" s="120"/>
      <c r="I721" s="120"/>
      <c r="J721" s="120"/>
    </row>
    <row r="722">
      <c r="A722" s="120"/>
      <c r="B722" s="120"/>
      <c r="C722" s="120"/>
      <c r="D722" s="120"/>
      <c r="E722" s="120"/>
      <c r="F722" s="120"/>
      <c r="G722" s="120"/>
      <c r="H722" s="120"/>
      <c r="I722" s="120"/>
      <c r="J722" s="120"/>
    </row>
    <row r="723">
      <c r="A723" s="120"/>
      <c r="B723" s="120"/>
      <c r="C723" s="120"/>
      <c r="D723" s="120"/>
      <c r="E723" s="120"/>
      <c r="F723" s="120"/>
      <c r="G723" s="120"/>
      <c r="H723" s="120"/>
      <c r="I723" s="120"/>
      <c r="J723" s="120"/>
    </row>
    <row r="724">
      <c r="A724" s="120"/>
      <c r="B724" s="120"/>
      <c r="C724" s="120"/>
      <c r="D724" s="120"/>
      <c r="E724" s="120"/>
      <c r="F724" s="120"/>
      <c r="G724" s="120"/>
      <c r="H724" s="120"/>
      <c r="I724" s="120"/>
      <c r="J724" s="120"/>
    </row>
    <row r="725">
      <c r="A725" s="120"/>
      <c r="B725" s="120"/>
      <c r="C725" s="120"/>
      <c r="D725" s="120"/>
      <c r="E725" s="120"/>
      <c r="F725" s="120"/>
      <c r="G725" s="120"/>
      <c r="H725" s="120"/>
      <c r="I725" s="120"/>
      <c r="J725" s="120"/>
    </row>
    <row r="726">
      <c r="A726" s="120"/>
      <c r="B726" s="120"/>
      <c r="C726" s="120"/>
      <c r="D726" s="120"/>
      <c r="E726" s="120"/>
      <c r="F726" s="120"/>
      <c r="G726" s="120"/>
      <c r="H726" s="120"/>
      <c r="I726" s="120"/>
      <c r="J726" s="120"/>
    </row>
    <row r="727">
      <c r="A727" s="120"/>
      <c r="B727" s="120"/>
      <c r="C727" s="120"/>
      <c r="D727" s="120"/>
      <c r="E727" s="120"/>
      <c r="F727" s="120"/>
      <c r="G727" s="120"/>
      <c r="H727" s="120"/>
      <c r="I727" s="120"/>
      <c r="J727" s="120"/>
    </row>
    <row r="728">
      <c r="A728" s="120"/>
      <c r="B728" s="120"/>
      <c r="C728" s="120"/>
      <c r="D728" s="120"/>
      <c r="E728" s="120"/>
      <c r="F728" s="120"/>
      <c r="G728" s="120"/>
      <c r="H728" s="120"/>
      <c r="I728" s="120"/>
      <c r="J728" s="120"/>
    </row>
    <row r="729">
      <c r="A729" s="120"/>
      <c r="B729" s="120"/>
      <c r="C729" s="120"/>
      <c r="D729" s="120"/>
      <c r="E729" s="120"/>
      <c r="F729" s="120"/>
      <c r="G729" s="120"/>
      <c r="H729" s="120"/>
      <c r="I729" s="120"/>
      <c r="J729" s="120"/>
    </row>
    <row r="730">
      <c r="A730" s="120"/>
      <c r="B730" s="120"/>
      <c r="C730" s="120"/>
      <c r="D730" s="120"/>
      <c r="E730" s="120"/>
      <c r="F730" s="120"/>
      <c r="G730" s="120"/>
      <c r="H730" s="120"/>
      <c r="I730" s="120"/>
      <c r="J730" s="120"/>
    </row>
    <row r="731">
      <c r="A731" s="120"/>
      <c r="B731" s="120"/>
      <c r="C731" s="120"/>
      <c r="D731" s="120"/>
      <c r="E731" s="120"/>
      <c r="F731" s="120"/>
      <c r="G731" s="120"/>
      <c r="H731" s="120"/>
      <c r="I731" s="120"/>
      <c r="J731" s="120"/>
    </row>
    <row r="732">
      <c r="A732" s="120"/>
      <c r="B732" s="120"/>
      <c r="C732" s="120"/>
      <c r="D732" s="120"/>
      <c r="E732" s="120"/>
      <c r="F732" s="120"/>
      <c r="G732" s="120"/>
      <c r="H732" s="120"/>
      <c r="I732" s="120"/>
      <c r="J732" s="120"/>
    </row>
    <row r="733">
      <c r="A733" s="120"/>
      <c r="B733" s="120"/>
      <c r="C733" s="120"/>
      <c r="D733" s="120"/>
      <c r="E733" s="120"/>
      <c r="F733" s="120"/>
      <c r="G733" s="120"/>
      <c r="H733" s="120"/>
      <c r="I733" s="120"/>
      <c r="J733" s="120"/>
    </row>
    <row r="734">
      <c r="A734" s="120"/>
      <c r="B734" s="120"/>
      <c r="C734" s="120"/>
      <c r="D734" s="120"/>
      <c r="E734" s="120"/>
      <c r="F734" s="120"/>
      <c r="G734" s="120"/>
      <c r="H734" s="120"/>
      <c r="I734" s="120"/>
      <c r="J734" s="120"/>
    </row>
    <row r="735">
      <c r="A735" s="120"/>
      <c r="B735" s="120"/>
      <c r="C735" s="120"/>
      <c r="D735" s="120"/>
      <c r="E735" s="120"/>
      <c r="F735" s="120"/>
      <c r="G735" s="120"/>
      <c r="H735" s="120"/>
      <c r="I735" s="120"/>
      <c r="J735" s="120"/>
    </row>
    <row r="736">
      <c r="A736" s="120"/>
      <c r="B736" s="120"/>
      <c r="C736" s="120"/>
      <c r="D736" s="120"/>
      <c r="E736" s="120"/>
      <c r="F736" s="120"/>
      <c r="G736" s="120"/>
      <c r="H736" s="120"/>
      <c r="I736" s="120"/>
      <c r="J736" s="120"/>
    </row>
    <row r="737">
      <c r="A737" s="120"/>
      <c r="B737" s="120"/>
      <c r="C737" s="120"/>
      <c r="D737" s="120"/>
      <c r="E737" s="120"/>
      <c r="F737" s="120"/>
      <c r="G737" s="120"/>
      <c r="H737" s="120"/>
      <c r="I737" s="120"/>
      <c r="J737" s="120"/>
    </row>
    <row r="738">
      <c r="A738" s="120"/>
      <c r="B738" s="120"/>
      <c r="C738" s="120"/>
      <c r="D738" s="120"/>
      <c r="E738" s="120"/>
      <c r="F738" s="120"/>
      <c r="G738" s="120"/>
      <c r="H738" s="120"/>
      <c r="I738" s="120"/>
      <c r="J738" s="120"/>
    </row>
    <row r="739">
      <c r="A739" s="120"/>
      <c r="B739" s="120"/>
      <c r="C739" s="120"/>
      <c r="D739" s="120"/>
      <c r="E739" s="120"/>
      <c r="F739" s="120"/>
      <c r="G739" s="120"/>
      <c r="H739" s="120"/>
      <c r="I739" s="120"/>
      <c r="J739" s="120"/>
    </row>
    <row r="740">
      <c r="A740" s="120"/>
      <c r="B740" s="120"/>
      <c r="C740" s="120"/>
      <c r="D740" s="120"/>
      <c r="E740" s="120"/>
      <c r="F740" s="120"/>
      <c r="G740" s="120"/>
      <c r="H740" s="120"/>
      <c r="I740" s="120"/>
      <c r="J740" s="120"/>
    </row>
    <row r="741">
      <c r="A741" s="120"/>
      <c r="B741" s="120"/>
      <c r="C741" s="120"/>
      <c r="D741" s="120"/>
      <c r="E741" s="120"/>
      <c r="F741" s="120"/>
      <c r="G741" s="120"/>
      <c r="H741" s="120"/>
      <c r="I741" s="120"/>
      <c r="J741" s="120"/>
    </row>
    <row r="742">
      <c r="A742" s="120"/>
      <c r="B742" s="120"/>
      <c r="C742" s="120"/>
      <c r="D742" s="120"/>
      <c r="E742" s="120"/>
      <c r="F742" s="120"/>
      <c r="G742" s="120"/>
      <c r="H742" s="120"/>
      <c r="I742" s="120"/>
      <c r="J742" s="120"/>
    </row>
    <row r="743">
      <c r="A743" s="120"/>
      <c r="B743" s="120"/>
      <c r="C743" s="120"/>
      <c r="D743" s="120"/>
      <c r="E743" s="120"/>
      <c r="F743" s="120"/>
      <c r="G743" s="120"/>
      <c r="H743" s="120"/>
      <c r="I743" s="120"/>
      <c r="J743" s="120"/>
    </row>
    <row r="744">
      <c r="A744" s="120"/>
      <c r="B744" s="120"/>
      <c r="C744" s="120"/>
      <c r="D744" s="120"/>
      <c r="E744" s="120"/>
      <c r="F744" s="120"/>
      <c r="G744" s="120"/>
      <c r="H744" s="120"/>
      <c r="I744" s="120"/>
      <c r="J744" s="120"/>
    </row>
    <row r="745">
      <c r="A745" s="120"/>
      <c r="B745" s="120"/>
      <c r="C745" s="120"/>
      <c r="D745" s="120"/>
      <c r="E745" s="120"/>
      <c r="F745" s="120"/>
      <c r="G745" s="120"/>
      <c r="H745" s="120"/>
      <c r="I745" s="120"/>
      <c r="J745" s="120"/>
    </row>
    <row r="746">
      <c r="A746" s="120"/>
      <c r="B746" s="120"/>
      <c r="C746" s="120"/>
      <c r="D746" s="120"/>
      <c r="E746" s="120"/>
      <c r="F746" s="120"/>
      <c r="G746" s="120"/>
      <c r="H746" s="120"/>
      <c r="I746" s="120"/>
      <c r="J746" s="120"/>
    </row>
    <row r="747">
      <c r="A747" s="120"/>
      <c r="B747" s="120"/>
      <c r="C747" s="120"/>
      <c r="D747" s="120"/>
      <c r="E747" s="120"/>
      <c r="F747" s="120"/>
      <c r="G747" s="120"/>
      <c r="H747" s="120"/>
      <c r="I747" s="120"/>
      <c r="J747" s="120"/>
    </row>
    <row r="748">
      <c r="A748" s="120"/>
      <c r="B748" s="120"/>
      <c r="C748" s="120"/>
      <c r="D748" s="120"/>
      <c r="E748" s="120"/>
      <c r="F748" s="120"/>
      <c r="G748" s="120"/>
      <c r="H748" s="120"/>
      <c r="I748" s="120"/>
      <c r="J748" s="120"/>
    </row>
    <row r="749">
      <c r="A749" s="120"/>
      <c r="B749" s="120"/>
      <c r="C749" s="120"/>
      <c r="D749" s="120"/>
      <c r="E749" s="120"/>
      <c r="F749" s="120"/>
      <c r="G749" s="120"/>
      <c r="H749" s="120"/>
      <c r="I749" s="120"/>
      <c r="J749" s="120"/>
    </row>
    <row r="750">
      <c r="A750" s="120"/>
      <c r="B750" s="120"/>
      <c r="C750" s="120"/>
      <c r="D750" s="120"/>
      <c r="E750" s="120"/>
      <c r="F750" s="120"/>
      <c r="G750" s="120"/>
      <c r="H750" s="120"/>
      <c r="I750" s="120"/>
      <c r="J750" s="120"/>
    </row>
    <row r="751">
      <c r="A751" s="120"/>
      <c r="B751" s="120"/>
      <c r="C751" s="120"/>
      <c r="D751" s="120"/>
      <c r="E751" s="120"/>
      <c r="F751" s="120"/>
      <c r="G751" s="120"/>
      <c r="H751" s="120"/>
      <c r="I751" s="120"/>
      <c r="J751" s="120"/>
    </row>
    <row r="752">
      <c r="A752" s="120"/>
      <c r="B752" s="120"/>
      <c r="C752" s="120"/>
      <c r="D752" s="120"/>
      <c r="E752" s="120"/>
      <c r="F752" s="120"/>
      <c r="G752" s="120"/>
      <c r="H752" s="120"/>
      <c r="I752" s="120"/>
      <c r="J752" s="120"/>
    </row>
    <row r="753">
      <c r="A753" s="120"/>
      <c r="B753" s="120"/>
      <c r="C753" s="120"/>
      <c r="D753" s="120"/>
      <c r="E753" s="120"/>
      <c r="F753" s="120"/>
      <c r="G753" s="120"/>
      <c r="H753" s="120"/>
      <c r="I753" s="120"/>
      <c r="J753" s="120"/>
    </row>
    <row r="754">
      <c r="A754" s="120"/>
      <c r="B754" s="120"/>
      <c r="C754" s="120"/>
      <c r="D754" s="120"/>
      <c r="E754" s="120"/>
      <c r="F754" s="120"/>
      <c r="G754" s="120"/>
      <c r="H754" s="120"/>
      <c r="I754" s="120"/>
      <c r="J754" s="120"/>
    </row>
    <row r="755">
      <c r="A755" s="120"/>
      <c r="B755" s="120"/>
      <c r="C755" s="120"/>
      <c r="D755" s="120"/>
      <c r="E755" s="120"/>
      <c r="F755" s="120"/>
      <c r="G755" s="120"/>
      <c r="H755" s="120"/>
      <c r="I755" s="120"/>
      <c r="J755" s="120"/>
    </row>
    <row r="756">
      <c r="A756" s="120"/>
      <c r="B756" s="120"/>
      <c r="C756" s="120"/>
      <c r="D756" s="120"/>
      <c r="E756" s="120"/>
      <c r="F756" s="120"/>
      <c r="G756" s="120"/>
      <c r="H756" s="120"/>
      <c r="I756" s="120"/>
      <c r="J756" s="120"/>
    </row>
    <row r="757">
      <c r="A757" s="120"/>
      <c r="B757" s="120"/>
      <c r="C757" s="120"/>
      <c r="D757" s="120"/>
      <c r="E757" s="120"/>
      <c r="F757" s="120"/>
      <c r="G757" s="120"/>
      <c r="H757" s="120"/>
      <c r="I757" s="120"/>
      <c r="J757" s="120"/>
    </row>
    <row r="758">
      <c r="A758" s="120"/>
      <c r="B758" s="120"/>
      <c r="C758" s="120"/>
      <c r="D758" s="120"/>
      <c r="E758" s="120"/>
      <c r="F758" s="120"/>
      <c r="G758" s="120"/>
      <c r="H758" s="120"/>
      <c r="I758" s="120"/>
      <c r="J758" s="120"/>
    </row>
    <row r="759">
      <c r="A759" s="120"/>
      <c r="B759" s="120"/>
      <c r="C759" s="120"/>
      <c r="D759" s="120"/>
      <c r="E759" s="120"/>
      <c r="F759" s="120"/>
      <c r="G759" s="120"/>
      <c r="H759" s="120"/>
      <c r="I759" s="120"/>
      <c r="J759" s="120"/>
    </row>
    <row r="760">
      <c r="A760" s="120"/>
      <c r="B760" s="120"/>
      <c r="C760" s="120"/>
      <c r="D760" s="120"/>
      <c r="E760" s="120"/>
      <c r="F760" s="120"/>
      <c r="G760" s="120"/>
      <c r="H760" s="120"/>
      <c r="I760" s="120"/>
      <c r="J760" s="120"/>
    </row>
    <row r="761">
      <c r="A761" s="120"/>
      <c r="B761" s="120"/>
      <c r="C761" s="120"/>
      <c r="D761" s="120"/>
      <c r="E761" s="120"/>
      <c r="F761" s="120"/>
      <c r="G761" s="120"/>
      <c r="H761" s="120"/>
      <c r="I761" s="120"/>
      <c r="J761" s="120"/>
    </row>
    <row r="762">
      <c r="A762" s="120"/>
      <c r="B762" s="120"/>
      <c r="C762" s="120"/>
      <c r="D762" s="120"/>
      <c r="E762" s="120"/>
      <c r="F762" s="120"/>
      <c r="G762" s="120"/>
      <c r="H762" s="120"/>
      <c r="I762" s="120"/>
      <c r="J762" s="120"/>
    </row>
    <row r="763">
      <c r="A763" s="120"/>
      <c r="B763" s="120"/>
      <c r="C763" s="120"/>
      <c r="D763" s="120"/>
      <c r="E763" s="120"/>
      <c r="F763" s="120"/>
      <c r="G763" s="120"/>
      <c r="H763" s="120"/>
      <c r="I763" s="120"/>
      <c r="J763" s="120"/>
    </row>
    <row r="764">
      <c r="A764" s="120"/>
      <c r="B764" s="120"/>
      <c r="C764" s="120"/>
      <c r="D764" s="120"/>
      <c r="E764" s="120"/>
      <c r="F764" s="120"/>
      <c r="G764" s="120"/>
      <c r="H764" s="120"/>
      <c r="I764" s="120"/>
      <c r="J764" s="120"/>
    </row>
    <row r="765">
      <c r="A765" s="120"/>
      <c r="B765" s="120"/>
      <c r="C765" s="120"/>
      <c r="D765" s="120"/>
      <c r="E765" s="120"/>
      <c r="F765" s="120"/>
      <c r="G765" s="120"/>
      <c r="H765" s="120"/>
      <c r="I765" s="120"/>
      <c r="J765" s="120"/>
    </row>
    <row r="766">
      <c r="A766" s="120"/>
      <c r="B766" s="120"/>
      <c r="C766" s="120"/>
      <c r="D766" s="120"/>
      <c r="E766" s="120"/>
      <c r="F766" s="120"/>
      <c r="G766" s="120"/>
      <c r="H766" s="120"/>
      <c r="I766" s="120"/>
      <c r="J766" s="120"/>
    </row>
    <row r="767">
      <c r="A767" s="120"/>
      <c r="B767" s="120"/>
      <c r="C767" s="120"/>
      <c r="D767" s="120"/>
      <c r="E767" s="120"/>
      <c r="F767" s="120"/>
      <c r="G767" s="120"/>
      <c r="H767" s="120"/>
      <c r="I767" s="120"/>
      <c r="J767" s="120"/>
    </row>
    <row r="768">
      <c r="A768" s="120"/>
      <c r="B768" s="120"/>
      <c r="C768" s="120"/>
      <c r="D768" s="120"/>
      <c r="E768" s="120"/>
      <c r="F768" s="120"/>
      <c r="G768" s="120"/>
      <c r="H768" s="120"/>
      <c r="I768" s="120"/>
      <c r="J768" s="120"/>
    </row>
    <row r="769">
      <c r="A769" s="120"/>
      <c r="B769" s="120"/>
      <c r="C769" s="120"/>
      <c r="D769" s="120"/>
      <c r="E769" s="120"/>
      <c r="F769" s="120"/>
      <c r="G769" s="120"/>
      <c r="H769" s="120"/>
      <c r="I769" s="120"/>
      <c r="J769" s="120"/>
    </row>
    <row r="770">
      <c r="A770" s="120"/>
      <c r="B770" s="120"/>
      <c r="C770" s="120"/>
      <c r="D770" s="120"/>
      <c r="E770" s="120"/>
      <c r="F770" s="120"/>
      <c r="G770" s="120"/>
      <c r="H770" s="120"/>
      <c r="I770" s="120"/>
      <c r="J770" s="120"/>
    </row>
    <row r="771">
      <c r="A771" s="120"/>
      <c r="B771" s="120"/>
      <c r="C771" s="120"/>
      <c r="D771" s="120"/>
      <c r="E771" s="120"/>
      <c r="F771" s="120"/>
      <c r="G771" s="120"/>
      <c r="H771" s="120"/>
      <c r="I771" s="120"/>
      <c r="J771" s="120"/>
    </row>
    <row r="772">
      <c r="A772" s="120"/>
      <c r="B772" s="120"/>
      <c r="C772" s="120"/>
      <c r="D772" s="120"/>
      <c r="E772" s="120"/>
      <c r="F772" s="120"/>
      <c r="G772" s="120"/>
      <c r="H772" s="120"/>
      <c r="I772" s="120"/>
      <c r="J772" s="120"/>
    </row>
    <row r="773">
      <c r="A773" s="120"/>
      <c r="B773" s="120"/>
      <c r="C773" s="120"/>
      <c r="D773" s="120"/>
      <c r="E773" s="120"/>
      <c r="F773" s="120"/>
      <c r="G773" s="120"/>
      <c r="H773" s="120"/>
      <c r="I773" s="120"/>
      <c r="J773" s="120"/>
    </row>
    <row r="774">
      <c r="A774" s="120"/>
      <c r="B774" s="120"/>
      <c r="C774" s="120"/>
      <c r="D774" s="120"/>
      <c r="E774" s="120"/>
      <c r="F774" s="120"/>
      <c r="G774" s="120"/>
      <c r="H774" s="120"/>
      <c r="I774" s="120"/>
      <c r="J774" s="120"/>
    </row>
    <row r="775">
      <c r="A775" s="120"/>
      <c r="B775" s="120"/>
      <c r="C775" s="120"/>
      <c r="D775" s="120"/>
      <c r="E775" s="120"/>
      <c r="F775" s="120"/>
      <c r="G775" s="120"/>
      <c r="H775" s="120"/>
      <c r="I775" s="120"/>
      <c r="J775" s="120"/>
    </row>
    <row r="776">
      <c r="A776" s="120"/>
      <c r="B776" s="120"/>
      <c r="C776" s="120"/>
      <c r="D776" s="120"/>
      <c r="E776" s="120"/>
      <c r="F776" s="120"/>
      <c r="G776" s="120"/>
      <c r="H776" s="120"/>
      <c r="I776" s="120"/>
      <c r="J776" s="120"/>
    </row>
    <row r="777">
      <c r="A777" s="120"/>
      <c r="B777" s="120"/>
      <c r="C777" s="120"/>
      <c r="D777" s="120"/>
      <c r="E777" s="120"/>
      <c r="F777" s="120"/>
      <c r="G777" s="120"/>
      <c r="H777" s="120"/>
      <c r="I777" s="120"/>
      <c r="J777" s="120"/>
    </row>
    <row r="778">
      <c r="A778" s="120"/>
      <c r="B778" s="120"/>
      <c r="C778" s="120"/>
      <c r="D778" s="120"/>
      <c r="E778" s="120"/>
      <c r="F778" s="120"/>
      <c r="G778" s="120"/>
      <c r="H778" s="120"/>
      <c r="I778" s="120"/>
      <c r="J778" s="120"/>
    </row>
    <row r="779">
      <c r="A779" s="120"/>
      <c r="B779" s="120"/>
      <c r="C779" s="120"/>
      <c r="D779" s="120"/>
      <c r="E779" s="120"/>
      <c r="F779" s="120"/>
      <c r="G779" s="120"/>
      <c r="H779" s="120"/>
      <c r="I779" s="120"/>
      <c r="J779" s="120"/>
    </row>
    <row r="780">
      <c r="A780" s="120"/>
      <c r="B780" s="120"/>
      <c r="C780" s="120"/>
      <c r="D780" s="120"/>
      <c r="E780" s="120"/>
      <c r="F780" s="120"/>
      <c r="G780" s="120"/>
      <c r="H780" s="120"/>
      <c r="I780" s="120"/>
      <c r="J780" s="120"/>
    </row>
    <row r="781">
      <c r="A781" s="120"/>
      <c r="B781" s="120"/>
      <c r="C781" s="120"/>
      <c r="D781" s="120"/>
      <c r="E781" s="120"/>
      <c r="F781" s="120"/>
      <c r="G781" s="120"/>
      <c r="H781" s="120"/>
      <c r="I781" s="120"/>
      <c r="J781" s="120"/>
    </row>
    <row r="782">
      <c r="A782" s="120"/>
      <c r="B782" s="120"/>
      <c r="C782" s="120"/>
      <c r="D782" s="120"/>
      <c r="E782" s="120"/>
      <c r="F782" s="120"/>
      <c r="G782" s="120"/>
      <c r="H782" s="120"/>
      <c r="I782" s="120"/>
      <c r="J782" s="120"/>
    </row>
    <row r="783">
      <c r="A783" s="120"/>
      <c r="B783" s="120"/>
      <c r="C783" s="120"/>
      <c r="D783" s="120"/>
      <c r="E783" s="120"/>
      <c r="F783" s="120"/>
      <c r="G783" s="120"/>
      <c r="H783" s="120"/>
      <c r="I783" s="120"/>
      <c r="J783" s="120"/>
    </row>
    <row r="784">
      <c r="A784" s="120"/>
      <c r="B784" s="120"/>
      <c r="C784" s="120"/>
      <c r="D784" s="120"/>
      <c r="E784" s="120"/>
      <c r="F784" s="120"/>
      <c r="G784" s="120"/>
      <c r="H784" s="120"/>
      <c r="I784" s="120"/>
      <c r="J784" s="120"/>
    </row>
    <row r="785">
      <c r="A785" s="120"/>
      <c r="B785" s="120"/>
      <c r="C785" s="120"/>
      <c r="D785" s="120"/>
      <c r="E785" s="120"/>
      <c r="F785" s="120"/>
      <c r="G785" s="120"/>
      <c r="H785" s="120"/>
      <c r="I785" s="120"/>
      <c r="J785" s="120"/>
    </row>
    <row r="786">
      <c r="A786" s="120"/>
      <c r="B786" s="120"/>
      <c r="C786" s="120"/>
      <c r="D786" s="120"/>
      <c r="E786" s="120"/>
      <c r="F786" s="120"/>
      <c r="G786" s="120"/>
      <c r="H786" s="120"/>
      <c r="I786" s="120"/>
      <c r="J786" s="120"/>
    </row>
    <row r="787">
      <c r="A787" s="120"/>
      <c r="B787" s="120"/>
      <c r="C787" s="120"/>
      <c r="D787" s="120"/>
      <c r="E787" s="120"/>
      <c r="F787" s="120"/>
      <c r="G787" s="120"/>
      <c r="H787" s="120"/>
      <c r="I787" s="120"/>
      <c r="J787" s="120"/>
    </row>
    <row r="788">
      <c r="A788" s="120"/>
      <c r="B788" s="120"/>
      <c r="C788" s="120"/>
      <c r="D788" s="120"/>
      <c r="E788" s="120"/>
      <c r="F788" s="120"/>
      <c r="G788" s="120"/>
      <c r="H788" s="120"/>
      <c r="I788" s="120"/>
      <c r="J788" s="120"/>
    </row>
    <row r="789">
      <c r="A789" s="120"/>
      <c r="B789" s="120"/>
      <c r="C789" s="120"/>
      <c r="D789" s="120"/>
      <c r="E789" s="120"/>
      <c r="F789" s="120"/>
      <c r="G789" s="120"/>
      <c r="H789" s="120"/>
      <c r="I789" s="120"/>
      <c r="J789" s="120"/>
    </row>
    <row r="790">
      <c r="A790" s="120"/>
      <c r="B790" s="120"/>
      <c r="C790" s="120"/>
      <c r="D790" s="120"/>
      <c r="E790" s="120"/>
      <c r="F790" s="120"/>
      <c r="G790" s="120"/>
      <c r="H790" s="120"/>
      <c r="I790" s="120"/>
      <c r="J790" s="120"/>
    </row>
    <row r="791">
      <c r="A791" s="120"/>
      <c r="B791" s="120"/>
      <c r="C791" s="120"/>
      <c r="D791" s="120"/>
      <c r="E791" s="120"/>
      <c r="F791" s="120"/>
      <c r="G791" s="120"/>
      <c r="H791" s="120"/>
      <c r="I791" s="120"/>
      <c r="J791" s="120"/>
    </row>
    <row r="792">
      <c r="A792" s="120"/>
      <c r="B792" s="120"/>
      <c r="C792" s="120"/>
      <c r="D792" s="120"/>
      <c r="E792" s="120"/>
      <c r="F792" s="120"/>
      <c r="G792" s="120"/>
      <c r="H792" s="120"/>
      <c r="I792" s="120"/>
      <c r="J792" s="120"/>
    </row>
    <row r="793">
      <c r="A793" s="120"/>
      <c r="B793" s="120"/>
      <c r="C793" s="120"/>
      <c r="D793" s="120"/>
      <c r="E793" s="120"/>
      <c r="F793" s="120"/>
      <c r="G793" s="120"/>
      <c r="H793" s="120"/>
      <c r="I793" s="120"/>
      <c r="J793" s="120"/>
    </row>
    <row r="794">
      <c r="A794" s="120"/>
      <c r="B794" s="120"/>
      <c r="C794" s="120"/>
      <c r="D794" s="120"/>
      <c r="E794" s="120"/>
      <c r="F794" s="120"/>
      <c r="G794" s="120"/>
      <c r="H794" s="120"/>
      <c r="I794" s="120"/>
      <c r="J794" s="120"/>
    </row>
    <row r="795">
      <c r="A795" s="120"/>
      <c r="B795" s="120"/>
      <c r="C795" s="120"/>
      <c r="D795" s="120"/>
      <c r="E795" s="120"/>
      <c r="F795" s="120"/>
      <c r="G795" s="120"/>
      <c r="H795" s="120"/>
      <c r="I795" s="120"/>
      <c r="J795" s="120"/>
    </row>
    <row r="796">
      <c r="A796" s="120"/>
      <c r="B796" s="120"/>
      <c r="C796" s="120"/>
      <c r="D796" s="120"/>
      <c r="E796" s="120"/>
      <c r="F796" s="120"/>
      <c r="G796" s="120"/>
      <c r="H796" s="120"/>
      <c r="I796" s="120"/>
      <c r="J796" s="120"/>
    </row>
    <row r="797">
      <c r="A797" s="120"/>
      <c r="B797" s="120"/>
      <c r="C797" s="120"/>
      <c r="D797" s="120"/>
      <c r="E797" s="120"/>
      <c r="F797" s="120"/>
      <c r="G797" s="120"/>
      <c r="H797" s="120"/>
      <c r="I797" s="120"/>
      <c r="J797" s="120"/>
    </row>
    <row r="798">
      <c r="A798" s="120"/>
      <c r="B798" s="120"/>
      <c r="C798" s="120"/>
      <c r="D798" s="120"/>
      <c r="E798" s="120"/>
      <c r="F798" s="120"/>
      <c r="G798" s="120"/>
      <c r="H798" s="120"/>
      <c r="I798" s="120"/>
      <c r="J798" s="120"/>
    </row>
    <row r="799">
      <c r="A799" s="120"/>
      <c r="B799" s="120"/>
      <c r="C799" s="120"/>
      <c r="D799" s="120"/>
      <c r="E799" s="120"/>
      <c r="F799" s="120"/>
      <c r="G799" s="120"/>
      <c r="H799" s="120"/>
      <c r="I799" s="120"/>
      <c r="J799" s="120"/>
    </row>
    <row r="800">
      <c r="A800" s="120"/>
      <c r="B800" s="120"/>
      <c r="C800" s="120"/>
      <c r="D800" s="120"/>
      <c r="E800" s="120"/>
      <c r="F800" s="120"/>
      <c r="G800" s="120"/>
      <c r="H800" s="120"/>
      <c r="I800" s="120"/>
      <c r="J800" s="120"/>
    </row>
    <row r="801">
      <c r="A801" s="120"/>
      <c r="B801" s="120"/>
      <c r="C801" s="120"/>
      <c r="D801" s="120"/>
      <c r="E801" s="120"/>
      <c r="F801" s="120"/>
      <c r="G801" s="120"/>
      <c r="H801" s="120"/>
      <c r="I801" s="120"/>
      <c r="J801" s="120"/>
    </row>
    <row r="802">
      <c r="A802" s="120"/>
      <c r="B802" s="120"/>
      <c r="C802" s="120"/>
      <c r="D802" s="120"/>
      <c r="E802" s="120"/>
      <c r="F802" s="120"/>
      <c r="G802" s="120"/>
      <c r="H802" s="120"/>
      <c r="I802" s="120"/>
      <c r="J802" s="120"/>
    </row>
    <row r="803">
      <c r="A803" s="120"/>
      <c r="B803" s="120"/>
      <c r="C803" s="120"/>
      <c r="D803" s="120"/>
      <c r="E803" s="120"/>
      <c r="F803" s="120"/>
      <c r="G803" s="120"/>
      <c r="H803" s="120"/>
      <c r="I803" s="120"/>
      <c r="J803" s="120"/>
    </row>
    <row r="804">
      <c r="A804" s="120"/>
      <c r="B804" s="120"/>
      <c r="C804" s="120"/>
      <c r="D804" s="120"/>
      <c r="E804" s="120"/>
      <c r="F804" s="120"/>
      <c r="G804" s="120"/>
      <c r="H804" s="120"/>
      <c r="I804" s="120"/>
      <c r="J804" s="120"/>
    </row>
    <row r="805">
      <c r="A805" s="120"/>
      <c r="B805" s="120"/>
      <c r="C805" s="120"/>
      <c r="D805" s="120"/>
      <c r="E805" s="120"/>
      <c r="F805" s="120"/>
      <c r="G805" s="120"/>
      <c r="H805" s="120"/>
      <c r="I805" s="120"/>
      <c r="J805" s="120"/>
    </row>
    <row r="806">
      <c r="A806" s="120"/>
      <c r="B806" s="120"/>
      <c r="C806" s="120"/>
      <c r="D806" s="120"/>
      <c r="E806" s="120"/>
      <c r="F806" s="120"/>
      <c r="G806" s="120"/>
      <c r="H806" s="120"/>
      <c r="I806" s="120"/>
      <c r="J806" s="120"/>
    </row>
    <row r="807">
      <c r="A807" s="120"/>
      <c r="B807" s="120"/>
      <c r="C807" s="120"/>
      <c r="D807" s="120"/>
      <c r="E807" s="120"/>
      <c r="F807" s="120"/>
      <c r="G807" s="120"/>
      <c r="H807" s="120"/>
      <c r="I807" s="120"/>
      <c r="J807" s="120"/>
    </row>
    <row r="808">
      <c r="A808" s="120"/>
      <c r="B808" s="120"/>
      <c r="C808" s="120"/>
      <c r="D808" s="120"/>
      <c r="E808" s="120"/>
      <c r="F808" s="120"/>
      <c r="G808" s="120"/>
      <c r="H808" s="120"/>
      <c r="I808" s="120"/>
      <c r="J808" s="120"/>
    </row>
    <row r="809">
      <c r="A809" s="120"/>
      <c r="B809" s="120"/>
      <c r="C809" s="120"/>
      <c r="D809" s="120"/>
      <c r="E809" s="120"/>
      <c r="F809" s="120"/>
      <c r="G809" s="120"/>
      <c r="H809" s="120"/>
      <c r="I809" s="120"/>
      <c r="J809" s="120"/>
    </row>
    <row r="810">
      <c r="A810" s="120"/>
      <c r="B810" s="120"/>
      <c r="C810" s="120"/>
      <c r="D810" s="120"/>
      <c r="E810" s="120"/>
      <c r="F810" s="120"/>
      <c r="G810" s="120"/>
      <c r="H810" s="120"/>
      <c r="I810" s="120"/>
      <c r="J810" s="120"/>
    </row>
    <row r="811">
      <c r="A811" s="120"/>
      <c r="B811" s="120"/>
      <c r="C811" s="120"/>
      <c r="D811" s="120"/>
      <c r="E811" s="120"/>
      <c r="F811" s="120"/>
      <c r="G811" s="120"/>
      <c r="H811" s="120"/>
      <c r="I811" s="120"/>
      <c r="J811" s="120"/>
    </row>
    <row r="812">
      <c r="A812" s="120"/>
      <c r="B812" s="120"/>
      <c r="C812" s="120"/>
      <c r="D812" s="120"/>
      <c r="E812" s="120"/>
      <c r="F812" s="120"/>
      <c r="G812" s="120"/>
      <c r="H812" s="120"/>
      <c r="I812" s="120"/>
      <c r="J812" s="120"/>
    </row>
    <row r="813">
      <c r="A813" s="120"/>
      <c r="B813" s="120"/>
      <c r="C813" s="120"/>
      <c r="D813" s="120"/>
      <c r="E813" s="120"/>
      <c r="F813" s="120"/>
      <c r="G813" s="120"/>
      <c r="H813" s="120"/>
      <c r="I813" s="120"/>
      <c r="J813" s="120"/>
    </row>
    <row r="814">
      <c r="A814" s="120"/>
      <c r="B814" s="120"/>
      <c r="C814" s="120"/>
      <c r="D814" s="120"/>
      <c r="E814" s="120"/>
      <c r="F814" s="120"/>
      <c r="G814" s="120"/>
      <c r="H814" s="120"/>
      <c r="I814" s="120"/>
      <c r="J814" s="120"/>
    </row>
    <row r="815">
      <c r="A815" s="120"/>
      <c r="B815" s="120"/>
      <c r="C815" s="120"/>
      <c r="D815" s="120"/>
      <c r="E815" s="120"/>
      <c r="F815" s="120"/>
      <c r="G815" s="120"/>
      <c r="H815" s="120"/>
      <c r="I815" s="120"/>
      <c r="J815" s="120"/>
    </row>
    <row r="816">
      <c r="A816" s="120"/>
      <c r="B816" s="120"/>
      <c r="C816" s="120"/>
      <c r="D816" s="120"/>
      <c r="E816" s="120"/>
      <c r="F816" s="120"/>
      <c r="G816" s="120"/>
      <c r="H816" s="120"/>
      <c r="I816" s="120"/>
      <c r="J816" s="120"/>
    </row>
    <row r="817">
      <c r="A817" s="120"/>
      <c r="B817" s="120"/>
      <c r="C817" s="120"/>
      <c r="D817" s="120"/>
      <c r="E817" s="120"/>
      <c r="F817" s="120"/>
      <c r="G817" s="120"/>
      <c r="H817" s="120"/>
      <c r="I817" s="120"/>
      <c r="J817" s="120"/>
    </row>
    <row r="818">
      <c r="A818" s="120"/>
      <c r="B818" s="120"/>
      <c r="C818" s="120"/>
      <c r="D818" s="120"/>
      <c r="E818" s="120"/>
      <c r="F818" s="120"/>
      <c r="G818" s="120"/>
      <c r="H818" s="120"/>
      <c r="I818" s="120"/>
      <c r="J818" s="120"/>
    </row>
    <row r="819">
      <c r="A819" s="120"/>
      <c r="B819" s="120"/>
      <c r="C819" s="120"/>
      <c r="D819" s="120"/>
      <c r="E819" s="120"/>
      <c r="F819" s="120"/>
      <c r="G819" s="120"/>
      <c r="H819" s="120"/>
      <c r="I819" s="120"/>
      <c r="J819" s="120"/>
    </row>
    <row r="820">
      <c r="A820" s="120"/>
      <c r="B820" s="120"/>
      <c r="C820" s="120"/>
      <c r="D820" s="120"/>
      <c r="E820" s="120"/>
      <c r="F820" s="120"/>
      <c r="G820" s="120"/>
      <c r="H820" s="120"/>
      <c r="I820" s="120"/>
      <c r="J820" s="120"/>
    </row>
    <row r="821">
      <c r="A821" s="120"/>
      <c r="B821" s="120"/>
      <c r="C821" s="120"/>
      <c r="D821" s="120"/>
      <c r="E821" s="120"/>
      <c r="F821" s="120"/>
      <c r="G821" s="120"/>
      <c r="H821" s="120"/>
      <c r="I821" s="120"/>
      <c r="J821" s="120"/>
    </row>
    <row r="822">
      <c r="A822" s="120"/>
      <c r="B822" s="120"/>
      <c r="C822" s="120"/>
      <c r="D822" s="120"/>
      <c r="E822" s="120"/>
      <c r="F822" s="120"/>
      <c r="G822" s="120"/>
      <c r="H822" s="120"/>
      <c r="I822" s="120"/>
      <c r="J822" s="120"/>
    </row>
    <row r="823">
      <c r="A823" s="120"/>
      <c r="B823" s="120"/>
      <c r="C823" s="120"/>
      <c r="D823" s="120"/>
      <c r="E823" s="120"/>
      <c r="F823" s="120"/>
      <c r="G823" s="120"/>
      <c r="H823" s="120"/>
      <c r="I823" s="120"/>
      <c r="J823" s="120"/>
    </row>
    <row r="824">
      <c r="A824" s="120"/>
      <c r="B824" s="120"/>
      <c r="C824" s="120"/>
      <c r="D824" s="120"/>
      <c r="E824" s="120"/>
      <c r="F824" s="120"/>
      <c r="G824" s="120"/>
      <c r="H824" s="120"/>
      <c r="I824" s="120"/>
      <c r="J824" s="120"/>
    </row>
    <row r="825">
      <c r="A825" s="120"/>
      <c r="B825" s="120"/>
      <c r="C825" s="120"/>
      <c r="D825" s="120"/>
      <c r="E825" s="120"/>
      <c r="F825" s="120"/>
      <c r="G825" s="120"/>
      <c r="H825" s="120"/>
      <c r="I825" s="120"/>
      <c r="J825" s="120"/>
    </row>
    <row r="826">
      <c r="A826" s="120"/>
      <c r="B826" s="120"/>
      <c r="C826" s="120"/>
      <c r="D826" s="120"/>
      <c r="E826" s="120"/>
      <c r="F826" s="120"/>
      <c r="G826" s="120"/>
      <c r="H826" s="120"/>
      <c r="I826" s="120"/>
      <c r="J826" s="120"/>
    </row>
    <row r="827">
      <c r="A827" s="120"/>
      <c r="B827" s="120"/>
      <c r="C827" s="120"/>
      <c r="D827" s="120"/>
      <c r="E827" s="120"/>
      <c r="F827" s="120"/>
      <c r="G827" s="120"/>
      <c r="H827" s="120"/>
      <c r="I827" s="120"/>
      <c r="J827" s="120"/>
    </row>
    <row r="828">
      <c r="A828" s="120"/>
      <c r="B828" s="120"/>
      <c r="C828" s="120"/>
      <c r="D828" s="120"/>
      <c r="E828" s="120"/>
      <c r="F828" s="120"/>
      <c r="G828" s="120"/>
      <c r="H828" s="120"/>
      <c r="I828" s="120"/>
      <c r="J828" s="120"/>
    </row>
    <row r="829">
      <c r="A829" s="120"/>
      <c r="B829" s="120"/>
      <c r="C829" s="120"/>
      <c r="D829" s="120"/>
      <c r="E829" s="120"/>
      <c r="F829" s="120"/>
      <c r="G829" s="120"/>
      <c r="H829" s="120"/>
      <c r="I829" s="120"/>
      <c r="J829" s="120"/>
    </row>
    <row r="830">
      <c r="A830" s="120"/>
      <c r="B830" s="120"/>
      <c r="C830" s="120"/>
      <c r="D830" s="120"/>
      <c r="E830" s="120"/>
      <c r="F830" s="120"/>
      <c r="G830" s="120"/>
      <c r="H830" s="120"/>
      <c r="I830" s="120"/>
      <c r="J830" s="120"/>
    </row>
    <row r="831">
      <c r="A831" s="120"/>
      <c r="B831" s="120"/>
      <c r="C831" s="120"/>
      <c r="D831" s="120"/>
      <c r="E831" s="120"/>
      <c r="F831" s="120"/>
      <c r="G831" s="120"/>
      <c r="H831" s="120"/>
      <c r="I831" s="120"/>
      <c r="J831" s="120"/>
    </row>
    <row r="832">
      <c r="A832" s="120"/>
      <c r="B832" s="120"/>
      <c r="C832" s="120"/>
      <c r="D832" s="120"/>
      <c r="E832" s="120"/>
      <c r="F832" s="120"/>
      <c r="G832" s="120"/>
      <c r="H832" s="120"/>
      <c r="I832" s="120"/>
      <c r="J832" s="120"/>
    </row>
    <row r="833">
      <c r="A833" s="120"/>
      <c r="B833" s="120"/>
      <c r="C833" s="120"/>
      <c r="D833" s="120"/>
      <c r="E833" s="120"/>
      <c r="F833" s="120"/>
      <c r="G833" s="120"/>
      <c r="H833" s="120"/>
      <c r="I833" s="120"/>
      <c r="J833" s="120"/>
    </row>
    <row r="834">
      <c r="A834" s="120"/>
      <c r="B834" s="120"/>
      <c r="C834" s="120"/>
      <c r="D834" s="120"/>
      <c r="E834" s="120"/>
      <c r="F834" s="120"/>
      <c r="G834" s="120"/>
      <c r="H834" s="120"/>
      <c r="I834" s="120"/>
      <c r="J834" s="120"/>
    </row>
    <row r="835">
      <c r="A835" s="120"/>
      <c r="B835" s="120"/>
      <c r="C835" s="120"/>
      <c r="D835" s="120"/>
      <c r="E835" s="120"/>
      <c r="F835" s="120"/>
      <c r="G835" s="120"/>
      <c r="H835" s="120"/>
      <c r="I835" s="120"/>
      <c r="J835" s="120"/>
    </row>
    <row r="836">
      <c r="A836" s="120"/>
      <c r="B836" s="120"/>
      <c r="C836" s="120"/>
      <c r="D836" s="120"/>
      <c r="E836" s="120"/>
      <c r="F836" s="120"/>
      <c r="G836" s="120"/>
      <c r="H836" s="120"/>
      <c r="I836" s="120"/>
      <c r="J836" s="120"/>
    </row>
    <row r="837">
      <c r="A837" s="120"/>
      <c r="B837" s="120"/>
      <c r="C837" s="120"/>
      <c r="D837" s="120"/>
      <c r="E837" s="120"/>
      <c r="F837" s="120"/>
      <c r="G837" s="120"/>
      <c r="H837" s="120"/>
      <c r="I837" s="120"/>
      <c r="J837" s="120"/>
    </row>
    <row r="838">
      <c r="A838" s="120"/>
      <c r="B838" s="120"/>
      <c r="C838" s="120"/>
      <c r="D838" s="120"/>
      <c r="E838" s="120"/>
      <c r="F838" s="120"/>
      <c r="G838" s="120"/>
      <c r="H838" s="120"/>
      <c r="I838" s="120"/>
      <c r="J838" s="120"/>
    </row>
    <row r="839">
      <c r="A839" s="120"/>
      <c r="B839" s="120"/>
      <c r="C839" s="120"/>
      <c r="D839" s="120"/>
      <c r="E839" s="120"/>
      <c r="F839" s="120"/>
      <c r="G839" s="120"/>
      <c r="H839" s="120"/>
      <c r="I839" s="120"/>
      <c r="J839" s="120"/>
    </row>
    <row r="840">
      <c r="A840" s="120"/>
      <c r="B840" s="120"/>
      <c r="C840" s="120"/>
      <c r="D840" s="120"/>
      <c r="E840" s="120"/>
      <c r="F840" s="120"/>
      <c r="G840" s="120"/>
      <c r="H840" s="120"/>
      <c r="I840" s="120"/>
      <c r="J840" s="120"/>
    </row>
    <row r="841">
      <c r="A841" s="120"/>
      <c r="B841" s="120"/>
      <c r="C841" s="120"/>
      <c r="D841" s="120"/>
      <c r="E841" s="120"/>
      <c r="F841" s="120"/>
      <c r="G841" s="120"/>
      <c r="H841" s="120"/>
      <c r="I841" s="120"/>
      <c r="J841" s="120"/>
    </row>
    <row r="842">
      <c r="A842" s="120"/>
      <c r="B842" s="120"/>
      <c r="C842" s="120"/>
      <c r="D842" s="120"/>
      <c r="E842" s="120"/>
      <c r="F842" s="120"/>
      <c r="G842" s="120"/>
      <c r="H842" s="120"/>
      <c r="I842" s="120"/>
      <c r="J842" s="120"/>
    </row>
    <row r="843">
      <c r="A843" s="120"/>
      <c r="B843" s="120"/>
      <c r="C843" s="120"/>
      <c r="D843" s="120"/>
      <c r="E843" s="120"/>
      <c r="F843" s="120"/>
      <c r="G843" s="120"/>
      <c r="H843" s="120"/>
      <c r="I843" s="120"/>
      <c r="J843" s="120"/>
    </row>
    <row r="844">
      <c r="A844" s="120"/>
      <c r="B844" s="120"/>
      <c r="C844" s="120"/>
      <c r="D844" s="120"/>
      <c r="E844" s="120"/>
      <c r="F844" s="120"/>
      <c r="G844" s="120"/>
      <c r="H844" s="120"/>
      <c r="I844" s="120"/>
      <c r="J844" s="120"/>
    </row>
    <row r="845">
      <c r="A845" s="120"/>
      <c r="B845" s="120"/>
      <c r="C845" s="120"/>
      <c r="D845" s="120"/>
      <c r="E845" s="120"/>
      <c r="F845" s="120"/>
      <c r="G845" s="120"/>
      <c r="H845" s="120"/>
      <c r="I845" s="120"/>
      <c r="J845" s="120"/>
    </row>
    <row r="846">
      <c r="A846" s="120"/>
      <c r="B846" s="120"/>
      <c r="C846" s="120"/>
      <c r="D846" s="120"/>
      <c r="E846" s="120"/>
      <c r="F846" s="120"/>
      <c r="G846" s="120"/>
      <c r="H846" s="120"/>
      <c r="I846" s="120"/>
      <c r="J846" s="120"/>
    </row>
    <row r="847">
      <c r="A847" s="120"/>
      <c r="B847" s="120"/>
      <c r="C847" s="120"/>
      <c r="D847" s="120"/>
      <c r="E847" s="120"/>
      <c r="F847" s="120"/>
      <c r="G847" s="120"/>
      <c r="H847" s="120"/>
      <c r="I847" s="120"/>
      <c r="J847" s="120"/>
    </row>
    <row r="848">
      <c r="A848" s="120"/>
      <c r="B848" s="120"/>
      <c r="C848" s="120"/>
      <c r="D848" s="120"/>
      <c r="E848" s="120"/>
      <c r="F848" s="120"/>
      <c r="G848" s="120"/>
      <c r="H848" s="120"/>
      <c r="I848" s="120"/>
      <c r="J848" s="120"/>
    </row>
    <row r="849">
      <c r="A849" s="120"/>
      <c r="B849" s="120"/>
      <c r="C849" s="120"/>
      <c r="D849" s="120"/>
      <c r="E849" s="120"/>
      <c r="F849" s="120"/>
      <c r="G849" s="120"/>
      <c r="H849" s="120"/>
      <c r="I849" s="120"/>
      <c r="J849" s="120"/>
    </row>
    <row r="850">
      <c r="A850" s="120"/>
      <c r="B850" s="120"/>
      <c r="C850" s="120"/>
      <c r="D850" s="120"/>
      <c r="E850" s="120"/>
      <c r="F850" s="120"/>
      <c r="G850" s="120"/>
      <c r="H850" s="120"/>
      <c r="I850" s="120"/>
      <c r="J850" s="120"/>
    </row>
    <row r="851">
      <c r="A851" s="120"/>
      <c r="B851" s="120"/>
      <c r="C851" s="120"/>
      <c r="D851" s="120"/>
      <c r="E851" s="120"/>
      <c r="F851" s="120"/>
      <c r="G851" s="120"/>
      <c r="H851" s="120"/>
      <c r="I851" s="120"/>
      <c r="J851" s="120"/>
    </row>
    <row r="852">
      <c r="A852" s="120"/>
      <c r="B852" s="120"/>
      <c r="C852" s="120"/>
      <c r="D852" s="120"/>
      <c r="E852" s="120"/>
      <c r="F852" s="120"/>
      <c r="G852" s="120"/>
      <c r="H852" s="120"/>
      <c r="I852" s="120"/>
      <c r="J852" s="120"/>
    </row>
    <row r="853">
      <c r="A853" s="120"/>
      <c r="B853" s="120"/>
      <c r="C853" s="120"/>
      <c r="D853" s="120"/>
      <c r="E853" s="120"/>
      <c r="F853" s="120"/>
      <c r="G853" s="120"/>
      <c r="H853" s="120"/>
      <c r="I853" s="120"/>
      <c r="J853" s="120"/>
    </row>
    <row r="854">
      <c r="A854" s="120"/>
      <c r="B854" s="120"/>
      <c r="C854" s="120"/>
      <c r="D854" s="120"/>
      <c r="E854" s="120"/>
      <c r="F854" s="120"/>
      <c r="G854" s="120"/>
      <c r="H854" s="120"/>
      <c r="I854" s="120"/>
      <c r="J854" s="120"/>
    </row>
    <row r="855">
      <c r="A855" s="120"/>
      <c r="B855" s="120"/>
      <c r="C855" s="120"/>
      <c r="D855" s="120"/>
      <c r="E855" s="120"/>
      <c r="F855" s="120"/>
      <c r="G855" s="120"/>
      <c r="H855" s="120"/>
      <c r="I855" s="120"/>
      <c r="J855" s="120"/>
    </row>
    <row r="856">
      <c r="A856" s="120"/>
      <c r="B856" s="120"/>
      <c r="C856" s="120"/>
      <c r="D856" s="120"/>
      <c r="E856" s="120"/>
      <c r="F856" s="120"/>
      <c r="G856" s="120"/>
      <c r="H856" s="120"/>
      <c r="I856" s="120"/>
      <c r="J856" s="120"/>
    </row>
    <row r="857">
      <c r="A857" s="120"/>
      <c r="B857" s="120"/>
      <c r="C857" s="120"/>
      <c r="D857" s="120"/>
      <c r="E857" s="120"/>
      <c r="F857" s="120"/>
      <c r="G857" s="120"/>
      <c r="H857" s="120"/>
      <c r="I857" s="120"/>
      <c r="J857" s="120"/>
    </row>
    <row r="858">
      <c r="A858" s="120"/>
      <c r="B858" s="120"/>
      <c r="C858" s="120"/>
      <c r="D858" s="120"/>
      <c r="E858" s="120"/>
      <c r="F858" s="120"/>
      <c r="G858" s="120"/>
      <c r="H858" s="120"/>
      <c r="I858" s="120"/>
      <c r="J858" s="120"/>
    </row>
    <row r="859">
      <c r="A859" s="120"/>
      <c r="B859" s="120"/>
      <c r="C859" s="120"/>
      <c r="D859" s="120"/>
      <c r="E859" s="120"/>
      <c r="F859" s="120"/>
      <c r="G859" s="120"/>
      <c r="H859" s="120"/>
      <c r="I859" s="120"/>
      <c r="J859" s="120"/>
    </row>
    <row r="860">
      <c r="A860" s="120"/>
      <c r="B860" s="120"/>
      <c r="C860" s="120"/>
      <c r="D860" s="120"/>
      <c r="E860" s="120"/>
      <c r="F860" s="120"/>
      <c r="G860" s="120"/>
      <c r="H860" s="120"/>
      <c r="I860" s="120"/>
      <c r="J860" s="120"/>
    </row>
    <row r="861">
      <c r="A861" s="120"/>
      <c r="B861" s="120"/>
      <c r="C861" s="120"/>
      <c r="D861" s="120"/>
      <c r="E861" s="120"/>
      <c r="F861" s="120"/>
      <c r="G861" s="120"/>
      <c r="H861" s="120"/>
      <c r="I861" s="120"/>
      <c r="J861" s="120"/>
    </row>
    <row r="862">
      <c r="A862" s="120"/>
      <c r="B862" s="120"/>
      <c r="C862" s="120"/>
      <c r="D862" s="120"/>
      <c r="E862" s="120"/>
      <c r="F862" s="120"/>
      <c r="G862" s="120"/>
      <c r="H862" s="120"/>
      <c r="I862" s="120"/>
      <c r="J862" s="120"/>
    </row>
    <row r="863">
      <c r="A863" s="120"/>
      <c r="B863" s="120"/>
      <c r="C863" s="120"/>
      <c r="D863" s="120"/>
      <c r="E863" s="120"/>
      <c r="F863" s="120"/>
      <c r="G863" s="120"/>
      <c r="H863" s="120"/>
      <c r="I863" s="120"/>
      <c r="J863" s="120"/>
    </row>
    <row r="864">
      <c r="A864" s="120"/>
      <c r="B864" s="120"/>
      <c r="C864" s="120"/>
      <c r="D864" s="120"/>
      <c r="E864" s="120"/>
      <c r="F864" s="120"/>
      <c r="G864" s="120"/>
      <c r="H864" s="120"/>
      <c r="I864" s="120"/>
      <c r="J864" s="120"/>
    </row>
    <row r="865">
      <c r="A865" s="120"/>
      <c r="B865" s="120"/>
      <c r="C865" s="120"/>
      <c r="D865" s="120"/>
      <c r="E865" s="120"/>
      <c r="F865" s="120"/>
      <c r="G865" s="120"/>
      <c r="H865" s="120"/>
      <c r="I865" s="120"/>
      <c r="J865" s="120"/>
    </row>
    <row r="866">
      <c r="A866" s="120"/>
      <c r="B866" s="120"/>
      <c r="C866" s="120"/>
      <c r="D866" s="120"/>
      <c r="E866" s="120"/>
      <c r="F866" s="120"/>
      <c r="G866" s="120"/>
      <c r="H866" s="120"/>
      <c r="I866" s="120"/>
      <c r="J866" s="120"/>
    </row>
    <row r="867">
      <c r="A867" s="120"/>
      <c r="B867" s="120"/>
      <c r="C867" s="120"/>
      <c r="D867" s="120"/>
      <c r="E867" s="120"/>
      <c r="F867" s="120"/>
      <c r="G867" s="120"/>
      <c r="H867" s="120"/>
      <c r="I867" s="120"/>
      <c r="J867" s="120"/>
    </row>
    <row r="868">
      <c r="A868" s="120"/>
      <c r="B868" s="120"/>
      <c r="C868" s="120"/>
      <c r="D868" s="120"/>
      <c r="E868" s="120"/>
      <c r="F868" s="120"/>
      <c r="G868" s="120"/>
      <c r="H868" s="120"/>
      <c r="I868" s="120"/>
      <c r="J868" s="120"/>
    </row>
    <row r="869">
      <c r="A869" s="120"/>
      <c r="B869" s="120"/>
      <c r="C869" s="120"/>
      <c r="D869" s="120"/>
      <c r="E869" s="120"/>
      <c r="F869" s="120"/>
      <c r="G869" s="120"/>
      <c r="H869" s="120"/>
      <c r="I869" s="120"/>
      <c r="J869" s="120"/>
    </row>
    <row r="870">
      <c r="A870" s="120"/>
      <c r="B870" s="120"/>
      <c r="C870" s="120"/>
      <c r="D870" s="120"/>
      <c r="E870" s="120"/>
      <c r="F870" s="120"/>
      <c r="G870" s="120"/>
      <c r="H870" s="120"/>
      <c r="I870" s="120"/>
      <c r="J870" s="120"/>
    </row>
    <row r="871">
      <c r="A871" s="120"/>
      <c r="B871" s="120"/>
      <c r="C871" s="120"/>
      <c r="D871" s="120"/>
      <c r="E871" s="120"/>
      <c r="F871" s="120"/>
      <c r="G871" s="120"/>
      <c r="H871" s="120"/>
      <c r="I871" s="120"/>
      <c r="J871" s="120"/>
    </row>
    <row r="872">
      <c r="A872" s="120"/>
      <c r="B872" s="120"/>
      <c r="C872" s="120"/>
      <c r="D872" s="120"/>
      <c r="E872" s="120"/>
      <c r="F872" s="120"/>
      <c r="G872" s="120"/>
      <c r="H872" s="120"/>
      <c r="I872" s="120"/>
      <c r="J872" s="120"/>
    </row>
    <row r="873">
      <c r="A873" s="120"/>
      <c r="B873" s="120"/>
      <c r="C873" s="120"/>
      <c r="D873" s="120"/>
      <c r="E873" s="120"/>
      <c r="F873" s="120"/>
      <c r="G873" s="120"/>
      <c r="H873" s="120"/>
      <c r="I873" s="120"/>
      <c r="J873" s="120"/>
    </row>
    <row r="874">
      <c r="A874" s="120"/>
      <c r="B874" s="120"/>
      <c r="C874" s="120"/>
      <c r="D874" s="120"/>
      <c r="E874" s="120"/>
      <c r="F874" s="120"/>
      <c r="G874" s="120"/>
      <c r="H874" s="120"/>
      <c r="I874" s="120"/>
      <c r="J874" s="120"/>
    </row>
    <row r="875">
      <c r="A875" s="120"/>
      <c r="B875" s="120"/>
      <c r="C875" s="120"/>
      <c r="D875" s="120"/>
      <c r="E875" s="120"/>
      <c r="F875" s="120"/>
      <c r="G875" s="120"/>
      <c r="H875" s="120"/>
      <c r="I875" s="120"/>
      <c r="J875" s="120"/>
    </row>
    <row r="876">
      <c r="A876" s="120"/>
      <c r="B876" s="120"/>
      <c r="C876" s="120"/>
      <c r="D876" s="120"/>
      <c r="E876" s="120"/>
      <c r="F876" s="120"/>
      <c r="G876" s="120"/>
      <c r="H876" s="120"/>
      <c r="I876" s="120"/>
      <c r="J876" s="120"/>
    </row>
    <row r="877">
      <c r="A877" s="120"/>
      <c r="B877" s="120"/>
      <c r="C877" s="120"/>
      <c r="D877" s="120"/>
      <c r="E877" s="120"/>
      <c r="F877" s="120"/>
      <c r="G877" s="120"/>
      <c r="H877" s="120"/>
      <c r="I877" s="120"/>
      <c r="J877" s="120"/>
    </row>
    <row r="878">
      <c r="A878" s="120"/>
      <c r="B878" s="120"/>
      <c r="C878" s="120"/>
      <c r="D878" s="120"/>
      <c r="E878" s="120"/>
      <c r="F878" s="120"/>
      <c r="G878" s="120"/>
      <c r="H878" s="120"/>
      <c r="I878" s="120"/>
      <c r="J878" s="120"/>
    </row>
    <row r="879">
      <c r="A879" s="120"/>
      <c r="B879" s="120"/>
      <c r="C879" s="120"/>
      <c r="D879" s="120"/>
      <c r="E879" s="120"/>
      <c r="F879" s="120"/>
      <c r="G879" s="120"/>
      <c r="H879" s="120"/>
      <c r="I879" s="120"/>
      <c r="J879" s="120"/>
    </row>
    <row r="880">
      <c r="A880" s="120"/>
      <c r="B880" s="120"/>
      <c r="C880" s="120"/>
      <c r="D880" s="120"/>
      <c r="E880" s="120"/>
      <c r="F880" s="120"/>
      <c r="G880" s="120"/>
      <c r="H880" s="120"/>
      <c r="I880" s="120"/>
      <c r="J880" s="120"/>
    </row>
    <row r="881">
      <c r="A881" s="120"/>
      <c r="B881" s="120"/>
      <c r="C881" s="120"/>
      <c r="D881" s="120"/>
      <c r="E881" s="120"/>
      <c r="F881" s="120"/>
      <c r="G881" s="120"/>
      <c r="H881" s="120"/>
      <c r="I881" s="120"/>
      <c r="J881" s="120"/>
    </row>
    <row r="882">
      <c r="A882" s="120"/>
      <c r="B882" s="120"/>
      <c r="C882" s="120"/>
      <c r="D882" s="120"/>
      <c r="E882" s="120"/>
      <c r="F882" s="120"/>
      <c r="G882" s="120"/>
      <c r="H882" s="120"/>
      <c r="I882" s="120"/>
      <c r="J882" s="120"/>
    </row>
    <row r="883">
      <c r="A883" s="120"/>
      <c r="B883" s="120"/>
      <c r="C883" s="120"/>
      <c r="D883" s="120"/>
      <c r="E883" s="120"/>
      <c r="F883" s="120"/>
      <c r="G883" s="120"/>
      <c r="H883" s="120"/>
      <c r="I883" s="120"/>
      <c r="J883" s="120"/>
    </row>
    <row r="884">
      <c r="A884" s="120"/>
      <c r="B884" s="120"/>
      <c r="C884" s="120"/>
      <c r="D884" s="120"/>
      <c r="E884" s="120"/>
      <c r="F884" s="120"/>
      <c r="G884" s="120"/>
      <c r="H884" s="120"/>
      <c r="I884" s="120"/>
      <c r="J884" s="120"/>
    </row>
    <row r="885">
      <c r="A885" s="120"/>
      <c r="B885" s="120"/>
      <c r="C885" s="120"/>
      <c r="D885" s="120"/>
      <c r="E885" s="120"/>
      <c r="F885" s="120"/>
      <c r="G885" s="120"/>
      <c r="H885" s="120"/>
      <c r="I885" s="120"/>
      <c r="J885" s="120"/>
    </row>
    <row r="886">
      <c r="A886" s="120"/>
      <c r="B886" s="120"/>
      <c r="C886" s="120"/>
      <c r="D886" s="120"/>
      <c r="E886" s="120"/>
      <c r="F886" s="120"/>
      <c r="G886" s="120"/>
      <c r="H886" s="120"/>
      <c r="I886" s="120"/>
      <c r="J886" s="120"/>
    </row>
    <row r="887">
      <c r="A887" s="120"/>
      <c r="B887" s="120"/>
      <c r="C887" s="120"/>
      <c r="D887" s="120"/>
      <c r="E887" s="120"/>
      <c r="F887" s="120"/>
      <c r="G887" s="120"/>
      <c r="H887" s="120"/>
      <c r="I887" s="120"/>
      <c r="J887" s="120"/>
    </row>
    <row r="888">
      <c r="A888" s="120"/>
      <c r="B888" s="120"/>
      <c r="C888" s="120"/>
      <c r="D888" s="120"/>
      <c r="E888" s="120"/>
      <c r="F888" s="120"/>
      <c r="G888" s="120"/>
      <c r="H888" s="120"/>
      <c r="I888" s="120"/>
      <c r="J888" s="120"/>
    </row>
    <row r="889">
      <c r="A889" s="120"/>
      <c r="B889" s="120"/>
      <c r="C889" s="120"/>
      <c r="D889" s="120"/>
      <c r="E889" s="120"/>
      <c r="F889" s="120"/>
      <c r="G889" s="120"/>
      <c r="H889" s="120"/>
      <c r="I889" s="120"/>
      <c r="J889" s="120"/>
    </row>
    <row r="890">
      <c r="A890" s="120"/>
      <c r="B890" s="120"/>
      <c r="C890" s="120"/>
      <c r="D890" s="120"/>
      <c r="E890" s="120"/>
      <c r="F890" s="120"/>
      <c r="G890" s="120"/>
      <c r="H890" s="120"/>
      <c r="I890" s="120"/>
      <c r="J890" s="120"/>
    </row>
    <row r="891">
      <c r="A891" s="120"/>
      <c r="B891" s="120"/>
      <c r="C891" s="120"/>
      <c r="D891" s="120"/>
      <c r="E891" s="120"/>
      <c r="F891" s="120"/>
      <c r="G891" s="120"/>
      <c r="H891" s="120"/>
      <c r="I891" s="120"/>
      <c r="J891" s="120"/>
    </row>
    <row r="892">
      <c r="A892" s="120"/>
      <c r="B892" s="120"/>
      <c r="C892" s="120"/>
      <c r="D892" s="120"/>
      <c r="E892" s="120"/>
      <c r="F892" s="120"/>
      <c r="G892" s="120"/>
      <c r="H892" s="120"/>
      <c r="I892" s="120"/>
      <c r="J892" s="120"/>
    </row>
    <row r="893">
      <c r="A893" s="120"/>
      <c r="B893" s="120"/>
      <c r="C893" s="120"/>
      <c r="D893" s="120"/>
      <c r="E893" s="120"/>
      <c r="F893" s="120"/>
      <c r="G893" s="120"/>
      <c r="H893" s="120"/>
      <c r="I893" s="120"/>
      <c r="J893" s="120"/>
    </row>
    <row r="894">
      <c r="A894" s="120"/>
      <c r="B894" s="120"/>
      <c r="C894" s="120"/>
      <c r="D894" s="120"/>
      <c r="E894" s="120"/>
      <c r="F894" s="120"/>
      <c r="G894" s="120"/>
      <c r="H894" s="120"/>
      <c r="I894" s="120"/>
      <c r="J894" s="120"/>
    </row>
    <row r="895">
      <c r="A895" s="120"/>
      <c r="B895" s="120"/>
      <c r="C895" s="120"/>
      <c r="D895" s="120"/>
      <c r="E895" s="120"/>
      <c r="F895" s="120"/>
      <c r="G895" s="120"/>
      <c r="H895" s="120"/>
      <c r="I895" s="120"/>
      <c r="J895" s="120"/>
    </row>
    <row r="896">
      <c r="A896" s="120"/>
      <c r="B896" s="120"/>
      <c r="C896" s="120"/>
      <c r="D896" s="120"/>
      <c r="E896" s="120"/>
      <c r="F896" s="120"/>
      <c r="G896" s="120"/>
      <c r="H896" s="120"/>
      <c r="I896" s="120"/>
      <c r="J896" s="120"/>
    </row>
    <row r="897">
      <c r="A897" s="120"/>
      <c r="B897" s="120"/>
      <c r="C897" s="120"/>
      <c r="D897" s="120"/>
      <c r="E897" s="120"/>
      <c r="F897" s="120"/>
      <c r="G897" s="120"/>
      <c r="H897" s="120"/>
      <c r="I897" s="120"/>
      <c r="J897" s="120"/>
    </row>
    <row r="898">
      <c r="A898" s="120"/>
      <c r="B898" s="120"/>
      <c r="C898" s="120"/>
      <c r="D898" s="120"/>
      <c r="E898" s="120"/>
      <c r="F898" s="120"/>
      <c r="G898" s="120"/>
      <c r="H898" s="120"/>
      <c r="I898" s="120"/>
      <c r="J898" s="120"/>
    </row>
    <row r="899">
      <c r="A899" s="120"/>
      <c r="B899" s="120"/>
      <c r="C899" s="120"/>
      <c r="D899" s="120"/>
      <c r="E899" s="120"/>
      <c r="F899" s="120"/>
      <c r="G899" s="120"/>
      <c r="H899" s="120"/>
      <c r="I899" s="120"/>
      <c r="J899" s="120"/>
    </row>
    <row r="900">
      <c r="A900" s="120"/>
      <c r="B900" s="120"/>
      <c r="C900" s="120"/>
      <c r="D900" s="120"/>
      <c r="E900" s="120"/>
      <c r="F900" s="120"/>
      <c r="G900" s="120"/>
      <c r="H900" s="120"/>
      <c r="I900" s="120"/>
      <c r="J900" s="120"/>
    </row>
    <row r="901">
      <c r="A901" s="120"/>
      <c r="B901" s="120"/>
      <c r="C901" s="120"/>
      <c r="D901" s="120"/>
      <c r="E901" s="120"/>
      <c r="F901" s="120"/>
      <c r="G901" s="120"/>
      <c r="H901" s="120"/>
      <c r="I901" s="120"/>
      <c r="J901" s="120"/>
    </row>
    <row r="902">
      <c r="A902" s="120"/>
      <c r="B902" s="120"/>
      <c r="C902" s="120"/>
      <c r="D902" s="120"/>
      <c r="E902" s="120"/>
      <c r="F902" s="120"/>
      <c r="G902" s="120"/>
      <c r="H902" s="120"/>
      <c r="I902" s="120"/>
      <c r="J902" s="120"/>
    </row>
    <row r="903">
      <c r="A903" s="120"/>
      <c r="B903" s="120"/>
      <c r="C903" s="120"/>
      <c r="D903" s="120"/>
      <c r="E903" s="120"/>
      <c r="F903" s="120"/>
      <c r="G903" s="120"/>
      <c r="H903" s="120"/>
      <c r="I903" s="120"/>
      <c r="J903" s="120"/>
    </row>
    <row r="904">
      <c r="A904" s="120"/>
      <c r="B904" s="120"/>
      <c r="C904" s="120"/>
      <c r="D904" s="120"/>
      <c r="E904" s="120"/>
      <c r="F904" s="120"/>
      <c r="G904" s="120"/>
      <c r="H904" s="120"/>
      <c r="I904" s="120"/>
      <c r="J904" s="120"/>
    </row>
    <row r="905">
      <c r="A905" s="120"/>
      <c r="B905" s="120"/>
      <c r="C905" s="120"/>
      <c r="D905" s="120"/>
      <c r="E905" s="120"/>
      <c r="F905" s="120"/>
      <c r="G905" s="120"/>
      <c r="H905" s="120"/>
      <c r="I905" s="120"/>
      <c r="J905" s="120"/>
    </row>
    <row r="906">
      <c r="A906" s="120"/>
      <c r="B906" s="120"/>
      <c r="C906" s="120"/>
      <c r="D906" s="120"/>
      <c r="E906" s="120"/>
      <c r="F906" s="120"/>
      <c r="G906" s="120"/>
      <c r="H906" s="120"/>
      <c r="I906" s="120"/>
      <c r="J906" s="120"/>
    </row>
    <row r="907">
      <c r="A907" s="120"/>
      <c r="B907" s="120"/>
      <c r="C907" s="120"/>
      <c r="D907" s="120"/>
      <c r="E907" s="120"/>
      <c r="F907" s="120"/>
      <c r="G907" s="120"/>
      <c r="H907" s="120"/>
      <c r="I907" s="120"/>
      <c r="J907" s="120"/>
    </row>
    <row r="908">
      <c r="A908" s="120"/>
      <c r="B908" s="120"/>
      <c r="C908" s="120"/>
      <c r="D908" s="120"/>
      <c r="E908" s="120"/>
      <c r="F908" s="120"/>
      <c r="G908" s="120"/>
      <c r="H908" s="120"/>
      <c r="I908" s="120"/>
      <c r="J908" s="120"/>
    </row>
    <row r="909">
      <c r="A909" s="120"/>
      <c r="B909" s="120"/>
      <c r="C909" s="120"/>
      <c r="D909" s="120"/>
      <c r="E909" s="120"/>
      <c r="F909" s="120"/>
      <c r="G909" s="120"/>
      <c r="H909" s="120"/>
      <c r="I909" s="120"/>
      <c r="J909" s="120"/>
    </row>
    <row r="910">
      <c r="A910" s="120"/>
      <c r="B910" s="120"/>
      <c r="C910" s="120"/>
      <c r="D910" s="120"/>
      <c r="E910" s="120"/>
      <c r="F910" s="120"/>
      <c r="G910" s="120"/>
      <c r="H910" s="120"/>
      <c r="I910" s="120"/>
      <c r="J910" s="120"/>
    </row>
    <row r="911">
      <c r="A911" s="120"/>
      <c r="B911" s="120"/>
      <c r="C911" s="120"/>
      <c r="D911" s="120"/>
      <c r="E911" s="120"/>
      <c r="F911" s="120"/>
      <c r="G911" s="120"/>
      <c r="H911" s="120"/>
      <c r="I911" s="120"/>
      <c r="J911" s="120"/>
    </row>
    <row r="912">
      <c r="A912" s="120"/>
      <c r="B912" s="120"/>
      <c r="C912" s="120"/>
      <c r="D912" s="120"/>
      <c r="E912" s="120"/>
      <c r="F912" s="120"/>
      <c r="G912" s="120"/>
      <c r="H912" s="120"/>
      <c r="I912" s="120"/>
      <c r="J912" s="120"/>
    </row>
    <row r="913">
      <c r="A913" s="120"/>
      <c r="B913" s="120"/>
      <c r="C913" s="120"/>
      <c r="D913" s="120"/>
      <c r="E913" s="120"/>
      <c r="F913" s="120"/>
      <c r="G913" s="120"/>
      <c r="H913" s="120"/>
      <c r="I913" s="120"/>
      <c r="J913" s="120"/>
    </row>
    <row r="914">
      <c r="A914" s="120"/>
      <c r="B914" s="120"/>
      <c r="C914" s="120"/>
      <c r="D914" s="120"/>
      <c r="E914" s="120"/>
      <c r="F914" s="120"/>
      <c r="G914" s="120"/>
      <c r="H914" s="120"/>
      <c r="I914" s="120"/>
      <c r="J914" s="120"/>
    </row>
    <row r="915">
      <c r="A915" s="120"/>
      <c r="B915" s="120"/>
      <c r="C915" s="120"/>
      <c r="D915" s="120"/>
      <c r="E915" s="120"/>
      <c r="F915" s="120"/>
      <c r="G915" s="120"/>
      <c r="H915" s="120"/>
      <c r="I915" s="120"/>
      <c r="J915" s="120"/>
    </row>
    <row r="916">
      <c r="A916" s="120"/>
      <c r="B916" s="120"/>
      <c r="C916" s="120"/>
      <c r="D916" s="120"/>
      <c r="E916" s="120"/>
      <c r="F916" s="120"/>
      <c r="G916" s="120"/>
      <c r="H916" s="120"/>
      <c r="I916" s="120"/>
      <c r="J916" s="120"/>
    </row>
    <row r="917">
      <c r="A917" s="120"/>
      <c r="B917" s="120"/>
      <c r="C917" s="120"/>
      <c r="D917" s="120"/>
      <c r="E917" s="120"/>
      <c r="F917" s="120"/>
      <c r="G917" s="120"/>
      <c r="H917" s="120"/>
      <c r="I917" s="120"/>
      <c r="J917" s="120"/>
    </row>
    <row r="918">
      <c r="A918" s="120"/>
      <c r="B918" s="120"/>
      <c r="C918" s="120"/>
      <c r="D918" s="120"/>
      <c r="E918" s="120"/>
      <c r="F918" s="120"/>
      <c r="G918" s="120"/>
      <c r="H918" s="120"/>
      <c r="I918" s="120"/>
      <c r="J918" s="120"/>
    </row>
    <row r="919">
      <c r="A919" s="120"/>
      <c r="B919" s="120"/>
      <c r="C919" s="120"/>
      <c r="D919" s="120"/>
      <c r="E919" s="120"/>
      <c r="F919" s="120"/>
      <c r="G919" s="120"/>
      <c r="H919" s="120"/>
      <c r="I919" s="120"/>
      <c r="J919" s="120"/>
    </row>
    <row r="920">
      <c r="A920" s="120"/>
      <c r="B920" s="120"/>
      <c r="C920" s="120"/>
      <c r="D920" s="120"/>
      <c r="E920" s="120"/>
      <c r="F920" s="120"/>
      <c r="G920" s="120"/>
      <c r="H920" s="120"/>
      <c r="I920" s="120"/>
      <c r="J920" s="120"/>
    </row>
    <row r="921">
      <c r="A921" s="120"/>
      <c r="B921" s="120"/>
      <c r="C921" s="120"/>
      <c r="D921" s="120"/>
      <c r="E921" s="120"/>
      <c r="F921" s="120"/>
      <c r="G921" s="120"/>
      <c r="H921" s="120"/>
      <c r="I921" s="120"/>
      <c r="J921" s="120"/>
    </row>
    <row r="922">
      <c r="A922" s="120"/>
      <c r="B922" s="120"/>
      <c r="C922" s="120"/>
      <c r="D922" s="120"/>
      <c r="E922" s="120"/>
      <c r="F922" s="120"/>
      <c r="G922" s="120"/>
      <c r="H922" s="120"/>
      <c r="I922" s="120"/>
      <c r="J922" s="120"/>
    </row>
    <row r="923">
      <c r="A923" s="120"/>
      <c r="B923" s="120"/>
      <c r="C923" s="120"/>
      <c r="D923" s="120"/>
      <c r="E923" s="120"/>
      <c r="F923" s="120"/>
      <c r="G923" s="120"/>
      <c r="H923" s="120"/>
      <c r="I923" s="120"/>
      <c r="J923" s="120"/>
    </row>
    <row r="924">
      <c r="A924" s="120"/>
      <c r="B924" s="120"/>
      <c r="C924" s="120"/>
      <c r="D924" s="120"/>
      <c r="E924" s="120"/>
      <c r="F924" s="120"/>
      <c r="G924" s="120"/>
      <c r="H924" s="120"/>
      <c r="I924" s="120"/>
      <c r="J924" s="120"/>
    </row>
    <row r="925">
      <c r="A925" s="120"/>
      <c r="B925" s="120"/>
      <c r="C925" s="120"/>
      <c r="D925" s="120"/>
      <c r="E925" s="120"/>
      <c r="F925" s="120"/>
      <c r="G925" s="120"/>
      <c r="H925" s="120"/>
      <c r="I925" s="120"/>
      <c r="J925" s="120"/>
    </row>
    <row r="926">
      <c r="A926" s="120"/>
      <c r="B926" s="120"/>
      <c r="C926" s="120"/>
      <c r="D926" s="120"/>
      <c r="E926" s="120"/>
      <c r="F926" s="120"/>
      <c r="G926" s="120"/>
      <c r="H926" s="120"/>
      <c r="I926" s="120"/>
      <c r="J926" s="120"/>
    </row>
    <row r="927">
      <c r="A927" s="120"/>
      <c r="B927" s="120"/>
      <c r="C927" s="120"/>
      <c r="D927" s="120"/>
      <c r="E927" s="120"/>
      <c r="F927" s="120"/>
      <c r="G927" s="120"/>
      <c r="H927" s="120"/>
      <c r="I927" s="120"/>
      <c r="J927" s="120"/>
    </row>
    <row r="928">
      <c r="A928" s="120"/>
      <c r="B928" s="120"/>
      <c r="C928" s="120"/>
      <c r="D928" s="120"/>
      <c r="E928" s="120"/>
      <c r="F928" s="120"/>
      <c r="G928" s="120"/>
      <c r="H928" s="120"/>
      <c r="I928" s="120"/>
      <c r="J928" s="120"/>
    </row>
    <row r="929">
      <c r="A929" s="120"/>
      <c r="B929" s="120"/>
      <c r="C929" s="120"/>
      <c r="D929" s="120"/>
      <c r="E929" s="120"/>
      <c r="F929" s="120"/>
      <c r="G929" s="120"/>
      <c r="H929" s="120"/>
      <c r="I929" s="120"/>
      <c r="J929" s="120"/>
    </row>
    <row r="930">
      <c r="A930" s="120"/>
      <c r="B930" s="120"/>
      <c r="C930" s="120"/>
      <c r="D930" s="120"/>
      <c r="E930" s="120"/>
      <c r="F930" s="120"/>
      <c r="G930" s="120"/>
      <c r="H930" s="120"/>
      <c r="I930" s="120"/>
      <c r="J930" s="120"/>
    </row>
    <row r="931">
      <c r="A931" s="120"/>
      <c r="B931" s="120"/>
      <c r="C931" s="120"/>
      <c r="D931" s="120"/>
      <c r="E931" s="120"/>
      <c r="F931" s="120"/>
      <c r="G931" s="120"/>
      <c r="H931" s="120"/>
      <c r="I931" s="120"/>
      <c r="J931" s="120"/>
    </row>
    <row r="932">
      <c r="A932" s="120"/>
      <c r="B932" s="120"/>
      <c r="C932" s="120"/>
      <c r="D932" s="120"/>
      <c r="E932" s="120"/>
      <c r="F932" s="120"/>
      <c r="G932" s="120"/>
      <c r="H932" s="120"/>
      <c r="I932" s="120"/>
      <c r="J932" s="120"/>
    </row>
    <row r="933">
      <c r="A933" s="120"/>
      <c r="B933" s="120"/>
      <c r="C933" s="120"/>
      <c r="D933" s="120"/>
      <c r="E933" s="120"/>
      <c r="F933" s="120"/>
      <c r="G933" s="120"/>
      <c r="H933" s="120"/>
      <c r="I933" s="120"/>
      <c r="J933" s="120"/>
    </row>
    <row r="934">
      <c r="A934" s="120"/>
      <c r="B934" s="120"/>
      <c r="C934" s="120"/>
      <c r="D934" s="120"/>
      <c r="E934" s="120"/>
      <c r="F934" s="120"/>
      <c r="G934" s="120"/>
      <c r="H934" s="120"/>
      <c r="I934" s="120"/>
      <c r="J934" s="120"/>
    </row>
    <row r="935">
      <c r="A935" s="120"/>
      <c r="B935" s="120"/>
      <c r="C935" s="120"/>
      <c r="D935" s="120"/>
      <c r="E935" s="120"/>
      <c r="F935" s="120"/>
      <c r="G935" s="120"/>
      <c r="H935" s="120"/>
      <c r="I935" s="120"/>
      <c r="J935" s="120"/>
    </row>
    <row r="936">
      <c r="A936" s="120"/>
      <c r="B936" s="120"/>
      <c r="C936" s="120"/>
      <c r="D936" s="120"/>
      <c r="E936" s="120"/>
      <c r="F936" s="120"/>
      <c r="G936" s="120"/>
      <c r="H936" s="120"/>
      <c r="I936" s="120"/>
      <c r="J936" s="120"/>
    </row>
    <row r="937">
      <c r="A937" s="120"/>
      <c r="B937" s="120"/>
      <c r="C937" s="120"/>
      <c r="D937" s="120"/>
      <c r="E937" s="120"/>
      <c r="F937" s="120"/>
      <c r="G937" s="120"/>
      <c r="H937" s="120"/>
      <c r="I937" s="120"/>
      <c r="J937" s="120"/>
    </row>
    <row r="938">
      <c r="A938" s="120"/>
      <c r="B938" s="120"/>
      <c r="C938" s="120"/>
      <c r="D938" s="120"/>
      <c r="E938" s="120"/>
      <c r="F938" s="120"/>
      <c r="G938" s="120"/>
      <c r="H938" s="120"/>
      <c r="I938" s="120"/>
      <c r="J938" s="120"/>
    </row>
    <row r="939">
      <c r="A939" s="120"/>
      <c r="B939" s="120"/>
      <c r="C939" s="120"/>
      <c r="D939" s="120"/>
      <c r="E939" s="120"/>
      <c r="F939" s="120"/>
      <c r="G939" s="120"/>
      <c r="H939" s="120"/>
      <c r="I939" s="120"/>
      <c r="J939" s="120"/>
    </row>
    <row r="940">
      <c r="A940" s="120"/>
      <c r="B940" s="120"/>
      <c r="C940" s="120"/>
      <c r="D940" s="120"/>
      <c r="E940" s="120"/>
      <c r="F940" s="120"/>
      <c r="G940" s="120"/>
      <c r="H940" s="120"/>
      <c r="I940" s="120"/>
      <c r="J940" s="120"/>
    </row>
    <row r="941">
      <c r="A941" s="120"/>
      <c r="B941" s="120"/>
      <c r="C941" s="120"/>
      <c r="D941" s="120"/>
      <c r="E941" s="120"/>
      <c r="F941" s="120"/>
      <c r="G941" s="120"/>
      <c r="H941" s="120"/>
      <c r="I941" s="120"/>
      <c r="J941" s="120"/>
    </row>
    <row r="942">
      <c r="A942" s="120"/>
      <c r="B942" s="120"/>
      <c r="C942" s="120"/>
      <c r="D942" s="120"/>
      <c r="E942" s="120"/>
      <c r="F942" s="120"/>
      <c r="G942" s="120"/>
      <c r="H942" s="120"/>
      <c r="I942" s="120"/>
      <c r="J942" s="120"/>
    </row>
    <row r="943">
      <c r="A943" s="120"/>
      <c r="B943" s="120"/>
      <c r="C943" s="120"/>
      <c r="D943" s="120"/>
      <c r="E943" s="120"/>
      <c r="F943" s="120"/>
      <c r="G943" s="120"/>
      <c r="H943" s="120"/>
      <c r="I943" s="120"/>
      <c r="J943" s="120"/>
    </row>
    <row r="944">
      <c r="A944" s="120"/>
      <c r="B944" s="120"/>
      <c r="C944" s="120"/>
      <c r="D944" s="120"/>
      <c r="E944" s="120"/>
      <c r="F944" s="120"/>
      <c r="G944" s="120"/>
      <c r="H944" s="120"/>
      <c r="I944" s="120"/>
      <c r="J944" s="120"/>
    </row>
    <row r="945">
      <c r="A945" s="120"/>
      <c r="B945" s="120"/>
      <c r="C945" s="120"/>
      <c r="D945" s="120"/>
      <c r="E945" s="120"/>
      <c r="F945" s="120"/>
      <c r="G945" s="120"/>
      <c r="H945" s="120"/>
      <c r="I945" s="120"/>
      <c r="J945" s="120"/>
    </row>
    <row r="946">
      <c r="A946" s="120"/>
      <c r="B946" s="120"/>
      <c r="C946" s="120"/>
      <c r="D946" s="120"/>
      <c r="E946" s="120"/>
      <c r="F946" s="120"/>
      <c r="G946" s="120"/>
      <c r="H946" s="120"/>
      <c r="I946" s="120"/>
      <c r="J946" s="120"/>
    </row>
    <row r="947">
      <c r="A947" s="120"/>
      <c r="B947" s="120"/>
      <c r="C947" s="120"/>
      <c r="D947" s="120"/>
      <c r="E947" s="120"/>
      <c r="F947" s="120"/>
      <c r="G947" s="120"/>
      <c r="H947" s="120"/>
      <c r="I947" s="120"/>
      <c r="J947" s="120"/>
    </row>
    <row r="948">
      <c r="A948" s="120"/>
      <c r="B948" s="120"/>
      <c r="C948" s="120"/>
      <c r="D948" s="120"/>
      <c r="E948" s="120"/>
      <c r="F948" s="120"/>
      <c r="G948" s="120"/>
      <c r="H948" s="120"/>
      <c r="I948" s="120"/>
      <c r="J948" s="120"/>
    </row>
    <row r="949">
      <c r="A949" s="120"/>
      <c r="B949" s="120"/>
      <c r="C949" s="120"/>
      <c r="D949" s="120"/>
      <c r="E949" s="120"/>
      <c r="F949" s="120"/>
      <c r="G949" s="120"/>
      <c r="H949" s="120"/>
      <c r="I949" s="120"/>
      <c r="J949" s="120"/>
    </row>
    <row r="950">
      <c r="A950" s="120"/>
      <c r="B950" s="120"/>
      <c r="C950" s="120"/>
      <c r="D950" s="120"/>
      <c r="E950" s="120"/>
      <c r="F950" s="120"/>
      <c r="G950" s="120"/>
      <c r="H950" s="120"/>
      <c r="I950" s="120"/>
      <c r="J950" s="120"/>
    </row>
    <row r="951">
      <c r="A951" s="120"/>
      <c r="B951" s="120"/>
      <c r="C951" s="120"/>
      <c r="D951" s="120"/>
      <c r="E951" s="120"/>
      <c r="F951" s="120"/>
      <c r="G951" s="120"/>
      <c r="H951" s="120"/>
      <c r="I951" s="120"/>
      <c r="J951" s="120"/>
    </row>
    <row r="952">
      <c r="A952" s="120"/>
      <c r="B952" s="120"/>
      <c r="C952" s="120"/>
      <c r="D952" s="120"/>
      <c r="E952" s="120"/>
      <c r="F952" s="120"/>
      <c r="G952" s="120"/>
      <c r="H952" s="120"/>
      <c r="I952" s="120"/>
      <c r="J952" s="120"/>
    </row>
    <row r="953">
      <c r="A953" s="120"/>
      <c r="B953" s="120"/>
      <c r="C953" s="120"/>
      <c r="D953" s="120"/>
      <c r="E953" s="120"/>
      <c r="F953" s="120"/>
      <c r="G953" s="120"/>
      <c r="H953" s="120"/>
      <c r="I953" s="120"/>
      <c r="J953" s="120"/>
    </row>
    <row r="954">
      <c r="A954" s="120"/>
      <c r="B954" s="120"/>
      <c r="C954" s="120"/>
      <c r="D954" s="120"/>
      <c r="E954" s="120"/>
      <c r="F954" s="120"/>
      <c r="G954" s="120"/>
      <c r="H954" s="120"/>
      <c r="I954" s="120"/>
      <c r="J954" s="120"/>
    </row>
    <row r="955">
      <c r="A955" s="120"/>
      <c r="B955" s="120"/>
      <c r="C955" s="120"/>
      <c r="D955" s="120"/>
      <c r="E955" s="120"/>
      <c r="F955" s="120"/>
      <c r="G955" s="120"/>
      <c r="H955" s="120"/>
      <c r="I955" s="120"/>
      <c r="J955" s="120"/>
    </row>
    <row r="956">
      <c r="A956" s="120"/>
      <c r="B956" s="120"/>
      <c r="C956" s="120"/>
      <c r="D956" s="120"/>
      <c r="E956" s="120"/>
      <c r="F956" s="120"/>
      <c r="G956" s="120"/>
      <c r="H956" s="120"/>
      <c r="I956" s="120"/>
      <c r="J956" s="120"/>
    </row>
    <row r="957">
      <c r="A957" s="120"/>
      <c r="B957" s="120"/>
      <c r="C957" s="120"/>
      <c r="D957" s="120"/>
      <c r="E957" s="120"/>
      <c r="F957" s="120"/>
      <c r="G957" s="120"/>
      <c r="H957" s="120"/>
      <c r="I957" s="120"/>
      <c r="J957" s="120"/>
    </row>
    <row r="958">
      <c r="A958" s="120"/>
      <c r="B958" s="120"/>
      <c r="C958" s="120"/>
      <c r="D958" s="120"/>
      <c r="E958" s="120"/>
      <c r="F958" s="120"/>
      <c r="G958" s="120"/>
      <c r="H958" s="120"/>
      <c r="I958" s="120"/>
      <c r="J958" s="120"/>
    </row>
    <row r="959">
      <c r="A959" s="120"/>
      <c r="B959" s="120"/>
      <c r="C959" s="120"/>
      <c r="D959" s="120"/>
      <c r="E959" s="120"/>
      <c r="F959" s="120"/>
      <c r="G959" s="120"/>
      <c r="H959" s="120"/>
      <c r="I959" s="120"/>
      <c r="J959" s="120"/>
    </row>
    <row r="960">
      <c r="A960" s="120"/>
      <c r="B960" s="120"/>
      <c r="C960" s="120"/>
      <c r="D960" s="120"/>
      <c r="E960" s="120"/>
      <c r="F960" s="120"/>
      <c r="G960" s="120"/>
      <c r="H960" s="120"/>
      <c r="I960" s="120"/>
      <c r="J960" s="120"/>
    </row>
    <row r="961">
      <c r="A961" s="120"/>
      <c r="B961" s="120"/>
      <c r="C961" s="120"/>
      <c r="D961" s="120"/>
      <c r="E961" s="120"/>
      <c r="F961" s="120"/>
      <c r="G961" s="120"/>
      <c r="H961" s="120"/>
      <c r="I961" s="120"/>
      <c r="J961" s="120"/>
    </row>
    <row r="962">
      <c r="A962" s="120"/>
      <c r="B962" s="120"/>
      <c r="C962" s="120"/>
      <c r="D962" s="120"/>
      <c r="E962" s="120"/>
      <c r="F962" s="120"/>
      <c r="G962" s="120"/>
      <c r="H962" s="120"/>
      <c r="I962" s="120"/>
      <c r="J962" s="120"/>
    </row>
    <row r="963">
      <c r="A963" s="120"/>
      <c r="B963" s="120"/>
      <c r="C963" s="120"/>
      <c r="D963" s="120"/>
      <c r="E963" s="120"/>
      <c r="F963" s="120"/>
      <c r="G963" s="120"/>
      <c r="H963" s="120"/>
      <c r="I963" s="120"/>
      <c r="J963" s="120"/>
    </row>
    <row r="964">
      <c r="A964" s="120"/>
      <c r="B964" s="120"/>
      <c r="C964" s="120"/>
      <c r="D964" s="120"/>
      <c r="E964" s="120"/>
      <c r="F964" s="120"/>
      <c r="G964" s="120"/>
      <c r="H964" s="120"/>
      <c r="I964" s="120"/>
      <c r="J964" s="120"/>
    </row>
    <row r="965">
      <c r="A965" s="120"/>
      <c r="B965" s="120"/>
      <c r="C965" s="120"/>
      <c r="D965" s="120"/>
      <c r="E965" s="120"/>
      <c r="F965" s="120"/>
      <c r="G965" s="120"/>
      <c r="H965" s="120"/>
      <c r="I965" s="120"/>
      <c r="J965" s="120"/>
    </row>
    <row r="966">
      <c r="A966" s="120"/>
      <c r="B966" s="120"/>
      <c r="C966" s="120"/>
      <c r="D966" s="120"/>
      <c r="E966" s="120"/>
      <c r="F966" s="120"/>
      <c r="G966" s="120"/>
      <c r="H966" s="120"/>
      <c r="I966" s="120"/>
      <c r="J966" s="120"/>
    </row>
    <row r="967">
      <c r="A967" s="120"/>
      <c r="B967" s="120"/>
      <c r="C967" s="120"/>
      <c r="D967" s="120"/>
      <c r="E967" s="120"/>
      <c r="F967" s="120"/>
      <c r="G967" s="120"/>
      <c r="H967" s="120"/>
      <c r="I967" s="120"/>
      <c r="J967" s="120"/>
    </row>
    <row r="968">
      <c r="A968" s="120"/>
      <c r="B968" s="120"/>
      <c r="C968" s="120"/>
      <c r="D968" s="120"/>
      <c r="E968" s="120"/>
      <c r="F968" s="120"/>
      <c r="G968" s="120"/>
      <c r="H968" s="120"/>
      <c r="I968" s="120"/>
      <c r="J968" s="120"/>
    </row>
    <row r="969">
      <c r="A969" s="120"/>
      <c r="B969" s="120"/>
      <c r="C969" s="120"/>
      <c r="D969" s="120"/>
      <c r="E969" s="120"/>
      <c r="F969" s="120"/>
      <c r="G969" s="120"/>
      <c r="H969" s="120"/>
      <c r="I969" s="120"/>
      <c r="J969" s="120"/>
    </row>
    <row r="970">
      <c r="A970" s="120"/>
      <c r="B970" s="120"/>
      <c r="C970" s="120"/>
      <c r="D970" s="120"/>
      <c r="E970" s="120"/>
      <c r="F970" s="120"/>
      <c r="G970" s="120"/>
      <c r="H970" s="120"/>
      <c r="I970" s="120"/>
      <c r="J970" s="120"/>
    </row>
    <row r="971">
      <c r="A971" s="120"/>
      <c r="B971" s="120"/>
      <c r="C971" s="120"/>
      <c r="D971" s="120"/>
      <c r="E971" s="120"/>
      <c r="F971" s="120"/>
      <c r="G971" s="120"/>
      <c r="H971" s="120"/>
      <c r="I971" s="120"/>
      <c r="J971" s="120"/>
    </row>
    <row r="972">
      <c r="A972" s="120"/>
      <c r="B972" s="120"/>
      <c r="C972" s="120"/>
      <c r="D972" s="120"/>
      <c r="E972" s="120"/>
      <c r="F972" s="120"/>
      <c r="G972" s="120"/>
      <c r="H972" s="120"/>
      <c r="I972" s="120"/>
      <c r="J972" s="120"/>
    </row>
    <row r="973">
      <c r="A973" s="120"/>
      <c r="B973" s="120"/>
      <c r="C973" s="120"/>
      <c r="D973" s="120"/>
      <c r="E973" s="120"/>
      <c r="F973" s="120"/>
      <c r="G973" s="120"/>
      <c r="H973" s="120"/>
      <c r="I973" s="120"/>
      <c r="J973" s="120"/>
    </row>
    <row r="974">
      <c r="A974" s="120"/>
      <c r="B974" s="120"/>
      <c r="C974" s="120"/>
      <c r="D974" s="120"/>
      <c r="E974" s="120"/>
      <c r="F974" s="120"/>
      <c r="G974" s="120"/>
      <c r="H974" s="120"/>
      <c r="I974" s="120"/>
      <c r="J974" s="120"/>
    </row>
    <row r="975">
      <c r="A975" s="120"/>
      <c r="B975" s="120"/>
      <c r="C975" s="120"/>
      <c r="D975" s="120"/>
      <c r="E975" s="120"/>
      <c r="F975" s="120"/>
      <c r="G975" s="120"/>
      <c r="H975" s="120"/>
      <c r="I975" s="120"/>
      <c r="J975" s="120"/>
    </row>
    <row r="976">
      <c r="A976" s="120"/>
      <c r="B976" s="120"/>
      <c r="C976" s="120"/>
      <c r="D976" s="120"/>
      <c r="E976" s="120"/>
      <c r="F976" s="120"/>
      <c r="G976" s="120"/>
      <c r="H976" s="120"/>
      <c r="I976" s="120"/>
      <c r="J976" s="120"/>
    </row>
    <row r="977">
      <c r="A977" s="120"/>
      <c r="B977" s="120"/>
      <c r="C977" s="120"/>
      <c r="D977" s="120"/>
      <c r="E977" s="120"/>
      <c r="F977" s="120"/>
      <c r="G977" s="120"/>
      <c r="H977" s="120"/>
      <c r="I977" s="120"/>
      <c r="J977" s="120"/>
    </row>
    <row r="978">
      <c r="A978" s="120"/>
      <c r="B978" s="120"/>
      <c r="C978" s="120"/>
      <c r="D978" s="120"/>
      <c r="E978" s="120"/>
      <c r="F978" s="120"/>
      <c r="G978" s="120"/>
      <c r="H978" s="120"/>
      <c r="I978" s="120"/>
      <c r="J978" s="120"/>
    </row>
    <row r="979">
      <c r="A979" s="120"/>
      <c r="B979" s="120"/>
      <c r="C979" s="120"/>
      <c r="D979" s="120"/>
      <c r="E979" s="120"/>
      <c r="F979" s="120"/>
      <c r="G979" s="120"/>
      <c r="H979" s="120"/>
      <c r="I979" s="120"/>
      <c r="J979" s="120"/>
    </row>
    <row r="980">
      <c r="A980" s="120"/>
      <c r="B980" s="120"/>
      <c r="C980" s="120"/>
      <c r="D980" s="120"/>
      <c r="E980" s="120"/>
      <c r="F980" s="120"/>
      <c r="G980" s="120"/>
      <c r="H980" s="120"/>
      <c r="I980" s="120"/>
      <c r="J980" s="120"/>
    </row>
    <row r="981">
      <c r="A981" s="120"/>
      <c r="B981" s="120"/>
      <c r="C981" s="120"/>
      <c r="D981" s="120"/>
      <c r="E981" s="120"/>
      <c r="F981" s="120"/>
      <c r="G981" s="120"/>
      <c r="H981" s="120"/>
      <c r="I981" s="120"/>
      <c r="J981" s="120"/>
    </row>
    <row r="982">
      <c r="A982" s="120"/>
      <c r="B982" s="120"/>
      <c r="C982" s="120"/>
      <c r="D982" s="120"/>
      <c r="E982" s="120"/>
      <c r="F982" s="120"/>
      <c r="G982" s="120"/>
      <c r="H982" s="120"/>
      <c r="I982" s="120"/>
      <c r="J982" s="120"/>
    </row>
    <row r="983">
      <c r="A983" s="120"/>
      <c r="B983" s="120"/>
      <c r="C983" s="120"/>
      <c r="D983" s="120"/>
      <c r="E983" s="120"/>
      <c r="F983" s="120"/>
      <c r="G983" s="120"/>
      <c r="H983" s="120"/>
      <c r="I983" s="120"/>
      <c r="J983" s="120"/>
    </row>
    <row r="984">
      <c r="A984" s="120"/>
      <c r="B984" s="120"/>
      <c r="C984" s="120"/>
      <c r="D984" s="120"/>
      <c r="E984" s="120"/>
      <c r="F984" s="120"/>
      <c r="G984" s="120"/>
      <c r="H984" s="120"/>
      <c r="I984" s="120"/>
      <c r="J984" s="120"/>
    </row>
    <row r="985">
      <c r="A985" s="120"/>
      <c r="B985" s="120"/>
      <c r="C985" s="120"/>
      <c r="D985" s="120"/>
      <c r="E985" s="120"/>
      <c r="F985" s="120"/>
      <c r="G985" s="120"/>
      <c r="H985" s="120"/>
      <c r="I985" s="120"/>
      <c r="J985" s="120"/>
    </row>
    <row r="986">
      <c r="A986" s="120"/>
      <c r="B986" s="120"/>
      <c r="C986" s="120"/>
      <c r="D986" s="120"/>
      <c r="E986" s="120"/>
      <c r="F986" s="120"/>
      <c r="G986" s="120"/>
      <c r="H986" s="120"/>
      <c r="I986" s="120"/>
      <c r="J986" s="120"/>
    </row>
    <row r="987">
      <c r="A987" s="120"/>
      <c r="B987" s="120"/>
      <c r="C987" s="120"/>
      <c r="D987" s="120"/>
      <c r="E987" s="120"/>
      <c r="F987" s="120"/>
      <c r="G987" s="120"/>
      <c r="H987" s="120"/>
      <c r="I987" s="120"/>
      <c r="J987" s="120"/>
    </row>
    <row r="988">
      <c r="A988" s="120"/>
      <c r="B988" s="120"/>
      <c r="C988" s="120"/>
      <c r="D988" s="120"/>
      <c r="E988" s="120"/>
      <c r="F988" s="120"/>
      <c r="G988" s="120"/>
      <c r="H988" s="120"/>
      <c r="I988" s="120"/>
      <c r="J988" s="120"/>
    </row>
    <row r="989">
      <c r="A989" s="120"/>
      <c r="B989" s="120"/>
      <c r="C989" s="120"/>
      <c r="D989" s="120"/>
      <c r="E989" s="120"/>
      <c r="F989" s="120"/>
      <c r="G989" s="120"/>
      <c r="H989" s="120"/>
      <c r="I989" s="120"/>
      <c r="J989" s="120"/>
    </row>
    <row r="990">
      <c r="A990" s="120"/>
      <c r="B990" s="120"/>
      <c r="C990" s="120"/>
      <c r="D990" s="120"/>
      <c r="E990" s="120"/>
      <c r="F990" s="120"/>
      <c r="G990" s="120"/>
      <c r="H990" s="120"/>
      <c r="I990" s="120"/>
      <c r="J990" s="120"/>
    </row>
    <row r="991">
      <c r="A991" s="120"/>
      <c r="B991" s="120"/>
      <c r="C991" s="120"/>
      <c r="D991" s="120"/>
      <c r="E991" s="120"/>
      <c r="F991" s="120"/>
      <c r="G991" s="120"/>
      <c r="H991" s="120"/>
      <c r="I991" s="120"/>
      <c r="J991" s="120"/>
    </row>
    <row r="992">
      <c r="A992" s="120"/>
      <c r="B992" s="120"/>
      <c r="C992" s="120"/>
      <c r="D992" s="120"/>
      <c r="E992" s="120"/>
      <c r="F992" s="120"/>
      <c r="G992" s="120"/>
      <c r="H992" s="120"/>
      <c r="I992" s="120"/>
      <c r="J992" s="120"/>
    </row>
    <row r="993">
      <c r="A993" s="120"/>
      <c r="B993" s="120"/>
      <c r="C993" s="120"/>
      <c r="D993" s="120"/>
      <c r="E993" s="120"/>
      <c r="F993" s="120"/>
      <c r="G993" s="120"/>
      <c r="H993" s="120"/>
      <c r="I993" s="120"/>
      <c r="J993" s="120"/>
    </row>
    <row r="994">
      <c r="A994" s="120"/>
      <c r="B994" s="120"/>
      <c r="C994" s="120"/>
      <c r="D994" s="120"/>
      <c r="E994" s="120"/>
      <c r="F994" s="120"/>
      <c r="G994" s="120"/>
      <c r="H994" s="120"/>
      <c r="I994" s="120"/>
      <c r="J994" s="120"/>
    </row>
    <row r="995">
      <c r="A995" s="120"/>
      <c r="B995" s="120"/>
      <c r="C995" s="120"/>
      <c r="D995" s="120"/>
      <c r="E995" s="120"/>
      <c r="F995" s="120"/>
      <c r="G995" s="120"/>
      <c r="H995" s="120"/>
      <c r="I995" s="120"/>
      <c r="J995" s="120"/>
    </row>
    <row r="996">
      <c r="A996" s="120"/>
      <c r="B996" s="120"/>
      <c r="C996" s="120"/>
      <c r="D996" s="120"/>
      <c r="E996" s="120"/>
      <c r="F996" s="120"/>
      <c r="G996" s="120"/>
      <c r="H996" s="120"/>
      <c r="I996" s="120"/>
      <c r="J996" s="120"/>
    </row>
    <row r="997">
      <c r="A997" s="120"/>
      <c r="B997" s="120"/>
      <c r="C997" s="120"/>
      <c r="D997" s="120"/>
      <c r="E997" s="120"/>
      <c r="F997" s="120"/>
      <c r="G997" s="120"/>
      <c r="H997" s="120"/>
      <c r="I997" s="120"/>
      <c r="J997" s="120"/>
    </row>
    <row r="998">
      <c r="A998" s="120"/>
      <c r="B998" s="120"/>
      <c r="C998" s="120"/>
      <c r="D998" s="120"/>
      <c r="E998" s="120"/>
      <c r="F998" s="120"/>
      <c r="G998" s="120"/>
      <c r="H998" s="120"/>
      <c r="I998" s="120"/>
      <c r="J998" s="120"/>
    </row>
    <row r="999">
      <c r="A999" s="120"/>
      <c r="B999" s="120"/>
      <c r="C999" s="120"/>
      <c r="D999" s="120"/>
      <c r="E999" s="120"/>
      <c r="F999" s="120"/>
      <c r="G999" s="120"/>
      <c r="H999" s="120"/>
      <c r="I999" s="120"/>
      <c r="J999" s="120"/>
    </row>
    <row r="1000">
      <c r="A1000" s="120"/>
      <c r="B1000" s="120"/>
      <c r="C1000" s="120"/>
      <c r="D1000" s="120"/>
      <c r="E1000" s="120"/>
      <c r="F1000" s="120"/>
      <c r="G1000" s="120"/>
      <c r="H1000" s="120"/>
      <c r="I1000" s="120"/>
      <c r="J1000" s="120"/>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2005-02-28T12:58:17Z</dcterms:created>
  <dc:creator>gcalderon</dc:creator>
</cp:coreProperties>
</file>