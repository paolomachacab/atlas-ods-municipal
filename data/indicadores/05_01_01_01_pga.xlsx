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 " sheetId="5" r:id="rId8"/>
    <sheet state="visible" name="Umbral" sheetId="6" r:id="rId9"/>
    <sheet state="visible" name="Hoja1" sheetId="7" r:id="rId10"/>
  </sheets>
  <definedNames/>
  <calcPr/>
  <extLst>
    <ext uri="GoogleSheetsCustomDataVersion2">
      <go:sheetsCustomData xmlns:go="http://customooxmlschemas.google.com/" r:id="rId11" roundtripDataChecksum="aSzj39NTzy9/CuX/nE+WAKNxKVj9tse4IXdnNJr83yY="/>
    </ext>
  </extLst>
</workbook>
</file>

<file path=xl/sharedStrings.xml><?xml version="1.0" encoding="utf-8"?>
<sst xmlns="http://schemas.openxmlformats.org/spreadsheetml/2006/main" count="1820" uniqueCount="480">
  <si>
    <t>id</t>
  </si>
  <si>
    <t>DEPARTAMENTO</t>
  </si>
  <si>
    <t>PROVINCIA</t>
  </si>
  <si>
    <t>MUNICIPIO</t>
  </si>
  <si>
    <t>Abandono escolar de mujeres en secundaria, 2012</t>
  </si>
  <si>
    <t>Abandono escolar de mujeres en secundaria, 2013</t>
  </si>
  <si>
    <t>Abandono escolar de mujeres en secundaria, 2014</t>
  </si>
  <si>
    <t>Abandono escolar de hombres en secundaria, 2012</t>
  </si>
  <si>
    <t>Abandono escolar de hombres en secundaria, 2013</t>
  </si>
  <si>
    <t>Abandono escolar de hombres en secundaria, 2014</t>
  </si>
  <si>
    <t>Paridad de género en abandono escolar en secundaria, 2012</t>
  </si>
  <si>
    <t>Paridad de género en abandono escolar en secundaria, 2013</t>
  </si>
  <si>
    <t>Paridad de género en abandono escolar en secundaria, 2014</t>
  </si>
  <si>
    <t>Promedio de paridad de género en abandono escolar en secundaria, 2012 - 2014</t>
  </si>
  <si>
    <t>Abandono escolar de mujeres en secundaria, 2022</t>
  </si>
  <si>
    <t>Abandono escolar de mujeres en secundaria, 2023</t>
  </si>
  <si>
    <t>Abandono escolar de mujeres en secundaria, 2024</t>
  </si>
  <si>
    <t>Abandono escolar de hombres en secundaria, 2022</t>
  </si>
  <si>
    <t>Abandono escolar de hombres en secundaria, 2023</t>
  </si>
  <si>
    <t>Abandono escolar de hombres en secundaria, 2024</t>
  </si>
  <si>
    <t>Paridad de género en abandono escolar en secundaria, 2022</t>
  </si>
  <si>
    <t>Paridad de género en abandono escolar en secundaria, 2023</t>
  </si>
  <si>
    <t>Paridad de género en abandono escolar en secundaria, 2024</t>
  </si>
  <si>
    <t>Promedio de paridad de género en abandono escolar en secundaria, 2022 - 2023</t>
  </si>
  <si>
    <t>Departamento</t>
  </si>
  <si>
    <t>Promedio de paridad de género en abandono escolar en secundaria, 2022 - 2024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</si>
  <si>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</si>
  <si>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</si>
  <si>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</si>
  <si>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</si>
  <si>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</si>
  <si>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</si>
  <si>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</si>
  <si>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</si>
  <si>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</si>
  <si>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</si>
  <si>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</si>
  <si>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Potosi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</si>
  <si>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</si>
  <si>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</si>
  <si>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</si>
  <si>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</si>
  <si>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</si>
  <si>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</si>
  <si>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</si>
  <si>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</si>
  <si>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</si>
  <si>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</si>
  <si>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</si>
  <si>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Bolivia</t>
  </si>
  <si>
    <t xml:space="preserve">Gran Chaco 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</si>
  <si>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</si>
  <si>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</si>
  <si>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</si>
  <si>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</si>
  <si>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</si>
  <si>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</si>
  <si>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</si>
  <si>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</si>
  <si>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</si>
  <si>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</si>
  <si>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</si>
  <si>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</si>
  <si>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</si>
  <si>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</si>
  <si>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</si>
  <si>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</si>
  <si>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</si>
  <si>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</si>
  <si>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</si>
  <si>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</si>
  <si>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</si>
  <si>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</si>
  <si>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</si>
  <si>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</si>
  <si>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</si>
  <si>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</si>
  <si>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</si>
  <si>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</si>
  <si>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</si>
  <si>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</si>
  <si>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</si>
  <si>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</si>
  <si>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</si>
  <si>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</si>
  <si>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</si>
  <si>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</si>
  <si>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</si>
  <si>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</si>
  <si>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</si>
  <si>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</si>
  <si>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</si>
  <si>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</si>
  <si>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</si>
  <si>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</si>
  <si>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</si>
  <si>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</si>
  <si>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</si>
  <si>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</si>
  <si>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</si>
  <si>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</si>
  <si>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</si>
  <si>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</si>
  <si>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</si>
  <si>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</si>
  <si>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</si>
  <si>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</si>
  <si>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</si>
  <si>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</si>
  <si>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</si>
  <si>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</si>
  <si>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</si>
  <si>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</si>
  <si>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</si>
  <si>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</si>
  <si>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</si>
  <si>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</si>
  <si>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</si>
  <si>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</si>
  <si>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</si>
  <si>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</si>
  <si>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</si>
  <si>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</si>
  <si>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</si>
  <si>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</si>
  <si>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</si>
  <si>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</si>
  <si>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</si>
  <si>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</si>
  <si>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</si>
  <si>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</si>
  <si>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</si>
  <si>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</si>
  <si>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</si>
  <si>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</si>
  <si>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</si>
  <si>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</si>
  <si>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</si>
  <si>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</si>
  <si>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</si>
  <si>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</si>
  <si>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</si>
  <si>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</si>
  <si>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</si>
  <si>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</si>
  <si>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</si>
  <si>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</si>
  <si>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</si>
  <si>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</si>
  <si>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</si>
  <si>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</si>
  <si>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</si>
  <si>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</si>
  <si>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</si>
  <si>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</si>
  <si>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</si>
  <si>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</si>
  <si>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</si>
  <si>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</si>
  <si>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</si>
  <si>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</si>
  <si>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</si>
  <si>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</si>
  <si>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</si>
  <si>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</si>
  <si>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</si>
  <si>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</si>
  <si>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</si>
  <si>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</si>
  <si>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</si>
  <si>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</si>
  <si>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</si>
  <si>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</si>
  <si>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</si>
  <si>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</si>
  <si>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</si>
  <si>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</si>
  <si>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</si>
  <si>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</si>
  <si>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</si>
  <si>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</si>
  <si>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</si>
  <si>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</si>
  <si>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</si>
  <si>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</si>
  <si>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</si>
  <si>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</si>
  <si>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</si>
  <si>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</si>
  <si>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</si>
  <si>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</si>
  <si>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</si>
  <si>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</si>
  <si>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</si>
  <si>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</si>
  <si>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</si>
  <si>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</si>
  <si>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</si>
  <si>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</si>
  <si>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</si>
  <si>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</si>
  <si>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</si>
  <si>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</si>
  <si>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</si>
  <si>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</si>
  <si>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</si>
  <si>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</si>
  <si>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</si>
  <si>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</si>
  <si>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</si>
  <si>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</si>
  <si>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</si>
  <si>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</si>
  <si>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</si>
  <si>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</si>
  <si>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</si>
  <si>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</si>
  <si>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</si>
  <si>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</si>
  <si>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</si>
  <si>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</si>
  <si>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</si>
  <si>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</si>
  <si>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</si>
  <si>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</si>
  <si>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</si>
  <si>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</si>
  <si>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</si>
  <si>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</si>
  <si>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</si>
  <si>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</si>
  <si>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</si>
  <si>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</si>
  <si>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</si>
  <si>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</si>
  <si>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</si>
  <si>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</si>
  <si>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</si>
  <si>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</si>
  <si>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</si>
  <si>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</si>
  <si>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</si>
  <si>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</si>
  <si>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</si>
  <si>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</si>
  <si>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</si>
  <si>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</si>
  <si>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</si>
  <si>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</si>
  <si>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</si>
  <si>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</si>
  <si>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</si>
  <si>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</si>
  <si>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</si>
  <si>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</si>
  <si>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</si>
  <si>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</si>
  <si>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</si>
  <si>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</si>
  <si>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</si>
  <si>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</si>
  <si>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</si>
  <si>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</si>
  <si>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</si>
  <si>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</si>
  <si>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</si>
  <si>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</si>
  <si>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</si>
  <si>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</si>
  <si>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</si>
  <si>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</si>
  <si>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</si>
  <si>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</si>
  <si>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</si>
  <si>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</si>
  <si>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</si>
  <si>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</si>
  <si>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</si>
  <si>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</si>
  <si>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</si>
  <si>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</si>
  <si>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</si>
  <si>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</si>
  <si>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</si>
  <si>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</si>
  <si>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</si>
  <si>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</si>
  <si>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</si>
  <si>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</si>
  <si>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</si>
  <si>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</si>
  <si>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</si>
  <si>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</si>
  <si>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</si>
  <si>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</si>
  <si>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</si>
  <si>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</si>
  <si>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</si>
  <si>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</si>
  <si>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</si>
  <si>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</si>
  <si>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</si>
  <si>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</si>
  <si>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</si>
  <si>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</si>
  <si>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</si>
  <si>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</si>
  <si>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</si>
  <si>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</si>
  <si>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</si>
  <si>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</si>
  <si>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</si>
  <si>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</si>
  <si>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</si>
  <si>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</si>
  <si>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</si>
  <si>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</si>
  <si>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</si>
  <si>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</si>
  <si>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</si>
  <si>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</si>
  <si>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</si>
  <si>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</si>
  <si>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</si>
  <si>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</si>
  <si>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</si>
  <si>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</si>
  <si>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</si>
  <si>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</si>
  <si>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</si>
  <si>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</si>
  <si>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</si>
  <si>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</si>
  <si>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</si>
  <si>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</si>
  <si>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</si>
  <si>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</si>
  <si>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</si>
  <si>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</si>
  <si>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</si>
  <si>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</si>
  <si>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</si>
  <si>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</si>
  <si>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</si>
  <si>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</si>
  <si>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</si>
  <si>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</si>
  <si>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</si>
  <si>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</si>
  <si>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</si>
  <si>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</si>
  <si>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</si>
  <si>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</si>
  <si>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</si>
  <si>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</si>
  <si>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</si>
  <si>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</si>
  <si>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</si>
  <si>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</si>
  <si>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</si>
  <si>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</si>
  <si>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</si>
  <si>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</si>
  <si>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</si>
  <si>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</si>
  <si>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</si>
  <si>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</si>
  <si>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</si>
  <si>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</si>
  <si>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</si>
  <si>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</si>
  <si>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</si>
  <si>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</si>
  <si>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</si>
  <si>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</si>
  <si>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</si>
  <si>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</si>
  <si>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</si>
  <si>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</si>
  <si>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</si>
  <si>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</si>
  <si>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</si>
  <si>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</si>
  <si>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</si>
  <si>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</si>
  <si>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</si>
  <si>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</si>
  <si>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</si>
  <si>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</si>
  <si>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</si>
  <si>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</si>
  <si>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</si>
  <si>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</si>
  <si>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</si>
  <si>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</si>
  <si>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</si>
  <si>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</si>
  <si>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</si>
  <si>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</si>
  <si>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</si>
  <si>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</si>
  <si>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</si>
  <si>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</si>
  <si>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</si>
  <si>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</si>
  <si>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</si>
  <si>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</si>
  <si>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</si>
  <si>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</si>
  <si>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</si>
  <si>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</si>
  <si>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</si>
  <si>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</si>
  <si>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</si>
  <si>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</si>
  <si>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</si>
  <si>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</si>
  <si>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</si>
  <si>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</si>
  <si>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</si>
  <si>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</si>
  <si>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</si>
  <si>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</si>
  <si>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</si>
  <si>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</si>
  <si>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</si>
  <si>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</si>
  <si>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</si>
  <si>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</si>
  <si>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</si>
  <si>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</si>
  <si>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</si>
  <si>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</si>
  <si>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</si>
  <si>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</si>
  <si>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</si>
  <si>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</si>
  <si>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</si>
  <si>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</si>
  <si>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</si>
  <si>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</si>
  <si>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</si>
  <si>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</si>
  <si>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</si>
  <si>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</si>
  <si>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</si>
  <si>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</si>
  <si>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</si>
  <si>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</si>
  <si>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</si>
  <si>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</si>
  <si>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</si>
  <si>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</si>
  <si>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</si>
  <si>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</si>
  <si>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</si>
  <si>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</si>
  <si>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</si>
  <si>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</si>
  <si>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</si>
  <si>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</si>
  <si>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Municipio</t>
  </si>
  <si>
    <t>Paridad_de_género_en_abandono_escolar_en_secundaria_prom_2012_2014</t>
  </si>
  <si>
    <t>Paridad_de_género_en_abandono_escolar_en_secundaria_prom_2022_2024</t>
  </si>
  <si>
    <t>Absoluto_2012</t>
  </si>
  <si>
    <t>Absoluto_2024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</si>
  <si>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</si>
  <si>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</si>
  <si>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</si>
  <si>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</si>
  <si>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</si>
  <si>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</si>
  <si>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</si>
  <si>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</si>
  <si>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</si>
  <si>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</si>
  <si>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</si>
  <si>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</si>
  <si>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Paridad de género en abandono escolar en secundaria</t>
  </si>
  <si>
    <t>Atlas Municipal de los ODS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</si>
</sst>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0.0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sz val="10.0"/>
      <color rgb="FF000000"/>
      <name val="Arial"/>
    </font>
    <font>
      <b/>
      <sz val="11.0"/>
      <color theme="0"/>
      <name val="Arial"/>
    </font>
    <font>
      <sz val="10.0"/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  <font>
      <b/>
      <color theme="1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49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0" fontId="1" numFmtId="164" xfId="0" applyBorder="1" applyFont="1" applyNumberFormat="1"/>
    <xf borderId="1" fillId="0" fontId="1" numFmtId="0" xfId="0" applyBorder="1" applyFont="1"/>
    <xf borderId="1" fillId="0" fontId="1" numFmtId="49" xfId="0" applyBorder="1" applyFont="1" applyNumberFormat="1"/>
    <xf borderId="1" fillId="0" fontId="2" numFmtId="1" xfId="0" applyBorder="1" applyFont="1" applyNumberFormat="1"/>
    <xf borderId="1" fillId="0" fontId="2" numFmtId="165" xfId="0" applyBorder="1" applyFont="1" applyNumberFormat="1"/>
    <xf borderId="1" fillId="0" fontId="2" numFmtId="0" xfId="0" applyBorder="1" applyFont="1"/>
    <xf borderId="1" fillId="0" fontId="2" numFmtId="3" xfId="0" applyBorder="1" applyFont="1" applyNumberFormat="1"/>
    <xf borderId="0" fillId="0" fontId="1" numFmtId="164" xfId="0" applyFont="1" applyNumberFormat="1"/>
    <xf borderId="0" fillId="0" fontId="1" numFmtId="0" xfId="0" applyFont="1"/>
    <xf borderId="0" fillId="0" fontId="1" numFmtId="49" xfId="0" applyFont="1" applyNumberFormat="1"/>
    <xf borderId="0" fillId="0" fontId="4" numFmtId="1" xfId="0" applyFont="1" applyNumberFormat="1"/>
    <xf borderId="0" fillId="0" fontId="1" numFmtId="165" xfId="0" applyFont="1" applyNumberFormat="1"/>
    <xf borderId="1" fillId="0" fontId="4" numFmtId="164" xfId="0" applyBorder="1" applyFont="1" applyNumberFormat="1"/>
    <xf borderId="1" fillId="0" fontId="4" numFmtId="49" xfId="0" applyBorder="1" applyFont="1" applyNumberFormat="1"/>
    <xf borderId="1" fillId="0" fontId="1" numFmtId="4" xfId="0" applyBorder="1" applyFont="1" applyNumberFormat="1"/>
    <xf borderId="0" fillId="0" fontId="1" numFmtId="165" xfId="0" applyAlignment="1" applyFont="1" applyNumberFormat="1">
      <alignment horizontal="right"/>
    </xf>
    <xf borderId="0" fillId="0" fontId="1" numFmtId="2" xfId="0" applyAlignment="1" applyFont="1" applyNumberFormat="1">
      <alignment horizontal="right"/>
    </xf>
    <xf borderId="2" fillId="0" fontId="4" numFmtId="2" xfId="0" applyBorder="1" applyFont="1" applyNumberFormat="1"/>
    <xf borderId="1" fillId="0" fontId="1" numFmtId="0" xfId="0" applyAlignment="1" applyBorder="1" applyFont="1">
      <alignment horizontal="center"/>
    </xf>
    <xf borderId="3" fillId="0" fontId="1" numFmtId="0" xfId="0" applyBorder="1" applyFont="1"/>
    <xf borderId="1" fillId="0" fontId="4" numFmtId="2" xfId="0" applyBorder="1" applyFont="1" applyNumberFormat="1"/>
    <xf borderId="2" fillId="0" fontId="1" numFmtId="0" xfId="0" applyAlignment="1" applyBorder="1" applyFont="1">
      <alignment horizontal="center"/>
    </xf>
    <xf borderId="4" fillId="0" fontId="1" numFmtId="0" xfId="0" applyBorder="1" applyFont="1"/>
    <xf borderId="1" fillId="0" fontId="4" numFmtId="0" xfId="0" applyAlignment="1" applyBorder="1" applyFont="1">
      <alignment horizontal="center"/>
    </xf>
    <xf borderId="3" fillId="0" fontId="4" numFmtId="0" xfId="0" applyBorder="1" applyFont="1"/>
    <xf borderId="1" fillId="0" fontId="2" numFmtId="2" xfId="0" applyBorder="1" applyFont="1" applyNumberFormat="1"/>
    <xf borderId="0" fillId="0" fontId="4" numFmtId="0" xfId="0" applyFont="1"/>
    <xf borderId="0" fillId="0" fontId="4" numFmtId="2" xfId="0" applyFont="1" applyNumberFormat="1"/>
    <xf borderId="2" fillId="0" fontId="1" numFmtId="0" xfId="0" applyBorder="1" applyFont="1"/>
    <xf borderId="1" fillId="0" fontId="4" numFmtId="0" xfId="0" applyBorder="1" applyFont="1"/>
    <xf borderId="1" fillId="3" fontId="5" numFmtId="0" xfId="0" applyAlignment="1" applyBorder="1" applyFill="1" applyFont="1">
      <alignment shrinkToFit="0" wrapText="1"/>
    </xf>
    <xf borderId="1" fillId="4" fontId="6" numFmtId="0" xfId="0" applyAlignment="1" applyBorder="1" applyFill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6" fontId="6" numFmtId="0" xfId="0" applyAlignment="1" applyBorder="1" applyFill="1" applyFont="1">
      <alignment horizontal="center" shrinkToFit="0" wrapText="1"/>
    </xf>
    <xf borderId="1" fillId="7" fontId="6" numFmtId="0" xfId="0" applyAlignment="1" applyBorder="1" applyFill="1" applyFont="1">
      <alignment horizontal="center" shrinkToFit="0" wrapText="1"/>
    </xf>
    <xf borderId="1" fillId="8" fontId="7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right" shrinkToFit="0" wrapText="1"/>
    </xf>
    <xf borderId="1" fillId="0" fontId="8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</xdr:row>
      <xdr:rowOff>9525</xdr:rowOff>
    </xdr:from>
    <xdr:ext cx="6562725" cy="419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6.0"/>
  </cols>
  <sheetData>
    <row r="1" ht="114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/>
      <c r="Z1" s="6"/>
      <c r="AA1" s="4" t="s">
        <v>24</v>
      </c>
      <c r="AB1" s="4" t="s">
        <v>4</v>
      </c>
      <c r="AC1" s="4" t="s">
        <v>5</v>
      </c>
      <c r="AD1" s="4" t="s">
        <v>6</v>
      </c>
      <c r="AE1" s="4" t="s">
        <v>7</v>
      </c>
      <c r="AF1" s="4" t="s">
        <v>8</v>
      </c>
      <c r="AG1" s="4" t="s">
        <v>9</v>
      </c>
      <c r="AH1" s="4" t="s">
        <v>10</v>
      </c>
      <c r="AI1" s="4" t="s">
        <v>11</v>
      </c>
      <c r="AJ1" s="4" t="s">
        <v>12</v>
      </c>
      <c r="AK1" s="5" t="s">
        <v>13</v>
      </c>
      <c r="AL1" s="4" t="s">
        <v>14</v>
      </c>
      <c r="AM1" s="4" t="s">
        <v>15</v>
      </c>
      <c r="AN1" s="4" t="s">
        <v>16</v>
      </c>
      <c r="AO1" s="4" t="s">
        <v>17</v>
      </c>
      <c r="AP1" s="4" t="s">
        <v>18</v>
      </c>
      <c r="AQ1" s="4" t="s">
        <v>19</v>
      </c>
      <c r="AR1" s="4" t="s">
        <v>20</v>
      </c>
      <c r="AS1" s="4" t="s">
        <v>21</v>
      </c>
      <c r="AT1" s="4" t="s">
        <v>22</v>
      </c>
      <c r="AU1" s="5" t="s">
        <v>25</v>
      </c>
    </row>
    <row r="2" ht="15.75" customHeight="1">
      <c r="A2" s="7">
        <v>10101.0</v>
      </c>
      <c r="B2" s="8" t="s">
        <v>26</v>
      </c>
      <c r="C2" s="8" t="s">
        <v>27</v>
      </c>
      <c r="D2" s="9" t="s">
        <v>28</v>
      </c>
      <c r="E2" s="10">
        <v>710.0</v>
      </c>
      <c r="F2" s="10">
        <v>805.0</v>
      </c>
      <c r="G2" s="10">
        <v>710.0</v>
      </c>
      <c r="H2" s="10">
        <v>1298.0</v>
      </c>
      <c r="I2" s="10">
        <v>1368.0</v>
      </c>
      <c r="J2" s="10">
        <v>1268.0</v>
      </c>
      <c r="K2" s="11">
        <f t="shared" ref="K2:M2" si="1">+H2/E2</f>
        <v>1.828169014</v>
      </c>
      <c r="L2" s="11">
        <f t="shared" si="1"/>
        <v>1.699378882</v>
      </c>
      <c r="M2" s="11">
        <f t="shared" si="1"/>
        <v>1.785915493</v>
      </c>
      <c r="N2" s="11">
        <f t="shared" ref="N2:N344" si="6">AVERAGE(K2:M2)</f>
        <v>1.771154463</v>
      </c>
      <c r="O2" s="10">
        <v>422.0</v>
      </c>
      <c r="P2" s="10">
        <v>353.0</v>
      </c>
      <c r="Q2" s="10">
        <v>338.0</v>
      </c>
      <c r="R2" s="10">
        <v>624.0</v>
      </c>
      <c r="S2" s="10">
        <v>522.0</v>
      </c>
      <c r="T2" s="10">
        <v>444.0</v>
      </c>
      <c r="U2" s="11">
        <f t="shared" ref="U2:W2" si="2">+R2/O2</f>
        <v>1.478672986</v>
      </c>
      <c r="V2" s="11">
        <f t="shared" si="2"/>
        <v>1.478753541</v>
      </c>
      <c r="W2" s="11">
        <f t="shared" si="2"/>
        <v>1.313609467</v>
      </c>
      <c r="X2" s="11">
        <f t="shared" ref="X2:X160" si="8">AVERAGE(U2:W2)</f>
        <v>1.423678665</v>
      </c>
      <c r="AA2" s="12" t="s">
        <v>26</v>
      </c>
      <c r="AB2" s="11">
        <v>1672.0</v>
      </c>
      <c r="AC2" s="11">
        <v>1699.0</v>
      </c>
      <c r="AD2" s="11">
        <v>1699.0</v>
      </c>
      <c r="AE2" s="11">
        <v>2621.0</v>
      </c>
      <c r="AF2" s="11">
        <v>2612.0</v>
      </c>
      <c r="AG2" s="11">
        <v>2612.0</v>
      </c>
      <c r="AH2" s="11">
        <f t="shared" ref="AH2:AJ2" si="3">+AE2/AB2</f>
        <v>1.567583732</v>
      </c>
      <c r="AI2" s="11">
        <f t="shared" si="3"/>
        <v>1.537374926</v>
      </c>
      <c r="AJ2" s="11">
        <f t="shared" si="3"/>
        <v>1.537374926</v>
      </c>
      <c r="AK2" s="11">
        <f t="shared" ref="AK2:AK12" si="10">AVERAGE(AH2:AJ2)</f>
        <v>1.547444528</v>
      </c>
      <c r="AL2" s="11">
        <v>933.0</v>
      </c>
      <c r="AM2" s="11">
        <v>779.0</v>
      </c>
      <c r="AN2" s="13">
        <f>+SUM(Q2:Q30)</f>
        <v>764</v>
      </c>
      <c r="AO2" s="11">
        <v>1339.0</v>
      </c>
      <c r="AP2" s="11">
        <v>1118.0</v>
      </c>
      <c r="AQ2" s="13">
        <f>+SUM(T2:T30)</f>
        <v>1071</v>
      </c>
      <c r="AR2" s="11">
        <f t="shared" ref="AR2:AT2" si="4">+AO2/AL2</f>
        <v>1.435155413</v>
      </c>
      <c r="AS2" s="11">
        <f t="shared" si="4"/>
        <v>1.435173299</v>
      </c>
      <c r="AT2" s="11">
        <f t="shared" si="4"/>
        <v>1.401832461</v>
      </c>
      <c r="AU2" s="11">
        <f t="shared" ref="AU2:AU12" si="12">AVERAGE(AR2:AT2)</f>
        <v>1.424053724</v>
      </c>
    </row>
    <row r="3" ht="15.75" customHeight="1">
      <c r="A3" s="7">
        <v>10102.0</v>
      </c>
      <c r="B3" s="8" t="s">
        <v>26</v>
      </c>
      <c r="C3" s="8" t="s">
        <v>27</v>
      </c>
      <c r="D3" s="9" t="s">
        <v>29</v>
      </c>
      <c r="E3" s="10">
        <v>27.0</v>
      </c>
      <c r="F3" s="10">
        <v>20.0</v>
      </c>
      <c r="G3" s="10">
        <v>16.0</v>
      </c>
      <c r="H3" s="10">
        <v>26.0</v>
      </c>
      <c r="I3" s="10">
        <v>24.0</v>
      </c>
      <c r="J3" s="10">
        <v>25.0</v>
      </c>
      <c r="K3" s="11">
        <f t="shared" ref="K3:M3" si="5">+H3/E3</f>
        <v>0.962962963</v>
      </c>
      <c r="L3" s="11">
        <f t="shared" si="5"/>
        <v>1.2</v>
      </c>
      <c r="M3" s="11">
        <f t="shared" si="5"/>
        <v>1.5625</v>
      </c>
      <c r="N3" s="11">
        <f t="shared" si="6"/>
        <v>1.241820988</v>
      </c>
      <c r="O3" s="10">
        <v>11.0</v>
      </c>
      <c r="P3" s="10">
        <v>10.0</v>
      </c>
      <c r="Q3" s="10">
        <v>11.0</v>
      </c>
      <c r="R3" s="10">
        <v>11.0</v>
      </c>
      <c r="S3" s="10">
        <v>14.0</v>
      </c>
      <c r="T3" s="10">
        <v>13.0</v>
      </c>
      <c r="U3" s="11">
        <f t="shared" ref="U3:W3" si="7">+R3/O3</f>
        <v>1</v>
      </c>
      <c r="V3" s="11">
        <f t="shared" si="7"/>
        <v>1.4</v>
      </c>
      <c r="W3" s="11">
        <f t="shared" si="7"/>
        <v>1.181818182</v>
      </c>
      <c r="X3" s="11">
        <f t="shared" si="8"/>
        <v>1.193939394</v>
      </c>
      <c r="AA3" s="12" t="s">
        <v>30</v>
      </c>
      <c r="AB3" s="11">
        <v>6443.0</v>
      </c>
      <c r="AC3" s="11">
        <v>6611.0</v>
      </c>
      <c r="AD3" s="11">
        <v>7251.0</v>
      </c>
      <c r="AE3" s="11">
        <v>9129.0</v>
      </c>
      <c r="AF3" s="11">
        <v>8949.0</v>
      </c>
      <c r="AG3" s="11">
        <v>10317.0</v>
      </c>
      <c r="AH3" s="11">
        <f t="shared" ref="AH3:AJ3" si="9">+AE3/AB3</f>
        <v>1.416886544</v>
      </c>
      <c r="AI3" s="11">
        <f t="shared" si="9"/>
        <v>1.353653003</v>
      </c>
      <c r="AJ3" s="11">
        <f t="shared" si="9"/>
        <v>1.422838229</v>
      </c>
      <c r="AK3" s="11">
        <f t="shared" si="10"/>
        <v>1.397792592</v>
      </c>
      <c r="AL3" s="11">
        <v>2802.0</v>
      </c>
      <c r="AM3" s="11">
        <v>2630.0</v>
      </c>
      <c r="AN3" s="13">
        <f>+SUM(Q31:Q117)</f>
        <v>2715</v>
      </c>
      <c r="AO3" s="11">
        <v>3730.0</v>
      </c>
      <c r="AP3" s="11">
        <v>3698.0</v>
      </c>
      <c r="AQ3" s="13">
        <f>+SUM(T31:T117)</f>
        <v>4007</v>
      </c>
      <c r="AR3" s="11">
        <f t="shared" ref="AR3:AT3" si="11">+AO3/AL3</f>
        <v>1.331192006</v>
      </c>
      <c r="AS3" s="11">
        <f t="shared" si="11"/>
        <v>1.40608365</v>
      </c>
      <c r="AT3" s="11">
        <f t="shared" si="11"/>
        <v>1.47587477</v>
      </c>
      <c r="AU3" s="11">
        <f t="shared" si="12"/>
        <v>1.404383475</v>
      </c>
    </row>
    <row r="4" ht="15.75" customHeight="1">
      <c r="A4" s="7">
        <v>10103.0</v>
      </c>
      <c r="B4" s="8" t="s">
        <v>26</v>
      </c>
      <c r="C4" s="8" t="s">
        <v>27</v>
      </c>
      <c r="D4" s="9" t="s">
        <v>31</v>
      </c>
      <c r="E4" s="10">
        <v>91.0</v>
      </c>
      <c r="F4" s="10">
        <v>97.0</v>
      </c>
      <c r="G4" s="10">
        <v>81.0</v>
      </c>
      <c r="H4" s="10">
        <v>115.0</v>
      </c>
      <c r="I4" s="10">
        <v>137.0</v>
      </c>
      <c r="J4" s="10">
        <v>163.0</v>
      </c>
      <c r="K4" s="11">
        <f t="shared" ref="K4:M4" si="13">+H4/E4</f>
        <v>1.263736264</v>
      </c>
      <c r="L4" s="11">
        <f t="shared" si="13"/>
        <v>1.412371134</v>
      </c>
      <c r="M4" s="11">
        <f t="shared" si="13"/>
        <v>2.012345679</v>
      </c>
      <c r="N4" s="11">
        <f t="shared" si="6"/>
        <v>1.562817692</v>
      </c>
      <c r="O4" s="10">
        <v>28.0</v>
      </c>
      <c r="P4" s="10">
        <v>25.0</v>
      </c>
      <c r="Q4" s="10">
        <v>37.0</v>
      </c>
      <c r="R4" s="10">
        <v>43.0</v>
      </c>
      <c r="S4" s="10">
        <v>47.0</v>
      </c>
      <c r="T4" s="10">
        <v>41.0</v>
      </c>
      <c r="U4" s="11">
        <f t="shared" ref="U4:W4" si="14">+R4/O4</f>
        <v>1.535714286</v>
      </c>
      <c r="V4" s="11">
        <f t="shared" si="14"/>
        <v>1.88</v>
      </c>
      <c r="W4" s="11">
        <f t="shared" si="14"/>
        <v>1.108108108</v>
      </c>
      <c r="X4" s="11">
        <f t="shared" si="8"/>
        <v>1.507940798</v>
      </c>
      <c r="AA4" s="12" t="s">
        <v>32</v>
      </c>
      <c r="AB4" s="11">
        <v>4811.0</v>
      </c>
      <c r="AC4" s="11">
        <v>5287.0</v>
      </c>
      <c r="AD4" s="11">
        <v>5102.0</v>
      </c>
      <c r="AE4" s="11">
        <v>7504.0</v>
      </c>
      <c r="AF4" s="11">
        <v>8073.0</v>
      </c>
      <c r="AG4" s="11">
        <v>8143.0</v>
      </c>
      <c r="AH4" s="11">
        <f t="shared" ref="AH4:AJ4" si="15">+AE4/AB4</f>
        <v>1.559758886</v>
      </c>
      <c r="AI4" s="11">
        <f t="shared" si="15"/>
        <v>1.526952903</v>
      </c>
      <c r="AJ4" s="11">
        <f t="shared" si="15"/>
        <v>1.596040768</v>
      </c>
      <c r="AK4" s="11">
        <f t="shared" si="10"/>
        <v>1.560917519</v>
      </c>
      <c r="AL4" s="11">
        <v>2941.0</v>
      </c>
      <c r="AM4" s="11">
        <v>2520.0</v>
      </c>
      <c r="AN4" s="13">
        <f>+SUM(Q118:Q165)</f>
        <v>2343</v>
      </c>
      <c r="AO4" s="11">
        <v>3404.0</v>
      </c>
      <c r="AP4" s="11">
        <v>3065.0</v>
      </c>
      <c r="AQ4" s="13">
        <f>+SUM(T118:T165)</f>
        <v>3388</v>
      </c>
      <c r="AR4" s="11">
        <f t="shared" ref="AR4:AT4" si="16">+AO4/AL4</f>
        <v>1.157429446</v>
      </c>
      <c r="AS4" s="11">
        <f t="shared" si="16"/>
        <v>1.216269841</v>
      </c>
      <c r="AT4" s="11">
        <f t="shared" si="16"/>
        <v>1.44600939</v>
      </c>
      <c r="AU4" s="11">
        <f t="shared" si="12"/>
        <v>1.273236226</v>
      </c>
    </row>
    <row r="5" ht="15.75" customHeight="1">
      <c r="A5" s="7">
        <v>10201.0</v>
      </c>
      <c r="B5" s="8" t="s">
        <v>26</v>
      </c>
      <c r="C5" s="8" t="s">
        <v>33</v>
      </c>
      <c r="D5" s="9" t="s">
        <v>34</v>
      </c>
      <c r="E5" s="10">
        <v>37.0</v>
      </c>
      <c r="F5" s="10">
        <v>70.0</v>
      </c>
      <c r="G5" s="10">
        <v>46.0</v>
      </c>
      <c r="H5" s="10">
        <v>67.0</v>
      </c>
      <c r="I5" s="10">
        <v>67.0</v>
      </c>
      <c r="J5" s="10">
        <v>47.0</v>
      </c>
      <c r="K5" s="11">
        <f t="shared" ref="K5:M5" si="17">+H5/E5</f>
        <v>1.810810811</v>
      </c>
      <c r="L5" s="11">
        <f t="shared" si="17"/>
        <v>0.9571428571</v>
      </c>
      <c r="M5" s="11">
        <f t="shared" si="17"/>
        <v>1.02173913</v>
      </c>
      <c r="N5" s="11">
        <f t="shared" si="6"/>
        <v>1.263230933</v>
      </c>
      <c r="O5" s="10">
        <v>12.0</v>
      </c>
      <c r="P5" s="10">
        <v>11.0</v>
      </c>
      <c r="Q5" s="10">
        <v>16.0</v>
      </c>
      <c r="R5" s="10">
        <v>21.0</v>
      </c>
      <c r="S5" s="10">
        <v>12.0</v>
      </c>
      <c r="T5" s="10">
        <v>27.0</v>
      </c>
      <c r="U5" s="11">
        <f t="shared" ref="U5:W5" si="18">+R5/O5</f>
        <v>1.75</v>
      </c>
      <c r="V5" s="11">
        <f t="shared" si="18"/>
        <v>1.090909091</v>
      </c>
      <c r="W5" s="11">
        <f t="shared" si="18"/>
        <v>1.6875</v>
      </c>
      <c r="X5" s="11">
        <f t="shared" si="8"/>
        <v>1.509469697</v>
      </c>
      <c r="AA5" s="12" t="s">
        <v>35</v>
      </c>
      <c r="AB5" s="11">
        <v>1100.0</v>
      </c>
      <c r="AC5" s="11">
        <v>1374.0</v>
      </c>
      <c r="AD5" s="11">
        <v>1324.0</v>
      </c>
      <c r="AE5" s="11">
        <v>1563.0</v>
      </c>
      <c r="AF5" s="11">
        <v>2006.0</v>
      </c>
      <c r="AG5" s="11">
        <v>2110.0</v>
      </c>
      <c r="AH5" s="11">
        <f t="shared" ref="AH5:AJ5" si="19">+AE5/AB5</f>
        <v>1.420909091</v>
      </c>
      <c r="AI5" s="11">
        <f t="shared" si="19"/>
        <v>1.459970888</v>
      </c>
      <c r="AJ5" s="11">
        <f t="shared" si="19"/>
        <v>1.593655589</v>
      </c>
      <c r="AK5" s="11">
        <f t="shared" si="10"/>
        <v>1.491511856</v>
      </c>
      <c r="AL5" s="11">
        <v>688.0</v>
      </c>
      <c r="AM5" s="11">
        <v>636.0</v>
      </c>
      <c r="AN5" s="13">
        <f>+SUM(Q166:Q200)</f>
        <v>578</v>
      </c>
      <c r="AO5" s="11">
        <v>826.0</v>
      </c>
      <c r="AP5" s="11">
        <v>733.0</v>
      </c>
      <c r="AQ5" s="13">
        <f>+SUM(T166:T200)</f>
        <v>795</v>
      </c>
      <c r="AR5" s="11">
        <f t="shared" ref="AR5:AT5" si="20">+AO5/AL5</f>
        <v>1.200581395</v>
      </c>
      <c r="AS5" s="11">
        <f t="shared" si="20"/>
        <v>1.152515723</v>
      </c>
      <c r="AT5" s="11">
        <f t="shared" si="20"/>
        <v>1.375432526</v>
      </c>
      <c r="AU5" s="11">
        <f t="shared" si="12"/>
        <v>1.242843215</v>
      </c>
    </row>
    <row r="6" ht="15.75" customHeight="1">
      <c r="A6" s="7">
        <v>10202.0</v>
      </c>
      <c r="B6" s="8" t="s">
        <v>26</v>
      </c>
      <c r="C6" s="8" t="s">
        <v>33</v>
      </c>
      <c r="D6" s="9" t="s">
        <v>36</v>
      </c>
      <c r="E6" s="10">
        <v>67.0</v>
      </c>
      <c r="F6" s="10">
        <v>35.0</v>
      </c>
      <c r="G6" s="10">
        <v>37.0</v>
      </c>
      <c r="H6" s="10">
        <v>90.0</v>
      </c>
      <c r="I6" s="10">
        <v>82.0</v>
      </c>
      <c r="J6" s="10">
        <v>54.0</v>
      </c>
      <c r="K6" s="11">
        <f t="shared" ref="K6:M6" si="21">+H6/E6</f>
        <v>1.343283582</v>
      </c>
      <c r="L6" s="11">
        <f t="shared" si="21"/>
        <v>2.342857143</v>
      </c>
      <c r="M6" s="11">
        <f t="shared" si="21"/>
        <v>1.459459459</v>
      </c>
      <c r="N6" s="11">
        <f t="shared" si="6"/>
        <v>1.715200061</v>
      </c>
      <c r="O6" s="10">
        <v>39.0</v>
      </c>
      <c r="P6" s="10">
        <v>39.0</v>
      </c>
      <c r="Q6" s="10">
        <v>24.0</v>
      </c>
      <c r="R6" s="10">
        <v>50.0</v>
      </c>
      <c r="S6" s="10">
        <v>53.0</v>
      </c>
      <c r="T6" s="10">
        <v>49.0</v>
      </c>
      <c r="U6" s="11">
        <f t="shared" ref="U6:W6" si="22">+R6/O6</f>
        <v>1.282051282</v>
      </c>
      <c r="V6" s="11">
        <f t="shared" si="22"/>
        <v>1.358974359</v>
      </c>
      <c r="W6" s="11">
        <f t="shared" si="22"/>
        <v>2.041666667</v>
      </c>
      <c r="X6" s="11">
        <f t="shared" si="8"/>
        <v>1.560897436</v>
      </c>
      <c r="AA6" s="12" t="s">
        <v>37</v>
      </c>
      <c r="AB6" s="11">
        <v>3930.0</v>
      </c>
      <c r="AC6" s="11">
        <v>3998.0</v>
      </c>
      <c r="AD6" s="11">
        <v>3906.0</v>
      </c>
      <c r="AE6" s="11">
        <v>5176.0</v>
      </c>
      <c r="AF6" s="11">
        <v>5351.0</v>
      </c>
      <c r="AG6" s="11">
        <v>4856.0</v>
      </c>
      <c r="AH6" s="11">
        <f t="shared" ref="AH6:AJ6" si="23">+AE6/AB6</f>
        <v>1.317048346</v>
      </c>
      <c r="AI6" s="11">
        <f t="shared" si="23"/>
        <v>1.33841921</v>
      </c>
      <c r="AJ6" s="11">
        <f t="shared" si="23"/>
        <v>1.243215566</v>
      </c>
      <c r="AK6" s="11">
        <f t="shared" si="10"/>
        <v>1.29956104</v>
      </c>
      <c r="AL6" s="11">
        <v>1556.0</v>
      </c>
      <c r="AM6" s="11">
        <v>1286.0</v>
      </c>
      <c r="AN6" s="13">
        <f>+SUM(Q201:Q242)</f>
        <v>1181</v>
      </c>
      <c r="AO6" s="11">
        <v>2010.0</v>
      </c>
      <c r="AP6" s="11">
        <v>1880.0</v>
      </c>
      <c r="AQ6" s="13">
        <f>+SUM(T201:T242)</f>
        <v>1686</v>
      </c>
      <c r="AR6" s="11">
        <f t="shared" ref="AR6:AT6" si="24">+AO6/AL6</f>
        <v>1.291773779</v>
      </c>
      <c r="AS6" s="11">
        <f t="shared" si="24"/>
        <v>1.461897356</v>
      </c>
      <c r="AT6" s="11">
        <f t="shared" si="24"/>
        <v>1.427603726</v>
      </c>
      <c r="AU6" s="11">
        <f t="shared" si="12"/>
        <v>1.393758287</v>
      </c>
    </row>
    <row r="7" ht="15.75" customHeight="1">
      <c r="A7" s="7">
        <v>10301.0</v>
      </c>
      <c r="B7" s="8" t="s">
        <v>26</v>
      </c>
      <c r="C7" s="8" t="s">
        <v>38</v>
      </c>
      <c r="D7" s="9" t="s">
        <v>39</v>
      </c>
      <c r="E7" s="10">
        <v>10.0</v>
      </c>
      <c r="F7" s="10">
        <v>16.0</v>
      </c>
      <c r="G7" s="10">
        <v>23.0</v>
      </c>
      <c r="H7" s="10">
        <v>19.0</v>
      </c>
      <c r="I7" s="10">
        <v>23.0</v>
      </c>
      <c r="J7" s="10">
        <v>46.0</v>
      </c>
      <c r="K7" s="11">
        <f t="shared" ref="K7:M7" si="25">+H7/E7</f>
        <v>1.9</v>
      </c>
      <c r="L7" s="11">
        <f t="shared" si="25"/>
        <v>1.4375</v>
      </c>
      <c r="M7" s="11">
        <f t="shared" si="25"/>
        <v>2</v>
      </c>
      <c r="N7" s="11">
        <f t="shared" si="6"/>
        <v>1.779166667</v>
      </c>
      <c r="O7" s="10">
        <v>13.0</v>
      </c>
      <c r="P7" s="10">
        <v>2.0</v>
      </c>
      <c r="Q7" s="10">
        <v>3.0</v>
      </c>
      <c r="R7" s="10">
        <v>14.0</v>
      </c>
      <c r="S7" s="10">
        <v>6.0</v>
      </c>
      <c r="T7" s="10">
        <v>4.0</v>
      </c>
      <c r="U7" s="11">
        <f t="shared" ref="U7:W7" si="26">+R7/O7</f>
        <v>1.076923077</v>
      </c>
      <c r="V7" s="11">
        <f t="shared" si="26"/>
        <v>3</v>
      </c>
      <c r="W7" s="11">
        <f t="shared" si="26"/>
        <v>1.333333333</v>
      </c>
      <c r="X7" s="11">
        <f t="shared" si="8"/>
        <v>1.803418803</v>
      </c>
      <c r="AA7" s="12" t="s">
        <v>40</v>
      </c>
      <c r="AB7" s="11">
        <v>1472.0</v>
      </c>
      <c r="AC7" s="11">
        <v>1614.0</v>
      </c>
      <c r="AD7" s="11">
        <v>1323.0</v>
      </c>
      <c r="AE7" s="11">
        <v>2087.0</v>
      </c>
      <c r="AF7" s="11">
        <v>2410.0</v>
      </c>
      <c r="AG7" s="11">
        <v>2165.0</v>
      </c>
      <c r="AH7" s="11">
        <f t="shared" ref="AH7:AJ7" si="27">+AE7/AB7</f>
        <v>1.417798913</v>
      </c>
      <c r="AI7" s="11">
        <f t="shared" si="27"/>
        <v>1.493184634</v>
      </c>
      <c r="AJ7" s="11">
        <f t="shared" si="27"/>
        <v>1.636432351</v>
      </c>
      <c r="AK7" s="11">
        <f t="shared" si="10"/>
        <v>1.515805299</v>
      </c>
      <c r="AL7" s="11">
        <v>2076.0</v>
      </c>
      <c r="AM7" s="11">
        <v>1720.0</v>
      </c>
      <c r="AN7" s="13">
        <f>+SUM(Q243:Q253)</f>
        <v>470</v>
      </c>
      <c r="AO7" s="11">
        <v>734.0</v>
      </c>
      <c r="AP7" s="11">
        <v>669.0</v>
      </c>
      <c r="AQ7" s="13">
        <f>+SUM(T243:T253)</f>
        <v>790</v>
      </c>
      <c r="AR7" s="11">
        <f t="shared" ref="AR7:AT7" si="28">+AO7/AL7</f>
        <v>0.3535645472</v>
      </c>
      <c r="AS7" s="11">
        <f t="shared" si="28"/>
        <v>0.3889534884</v>
      </c>
      <c r="AT7" s="11">
        <f t="shared" si="28"/>
        <v>1.680851064</v>
      </c>
      <c r="AU7" s="11">
        <f t="shared" si="12"/>
        <v>0.8077896998</v>
      </c>
    </row>
    <row r="8" ht="15.75" customHeight="1">
      <c r="A8" s="7">
        <v>10302.0</v>
      </c>
      <c r="B8" s="8" t="s">
        <v>26</v>
      </c>
      <c r="C8" s="8" t="s">
        <v>38</v>
      </c>
      <c r="D8" s="9" t="s">
        <v>41</v>
      </c>
      <c r="E8" s="10">
        <v>13.0</v>
      </c>
      <c r="F8" s="10">
        <v>24.0</v>
      </c>
      <c r="G8" s="10">
        <v>47.0</v>
      </c>
      <c r="H8" s="10">
        <v>28.0</v>
      </c>
      <c r="I8" s="10">
        <v>43.0</v>
      </c>
      <c r="J8" s="10">
        <v>41.0</v>
      </c>
      <c r="K8" s="11">
        <f t="shared" ref="K8:M8" si="29">+H8/E8</f>
        <v>2.153846154</v>
      </c>
      <c r="L8" s="11">
        <f t="shared" si="29"/>
        <v>1.791666667</v>
      </c>
      <c r="M8" s="11">
        <f t="shared" si="29"/>
        <v>0.8723404255</v>
      </c>
      <c r="N8" s="11">
        <f t="shared" si="6"/>
        <v>1.605951082</v>
      </c>
      <c r="O8" s="10">
        <v>7.0</v>
      </c>
      <c r="P8" s="10">
        <v>10.0</v>
      </c>
      <c r="Q8" s="10">
        <v>17.0</v>
      </c>
      <c r="R8" s="10">
        <v>5.0</v>
      </c>
      <c r="S8" s="10">
        <v>13.0</v>
      </c>
      <c r="T8" s="10">
        <v>18.0</v>
      </c>
      <c r="U8" s="11">
        <f t="shared" ref="U8:W8" si="30">+R8/O8</f>
        <v>0.7142857143</v>
      </c>
      <c r="V8" s="11">
        <f t="shared" si="30"/>
        <v>1.3</v>
      </c>
      <c r="W8" s="11">
        <f t="shared" si="30"/>
        <v>1.058823529</v>
      </c>
      <c r="X8" s="11">
        <f t="shared" si="8"/>
        <v>1.024369748</v>
      </c>
      <c r="AA8" s="12" t="s">
        <v>42</v>
      </c>
      <c r="AB8" s="11">
        <v>7635.0</v>
      </c>
      <c r="AC8" s="11">
        <v>9157.0</v>
      </c>
      <c r="AD8" s="11">
        <v>9433.0</v>
      </c>
      <c r="AE8" s="11">
        <v>11448.0</v>
      </c>
      <c r="AF8" s="11">
        <v>13582.0</v>
      </c>
      <c r="AG8" s="11">
        <v>13623.0</v>
      </c>
      <c r="AH8" s="11">
        <f t="shared" ref="AH8:AJ8" si="31">+AE8/AB8</f>
        <v>1.499410609</v>
      </c>
      <c r="AI8" s="11">
        <f t="shared" si="31"/>
        <v>1.483236868</v>
      </c>
      <c r="AJ8" s="11">
        <f t="shared" si="31"/>
        <v>1.444185307</v>
      </c>
      <c r="AK8" s="11">
        <f t="shared" si="10"/>
        <v>1.475610928</v>
      </c>
      <c r="AL8" s="11">
        <v>2273.0</v>
      </c>
      <c r="AM8" s="11">
        <v>2279.0</v>
      </c>
      <c r="AN8" s="13">
        <f>+SUM(Q254:Q309)</f>
        <v>3856</v>
      </c>
      <c r="AO8" s="11">
        <v>4617.0</v>
      </c>
      <c r="AP8" s="11">
        <v>4373.0</v>
      </c>
      <c r="AQ8" s="13">
        <f>+SUM(T254:T309)</f>
        <v>5849</v>
      </c>
      <c r="AR8" s="11">
        <f t="shared" ref="AR8:AT8" si="32">+AO8/AL8</f>
        <v>2.031236252</v>
      </c>
      <c r="AS8" s="11">
        <f t="shared" si="32"/>
        <v>1.918824046</v>
      </c>
      <c r="AT8" s="11">
        <f t="shared" si="32"/>
        <v>1.516856846</v>
      </c>
      <c r="AU8" s="11">
        <f t="shared" si="12"/>
        <v>1.822305715</v>
      </c>
    </row>
    <row r="9" ht="15.75" customHeight="1">
      <c r="A9" s="7">
        <v>10303.0</v>
      </c>
      <c r="B9" s="8" t="s">
        <v>26</v>
      </c>
      <c r="C9" s="8" t="s">
        <v>38</v>
      </c>
      <c r="D9" s="9" t="s">
        <v>43</v>
      </c>
      <c r="E9" s="10">
        <v>18.0</v>
      </c>
      <c r="F9" s="10">
        <v>24.0</v>
      </c>
      <c r="G9" s="10">
        <v>22.0</v>
      </c>
      <c r="H9" s="10">
        <v>41.0</v>
      </c>
      <c r="I9" s="10">
        <v>53.0</v>
      </c>
      <c r="J9" s="10">
        <v>46.0</v>
      </c>
      <c r="K9" s="11">
        <f t="shared" ref="K9:M9" si="33">+H9/E9</f>
        <v>2.277777778</v>
      </c>
      <c r="L9" s="11">
        <f t="shared" si="33"/>
        <v>2.208333333</v>
      </c>
      <c r="M9" s="11">
        <f t="shared" si="33"/>
        <v>2.090909091</v>
      </c>
      <c r="N9" s="11">
        <f t="shared" si="6"/>
        <v>2.192340067</v>
      </c>
      <c r="O9" s="10">
        <v>16.0</v>
      </c>
      <c r="P9" s="10">
        <v>8.0</v>
      </c>
      <c r="Q9" s="10">
        <v>5.0</v>
      </c>
      <c r="R9" s="10">
        <v>23.0</v>
      </c>
      <c r="S9" s="10">
        <v>18.0</v>
      </c>
      <c r="T9" s="10">
        <v>15.0</v>
      </c>
      <c r="U9" s="11">
        <f t="shared" ref="U9:W9" si="34">+R9/O9</f>
        <v>1.4375</v>
      </c>
      <c r="V9" s="11">
        <f t="shared" si="34"/>
        <v>2.25</v>
      </c>
      <c r="W9" s="11">
        <f t="shared" si="34"/>
        <v>3</v>
      </c>
      <c r="X9" s="11">
        <f t="shared" si="8"/>
        <v>2.229166667</v>
      </c>
      <c r="AA9" s="12" t="s">
        <v>44</v>
      </c>
      <c r="AB9" s="11">
        <v>2339.0</v>
      </c>
      <c r="AC9" s="11">
        <v>2850.5</v>
      </c>
      <c r="AD9" s="11">
        <v>2730.0</v>
      </c>
      <c r="AE9" s="11">
        <v>3282.5</v>
      </c>
      <c r="AF9" s="11">
        <v>3632.5</v>
      </c>
      <c r="AG9" s="11">
        <v>3560.0</v>
      </c>
      <c r="AH9" s="11">
        <f t="shared" ref="AH9:AJ9" si="35">+AE9/AB9</f>
        <v>1.403377512</v>
      </c>
      <c r="AI9" s="11">
        <f t="shared" si="35"/>
        <v>1.274337835</v>
      </c>
      <c r="AJ9" s="11">
        <f t="shared" si="35"/>
        <v>1.304029304</v>
      </c>
      <c r="AK9" s="11">
        <f t="shared" si="10"/>
        <v>1.327248217</v>
      </c>
      <c r="AL9" s="11">
        <v>539.5</v>
      </c>
      <c r="AM9" s="11">
        <v>530.5</v>
      </c>
      <c r="AN9" s="13">
        <f>+SUM(Q310:Q329)</f>
        <v>1356</v>
      </c>
      <c r="AO9" s="11">
        <v>1534.0</v>
      </c>
      <c r="AP9" s="11">
        <v>1713.5</v>
      </c>
      <c r="AQ9" s="13">
        <f>+SUM(T310:T329)</f>
        <v>1808</v>
      </c>
      <c r="AR9" s="11">
        <f t="shared" ref="AR9:AT9" si="36">+AO9/AL9</f>
        <v>2.843373494</v>
      </c>
      <c r="AS9" s="11">
        <f t="shared" si="36"/>
        <v>3.229971725</v>
      </c>
      <c r="AT9" s="11">
        <f t="shared" si="36"/>
        <v>1.333333333</v>
      </c>
      <c r="AU9" s="11">
        <f t="shared" si="12"/>
        <v>2.468892851</v>
      </c>
    </row>
    <row r="10" ht="15.75" customHeight="1">
      <c r="A10" s="7">
        <v>10304.0</v>
      </c>
      <c r="B10" s="8" t="s">
        <v>26</v>
      </c>
      <c r="C10" s="8" t="s">
        <v>38</v>
      </c>
      <c r="D10" s="9" t="s">
        <v>45</v>
      </c>
      <c r="E10" s="10">
        <v>16.0</v>
      </c>
      <c r="F10" s="10">
        <v>32.0</v>
      </c>
      <c r="G10" s="10">
        <v>37.0</v>
      </c>
      <c r="H10" s="10">
        <v>33.0</v>
      </c>
      <c r="I10" s="10">
        <v>27.0</v>
      </c>
      <c r="J10" s="10">
        <v>43.0</v>
      </c>
      <c r="K10" s="11">
        <f t="shared" ref="K10:M10" si="37">+H10/E10</f>
        <v>2.0625</v>
      </c>
      <c r="L10" s="11">
        <f t="shared" si="37"/>
        <v>0.84375</v>
      </c>
      <c r="M10" s="11">
        <f t="shared" si="37"/>
        <v>1.162162162</v>
      </c>
      <c r="N10" s="11">
        <f t="shared" si="6"/>
        <v>1.356137387</v>
      </c>
      <c r="O10" s="10">
        <v>22.0</v>
      </c>
      <c r="P10" s="10">
        <v>10.0</v>
      </c>
      <c r="Q10" s="10">
        <v>6.0</v>
      </c>
      <c r="R10" s="10">
        <v>46.0</v>
      </c>
      <c r="S10" s="10">
        <v>15.0</v>
      </c>
      <c r="T10" s="10">
        <v>16.0</v>
      </c>
      <c r="U10" s="11">
        <f t="shared" ref="U10:W10" si="38">+R10/O10</f>
        <v>2.090909091</v>
      </c>
      <c r="V10" s="11">
        <f t="shared" si="38"/>
        <v>1.5</v>
      </c>
      <c r="W10" s="11">
        <f t="shared" si="38"/>
        <v>2.666666667</v>
      </c>
      <c r="X10" s="11">
        <f t="shared" si="8"/>
        <v>2.085858586</v>
      </c>
      <c r="AA10" s="12" t="s">
        <v>46</v>
      </c>
      <c r="AB10" s="11">
        <v>482.0</v>
      </c>
      <c r="AC10" s="11">
        <v>590.0</v>
      </c>
      <c r="AD10" s="11">
        <v>543.0</v>
      </c>
      <c r="AE10" s="11">
        <v>687.0</v>
      </c>
      <c r="AF10" s="11">
        <v>836.0</v>
      </c>
      <c r="AG10" s="11">
        <v>735.0</v>
      </c>
      <c r="AH10" s="11">
        <f t="shared" ref="AH10:AJ10" si="39">+AE10/AB10</f>
        <v>1.425311203</v>
      </c>
      <c r="AI10" s="11">
        <f t="shared" si="39"/>
        <v>1.416949153</v>
      </c>
      <c r="AJ10" s="11">
        <f t="shared" si="39"/>
        <v>1.35359116</v>
      </c>
      <c r="AK10" s="11">
        <f t="shared" si="10"/>
        <v>1.398617172</v>
      </c>
      <c r="AL10" s="11">
        <v>161.0</v>
      </c>
      <c r="AM10" s="11">
        <v>174.0</v>
      </c>
      <c r="AN10" s="13">
        <f>+SUM(Q330:Q344)</f>
        <v>416</v>
      </c>
      <c r="AO10" s="11">
        <v>433.0</v>
      </c>
      <c r="AP10" s="11">
        <v>461.0</v>
      </c>
      <c r="AQ10" s="13">
        <f>+SUM(T330:T344)</f>
        <v>489</v>
      </c>
      <c r="AR10" s="11">
        <f t="shared" ref="AR10:AT10" si="40">+AO10/AL10</f>
        <v>2.689440994</v>
      </c>
      <c r="AS10" s="11">
        <f t="shared" si="40"/>
        <v>2.649425287</v>
      </c>
      <c r="AT10" s="11">
        <f t="shared" si="40"/>
        <v>1.175480769</v>
      </c>
      <c r="AU10" s="11">
        <f t="shared" si="12"/>
        <v>2.171449017</v>
      </c>
    </row>
    <row r="11" ht="15.75" customHeight="1">
      <c r="A11" s="7">
        <v>10401.0</v>
      </c>
      <c r="B11" s="8" t="s">
        <v>26</v>
      </c>
      <c r="C11" s="8" t="s">
        <v>47</v>
      </c>
      <c r="D11" s="9" t="s">
        <v>48</v>
      </c>
      <c r="E11" s="10">
        <v>16.0</v>
      </c>
      <c r="F11" s="10">
        <v>7.0</v>
      </c>
      <c r="G11" s="10">
        <v>9.0</v>
      </c>
      <c r="H11" s="10">
        <v>33.0</v>
      </c>
      <c r="I11" s="10">
        <v>14.0</v>
      </c>
      <c r="J11" s="10">
        <v>45.0</v>
      </c>
      <c r="K11" s="11">
        <f t="shared" ref="K11:M11" si="41">+H11/E11</f>
        <v>2.0625</v>
      </c>
      <c r="L11" s="11">
        <f t="shared" si="41"/>
        <v>2</v>
      </c>
      <c r="M11" s="11">
        <f t="shared" si="41"/>
        <v>5</v>
      </c>
      <c r="N11" s="11">
        <f t="shared" si="6"/>
        <v>3.020833333</v>
      </c>
      <c r="O11" s="10">
        <v>4.0</v>
      </c>
      <c r="P11" s="10">
        <v>12.0</v>
      </c>
      <c r="Q11" s="10">
        <v>10.0</v>
      </c>
      <c r="R11" s="10">
        <v>5.0</v>
      </c>
      <c r="S11" s="10">
        <v>12.0</v>
      </c>
      <c r="T11" s="10">
        <v>20.0</v>
      </c>
      <c r="U11" s="11">
        <f t="shared" ref="U11:W11" si="42">+R11/O11</f>
        <v>1.25</v>
      </c>
      <c r="V11" s="11">
        <f t="shared" si="42"/>
        <v>1</v>
      </c>
      <c r="W11" s="11">
        <f t="shared" si="42"/>
        <v>2</v>
      </c>
      <c r="X11" s="11">
        <f t="shared" si="8"/>
        <v>1.416666667</v>
      </c>
      <c r="AA11" s="12" t="s">
        <v>49</v>
      </c>
      <c r="AB11" s="11">
        <v>29884.0</v>
      </c>
      <c r="AC11" s="11">
        <v>33180.5</v>
      </c>
      <c r="AD11" s="11">
        <v>33311.0</v>
      </c>
      <c r="AE11" s="11">
        <v>43497.5</v>
      </c>
      <c r="AF11" s="11">
        <v>47451.5</v>
      </c>
      <c r="AG11" s="11">
        <v>48121.0</v>
      </c>
      <c r="AH11" s="11">
        <f t="shared" ref="AH11:AJ11" si="43">+AE11/AB11</f>
        <v>1.455544773</v>
      </c>
      <c r="AI11" s="11">
        <f t="shared" si="43"/>
        <v>1.430102018</v>
      </c>
      <c r="AJ11" s="11">
        <f t="shared" si="43"/>
        <v>1.444597881</v>
      </c>
      <c r="AK11" s="11">
        <f t="shared" si="10"/>
        <v>1.44341489</v>
      </c>
      <c r="AL11" s="11">
        <v>13969.5</v>
      </c>
      <c r="AM11" s="11">
        <v>12554.5</v>
      </c>
      <c r="AN11" s="13">
        <f>SUM(AN2:AN10)</f>
        <v>13679</v>
      </c>
      <c r="AO11" s="11">
        <v>18627.0</v>
      </c>
      <c r="AP11" s="11">
        <v>17710.5</v>
      </c>
      <c r="AQ11" s="13">
        <f>SUM(AQ2:AQ10)</f>
        <v>19883</v>
      </c>
      <c r="AR11" s="11">
        <f t="shared" ref="AR11:AT11" si="44">+AO11/AL11</f>
        <v>1.333404918</v>
      </c>
      <c r="AS11" s="11">
        <f t="shared" si="44"/>
        <v>1.410689394</v>
      </c>
      <c r="AT11" s="11">
        <f t="shared" si="44"/>
        <v>1.453541926</v>
      </c>
      <c r="AU11" s="11">
        <f t="shared" si="12"/>
        <v>1.399212079</v>
      </c>
    </row>
    <row r="12" ht="15.75" customHeight="1">
      <c r="A12" s="7">
        <v>10402.0</v>
      </c>
      <c r="B12" s="8" t="s">
        <v>26</v>
      </c>
      <c r="C12" s="8" t="s">
        <v>47</v>
      </c>
      <c r="D12" s="9" t="s">
        <v>47</v>
      </c>
      <c r="E12" s="10">
        <v>15.0</v>
      </c>
      <c r="F12" s="10">
        <v>10.0</v>
      </c>
      <c r="G12" s="10">
        <v>15.0</v>
      </c>
      <c r="H12" s="10">
        <v>19.0</v>
      </c>
      <c r="I12" s="10">
        <v>19.0</v>
      </c>
      <c r="J12" s="10">
        <v>17.0</v>
      </c>
      <c r="K12" s="11">
        <f t="shared" ref="K12:M12" si="45">+H12/E12</f>
        <v>1.266666667</v>
      </c>
      <c r="L12" s="11">
        <f t="shared" si="45"/>
        <v>1.9</v>
      </c>
      <c r="M12" s="11">
        <f t="shared" si="45"/>
        <v>1.133333333</v>
      </c>
      <c r="N12" s="11">
        <f t="shared" si="6"/>
        <v>1.433333333</v>
      </c>
      <c r="O12" s="10">
        <v>12.0</v>
      </c>
      <c r="P12" s="10">
        <v>8.0</v>
      </c>
      <c r="Q12" s="10">
        <v>10.0</v>
      </c>
      <c r="R12" s="10">
        <v>18.0</v>
      </c>
      <c r="S12" s="10">
        <v>10.0</v>
      </c>
      <c r="T12" s="10">
        <v>10.0</v>
      </c>
      <c r="U12" s="11">
        <f t="shared" ref="U12:W12" si="46">+R12/O12</f>
        <v>1.5</v>
      </c>
      <c r="V12" s="11">
        <f t="shared" si="46"/>
        <v>1.25</v>
      </c>
      <c r="W12" s="11">
        <f t="shared" si="46"/>
        <v>1</v>
      </c>
      <c r="X12" s="11">
        <f t="shared" si="8"/>
        <v>1.25</v>
      </c>
      <c r="AA12" s="12" t="s">
        <v>50</v>
      </c>
      <c r="AB12" s="10">
        <f t="shared" ref="AB12:AG12" si="47">SUM(E246:E248)</f>
        <v>517</v>
      </c>
      <c r="AC12" s="10">
        <f t="shared" si="47"/>
        <v>568</v>
      </c>
      <c r="AD12" s="10">
        <f t="shared" si="47"/>
        <v>497</v>
      </c>
      <c r="AE12" s="10">
        <f t="shared" si="47"/>
        <v>784</v>
      </c>
      <c r="AF12" s="10">
        <f t="shared" si="47"/>
        <v>840</v>
      </c>
      <c r="AG12" s="10">
        <f t="shared" si="47"/>
        <v>759</v>
      </c>
      <c r="AH12" s="11">
        <f t="shared" ref="AH12:AJ12" si="48">AE12/AB12</f>
        <v>1.516441006</v>
      </c>
      <c r="AI12" s="11">
        <f t="shared" si="48"/>
        <v>1.478873239</v>
      </c>
      <c r="AJ12" s="11">
        <f t="shared" si="48"/>
        <v>1.527162978</v>
      </c>
      <c r="AK12" s="11">
        <f t="shared" si="10"/>
        <v>1.507492408</v>
      </c>
      <c r="AL12" s="10">
        <f t="shared" ref="AL12:AQ12" si="49">SUM(O246:O248)</f>
        <v>190</v>
      </c>
      <c r="AM12" s="10">
        <f t="shared" si="49"/>
        <v>157</v>
      </c>
      <c r="AN12" s="10">
        <f t="shared" si="49"/>
        <v>148</v>
      </c>
      <c r="AO12" s="10">
        <f t="shared" si="49"/>
        <v>284</v>
      </c>
      <c r="AP12" s="10">
        <f t="shared" si="49"/>
        <v>251</v>
      </c>
      <c r="AQ12" s="10">
        <f t="shared" si="49"/>
        <v>264</v>
      </c>
      <c r="AR12" s="11">
        <f t="shared" ref="AR12:AT12" si="50">AO12/AL12</f>
        <v>1.494736842</v>
      </c>
      <c r="AS12" s="11">
        <f t="shared" si="50"/>
        <v>1.598726115</v>
      </c>
      <c r="AT12" s="11">
        <f t="shared" si="50"/>
        <v>1.783783784</v>
      </c>
      <c r="AU12" s="11">
        <f t="shared" si="12"/>
        <v>1.625748914</v>
      </c>
    </row>
    <row r="13" ht="15.75" customHeight="1">
      <c r="A13" s="7">
        <v>10403.0</v>
      </c>
      <c r="B13" s="8" t="s">
        <v>26</v>
      </c>
      <c r="C13" s="8" t="s">
        <v>47</v>
      </c>
      <c r="D13" s="9" t="s">
        <v>51</v>
      </c>
      <c r="E13" s="10">
        <v>23.0</v>
      </c>
      <c r="F13" s="10">
        <v>19.0</v>
      </c>
      <c r="G13" s="10">
        <v>25.0</v>
      </c>
      <c r="H13" s="10">
        <v>45.0</v>
      </c>
      <c r="I13" s="10">
        <v>30.0</v>
      </c>
      <c r="J13" s="10">
        <v>14.0</v>
      </c>
      <c r="K13" s="11">
        <f t="shared" ref="K13:M13" si="51">+H13/E13</f>
        <v>1.956521739</v>
      </c>
      <c r="L13" s="11">
        <f t="shared" si="51"/>
        <v>1.578947368</v>
      </c>
      <c r="M13" s="11">
        <f t="shared" si="51"/>
        <v>0.56</v>
      </c>
      <c r="N13" s="11">
        <f t="shared" si="6"/>
        <v>1.365156369</v>
      </c>
      <c r="O13" s="10">
        <v>8.0</v>
      </c>
      <c r="P13" s="10">
        <v>5.0</v>
      </c>
      <c r="Q13" s="10">
        <v>11.0</v>
      </c>
      <c r="R13" s="10">
        <v>18.0</v>
      </c>
      <c r="S13" s="10">
        <v>4.0</v>
      </c>
      <c r="T13" s="10">
        <v>6.0</v>
      </c>
      <c r="U13" s="11">
        <f t="shared" ref="U13:W13" si="52">+R13/O13</f>
        <v>2.25</v>
      </c>
      <c r="V13" s="11">
        <f t="shared" si="52"/>
        <v>0.8</v>
      </c>
      <c r="W13" s="11">
        <f t="shared" si="52"/>
        <v>0.5454545455</v>
      </c>
      <c r="X13" s="11">
        <f t="shared" si="8"/>
        <v>1.198484848</v>
      </c>
    </row>
    <row r="14" ht="15.75" customHeight="1">
      <c r="A14" s="7">
        <v>10404.0</v>
      </c>
      <c r="B14" s="8" t="s">
        <v>26</v>
      </c>
      <c r="C14" s="8" t="s">
        <v>47</v>
      </c>
      <c r="D14" s="9" t="s">
        <v>52</v>
      </c>
      <c r="E14" s="10">
        <v>12.0</v>
      </c>
      <c r="F14" s="10">
        <v>15.0</v>
      </c>
      <c r="G14" s="10">
        <v>4.0</v>
      </c>
      <c r="H14" s="10">
        <v>12.0</v>
      </c>
      <c r="I14" s="10">
        <v>11.0</v>
      </c>
      <c r="J14" s="10">
        <v>6.0</v>
      </c>
      <c r="K14" s="11">
        <f t="shared" ref="K14:M14" si="53">+H14/E14</f>
        <v>1</v>
      </c>
      <c r="L14" s="11">
        <f t="shared" si="53"/>
        <v>0.7333333333</v>
      </c>
      <c r="M14" s="11">
        <f t="shared" si="53"/>
        <v>1.5</v>
      </c>
      <c r="N14" s="11">
        <f t="shared" si="6"/>
        <v>1.077777778</v>
      </c>
      <c r="O14" s="10">
        <v>3.0</v>
      </c>
      <c r="P14" s="10">
        <v>2.0</v>
      </c>
      <c r="Q14" s="10">
        <v>0.0</v>
      </c>
      <c r="R14" s="10">
        <v>4.0</v>
      </c>
      <c r="S14" s="10">
        <v>6.0</v>
      </c>
      <c r="T14" s="10">
        <v>2.0</v>
      </c>
      <c r="U14" s="11">
        <f t="shared" ref="U14:V14" si="54">+R14/O14</f>
        <v>1.333333333</v>
      </c>
      <c r="V14" s="11">
        <f t="shared" si="54"/>
        <v>3</v>
      </c>
      <c r="W14" s="11"/>
      <c r="X14" s="11">
        <f t="shared" si="8"/>
        <v>2.166666667</v>
      </c>
    </row>
    <row r="15" ht="15.75" customHeight="1">
      <c r="A15" s="7">
        <v>10405.0</v>
      </c>
      <c r="B15" s="8" t="s">
        <v>26</v>
      </c>
      <c r="C15" s="8" t="s">
        <v>47</v>
      </c>
      <c r="D15" s="9" t="s">
        <v>53</v>
      </c>
      <c r="E15" s="10">
        <v>3.0</v>
      </c>
      <c r="F15" s="10">
        <v>6.0</v>
      </c>
      <c r="G15" s="10">
        <v>2.0</v>
      </c>
      <c r="H15" s="10">
        <v>9.0</v>
      </c>
      <c r="I15" s="10">
        <v>6.0</v>
      </c>
      <c r="J15" s="10">
        <v>2.0</v>
      </c>
      <c r="K15" s="11">
        <f t="shared" ref="K15:M15" si="55">+H15/E15</f>
        <v>3</v>
      </c>
      <c r="L15" s="11">
        <f t="shared" si="55"/>
        <v>1</v>
      </c>
      <c r="M15" s="11">
        <f t="shared" si="55"/>
        <v>1</v>
      </c>
      <c r="N15" s="11">
        <f t="shared" si="6"/>
        <v>1.666666667</v>
      </c>
      <c r="O15" s="10">
        <v>2.0</v>
      </c>
      <c r="P15" s="10">
        <v>1.0</v>
      </c>
      <c r="Q15" s="10">
        <v>0.0</v>
      </c>
      <c r="R15" s="10">
        <v>6.0</v>
      </c>
      <c r="S15" s="10">
        <v>4.0</v>
      </c>
      <c r="T15" s="10">
        <v>5.0</v>
      </c>
      <c r="U15" s="11">
        <f t="shared" ref="U15:V15" si="56">+R15/O15</f>
        <v>3</v>
      </c>
      <c r="V15" s="11">
        <f t="shared" si="56"/>
        <v>4</v>
      </c>
      <c r="W15" s="11"/>
      <c r="X15" s="11">
        <f t="shared" si="8"/>
        <v>3.5</v>
      </c>
    </row>
    <row r="16" ht="15.75" customHeight="1">
      <c r="A16" s="7">
        <v>10501.0</v>
      </c>
      <c r="B16" s="8" t="s">
        <v>26</v>
      </c>
      <c r="C16" s="8" t="s">
        <v>54</v>
      </c>
      <c r="D16" s="9" t="s">
        <v>55</v>
      </c>
      <c r="E16" s="10">
        <v>60.0</v>
      </c>
      <c r="F16" s="10">
        <v>98.0</v>
      </c>
      <c r="G16" s="10">
        <v>43.0</v>
      </c>
      <c r="H16" s="10">
        <v>101.0</v>
      </c>
      <c r="I16" s="10">
        <v>123.0</v>
      </c>
      <c r="J16" s="10">
        <v>90.0</v>
      </c>
      <c r="K16" s="11">
        <f t="shared" ref="K16:M16" si="57">+H16/E16</f>
        <v>1.683333333</v>
      </c>
      <c r="L16" s="11">
        <f t="shared" si="57"/>
        <v>1.255102041</v>
      </c>
      <c r="M16" s="11">
        <f t="shared" si="57"/>
        <v>2.093023256</v>
      </c>
      <c r="N16" s="11">
        <f t="shared" si="6"/>
        <v>1.677152877</v>
      </c>
      <c r="O16" s="10">
        <v>26.0</v>
      </c>
      <c r="P16" s="10">
        <v>25.0</v>
      </c>
      <c r="Q16" s="10">
        <v>15.0</v>
      </c>
      <c r="R16" s="10">
        <v>33.0</v>
      </c>
      <c r="S16" s="10">
        <v>34.0</v>
      </c>
      <c r="T16" s="10">
        <v>38.0</v>
      </c>
      <c r="U16" s="11">
        <f t="shared" ref="U16:W16" si="58">+R16/O16</f>
        <v>1.269230769</v>
      </c>
      <c r="V16" s="11">
        <f t="shared" si="58"/>
        <v>1.36</v>
      </c>
      <c r="W16" s="11">
        <f t="shared" si="58"/>
        <v>2.533333333</v>
      </c>
      <c r="X16" s="11">
        <f t="shared" si="8"/>
        <v>1.720854701</v>
      </c>
    </row>
    <row r="17" ht="15.75" customHeight="1">
      <c r="A17" s="7">
        <v>10502.0</v>
      </c>
      <c r="B17" s="8" t="s">
        <v>26</v>
      </c>
      <c r="C17" s="8" t="s">
        <v>54</v>
      </c>
      <c r="D17" s="9" t="s">
        <v>56</v>
      </c>
      <c r="E17" s="10">
        <v>38.0</v>
      </c>
      <c r="F17" s="10">
        <v>51.0</v>
      </c>
      <c r="G17" s="10">
        <v>48.0</v>
      </c>
      <c r="H17" s="10">
        <v>80.0</v>
      </c>
      <c r="I17" s="10">
        <v>108.0</v>
      </c>
      <c r="J17" s="10">
        <v>77.0</v>
      </c>
      <c r="K17" s="11">
        <f t="shared" ref="K17:M17" si="59">+H17/E17</f>
        <v>2.105263158</v>
      </c>
      <c r="L17" s="11">
        <f t="shared" si="59"/>
        <v>2.117647059</v>
      </c>
      <c r="M17" s="11">
        <f t="shared" si="59"/>
        <v>1.604166667</v>
      </c>
      <c r="N17" s="11">
        <f t="shared" si="6"/>
        <v>1.942358961</v>
      </c>
      <c r="O17" s="10">
        <v>14.0</v>
      </c>
      <c r="P17" s="10">
        <v>8.0</v>
      </c>
      <c r="Q17" s="10">
        <v>18.0</v>
      </c>
      <c r="R17" s="10">
        <v>16.0</v>
      </c>
      <c r="S17" s="10">
        <v>12.0</v>
      </c>
      <c r="T17" s="10">
        <v>24.0</v>
      </c>
      <c r="U17" s="11">
        <f t="shared" ref="U17:W17" si="60">+R17/O17</f>
        <v>1.142857143</v>
      </c>
      <c r="V17" s="11">
        <f t="shared" si="60"/>
        <v>1.5</v>
      </c>
      <c r="W17" s="11">
        <f t="shared" si="60"/>
        <v>1.333333333</v>
      </c>
      <c r="X17" s="11">
        <f t="shared" si="8"/>
        <v>1.325396825</v>
      </c>
    </row>
    <row r="18" ht="15.75" customHeight="1">
      <c r="A18" s="7">
        <v>10601.0</v>
      </c>
      <c r="B18" s="8" t="s">
        <v>26</v>
      </c>
      <c r="C18" s="8" t="s">
        <v>57</v>
      </c>
      <c r="D18" s="9" t="s">
        <v>58</v>
      </c>
      <c r="E18" s="10">
        <v>33.0</v>
      </c>
      <c r="F18" s="10">
        <v>67.0</v>
      </c>
      <c r="G18" s="10">
        <v>43.0</v>
      </c>
      <c r="H18" s="10">
        <v>42.0</v>
      </c>
      <c r="I18" s="10">
        <v>64.0</v>
      </c>
      <c r="J18" s="10">
        <v>62.0</v>
      </c>
      <c r="K18" s="11">
        <f t="shared" ref="K18:M18" si="61">+H18/E18</f>
        <v>1.272727273</v>
      </c>
      <c r="L18" s="11">
        <f t="shared" si="61"/>
        <v>0.9552238806</v>
      </c>
      <c r="M18" s="11">
        <f t="shared" si="61"/>
        <v>1.441860465</v>
      </c>
      <c r="N18" s="11">
        <f t="shared" si="6"/>
        <v>1.223270539</v>
      </c>
      <c r="O18" s="10">
        <v>33.0</v>
      </c>
      <c r="P18" s="10">
        <v>28.0</v>
      </c>
      <c r="Q18" s="10">
        <v>29.0</v>
      </c>
      <c r="R18" s="10">
        <v>53.0</v>
      </c>
      <c r="S18" s="10">
        <v>34.0</v>
      </c>
      <c r="T18" s="10">
        <v>48.0</v>
      </c>
      <c r="U18" s="11">
        <f t="shared" ref="U18:W18" si="62">+R18/O18</f>
        <v>1.606060606</v>
      </c>
      <c r="V18" s="11">
        <f t="shared" si="62"/>
        <v>1.214285714</v>
      </c>
      <c r="W18" s="11">
        <f t="shared" si="62"/>
        <v>1.655172414</v>
      </c>
      <c r="X18" s="11">
        <f t="shared" si="8"/>
        <v>1.491839578</v>
      </c>
    </row>
    <row r="19" ht="15.75" customHeight="1">
      <c r="A19" s="7">
        <v>10602.0</v>
      </c>
      <c r="B19" s="8" t="s">
        <v>26</v>
      </c>
      <c r="C19" s="8" t="s">
        <v>57</v>
      </c>
      <c r="D19" s="9" t="s">
        <v>57</v>
      </c>
      <c r="E19" s="10">
        <v>17.0</v>
      </c>
      <c r="F19" s="10">
        <v>24.0</v>
      </c>
      <c r="G19" s="10">
        <v>28.0</v>
      </c>
      <c r="H19" s="10">
        <v>28.0</v>
      </c>
      <c r="I19" s="10">
        <v>42.0</v>
      </c>
      <c r="J19" s="10">
        <v>28.0</v>
      </c>
      <c r="K19" s="11">
        <f t="shared" ref="K19:M19" si="63">+H19/E19</f>
        <v>1.647058824</v>
      </c>
      <c r="L19" s="11">
        <f t="shared" si="63"/>
        <v>1.75</v>
      </c>
      <c r="M19" s="11">
        <f t="shared" si="63"/>
        <v>1</v>
      </c>
      <c r="N19" s="11">
        <f t="shared" si="6"/>
        <v>1.465686275</v>
      </c>
      <c r="O19" s="10">
        <v>14.0</v>
      </c>
      <c r="P19" s="10">
        <v>8.0</v>
      </c>
      <c r="Q19" s="10">
        <v>11.0</v>
      </c>
      <c r="R19" s="10">
        <v>15.0</v>
      </c>
      <c r="S19" s="10">
        <v>10.0</v>
      </c>
      <c r="T19" s="10">
        <v>22.0</v>
      </c>
      <c r="U19" s="11">
        <f t="shared" ref="U19:W19" si="64">+R19/O19</f>
        <v>1.071428571</v>
      </c>
      <c r="V19" s="11">
        <f t="shared" si="64"/>
        <v>1.25</v>
      </c>
      <c r="W19" s="11">
        <f t="shared" si="64"/>
        <v>2</v>
      </c>
      <c r="X19" s="11">
        <f t="shared" si="8"/>
        <v>1.44047619</v>
      </c>
    </row>
    <row r="20" ht="15.75" customHeight="1">
      <c r="A20" s="7">
        <v>10701.0</v>
      </c>
      <c r="B20" s="8" t="s">
        <v>26</v>
      </c>
      <c r="C20" s="8" t="s">
        <v>59</v>
      </c>
      <c r="D20" s="9" t="s">
        <v>60</v>
      </c>
      <c r="E20" s="10">
        <v>40.0</v>
      </c>
      <c r="F20" s="10">
        <v>50.0</v>
      </c>
      <c r="G20" s="10">
        <v>48.0</v>
      </c>
      <c r="H20" s="10">
        <v>50.0</v>
      </c>
      <c r="I20" s="10">
        <v>64.0</v>
      </c>
      <c r="J20" s="10">
        <v>61.0</v>
      </c>
      <c r="K20" s="11">
        <f t="shared" ref="K20:M20" si="65">+H20/E20</f>
        <v>1.25</v>
      </c>
      <c r="L20" s="11">
        <f t="shared" si="65"/>
        <v>1.28</v>
      </c>
      <c r="M20" s="11">
        <f t="shared" si="65"/>
        <v>1.270833333</v>
      </c>
      <c r="N20" s="11">
        <f t="shared" si="6"/>
        <v>1.266944444</v>
      </c>
      <c r="O20" s="10">
        <v>23.0</v>
      </c>
      <c r="P20" s="10">
        <v>26.0</v>
      </c>
      <c r="Q20" s="10">
        <v>15.0</v>
      </c>
      <c r="R20" s="10">
        <v>31.0</v>
      </c>
      <c r="S20" s="10">
        <v>29.0</v>
      </c>
      <c r="T20" s="10">
        <v>22.0</v>
      </c>
      <c r="U20" s="11">
        <f t="shared" ref="U20:W20" si="66">+R20/O20</f>
        <v>1.347826087</v>
      </c>
      <c r="V20" s="11">
        <f t="shared" si="66"/>
        <v>1.115384615</v>
      </c>
      <c r="W20" s="11">
        <f t="shared" si="66"/>
        <v>1.466666667</v>
      </c>
      <c r="X20" s="11">
        <f t="shared" si="8"/>
        <v>1.309959123</v>
      </c>
    </row>
    <row r="21" ht="15.75" customHeight="1">
      <c r="A21" s="7">
        <v>10702.0</v>
      </c>
      <c r="B21" s="8" t="s">
        <v>26</v>
      </c>
      <c r="C21" s="8" t="s">
        <v>59</v>
      </c>
      <c r="D21" s="9" t="s">
        <v>61</v>
      </c>
      <c r="E21" s="10">
        <v>173.0</v>
      </c>
      <c r="F21" s="10">
        <v>138.0</v>
      </c>
      <c r="G21" s="10">
        <v>153.0</v>
      </c>
      <c r="H21" s="10">
        <v>132.0</v>
      </c>
      <c r="I21" s="10">
        <v>149.0</v>
      </c>
      <c r="J21" s="10">
        <v>192.0</v>
      </c>
      <c r="K21" s="11">
        <f t="shared" ref="K21:M21" si="67">+H21/E21</f>
        <v>0.7630057803</v>
      </c>
      <c r="L21" s="11">
        <f t="shared" si="67"/>
        <v>1.079710145</v>
      </c>
      <c r="M21" s="11">
        <f t="shared" si="67"/>
        <v>1.254901961</v>
      </c>
      <c r="N21" s="11">
        <f t="shared" si="6"/>
        <v>1.032539295</v>
      </c>
      <c r="O21" s="10">
        <v>94.0</v>
      </c>
      <c r="P21" s="10">
        <v>71.0</v>
      </c>
      <c r="Q21" s="10">
        <v>66.0</v>
      </c>
      <c r="R21" s="10">
        <v>127.0</v>
      </c>
      <c r="S21" s="10">
        <v>75.0</v>
      </c>
      <c r="T21" s="10">
        <v>80.0</v>
      </c>
      <c r="U21" s="11">
        <f t="shared" ref="U21:W21" si="68">+R21/O21</f>
        <v>1.35106383</v>
      </c>
      <c r="V21" s="11">
        <f t="shared" si="68"/>
        <v>1.056338028</v>
      </c>
      <c r="W21" s="11">
        <f t="shared" si="68"/>
        <v>1.212121212</v>
      </c>
      <c r="X21" s="11">
        <f t="shared" si="8"/>
        <v>1.20650769</v>
      </c>
    </row>
    <row r="22" ht="15.75" customHeight="1">
      <c r="A22" s="7">
        <v>10703.0</v>
      </c>
      <c r="B22" s="8" t="s">
        <v>26</v>
      </c>
      <c r="C22" s="8" t="s">
        <v>59</v>
      </c>
      <c r="D22" s="9" t="s">
        <v>62</v>
      </c>
      <c r="E22" s="10">
        <v>119.0</v>
      </c>
      <c r="F22" s="10">
        <v>117.0</v>
      </c>
      <c r="G22" s="10">
        <v>52.0</v>
      </c>
      <c r="H22" s="10">
        <v>152.0</v>
      </c>
      <c r="I22" s="10">
        <v>137.0</v>
      </c>
      <c r="J22" s="10">
        <v>50.0</v>
      </c>
      <c r="K22" s="11">
        <f t="shared" ref="K22:M22" si="69">+H22/E22</f>
        <v>1.277310924</v>
      </c>
      <c r="L22" s="11">
        <f t="shared" si="69"/>
        <v>1.170940171</v>
      </c>
      <c r="M22" s="11">
        <f t="shared" si="69"/>
        <v>0.9615384615</v>
      </c>
      <c r="N22" s="11">
        <f t="shared" si="6"/>
        <v>1.136596519</v>
      </c>
      <c r="O22" s="10">
        <v>25.0</v>
      </c>
      <c r="P22" s="10">
        <v>31.0</v>
      </c>
      <c r="Q22" s="10">
        <v>35.0</v>
      </c>
      <c r="R22" s="10">
        <v>40.0</v>
      </c>
      <c r="S22" s="10">
        <v>34.0</v>
      </c>
      <c r="T22" s="10">
        <v>35.0</v>
      </c>
      <c r="U22" s="11">
        <f t="shared" ref="U22:W22" si="70">+R22/O22</f>
        <v>1.6</v>
      </c>
      <c r="V22" s="11">
        <f t="shared" si="70"/>
        <v>1.096774194</v>
      </c>
      <c r="W22" s="11">
        <f t="shared" si="70"/>
        <v>1</v>
      </c>
      <c r="X22" s="11">
        <f t="shared" si="8"/>
        <v>1.232258065</v>
      </c>
    </row>
    <row r="23" ht="15.75" customHeight="1">
      <c r="A23" s="7">
        <v>10704.0</v>
      </c>
      <c r="B23" s="8" t="s">
        <v>26</v>
      </c>
      <c r="C23" s="8" t="s">
        <v>59</v>
      </c>
      <c r="D23" s="9" t="s">
        <v>63</v>
      </c>
      <c r="E23" s="10">
        <v>0.0</v>
      </c>
      <c r="F23" s="10">
        <v>0.0</v>
      </c>
      <c r="G23" s="10">
        <v>65.0</v>
      </c>
      <c r="H23" s="10">
        <v>0.0</v>
      </c>
      <c r="I23" s="10">
        <v>0.0</v>
      </c>
      <c r="J23" s="10">
        <v>52.0</v>
      </c>
      <c r="K23" s="11"/>
      <c r="L23" s="11"/>
      <c r="M23" s="11">
        <f>+J23/G23</f>
        <v>0.8</v>
      </c>
      <c r="N23" s="11">
        <f t="shared" si="6"/>
        <v>0.8</v>
      </c>
      <c r="O23" s="10">
        <v>43.0</v>
      </c>
      <c r="P23" s="10">
        <v>35.0</v>
      </c>
      <c r="Q23" s="10">
        <v>31.0</v>
      </c>
      <c r="R23" s="10">
        <v>41.0</v>
      </c>
      <c r="S23" s="10">
        <v>67.0</v>
      </c>
      <c r="T23" s="10">
        <v>37.0</v>
      </c>
      <c r="U23" s="11">
        <f t="shared" ref="U23:W23" si="71">+R23/O23</f>
        <v>0.9534883721</v>
      </c>
      <c r="V23" s="11">
        <f t="shared" si="71"/>
        <v>1.914285714</v>
      </c>
      <c r="W23" s="11">
        <f t="shared" si="71"/>
        <v>1.193548387</v>
      </c>
      <c r="X23" s="11">
        <f t="shared" si="8"/>
        <v>1.353774158</v>
      </c>
    </row>
    <row r="24" ht="15.75" customHeight="1">
      <c r="A24" s="7">
        <v>10801.0</v>
      </c>
      <c r="B24" s="8" t="s">
        <v>26</v>
      </c>
      <c r="C24" s="8" t="s">
        <v>64</v>
      </c>
      <c r="D24" s="9" t="s">
        <v>65</v>
      </c>
      <c r="E24" s="10">
        <v>26.0</v>
      </c>
      <c r="F24" s="10">
        <v>31.0</v>
      </c>
      <c r="G24" s="10">
        <v>15.0</v>
      </c>
      <c r="H24" s="10">
        <v>35.0</v>
      </c>
      <c r="I24" s="10">
        <v>30.0</v>
      </c>
      <c r="J24" s="10">
        <v>23.0</v>
      </c>
      <c r="K24" s="11">
        <f t="shared" ref="K24:M24" si="72">+H24/E24</f>
        <v>1.346153846</v>
      </c>
      <c r="L24" s="11">
        <f t="shared" si="72"/>
        <v>0.9677419355</v>
      </c>
      <c r="M24" s="11">
        <f t="shared" si="72"/>
        <v>1.533333333</v>
      </c>
      <c r="N24" s="11">
        <f t="shared" si="6"/>
        <v>1.282409705</v>
      </c>
      <c r="O24" s="10">
        <v>4.0</v>
      </c>
      <c r="P24" s="10">
        <v>5.0</v>
      </c>
      <c r="Q24" s="10">
        <v>7.0</v>
      </c>
      <c r="R24" s="10">
        <v>13.0</v>
      </c>
      <c r="S24" s="10">
        <v>12.0</v>
      </c>
      <c r="T24" s="10">
        <v>19.0</v>
      </c>
      <c r="U24" s="11">
        <f t="shared" ref="U24:W24" si="73">+R24/O24</f>
        <v>3.25</v>
      </c>
      <c r="V24" s="11">
        <f t="shared" si="73"/>
        <v>2.4</v>
      </c>
      <c r="W24" s="11">
        <f t="shared" si="73"/>
        <v>2.714285714</v>
      </c>
      <c r="X24" s="11">
        <f t="shared" si="8"/>
        <v>2.788095238</v>
      </c>
    </row>
    <row r="25" ht="15.75" customHeight="1">
      <c r="A25" s="7">
        <v>10901.0</v>
      </c>
      <c r="B25" s="8" t="s">
        <v>26</v>
      </c>
      <c r="C25" s="8" t="s">
        <v>66</v>
      </c>
      <c r="D25" s="9" t="s">
        <v>67</v>
      </c>
      <c r="E25" s="10">
        <v>3.0</v>
      </c>
      <c r="F25" s="10">
        <v>7.0</v>
      </c>
      <c r="G25" s="10">
        <v>6.0</v>
      </c>
      <c r="H25" s="10">
        <v>6.0</v>
      </c>
      <c r="I25" s="10">
        <v>11.0</v>
      </c>
      <c r="J25" s="10">
        <v>8.0</v>
      </c>
      <c r="K25" s="11">
        <f t="shared" ref="K25:M25" si="74">+H25/E25</f>
        <v>2</v>
      </c>
      <c r="L25" s="11">
        <f t="shared" si="74"/>
        <v>1.571428571</v>
      </c>
      <c r="M25" s="11">
        <f t="shared" si="74"/>
        <v>1.333333333</v>
      </c>
      <c r="N25" s="11">
        <f t="shared" si="6"/>
        <v>1.634920635</v>
      </c>
      <c r="O25" s="10">
        <v>4.0</v>
      </c>
      <c r="P25" s="10">
        <v>0.0</v>
      </c>
      <c r="Q25" s="10">
        <v>3.0</v>
      </c>
      <c r="R25" s="10">
        <v>1.0</v>
      </c>
      <c r="S25" s="10">
        <v>3.0</v>
      </c>
      <c r="T25" s="10">
        <v>7.0</v>
      </c>
      <c r="U25" s="11">
        <f t="shared" ref="U25:U40" si="76">+R25/O25</f>
        <v>0.25</v>
      </c>
      <c r="V25" s="11"/>
      <c r="W25" s="11">
        <f>+T25/Q25</f>
        <v>2.333333333</v>
      </c>
      <c r="X25" s="11">
        <f t="shared" si="8"/>
        <v>1.291666667</v>
      </c>
    </row>
    <row r="26" ht="15.75" customHeight="1">
      <c r="A26" s="7">
        <v>10902.0</v>
      </c>
      <c r="B26" s="8" t="s">
        <v>26</v>
      </c>
      <c r="C26" s="8" t="s">
        <v>66</v>
      </c>
      <c r="D26" s="9" t="s">
        <v>68</v>
      </c>
      <c r="E26" s="10">
        <v>62.0</v>
      </c>
      <c r="F26" s="10">
        <v>68.0</v>
      </c>
      <c r="G26" s="10">
        <v>65.0</v>
      </c>
      <c r="H26" s="10">
        <v>88.0</v>
      </c>
      <c r="I26" s="10">
        <v>81.0</v>
      </c>
      <c r="J26" s="10">
        <v>94.0</v>
      </c>
      <c r="K26" s="11">
        <f t="shared" ref="K26:M26" si="75">+H26/E26</f>
        <v>1.419354839</v>
      </c>
      <c r="L26" s="11">
        <f t="shared" si="75"/>
        <v>1.191176471</v>
      </c>
      <c r="M26" s="11">
        <f t="shared" si="75"/>
        <v>1.446153846</v>
      </c>
      <c r="N26" s="11">
        <f t="shared" si="6"/>
        <v>1.352228385</v>
      </c>
      <c r="O26" s="10">
        <v>27.0</v>
      </c>
      <c r="P26" s="10">
        <v>26.0</v>
      </c>
      <c r="Q26" s="10">
        <v>26.0</v>
      </c>
      <c r="R26" s="10">
        <v>30.0</v>
      </c>
      <c r="S26" s="10">
        <v>42.0</v>
      </c>
      <c r="T26" s="10">
        <v>31.0</v>
      </c>
      <c r="U26" s="11">
        <f t="shared" si="76"/>
        <v>1.111111111</v>
      </c>
      <c r="V26" s="11">
        <f t="shared" ref="V26:W26" si="77">+S26/P26</f>
        <v>1.615384615</v>
      </c>
      <c r="W26" s="11">
        <f t="shared" si="77"/>
        <v>1.192307692</v>
      </c>
      <c r="X26" s="11">
        <f t="shared" si="8"/>
        <v>1.306267806</v>
      </c>
    </row>
    <row r="27" ht="15.75" customHeight="1">
      <c r="A27" s="7">
        <v>10903.0</v>
      </c>
      <c r="B27" s="8" t="s">
        <v>26</v>
      </c>
      <c r="C27" s="8" t="s">
        <v>66</v>
      </c>
      <c r="D27" s="9" t="s">
        <v>69</v>
      </c>
      <c r="E27" s="10">
        <v>5.0</v>
      </c>
      <c r="F27" s="10">
        <v>5.0</v>
      </c>
      <c r="G27" s="10">
        <v>2.0</v>
      </c>
      <c r="H27" s="10">
        <v>17.0</v>
      </c>
      <c r="I27" s="10">
        <v>14.0</v>
      </c>
      <c r="J27" s="10">
        <v>3.0</v>
      </c>
      <c r="K27" s="11">
        <f t="shared" ref="K27:M27" si="78">+H27/E27</f>
        <v>3.4</v>
      </c>
      <c r="L27" s="11">
        <f t="shared" si="78"/>
        <v>2.8</v>
      </c>
      <c r="M27" s="11">
        <f t="shared" si="78"/>
        <v>1.5</v>
      </c>
      <c r="N27" s="11">
        <f t="shared" si="6"/>
        <v>2.566666667</v>
      </c>
      <c r="O27" s="10">
        <v>2.0</v>
      </c>
      <c r="P27" s="10">
        <v>0.0</v>
      </c>
      <c r="Q27" s="10"/>
      <c r="R27" s="10">
        <v>8.0</v>
      </c>
      <c r="S27" s="10">
        <v>0.0</v>
      </c>
      <c r="T27" s="10"/>
      <c r="U27" s="11">
        <f t="shared" si="76"/>
        <v>4</v>
      </c>
      <c r="V27" s="11"/>
      <c r="W27" s="11"/>
      <c r="X27" s="11">
        <f t="shared" si="8"/>
        <v>4</v>
      </c>
    </row>
    <row r="28" ht="15.75" customHeight="1">
      <c r="A28" s="7">
        <v>11001.0</v>
      </c>
      <c r="B28" s="8" t="s">
        <v>26</v>
      </c>
      <c r="C28" s="8" t="s">
        <v>70</v>
      </c>
      <c r="D28" s="9" t="s">
        <v>71</v>
      </c>
      <c r="E28" s="10">
        <v>5.0</v>
      </c>
      <c r="F28" s="10">
        <v>18.0</v>
      </c>
      <c r="G28" s="10">
        <v>21.0</v>
      </c>
      <c r="H28" s="10">
        <v>10.0</v>
      </c>
      <c r="I28" s="10">
        <v>25.0</v>
      </c>
      <c r="J28" s="10">
        <v>22.0</v>
      </c>
      <c r="K28" s="11">
        <f t="shared" ref="K28:M28" si="79">+H28/E28</f>
        <v>2</v>
      </c>
      <c r="L28" s="11">
        <f t="shared" si="79"/>
        <v>1.388888889</v>
      </c>
      <c r="M28" s="11">
        <f t="shared" si="79"/>
        <v>1.047619048</v>
      </c>
      <c r="N28" s="11">
        <f t="shared" si="6"/>
        <v>1.478835979</v>
      </c>
      <c r="O28" s="10">
        <v>14.0</v>
      </c>
      <c r="P28" s="10">
        <v>15.0</v>
      </c>
      <c r="Q28" s="10">
        <v>6.0</v>
      </c>
      <c r="R28" s="10">
        <v>24.0</v>
      </c>
      <c r="S28" s="10">
        <v>18.0</v>
      </c>
      <c r="T28" s="10">
        <v>9.0</v>
      </c>
      <c r="U28" s="11">
        <f t="shared" si="76"/>
        <v>1.714285714</v>
      </c>
      <c r="V28" s="11">
        <f t="shared" ref="V28:W28" si="80">+S28/P28</f>
        <v>1.2</v>
      </c>
      <c r="W28" s="11">
        <f t="shared" si="80"/>
        <v>1.5</v>
      </c>
      <c r="X28" s="11">
        <f t="shared" si="8"/>
        <v>1.471428571</v>
      </c>
    </row>
    <row r="29" ht="15.75" customHeight="1">
      <c r="A29" s="7">
        <v>11002.0</v>
      </c>
      <c r="B29" s="8" t="s">
        <v>26</v>
      </c>
      <c r="C29" s="8" t="s">
        <v>70</v>
      </c>
      <c r="D29" s="9" t="s">
        <v>72</v>
      </c>
      <c r="E29" s="10">
        <v>8.0</v>
      </c>
      <c r="F29" s="10">
        <v>7.0</v>
      </c>
      <c r="G29" s="10">
        <v>12.0</v>
      </c>
      <c r="H29" s="10">
        <v>10.0</v>
      </c>
      <c r="I29" s="10">
        <v>27.0</v>
      </c>
      <c r="J29" s="10">
        <v>16.0</v>
      </c>
      <c r="K29" s="11">
        <f t="shared" ref="K29:M29" si="81">+H29/E29</f>
        <v>1.25</v>
      </c>
      <c r="L29" s="11">
        <f t="shared" si="81"/>
        <v>3.857142857</v>
      </c>
      <c r="M29" s="11">
        <f t="shared" si="81"/>
        <v>1.333333333</v>
      </c>
      <c r="N29" s="11">
        <f t="shared" si="6"/>
        <v>2.146825397</v>
      </c>
      <c r="O29" s="10">
        <v>2.0</v>
      </c>
      <c r="P29" s="10">
        <v>2.0</v>
      </c>
      <c r="Q29" s="10">
        <v>1.0</v>
      </c>
      <c r="R29" s="10">
        <v>6.0</v>
      </c>
      <c r="S29" s="10">
        <v>3.0</v>
      </c>
      <c r="T29" s="10">
        <v>4.0</v>
      </c>
      <c r="U29" s="11">
        <f t="shared" si="76"/>
        <v>3</v>
      </c>
      <c r="V29" s="11">
        <f t="shared" ref="V29:W29" si="82">+S29/P29</f>
        <v>1.5</v>
      </c>
      <c r="W29" s="11">
        <f t="shared" si="82"/>
        <v>4</v>
      </c>
      <c r="X29" s="11">
        <f t="shared" si="8"/>
        <v>2.833333333</v>
      </c>
    </row>
    <row r="30" ht="15.75" customHeight="1">
      <c r="A30" s="7">
        <v>11003.0</v>
      </c>
      <c r="B30" s="8" t="s">
        <v>26</v>
      </c>
      <c r="C30" s="8" t="s">
        <v>70</v>
      </c>
      <c r="D30" s="9" t="s">
        <v>73</v>
      </c>
      <c r="E30" s="10">
        <v>25.0</v>
      </c>
      <c r="F30" s="10">
        <v>28.0</v>
      </c>
      <c r="G30" s="10">
        <v>24.0</v>
      </c>
      <c r="H30" s="10">
        <v>35.0</v>
      </c>
      <c r="I30" s="10">
        <v>33.0</v>
      </c>
      <c r="J30" s="10">
        <v>17.0</v>
      </c>
      <c r="K30" s="11">
        <f t="shared" ref="K30:M30" si="83">+H30/E30</f>
        <v>1.4</v>
      </c>
      <c r="L30" s="11">
        <f t="shared" si="83"/>
        <v>1.178571429</v>
      </c>
      <c r="M30" s="11">
        <f t="shared" si="83"/>
        <v>0.7083333333</v>
      </c>
      <c r="N30" s="11">
        <f t="shared" si="6"/>
        <v>1.095634921</v>
      </c>
      <c r="O30" s="10">
        <v>9.0</v>
      </c>
      <c r="P30" s="10">
        <v>3.0</v>
      </c>
      <c r="Q30" s="10">
        <v>13.0</v>
      </c>
      <c r="R30" s="10">
        <v>13.0</v>
      </c>
      <c r="S30" s="10">
        <v>9.0</v>
      </c>
      <c r="T30" s="10">
        <v>25.0</v>
      </c>
      <c r="U30" s="11">
        <f t="shared" si="76"/>
        <v>1.444444444</v>
      </c>
      <c r="V30" s="11">
        <f t="shared" ref="V30:W30" si="84">+S30/P30</f>
        <v>3</v>
      </c>
      <c r="W30" s="11">
        <f t="shared" si="84"/>
        <v>1.923076923</v>
      </c>
      <c r="X30" s="11">
        <f t="shared" si="8"/>
        <v>2.122507123</v>
      </c>
    </row>
    <row r="31" ht="15.75" customHeight="1">
      <c r="A31" s="7">
        <v>20101.0</v>
      </c>
      <c r="B31" s="8" t="s">
        <v>30</v>
      </c>
      <c r="C31" s="8" t="s">
        <v>74</v>
      </c>
      <c r="D31" s="9" t="s">
        <v>75</v>
      </c>
      <c r="E31" s="10">
        <v>1347.0</v>
      </c>
      <c r="F31" s="10">
        <v>1403.0</v>
      </c>
      <c r="G31" s="10">
        <v>1545.0</v>
      </c>
      <c r="H31" s="10">
        <v>2171.0</v>
      </c>
      <c r="I31" s="10">
        <v>2279.0</v>
      </c>
      <c r="J31" s="10">
        <v>2557.0</v>
      </c>
      <c r="K31" s="11">
        <f t="shared" ref="K31:M31" si="85">+H31/E31</f>
        <v>1.61172977</v>
      </c>
      <c r="L31" s="11">
        <f t="shared" si="85"/>
        <v>1.624376336</v>
      </c>
      <c r="M31" s="11">
        <f t="shared" si="85"/>
        <v>1.655016181</v>
      </c>
      <c r="N31" s="11">
        <f t="shared" si="6"/>
        <v>1.630374096</v>
      </c>
      <c r="O31" s="10">
        <v>509.0</v>
      </c>
      <c r="P31" s="10">
        <v>455.0</v>
      </c>
      <c r="Q31" s="10">
        <v>523.0</v>
      </c>
      <c r="R31" s="10">
        <v>759.0</v>
      </c>
      <c r="S31" s="10">
        <v>679.0</v>
      </c>
      <c r="T31" s="10">
        <v>732.0</v>
      </c>
      <c r="U31" s="11">
        <f t="shared" si="76"/>
        <v>1.491159136</v>
      </c>
      <c r="V31" s="11">
        <f t="shared" ref="V31:W31" si="86">+S31/P31</f>
        <v>1.492307692</v>
      </c>
      <c r="W31" s="11">
        <f t="shared" si="86"/>
        <v>1.399617591</v>
      </c>
      <c r="X31" s="11">
        <f t="shared" si="8"/>
        <v>1.46102814</v>
      </c>
    </row>
    <row r="32" ht="15.75" customHeight="1">
      <c r="A32" s="7">
        <v>20102.0</v>
      </c>
      <c r="B32" s="8" t="s">
        <v>30</v>
      </c>
      <c r="C32" s="8" t="s">
        <v>74</v>
      </c>
      <c r="D32" s="9" t="s">
        <v>76</v>
      </c>
      <c r="E32" s="10">
        <v>31.0</v>
      </c>
      <c r="F32" s="10">
        <v>75.0</v>
      </c>
      <c r="G32" s="10">
        <v>58.0</v>
      </c>
      <c r="H32" s="10">
        <v>48.0</v>
      </c>
      <c r="I32" s="10">
        <v>86.0</v>
      </c>
      <c r="J32" s="10">
        <v>86.0</v>
      </c>
      <c r="K32" s="11">
        <f t="shared" ref="K32:M32" si="87">+H32/E32</f>
        <v>1.548387097</v>
      </c>
      <c r="L32" s="11">
        <f t="shared" si="87"/>
        <v>1.146666667</v>
      </c>
      <c r="M32" s="11">
        <f t="shared" si="87"/>
        <v>1.482758621</v>
      </c>
      <c r="N32" s="11">
        <f t="shared" si="6"/>
        <v>1.392604128</v>
      </c>
      <c r="O32" s="10">
        <v>23.0</v>
      </c>
      <c r="P32" s="10">
        <v>44.0</v>
      </c>
      <c r="Q32" s="10">
        <v>37.0</v>
      </c>
      <c r="R32" s="10">
        <v>39.0</v>
      </c>
      <c r="S32" s="10">
        <v>47.0</v>
      </c>
      <c r="T32" s="10">
        <v>43.0</v>
      </c>
      <c r="U32" s="11">
        <f t="shared" si="76"/>
        <v>1.695652174</v>
      </c>
      <c r="V32" s="11">
        <f t="shared" ref="V32:W32" si="88">+S32/P32</f>
        <v>1.068181818</v>
      </c>
      <c r="W32" s="11">
        <f t="shared" si="88"/>
        <v>1.162162162</v>
      </c>
      <c r="X32" s="11">
        <f t="shared" si="8"/>
        <v>1.308665385</v>
      </c>
    </row>
    <row r="33" ht="15.75" customHeight="1">
      <c r="A33" s="7">
        <v>20103.0</v>
      </c>
      <c r="B33" s="8" t="s">
        <v>30</v>
      </c>
      <c r="C33" s="8" t="s">
        <v>74</v>
      </c>
      <c r="D33" s="9" t="s">
        <v>77</v>
      </c>
      <c r="E33" s="10">
        <v>40.0</v>
      </c>
      <c r="F33" s="10">
        <v>26.0</v>
      </c>
      <c r="G33" s="10">
        <v>44.0</v>
      </c>
      <c r="H33" s="10">
        <v>56.0</v>
      </c>
      <c r="I33" s="10">
        <v>38.0</v>
      </c>
      <c r="J33" s="10">
        <v>47.0</v>
      </c>
      <c r="K33" s="11">
        <f t="shared" ref="K33:M33" si="89">+H33/E33</f>
        <v>1.4</v>
      </c>
      <c r="L33" s="11">
        <f t="shared" si="89"/>
        <v>1.461538462</v>
      </c>
      <c r="M33" s="11">
        <f t="shared" si="89"/>
        <v>1.068181818</v>
      </c>
      <c r="N33" s="11">
        <f t="shared" si="6"/>
        <v>1.30990676</v>
      </c>
      <c r="O33" s="10">
        <v>25.0</v>
      </c>
      <c r="P33" s="10">
        <v>23.0</v>
      </c>
      <c r="Q33" s="10">
        <v>8.0</v>
      </c>
      <c r="R33" s="10">
        <v>22.0</v>
      </c>
      <c r="S33" s="10">
        <v>18.0</v>
      </c>
      <c r="T33" s="10">
        <v>18.0</v>
      </c>
      <c r="U33" s="11">
        <f t="shared" si="76"/>
        <v>0.88</v>
      </c>
      <c r="V33" s="11">
        <f t="shared" ref="V33:W33" si="90">+S33/P33</f>
        <v>0.7826086957</v>
      </c>
      <c r="W33" s="11">
        <f t="shared" si="90"/>
        <v>2.25</v>
      </c>
      <c r="X33" s="11">
        <f t="shared" si="8"/>
        <v>1.304202899</v>
      </c>
    </row>
    <row r="34" ht="15.75" customHeight="1">
      <c r="A34" s="7">
        <v>20104.0</v>
      </c>
      <c r="B34" s="8" t="s">
        <v>30</v>
      </c>
      <c r="C34" s="8" t="s">
        <v>74</v>
      </c>
      <c r="D34" s="9" t="s">
        <v>78</v>
      </c>
      <c r="E34" s="10">
        <v>52.0</v>
      </c>
      <c r="F34" s="10">
        <v>58.0</v>
      </c>
      <c r="G34" s="10">
        <v>61.0</v>
      </c>
      <c r="H34" s="10">
        <v>89.0</v>
      </c>
      <c r="I34" s="10">
        <v>80.0</v>
      </c>
      <c r="J34" s="10">
        <v>82.0</v>
      </c>
      <c r="K34" s="11">
        <f t="shared" ref="K34:M34" si="91">+H34/E34</f>
        <v>1.711538462</v>
      </c>
      <c r="L34" s="11">
        <f t="shared" si="91"/>
        <v>1.379310345</v>
      </c>
      <c r="M34" s="11">
        <f t="shared" si="91"/>
        <v>1.344262295</v>
      </c>
      <c r="N34" s="11">
        <f t="shared" si="6"/>
        <v>1.478370367</v>
      </c>
      <c r="O34" s="10">
        <v>24.0</v>
      </c>
      <c r="P34" s="10">
        <v>29.0</v>
      </c>
      <c r="Q34" s="10">
        <v>32.0</v>
      </c>
      <c r="R34" s="10">
        <v>36.0</v>
      </c>
      <c r="S34" s="10">
        <v>35.0</v>
      </c>
      <c r="T34" s="10">
        <v>45.0</v>
      </c>
      <c r="U34" s="11">
        <f t="shared" si="76"/>
        <v>1.5</v>
      </c>
      <c r="V34" s="11">
        <f t="shared" ref="V34:W34" si="92">+S34/P34</f>
        <v>1.206896552</v>
      </c>
      <c r="W34" s="11">
        <f t="shared" si="92"/>
        <v>1.40625</v>
      </c>
      <c r="X34" s="11">
        <f t="shared" si="8"/>
        <v>1.371048851</v>
      </c>
    </row>
    <row r="35" ht="15.75" customHeight="1">
      <c r="A35" s="7">
        <v>20105.0</v>
      </c>
      <c r="B35" s="8" t="s">
        <v>30</v>
      </c>
      <c r="C35" s="8" t="s">
        <v>74</v>
      </c>
      <c r="D35" s="9" t="s">
        <v>79</v>
      </c>
      <c r="E35" s="10">
        <v>1952.0</v>
      </c>
      <c r="F35" s="10">
        <v>1916.0</v>
      </c>
      <c r="G35" s="10">
        <v>2138.0</v>
      </c>
      <c r="H35" s="10">
        <v>3114.0</v>
      </c>
      <c r="I35" s="10">
        <v>2960.0</v>
      </c>
      <c r="J35" s="10">
        <v>3429.0</v>
      </c>
      <c r="K35" s="11">
        <f t="shared" ref="K35:M35" si="93">+H35/E35</f>
        <v>1.595286885</v>
      </c>
      <c r="L35" s="11">
        <f t="shared" si="93"/>
        <v>1.544885177</v>
      </c>
      <c r="M35" s="11">
        <f t="shared" si="93"/>
        <v>1.60383536</v>
      </c>
      <c r="N35" s="11">
        <f t="shared" si="6"/>
        <v>1.581335808</v>
      </c>
      <c r="O35" s="10">
        <v>919.0</v>
      </c>
      <c r="P35" s="10">
        <v>737.0</v>
      </c>
      <c r="Q35" s="10">
        <v>773.0</v>
      </c>
      <c r="R35" s="10">
        <v>1256.0</v>
      </c>
      <c r="S35" s="10">
        <v>1144.0</v>
      </c>
      <c r="T35" s="10">
        <v>1121.0</v>
      </c>
      <c r="U35" s="11">
        <f t="shared" si="76"/>
        <v>1.366702938</v>
      </c>
      <c r="V35" s="11">
        <f t="shared" ref="V35:W35" si="94">+S35/P35</f>
        <v>1.552238806</v>
      </c>
      <c r="W35" s="11">
        <f t="shared" si="94"/>
        <v>1.450194049</v>
      </c>
      <c r="X35" s="11">
        <f t="shared" si="8"/>
        <v>1.456378598</v>
      </c>
    </row>
    <row r="36" ht="15.75" customHeight="1">
      <c r="A36" s="7">
        <v>20201.0</v>
      </c>
      <c r="B36" s="8" t="s">
        <v>30</v>
      </c>
      <c r="C36" s="8" t="s">
        <v>80</v>
      </c>
      <c r="D36" s="9" t="s">
        <v>81</v>
      </c>
      <c r="E36" s="10">
        <v>175.0</v>
      </c>
      <c r="F36" s="10">
        <v>192.0</v>
      </c>
      <c r="G36" s="10">
        <v>140.0</v>
      </c>
      <c r="H36" s="10">
        <v>182.0</v>
      </c>
      <c r="I36" s="10">
        <v>169.0</v>
      </c>
      <c r="J36" s="10">
        <v>131.0</v>
      </c>
      <c r="K36" s="11">
        <f t="shared" ref="K36:M36" si="95">+H36/E36</f>
        <v>1.04</v>
      </c>
      <c r="L36" s="11">
        <f t="shared" si="95"/>
        <v>0.8802083333</v>
      </c>
      <c r="M36" s="11">
        <f t="shared" si="95"/>
        <v>0.9357142857</v>
      </c>
      <c r="N36" s="11">
        <f t="shared" si="6"/>
        <v>0.9519742063</v>
      </c>
      <c r="O36" s="10">
        <v>37.0</v>
      </c>
      <c r="P36" s="10">
        <v>33.0</v>
      </c>
      <c r="Q36" s="10">
        <v>32.0</v>
      </c>
      <c r="R36" s="10">
        <v>30.0</v>
      </c>
      <c r="S36" s="10">
        <v>38.0</v>
      </c>
      <c r="T36" s="10">
        <v>31.0</v>
      </c>
      <c r="U36" s="11">
        <f t="shared" si="76"/>
        <v>0.8108108108</v>
      </c>
      <c r="V36" s="11">
        <f t="shared" ref="V36:W36" si="96">+S36/P36</f>
        <v>1.151515152</v>
      </c>
      <c r="W36" s="11">
        <f t="shared" si="96"/>
        <v>0.96875</v>
      </c>
      <c r="X36" s="11">
        <f t="shared" si="8"/>
        <v>0.9770253208</v>
      </c>
    </row>
    <row r="37" ht="15.75" customHeight="1">
      <c r="A37" s="7">
        <v>20202.0</v>
      </c>
      <c r="B37" s="8" t="s">
        <v>30</v>
      </c>
      <c r="C37" s="8" t="s">
        <v>80</v>
      </c>
      <c r="D37" s="9" t="s">
        <v>82</v>
      </c>
      <c r="E37" s="10">
        <v>52.0</v>
      </c>
      <c r="F37" s="10">
        <v>42.0</v>
      </c>
      <c r="G37" s="10">
        <v>50.0</v>
      </c>
      <c r="H37" s="10">
        <v>45.0</v>
      </c>
      <c r="I37" s="10">
        <v>33.0</v>
      </c>
      <c r="J37" s="10">
        <v>34.0</v>
      </c>
      <c r="K37" s="11">
        <f t="shared" ref="K37:M37" si="97">+H37/E37</f>
        <v>0.8653846154</v>
      </c>
      <c r="L37" s="11">
        <f t="shared" si="97"/>
        <v>0.7857142857</v>
      </c>
      <c r="M37" s="11">
        <f t="shared" si="97"/>
        <v>0.68</v>
      </c>
      <c r="N37" s="11">
        <f t="shared" si="6"/>
        <v>0.777032967</v>
      </c>
      <c r="O37" s="10">
        <v>14.0</v>
      </c>
      <c r="P37" s="10">
        <v>16.0</v>
      </c>
      <c r="Q37" s="10">
        <v>7.0</v>
      </c>
      <c r="R37" s="10">
        <v>11.0</v>
      </c>
      <c r="S37" s="10">
        <v>4.0</v>
      </c>
      <c r="T37" s="10">
        <v>11.0</v>
      </c>
      <c r="U37" s="11">
        <f t="shared" si="76"/>
        <v>0.7857142857</v>
      </c>
      <c r="V37" s="11">
        <f t="shared" ref="V37:W37" si="98">+S37/P37</f>
        <v>0.25</v>
      </c>
      <c r="W37" s="11">
        <f t="shared" si="98"/>
        <v>1.571428571</v>
      </c>
      <c r="X37" s="11">
        <f t="shared" si="8"/>
        <v>0.869047619</v>
      </c>
    </row>
    <row r="38" ht="15.75" customHeight="1">
      <c r="A38" s="7">
        <v>20203.0</v>
      </c>
      <c r="B38" s="8" t="s">
        <v>30</v>
      </c>
      <c r="C38" s="8" t="s">
        <v>80</v>
      </c>
      <c r="D38" s="9" t="s">
        <v>83</v>
      </c>
      <c r="E38" s="10">
        <v>0.0</v>
      </c>
      <c r="F38" s="10">
        <v>0.0</v>
      </c>
      <c r="G38" s="10">
        <v>14.0</v>
      </c>
      <c r="H38" s="10">
        <v>0.0</v>
      </c>
      <c r="I38" s="10">
        <v>0.0</v>
      </c>
      <c r="J38" s="10">
        <v>11.0</v>
      </c>
      <c r="K38" s="11"/>
      <c r="L38" s="11"/>
      <c r="M38" s="11">
        <f t="shared" ref="M38:M41" si="100">+J38/G38</f>
        <v>0.7857142857</v>
      </c>
      <c r="N38" s="11">
        <f t="shared" si="6"/>
        <v>0.7857142857</v>
      </c>
      <c r="O38" s="10">
        <v>1.0</v>
      </c>
      <c r="P38" s="10">
        <v>2.0</v>
      </c>
      <c r="Q38" s="10">
        <v>2.0</v>
      </c>
      <c r="R38" s="10">
        <v>2.0</v>
      </c>
      <c r="S38" s="10">
        <v>0.0</v>
      </c>
      <c r="T38" s="10">
        <v>1.0</v>
      </c>
      <c r="U38" s="11">
        <f t="shared" si="76"/>
        <v>2</v>
      </c>
      <c r="V38" s="11">
        <f t="shared" ref="V38:W38" si="99">+S38/P38</f>
        <v>0</v>
      </c>
      <c r="W38" s="11">
        <f t="shared" si="99"/>
        <v>0.5</v>
      </c>
      <c r="X38" s="11">
        <f t="shared" si="8"/>
        <v>0.8333333333</v>
      </c>
    </row>
    <row r="39" ht="15.75" customHeight="1">
      <c r="A39" s="7">
        <v>20204.0</v>
      </c>
      <c r="B39" s="8" t="s">
        <v>30</v>
      </c>
      <c r="C39" s="8" t="s">
        <v>80</v>
      </c>
      <c r="D39" s="9" t="s">
        <v>84</v>
      </c>
      <c r="E39" s="10">
        <v>0.0</v>
      </c>
      <c r="F39" s="10">
        <v>0.0</v>
      </c>
      <c r="G39" s="10">
        <v>26.0</v>
      </c>
      <c r="H39" s="10">
        <v>0.0</v>
      </c>
      <c r="I39" s="10">
        <v>0.0</v>
      </c>
      <c r="J39" s="10">
        <v>15.0</v>
      </c>
      <c r="K39" s="11"/>
      <c r="L39" s="11"/>
      <c r="M39" s="11">
        <f t="shared" si="100"/>
        <v>0.5769230769</v>
      </c>
      <c r="N39" s="11">
        <f t="shared" si="6"/>
        <v>0.5769230769</v>
      </c>
      <c r="O39" s="10">
        <v>1.0</v>
      </c>
      <c r="P39" s="10">
        <v>6.0</v>
      </c>
      <c r="Q39" s="10">
        <v>5.0</v>
      </c>
      <c r="R39" s="10">
        <v>1.0</v>
      </c>
      <c r="S39" s="10">
        <v>8.0</v>
      </c>
      <c r="T39" s="10">
        <v>7.0</v>
      </c>
      <c r="U39" s="11">
        <f t="shared" si="76"/>
        <v>1</v>
      </c>
      <c r="V39" s="11">
        <f t="shared" ref="V39:W39" si="101">+S39/P39</f>
        <v>1.333333333</v>
      </c>
      <c r="W39" s="11">
        <f t="shared" si="101"/>
        <v>1.4</v>
      </c>
      <c r="X39" s="11">
        <f t="shared" si="8"/>
        <v>1.244444444</v>
      </c>
    </row>
    <row r="40" ht="15.75" customHeight="1">
      <c r="A40" s="7">
        <v>20205.0</v>
      </c>
      <c r="B40" s="8" t="s">
        <v>30</v>
      </c>
      <c r="C40" s="8" t="s">
        <v>80</v>
      </c>
      <c r="D40" s="9" t="s">
        <v>85</v>
      </c>
      <c r="E40" s="10">
        <v>0.0</v>
      </c>
      <c r="F40" s="10">
        <v>0.0</v>
      </c>
      <c r="G40" s="10">
        <v>16.0</v>
      </c>
      <c r="H40" s="10">
        <v>0.0</v>
      </c>
      <c r="I40" s="10">
        <v>0.0</v>
      </c>
      <c r="J40" s="10">
        <v>16.0</v>
      </c>
      <c r="K40" s="11"/>
      <c r="L40" s="11"/>
      <c r="M40" s="11">
        <f t="shared" si="100"/>
        <v>1</v>
      </c>
      <c r="N40" s="11">
        <f t="shared" si="6"/>
        <v>1</v>
      </c>
      <c r="O40" s="10">
        <v>2.0</v>
      </c>
      <c r="P40" s="10">
        <v>5.0</v>
      </c>
      <c r="Q40" s="10">
        <v>2.0</v>
      </c>
      <c r="R40" s="10">
        <v>5.0</v>
      </c>
      <c r="S40" s="10">
        <v>3.0</v>
      </c>
      <c r="T40" s="10">
        <v>7.0</v>
      </c>
      <c r="U40" s="11">
        <f t="shared" si="76"/>
        <v>2.5</v>
      </c>
      <c r="V40" s="11">
        <f t="shared" ref="V40:W40" si="102">+S40/P40</f>
        <v>0.6</v>
      </c>
      <c r="W40" s="11">
        <f t="shared" si="102"/>
        <v>3.5</v>
      </c>
      <c r="X40" s="11">
        <f t="shared" si="8"/>
        <v>2.2</v>
      </c>
    </row>
    <row r="41" ht="15.75" customHeight="1">
      <c r="A41" s="7">
        <v>20206.0</v>
      </c>
      <c r="B41" s="8" t="s">
        <v>30</v>
      </c>
      <c r="C41" s="8" t="s">
        <v>80</v>
      </c>
      <c r="D41" s="9" t="s">
        <v>86</v>
      </c>
      <c r="E41" s="10">
        <v>0.0</v>
      </c>
      <c r="F41" s="10">
        <v>0.0</v>
      </c>
      <c r="G41" s="10">
        <v>1.0</v>
      </c>
      <c r="H41" s="10">
        <v>0.0</v>
      </c>
      <c r="I41" s="10">
        <v>0.0</v>
      </c>
      <c r="J41" s="10">
        <v>1.0</v>
      </c>
      <c r="K41" s="11"/>
      <c r="L41" s="11"/>
      <c r="M41" s="11">
        <f t="shared" si="100"/>
        <v>1</v>
      </c>
      <c r="N41" s="11">
        <f t="shared" si="6"/>
        <v>1</v>
      </c>
      <c r="O41" s="10">
        <v>0.0</v>
      </c>
      <c r="P41" s="10">
        <v>2.0</v>
      </c>
      <c r="Q41" s="10">
        <v>0.0</v>
      </c>
      <c r="R41" s="10">
        <v>1.0</v>
      </c>
      <c r="S41" s="10">
        <v>0.0</v>
      </c>
      <c r="T41" s="10">
        <v>1.0</v>
      </c>
      <c r="U41" s="11"/>
      <c r="V41" s="11">
        <f>+S41/P41</f>
        <v>0</v>
      </c>
      <c r="W41" s="11"/>
      <c r="X41" s="11">
        <f t="shared" si="8"/>
        <v>0</v>
      </c>
    </row>
    <row r="42" ht="15.75" customHeight="1">
      <c r="A42" s="7">
        <v>20301.0</v>
      </c>
      <c r="B42" s="8" t="s">
        <v>30</v>
      </c>
      <c r="C42" s="8" t="s">
        <v>87</v>
      </c>
      <c r="D42" s="9" t="s">
        <v>88</v>
      </c>
      <c r="E42" s="10">
        <v>38.0</v>
      </c>
      <c r="F42" s="10">
        <v>35.0</v>
      </c>
      <c r="G42" s="10">
        <v>54.0</v>
      </c>
      <c r="H42" s="10">
        <v>48.0</v>
      </c>
      <c r="I42" s="10">
        <v>37.0</v>
      </c>
      <c r="J42" s="10">
        <v>45.0</v>
      </c>
      <c r="K42" s="11">
        <f t="shared" ref="K42:M42" si="103">+H42/E42</f>
        <v>1.263157895</v>
      </c>
      <c r="L42" s="11">
        <f t="shared" si="103"/>
        <v>1.057142857</v>
      </c>
      <c r="M42" s="11">
        <f t="shared" si="103"/>
        <v>0.8333333333</v>
      </c>
      <c r="N42" s="11">
        <f t="shared" si="6"/>
        <v>1.051211362</v>
      </c>
      <c r="O42" s="10">
        <v>12.0</v>
      </c>
      <c r="P42" s="10">
        <v>18.0</v>
      </c>
      <c r="Q42" s="10">
        <v>17.0</v>
      </c>
      <c r="R42" s="10">
        <v>15.0</v>
      </c>
      <c r="S42" s="10">
        <v>13.0</v>
      </c>
      <c r="T42" s="10">
        <v>12.0</v>
      </c>
      <c r="U42" s="11">
        <f t="shared" ref="U42:W42" si="104">+R42/O42</f>
        <v>1.25</v>
      </c>
      <c r="V42" s="11">
        <f t="shared" si="104"/>
        <v>0.7222222222</v>
      </c>
      <c r="W42" s="11">
        <f t="shared" si="104"/>
        <v>0.7058823529</v>
      </c>
      <c r="X42" s="11">
        <f t="shared" si="8"/>
        <v>0.8927015251</v>
      </c>
    </row>
    <row r="43" ht="15.75" customHeight="1">
      <c r="A43" s="7">
        <v>20302.0</v>
      </c>
      <c r="B43" s="8" t="s">
        <v>30</v>
      </c>
      <c r="C43" s="8" t="s">
        <v>87</v>
      </c>
      <c r="D43" s="9" t="s">
        <v>89</v>
      </c>
      <c r="E43" s="10">
        <v>27.0</v>
      </c>
      <c r="F43" s="10">
        <v>31.0</v>
      </c>
      <c r="G43" s="10">
        <v>41.0</v>
      </c>
      <c r="H43" s="10">
        <v>31.0</v>
      </c>
      <c r="I43" s="10">
        <v>35.0</v>
      </c>
      <c r="J43" s="10">
        <v>43.0</v>
      </c>
      <c r="K43" s="11">
        <f t="shared" ref="K43:M43" si="105">+H43/E43</f>
        <v>1.148148148</v>
      </c>
      <c r="L43" s="11">
        <f t="shared" si="105"/>
        <v>1.129032258</v>
      </c>
      <c r="M43" s="11">
        <f t="shared" si="105"/>
        <v>1.048780488</v>
      </c>
      <c r="N43" s="11">
        <f t="shared" si="6"/>
        <v>1.108653631</v>
      </c>
      <c r="O43" s="10">
        <v>13.0</v>
      </c>
      <c r="P43" s="10">
        <v>10.0</v>
      </c>
      <c r="Q43" s="10">
        <v>10.0</v>
      </c>
      <c r="R43" s="10">
        <v>15.0</v>
      </c>
      <c r="S43" s="10">
        <v>15.0</v>
      </c>
      <c r="T43" s="10">
        <v>24.0</v>
      </c>
      <c r="U43" s="11">
        <f t="shared" ref="U43:W43" si="106">+R43/O43</f>
        <v>1.153846154</v>
      </c>
      <c r="V43" s="11">
        <f t="shared" si="106"/>
        <v>1.5</v>
      </c>
      <c r="W43" s="11">
        <f t="shared" si="106"/>
        <v>2.4</v>
      </c>
      <c r="X43" s="11">
        <f t="shared" si="8"/>
        <v>1.684615385</v>
      </c>
    </row>
    <row r="44" ht="15.75" customHeight="1">
      <c r="A44" s="7">
        <v>20303.0</v>
      </c>
      <c r="B44" s="8" t="s">
        <v>30</v>
      </c>
      <c r="C44" s="8" t="s">
        <v>87</v>
      </c>
      <c r="D44" s="9" t="s">
        <v>90</v>
      </c>
      <c r="E44" s="10">
        <v>20.0</v>
      </c>
      <c r="F44" s="10">
        <v>26.0</v>
      </c>
      <c r="G44" s="10">
        <v>28.0</v>
      </c>
      <c r="H44" s="10">
        <v>38.0</v>
      </c>
      <c r="I44" s="10">
        <v>26.0</v>
      </c>
      <c r="J44" s="10">
        <v>34.0</v>
      </c>
      <c r="K44" s="11">
        <f t="shared" ref="K44:M44" si="107">+H44/E44</f>
        <v>1.9</v>
      </c>
      <c r="L44" s="11">
        <f t="shared" si="107"/>
        <v>1</v>
      </c>
      <c r="M44" s="11">
        <f t="shared" si="107"/>
        <v>1.214285714</v>
      </c>
      <c r="N44" s="11">
        <f t="shared" si="6"/>
        <v>1.371428571</v>
      </c>
      <c r="O44" s="10">
        <v>4.0</v>
      </c>
      <c r="P44" s="10">
        <v>9.0</v>
      </c>
      <c r="Q44" s="10">
        <v>4.0</v>
      </c>
      <c r="R44" s="10">
        <v>12.0</v>
      </c>
      <c r="S44" s="10">
        <v>15.0</v>
      </c>
      <c r="T44" s="10">
        <v>14.0</v>
      </c>
      <c r="U44" s="11">
        <f t="shared" ref="U44:W44" si="108">+R44/O44</f>
        <v>3</v>
      </c>
      <c r="V44" s="11">
        <f t="shared" si="108"/>
        <v>1.666666667</v>
      </c>
      <c r="W44" s="11">
        <f t="shared" si="108"/>
        <v>3.5</v>
      </c>
      <c r="X44" s="11">
        <f t="shared" si="8"/>
        <v>2.722222222</v>
      </c>
    </row>
    <row r="45" ht="15.75" customHeight="1">
      <c r="A45" s="7">
        <v>20304.0</v>
      </c>
      <c r="B45" s="8" t="s">
        <v>30</v>
      </c>
      <c r="C45" s="8" t="s">
        <v>87</v>
      </c>
      <c r="D45" s="9" t="s">
        <v>91</v>
      </c>
      <c r="E45" s="10">
        <v>9.0</v>
      </c>
      <c r="F45" s="10">
        <v>25.0</v>
      </c>
      <c r="G45" s="10">
        <v>14.0</v>
      </c>
      <c r="H45" s="10">
        <v>4.0</v>
      </c>
      <c r="I45" s="10">
        <v>17.0</v>
      </c>
      <c r="J45" s="10">
        <v>15.0</v>
      </c>
      <c r="K45" s="11">
        <f t="shared" ref="K45:M45" si="109">+H45/E45</f>
        <v>0.4444444444</v>
      </c>
      <c r="L45" s="11">
        <f t="shared" si="109"/>
        <v>0.68</v>
      </c>
      <c r="M45" s="11">
        <f t="shared" si="109"/>
        <v>1.071428571</v>
      </c>
      <c r="N45" s="11">
        <f t="shared" si="6"/>
        <v>0.731957672</v>
      </c>
      <c r="O45" s="10">
        <v>4.0</v>
      </c>
      <c r="P45" s="10">
        <v>2.0</v>
      </c>
      <c r="Q45" s="10">
        <v>3.0</v>
      </c>
      <c r="R45" s="10">
        <v>4.0</v>
      </c>
      <c r="S45" s="10">
        <v>3.0</v>
      </c>
      <c r="T45" s="10">
        <v>8.0</v>
      </c>
      <c r="U45" s="11">
        <f t="shared" ref="U45:W45" si="110">+R45/O45</f>
        <v>1</v>
      </c>
      <c r="V45" s="11">
        <f t="shared" si="110"/>
        <v>1.5</v>
      </c>
      <c r="W45" s="11">
        <f t="shared" si="110"/>
        <v>2.666666667</v>
      </c>
      <c r="X45" s="11">
        <f t="shared" si="8"/>
        <v>1.722222222</v>
      </c>
    </row>
    <row r="46" ht="15.75" customHeight="1">
      <c r="A46" s="7">
        <v>20305.0</v>
      </c>
      <c r="B46" s="8" t="s">
        <v>30</v>
      </c>
      <c r="C46" s="8" t="s">
        <v>87</v>
      </c>
      <c r="D46" s="9" t="s">
        <v>92</v>
      </c>
      <c r="E46" s="10">
        <v>3.0</v>
      </c>
      <c r="F46" s="10">
        <v>8.0</v>
      </c>
      <c r="G46" s="10">
        <v>7.0</v>
      </c>
      <c r="H46" s="10">
        <v>3.0</v>
      </c>
      <c r="I46" s="10">
        <v>4.0</v>
      </c>
      <c r="J46" s="10">
        <v>4.0</v>
      </c>
      <c r="K46" s="11">
        <f t="shared" ref="K46:M46" si="111">+H46/E46</f>
        <v>1</v>
      </c>
      <c r="L46" s="11">
        <f t="shared" si="111"/>
        <v>0.5</v>
      </c>
      <c r="M46" s="11">
        <f t="shared" si="111"/>
        <v>0.5714285714</v>
      </c>
      <c r="N46" s="11">
        <f t="shared" si="6"/>
        <v>0.6904761905</v>
      </c>
      <c r="O46" s="10">
        <v>3.0</v>
      </c>
      <c r="P46" s="10">
        <v>1.0</v>
      </c>
      <c r="Q46" s="10">
        <v>4.0</v>
      </c>
      <c r="R46" s="10">
        <v>2.0</v>
      </c>
      <c r="S46" s="10">
        <v>2.0</v>
      </c>
      <c r="T46" s="10">
        <v>0.0</v>
      </c>
      <c r="U46" s="11">
        <f t="shared" ref="U46:W46" si="112">+R46/O46</f>
        <v>0.6666666667</v>
      </c>
      <c r="V46" s="11">
        <f t="shared" si="112"/>
        <v>2</v>
      </c>
      <c r="W46" s="11">
        <f t="shared" si="112"/>
        <v>0</v>
      </c>
      <c r="X46" s="11">
        <f t="shared" si="8"/>
        <v>0.8888888889</v>
      </c>
    </row>
    <row r="47" ht="15.75" customHeight="1">
      <c r="A47" s="7">
        <v>20306.0</v>
      </c>
      <c r="B47" s="8" t="s">
        <v>30</v>
      </c>
      <c r="C47" s="8" t="s">
        <v>87</v>
      </c>
      <c r="D47" s="9" t="s">
        <v>93</v>
      </c>
      <c r="E47" s="10">
        <v>3.0</v>
      </c>
      <c r="F47" s="10">
        <v>5.0</v>
      </c>
      <c r="G47" s="10">
        <v>5.0</v>
      </c>
      <c r="H47" s="10">
        <v>4.0</v>
      </c>
      <c r="I47" s="10">
        <v>1.0</v>
      </c>
      <c r="J47" s="10">
        <v>8.0</v>
      </c>
      <c r="K47" s="11">
        <f t="shared" ref="K47:M47" si="113">+H47/E47</f>
        <v>1.333333333</v>
      </c>
      <c r="L47" s="11">
        <f t="shared" si="113"/>
        <v>0.2</v>
      </c>
      <c r="M47" s="11">
        <f t="shared" si="113"/>
        <v>1.6</v>
      </c>
      <c r="N47" s="11">
        <f t="shared" si="6"/>
        <v>1.044444444</v>
      </c>
      <c r="O47" s="10">
        <v>7.0</v>
      </c>
      <c r="P47" s="10">
        <v>0.0</v>
      </c>
      <c r="Q47" s="10">
        <v>4.0</v>
      </c>
      <c r="R47" s="10">
        <v>3.0</v>
      </c>
      <c r="S47" s="10">
        <v>0.0</v>
      </c>
      <c r="T47" s="10">
        <v>6.0</v>
      </c>
      <c r="U47" s="11">
        <f t="shared" ref="U47:U108" si="115">+R47/O47</f>
        <v>0.4285714286</v>
      </c>
      <c r="V47" s="11"/>
      <c r="W47" s="11">
        <f>+T47/Q47</f>
        <v>1.5</v>
      </c>
      <c r="X47" s="11">
        <f t="shared" si="8"/>
        <v>0.9642857143</v>
      </c>
    </row>
    <row r="48" ht="15.75" customHeight="1">
      <c r="A48" s="7">
        <v>20307.0</v>
      </c>
      <c r="B48" s="8" t="s">
        <v>30</v>
      </c>
      <c r="C48" s="8" t="s">
        <v>87</v>
      </c>
      <c r="D48" s="9" t="s">
        <v>94</v>
      </c>
      <c r="E48" s="10">
        <v>3.0</v>
      </c>
      <c r="F48" s="10">
        <v>5.0</v>
      </c>
      <c r="G48" s="10">
        <v>4.0</v>
      </c>
      <c r="H48" s="10">
        <v>2.0</v>
      </c>
      <c r="I48" s="10">
        <v>4.0</v>
      </c>
      <c r="J48" s="10">
        <v>3.0</v>
      </c>
      <c r="K48" s="11">
        <f t="shared" ref="K48:M48" si="114">+H48/E48</f>
        <v>0.6666666667</v>
      </c>
      <c r="L48" s="11">
        <f t="shared" si="114"/>
        <v>0.8</v>
      </c>
      <c r="M48" s="11">
        <f t="shared" si="114"/>
        <v>0.75</v>
      </c>
      <c r="N48" s="11">
        <f t="shared" si="6"/>
        <v>0.7388888889</v>
      </c>
      <c r="O48" s="10">
        <v>1.0</v>
      </c>
      <c r="P48" s="10">
        <v>2.0</v>
      </c>
      <c r="Q48" s="10">
        <v>1.0</v>
      </c>
      <c r="R48" s="10">
        <v>0.0</v>
      </c>
      <c r="S48" s="10">
        <v>0.0</v>
      </c>
      <c r="T48" s="10">
        <v>2.0</v>
      </c>
      <c r="U48" s="11">
        <f t="shared" si="115"/>
        <v>0</v>
      </c>
      <c r="V48" s="11">
        <f t="shared" ref="V48:W48" si="116">+S48/P48</f>
        <v>0</v>
      </c>
      <c r="W48" s="11">
        <f t="shared" si="116"/>
        <v>2</v>
      </c>
      <c r="X48" s="11">
        <f t="shared" si="8"/>
        <v>0.6666666667</v>
      </c>
    </row>
    <row r="49" ht="15.75" customHeight="1">
      <c r="A49" s="7">
        <v>20308.0</v>
      </c>
      <c r="B49" s="8" t="s">
        <v>30</v>
      </c>
      <c r="C49" s="8" t="s">
        <v>87</v>
      </c>
      <c r="D49" s="9" t="s">
        <v>95</v>
      </c>
      <c r="E49" s="10">
        <v>16.0</v>
      </c>
      <c r="F49" s="10">
        <v>30.0</v>
      </c>
      <c r="G49" s="10">
        <v>31.0</v>
      </c>
      <c r="H49" s="10">
        <v>21.0</v>
      </c>
      <c r="I49" s="10">
        <v>32.0</v>
      </c>
      <c r="J49" s="10">
        <v>20.0</v>
      </c>
      <c r="K49" s="11">
        <f t="shared" ref="K49:M49" si="117">+H49/E49</f>
        <v>1.3125</v>
      </c>
      <c r="L49" s="11">
        <f t="shared" si="117"/>
        <v>1.066666667</v>
      </c>
      <c r="M49" s="11">
        <f t="shared" si="117"/>
        <v>0.6451612903</v>
      </c>
      <c r="N49" s="11">
        <f t="shared" si="6"/>
        <v>1.008109319</v>
      </c>
      <c r="O49" s="10">
        <v>4.0</v>
      </c>
      <c r="P49" s="10">
        <v>8.0</v>
      </c>
      <c r="Q49" s="10">
        <v>5.0</v>
      </c>
      <c r="R49" s="10">
        <v>5.0</v>
      </c>
      <c r="S49" s="10">
        <v>5.0</v>
      </c>
      <c r="T49" s="10">
        <v>7.0</v>
      </c>
      <c r="U49" s="11">
        <f t="shared" si="115"/>
        <v>1.25</v>
      </c>
      <c r="V49" s="11">
        <f t="shared" ref="V49:W49" si="118">+S49/P49</f>
        <v>0.625</v>
      </c>
      <c r="W49" s="11">
        <f t="shared" si="118"/>
        <v>1.4</v>
      </c>
      <c r="X49" s="11">
        <f t="shared" si="8"/>
        <v>1.091666667</v>
      </c>
    </row>
    <row r="50" ht="15.75" customHeight="1">
      <c r="A50" s="7">
        <v>20401.0</v>
      </c>
      <c r="B50" s="8" t="s">
        <v>30</v>
      </c>
      <c r="C50" s="8" t="s">
        <v>96</v>
      </c>
      <c r="D50" s="9" t="s">
        <v>97</v>
      </c>
      <c r="E50" s="10">
        <v>58.0</v>
      </c>
      <c r="F50" s="10">
        <v>79.0</v>
      </c>
      <c r="G50" s="10">
        <v>66.0</v>
      </c>
      <c r="H50" s="10">
        <v>48.0</v>
      </c>
      <c r="I50" s="10">
        <v>63.0</v>
      </c>
      <c r="J50" s="10">
        <v>39.0</v>
      </c>
      <c r="K50" s="11">
        <f t="shared" ref="K50:M50" si="119">+H50/E50</f>
        <v>0.8275862069</v>
      </c>
      <c r="L50" s="11">
        <f t="shared" si="119"/>
        <v>0.7974683544</v>
      </c>
      <c r="M50" s="11">
        <f t="shared" si="119"/>
        <v>0.5909090909</v>
      </c>
      <c r="N50" s="11">
        <f t="shared" si="6"/>
        <v>0.7386545507</v>
      </c>
      <c r="O50" s="10">
        <v>11.0</v>
      </c>
      <c r="P50" s="10">
        <v>14.0</v>
      </c>
      <c r="Q50" s="10">
        <v>6.0</v>
      </c>
      <c r="R50" s="10">
        <v>5.0</v>
      </c>
      <c r="S50" s="10">
        <v>13.0</v>
      </c>
      <c r="T50" s="10">
        <v>6.0</v>
      </c>
      <c r="U50" s="11">
        <f t="shared" si="115"/>
        <v>0.4545454545</v>
      </c>
      <c r="V50" s="11">
        <f t="shared" ref="V50:W50" si="120">+S50/P50</f>
        <v>0.9285714286</v>
      </c>
      <c r="W50" s="11">
        <f t="shared" si="120"/>
        <v>1</v>
      </c>
      <c r="X50" s="11">
        <f t="shared" si="8"/>
        <v>0.7943722944</v>
      </c>
    </row>
    <row r="51" ht="15.75" customHeight="1">
      <c r="A51" s="7">
        <v>20402.0</v>
      </c>
      <c r="B51" s="8" t="s">
        <v>30</v>
      </c>
      <c r="C51" s="8" t="s">
        <v>96</v>
      </c>
      <c r="D51" s="9" t="s">
        <v>98</v>
      </c>
      <c r="E51" s="10">
        <v>41.0</v>
      </c>
      <c r="F51" s="10">
        <v>66.0</v>
      </c>
      <c r="G51" s="10">
        <v>67.0</v>
      </c>
      <c r="H51" s="10">
        <v>39.0</v>
      </c>
      <c r="I51" s="10">
        <v>55.0</v>
      </c>
      <c r="J51" s="10">
        <v>72.0</v>
      </c>
      <c r="K51" s="11">
        <f t="shared" ref="K51:M51" si="121">+H51/E51</f>
        <v>0.9512195122</v>
      </c>
      <c r="L51" s="11">
        <f t="shared" si="121"/>
        <v>0.8333333333</v>
      </c>
      <c r="M51" s="11">
        <f t="shared" si="121"/>
        <v>1.074626866</v>
      </c>
      <c r="N51" s="11">
        <f t="shared" si="6"/>
        <v>0.9530599037</v>
      </c>
      <c r="O51" s="10">
        <v>23.0</v>
      </c>
      <c r="P51" s="10">
        <v>28.0</v>
      </c>
      <c r="Q51" s="10">
        <v>21.0</v>
      </c>
      <c r="R51" s="10">
        <v>24.0</v>
      </c>
      <c r="S51" s="10">
        <v>22.0</v>
      </c>
      <c r="T51" s="10">
        <v>9.0</v>
      </c>
      <c r="U51" s="11">
        <f t="shared" si="115"/>
        <v>1.043478261</v>
      </c>
      <c r="V51" s="11">
        <f t="shared" ref="V51:W51" si="122">+S51/P51</f>
        <v>0.7857142857</v>
      </c>
      <c r="W51" s="11">
        <f t="shared" si="122"/>
        <v>0.4285714286</v>
      </c>
      <c r="X51" s="11">
        <f t="shared" si="8"/>
        <v>0.7525879917</v>
      </c>
    </row>
    <row r="52" ht="15.75" customHeight="1">
      <c r="A52" s="7">
        <v>20403.0</v>
      </c>
      <c r="B52" s="8" t="s">
        <v>30</v>
      </c>
      <c r="C52" s="8" t="s">
        <v>96</v>
      </c>
      <c r="D52" s="9" t="s">
        <v>99</v>
      </c>
      <c r="E52" s="10">
        <v>34.0</v>
      </c>
      <c r="F52" s="10">
        <v>58.0</v>
      </c>
      <c r="G52" s="10">
        <v>65.0</v>
      </c>
      <c r="H52" s="10">
        <v>36.0</v>
      </c>
      <c r="I52" s="10">
        <v>52.0</v>
      </c>
      <c r="J52" s="10">
        <v>55.0</v>
      </c>
      <c r="K52" s="11">
        <f t="shared" ref="K52:M52" si="123">+H52/E52</f>
        <v>1.058823529</v>
      </c>
      <c r="L52" s="11">
        <f t="shared" si="123"/>
        <v>0.8965517241</v>
      </c>
      <c r="M52" s="11">
        <f t="shared" si="123"/>
        <v>0.8461538462</v>
      </c>
      <c r="N52" s="11">
        <f t="shared" si="6"/>
        <v>0.9338430332</v>
      </c>
      <c r="O52" s="10">
        <v>18.0</v>
      </c>
      <c r="P52" s="10">
        <v>10.0</v>
      </c>
      <c r="Q52" s="10">
        <v>14.0</v>
      </c>
      <c r="R52" s="10">
        <v>18.0</v>
      </c>
      <c r="S52" s="10">
        <v>19.0</v>
      </c>
      <c r="T52" s="10">
        <v>19.0</v>
      </c>
      <c r="U52" s="11">
        <f t="shared" si="115"/>
        <v>1</v>
      </c>
      <c r="V52" s="11">
        <f t="shared" ref="V52:W52" si="124">+S52/P52</f>
        <v>1.9</v>
      </c>
      <c r="W52" s="11">
        <f t="shared" si="124"/>
        <v>1.357142857</v>
      </c>
      <c r="X52" s="11">
        <f t="shared" si="8"/>
        <v>1.419047619</v>
      </c>
    </row>
    <row r="53" ht="15.75" customHeight="1">
      <c r="A53" s="7">
        <v>20404.0</v>
      </c>
      <c r="B53" s="8" t="s">
        <v>30</v>
      </c>
      <c r="C53" s="8" t="s">
        <v>96</v>
      </c>
      <c r="D53" s="9" t="s">
        <v>100</v>
      </c>
      <c r="E53" s="10">
        <v>0.0</v>
      </c>
      <c r="F53" s="10">
        <v>0.0</v>
      </c>
      <c r="G53" s="10">
        <v>34.0</v>
      </c>
      <c r="H53" s="10">
        <v>0.0</v>
      </c>
      <c r="I53" s="10">
        <v>0.0</v>
      </c>
      <c r="J53" s="10">
        <v>27.0</v>
      </c>
      <c r="K53" s="11"/>
      <c r="L53" s="11"/>
      <c r="M53" s="11">
        <f t="shared" ref="M53:M54" si="126">+J53/G53</f>
        <v>0.7941176471</v>
      </c>
      <c r="N53" s="11">
        <f t="shared" si="6"/>
        <v>0.7941176471</v>
      </c>
      <c r="O53" s="10">
        <v>6.0</v>
      </c>
      <c r="P53" s="10">
        <v>20.0</v>
      </c>
      <c r="Q53" s="10">
        <v>12.0</v>
      </c>
      <c r="R53" s="10">
        <v>6.0</v>
      </c>
      <c r="S53" s="10">
        <v>11.0</v>
      </c>
      <c r="T53" s="10">
        <v>13.0</v>
      </c>
      <c r="U53" s="11">
        <f t="shared" si="115"/>
        <v>1</v>
      </c>
      <c r="V53" s="11">
        <f t="shared" ref="V53:W53" si="125">+S53/P53</f>
        <v>0.55</v>
      </c>
      <c r="W53" s="11">
        <f t="shared" si="125"/>
        <v>1.083333333</v>
      </c>
      <c r="X53" s="11">
        <f t="shared" si="8"/>
        <v>0.8777777778</v>
      </c>
    </row>
    <row r="54" ht="15.75" customHeight="1">
      <c r="A54" s="7">
        <v>20405.0</v>
      </c>
      <c r="B54" s="8" t="s">
        <v>30</v>
      </c>
      <c r="C54" s="8" t="s">
        <v>96</v>
      </c>
      <c r="D54" s="9" t="s">
        <v>101</v>
      </c>
      <c r="E54" s="10">
        <v>0.0</v>
      </c>
      <c r="F54" s="10">
        <v>0.0</v>
      </c>
      <c r="G54" s="10">
        <v>21.0</v>
      </c>
      <c r="H54" s="10">
        <v>0.0</v>
      </c>
      <c r="I54" s="10">
        <v>0.0</v>
      </c>
      <c r="J54" s="10">
        <v>20.0</v>
      </c>
      <c r="K54" s="11"/>
      <c r="L54" s="11"/>
      <c r="M54" s="11">
        <f t="shared" si="126"/>
        <v>0.9523809524</v>
      </c>
      <c r="N54" s="11">
        <f t="shared" si="6"/>
        <v>0.9523809524</v>
      </c>
      <c r="O54" s="10">
        <v>6.0</v>
      </c>
      <c r="P54" s="10">
        <v>5.0</v>
      </c>
      <c r="Q54" s="10">
        <v>8.0</v>
      </c>
      <c r="R54" s="10">
        <v>3.0</v>
      </c>
      <c r="S54" s="10">
        <v>6.0</v>
      </c>
      <c r="T54" s="10">
        <v>3.0</v>
      </c>
      <c r="U54" s="11">
        <f t="shared" si="115"/>
        <v>0.5</v>
      </c>
      <c r="V54" s="11">
        <f t="shared" ref="V54:W54" si="127">+S54/P54</f>
        <v>1.2</v>
      </c>
      <c r="W54" s="11">
        <f t="shared" si="127"/>
        <v>0.375</v>
      </c>
      <c r="X54" s="11">
        <f t="shared" si="8"/>
        <v>0.6916666667</v>
      </c>
    </row>
    <row r="55" ht="15.75" customHeight="1">
      <c r="A55" s="7">
        <v>20501.0</v>
      </c>
      <c r="B55" s="8" t="s">
        <v>30</v>
      </c>
      <c r="C55" s="8" t="s">
        <v>102</v>
      </c>
      <c r="D55" s="9" t="s">
        <v>103</v>
      </c>
      <c r="E55" s="10">
        <v>32.0</v>
      </c>
      <c r="F55" s="10">
        <v>57.0</v>
      </c>
      <c r="G55" s="10">
        <v>56.0</v>
      </c>
      <c r="H55" s="10">
        <v>52.0</v>
      </c>
      <c r="I55" s="10">
        <v>56.0</v>
      </c>
      <c r="J55" s="10">
        <v>61.0</v>
      </c>
      <c r="K55" s="11">
        <f t="shared" ref="K55:M55" si="128">+H55/E55</f>
        <v>1.625</v>
      </c>
      <c r="L55" s="11">
        <f t="shared" si="128"/>
        <v>0.9824561404</v>
      </c>
      <c r="M55" s="11">
        <f t="shared" si="128"/>
        <v>1.089285714</v>
      </c>
      <c r="N55" s="11">
        <f t="shared" si="6"/>
        <v>1.232247285</v>
      </c>
      <c r="O55" s="10">
        <v>19.0</v>
      </c>
      <c r="P55" s="10">
        <v>3.0</v>
      </c>
      <c r="Q55" s="10">
        <v>12.0</v>
      </c>
      <c r="R55" s="10">
        <v>13.0</v>
      </c>
      <c r="S55" s="10">
        <v>8.0</v>
      </c>
      <c r="T55" s="10">
        <v>14.0</v>
      </c>
      <c r="U55" s="11">
        <f t="shared" si="115"/>
        <v>0.6842105263</v>
      </c>
      <c r="V55" s="11">
        <f t="shared" ref="V55:W55" si="129">+S55/P55</f>
        <v>2.666666667</v>
      </c>
      <c r="W55" s="11">
        <f t="shared" si="129"/>
        <v>1.166666667</v>
      </c>
      <c r="X55" s="11">
        <f t="shared" si="8"/>
        <v>1.505847953</v>
      </c>
    </row>
    <row r="56" ht="15.75" customHeight="1">
      <c r="A56" s="7">
        <v>20502.0</v>
      </c>
      <c r="B56" s="8" t="s">
        <v>30</v>
      </c>
      <c r="C56" s="8" t="s">
        <v>102</v>
      </c>
      <c r="D56" s="9" t="s">
        <v>104</v>
      </c>
      <c r="E56" s="10">
        <v>27.0</v>
      </c>
      <c r="F56" s="10">
        <v>42.0</v>
      </c>
      <c r="G56" s="10">
        <v>51.0</v>
      </c>
      <c r="H56" s="10">
        <v>21.0</v>
      </c>
      <c r="I56" s="10">
        <v>50.0</v>
      </c>
      <c r="J56" s="10">
        <v>68.0</v>
      </c>
      <c r="K56" s="11">
        <f t="shared" ref="K56:M56" si="130">+H56/E56</f>
        <v>0.7777777778</v>
      </c>
      <c r="L56" s="11">
        <f t="shared" si="130"/>
        <v>1.19047619</v>
      </c>
      <c r="M56" s="11">
        <f t="shared" si="130"/>
        <v>1.333333333</v>
      </c>
      <c r="N56" s="11">
        <f t="shared" si="6"/>
        <v>1.100529101</v>
      </c>
      <c r="O56" s="10">
        <v>13.0</v>
      </c>
      <c r="P56" s="10">
        <v>11.0</v>
      </c>
      <c r="Q56" s="10">
        <v>7.0</v>
      </c>
      <c r="R56" s="10">
        <v>18.0</v>
      </c>
      <c r="S56" s="10">
        <v>19.0</v>
      </c>
      <c r="T56" s="10">
        <v>19.0</v>
      </c>
      <c r="U56" s="11">
        <f t="shared" si="115"/>
        <v>1.384615385</v>
      </c>
      <c r="V56" s="11">
        <f t="shared" ref="V56:W56" si="131">+S56/P56</f>
        <v>1.727272727</v>
      </c>
      <c r="W56" s="11">
        <f t="shared" si="131"/>
        <v>2.714285714</v>
      </c>
      <c r="X56" s="11">
        <f t="shared" si="8"/>
        <v>1.942057942</v>
      </c>
    </row>
    <row r="57" ht="15.75" customHeight="1">
      <c r="A57" s="7">
        <v>20503.0</v>
      </c>
      <c r="B57" s="8" t="s">
        <v>30</v>
      </c>
      <c r="C57" s="8" t="s">
        <v>102</v>
      </c>
      <c r="D57" s="9" t="s">
        <v>105</v>
      </c>
      <c r="E57" s="10">
        <v>4.0</v>
      </c>
      <c r="F57" s="10">
        <v>12.0</v>
      </c>
      <c r="G57" s="10">
        <v>19.0</v>
      </c>
      <c r="H57" s="10">
        <v>2.0</v>
      </c>
      <c r="I57" s="10">
        <v>12.0</v>
      </c>
      <c r="J57" s="10">
        <v>15.0</v>
      </c>
      <c r="K57" s="11">
        <f t="shared" ref="K57:M57" si="132">+H57/E57</f>
        <v>0.5</v>
      </c>
      <c r="L57" s="11">
        <f t="shared" si="132"/>
        <v>1</v>
      </c>
      <c r="M57" s="11">
        <f t="shared" si="132"/>
        <v>0.7894736842</v>
      </c>
      <c r="N57" s="11">
        <f t="shared" si="6"/>
        <v>0.7631578947</v>
      </c>
      <c r="O57" s="10">
        <v>8.0</v>
      </c>
      <c r="P57" s="10">
        <v>10.0</v>
      </c>
      <c r="Q57" s="10">
        <v>10.0</v>
      </c>
      <c r="R57" s="10">
        <v>13.0</v>
      </c>
      <c r="S57" s="10">
        <v>12.0</v>
      </c>
      <c r="T57" s="10">
        <v>17.0</v>
      </c>
      <c r="U57" s="11">
        <f t="shared" si="115"/>
        <v>1.625</v>
      </c>
      <c r="V57" s="11">
        <f t="shared" ref="V57:W57" si="133">+S57/P57</f>
        <v>1.2</v>
      </c>
      <c r="W57" s="11">
        <f t="shared" si="133"/>
        <v>1.7</v>
      </c>
      <c r="X57" s="11">
        <f t="shared" si="8"/>
        <v>1.508333333</v>
      </c>
    </row>
    <row r="58" ht="15.75" customHeight="1">
      <c r="A58" s="7">
        <v>20601.0</v>
      </c>
      <c r="B58" s="8" t="s">
        <v>30</v>
      </c>
      <c r="C58" s="8" t="s">
        <v>106</v>
      </c>
      <c r="D58" s="9" t="s">
        <v>107</v>
      </c>
      <c r="E58" s="10">
        <v>72.0</v>
      </c>
      <c r="F58" s="10">
        <v>54.0</v>
      </c>
      <c r="G58" s="10">
        <v>66.0</v>
      </c>
      <c r="H58" s="10">
        <v>90.0</v>
      </c>
      <c r="I58" s="10">
        <v>66.0</v>
      </c>
      <c r="J58" s="10">
        <v>70.0</v>
      </c>
      <c r="K58" s="11">
        <f t="shared" ref="K58:M58" si="134">+H58/E58</f>
        <v>1.25</v>
      </c>
      <c r="L58" s="11">
        <f t="shared" si="134"/>
        <v>1.222222222</v>
      </c>
      <c r="M58" s="11">
        <f t="shared" si="134"/>
        <v>1.060606061</v>
      </c>
      <c r="N58" s="11">
        <f t="shared" si="6"/>
        <v>1.177609428</v>
      </c>
      <c r="O58" s="10">
        <v>27.0</v>
      </c>
      <c r="P58" s="10">
        <v>32.0</v>
      </c>
      <c r="Q58" s="10">
        <v>21.0</v>
      </c>
      <c r="R58" s="10">
        <v>24.0</v>
      </c>
      <c r="S58" s="10">
        <v>37.0</v>
      </c>
      <c r="T58" s="10">
        <v>37.0</v>
      </c>
      <c r="U58" s="11">
        <f t="shared" si="115"/>
        <v>0.8888888889</v>
      </c>
      <c r="V58" s="11">
        <f t="shared" ref="V58:W58" si="135">+S58/P58</f>
        <v>1.15625</v>
      </c>
      <c r="W58" s="11">
        <f t="shared" si="135"/>
        <v>1.761904762</v>
      </c>
      <c r="X58" s="11">
        <f t="shared" si="8"/>
        <v>1.26901455</v>
      </c>
    </row>
    <row r="59" ht="15.75" customHeight="1">
      <c r="A59" s="7">
        <v>20602.0</v>
      </c>
      <c r="B59" s="8" t="s">
        <v>30</v>
      </c>
      <c r="C59" s="8" t="s">
        <v>106</v>
      </c>
      <c r="D59" s="9" t="s">
        <v>108</v>
      </c>
      <c r="E59" s="10">
        <v>35.0</v>
      </c>
      <c r="F59" s="10">
        <v>64.0</v>
      </c>
      <c r="G59" s="10">
        <v>72.0</v>
      </c>
      <c r="H59" s="10">
        <v>63.0</v>
      </c>
      <c r="I59" s="10">
        <v>79.0</v>
      </c>
      <c r="J59" s="10">
        <v>108.0</v>
      </c>
      <c r="K59" s="11">
        <f t="shared" ref="K59:M59" si="136">+H59/E59</f>
        <v>1.8</v>
      </c>
      <c r="L59" s="11">
        <f t="shared" si="136"/>
        <v>1.234375</v>
      </c>
      <c r="M59" s="11">
        <f t="shared" si="136"/>
        <v>1.5</v>
      </c>
      <c r="N59" s="11">
        <f t="shared" si="6"/>
        <v>1.511458333</v>
      </c>
      <c r="O59" s="10">
        <v>43.0</v>
      </c>
      <c r="P59" s="10">
        <v>31.0</v>
      </c>
      <c r="Q59" s="10">
        <v>30.0</v>
      </c>
      <c r="R59" s="10">
        <v>49.0</v>
      </c>
      <c r="S59" s="10">
        <v>55.0</v>
      </c>
      <c r="T59" s="10">
        <v>54.0</v>
      </c>
      <c r="U59" s="11">
        <f t="shared" si="115"/>
        <v>1.139534884</v>
      </c>
      <c r="V59" s="11">
        <f t="shared" ref="V59:W59" si="137">+S59/P59</f>
        <v>1.774193548</v>
      </c>
      <c r="W59" s="11">
        <f t="shared" si="137"/>
        <v>1.8</v>
      </c>
      <c r="X59" s="11">
        <f t="shared" si="8"/>
        <v>1.571242811</v>
      </c>
    </row>
    <row r="60" ht="15.75" customHeight="1">
      <c r="A60" s="7">
        <v>20603.0</v>
      </c>
      <c r="B60" s="8" t="s">
        <v>30</v>
      </c>
      <c r="C60" s="8" t="s">
        <v>106</v>
      </c>
      <c r="D60" s="9" t="s">
        <v>109</v>
      </c>
      <c r="E60" s="10">
        <v>26.0</v>
      </c>
      <c r="F60" s="10">
        <v>25.0</v>
      </c>
      <c r="G60" s="10">
        <v>33.0</v>
      </c>
      <c r="H60" s="10">
        <v>35.0</v>
      </c>
      <c r="I60" s="10">
        <v>33.0</v>
      </c>
      <c r="J60" s="10">
        <v>34.0</v>
      </c>
      <c r="K60" s="11">
        <f t="shared" ref="K60:M60" si="138">+H60/E60</f>
        <v>1.346153846</v>
      </c>
      <c r="L60" s="11">
        <f t="shared" si="138"/>
        <v>1.32</v>
      </c>
      <c r="M60" s="11">
        <f t="shared" si="138"/>
        <v>1.03030303</v>
      </c>
      <c r="N60" s="11">
        <f t="shared" si="6"/>
        <v>1.232152292</v>
      </c>
      <c r="O60" s="10">
        <v>8.0</v>
      </c>
      <c r="P60" s="10">
        <v>5.0</v>
      </c>
      <c r="Q60" s="10">
        <v>9.0</v>
      </c>
      <c r="R60" s="10">
        <v>13.0</v>
      </c>
      <c r="S60" s="10">
        <v>12.0</v>
      </c>
      <c r="T60" s="10">
        <v>9.0</v>
      </c>
      <c r="U60" s="11">
        <f t="shared" si="115"/>
        <v>1.625</v>
      </c>
      <c r="V60" s="11">
        <f t="shared" ref="V60:W60" si="139">+S60/P60</f>
        <v>2.4</v>
      </c>
      <c r="W60" s="11">
        <f t="shared" si="139"/>
        <v>1</v>
      </c>
      <c r="X60" s="11">
        <f t="shared" si="8"/>
        <v>1.675</v>
      </c>
    </row>
    <row r="61" ht="15.75" customHeight="1">
      <c r="A61" s="7">
        <v>20604.0</v>
      </c>
      <c r="B61" s="8" t="s">
        <v>30</v>
      </c>
      <c r="C61" s="8" t="s">
        <v>106</v>
      </c>
      <c r="D61" s="9" t="s">
        <v>110</v>
      </c>
      <c r="E61" s="10">
        <v>1.0</v>
      </c>
      <c r="F61" s="10">
        <v>5.0</v>
      </c>
      <c r="G61" s="10">
        <v>15.0</v>
      </c>
      <c r="H61" s="10">
        <v>6.0</v>
      </c>
      <c r="I61" s="10">
        <v>7.0</v>
      </c>
      <c r="J61" s="10">
        <v>17.0</v>
      </c>
      <c r="K61" s="11">
        <f t="shared" ref="K61:M61" si="140">+H61/E61</f>
        <v>6</v>
      </c>
      <c r="L61" s="11">
        <f t="shared" si="140"/>
        <v>1.4</v>
      </c>
      <c r="M61" s="11">
        <f t="shared" si="140"/>
        <v>1.133333333</v>
      </c>
      <c r="N61" s="11">
        <f t="shared" si="6"/>
        <v>2.844444444</v>
      </c>
      <c r="O61" s="10">
        <v>3.0</v>
      </c>
      <c r="P61" s="10">
        <v>7.0</v>
      </c>
      <c r="Q61" s="10">
        <v>5.0</v>
      </c>
      <c r="R61" s="10">
        <v>5.0</v>
      </c>
      <c r="S61" s="10">
        <v>5.0</v>
      </c>
      <c r="T61" s="10">
        <v>13.0</v>
      </c>
      <c r="U61" s="11">
        <f t="shared" si="115"/>
        <v>1.666666667</v>
      </c>
      <c r="V61" s="11">
        <f t="shared" ref="V61:W61" si="141">+S61/P61</f>
        <v>0.7142857143</v>
      </c>
      <c r="W61" s="11">
        <f t="shared" si="141"/>
        <v>2.6</v>
      </c>
      <c r="X61" s="11">
        <f t="shared" si="8"/>
        <v>1.66031746</v>
      </c>
    </row>
    <row r="62" ht="15.75" customHeight="1">
      <c r="A62" s="7">
        <v>20605.0</v>
      </c>
      <c r="B62" s="8" t="s">
        <v>30</v>
      </c>
      <c r="C62" s="8" t="s">
        <v>106</v>
      </c>
      <c r="D62" s="9" t="s">
        <v>111</v>
      </c>
      <c r="E62" s="10">
        <v>7.0</v>
      </c>
      <c r="F62" s="10">
        <v>7.0</v>
      </c>
      <c r="G62" s="10">
        <v>2.0</v>
      </c>
      <c r="H62" s="10">
        <v>8.0</v>
      </c>
      <c r="I62" s="10">
        <v>6.0</v>
      </c>
      <c r="J62" s="10">
        <v>4.0</v>
      </c>
      <c r="K62" s="11">
        <f t="shared" ref="K62:M62" si="142">+H62/E62</f>
        <v>1.142857143</v>
      </c>
      <c r="L62" s="11">
        <f t="shared" si="142"/>
        <v>0.8571428571</v>
      </c>
      <c r="M62" s="11">
        <f t="shared" si="142"/>
        <v>2</v>
      </c>
      <c r="N62" s="11">
        <f t="shared" si="6"/>
        <v>1.333333333</v>
      </c>
      <c r="O62" s="10">
        <v>6.0</v>
      </c>
      <c r="P62" s="10">
        <v>9.0</v>
      </c>
      <c r="Q62" s="10">
        <v>7.0</v>
      </c>
      <c r="R62" s="10">
        <v>5.0</v>
      </c>
      <c r="S62" s="10">
        <v>3.0</v>
      </c>
      <c r="T62" s="10">
        <v>7.0</v>
      </c>
      <c r="U62" s="11">
        <f t="shared" si="115"/>
        <v>0.8333333333</v>
      </c>
      <c r="V62" s="11">
        <f t="shared" ref="V62:W62" si="143">+S62/P62</f>
        <v>0.3333333333</v>
      </c>
      <c r="W62" s="11">
        <f t="shared" si="143"/>
        <v>1</v>
      </c>
      <c r="X62" s="11">
        <f t="shared" si="8"/>
        <v>0.7222222222</v>
      </c>
    </row>
    <row r="63" ht="15.75" customHeight="1">
      <c r="A63" s="7">
        <v>20606.0</v>
      </c>
      <c r="B63" s="8" t="s">
        <v>30</v>
      </c>
      <c r="C63" s="8" t="s">
        <v>106</v>
      </c>
      <c r="D63" s="9" t="s">
        <v>112</v>
      </c>
      <c r="E63" s="10">
        <v>32.0</v>
      </c>
      <c r="F63" s="10">
        <v>23.0</v>
      </c>
      <c r="G63" s="10">
        <v>35.0</v>
      </c>
      <c r="H63" s="10">
        <v>38.0</v>
      </c>
      <c r="I63" s="10">
        <v>31.0</v>
      </c>
      <c r="J63" s="10">
        <v>33.0</v>
      </c>
      <c r="K63" s="11">
        <f t="shared" ref="K63:M63" si="144">+H63/E63</f>
        <v>1.1875</v>
      </c>
      <c r="L63" s="11">
        <f t="shared" si="144"/>
        <v>1.347826087</v>
      </c>
      <c r="M63" s="11">
        <f t="shared" si="144"/>
        <v>0.9428571429</v>
      </c>
      <c r="N63" s="11">
        <f t="shared" si="6"/>
        <v>1.15939441</v>
      </c>
      <c r="O63" s="10">
        <v>5.0</v>
      </c>
      <c r="P63" s="10">
        <v>8.0</v>
      </c>
      <c r="Q63" s="10">
        <v>8.0</v>
      </c>
      <c r="R63" s="10">
        <v>12.0</v>
      </c>
      <c r="S63" s="10">
        <v>14.0</v>
      </c>
      <c r="T63" s="10">
        <v>18.0</v>
      </c>
      <c r="U63" s="11">
        <f t="shared" si="115"/>
        <v>2.4</v>
      </c>
      <c r="V63" s="11">
        <f t="shared" ref="V63:W63" si="145">+S63/P63</f>
        <v>1.75</v>
      </c>
      <c r="W63" s="11">
        <f t="shared" si="145"/>
        <v>2.25</v>
      </c>
      <c r="X63" s="11">
        <f t="shared" si="8"/>
        <v>2.133333333</v>
      </c>
    </row>
    <row r="64" ht="15.75" customHeight="1">
      <c r="A64" s="7">
        <v>20607.0</v>
      </c>
      <c r="B64" s="8" t="s">
        <v>30</v>
      </c>
      <c r="C64" s="8" t="s">
        <v>106</v>
      </c>
      <c r="D64" s="9" t="s">
        <v>113</v>
      </c>
      <c r="E64" s="10">
        <v>71.0</v>
      </c>
      <c r="F64" s="10">
        <v>56.0</v>
      </c>
      <c r="G64" s="10">
        <v>60.0</v>
      </c>
      <c r="H64" s="10">
        <v>83.0</v>
      </c>
      <c r="I64" s="10">
        <v>93.0</v>
      </c>
      <c r="J64" s="10">
        <v>97.0</v>
      </c>
      <c r="K64" s="11">
        <f t="shared" ref="K64:M64" si="146">+H64/E64</f>
        <v>1.169014085</v>
      </c>
      <c r="L64" s="11">
        <f t="shared" si="146"/>
        <v>1.660714286</v>
      </c>
      <c r="M64" s="11">
        <f t="shared" si="146"/>
        <v>1.616666667</v>
      </c>
      <c r="N64" s="11">
        <f t="shared" si="6"/>
        <v>1.482131679</v>
      </c>
      <c r="O64" s="10">
        <v>56.0</v>
      </c>
      <c r="P64" s="10">
        <v>48.0</v>
      </c>
      <c r="Q64" s="10">
        <v>37.0</v>
      </c>
      <c r="R64" s="10">
        <v>66.0</v>
      </c>
      <c r="S64" s="10">
        <v>55.0</v>
      </c>
      <c r="T64" s="10">
        <v>80.0</v>
      </c>
      <c r="U64" s="11">
        <f t="shared" si="115"/>
        <v>1.178571429</v>
      </c>
      <c r="V64" s="11">
        <f t="shared" ref="V64:W64" si="147">+S64/P64</f>
        <v>1.145833333</v>
      </c>
      <c r="W64" s="11">
        <f t="shared" si="147"/>
        <v>2.162162162</v>
      </c>
      <c r="X64" s="11">
        <f t="shared" si="8"/>
        <v>1.495522308</v>
      </c>
    </row>
    <row r="65" ht="15.75" customHeight="1">
      <c r="A65" s="7">
        <v>20608.0</v>
      </c>
      <c r="B65" s="8" t="s">
        <v>30</v>
      </c>
      <c r="C65" s="8" t="s">
        <v>106</v>
      </c>
      <c r="D65" s="9" t="s">
        <v>114</v>
      </c>
      <c r="E65" s="10">
        <v>40.0</v>
      </c>
      <c r="F65" s="10">
        <v>39.0</v>
      </c>
      <c r="G65" s="10">
        <v>46.0</v>
      </c>
      <c r="H65" s="10">
        <v>54.0</v>
      </c>
      <c r="I65" s="10">
        <v>52.0</v>
      </c>
      <c r="J65" s="10">
        <v>80.0</v>
      </c>
      <c r="K65" s="11">
        <f t="shared" ref="K65:M65" si="148">+H65/E65</f>
        <v>1.35</v>
      </c>
      <c r="L65" s="11">
        <f t="shared" si="148"/>
        <v>1.333333333</v>
      </c>
      <c r="M65" s="11">
        <f t="shared" si="148"/>
        <v>1.739130435</v>
      </c>
      <c r="N65" s="11">
        <f t="shared" si="6"/>
        <v>1.474154589</v>
      </c>
      <c r="O65" s="10">
        <v>24.0</v>
      </c>
      <c r="P65" s="10">
        <v>14.0</v>
      </c>
      <c r="Q65" s="10">
        <v>17.0</v>
      </c>
      <c r="R65" s="10">
        <v>28.0</v>
      </c>
      <c r="S65" s="10">
        <v>28.0</v>
      </c>
      <c r="T65" s="10">
        <v>20.0</v>
      </c>
      <c r="U65" s="11">
        <f t="shared" si="115"/>
        <v>1.166666667</v>
      </c>
      <c r="V65" s="11">
        <f t="shared" ref="V65:W65" si="149">+S65/P65</f>
        <v>2</v>
      </c>
      <c r="W65" s="11">
        <f t="shared" si="149"/>
        <v>1.176470588</v>
      </c>
      <c r="X65" s="11">
        <f t="shared" si="8"/>
        <v>1.447712418</v>
      </c>
    </row>
    <row r="66" ht="15.75" customHeight="1">
      <c r="A66" s="7">
        <v>20701.0</v>
      </c>
      <c r="B66" s="8" t="s">
        <v>30</v>
      </c>
      <c r="C66" s="8" t="s">
        <v>115</v>
      </c>
      <c r="D66" s="9" t="s">
        <v>116</v>
      </c>
      <c r="E66" s="10">
        <v>91.0</v>
      </c>
      <c r="F66" s="10">
        <v>66.0</v>
      </c>
      <c r="G66" s="10">
        <v>80.0</v>
      </c>
      <c r="H66" s="10">
        <v>121.0</v>
      </c>
      <c r="I66" s="10">
        <v>112.0</v>
      </c>
      <c r="J66" s="10">
        <v>157.0</v>
      </c>
      <c r="K66" s="11">
        <f t="shared" ref="K66:M66" si="150">+H66/E66</f>
        <v>1.32967033</v>
      </c>
      <c r="L66" s="11">
        <f t="shared" si="150"/>
        <v>1.696969697</v>
      </c>
      <c r="M66" s="11">
        <f t="shared" si="150"/>
        <v>1.9625</v>
      </c>
      <c r="N66" s="11">
        <f t="shared" si="6"/>
        <v>1.663046676</v>
      </c>
      <c r="O66" s="10">
        <v>50.0</v>
      </c>
      <c r="P66" s="10">
        <v>51.0</v>
      </c>
      <c r="Q66" s="10">
        <v>59.0</v>
      </c>
      <c r="R66" s="10">
        <v>76.0</v>
      </c>
      <c r="S66" s="10">
        <v>86.0</v>
      </c>
      <c r="T66" s="10">
        <v>100.0</v>
      </c>
      <c r="U66" s="11">
        <f t="shared" si="115"/>
        <v>1.52</v>
      </c>
      <c r="V66" s="11">
        <f t="shared" ref="V66:W66" si="151">+S66/P66</f>
        <v>1.68627451</v>
      </c>
      <c r="W66" s="11">
        <f t="shared" si="151"/>
        <v>1.694915254</v>
      </c>
      <c r="X66" s="11">
        <f t="shared" si="8"/>
        <v>1.633729921</v>
      </c>
    </row>
    <row r="67" ht="15.75" customHeight="1">
      <c r="A67" s="7">
        <v>20702.0</v>
      </c>
      <c r="B67" s="8" t="s">
        <v>30</v>
      </c>
      <c r="C67" s="8" t="s">
        <v>115</v>
      </c>
      <c r="D67" s="9" t="s">
        <v>117</v>
      </c>
      <c r="E67" s="10">
        <v>9.0</v>
      </c>
      <c r="F67" s="10">
        <v>19.0</v>
      </c>
      <c r="G67" s="10">
        <v>15.0</v>
      </c>
      <c r="H67" s="10">
        <v>10.0</v>
      </c>
      <c r="I67" s="10">
        <v>19.0</v>
      </c>
      <c r="J67" s="10">
        <v>22.0</v>
      </c>
      <c r="K67" s="11">
        <f t="shared" ref="K67:M67" si="152">+H67/E67</f>
        <v>1.111111111</v>
      </c>
      <c r="L67" s="11">
        <f t="shared" si="152"/>
        <v>1</v>
      </c>
      <c r="M67" s="11">
        <f t="shared" si="152"/>
        <v>1.466666667</v>
      </c>
      <c r="N67" s="11">
        <f t="shared" si="6"/>
        <v>1.192592593</v>
      </c>
      <c r="O67" s="10">
        <v>1.0</v>
      </c>
      <c r="P67" s="10">
        <v>5.0</v>
      </c>
      <c r="Q67" s="10">
        <v>7.0</v>
      </c>
      <c r="R67" s="10">
        <v>3.0</v>
      </c>
      <c r="S67" s="10">
        <v>7.0</v>
      </c>
      <c r="T67" s="10">
        <v>10.0</v>
      </c>
      <c r="U67" s="11">
        <f t="shared" si="115"/>
        <v>3</v>
      </c>
      <c r="V67" s="11">
        <f t="shared" ref="V67:W67" si="153">+S67/P67</f>
        <v>1.4</v>
      </c>
      <c r="W67" s="11">
        <f t="shared" si="153"/>
        <v>1.428571429</v>
      </c>
      <c r="X67" s="11">
        <f t="shared" si="8"/>
        <v>1.942857143</v>
      </c>
    </row>
    <row r="68" ht="15.75" customHeight="1">
      <c r="A68" s="7">
        <v>20801.0</v>
      </c>
      <c r="B68" s="8" t="s">
        <v>30</v>
      </c>
      <c r="C68" s="8" t="s">
        <v>118</v>
      </c>
      <c r="D68" s="9" t="s">
        <v>119</v>
      </c>
      <c r="E68" s="10">
        <v>135.0</v>
      </c>
      <c r="F68" s="10">
        <v>123.0</v>
      </c>
      <c r="G68" s="10">
        <v>158.0</v>
      </c>
      <c r="H68" s="10">
        <v>213.0</v>
      </c>
      <c r="I68" s="10">
        <v>135.0</v>
      </c>
      <c r="J68" s="10">
        <v>272.0</v>
      </c>
      <c r="K68" s="11">
        <f t="shared" ref="K68:M68" si="154">+H68/E68</f>
        <v>1.577777778</v>
      </c>
      <c r="L68" s="11">
        <f t="shared" si="154"/>
        <v>1.097560976</v>
      </c>
      <c r="M68" s="11">
        <f t="shared" si="154"/>
        <v>1.721518987</v>
      </c>
      <c r="N68" s="11">
        <f t="shared" si="6"/>
        <v>1.465619247</v>
      </c>
      <c r="O68" s="10">
        <v>65.0</v>
      </c>
      <c r="P68" s="10">
        <v>74.0</v>
      </c>
      <c r="Q68" s="10">
        <v>63.0</v>
      </c>
      <c r="R68" s="10">
        <v>85.0</v>
      </c>
      <c r="S68" s="10">
        <v>109.0</v>
      </c>
      <c r="T68" s="10">
        <v>89.0</v>
      </c>
      <c r="U68" s="11">
        <f t="shared" si="115"/>
        <v>1.307692308</v>
      </c>
      <c r="V68" s="11">
        <f t="shared" ref="V68:W68" si="155">+S68/P68</f>
        <v>1.472972973</v>
      </c>
      <c r="W68" s="11">
        <f t="shared" si="155"/>
        <v>1.412698413</v>
      </c>
      <c r="X68" s="11">
        <f t="shared" si="8"/>
        <v>1.397787898</v>
      </c>
    </row>
    <row r="69" ht="15.75" customHeight="1">
      <c r="A69" s="7">
        <v>20802.0</v>
      </c>
      <c r="B69" s="8" t="s">
        <v>30</v>
      </c>
      <c r="C69" s="8" t="s">
        <v>118</v>
      </c>
      <c r="D69" s="9" t="s">
        <v>120</v>
      </c>
      <c r="E69" s="10">
        <v>29.0</v>
      </c>
      <c r="F69" s="10">
        <v>30.0</v>
      </c>
      <c r="G69" s="10">
        <v>32.0</v>
      </c>
      <c r="H69" s="10">
        <v>22.0</v>
      </c>
      <c r="I69" s="10">
        <v>19.0</v>
      </c>
      <c r="J69" s="10">
        <v>16.0</v>
      </c>
      <c r="K69" s="11">
        <f t="shared" ref="K69:M69" si="156">+H69/E69</f>
        <v>0.7586206897</v>
      </c>
      <c r="L69" s="11">
        <f t="shared" si="156"/>
        <v>0.6333333333</v>
      </c>
      <c r="M69" s="11">
        <f t="shared" si="156"/>
        <v>0.5</v>
      </c>
      <c r="N69" s="11">
        <f t="shared" si="6"/>
        <v>0.630651341</v>
      </c>
      <c r="O69" s="10">
        <v>5.0</v>
      </c>
      <c r="P69" s="10">
        <v>2.0</v>
      </c>
      <c r="Q69" s="10">
        <v>4.0</v>
      </c>
      <c r="R69" s="10">
        <v>5.0</v>
      </c>
      <c r="S69" s="10">
        <v>3.0</v>
      </c>
      <c r="T69" s="10">
        <v>8.0</v>
      </c>
      <c r="U69" s="11">
        <f t="shared" si="115"/>
        <v>1</v>
      </c>
      <c r="V69" s="11">
        <f t="shared" ref="V69:W69" si="157">+S69/P69</f>
        <v>1.5</v>
      </c>
      <c r="W69" s="11">
        <f t="shared" si="157"/>
        <v>2</v>
      </c>
      <c r="X69" s="11">
        <f t="shared" si="8"/>
        <v>1.5</v>
      </c>
    </row>
    <row r="70" ht="15.75" customHeight="1">
      <c r="A70" s="7">
        <v>20803.0</v>
      </c>
      <c r="B70" s="8" t="s">
        <v>30</v>
      </c>
      <c r="C70" s="8" t="s">
        <v>118</v>
      </c>
      <c r="D70" s="9" t="s">
        <v>121</v>
      </c>
      <c r="E70" s="10">
        <v>36.0</v>
      </c>
      <c r="F70" s="10">
        <v>36.0</v>
      </c>
      <c r="G70" s="10">
        <v>35.0</v>
      </c>
      <c r="H70" s="10">
        <v>31.0</v>
      </c>
      <c r="I70" s="10">
        <v>38.0</v>
      </c>
      <c r="J70" s="10">
        <v>43.0</v>
      </c>
      <c r="K70" s="11">
        <f t="shared" ref="K70:M70" si="158">+H70/E70</f>
        <v>0.8611111111</v>
      </c>
      <c r="L70" s="11">
        <f t="shared" si="158"/>
        <v>1.055555556</v>
      </c>
      <c r="M70" s="11">
        <f t="shared" si="158"/>
        <v>1.228571429</v>
      </c>
      <c r="N70" s="11">
        <f t="shared" si="6"/>
        <v>1.048412698</v>
      </c>
      <c r="O70" s="10">
        <v>18.0</v>
      </c>
      <c r="P70" s="10">
        <v>9.0</v>
      </c>
      <c r="Q70" s="10">
        <v>6.0</v>
      </c>
      <c r="R70" s="10">
        <v>14.0</v>
      </c>
      <c r="S70" s="10">
        <v>9.0</v>
      </c>
      <c r="T70" s="10">
        <v>4.0</v>
      </c>
      <c r="U70" s="11">
        <f t="shared" si="115"/>
        <v>0.7777777778</v>
      </c>
      <c r="V70" s="11">
        <f t="shared" ref="V70:W70" si="159">+S70/P70</f>
        <v>1</v>
      </c>
      <c r="W70" s="11">
        <f t="shared" si="159"/>
        <v>0.6666666667</v>
      </c>
      <c r="X70" s="11">
        <f t="shared" si="8"/>
        <v>0.8148148148</v>
      </c>
    </row>
    <row r="71" ht="15.75" customHeight="1">
      <c r="A71" s="7">
        <v>20804.0</v>
      </c>
      <c r="B71" s="8" t="s">
        <v>30</v>
      </c>
      <c r="C71" s="8" t="s">
        <v>118</v>
      </c>
      <c r="D71" s="9" t="s">
        <v>122</v>
      </c>
      <c r="E71" s="10">
        <v>4.0</v>
      </c>
      <c r="F71" s="10">
        <v>7.0</v>
      </c>
      <c r="G71" s="10">
        <v>12.0</v>
      </c>
      <c r="H71" s="10">
        <v>12.0</v>
      </c>
      <c r="I71" s="10">
        <v>14.0</v>
      </c>
      <c r="J71" s="10">
        <v>19.0</v>
      </c>
      <c r="K71" s="11">
        <f t="shared" ref="K71:M71" si="160">+H71/E71</f>
        <v>3</v>
      </c>
      <c r="L71" s="11">
        <f t="shared" si="160"/>
        <v>2</v>
      </c>
      <c r="M71" s="11">
        <f t="shared" si="160"/>
        <v>1.583333333</v>
      </c>
      <c r="N71" s="11">
        <f t="shared" si="6"/>
        <v>2.194444444</v>
      </c>
      <c r="O71" s="10">
        <v>5.0</v>
      </c>
      <c r="P71" s="10">
        <v>4.0</v>
      </c>
      <c r="Q71" s="10">
        <v>4.0</v>
      </c>
      <c r="R71" s="10">
        <v>4.0</v>
      </c>
      <c r="S71" s="10">
        <v>2.0</v>
      </c>
      <c r="T71" s="10">
        <v>8.0</v>
      </c>
      <c r="U71" s="11">
        <f t="shared" si="115"/>
        <v>0.8</v>
      </c>
      <c r="V71" s="11">
        <f t="shared" ref="V71:W71" si="161">+S71/P71</f>
        <v>0.5</v>
      </c>
      <c r="W71" s="11">
        <f t="shared" si="161"/>
        <v>2</v>
      </c>
      <c r="X71" s="11">
        <f t="shared" si="8"/>
        <v>1.1</v>
      </c>
    </row>
    <row r="72" ht="15.75" customHeight="1">
      <c r="A72" s="7">
        <v>20805.0</v>
      </c>
      <c r="B72" s="8" t="s">
        <v>30</v>
      </c>
      <c r="C72" s="8" t="s">
        <v>118</v>
      </c>
      <c r="D72" s="9" t="s">
        <v>123</v>
      </c>
      <c r="E72" s="10">
        <v>18.0</v>
      </c>
      <c r="F72" s="10">
        <v>7.0</v>
      </c>
      <c r="G72" s="10">
        <v>21.0</v>
      </c>
      <c r="H72" s="10">
        <v>26.0</v>
      </c>
      <c r="I72" s="10">
        <v>16.0</v>
      </c>
      <c r="J72" s="10">
        <v>20.0</v>
      </c>
      <c r="K72" s="11">
        <f t="shared" ref="K72:M72" si="162">+H72/E72</f>
        <v>1.444444444</v>
      </c>
      <c r="L72" s="11">
        <f t="shared" si="162"/>
        <v>2.285714286</v>
      </c>
      <c r="M72" s="11">
        <f t="shared" si="162"/>
        <v>0.9523809524</v>
      </c>
      <c r="N72" s="11">
        <f t="shared" si="6"/>
        <v>1.560846561</v>
      </c>
      <c r="O72" s="10">
        <v>3.0</v>
      </c>
      <c r="P72" s="10">
        <v>3.0</v>
      </c>
      <c r="Q72" s="10">
        <v>9.0</v>
      </c>
      <c r="R72" s="10">
        <v>7.0</v>
      </c>
      <c r="S72" s="10">
        <v>11.0</v>
      </c>
      <c r="T72" s="10">
        <v>5.0</v>
      </c>
      <c r="U72" s="11">
        <f t="shared" si="115"/>
        <v>2.333333333</v>
      </c>
      <c r="V72" s="11">
        <f t="shared" ref="V72:W72" si="163">+S72/P72</f>
        <v>3.666666667</v>
      </c>
      <c r="W72" s="11">
        <f t="shared" si="163"/>
        <v>0.5555555556</v>
      </c>
      <c r="X72" s="11">
        <f t="shared" si="8"/>
        <v>2.185185185</v>
      </c>
    </row>
    <row r="73" ht="15.75" customHeight="1">
      <c r="A73" s="7">
        <v>20806.0</v>
      </c>
      <c r="B73" s="8" t="s">
        <v>30</v>
      </c>
      <c r="C73" s="8" t="s">
        <v>118</v>
      </c>
      <c r="D73" s="9" t="s">
        <v>124</v>
      </c>
      <c r="E73" s="10">
        <v>37.0</v>
      </c>
      <c r="F73" s="10">
        <v>48.0</v>
      </c>
      <c r="G73" s="10">
        <v>43.0</v>
      </c>
      <c r="H73" s="10">
        <v>20.0</v>
      </c>
      <c r="I73" s="10">
        <v>30.0</v>
      </c>
      <c r="J73" s="10">
        <v>46.0</v>
      </c>
      <c r="K73" s="11">
        <f t="shared" ref="K73:M73" si="164">+H73/E73</f>
        <v>0.5405405405</v>
      </c>
      <c r="L73" s="11">
        <f t="shared" si="164"/>
        <v>0.625</v>
      </c>
      <c r="M73" s="11">
        <f t="shared" si="164"/>
        <v>1.069767442</v>
      </c>
      <c r="N73" s="11">
        <f t="shared" si="6"/>
        <v>0.7451026608</v>
      </c>
      <c r="O73" s="10">
        <v>16.0</v>
      </c>
      <c r="P73" s="10">
        <v>15.0</v>
      </c>
      <c r="Q73" s="10">
        <v>12.0</v>
      </c>
      <c r="R73" s="10">
        <v>13.0</v>
      </c>
      <c r="S73" s="10">
        <v>18.0</v>
      </c>
      <c r="T73" s="10">
        <v>18.0</v>
      </c>
      <c r="U73" s="11">
        <f t="shared" si="115"/>
        <v>0.8125</v>
      </c>
      <c r="V73" s="11">
        <f t="shared" ref="V73:W73" si="165">+S73/P73</f>
        <v>1.2</v>
      </c>
      <c r="W73" s="11">
        <f t="shared" si="165"/>
        <v>1.5</v>
      </c>
      <c r="X73" s="11">
        <f t="shared" si="8"/>
        <v>1.170833333</v>
      </c>
    </row>
    <row r="74" ht="15.75" customHeight="1">
      <c r="A74" s="7">
        <v>20807.0</v>
      </c>
      <c r="B74" s="8" t="s">
        <v>30</v>
      </c>
      <c r="C74" s="8" t="s">
        <v>118</v>
      </c>
      <c r="D74" s="9" t="s">
        <v>125</v>
      </c>
      <c r="E74" s="10">
        <v>25.0</v>
      </c>
      <c r="F74" s="10">
        <v>21.0</v>
      </c>
      <c r="G74" s="10">
        <v>7.0</v>
      </c>
      <c r="H74" s="10">
        <v>17.0</v>
      </c>
      <c r="I74" s="10">
        <v>20.0</v>
      </c>
      <c r="J74" s="10">
        <v>7.0</v>
      </c>
      <c r="K74" s="11">
        <f t="shared" ref="K74:M74" si="166">+H74/E74</f>
        <v>0.68</v>
      </c>
      <c r="L74" s="11">
        <f t="shared" si="166"/>
        <v>0.9523809524</v>
      </c>
      <c r="M74" s="11">
        <f t="shared" si="166"/>
        <v>1</v>
      </c>
      <c r="N74" s="11">
        <f t="shared" si="6"/>
        <v>0.8774603175</v>
      </c>
      <c r="O74" s="10">
        <v>6.0</v>
      </c>
      <c r="P74" s="10">
        <v>4.0</v>
      </c>
      <c r="Q74" s="10">
        <v>1.0</v>
      </c>
      <c r="R74" s="10">
        <v>3.0</v>
      </c>
      <c r="S74" s="10">
        <v>7.0</v>
      </c>
      <c r="T74" s="10">
        <v>6.0</v>
      </c>
      <c r="U74" s="11">
        <f t="shared" si="115"/>
        <v>0.5</v>
      </c>
      <c r="V74" s="11">
        <f t="shared" ref="V74:W74" si="167">+S74/P74</f>
        <v>1.75</v>
      </c>
      <c r="W74" s="11">
        <f t="shared" si="167"/>
        <v>6</v>
      </c>
      <c r="X74" s="11">
        <f t="shared" si="8"/>
        <v>2.75</v>
      </c>
    </row>
    <row r="75" ht="15.75" customHeight="1">
      <c r="A75" s="7">
        <v>20901.0</v>
      </c>
      <c r="B75" s="8" t="s">
        <v>30</v>
      </c>
      <c r="C75" s="8" t="s">
        <v>126</v>
      </c>
      <c r="D75" s="9" t="s">
        <v>127</v>
      </c>
      <c r="E75" s="10">
        <v>28.0</v>
      </c>
      <c r="F75" s="10">
        <v>31.0</v>
      </c>
      <c r="G75" s="10">
        <v>37.0</v>
      </c>
      <c r="H75" s="10">
        <v>31.0</v>
      </c>
      <c r="I75" s="10">
        <v>65.0</v>
      </c>
      <c r="J75" s="10">
        <v>53.0</v>
      </c>
      <c r="K75" s="11">
        <f t="shared" ref="K75:M75" si="168">+H75/E75</f>
        <v>1.107142857</v>
      </c>
      <c r="L75" s="11">
        <f t="shared" si="168"/>
        <v>2.096774194</v>
      </c>
      <c r="M75" s="11">
        <f t="shared" si="168"/>
        <v>1.432432432</v>
      </c>
      <c r="N75" s="11">
        <f t="shared" si="6"/>
        <v>1.545449828</v>
      </c>
      <c r="O75" s="10">
        <v>10.0</v>
      </c>
      <c r="P75" s="10">
        <v>16.0</v>
      </c>
      <c r="Q75" s="10">
        <v>12.0</v>
      </c>
      <c r="R75" s="10">
        <v>17.0</v>
      </c>
      <c r="S75" s="10">
        <v>15.0</v>
      </c>
      <c r="T75" s="10">
        <v>17.0</v>
      </c>
      <c r="U75" s="11">
        <f t="shared" si="115"/>
        <v>1.7</v>
      </c>
      <c r="V75" s="11">
        <f t="shared" ref="V75:W75" si="169">+S75/P75</f>
        <v>0.9375</v>
      </c>
      <c r="W75" s="11">
        <f t="shared" si="169"/>
        <v>1.416666667</v>
      </c>
      <c r="X75" s="11">
        <f t="shared" si="8"/>
        <v>1.351388889</v>
      </c>
    </row>
    <row r="76" ht="15.75" customHeight="1">
      <c r="A76" s="7">
        <v>20902.0</v>
      </c>
      <c r="B76" s="8" t="s">
        <v>30</v>
      </c>
      <c r="C76" s="8" t="s">
        <v>126</v>
      </c>
      <c r="D76" s="9" t="s">
        <v>128</v>
      </c>
      <c r="E76" s="10">
        <v>34.0</v>
      </c>
      <c r="F76" s="10">
        <v>36.0</v>
      </c>
      <c r="G76" s="10">
        <v>24.0</v>
      </c>
      <c r="H76" s="10">
        <v>50.0</v>
      </c>
      <c r="I76" s="10">
        <v>42.0</v>
      </c>
      <c r="J76" s="10">
        <v>32.0</v>
      </c>
      <c r="K76" s="11">
        <f t="shared" ref="K76:M76" si="170">+H76/E76</f>
        <v>1.470588235</v>
      </c>
      <c r="L76" s="11">
        <f t="shared" si="170"/>
        <v>1.166666667</v>
      </c>
      <c r="M76" s="11">
        <f t="shared" si="170"/>
        <v>1.333333333</v>
      </c>
      <c r="N76" s="11">
        <f t="shared" si="6"/>
        <v>1.323529412</v>
      </c>
      <c r="O76" s="10">
        <v>17.0</v>
      </c>
      <c r="P76" s="10">
        <v>13.0</v>
      </c>
      <c r="Q76" s="10">
        <v>14.0</v>
      </c>
      <c r="R76" s="10">
        <v>7.0</v>
      </c>
      <c r="S76" s="10">
        <v>13.0</v>
      </c>
      <c r="T76" s="10">
        <v>29.0</v>
      </c>
      <c r="U76" s="11">
        <f t="shared" si="115"/>
        <v>0.4117647059</v>
      </c>
      <c r="V76" s="11">
        <f t="shared" ref="V76:W76" si="171">+S76/P76</f>
        <v>1</v>
      </c>
      <c r="W76" s="11">
        <f t="shared" si="171"/>
        <v>2.071428571</v>
      </c>
      <c r="X76" s="11">
        <f t="shared" si="8"/>
        <v>1.161064426</v>
      </c>
    </row>
    <row r="77" ht="15.75" customHeight="1">
      <c r="A77" s="7">
        <v>20903.0</v>
      </c>
      <c r="B77" s="8" t="s">
        <v>30</v>
      </c>
      <c r="C77" s="8" t="s">
        <v>126</v>
      </c>
      <c r="D77" s="9" t="s">
        <v>129</v>
      </c>
      <c r="E77" s="10">
        <v>32.0</v>
      </c>
      <c r="F77" s="10">
        <v>19.0</v>
      </c>
      <c r="G77" s="10">
        <v>30.0</v>
      </c>
      <c r="H77" s="10">
        <v>35.0</v>
      </c>
      <c r="I77" s="10">
        <v>18.0</v>
      </c>
      <c r="J77" s="10">
        <v>37.0</v>
      </c>
      <c r="K77" s="11">
        <f t="shared" ref="K77:M77" si="172">+H77/E77</f>
        <v>1.09375</v>
      </c>
      <c r="L77" s="11">
        <f t="shared" si="172"/>
        <v>0.9473684211</v>
      </c>
      <c r="M77" s="11">
        <f t="shared" si="172"/>
        <v>1.233333333</v>
      </c>
      <c r="N77" s="11">
        <f t="shared" si="6"/>
        <v>1.091483918</v>
      </c>
      <c r="O77" s="10">
        <v>10.0</v>
      </c>
      <c r="P77" s="10">
        <v>13.0</v>
      </c>
      <c r="Q77" s="10">
        <v>7.0</v>
      </c>
      <c r="R77" s="10">
        <v>5.0</v>
      </c>
      <c r="S77" s="10">
        <v>7.0</v>
      </c>
      <c r="T77" s="10">
        <v>9.0</v>
      </c>
      <c r="U77" s="11">
        <f t="shared" si="115"/>
        <v>0.5</v>
      </c>
      <c r="V77" s="11">
        <f t="shared" ref="V77:W77" si="173">+S77/P77</f>
        <v>0.5384615385</v>
      </c>
      <c r="W77" s="11">
        <f t="shared" si="173"/>
        <v>1.285714286</v>
      </c>
      <c r="X77" s="11">
        <f t="shared" si="8"/>
        <v>0.7747252747</v>
      </c>
    </row>
    <row r="78" ht="15.75" customHeight="1">
      <c r="A78" s="7">
        <v>20904.0</v>
      </c>
      <c r="B78" s="8" t="s">
        <v>30</v>
      </c>
      <c r="C78" s="8" t="s">
        <v>126</v>
      </c>
      <c r="D78" s="9" t="s">
        <v>130</v>
      </c>
      <c r="E78" s="10">
        <v>5.0</v>
      </c>
      <c r="F78" s="10">
        <v>1.0</v>
      </c>
      <c r="G78" s="10">
        <v>4.0</v>
      </c>
      <c r="H78" s="10">
        <v>7.0</v>
      </c>
      <c r="I78" s="10">
        <v>4.0</v>
      </c>
      <c r="J78" s="10">
        <v>4.0</v>
      </c>
      <c r="K78" s="11">
        <f t="shared" ref="K78:M78" si="174">+H78/E78</f>
        <v>1.4</v>
      </c>
      <c r="L78" s="11">
        <f t="shared" si="174"/>
        <v>4</v>
      </c>
      <c r="M78" s="11">
        <f t="shared" si="174"/>
        <v>1</v>
      </c>
      <c r="N78" s="11">
        <f t="shared" si="6"/>
        <v>2.133333333</v>
      </c>
      <c r="O78" s="10">
        <v>1.0</v>
      </c>
      <c r="P78" s="10">
        <v>0.0</v>
      </c>
      <c r="Q78" s="10">
        <v>0.0</v>
      </c>
      <c r="R78" s="10">
        <v>1.0</v>
      </c>
      <c r="S78" s="10">
        <v>1.0</v>
      </c>
      <c r="T78" s="10">
        <v>2.0</v>
      </c>
      <c r="U78" s="11">
        <f t="shared" si="115"/>
        <v>1</v>
      </c>
      <c r="V78" s="11"/>
      <c r="W78" s="11"/>
      <c r="X78" s="11">
        <f t="shared" si="8"/>
        <v>1</v>
      </c>
    </row>
    <row r="79" ht="15.75" customHeight="1">
      <c r="A79" s="7">
        <v>20905.0</v>
      </c>
      <c r="B79" s="8" t="s">
        <v>30</v>
      </c>
      <c r="C79" s="8" t="s">
        <v>126</v>
      </c>
      <c r="D79" s="9" t="s">
        <v>131</v>
      </c>
      <c r="E79" s="10">
        <v>51.0</v>
      </c>
      <c r="F79" s="10">
        <v>33.0</v>
      </c>
      <c r="G79" s="10">
        <v>42.0</v>
      </c>
      <c r="H79" s="10">
        <v>46.0</v>
      </c>
      <c r="I79" s="10">
        <v>45.0</v>
      </c>
      <c r="J79" s="10">
        <v>32.0</v>
      </c>
      <c r="K79" s="11">
        <f t="shared" ref="K79:M79" si="175">+H79/E79</f>
        <v>0.9019607843</v>
      </c>
      <c r="L79" s="11">
        <f t="shared" si="175"/>
        <v>1.363636364</v>
      </c>
      <c r="M79" s="11">
        <f t="shared" si="175"/>
        <v>0.7619047619</v>
      </c>
      <c r="N79" s="11">
        <f t="shared" si="6"/>
        <v>1.009167303</v>
      </c>
      <c r="O79" s="10">
        <v>20.0</v>
      </c>
      <c r="P79" s="10">
        <v>26.0</v>
      </c>
      <c r="Q79" s="10">
        <v>29.0</v>
      </c>
      <c r="R79" s="10">
        <v>21.0</v>
      </c>
      <c r="S79" s="10">
        <v>32.0</v>
      </c>
      <c r="T79" s="10">
        <v>14.0</v>
      </c>
      <c r="U79" s="11">
        <f t="shared" si="115"/>
        <v>1.05</v>
      </c>
      <c r="V79" s="11">
        <f t="shared" ref="V79:W79" si="176">+S79/P79</f>
        <v>1.230769231</v>
      </c>
      <c r="W79" s="11">
        <f t="shared" si="176"/>
        <v>0.4827586207</v>
      </c>
      <c r="X79" s="11">
        <f t="shared" si="8"/>
        <v>0.9211759505</v>
      </c>
    </row>
    <row r="80" ht="15.75" customHeight="1">
      <c r="A80" s="7">
        <v>21001.0</v>
      </c>
      <c r="B80" s="8" t="s">
        <v>30</v>
      </c>
      <c r="C80" s="8" t="s">
        <v>132</v>
      </c>
      <c r="D80" s="9" t="s">
        <v>132</v>
      </c>
      <c r="E80" s="10">
        <v>52.0</v>
      </c>
      <c r="F80" s="10">
        <v>52.0</v>
      </c>
      <c r="G80" s="10">
        <v>73.0</v>
      </c>
      <c r="H80" s="10">
        <v>77.0</v>
      </c>
      <c r="I80" s="10">
        <v>59.0</v>
      </c>
      <c r="J80" s="10">
        <v>73.0</v>
      </c>
      <c r="K80" s="11">
        <f t="shared" ref="K80:M80" si="177">+H80/E80</f>
        <v>1.480769231</v>
      </c>
      <c r="L80" s="11">
        <f t="shared" si="177"/>
        <v>1.134615385</v>
      </c>
      <c r="M80" s="11">
        <f t="shared" si="177"/>
        <v>1</v>
      </c>
      <c r="N80" s="11">
        <f t="shared" si="6"/>
        <v>1.205128205</v>
      </c>
      <c r="O80" s="10">
        <v>24.0</v>
      </c>
      <c r="P80" s="10">
        <v>36.0</v>
      </c>
      <c r="Q80" s="10">
        <v>20.0</v>
      </c>
      <c r="R80" s="10">
        <v>26.0</v>
      </c>
      <c r="S80" s="10">
        <v>28.0</v>
      </c>
      <c r="T80" s="10">
        <v>24.0</v>
      </c>
      <c r="U80" s="11">
        <f t="shared" si="115"/>
        <v>1.083333333</v>
      </c>
      <c r="V80" s="11">
        <f t="shared" ref="V80:W80" si="178">+S80/P80</f>
        <v>0.7777777778</v>
      </c>
      <c r="W80" s="11">
        <f t="shared" si="178"/>
        <v>1.2</v>
      </c>
      <c r="X80" s="11">
        <f t="shared" si="8"/>
        <v>1.02037037</v>
      </c>
    </row>
    <row r="81" ht="15.75" customHeight="1">
      <c r="A81" s="7">
        <v>21002.0</v>
      </c>
      <c r="B81" s="8" t="s">
        <v>30</v>
      </c>
      <c r="C81" s="8" t="s">
        <v>132</v>
      </c>
      <c r="D81" s="9" t="s">
        <v>133</v>
      </c>
      <c r="E81" s="10">
        <v>15.0</v>
      </c>
      <c r="F81" s="10">
        <v>12.0</v>
      </c>
      <c r="G81" s="10">
        <v>14.0</v>
      </c>
      <c r="H81" s="10">
        <v>27.0</v>
      </c>
      <c r="I81" s="10">
        <v>17.0</v>
      </c>
      <c r="J81" s="10">
        <v>32.0</v>
      </c>
      <c r="K81" s="11">
        <f t="shared" ref="K81:M81" si="179">+H81/E81</f>
        <v>1.8</v>
      </c>
      <c r="L81" s="11">
        <f t="shared" si="179"/>
        <v>1.416666667</v>
      </c>
      <c r="M81" s="11">
        <f t="shared" si="179"/>
        <v>2.285714286</v>
      </c>
      <c r="N81" s="11">
        <f t="shared" si="6"/>
        <v>1.834126984</v>
      </c>
      <c r="O81" s="10">
        <v>4.0</v>
      </c>
      <c r="P81" s="10">
        <v>5.0</v>
      </c>
      <c r="Q81" s="10">
        <v>8.0</v>
      </c>
      <c r="R81" s="10">
        <v>8.0</v>
      </c>
      <c r="S81" s="10">
        <v>7.0</v>
      </c>
      <c r="T81" s="10">
        <v>19.0</v>
      </c>
      <c r="U81" s="11">
        <f t="shared" si="115"/>
        <v>2</v>
      </c>
      <c r="V81" s="11">
        <f t="shared" ref="V81:W81" si="180">+S81/P81</f>
        <v>1.4</v>
      </c>
      <c r="W81" s="11">
        <f t="shared" si="180"/>
        <v>2.375</v>
      </c>
      <c r="X81" s="11">
        <f t="shared" si="8"/>
        <v>1.925</v>
      </c>
    </row>
    <row r="82" ht="15.75" customHeight="1">
      <c r="A82" s="7">
        <v>21003.0</v>
      </c>
      <c r="B82" s="8" t="s">
        <v>30</v>
      </c>
      <c r="C82" s="8" t="s">
        <v>132</v>
      </c>
      <c r="D82" s="9" t="s">
        <v>134</v>
      </c>
      <c r="E82" s="10">
        <v>24.0</v>
      </c>
      <c r="F82" s="10">
        <v>23.0</v>
      </c>
      <c r="G82" s="10">
        <v>49.0</v>
      </c>
      <c r="H82" s="10">
        <v>50.0</v>
      </c>
      <c r="I82" s="10">
        <v>53.0</v>
      </c>
      <c r="J82" s="10">
        <v>93.0</v>
      </c>
      <c r="K82" s="11">
        <f t="shared" ref="K82:M82" si="181">+H82/E82</f>
        <v>2.083333333</v>
      </c>
      <c r="L82" s="11">
        <f t="shared" si="181"/>
        <v>2.304347826</v>
      </c>
      <c r="M82" s="11">
        <f t="shared" si="181"/>
        <v>1.897959184</v>
      </c>
      <c r="N82" s="11">
        <f t="shared" si="6"/>
        <v>2.095213448</v>
      </c>
      <c r="O82" s="10">
        <v>35.0</v>
      </c>
      <c r="P82" s="10">
        <v>22.0</v>
      </c>
      <c r="Q82" s="10">
        <v>19.0</v>
      </c>
      <c r="R82" s="10">
        <v>46.0</v>
      </c>
      <c r="S82" s="10">
        <v>44.0</v>
      </c>
      <c r="T82" s="10">
        <v>64.0</v>
      </c>
      <c r="U82" s="11">
        <f t="shared" si="115"/>
        <v>1.314285714</v>
      </c>
      <c r="V82" s="11">
        <f t="shared" ref="V82:W82" si="182">+S82/P82</f>
        <v>2</v>
      </c>
      <c r="W82" s="11">
        <f t="shared" si="182"/>
        <v>3.368421053</v>
      </c>
      <c r="X82" s="11">
        <f t="shared" si="8"/>
        <v>2.227568922</v>
      </c>
    </row>
    <row r="83" ht="15.75" customHeight="1">
      <c r="A83" s="7">
        <v>21004.0</v>
      </c>
      <c r="B83" s="8" t="s">
        <v>30</v>
      </c>
      <c r="C83" s="8" t="s">
        <v>132</v>
      </c>
      <c r="D83" s="9" t="s">
        <v>135</v>
      </c>
      <c r="E83" s="10">
        <v>71.0</v>
      </c>
      <c r="F83" s="10">
        <v>74.0</v>
      </c>
      <c r="G83" s="10">
        <v>81.0</v>
      </c>
      <c r="H83" s="10">
        <v>98.0</v>
      </c>
      <c r="I83" s="10">
        <v>81.0</v>
      </c>
      <c r="J83" s="10">
        <v>69.0</v>
      </c>
      <c r="K83" s="11">
        <f t="shared" ref="K83:M83" si="183">+H83/E83</f>
        <v>1.38028169</v>
      </c>
      <c r="L83" s="11">
        <f t="shared" si="183"/>
        <v>1.094594595</v>
      </c>
      <c r="M83" s="11">
        <f t="shared" si="183"/>
        <v>0.8518518519</v>
      </c>
      <c r="N83" s="11">
        <f t="shared" si="6"/>
        <v>1.108909379</v>
      </c>
      <c r="O83" s="10">
        <v>27.0</v>
      </c>
      <c r="P83" s="10">
        <v>30.0</v>
      </c>
      <c r="Q83" s="10">
        <v>29.0</v>
      </c>
      <c r="R83" s="10">
        <v>22.0</v>
      </c>
      <c r="S83" s="10">
        <v>53.0</v>
      </c>
      <c r="T83" s="10">
        <v>34.0</v>
      </c>
      <c r="U83" s="11">
        <f t="shared" si="115"/>
        <v>0.8148148148</v>
      </c>
      <c r="V83" s="11">
        <f t="shared" ref="V83:W83" si="184">+S83/P83</f>
        <v>1.766666667</v>
      </c>
      <c r="W83" s="11">
        <f t="shared" si="184"/>
        <v>1.172413793</v>
      </c>
      <c r="X83" s="11">
        <f t="shared" si="8"/>
        <v>1.251298425</v>
      </c>
    </row>
    <row r="84" ht="15.75" customHeight="1">
      <c r="A84" s="7">
        <v>21005.0</v>
      </c>
      <c r="B84" s="8" t="s">
        <v>30</v>
      </c>
      <c r="C84" s="8" t="s">
        <v>132</v>
      </c>
      <c r="D84" s="9" t="s">
        <v>136</v>
      </c>
      <c r="E84" s="10">
        <v>16.0</v>
      </c>
      <c r="F84" s="10">
        <v>24.0</v>
      </c>
      <c r="G84" s="10">
        <v>24.0</v>
      </c>
      <c r="H84" s="10">
        <v>17.0</v>
      </c>
      <c r="I84" s="10">
        <v>25.0</v>
      </c>
      <c r="J84" s="10">
        <v>43.0</v>
      </c>
      <c r="K84" s="11">
        <f t="shared" ref="K84:M84" si="185">+H84/E84</f>
        <v>1.0625</v>
      </c>
      <c r="L84" s="11">
        <f t="shared" si="185"/>
        <v>1.041666667</v>
      </c>
      <c r="M84" s="11">
        <f t="shared" si="185"/>
        <v>1.791666667</v>
      </c>
      <c r="N84" s="11">
        <f t="shared" si="6"/>
        <v>1.298611111</v>
      </c>
      <c r="O84" s="10">
        <v>12.0</v>
      </c>
      <c r="P84" s="10">
        <v>16.0</v>
      </c>
      <c r="Q84" s="10">
        <v>3.0</v>
      </c>
      <c r="R84" s="10">
        <v>10.0</v>
      </c>
      <c r="S84" s="10">
        <v>11.0</v>
      </c>
      <c r="T84" s="10">
        <v>5.0</v>
      </c>
      <c r="U84" s="11">
        <f t="shared" si="115"/>
        <v>0.8333333333</v>
      </c>
      <c r="V84" s="11">
        <f t="shared" ref="V84:W84" si="186">+S84/P84</f>
        <v>0.6875</v>
      </c>
      <c r="W84" s="11">
        <f t="shared" si="186"/>
        <v>1.666666667</v>
      </c>
      <c r="X84" s="11">
        <f t="shared" si="8"/>
        <v>1.0625</v>
      </c>
    </row>
    <row r="85" ht="15.75" customHeight="1">
      <c r="A85" s="7">
        <v>21006.0</v>
      </c>
      <c r="B85" s="8" t="s">
        <v>30</v>
      </c>
      <c r="C85" s="8" t="s">
        <v>132</v>
      </c>
      <c r="D85" s="9" t="s">
        <v>137</v>
      </c>
      <c r="E85" s="10">
        <v>8.0</v>
      </c>
      <c r="F85" s="10">
        <v>5.0</v>
      </c>
      <c r="G85" s="10">
        <v>15.0</v>
      </c>
      <c r="H85" s="10">
        <v>11.0</v>
      </c>
      <c r="I85" s="10">
        <v>19.0</v>
      </c>
      <c r="J85" s="10">
        <v>16.0</v>
      </c>
      <c r="K85" s="11">
        <f t="shared" ref="K85:M85" si="187">+H85/E85</f>
        <v>1.375</v>
      </c>
      <c r="L85" s="11">
        <f t="shared" si="187"/>
        <v>3.8</v>
      </c>
      <c r="M85" s="11">
        <f t="shared" si="187"/>
        <v>1.066666667</v>
      </c>
      <c r="N85" s="11">
        <f t="shared" si="6"/>
        <v>2.080555556</v>
      </c>
      <c r="O85" s="10">
        <v>5.0</v>
      </c>
      <c r="P85" s="10">
        <v>1.0</v>
      </c>
      <c r="Q85" s="10">
        <v>2.0</v>
      </c>
      <c r="R85" s="10">
        <v>13.0</v>
      </c>
      <c r="S85" s="10">
        <v>2.0</v>
      </c>
      <c r="T85" s="10">
        <v>10.0</v>
      </c>
      <c r="U85" s="11">
        <f t="shared" si="115"/>
        <v>2.6</v>
      </c>
      <c r="V85" s="11">
        <f t="shared" ref="V85:W85" si="188">+S85/P85</f>
        <v>2</v>
      </c>
      <c r="W85" s="11">
        <f t="shared" si="188"/>
        <v>5</v>
      </c>
      <c r="X85" s="11">
        <f t="shared" si="8"/>
        <v>3.2</v>
      </c>
    </row>
    <row r="86" ht="15.75" customHeight="1">
      <c r="A86" s="7">
        <v>21101.0</v>
      </c>
      <c r="B86" s="8" t="s">
        <v>30</v>
      </c>
      <c r="C86" s="8" t="s">
        <v>138</v>
      </c>
      <c r="D86" s="9" t="s">
        <v>139</v>
      </c>
      <c r="E86" s="10">
        <v>41.0</v>
      </c>
      <c r="F86" s="10">
        <v>56.0</v>
      </c>
      <c r="G86" s="10">
        <v>71.0</v>
      </c>
      <c r="H86" s="10">
        <v>91.0</v>
      </c>
      <c r="I86" s="10">
        <v>90.0</v>
      </c>
      <c r="J86" s="10">
        <v>97.0</v>
      </c>
      <c r="K86" s="11">
        <f t="shared" ref="K86:M86" si="189">+H86/E86</f>
        <v>2.219512195</v>
      </c>
      <c r="L86" s="11">
        <f t="shared" si="189"/>
        <v>1.607142857</v>
      </c>
      <c r="M86" s="11">
        <f t="shared" si="189"/>
        <v>1.366197183</v>
      </c>
      <c r="N86" s="11">
        <f t="shared" si="6"/>
        <v>1.730950745</v>
      </c>
      <c r="O86" s="10">
        <v>23.0</v>
      </c>
      <c r="P86" s="10">
        <v>19.0</v>
      </c>
      <c r="Q86" s="10">
        <v>23.0</v>
      </c>
      <c r="R86" s="10">
        <v>41.0</v>
      </c>
      <c r="S86" s="10">
        <v>32.0</v>
      </c>
      <c r="T86" s="10">
        <v>43.0</v>
      </c>
      <c r="U86" s="11">
        <f t="shared" si="115"/>
        <v>1.782608696</v>
      </c>
      <c r="V86" s="11">
        <f t="shared" ref="V86:W86" si="190">+S86/P86</f>
        <v>1.684210526</v>
      </c>
      <c r="W86" s="11">
        <f t="shared" si="190"/>
        <v>1.869565217</v>
      </c>
      <c r="X86" s="11">
        <f t="shared" si="8"/>
        <v>1.778794813</v>
      </c>
    </row>
    <row r="87" ht="15.75" customHeight="1">
      <c r="A87" s="7">
        <v>21102.0</v>
      </c>
      <c r="B87" s="8" t="s">
        <v>30</v>
      </c>
      <c r="C87" s="8" t="s">
        <v>138</v>
      </c>
      <c r="D87" s="9" t="s">
        <v>140</v>
      </c>
      <c r="E87" s="10">
        <v>37.0</v>
      </c>
      <c r="F87" s="10">
        <v>44.0</v>
      </c>
      <c r="G87" s="10">
        <v>66.0</v>
      </c>
      <c r="H87" s="10">
        <v>45.0</v>
      </c>
      <c r="I87" s="10">
        <v>68.0</v>
      </c>
      <c r="J87" s="10">
        <v>76.0</v>
      </c>
      <c r="K87" s="11">
        <f t="shared" ref="K87:M87" si="191">+H87/E87</f>
        <v>1.216216216</v>
      </c>
      <c r="L87" s="11">
        <f t="shared" si="191"/>
        <v>1.545454545</v>
      </c>
      <c r="M87" s="11">
        <f t="shared" si="191"/>
        <v>1.151515152</v>
      </c>
      <c r="N87" s="11">
        <f t="shared" si="6"/>
        <v>1.304395304</v>
      </c>
      <c r="O87" s="10">
        <v>20.0</v>
      </c>
      <c r="P87" s="10">
        <v>33.0</v>
      </c>
      <c r="Q87" s="10">
        <v>25.0</v>
      </c>
      <c r="R87" s="10">
        <v>40.0</v>
      </c>
      <c r="S87" s="10">
        <v>44.0</v>
      </c>
      <c r="T87" s="10">
        <v>39.0</v>
      </c>
      <c r="U87" s="11">
        <f t="shared" si="115"/>
        <v>2</v>
      </c>
      <c r="V87" s="11">
        <f t="shared" ref="V87:W87" si="192">+S87/P87</f>
        <v>1.333333333</v>
      </c>
      <c r="W87" s="11">
        <f t="shared" si="192"/>
        <v>1.56</v>
      </c>
      <c r="X87" s="11">
        <f t="shared" si="8"/>
        <v>1.631111111</v>
      </c>
    </row>
    <row r="88" ht="15.75" customHeight="1">
      <c r="A88" s="7">
        <v>21103.0</v>
      </c>
      <c r="B88" s="8" t="s">
        <v>30</v>
      </c>
      <c r="C88" s="8" t="s">
        <v>138</v>
      </c>
      <c r="D88" s="9" t="s">
        <v>141</v>
      </c>
      <c r="E88" s="10">
        <v>11.0</v>
      </c>
      <c r="F88" s="10">
        <v>8.0</v>
      </c>
      <c r="G88" s="10">
        <v>11.0</v>
      </c>
      <c r="H88" s="10">
        <v>12.0</v>
      </c>
      <c r="I88" s="10">
        <v>12.0</v>
      </c>
      <c r="J88" s="10">
        <v>19.0</v>
      </c>
      <c r="K88" s="11">
        <f t="shared" ref="K88:M88" si="193">+H88/E88</f>
        <v>1.090909091</v>
      </c>
      <c r="L88" s="11">
        <f t="shared" si="193"/>
        <v>1.5</v>
      </c>
      <c r="M88" s="11">
        <f t="shared" si="193"/>
        <v>1.727272727</v>
      </c>
      <c r="N88" s="11">
        <f t="shared" si="6"/>
        <v>1.439393939</v>
      </c>
      <c r="O88" s="10">
        <v>8.0</v>
      </c>
      <c r="P88" s="10">
        <v>4.0</v>
      </c>
      <c r="Q88" s="10">
        <v>3.0</v>
      </c>
      <c r="R88" s="10">
        <v>6.0</v>
      </c>
      <c r="S88" s="10">
        <v>11.0</v>
      </c>
      <c r="T88" s="10">
        <v>7.0</v>
      </c>
      <c r="U88" s="11">
        <f t="shared" si="115"/>
        <v>0.75</v>
      </c>
      <c r="V88" s="11">
        <f t="shared" ref="V88:W88" si="194">+S88/P88</f>
        <v>2.75</v>
      </c>
      <c r="W88" s="11">
        <f t="shared" si="194"/>
        <v>2.333333333</v>
      </c>
      <c r="X88" s="11">
        <f t="shared" si="8"/>
        <v>1.944444444</v>
      </c>
    </row>
    <row r="89" ht="15.75" customHeight="1">
      <c r="A89" s="7">
        <v>21104.0</v>
      </c>
      <c r="B89" s="8" t="s">
        <v>30</v>
      </c>
      <c r="C89" s="8" t="s">
        <v>138</v>
      </c>
      <c r="D89" s="9" t="s">
        <v>142</v>
      </c>
      <c r="E89" s="10">
        <v>126.0</v>
      </c>
      <c r="F89" s="10">
        <v>107.0</v>
      </c>
      <c r="G89" s="10">
        <v>90.0</v>
      </c>
      <c r="H89" s="10">
        <v>163.0</v>
      </c>
      <c r="I89" s="10">
        <v>136.0</v>
      </c>
      <c r="J89" s="10">
        <v>137.0</v>
      </c>
      <c r="K89" s="11">
        <f t="shared" ref="K89:M89" si="195">+H89/E89</f>
        <v>1.293650794</v>
      </c>
      <c r="L89" s="11">
        <f t="shared" si="195"/>
        <v>1.271028037</v>
      </c>
      <c r="M89" s="11">
        <f t="shared" si="195"/>
        <v>1.522222222</v>
      </c>
      <c r="N89" s="11">
        <f t="shared" si="6"/>
        <v>1.362300351</v>
      </c>
      <c r="O89" s="10">
        <v>54.0</v>
      </c>
      <c r="P89" s="10">
        <v>50.0</v>
      </c>
      <c r="Q89" s="10">
        <v>54.0</v>
      </c>
      <c r="R89" s="10">
        <v>88.0</v>
      </c>
      <c r="S89" s="10">
        <v>94.0</v>
      </c>
      <c r="T89" s="10">
        <v>107.0</v>
      </c>
      <c r="U89" s="11">
        <f t="shared" si="115"/>
        <v>1.62962963</v>
      </c>
      <c r="V89" s="11">
        <f t="shared" ref="V89:W89" si="196">+S89/P89</f>
        <v>1.88</v>
      </c>
      <c r="W89" s="11">
        <f t="shared" si="196"/>
        <v>1.981481481</v>
      </c>
      <c r="X89" s="11">
        <f t="shared" si="8"/>
        <v>1.83037037</v>
      </c>
    </row>
    <row r="90" ht="15.75" customHeight="1">
      <c r="A90" s="7">
        <v>21105.0</v>
      </c>
      <c r="B90" s="8" t="s">
        <v>30</v>
      </c>
      <c r="C90" s="8" t="s">
        <v>138</v>
      </c>
      <c r="D90" s="9" t="s">
        <v>143</v>
      </c>
      <c r="E90" s="10">
        <v>105.0</v>
      </c>
      <c r="F90" s="10">
        <v>193.0</v>
      </c>
      <c r="G90" s="10">
        <v>130.0</v>
      </c>
      <c r="H90" s="10">
        <v>180.0</v>
      </c>
      <c r="I90" s="10">
        <v>208.0</v>
      </c>
      <c r="J90" s="10">
        <v>196.0</v>
      </c>
      <c r="K90" s="11">
        <f t="shared" ref="K90:M90" si="197">+H90/E90</f>
        <v>1.714285714</v>
      </c>
      <c r="L90" s="11">
        <f t="shared" si="197"/>
        <v>1.077720207</v>
      </c>
      <c r="M90" s="11">
        <f t="shared" si="197"/>
        <v>1.507692308</v>
      </c>
      <c r="N90" s="11">
        <f t="shared" si="6"/>
        <v>1.433232743</v>
      </c>
      <c r="O90" s="10">
        <v>71.0</v>
      </c>
      <c r="P90" s="10">
        <v>91.0</v>
      </c>
      <c r="Q90" s="10">
        <v>105.0</v>
      </c>
      <c r="R90" s="10">
        <v>134.0</v>
      </c>
      <c r="S90" s="10">
        <v>168.0</v>
      </c>
      <c r="T90" s="10">
        <v>219.0</v>
      </c>
      <c r="U90" s="11">
        <f t="shared" si="115"/>
        <v>1.887323944</v>
      </c>
      <c r="V90" s="11">
        <f t="shared" ref="V90:W90" si="198">+S90/P90</f>
        <v>1.846153846</v>
      </c>
      <c r="W90" s="11">
        <f t="shared" si="198"/>
        <v>2.085714286</v>
      </c>
      <c r="X90" s="11">
        <f t="shared" si="8"/>
        <v>1.939730692</v>
      </c>
    </row>
    <row r="91" ht="15.75" customHeight="1">
      <c r="A91" s="7">
        <v>21201.0</v>
      </c>
      <c r="B91" s="8" t="s">
        <v>30</v>
      </c>
      <c r="C91" s="8" t="s">
        <v>144</v>
      </c>
      <c r="D91" s="9" t="s">
        <v>145</v>
      </c>
      <c r="E91" s="10">
        <v>108.0</v>
      </c>
      <c r="F91" s="10">
        <v>124.0</v>
      </c>
      <c r="G91" s="10">
        <v>122.0</v>
      </c>
      <c r="H91" s="10">
        <v>121.0</v>
      </c>
      <c r="I91" s="10">
        <v>78.0</v>
      </c>
      <c r="J91" s="10">
        <v>96.0</v>
      </c>
      <c r="K91" s="11">
        <f t="shared" ref="K91:M91" si="199">+H91/E91</f>
        <v>1.12037037</v>
      </c>
      <c r="L91" s="11">
        <f t="shared" si="199"/>
        <v>0.6290322581</v>
      </c>
      <c r="M91" s="11">
        <f t="shared" si="199"/>
        <v>0.7868852459</v>
      </c>
      <c r="N91" s="11">
        <f t="shared" si="6"/>
        <v>0.8454292914</v>
      </c>
      <c r="O91" s="10">
        <v>37.0</v>
      </c>
      <c r="P91" s="10">
        <v>28.0</v>
      </c>
      <c r="Q91" s="10">
        <v>36.0</v>
      </c>
      <c r="R91" s="10">
        <v>33.0</v>
      </c>
      <c r="S91" s="10">
        <v>38.0</v>
      </c>
      <c r="T91" s="10">
        <v>61.0</v>
      </c>
      <c r="U91" s="11">
        <f t="shared" si="115"/>
        <v>0.8918918919</v>
      </c>
      <c r="V91" s="11">
        <f t="shared" ref="V91:W91" si="200">+S91/P91</f>
        <v>1.357142857</v>
      </c>
      <c r="W91" s="11">
        <f t="shared" si="200"/>
        <v>1.694444444</v>
      </c>
      <c r="X91" s="11">
        <f t="shared" si="8"/>
        <v>1.314493064</v>
      </c>
    </row>
    <row r="92" ht="15.75" customHeight="1">
      <c r="A92" s="7">
        <v>21202.0</v>
      </c>
      <c r="B92" s="8" t="s">
        <v>30</v>
      </c>
      <c r="C92" s="8" t="s">
        <v>144</v>
      </c>
      <c r="D92" s="9" t="s">
        <v>146</v>
      </c>
      <c r="E92" s="10">
        <v>43.0</v>
      </c>
      <c r="F92" s="10">
        <v>62.0</v>
      </c>
      <c r="G92" s="10">
        <v>30.0</v>
      </c>
      <c r="H92" s="10">
        <v>31.0</v>
      </c>
      <c r="I92" s="10">
        <v>72.0</v>
      </c>
      <c r="J92" s="10">
        <v>45.0</v>
      </c>
      <c r="K92" s="11">
        <f t="shared" ref="K92:M92" si="201">+H92/E92</f>
        <v>0.7209302326</v>
      </c>
      <c r="L92" s="11">
        <f t="shared" si="201"/>
        <v>1.161290323</v>
      </c>
      <c r="M92" s="11">
        <f t="shared" si="201"/>
        <v>1.5</v>
      </c>
      <c r="N92" s="11">
        <f t="shared" si="6"/>
        <v>1.127406852</v>
      </c>
      <c r="O92" s="10">
        <v>34.0</v>
      </c>
      <c r="P92" s="10">
        <v>20.0</v>
      </c>
      <c r="Q92" s="10">
        <v>25.0</v>
      </c>
      <c r="R92" s="10">
        <v>26.0</v>
      </c>
      <c r="S92" s="10">
        <v>22.0</v>
      </c>
      <c r="T92" s="10">
        <v>33.0</v>
      </c>
      <c r="U92" s="11">
        <f t="shared" si="115"/>
        <v>0.7647058824</v>
      </c>
      <c r="V92" s="11">
        <f t="shared" ref="V92:W92" si="202">+S92/P92</f>
        <v>1.1</v>
      </c>
      <c r="W92" s="11">
        <f t="shared" si="202"/>
        <v>1.32</v>
      </c>
      <c r="X92" s="11">
        <f t="shared" si="8"/>
        <v>1.061568627</v>
      </c>
    </row>
    <row r="93" ht="15.75" customHeight="1">
      <c r="A93" s="7">
        <v>21203.0</v>
      </c>
      <c r="B93" s="8" t="s">
        <v>30</v>
      </c>
      <c r="C93" s="8" t="s">
        <v>144</v>
      </c>
      <c r="D93" s="9" t="s">
        <v>147</v>
      </c>
      <c r="E93" s="10">
        <v>79.0</v>
      </c>
      <c r="F93" s="10">
        <v>72.0</v>
      </c>
      <c r="G93" s="10">
        <v>80.0</v>
      </c>
      <c r="H93" s="10">
        <v>58.0</v>
      </c>
      <c r="I93" s="10">
        <v>69.0</v>
      </c>
      <c r="J93" s="10">
        <v>68.0</v>
      </c>
      <c r="K93" s="11">
        <f t="shared" ref="K93:M93" si="203">+H93/E93</f>
        <v>0.7341772152</v>
      </c>
      <c r="L93" s="11">
        <f t="shared" si="203"/>
        <v>0.9583333333</v>
      </c>
      <c r="M93" s="11">
        <f t="shared" si="203"/>
        <v>0.85</v>
      </c>
      <c r="N93" s="11">
        <f t="shared" si="6"/>
        <v>0.8475035162</v>
      </c>
      <c r="O93" s="10">
        <v>14.0</v>
      </c>
      <c r="P93" s="10">
        <v>22.0</v>
      </c>
      <c r="Q93" s="10">
        <v>24.0</v>
      </c>
      <c r="R93" s="10">
        <v>22.0</v>
      </c>
      <c r="S93" s="10">
        <v>17.0</v>
      </c>
      <c r="T93" s="10">
        <v>22.0</v>
      </c>
      <c r="U93" s="11">
        <f t="shared" si="115"/>
        <v>1.571428571</v>
      </c>
      <c r="V93" s="11">
        <f t="shared" ref="V93:W93" si="204">+S93/P93</f>
        <v>0.7727272727</v>
      </c>
      <c r="W93" s="11">
        <f t="shared" si="204"/>
        <v>0.9166666667</v>
      </c>
      <c r="X93" s="11">
        <f t="shared" si="8"/>
        <v>1.086940837</v>
      </c>
    </row>
    <row r="94" ht="15.75" customHeight="1">
      <c r="A94" s="7">
        <v>21204.0</v>
      </c>
      <c r="B94" s="8" t="s">
        <v>30</v>
      </c>
      <c r="C94" s="8" t="s">
        <v>144</v>
      </c>
      <c r="D94" s="9" t="s">
        <v>148</v>
      </c>
      <c r="E94" s="10">
        <v>22.0</v>
      </c>
      <c r="F94" s="10">
        <v>21.0</v>
      </c>
      <c r="G94" s="10">
        <v>21.0</v>
      </c>
      <c r="H94" s="10">
        <v>15.0</v>
      </c>
      <c r="I94" s="10">
        <v>16.0</v>
      </c>
      <c r="J94" s="10">
        <v>9.0</v>
      </c>
      <c r="K94" s="11">
        <f t="shared" ref="K94:M94" si="205">+H94/E94</f>
        <v>0.6818181818</v>
      </c>
      <c r="L94" s="11">
        <f t="shared" si="205"/>
        <v>0.7619047619</v>
      </c>
      <c r="M94" s="11">
        <f t="shared" si="205"/>
        <v>0.4285714286</v>
      </c>
      <c r="N94" s="11">
        <f t="shared" si="6"/>
        <v>0.6240981241</v>
      </c>
      <c r="O94" s="10">
        <v>3.0</v>
      </c>
      <c r="P94" s="10">
        <v>6.0</v>
      </c>
      <c r="Q94" s="10">
        <v>4.0</v>
      </c>
      <c r="R94" s="10">
        <v>3.0</v>
      </c>
      <c r="S94" s="10">
        <v>4.0</v>
      </c>
      <c r="T94" s="10">
        <v>7.0</v>
      </c>
      <c r="U94" s="11">
        <f t="shared" si="115"/>
        <v>1</v>
      </c>
      <c r="V94" s="11">
        <f t="shared" ref="V94:W94" si="206">+S94/P94</f>
        <v>0.6666666667</v>
      </c>
      <c r="W94" s="11">
        <f t="shared" si="206"/>
        <v>1.75</v>
      </c>
      <c r="X94" s="11">
        <f t="shared" si="8"/>
        <v>1.138888889</v>
      </c>
    </row>
    <row r="95" ht="15.75" customHeight="1">
      <c r="A95" s="7">
        <v>21301.0</v>
      </c>
      <c r="B95" s="8" t="s">
        <v>30</v>
      </c>
      <c r="C95" s="8" t="s">
        <v>149</v>
      </c>
      <c r="D95" s="9" t="s">
        <v>150</v>
      </c>
      <c r="E95" s="10">
        <v>53.0</v>
      </c>
      <c r="F95" s="10">
        <v>62.0</v>
      </c>
      <c r="G95" s="10">
        <v>70.0</v>
      </c>
      <c r="H95" s="10">
        <v>64.0</v>
      </c>
      <c r="I95" s="10">
        <v>83.0</v>
      </c>
      <c r="J95" s="10">
        <v>87.0</v>
      </c>
      <c r="K95" s="11">
        <f t="shared" ref="K95:M95" si="207">+H95/E95</f>
        <v>1.20754717</v>
      </c>
      <c r="L95" s="11">
        <f t="shared" si="207"/>
        <v>1.338709677</v>
      </c>
      <c r="M95" s="11">
        <f t="shared" si="207"/>
        <v>1.242857143</v>
      </c>
      <c r="N95" s="11">
        <f t="shared" si="6"/>
        <v>1.263037997</v>
      </c>
      <c r="O95" s="10">
        <v>16.0</v>
      </c>
      <c r="P95" s="10">
        <v>22.0</v>
      </c>
      <c r="Q95" s="10">
        <v>17.0</v>
      </c>
      <c r="R95" s="10">
        <v>31.0</v>
      </c>
      <c r="S95" s="10">
        <v>20.0</v>
      </c>
      <c r="T95" s="10">
        <v>28.0</v>
      </c>
      <c r="U95" s="11">
        <f t="shared" si="115"/>
        <v>1.9375</v>
      </c>
      <c r="V95" s="11">
        <f t="shared" ref="V95:W95" si="208">+S95/P95</f>
        <v>0.9090909091</v>
      </c>
      <c r="W95" s="11">
        <f t="shared" si="208"/>
        <v>1.647058824</v>
      </c>
      <c r="X95" s="11">
        <f t="shared" si="8"/>
        <v>1.497883244</v>
      </c>
    </row>
    <row r="96" ht="15.75" customHeight="1">
      <c r="A96" s="7">
        <v>21302.0</v>
      </c>
      <c r="B96" s="8" t="s">
        <v>30</v>
      </c>
      <c r="C96" s="8" t="s">
        <v>149</v>
      </c>
      <c r="D96" s="9" t="s">
        <v>151</v>
      </c>
      <c r="E96" s="10">
        <v>45.0</v>
      </c>
      <c r="F96" s="10">
        <v>43.0</v>
      </c>
      <c r="G96" s="10">
        <v>38.0</v>
      </c>
      <c r="H96" s="10">
        <v>56.0</v>
      </c>
      <c r="I96" s="10">
        <v>48.0</v>
      </c>
      <c r="J96" s="10">
        <v>37.0</v>
      </c>
      <c r="K96" s="11">
        <f t="shared" ref="K96:M96" si="209">+H96/E96</f>
        <v>1.244444444</v>
      </c>
      <c r="L96" s="11">
        <f t="shared" si="209"/>
        <v>1.11627907</v>
      </c>
      <c r="M96" s="11">
        <f t="shared" si="209"/>
        <v>0.9736842105</v>
      </c>
      <c r="N96" s="11">
        <f t="shared" si="6"/>
        <v>1.111469242</v>
      </c>
      <c r="O96" s="10">
        <v>6.0</v>
      </c>
      <c r="P96" s="10">
        <v>16.0</v>
      </c>
      <c r="Q96" s="10">
        <v>20.0</v>
      </c>
      <c r="R96" s="10">
        <v>8.0</v>
      </c>
      <c r="S96" s="10">
        <v>13.0</v>
      </c>
      <c r="T96" s="10">
        <v>16.0</v>
      </c>
      <c r="U96" s="11">
        <f t="shared" si="115"/>
        <v>1.333333333</v>
      </c>
      <c r="V96" s="11">
        <f t="shared" ref="V96:W96" si="210">+S96/P96</f>
        <v>0.8125</v>
      </c>
      <c r="W96" s="11">
        <f t="shared" si="210"/>
        <v>0.8</v>
      </c>
      <c r="X96" s="11">
        <f t="shared" si="8"/>
        <v>0.9819444444</v>
      </c>
    </row>
    <row r="97" ht="15.75" customHeight="1">
      <c r="A97" s="7">
        <v>21303.0</v>
      </c>
      <c r="B97" s="8" t="s">
        <v>30</v>
      </c>
      <c r="C97" s="8" t="s">
        <v>149</v>
      </c>
      <c r="D97" s="9" t="s">
        <v>152</v>
      </c>
      <c r="E97" s="10">
        <v>23.0</v>
      </c>
      <c r="F97" s="10">
        <v>34.0</v>
      </c>
      <c r="G97" s="10">
        <v>35.0</v>
      </c>
      <c r="H97" s="10">
        <v>20.0</v>
      </c>
      <c r="I97" s="10">
        <v>16.0</v>
      </c>
      <c r="J97" s="10">
        <v>41.0</v>
      </c>
      <c r="K97" s="11">
        <f t="shared" ref="K97:M97" si="211">+H97/E97</f>
        <v>0.8695652174</v>
      </c>
      <c r="L97" s="11">
        <f t="shared" si="211"/>
        <v>0.4705882353</v>
      </c>
      <c r="M97" s="11">
        <f t="shared" si="211"/>
        <v>1.171428571</v>
      </c>
      <c r="N97" s="11">
        <f t="shared" si="6"/>
        <v>0.837194008</v>
      </c>
      <c r="O97" s="10">
        <v>11.0</v>
      </c>
      <c r="P97" s="10">
        <v>10.0</v>
      </c>
      <c r="Q97" s="10">
        <v>17.0</v>
      </c>
      <c r="R97" s="10">
        <v>4.0</v>
      </c>
      <c r="S97" s="10">
        <v>5.0</v>
      </c>
      <c r="T97" s="10">
        <v>12.0</v>
      </c>
      <c r="U97" s="11">
        <f t="shared" si="115"/>
        <v>0.3636363636</v>
      </c>
      <c r="V97" s="11">
        <f t="shared" ref="V97:W97" si="212">+S97/P97</f>
        <v>0.5</v>
      </c>
      <c r="W97" s="11">
        <f t="shared" si="212"/>
        <v>0.7058823529</v>
      </c>
      <c r="X97" s="11">
        <f t="shared" si="8"/>
        <v>0.5231729055</v>
      </c>
    </row>
    <row r="98" ht="15.75" customHeight="1">
      <c r="A98" s="7">
        <v>21304.0</v>
      </c>
      <c r="B98" s="8" t="s">
        <v>30</v>
      </c>
      <c r="C98" s="8" t="s">
        <v>149</v>
      </c>
      <c r="D98" s="9" t="s">
        <v>153</v>
      </c>
      <c r="E98" s="10">
        <v>61.0</v>
      </c>
      <c r="F98" s="10">
        <v>45.0</v>
      </c>
      <c r="G98" s="10">
        <v>54.0</v>
      </c>
      <c r="H98" s="10">
        <v>28.0</v>
      </c>
      <c r="I98" s="10">
        <v>47.0</v>
      </c>
      <c r="J98" s="10">
        <v>47.0</v>
      </c>
      <c r="K98" s="11">
        <f t="shared" ref="K98:M98" si="213">+H98/E98</f>
        <v>0.4590163934</v>
      </c>
      <c r="L98" s="11">
        <f t="shared" si="213"/>
        <v>1.044444444</v>
      </c>
      <c r="M98" s="11">
        <f t="shared" si="213"/>
        <v>0.8703703704</v>
      </c>
      <c r="N98" s="11">
        <f t="shared" si="6"/>
        <v>0.7912770694</v>
      </c>
      <c r="O98" s="10">
        <v>16.0</v>
      </c>
      <c r="P98" s="10">
        <v>28.0</v>
      </c>
      <c r="Q98" s="10">
        <v>44.0</v>
      </c>
      <c r="R98" s="10">
        <v>19.0</v>
      </c>
      <c r="S98" s="10">
        <v>19.0</v>
      </c>
      <c r="T98" s="10">
        <v>31.0</v>
      </c>
      <c r="U98" s="11">
        <f t="shared" si="115"/>
        <v>1.1875</v>
      </c>
      <c r="V98" s="11">
        <f t="shared" ref="V98:W98" si="214">+S98/P98</f>
        <v>0.6785714286</v>
      </c>
      <c r="W98" s="11">
        <f t="shared" si="214"/>
        <v>0.7045454545</v>
      </c>
      <c r="X98" s="11">
        <f t="shared" si="8"/>
        <v>0.8568722944</v>
      </c>
    </row>
    <row r="99" ht="15.75" customHeight="1">
      <c r="A99" s="7">
        <v>21305.0</v>
      </c>
      <c r="B99" s="8" t="s">
        <v>30</v>
      </c>
      <c r="C99" s="8" t="s">
        <v>149</v>
      </c>
      <c r="D99" s="9" t="s">
        <v>154</v>
      </c>
      <c r="E99" s="10">
        <v>99.0</v>
      </c>
      <c r="F99" s="10">
        <v>87.0</v>
      </c>
      <c r="G99" s="10">
        <v>89.0</v>
      </c>
      <c r="H99" s="10">
        <v>103.0</v>
      </c>
      <c r="I99" s="10">
        <v>101.0</v>
      </c>
      <c r="J99" s="10">
        <v>91.0</v>
      </c>
      <c r="K99" s="11">
        <f t="shared" ref="K99:M99" si="215">+H99/E99</f>
        <v>1.04040404</v>
      </c>
      <c r="L99" s="11">
        <f t="shared" si="215"/>
        <v>1.16091954</v>
      </c>
      <c r="M99" s="11">
        <f t="shared" si="215"/>
        <v>1.02247191</v>
      </c>
      <c r="N99" s="11">
        <f t="shared" si="6"/>
        <v>1.074598497</v>
      </c>
      <c r="O99" s="10">
        <v>25.0</v>
      </c>
      <c r="P99" s="10">
        <v>19.0</v>
      </c>
      <c r="Q99" s="10">
        <v>36.0</v>
      </c>
      <c r="R99" s="10">
        <v>33.0</v>
      </c>
      <c r="S99" s="10">
        <v>35.0</v>
      </c>
      <c r="T99" s="10">
        <v>42.0</v>
      </c>
      <c r="U99" s="11">
        <f t="shared" si="115"/>
        <v>1.32</v>
      </c>
      <c r="V99" s="11">
        <f t="shared" ref="V99:W99" si="216">+S99/P99</f>
        <v>1.842105263</v>
      </c>
      <c r="W99" s="11">
        <f t="shared" si="216"/>
        <v>1.166666667</v>
      </c>
      <c r="X99" s="11">
        <f t="shared" si="8"/>
        <v>1.442923977</v>
      </c>
    </row>
    <row r="100" ht="15.75" customHeight="1">
      <c r="A100" s="7">
        <v>21306.0</v>
      </c>
      <c r="B100" s="8" t="s">
        <v>30</v>
      </c>
      <c r="C100" s="8" t="s">
        <v>149</v>
      </c>
      <c r="D100" s="9" t="s">
        <v>155</v>
      </c>
      <c r="E100" s="10">
        <v>23.0</v>
      </c>
      <c r="F100" s="10">
        <v>29.0</v>
      </c>
      <c r="G100" s="10">
        <v>39.0</v>
      </c>
      <c r="H100" s="10">
        <v>16.0</v>
      </c>
      <c r="I100" s="10">
        <v>27.0</v>
      </c>
      <c r="J100" s="10">
        <v>41.0</v>
      </c>
      <c r="K100" s="11">
        <f t="shared" ref="K100:M100" si="217">+H100/E100</f>
        <v>0.6956521739</v>
      </c>
      <c r="L100" s="11">
        <f t="shared" si="217"/>
        <v>0.9310344828</v>
      </c>
      <c r="M100" s="11">
        <f t="shared" si="217"/>
        <v>1.051282051</v>
      </c>
      <c r="N100" s="11">
        <f t="shared" si="6"/>
        <v>0.892656236</v>
      </c>
      <c r="O100" s="10">
        <v>8.0</v>
      </c>
      <c r="P100" s="10">
        <v>20.0</v>
      </c>
      <c r="Q100" s="10">
        <v>12.0</v>
      </c>
      <c r="R100" s="10">
        <v>16.0</v>
      </c>
      <c r="S100" s="10">
        <v>12.0</v>
      </c>
      <c r="T100" s="10">
        <v>18.0</v>
      </c>
      <c r="U100" s="11">
        <f t="shared" si="115"/>
        <v>2</v>
      </c>
      <c r="V100" s="11">
        <f t="shared" ref="V100:W100" si="218">+S100/P100</f>
        <v>0.6</v>
      </c>
      <c r="W100" s="11">
        <f t="shared" si="218"/>
        <v>1.5</v>
      </c>
      <c r="X100" s="11">
        <f t="shared" si="8"/>
        <v>1.366666667</v>
      </c>
    </row>
    <row r="101" ht="15.75" customHeight="1">
      <c r="A101" s="7">
        <v>21307.0</v>
      </c>
      <c r="B101" s="8" t="s">
        <v>30</v>
      </c>
      <c r="C101" s="8" t="s">
        <v>149</v>
      </c>
      <c r="D101" s="9" t="s">
        <v>156</v>
      </c>
      <c r="E101" s="10">
        <v>0.0</v>
      </c>
      <c r="F101" s="10">
        <v>3.0</v>
      </c>
      <c r="G101" s="10">
        <v>5.0</v>
      </c>
      <c r="H101" s="10">
        <v>0.0</v>
      </c>
      <c r="I101" s="10">
        <v>3.0</v>
      </c>
      <c r="J101" s="10">
        <v>5.0</v>
      </c>
      <c r="K101" s="11"/>
      <c r="L101" s="11">
        <f t="shared" ref="L101:M101" si="219">+I101/F101</f>
        <v>1</v>
      </c>
      <c r="M101" s="11">
        <f t="shared" si="219"/>
        <v>1</v>
      </c>
      <c r="N101" s="11">
        <f t="shared" si="6"/>
        <v>1</v>
      </c>
      <c r="O101" s="10">
        <v>3.0</v>
      </c>
      <c r="P101" s="10">
        <v>1.0</v>
      </c>
      <c r="Q101" s="10">
        <v>1.0</v>
      </c>
      <c r="R101" s="10">
        <v>3.0</v>
      </c>
      <c r="S101" s="10">
        <v>5.0</v>
      </c>
      <c r="T101" s="10">
        <v>4.0</v>
      </c>
      <c r="U101" s="11">
        <f t="shared" si="115"/>
        <v>1</v>
      </c>
      <c r="V101" s="11">
        <f t="shared" ref="V101:W101" si="220">+S101/P101</f>
        <v>5</v>
      </c>
      <c r="W101" s="11">
        <f t="shared" si="220"/>
        <v>4</v>
      </c>
      <c r="X101" s="11">
        <f t="shared" si="8"/>
        <v>3.333333333</v>
      </c>
    </row>
    <row r="102" ht="15.75" customHeight="1">
      <c r="A102" s="7">
        <v>21401.0</v>
      </c>
      <c r="B102" s="8" t="s">
        <v>30</v>
      </c>
      <c r="C102" s="8" t="s">
        <v>157</v>
      </c>
      <c r="D102" s="9" t="s">
        <v>158</v>
      </c>
      <c r="E102" s="10">
        <v>59.0</v>
      </c>
      <c r="F102" s="10">
        <v>53.0</v>
      </c>
      <c r="G102" s="10">
        <v>62.0</v>
      </c>
      <c r="H102" s="10">
        <v>85.0</v>
      </c>
      <c r="I102" s="10">
        <v>74.0</v>
      </c>
      <c r="J102" s="10">
        <v>82.0</v>
      </c>
      <c r="K102" s="11">
        <f t="shared" ref="K102:M102" si="221">+H102/E102</f>
        <v>1.440677966</v>
      </c>
      <c r="L102" s="11">
        <f t="shared" si="221"/>
        <v>1.396226415</v>
      </c>
      <c r="M102" s="11">
        <f t="shared" si="221"/>
        <v>1.322580645</v>
      </c>
      <c r="N102" s="11">
        <f t="shared" si="6"/>
        <v>1.386495009</v>
      </c>
      <c r="O102" s="10">
        <v>15.0</v>
      </c>
      <c r="P102" s="10">
        <v>22.0</v>
      </c>
      <c r="Q102" s="10">
        <v>30.0</v>
      </c>
      <c r="R102" s="10">
        <v>31.0</v>
      </c>
      <c r="S102" s="10">
        <v>29.0</v>
      </c>
      <c r="T102" s="10">
        <v>50.0</v>
      </c>
      <c r="U102" s="11">
        <f t="shared" si="115"/>
        <v>2.066666667</v>
      </c>
      <c r="V102" s="11">
        <f t="shared" ref="V102:W102" si="222">+S102/P102</f>
        <v>1.318181818</v>
      </c>
      <c r="W102" s="11">
        <f t="shared" si="222"/>
        <v>1.666666667</v>
      </c>
      <c r="X102" s="11">
        <f t="shared" si="8"/>
        <v>1.683838384</v>
      </c>
    </row>
    <row r="103" ht="15.75" customHeight="1">
      <c r="A103" s="7">
        <v>21402.0</v>
      </c>
      <c r="B103" s="8" t="s">
        <v>30</v>
      </c>
      <c r="C103" s="8" t="s">
        <v>157</v>
      </c>
      <c r="D103" s="9" t="s">
        <v>159</v>
      </c>
      <c r="E103" s="10">
        <v>31.0</v>
      </c>
      <c r="F103" s="10">
        <v>34.0</v>
      </c>
      <c r="G103" s="10">
        <v>31.0</v>
      </c>
      <c r="H103" s="10">
        <v>48.0</v>
      </c>
      <c r="I103" s="10">
        <v>32.0</v>
      </c>
      <c r="J103" s="10">
        <v>58.0</v>
      </c>
      <c r="K103" s="11">
        <f t="shared" ref="K103:M103" si="223">+H103/E103</f>
        <v>1.548387097</v>
      </c>
      <c r="L103" s="11">
        <f t="shared" si="223"/>
        <v>0.9411764706</v>
      </c>
      <c r="M103" s="11">
        <f t="shared" si="223"/>
        <v>1.870967742</v>
      </c>
      <c r="N103" s="11">
        <f t="shared" si="6"/>
        <v>1.453510436</v>
      </c>
      <c r="O103" s="10">
        <v>16.0</v>
      </c>
      <c r="P103" s="10">
        <v>18.0</v>
      </c>
      <c r="Q103" s="10">
        <v>15.0</v>
      </c>
      <c r="R103" s="10">
        <v>26.0</v>
      </c>
      <c r="S103" s="10">
        <v>27.0</v>
      </c>
      <c r="T103" s="10">
        <v>21.0</v>
      </c>
      <c r="U103" s="11">
        <f t="shared" si="115"/>
        <v>1.625</v>
      </c>
      <c r="V103" s="11">
        <f t="shared" ref="V103:W103" si="224">+S103/P103</f>
        <v>1.5</v>
      </c>
      <c r="W103" s="11">
        <f t="shared" si="224"/>
        <v>1.4</v>
      </c>
      <c r="X103" s="11">
        <f t="shared" si="8"/>
        <v>1.508333333</v>
      </c>
    </row>
    <row r="104" ht="15.75" customHeight="1">
      <c r="A104" s="7">
        <v>21501.0</v>
      </c>
      <c r="B104" s="8" t="s">
        <v>30</v>
      </c>
      <c r="C104" s="8" t="s">
        <v>160</v>
      </c>
      <c r="D104" s="9" t="s">
        <v>161</v>
      </c>
      <c r="E104" s="10">
        <v>52.0</v>
      </c>
      <c r="F104" s="10">
        <v>46.0</v>
      </c>
      <c r="G104" s="10">
        <v>46.0</v>
      </c>
      <c r="H104" s="10">
        <v>75.0</v>
      </c>
      <c r="I104" s="10">
        <v>50.0</v>
      </c>
      <c r="J104" s="10">
        <v>76.0</v>
      </c>
      <c r="K104" s="11">
        <f t="shared" ref="K104:M104" si="225">+H104/E104</f>
        <v>1.442307692</v>
      </c>
      <c r="L104" s="11">
        <f t="shared" si="225"/>
        <v>1.086956522</v>
      </c>
      <c r="M104" s="11">
        <f t="shared" si="225"/>
        <v>1.652173913</v>
      </c>
      <c r="N104" s="11">
        <f t="shared" si="6"/>
        <v>1.393812709</v>
      </c>
      <c r="O104" s="10">
        <v>21.0</v>
      </c>
      <c r="P104" s="10">
        <v>27.0</v>
      </c>
      <c r="Q104" s="10">
        <v>38.0</v>
      </c>
      <c r="R104" s="10">
        <v>42.0</v>
      </c>
      <c r="S104" s="10">
        <v>43.0</v>
      </c>
      <c r="T104" s="10">
        <v>50.0</v>
      </c>
      <c r="U104" s="11">
        <f t="shared" si="115"/>
        <v>2</v>
      </c>
      <c r="V104" s="11">
        <f t="shared" ref="V104:W104" si="226">+S104/P104</f>
        <v>1.592592593</v>
      </c>
      <c r="W104" s="11">
        <f t="shared" si="226"/>
        <v>1.315789474</v>
      </c>
      <c r="X104" s="11">
        <f t="shared" si="8"/>
        <v>1.636127355</v>
      </c>
    </row>
    <row r="105" ht="15.75" customHeight="1">
      <c r="A105" s="7">
        <v>21502.0</v>
      </c>
      <c r="B105" s="8" t="s">
        <v>30</v>
      </c>
      <c r="C105" s="8" t="s">
        <v>160</v>
      </c>
      <c r="D105" s="9" t="s">
        <v>162</v>
      </c>
      <c r="E105" s="10">
        <v>38.0</v>
      </c>
      <c r="F105" s="10">
        <v>24.0</v>
      </c>
      <c r="G105" s="10">
        <v>20.0</v>
      </c>
      <c r="H105" s="10">
        <v>51.0</v>
      </c>
      <c r="I105" s="10">
        <v>41.0</v>
      </c>
      <c r="J105" s="10">
        <v>59.0</v>
      </c>
      <c r="K105" s="11">
        <f t="shared" ref="K105:M105" si="227">+H105/E105</f>
        <v>1.342105263</v>
      </c>
      <c r="L105" s="11">
        <f t="shared" si="227"/>
        <v>1.708333333</v>
      </c>
      <c r="M105" s="11">
        <f t="shared" si="227"/>
        <v>2.95</v>
      </c>
      <c r="N105" s="11">
        <f t="shared" si="6"/>
        <v>2.000146199</v>
      </c>
      <c r="O105" s="10">
        <v>31.0</v>
      </c>
      <c r="P105" s="10">
        <v>14.0</v>
      </c>
      <c r="Q105" s="10">
        <v>18.0</v>
      </c>
      <c r="R105" s="10">
        <v>23.0</v>
      </c>
      <c r="S105" s="10">
        <v>13.0</v>
      </c>
      <c r="T105" s="10">
        <v>27.0</v>
      </c>
      <c r="U105" s="11">
        <f t="shared" si="115"/>
        <v>0.7419354839</v>
      </c>
      <c r="V105" s="11">
        <f t="shared" ref="V105:W105" si="228">+S105/P105</f>
        <v>0.9285714286</v>
      </c>
      <c r="W105" s="11">
        <f t="shared" si="228"/>
        <v>1.5</v>
      </c>
      <c r="X105" s="11">
        <f t="shared" si="8"/>
        <v>1.056835637</v>
      </c>
    </row>
    <row r="106" ht="15.75" customHeight="1">
      <c r="A106" s="7">
        <v>21601.0</v>
      </c>
      <c r="B106" s="8" t="s">
        <v>30</v>
      </c>
      <c r="C106" s="8" t="s">
        <v>163</v>
      </c>
      <c r="D106" s="9" t="s">
        <v>164</v>
      </c>
      <c r="E106" s="10">
        <v>49.0</v>
      </c>
      <c r="F106" s="10">
        <v>34.0</v>
      </c>
      <c r="G106" s="10">
        <v>47.0</v>
      </c>
      <c r="H106" s="10">
        <v>42.0</v>
      </c>
      <c r="I106" s="10">
        <v>23.0</v>
      </c>
      <c r="J106" s="10">
        <v>37.0</v>
      </c>
      <c r="K106" s="11">
        <f t="shared" ref="K106:M106" si="229">+H106/E106</f>
        <v>0.8571428571</v>
      </c>
      <c r="L106" s="11">
        <f t="shared" si="229"/>
        <v>0.6764705882</v>
      </c>
      <c r="M106" s="11">
        <f t="shared" si="229"/>
        <v>0.7872340426</v>
      </c>
      <c r="N106" s="11">
        <f t="shared" si="6"/>
        <v>0.7736158293</v>
      </c>
      <c r="O106" s="10">
        <v>18.0</v>
      </c>
      <c r="P106" s="10">
        <v>16.0</v>
      </c>
      <c r="Q106" s="10">
        <v>16.0</v>
      </c>
      <c r="R106" s="10">
        <v>17.0</v>
      </c>
      <c r="S106" s="10">
        <v>11.0</v>
      </c>
      <c r="T106" s="10">
        <v>23.0</v>
      </c>
      <c r="U106" s="11">
        <f t="shared" si="115"/>
        <v>0.9444444444</v>
      </c>
      <c r="V106" s="11">
        <f t="shared" ref="V106:W106" si="230">+S106/P106</f>
        <v>0.6875</v>
      </c>
      <c r="W106" s="11">
        <f t="shared" si="230"/>
        <v>1.4375</v>
      </c>
      <c r="X106" s="11">
        <f t="shared" si="8"/>
        <v>1.023148148</v>
      </c>
    </row>
    <row r="107" ht="15.75" customHeight="1">
      <c r="A107" s="7">
        <v>21602.0</v>
      </c>
      <c r="B107" s="8" t="s">
        <v>30</v>
      </c>
      <c r="C107" s="8" t="s">
        <v>163</v>
      </c>
      <c r="D107" s="9" t="s">
        <v>165</v>
      </c>
      <c r="E107" s="10">
        <v>2.0</v>
      </c>
      <c r="F107" s="10">
        <v>5.0</v>
      </c>
      <c r="G107" s="10">
        <v>2.0</v>
      </c>
      <c r="H107" s="10">
        <v>2.0</v>
      </c>
      <c r="I107" s="10">
        <v>4.0</v>
      </c>
      <c r="J107" s="10">
        <v>5.0</v>
      </c>
      <c r="K107" s="11">
        <f t="shared" ref="K107:M107" si="231">+H107/E107</f>
        <v>1</v>
      </c>
      <c r="L107" s="11">
        <f t="shared" si="231"/>
        <v>0.8</v>
      </c>
      <c r="M107" s="11">
        <f t="shared" si="231"/>
        <v>2.5</v>
      </c>
      <c r="N107" s="11">
        <f t="shared" si="6"/>
        <v>1.433333333</v>
      </c>
      <c r="O107" s="10">
        <v>2.0</v>
      </c>
      <c r="P107" s="10">
        <v>1.0</v>
      </c>
      <c r="Q107" s="10">
        <v>2.0</v>
      </c>
      <c r="R107" s="10">
        <v>3.0</v>
      </c>
      <c r="S107" s="10">
        <v>2.0</v>
      </c>
      <c r="T107" s="10">
        <v>3.0</v>
      </c>
      <c r="U107" s="11">
        <f t="shared" si="115"/>
        <v>1.5</v>
      </c>
      <c r="V107" s="11">
        <f t="shared" ref="V107:W107" si="232">+S107/P107</f>
        <v>2</v>
      </c>
      <c r="W107" s="11">
        <f t="shared" si="232"/>
        <v>1.5</v>
      </c>
      <c r="X107" s="11">
        <f t="shared" si="8"/>
        <v>1.666666667</v>
      </c>
    </row>
    <row r="108" ht="15.75" customHeight="1">
      <c r="A108" s="7">
        <v>21701.0</v>
      </c>
      <c r="B108" s="8" t="s">
        <v>30</v>
      </c>
      <c r="C108" s="8" t="s">
        <v>166</v>
      </c>
      <c r="D108" s="9" t="s">
        <v>167</v>
      </c>
      <c r="E108" s="10">
        <v>41.0</v>
      </c>
      <c r="F108" s="10">
        <v>41.0</v>
      </c>
      <c r="G108" s="10">
        <v>50.0</v>
      </c>
      <c r="H108" s="10">
        <v>41.0</v>
      </c>
      <c r="I108" s="10">
        <v>49.0</v>
      </c>
      <c r="J108" s="10">
        <v>55.0</v>
      </c>
      <c r="K108" s="11">
        <f t="shared" ref="K108:M108" si="233">+H108/E108</f>
        <v>1</v>
      </c>
      <c r="L108" s="11">
        <f t="shared" si="233"/>
        <v>1.195121951</v>
      </c>
      <c r="M108" s="11">
        <f t="shared" si="233"/>
        <v>1.1</v>
      </c>
      <c r="N108" s="11">
        <f t="shared" si="6"/>
        <v>1.098373984</v>
      </c>
      <c r="O108" s="10">
        <v>11.0</v>
      </c>
      <c r="P108" s="10">
        <v>10.0</v>
      </c>
      <c r="Q108" s="10">
        <v>14.0</v>
      </c>
      <c r="R108" s="10">
        <v>11.0</v>
      </c>
      <c r="S108" s="10">
        <v>11.0</v>
      </c>
      <c r="T108" s="10">
        <v>20.0</v>
      </c>
      <c r="U108" s="11">
        <f t="shared" si="115"/>
        <v>1</v>
      </c>
      <c r="V108" s="11">
        <f t="shared" ref="V108:W108" si="234">+S108/P108</f>
        <v>1.1</v>
      </c>
      <c r="W108" s="11">
        <f t="shared" si="234"/>
        <v>1.428571429</v>
      </c>
      <c r="X108" s="11">
        <f t="shared" si="8"/>
        <v>1.176190476</v>
      </c>
    </row>
    <row r="109" ht="15.75" customHeight="1">
      <c r="A109" s="7">
        <v>21702.0</v>
      </c>
      <c r="B109" s="8" t="s">
        <v>30</v>
      </c>
      <c r="C109" s="8" t="s">
        <v>166</v>
      </c>
      <c r="D109" s="9" t="s">
        <v>168</v>
      </c>
      <c r="E109" s="10">
        <v>10.0</v>
      </c>
      <c r="F109" s="10">
        <v>6.0</v>
      </c>
      <c r="G109" s="10">
        <v>14.0</v>
      </c>
      <c r="H109" s="10">
        <v>18.0</v>
      </c>
      <c r="I109" s="10">
        <v>12.0</v>
      </c>
      <c r="J109" s="10">
        <v>17.0</v>
      </c>
      <c r="K109" s="11">
        <f t="shared" ref="K109:M109" si="235">+H109/E109</f>
        <v>1.8</v>
      </c>
      <c r="L109" s="11">
        <f t="shared" si="235"/>
        <v>2</v>
      </c>
      <c r="M109" s="11">
        <f t="shared" si="235"/>
        <v>1.214285714</v>
      </c>
      <c r="N109" s="11">
        <f t="shared" si="6"/>
        <v>1.671428571</v>
      </c>
      <c r="O109" s="10">
        <v>0.0</v>
      </c>
      <c r="P109" s="10">
        <v>2.0</v>
      </c>
      <c r="Q109" s="10">
        <v>4.0</v>
      </c>
      <c r="R109" s="10">
        <v>4.0</v>
      </c>
      <c r="S109" s="10">
        <v>3.0</v>
      </c>
      <c r="T109" s="10">
        <v>4.0</v>
      </c>
      <c r="U109" s="11"/>
      <c r="V109" s="11">
        <f t="shared" ref="V109:W109" si="236">+S109/P109</f>
        <v>1.5</v>
      </c>
      <c r="W109" s="11">
        <f t="shared" si="236"/>
        <v>1</v>
      </c>
      <c r="X109" s="11">
        <f t="shared" si="8"/>
        <v>1.25</v>
      </c>
    </row>
    <row r="110" ht="15.75" customHeight="1">
      <c r="A110" s="7">
        <v>21703.0</v>
      </c>
      <c r="B110" s="8" t="s">
        <v>30</v>
      </c>
      <c r="C110" s="8" t="s">
        <v>166</v>
      </c>
      <c r="D110" s="9" t="s">
        <v>169</v>
      </c>
      <c r="E110" s="10">
        <v>1.0</v>
      </c>
      <c r="F110" s="10">
        <v>1.0</v>
      </c>
      <c r="G110" s="10">
        <v>1.0</v>
      </c>
      <c r="H110" s="10">
        <v>0.0</v>
      </c>
      <c r="I110" s="10">
        <v>1.0</v>
      </c>
      <c r="J110" s="10">
        <v>2.0</v>
      </c>
      <c r="K110" s="11">
        <f t="shared" ref="K110:M110" si="237">+H110/E110</f>
        <v>0</v>
      </c>
      <c r="L110" s="11">
        <f t="shared" si="237"/>
        <v>1</v>
      </c>
      <c r="M110" s="11">
        <f t="shared" si="237"/>
        <v>2</v>
      </c>
      <c r="N110" s="11">
        <f t="shared" si="6"/>
        <v>1</v>
      </c>
      <c r="O110" s="10">
        <v>0.0</v>
      </c>
      <c r="P110" s="10">
        <v>0.0</v>
      </c>
      <c r="Q110" s="10">
        <v>2.0</v>
      </c>
      <c r="R110" s="10">
        <v>2.0</v>
      </c>
      <c r="S110" s="10">
        <v>0.0</v>
      </c>
      <c r="T110" s="10">
        <v>1.0</v>
      </c>
      <c r="U110" s="11"/>
      <c r="V110" s="11"/>
      <c r="W110" s="11">
        <f>+T110/Q110</f>
        <v>0.5</v>
      </c>
      <c r="X110" s="11">
        <f t="shared" si="8"/>
        <v>0.5</v>
      </c>
    </row>
    <row r="111" ht="15.75" customHeight="1">
      <c r="A111" s="7">
        <v>21801.0</v>
      </c>
      <c r="B111" s="8" t="s">
        <v>30</v>
      </c>
      <c r="C111" s="8" t="s">
        <v>170</v>
      </c>
      <c r="D111" s="9" t="s">
        <v>171</v>
      </c>
      <c r="E111" s="10">
        <v>18.0</v>
      </c>
      <c r="F111" s="10">
        <v>16.0</v>
      </c>
      <c r="G111" s="10">
        <v>10.0</v>
      </c>
      <c r="H111" s="10">
        <v>13.0</v>
      </c>
      <c r="I111" s="10">
        <v>22.0</v>
      </c>
      <c r="J111" s="10">
        <v>17.0</v>
      </c>
      <c r="K111" s="11">
        <f t="shared" ref="K111:M111" si="238">+H111/E111</f>
        <v>0.7222222222</v>
      </c>
      <c r="L111" s="11">
        <f t="shared" si="238"/>
        <v>1.375</v>
      </c>
      <c r="M111" s="11">
        <f t="shared" si="238"/>
        <v>1.7</v>
      </c>
      <c r="N111" s="11">
        <f t="shared" si="6"/>
        <v>1.265740741</v>
      </c>
      <c r="O111" s="10">
        <v>8.0</v>
      </c>
      <c r="P111" s="10">
        <v>10.0</v>
      </c>
      <c r="Q111" s="10">
        <v>5.0</v>
      </c>
      <c r="R111" s="10">
        <v>5.0</v>
      </c>
      <c r="S111" s="10">
        <v>13.0</v>
      </c>
      <c r="T111" s="10">
        <v>8.0</v>
      </c>
      <c r="U111" s="11">
        <f t="shared" ref="U111:W111" si="239">+R111/O111</f>
        <v>0.625</v>
      </c>
      <c r="V111" s="11">
        <f t="shared" si="239"/>
        <v>1.3</v>
      </c>
      <c r="W111" s="11">
        <f t="shared" si="239"/>
        <v>1.6</v>
      </c>
      <c r="X111" s="11">
        <f t="shared" si="8"/>
        <v>1.175</v>
      </c>
    </row>
    <row r="112" ht="15.75" customHeight="1">
      <c r="A112" s="7">
        <v>21802.0</v>
      </c>
      <c r="B112" s="8" t="s">
        <v>30</v>
      </c>
      <c r="C112" s="8" t="s">
        <v>172</v>
      </c>
      <c r="D112" s="9" t="s">
        <v>173</v>
      </c>
      <c r="E112" s="10">
        <v>29.0</v>
      </c>
      <c r="F112" s="10">
        <v>13.0</v>
      </c>
      <c r="G112" s="10">
        <v>10.0</v>
      </c>
      <c r="H112" s="10">
        <v>20.0</v>
      </c>
      <c r="I112" s="10">
        <v>15.0</v>
      </c>
      <c r="J112" s="10">
        <v>13.0</v>
      </c>
      <c r="K112" s="11">
        <f t="shared" ref="K112:M112" si="240">+H112/E112</f>
        <v>0.6896551724</v>
      </c>
      <c r="L112" s="11">
        <f t="shared" si="240"/>
        <v>1.153846154</v>
      </c>
      <c r="M112" s="11">
        <f t="shared" si="240"/>
        <v>1.3</v>
      </c>
      <c r="N112" s="11">
        <f t="shared" si="6"/>
        <v>1.047833775</v>
      </c>
      <c r="O112" s="10">
        <v>3.0</v>
      </c>
      <c r="P112" s="10">
        <v>4.0</v>
      </c>
      <c r="Q112" s="10">
        <v>5.0</v>
      </c>
      <c r="R112" s="10">
        <v>1.0</v>
      </c>
      <c r="S112" s="10">
        <v>4.0</v>
      </c>
      <c r="T112" s="10">
        <v>9.0</v>
      </c>
      <c r="U112" s="11">
        <f t="shared" ref="U112:W112" si="241">+R112/O112</f>
        <v>0.3333333333</v>
      </c>
      <c r="V112" s="11">
        <f t="shared" si="241"/>
        <v>1</v>
      </c>
      <c r="W112" s="11">
        <f t="shared" si="241"/>
        <v>1.8</v>
      </c>
      <c r="X112" s="11">
        <f t="shared" si="8"/>
        <v>1.044444444</v>
      </c>
    </row>
    <row r="113" ht="15.75" customHeight="1">
      <c r="A113" s="7">
        <v>21803.0</v>
      </c>
      <c r="B113" s="8" t="s">
        <v>30</v>
      </c>
      <c r="C113" s="8" t="s">
        <v>172</v>
      </c>
      <c r="D113" s="9" t="s">
        <v>174</v>
      </c>
      <c r="E113" s="10">
        <v>4.0</v>
      </c>
      <c r="F113" s="10">
        <v>6.0</v>
      </c>
      <c r="G113" s="10">
        <v>1.0</v>
      </c>
      <c r="H113" s="10">
        <v>5.0</v>
      </c>
      <c r="I113" s="10">
        <v>1.0</v>
      </c>
      <c r="J113" s="10">
        <v>5.0</v>
      </c>
      <c r="K113" s="11">
        <f t="shared" ref="K113:M113" si="242">+H113/E113</f>
        <v>1.25</v>
      </c>
      <c r="L113" s="11">
        <f t="shared" si="242"/>
        <v>0.1666666667</v>
      </c>
      <c r="M113" s="11">
        <f t="shared" si="242"/>
        <v>5</v>
      </c>
      <c r="N113" s="11">
        <f t="shared" si="6"/>
        <v>2.138888889</v>
      </c>
      <c r="O113" s="10">
        <v>0.0</v>
      </c>
      <c r="P113" s="10">
        <v>3.0</v>
      </c>
      <c r="Q113" s="10">
        <v>1.0</v>
      </c>
      <c r="R113" s="10">
        <v>2.0</v>
      </c>
      <c r="S113" s="10">
        <v>1.0</v>
      </c>
      <c r="T113" s="10">
        <v>0.0</v>
      </c>
      <c r="U113" s="11"/>
      <c r="V113" s="11">
        <f t="shared" ref="V113:W113" si="243">+S113/P113</f>
        <v>0.3333333333</v>
      </c>
      <c r="W113" s="11">
        <f t="shared" si="243"/>
        <v>0</v>
      </c>
      <c r="X113" s="11">
        <f t="shared" si="8"/>
        <v>0.1666666667</v>
      </c>
    </row>
    <row r="114" ht="15.75" customHeight="1">
      <c r="A114" s="7">
        <v>21901.0</v>
      </c>
      <c r="B114" s="8" t="s">
        <v>30</v>
      </c>
      <c r="C114" s="8" t="s">
        <v>175</v>
      </c>
      <c r="D114" s="9" t="s">
        <v>176</v>
      </c>
      <c r="E114" s="10">
        <v>14.0</v>
      </c>
      <c r="F114" s="10">
        <v>12.0</v>
      </c>
      <c r="G114" s="10">
        <v>18.0</v>
      </c>
      <c r="H114" s="10">
        <v>12.0</v>
      </c>
      <c r="I114" s="10">
        <v>20.0</v>
      </c>
      <c r="J114" s="10">
        <v>14.0</v>
      </c>
      <c r="K114" s="11">
        <f t="shared" ref="K114:M114" si="244">+H114/E114</f>
        <v>0.8571428571</v>
      </c>
      <c r="L114" s="11">
        <f t="shared" si="244"/>
        <v>1.666666667</v>
      </c>
      <c r="M114" s="11">
        <f t="shared" si="244"/>
        <v>0.7777777778</v>
      </c>
      <c r="N114" s="11">
        <f t="shared" si="6"/>
        <v>1.100529101</v>
      </c>
      <c r="O114" s="10">
        <v>13.0</v>
      </c>
      <c r="P114" s="10">
        <v>2.0</v>
      </c>
      <c r="Q114" s="10">
        <v>4.0</v>
      </c>
      <c r="R114" s="10">
        <v>8.0</v>
      </c>
      <c r="S114" s="10">
        <v>9.0</v>
      </c>
      <c r="T114" s="10">
        <v>3.0</v>
      </c>
      <c r="U114" s="11">
        <f t="shared" ref="U114:W114" si="245">+R114/O114</f>
        <v>0.6153846154</v>
      </c>
      <c r="V114" s="11">
        <f t="shared" si="245"/>
        <v>4.5</v>
      </c>
      <c r="W114" s="11">
        <f t="shared" si="245"/>
        <v>0.75</v>
      </c>
      <c r="X114" s="11">
        <f t="shared" si="8"/>
        <v>1.955128205</v>
      </c>
    </row>
    <row r="115" ht="15.75" customHeight="1">
      <c r="A115" s="7">
        <v>21902.0</v>
      </c>
      <c r="B115" s="8" t="s">
        <v>30</v>
      </c>
      <c r="C115" s="8" t="s">
        <v>175</v>
      </c>
      <c r="D115" s="9" t="s">
        <v>177</v>
      </c>
      <c r="E115" s="10">
        <v>1.0</v>
      </c>
      <c r="F115" s="10">
        <v>2.0</v>
      </c>
      <c r="G115" s="10">
        <v>1.0</v>
      </c>
      <c r="H115" s="10">
        <v>1.0</v>
      </c>
      <c r="I115" s="10">
        <v>2.0</v>
      </c>
      <c r="J115" s="10">
        <v>5.0</v>
      </c>
      <c r="K115" s="11">
        <f t="shared" ref="K115:M115" si="246">+H115/E115</f>
        <v>1</v>
      </c>
      <c r="L115" s="11">
        <f t="shared" si="246"/>
        <v>1</v>
      </c>
      <c r="M115" s="11">
        <f t="shared" si="246"/>
        <v>5</v>
      </c>
      <c r="N115" s="11">
        <f t="shared" si="6"/>
        <v>2.333333333</v>
      </c>
      <c r="O115" s="10">
        <v>1.0</v>
      </c>
      <c r="P115" s="10">
        <v>0.0</v>
      </c>
      <c r="Q115" s="10">
        <v>0.0</v>
      </c>
      <c r="R115" s="10">
        <v>2.0</v>
      </c>
      <c r="S115" s="10">
        <v>0.0</v>
      </c>
      <c r="T115" s="10">
        <v>1.0</v>
      </c>
      <c r="U115" s="11">
        <f t="shared" ref="U115:U160" si="248">+R115/O115</f>
        <v>2</v>
      </c>
      <c r="V115" s="11"/>
      <c r="W115" s="11"/>
      <c r="X115" s="11">
        <f t="shared" si="8"/>
        <v>2</v>
      </c>
    </row>
    <row r="116" ht="15.75" customHeight="1">
      <c r="A116" s="7">
        <v>22001.0</v>
      </c>
      <c r="B116" s="8" t="s">
        <v>30</v>
      </c>
      <c r="C116" s="8" t="s">
        <v>178</v>
      </c>
      <c r="D116" s="9" t="s">
        <v>178</v>
      </c>
      <c r="E116" s="10">
        <v>250.0</v>
      </c>
      <c r="F116" s="10">
        <v>197.0</v>
      </c>
      <c r="G116" s="10">
        <v>189.0</v>
      </c>
      <c r="H116" s="10">
        <v>361.0</v>
      </c>
      <c r="I116" s="10">
        <v>242.0</v>
      </c>
      <c r="J116" s="10">
        <v>275.0</v>
      </c>
      <c r="K116" s="11">
        <f t="shared" ref="K116:M116" si="247">+H116/E116</f>
        <v>1.444</v>
      </c>
      <c r="L116" s="11">
        <f t="shared" si="247"/>
        <v>1.228426396</v>
      </c>
      <c r="M116" s="11">
        <f t="shared" si="247"/>
        <v>1.455026455</v>
      </c>
      <c r="N116" s="11">
        <f t="shared" si="6"/>
        <v>1.375817617</v>
      </c>
      <c r="O116" s="10">
        <v>89.0</v>
      </c>
      <c r="P116" s="10">
        <v>99.0</v>
      </c>
      <c r="Q116" s="10">
        <v>96.0</v>
      </c>
      <c r="R116" s="10">
        <v>113.0</v>
      </c>
      <c r="S116" s="10">
        <v>153.0</v>
      </c>
      <c r="T116" s="10">
        <v>164.0</v>
      </c>
      <c r="U116" s="11">
        <f t="shared" si="248"/>
        <v>1.269662921</v>
      </c>
      <c r="V116" s="11">
        <f t="shared" ref="V116:W116" si="249">+S116/P116</f>
        <v>1.545454545</v>
      </c>
      <c r="W116" s="11">
        <f t="shared" si="249"/>
        <v>1.708333333</v>
      </c>
      <c r="X116" s="11">
        <f t="shared" si="8"/>
        <v>1.507816933</v>
      </c>
    </row>
    <row r="117" ht="15.75" customHeight="1">
      <c r="A117" s="7">
        <v>22002.0</v>
      </c>
      <c r="B117" s="8" t="s">
        <v>30</v>
      </c>
      <c r="C117" s="8" t="s">
        <v>178</v>
      </c>
      <c r="D117" s="9" t="s">
        <v>179</v>
      </c>
      <c r="E117" s="10">
        <v>0.0</v>
      </c>
      <c r="F117" s="10">
        <v>0.0</v>
      </c>
      <c r="G117" s="10">
        <v>17.0</v>
      </c>
      <c r="H117" s="10">
        <v>0.0</v>
      </c>
      <c r="I117" s="10">
        <v>0.0</v>
      </c>
      <c r="J117" s="10">
        <v>38.0</v>
      </c>
      <c r="K117" s="11"/>
      <c r="L117" s="11"/>
      <c r="M117" s="11">
        <f>+J117/G117</f>
        <v>2.235294118</v>
      </c>
      <c r="N117" s="11">
        <f t="shared" si="6"/>
        <v>2.235294118</v>
      </c>
      <c r="O117" s="10">
        <v>12.0</v>
      </c>
      <c r="P117" s="10">
        <v>11.0</v>
      </c>
      <c r="Q117" s="10">
        <v>18.0</v>
      </c>
      <c r="R117" s="10">
        <v>27.0</v>
      </c>
      <c r="S117" s="10">
        <v>27.0</v>
      </c>
      <c r="T117" s="10">
        <v>31.0</v>
      </c>
      <c r="U117" s="11">
        <f t="shared" si="248"/>
        <v>2.25</v>
      </c>
      <c r="V117" s="11">
        <f t="shared" ref="V117:W117" si="250">+S117/P117</f>
        <v>2.454545455</v>
      </c>
      <c r="W117" s="11">
        <f t="shared" si="250"/>
        <v>1.722222222</v>
      </c>
      <c r="X117" s="11">
        <f t="shared" si="8"/>
        <v>2.142255892</v>
      </c>
    </row>
    <row r="118" ht="15.75" customHeight="1">
      <c r="A118" s="7">
        <v>30101.0</v>
      </c>
      <c r="B118" s="8" t="s">
        <v>32</v>
      </c>
      <c r="C118" s="8" t="s">
        <v>180</v>
      </c>
      <c r="D118" s="9" t="s">
        <v>32</v>
      </c>
      <c r="E118" s="10">
        <v>1425.0</v>
      </c>
      <c r="F118" s="10">
        <v>1567.0</v>
      </c>
      <c r="G118" s="10">
        <v>1573.0</v>
      </c>
      <c r="H118" s="10">
        <v>2467.0</v>
      </c>
      <c r="I118" s="10">
        <v>2631.0</v>
      </c>
      <c r="J118" s="10">
        <v>2692.0</v>
      </c>
      <c r="K118" s="11">
        <f t="shared" ref="K118:M118" si="251">+H118/E118</f>
        <v>1.73122807</v>
      </c>
      <c r="L118" s="11">
        <f t="shared" si="251"/>
        <v>1.679004467</v>
      </c>
      <c r="M118" s="11">
        <f t="shared" si="251"/>
        <v>1.71137953</v>
      </c>
      <c r="N118" s="11">
        <f t="shared" si="6"/>
        <v>1.707204022</v>
      </c>
      <c r="O118" s="10">
        <v>737.0</v>
      </c>
      <c r="P118" s="10">
        <v>576.0</v>
      </c>
      <c r="Q118" s="10">
        <v>636.0</v>
      </c>
      <c r="R118" s="10">
        <v>1115.0</v>
      </c>
      <c r="S118" s="10">
        <v>845.0</v>
      </c>
      <c r="T118" s="10">
        <v>978.0</v>
      </c>
      <c r="U118" s="11">
        <f t="shared" si="248"/>
        <v>1.512890095</v>
      </c>
      <c r="V118" s="11">
        <f t="shared" ref="V118:W118" si="252">+S118/P118</f>
        <v>1.467013889</v>
      </c>
      <c r="W118" s="11">
        <f t="shared" si="252"/>
        <v>1.537735849</v>
      </c>
      <c r="X118" s="11">
        <f t="shared" si="8"/>
        <v>1.505879944</v>
      </c>
    </row>
    <row r="119" ht="15.75" customHeight="1">
      <c r="A119" s="7">
        <v>30201.0</v>
      </c>
      <c r="B119" s="8" t="s">
        <v>32</v>
      </c>
      <c r="C119" s="8" t="s">
        <v>181</v>
      </c>
      <c r="D119" s="9" t="s">
        <v>182</v>
      </c>
      <c r="E119" s="10">
        <v>51.0</v>
      </c>
      <c r="F119" s="10">
        <v>84.0</v>
      </c>
      <c r="G119" s="10">
        <v>87.0</v>
      </c>
      <c r="H119" s="10">
        <v>77.0</v>
      </c>
      <c r="I119" s="10">
        <v>106.0</v>
      </c>
      <c r="J119" s="10">
        <v>104.0</v>
      </c>
      <c r="K119" s="11">
        <f t="shared" ref="K119:M119" si="253">+H119/E119</f>
        <v>1.509803922</v>
      </c>
      <c r="L119" s="11">
        <f t="shared" si="253"/>
        <v>1.261904762</v>
      </c>
      <c r="M119" s="11">
        <f t="shared" si="253"/>
        <v>1.195402299</v>
      </c>
      <c r="N119" s="11">
        <f t="shared" si="6"/>
        <v>1.322370327</v>
      </c>
      <c r="O119" s="10">
        <v>22.0</v>
      </c>
      <c r="P119" s="10">
        <v>31.0</v>
      </c>
      <c r="Q119" s="10">
        <v>39.0</v>
      </c>
      <c r="R119" s="10">
        <v>37.0</v>
      </c>
      <c r="S119" s="10">
        <v>44.0</v>
      </c>
      <c r="T119" s="10">
        <v>50.0</v>
      </c>
      <c r="U119" s="11">
        <f t="shared" si="248"/>
        <v>1.681818182</v>
      </c>
      <c r="V119" s="11">
        <f t="shared" ref="V119:W119" si="254">+S119/P119</f>
        <v>1.419354839</v>
      </c>
      <c r="W119" s="11">
        <f t="shared" si="254"/>
        <v>1.282051282</v>
      </c>
      <c r="X119" s="11">
        <f t="shared" si="8"/>
        <v>1.461074768</v>
      </c>
    </row>
    <row r="120" ht="15.75" customHeight="1">
      <c r="A120" s="7">
        <v>30202.0</v>
      </c>
      <c r="B120" s="8" t="s">
        <v>32</v>
      </c>
      <c r="C120" s="8" t="s">
        <v>181</v>
      </c>
      <c r="D120" s="9" t="s">
        <v>183</v>
      </c>
      <c r="E120" s="10">
        <v>10.0</v>
      </c>
      <c r="F120" s="10">
        <v>8.0</v>
      </c>
      <c r="G120" s="10">
        <v>12.0</v>
      </c>
      <c r="H120" s="10">
        <v>11.0</v>
      </c>
      <c r="I120" s="10">
        <v>13.0</v>
      </c>
      <c r="J120" s="10">
        <v>11.0</v>
      </c>
      <c r="K120" s="11">
        <f t="shared" ref="K120:M120" si="255">+H120/E120</f>
        <v>1.1</v>
      </c>
      <c r="L120" s="11">
        <f t="shared" si="255"/>
        <v>1.625</v>
      </c>
      <c r="M120" s="11">
        <f t="shared" si="255"/>
        <v>0.9166666667</v>
      </c>
      <c r="N120" s="11">
        <f t="shared" si="6"/>
        <v>1.213888889</v>
      </c>
      <c r="O120" s="10">
        <v>3.0</v>
      </c>
      <c r="P120" s="10">
        <v>0.0</v>
      </c>
      <c r="Q120" s="10">
        <v>2.0</v>
      </c>
      <c r="R120" s="10">
        <v>3.0</v>
      </c>
      <c r="S120" s="10">
        <v>5.0</v>
      </c>
      <c r="T120" s="10">
        <v>1.0</v>
      </c>
      <c r="U120" s="11">
        <f t="shared" si="248"/>
        <v>1</v>
      </c>
      <c r="V120" s="11"/>
      <c r="W120" s="11">
        <f t="shared" ref="W120:W121" si="257">+T120/Q120</f>
        <v>0.5</v>
      </c>
      <c r="X120" s="11">
        <f t="shared" si="8"/>
        <v>0.75</v>
      </c>
    </row>
    <row r="121" ht="15.75" customHeight="1">
      <c r="A121" s="7">
        <v>30203.0</v>
      </c>
      <c r="B121" s="8" t="s">
        <v>32</v>
      </c>
      <c r="C121" s="8" t="s">
        <v>181</v>
      </c>
      <c r="D121" s="9" t="s">
        <v>184</v>
      </c>
      <c r="E121" s="10">
        <v>19.0</v>
      </c>
      <c r="F121" s="10">
        <v>13.0</v>
      </c>
      <c r="G121" s="10">
        <v>18.0</v>
      </c>
      <c r="H121" s="10">
        <v>19.0</v>
      </c>
      <c r="I121" s="10">
        <v>25.0</v>
      </c>
      <c r="J121" s="10">
        <v>28.0</v>
      </c>
      <c r="K121" s="11">
        <f t="shared" ref="K121:M121" si="256">+H121/E121</f>
        <v>1</v>
      </c>
      <c r="L121" s="11">
        <f t="shared" si="256"/>
        <v>1.923076923</v>
      </c>
      <c r="M121" s="11">
        <f t="shared" si="256"/>
        <v>1.555555556</v>
      </c>
      <c r="N121" s="11">
        <f t="shared" si="6"/>
        <v>1.492877493</v>
      </c>
      <c r="O121" s="10">
        <v>9.0</v>
      </c>
      <c r="P121" s="10">
        <v>0.0</v>
      </c>
      <c r="Q121" s="10">
        <v>4.0</v>
      </c>
      <c r="R121" s="10">
        <v>10.0</v>
      </c>
      <c r="S121" s="10">
        <v>8.0</v>
      </c>
      <c r="T121" s="10">
        <v>4.0</v>
      </c>
      <c r="U121" s="11">
        <f t="shared" si="248"/>
        <v>1.111111111</v>
      </c>
      <c r="V121" s="11"/>
      <c r="W121" s="11">
        <f t="shared" si="257"/>
        <v>1</v>
      </c>
      <c r="X121" s="11">
        <f t="shared" si="8"/>
        <v>1.055555556</v>
      </c>
    </row>
    <row r="122" ht="15.75" customHeight="1">
      <c r="A122" s="7">
        <v>30301.0</v>
      </c>
      <c r="B122" s="8" t="s">
        <v>32</v>
      </c>
      <c r="C122" s="8" t="s">
        <v>185</v>
      </c>
      <c r="D122" s="9" t="s">
        <v>186</v>
      </c>
      <c r="E122" s="10">
        <v>131.0</v>
      </c>
      <c r="F122" s="10">
        <v>148.0</v>
      </c>
      <c r="G122" s="10">
        <v>110.0</v>
      </c>
      <c r="H122" s="10">
        <v>183.0</v>
      </c>
      <c r="I122" s="10">
        <v>141.0</v>
      </c>
      <c r="J122" s="10">
        <v>156.0</v>
      </c>
      <c r="K122" s="11">
        <f t="shared" ref="K122:M122" si="258">+H122/E122</f>
        <v>1.396946565</v>
      </c>
      <c r="L122" s="11">
        <f t="shared" si="258"/>
        <v>0.9527027027</v>
      </c>
      <c r="M122" s="11">
        <f t="shared" si="258"/>
        <v>1.418181818</v>
      </c>
      <c r="N122" s="11">
        <f t="shared" si="6"/>
        <v>1.255943695</v>
      </c>
      <c r="O122" s="10">
        <v>38.0</v>
      </c>
      <c r="P122" s="10">
        <v>40.0</v>
      </c>
      <c r="Q122" s="10">
        <v>40.0</v>
      </c>
      <c r="R122" s="10">
        <v>40.0</v>
      </c>
      <c r="S122" s="10">
        <v>35.0</v>
      </c>
      <c r="T122" s="10">
        <v>61.0</v>
      </c>
      <c r="U122" s="11">
        <f t="shared" si="248"/>
        <v>1.052631579</v>
      </c>
      <c r="V122" s="11">
        <f t="shared" ref="V122:W122" si="259">+S122/P122</f>
        <v>0.875</v>
      </c>
      <c r="W122" s="11">
        <f t="shared" si="259"/>
        <v>1.525</v>
      </c>
      <c r="X122" s="11">
        <f t="shared" si="8"/>
        <v>1.150877193</v>
      </c>
    </row>
    <row r="123" ht="15.75" customHeight="1">
      <c r="A123" s="7">
        <v>30302.0</v>
      </c>
      <c r="B123" s="8" t="s">
        <v>32</v>
      </c>
      <c r="C123" s="8" t="s">
        <v>185</v>
      </c>
      <c r="D123" s="9" t="s">
        <v>187</v>
      </c>
      <c r="E123" s="10">
        <v>94.0</v>
      </c>
      <c r="F123" s="10">
        <v>88.0</v>
      </c>
      <c r="G123" s="10">
        <v>52.0</v>
      </c>
      <c r="H123" s="10">
        <v>111.0</v>
      </c>
      <c r="I123" s="10">
        <v>104.0</v>
      </c>
      <c r="J123" s="10">
        <v>43.0</v>
      </c>
      <c r="K123" s="11">
        <f t="shared" ref="K123:M123" si="260">+H123/E123</f>
        <v>1.180851064</v>
      </c>
      <c r="L123" s="11">
        <f t="shared" si="260"/>
        <v>1.181818182</v>
      </c>
      <c r="M123" s="11">
        <f t="shared" si="260"/>
        <v>0.8269230769</v>
      </c>
      <c r="N123" s="11">
        <f t="shared" si="6"/>
        <v>1.063197441</v>
      </c>
      <c r="O123" s="10">
        <v>16.0</v>
      </c>
      <c r="P123" s="10">
        <v>14.0</v>
      </c>
      <c r="Q123" s="10">
        <v>14.0</v>
      </c>
      <c r="R123" s="10">
        <v>22.0</v>
      </c>
      <c r="S123" s="10">
        <v>22.0</v>
      </c>
      <c r="T123" s="10">
        <v>16.0</v>
      </c>
      <c r="U123" s="11">
        <f t="shared" si="248"/>
        <v>1.375</v>
      </c>
      <c r="V123" s="11">
        <f t="shared" ref="V123:W123" si="261">+S123/P123</f>
        <v>1.571428571</v>
      </c>
      <c r="W123" s="11">
        <f t="shared" si="261"/>
        <v>1.142857143</v>
      </c>
      <c r="X123" s="11">
        <f t="shared" si="8"/>
        <v>1.363095238</v>
      </c>
    </row>
    <row r="124" ht="15.75" customHeight="1">
      <c r="A124" s="7">
        <v>30303.0</v>
      </c>
      <c r="B124" s="8" t="s">
        <v>32</v>
      </c>
      <c r="C124" s="8" t="s">
        <v>185</v>
      </c>
      <c r="D124" s="9" t="s">
        <v>188</v>
      </c>
      <c r="E124" s="10">
        <v>0.0</v>
      </c>
      <c r="F124" s="10">
        <v>0.0</v>
      </c>
      <c r="G124" s="10">
        <v>50.0</v>
      </c>
      <c r="H124" s="10">
        <v>0.0</v>
      </c>
      <c r="I124" s="10">
        <v>0.0</v>
      </c>
      <c r="J124" s="10">
        <v>66.0</v>
      </c>
      <c r="K124" s="11"/>
      <c r="L124" s="11"/>
      <c r="M124" s="11">
        <f>+J124/G124</f>
        <v>1.32</v>
      </c>
      <c r="N124" s="11">
        <f t="shared" si="6"/>
        <v>1.32</v>
      </c>
      <c r="O124" s="10">
        <v>45.0</v>
      </c>
      <c r="P124" s="10">
        <v>24.0</v>
      </c>
      <c r="Q124" s="10">
        <v>30.0</v>
      </c>
      <c r="R124" s="10">
        <v>50.0</v>
      </c>
      <c r="S124" s="10">
        <v>31.0</v>
      </c>
      <c r="T124" s="10">
        <v>35.0</v>
      </c>
      <c r="U124" s="11">
        <f t="shared" si="248"/>
        <v>1.111111111</v>
      </c>
      <c r="V124" s="11">
        <f t="shared" ref="V124:W124" si="262">+S124/P124</f>
        <v>1.291666667</v>
      </c>
      <c r="W124" s="11">
        <f t="shared" si="262"/>
        <v>1.166666667</v>
      </c>
      <c r="X124" s="11">
        <f t="shared" si="8"/>
        <v>1.189814815</v>
      </c>
    </row>
    <row r="125" ht="15.75" customHeight="1">
      <c r="A125" s="7">
        <v>30401.0</v>
      </c>
      <c r="B125" s="8" t="s">
        <v>32</v>
      </c>
      <c r="C125" s="8" t="s">
        <v>189</v>
      </c>
      <c r="D125" s="9" t="s">
        <v>190</v>
      </c>
      <c r="E125" s="10">
        <v>28.0</v>
      </c>
      <c r="F125" s="10">
        <v>39.0</v>
      </c>
      <c r="G125" s="10">
        <v>28.0</v>
      </c>
      <c r="H125" s="10">
        <v>45.0</v>
      </c>
      <c r="I125" s="10">
        <v>44.0</v>
      </c>
      <c r="J125" s="10">
        <v>50.0</v>
      </c>
      <c r="K125" s="11">
        <f t="shared" ref="K125:M125" si="263">+H125/E125</f>
        <v>1.607142857</v>
      </c>
      <c r="L125" s="11">
        <f t="shared" si="263"/>
        <v>1.128205128</v>
      </c>
      <c r="M125" s="11">
        <f t="shared" si="263"/>
        <v>1.785714286</v>
      </c>
      <c r="N125" s="11">
        <f t="shared" si="6"/>
        <v>1.507020757</v>
      </c>
      <c r="O125" s="10">
        <v>21.0</v>
      </c>
      <c r="P125" s="10">
        <v>11.0</v>
      </c>
      <c r="Q125" s="10">
        <v>11.0</v>
      </c>
      <c r="R125" s="10">
        <v>32.0</v>
      </c>
      <c r="S125" s="10">
        <v>15.0</v>
      </c>
      <c r="T125" s="10">
        <v>15.0</v>
      </c>
      <c r="U125" s="11">
        <f t="shared" si="248"/>
        <v>1.523809524</v>
      </c>
      <c r="V125" s="11">
        <f t="shared" ref="V125:W125" si="264">+S125/P125</f>
        <v>1.363636364</v>
      </c>
      <c r="W125" s="11">
        <f t="shared" si="264"/>
        <v>1.363636364</v>
      </c>
      <c r="X125" s="11">
        <f t="shared" si="8"/>
        <v>1.417027417</v>
      </c>
    </row>
    <row r="126" ht="15.75" customHeight="1">
      <c r="A126" s="7">
        <v>30402.0</v>
      </c>
      <c r="B126" s="8" t="s">
        <v>32</v>
      </c>
      <c r="C126" s="8" t="s">
        <v>189</v>
      </c>
      <c r="D126" s="9" t="s">
        <v>191</v>
      </c>
      <c r="E126" s="10">
        <v>19.0</v>
      </c>
      <c r="F126" s="10">
        <v>37.0</v>
      </c>
      <c r="G126" s="10">
        <v>33.0</v>
      </c>
      <c r="H126" s="10">
        <v>24.0</v>
      </c>
      <c r="I126" s="10">
        <v>46.0</v>
      </c>
      <c r="J126" s="10">
        <v>37.0</v>
      </c>
      <c r="K126" s="11">
        <f t="shared" ref="K126:M126" si="265">+H126/E126</f>
        <v>1.263157895</v>
      </c>
      <c r="L126" s="11">
        <f t="shared" si="265"/>
        <v>1.243243243</v>
      </c>
      <c r="M126" s="11">
        <f t="shared" si="265"/>
        <v>1.121212121</v>
      </c>
      <c r="N126" s="11">
        <f t="shared" si="6"/>
        <v>1.20920442</v>
      </c>
      <c r="O126" s="10">
        <v>6.0</v>
      </c>
      <c r="P126" s="10">
        <v>16.0</v>
      </c>
      <c r="Q126" s="10">
        <v>7.0</v>
      </c>
      <c r="R126" s="10">
        <v>11.0</v>
      </c>
      <c r="S126" s="10">
        <v>8.0</v>
      </c>
      <c r="T126" s="10">
        <v>14.0</v>
      </c>
      <c r="U126" s="11">
        <f t="shared" si="248"/>
        <v>1.833333333</v>
      </c>
      <c r="V126" s="11">
        <f t="shared" ref="V126:W126" si="266">+S126/P126</f>
        <v>0.5</v>
      </c>
      <c r="W126" s="11">
        <f t="shared" si="266"/>
        <v>2</v>
      </c>
      <c r="X126" s="11">
        <f t="shared" si="8"/>
        <v>1.444444444</v>
      </c>
    </row>
    <row r="127" ht="15.75" customHeight="1">
      <c r="A127" s="7">
        <v>30403.0</v>
      </c>
      <c r="B127" s="8" t="s">
        <v>32</v>
      </c>
      <c r="C127" s="8" t="s">
        <v>189</v>
      </c>
      <c r="D127" s="9" t="s">
        <v>192</v>
      </c>
      <c r="E127" s="10">
        <v>29.0</v>
      </c>
      <c r="F127" s="10">
        <v>33.0</v>
      </c>
      <c r="G127" s="10">
        <v>31.0</v>
      </c>
      <c r="H127" s="10">
        <v>43.0</v>
      </c>
      <c r="I127" s="10">
        <v>41.0</v>
      </c>
      <c r="J127" s="10">
        <v>55.0</v>
      </c>
      <c r="K127" s="11">
        <f t="shared" ref="K127:M127" si="267">+H127/E127</f>
        <v>1.482758621</v>
      </c>
      <c r="L127" s="11">
        <f t="shared" si="267"/>
        <v>1.242424242</v>
      </c>
      <c r="M127" s="11">
        <f t="shared" si="267"/>
        <v>1.774193548</v>
      </c>
      <c r="N127" s="11">
        <f t="shared" si="6"/>
        <v>1.499792137</v>
      </c>
      <c r="O127" s="10">
        <v>22.0</v>
      </c>
      <c r="P127" s="10">
        <v>20.0</v>
      </c>
      <c r="Q127" s="10">
        <v>25.0</v>
      </c>
      <c r="R127" s="10">
        <v>30.0</v>
      </c>
      <c r="S127" s="10">
        <v>29.0</v>
      </c>
      <c r="T127" s="10">
        <v>28.0</v>
      </c>
      <c r="U127" s="11">
        <f t="shared" si="248"/>
        <v>1.363636364</v>
      </c>
      <c r="V127" s="11">
        <f t="shared" ref="V127:W127" si="268">+S127/P127</f>
        <v>1.45</v>
      </c>
      <c r="W127" s="11">
        <f t="shared" si="268"/>
        <v>1.12</v>
      </c>
      <c r="X127" s="11">
        <f t="shared" si="8"/>
        <v>1.311212121</v>
      </c>
    </row>
    <row r="128" ht="15.75" customHeight="1">
      <c r="A128" s="7">
        <v>30404.0</v>
      </c>
      <c r="B128" s="8" t="s">
        <v>32</v>
      </c>
      <c r="C128" s="8" t="s">
        <v>189</v>
      </c>
      <c r="D128" s="9" t="s">
        <v>193</v>
      </c>
      <c r="E128" s="10">
        <v>17.0</v>
      </c>
      <c r="F128" s="10">
        <v>25.0</v>
      </c>
      <c r="G128" s="10">
        <v>17.0</v>
      </c>
      <c r="H128" s="10">
        <v>21.0</v>
      </c>
      <c r="I128" s="10">
        <v>20.0</v>
      </c>
      <c r="J128" s="10">
        <v>38.0</v>
      </c>
      <c r="K128" s="11">
        <f t="shared" ref="K128:M128" si="269">+H128/E128</f>
        <v>1.235294118</v>
      </c>
      <c r="L128" s="11">
        <f t="shared" si="269"/>
        <v>0.8</v>
      </c>
      <c r="M128" s="11">
        <f t="shared" si="269"/>
        <v>2.235294118</v>
      </c>
      <c r="N128" s="11">
        <f t="shared" si="6"/>
        <v>1.423529412</v>
      </c>
      <c r="O128" s="10">
        <v>9.0</v>
      </c>
      <c r="P128" s="10">
        <v>10.0</v>
      </c>
      <c r="Q128" s="10">
        <v>1.0</v>
      </c>
      <c r="R128" s="10">
        <v>14.0</v>
      </c>
      <c r="S128" s="10">
        <v>13.0</v>
      </c>
      <c r="T128" s="10">
        <v>6.0</v>
      </c>
      <c r="U128" s="11">
        <f t="shared" si="248"/>
        <v>1.555555556</v>
      </c>
      <c r="V128" s="11">
        <f t="shared" ref="V128:W128" si="270">+S128/P128</f>
        <v>1.3</v>
      </c>
      <c r="W128" s="11">
        <f t="shared" si="270"/>
        <v>6</v>
      </c>
      <c r="X128" s="11">
        <f t="shared" si="8"/>
        <v>2.951851852</v>
      </c>
    </row>
    <row r="129" ht="15.75" customHeight="1">
      <c r="A129" s="7">
        <v>30501.0</v>
      </c>
      <c r="B129" s="8" t="s">
        <v>32</v>
      </c>
      <c r="C129" s="8" t="s">
        <v>194</v>
      </c>
      <c r="D129" s="9" t="s">
        <v>194</v>
      </c>
      <c r="E129" s="10">
        <v>31.0</v>
      </c>
      <c r="F129" s="10">
        <v>37.0</v>
      </c>
      <c r="G129" s="10">
        <v>18.0</v>
      </c>
      <c r="H129" s="10">
        <v>45.0</v>
      </c>
      <c r="I129" s="10">
        <v>57.0</v>
      </c>
      <c r="J129" s="10">
        <v>33.0</v>
      </c>
      <c r="K129" s="11">
        <f t="shared" ref="K129:M129" si="271">+H129/E129</f>
        <v>1.451612903</v>
      </c>
      <c r="L129" s="11">
        <f t="shared" si="271"/>
        <v>1.540540541</v>
      </c>
      <c r="M129" s="11">
        <f t="shared" si="271"/>
        <v>1.833333333</v>
      </c>
      <c r="N129" s="11">
        <f t="shared" si="6"/>
        <v>1.608495592</v>
      </c>
      <c r="O129" s="10">
        <v>3.0</v>
      </c>
      <c r="P129" s="10">
        <v>10.0</v>
      </c>
      <c r="Q129" s="10">
        <v>10.0</v>
      </c>
      <c r="R129" s="10">
        <v>10.0</v>
      </c>
      <c r="S129" s="10">
        <v>13.0</v>
      </c>
      <c r="T129" s="10">
        <v>22.0</v>
      </c>
      <c r="U129" s="11">
        <f t="shared" si="248"/>
        <v>3.333333333</v>
      </c>
      <c r="V129" s="11">
        <f t="shared" ref="V129:W129" si="272">+S129/P129</f>
        <v>1.3</v>
      </c>
      <c r="W129" s="11">
        <f t="shared" si="272"/>
        <v>2.2</v>
      </c>
      <c r="X129" s="11">
        <f t="shared" si="8"/>
        <v>2.277777778</v>
      </c>
    </row>
    <row r="130" ht="15.75" customHeight="1">
      <c r="A130" s="7">
        <v>30502.0</v>
      </c>
      <c r="B130" s="8" t="s">
        <v>32</v>
      </c>
      <c r="C130" s="8" t="s">
        <v>194</v>
      </c>
      <c r="D130" s="9" t="s">
        <v>195</v>
      </c>
      <c r="E130" s="10">
        <v>41.0</v>
      </c>
      <c r="F130" s="10">
        <v>38.0</v>
      </c>
      <c r="G130" s="10">
        <v>55.0</v>
      </c>
      <c r="H130" s="10">
        <v>49.0</v>
      </c>
      <c r="I130" s="10">
        <v>41.0</v>
      </c>
      <c r="J130" s="10">
        <v>62.0</v>
      </c>
      <c r="K130" s="11">
        <f t="shared" ref="K130:M130" si="273">+H130/E130</f>
        <v>1.195121951</v>
      </c>
      <c r="L130" s="11">
        <f t="shared" si="273"/>
        <v>1.078947368</v>
      </c>
      <c r="M130" s="11">
        <f t="shared" si="273"/>
        <v>1.127272727</v>
      </c>
      <c r="N130" s="11">
        <f t="shared" si="6"/>
        <v>1.133780682</v>
      </c>
      <c r="O130" s="10">
        <v>11.0</v>
      </c>
      <c r="P130" s="10">
        <v>17.0</v>
      </c>
      <c r="Q130" s="10">
        <v>16.0</v>
      </c>
      <c r="R130" s="10">
        <v>9.0</v>
      </c>
      <c r="S130" s="10">
        <v>34.0</v>
      </c>
      <c r="T130" s="10">
        <v>15.0</v>
      </c>
      <c r="U130" s="11">
        <f t="shared" si="248"/>
        <v>0.8181818182</v>
      </c>
      <c r="V130" s="11">
        <f t="shared" ref="V130:W130" si="274">+S130/P130</f>
        <v>2</v>
      </c>
      <c r="W130" s="11">
        <f t="shared" si="274"/>
        <v>0.9375</v>
      </c>
      <c r="X130" s="11">
        <f t="shared" si="8"/>
        <v>1.251893939</v>
      </c>
    </row>
    <row r="131" ht="15.75" customHeight="1">
      <c r="A131" s="7">
        <v>30601.0</v>
      </c>
      <c r="B131" s="8" t="s">
        <v>32</v>
      </c>
      <c r="C131" s="8" t="s">
        <v>196</v>
      </c>
      <c r="D131" s="9" t="s">
        <v>196</v>
      </c>
      <c r="E131" s="10">
        <v>46.0</v>
      </c>
      <c r="F131" s="10">
        <v>60.0</v>
      </c>
      <c r="G131" s="10">
        <v>49.0</v>
      </c>
      <c r="H131" s="10">
        <v>57.0</v>
      </c>
      <c r="I131" s="10">
        <v>48.0</v>
      </c>
      <c r="J131" s="10">
        <v>36.0</v>
      </c>
      <c r="K131" s="11">
        <f t="shared" ref="K131:M131" si="275">+H131/E131</f>
        <v>1.239130435</v>
      </c>
      <c r="L131" s="11">
        <f t="shared" si="275"/>
        <v>0.8</v>
      </c>
      <c r="M131" s="11">
        <f t="shared" si="275"/>
        <v>0.7346938776</v>
      </c>
      <c r="N131" s="11">
        <f t="shared" si="6"/>
        <v>0.9246081041</v>
      </c>
      <c r="O131" s="10">
        <v>28.0</v>
      </c>
      <c r="P131" s="10">
        <v>36.0</v>
      </c>
      <c r="Q131" s="10">
        <v>21.0</v>
      </c>
      <c r="R131" s="10">
        <v>29.0</v>
      </c>
      <c r="S131" s="10">
        <v>35.0</v>
      </c>
      <c r="T131" s="10">
        <v>26.0</v>
      </c>
      <c r="U131" s="11">
        <f t="shared" si="248"/>
        <v>1.035714286</v>
      </c>
      <c r="V131" s="11">
        <f t="shared" ref="V131:W131" si="276">+S131/P131</f>
        <v>0.9722222222</v>
      </c>
      <c r="W131" s="11">
        <f t="shared" si="276"/>
        <v>1.238095238</v>
      </c>
      <c r="X131" s="11">
        <f t="shared" si="8"/>
        <v>1.082010582</v>
      </c>
    </row>
    <row r="132" ht="15.75" customHeight="1">
      <c r="A132" s="7">
        <v>30602.0</v>
      </c>
      <c r="B132" s="8" t="s">
        <v>32</v>
      </c>
      <c r="C132" s="8" t="s">
        <v>196</v>
      </c>
      <c r="D132" s="9" t="s">
        <v>197</v>
      </c>
      <c r="E132" s="10">
        <v>35.0</v>
      </c>
      <c r="F132" s="10">
        <v>62.0</v>
      </c>
      <c r="G132" s="10">
        <v>45.0</v>
      </c>
      <c r="H132" s="10">
        <v>48.0</v>
      </c>
      <c r="I132" s="10">
        <v>64.0</v>
      </c>
      <c r="J132" s="10">
        <v>33.0</v>
      </c>
      <c r="K132" s="11">
        <f t="shared" ref="K132:M132" si="277">+H132/E132</f>
        <v>1.371428571</v>
      </c>
      <c r="L132" s="11">
        <f t="shared" si="277"/>
        <v>1.032258065</v>
      </c>
      <c r="M132" s="11">
        <f t="shared" si="277"/>
        <v>0.7333333333</v>
      </c>
      <c r="N132" s="11">
        <f t="shared" si="6"/>
        <v>1.045673323</v>
      </c>
      <c r="O132" s="10">
        <v>12.0</v>
      </c>
      <c r="P132" s="10">
        <v>16.0</v>
      </c>
      <c r="Q132" s="10">
        <v>15.0</v>
      </c>
      <c r="R132" s="10">
        <v>16.0</v>
      </c>
      <c r="S132" s="10">
        <v>17.0</v>
      </c>
      <c r="T132" s="10">
        <v>13.0</v>
      </c>
      <c r="U132" s="11">
        <f t="shared" si="248"/>
        <v>1.333333333</v>
      </c>
      <c r="V132" s="11">
        <f t="shared" ref="V132:W132" si="278">+S132/P132</f>
        <v>1.0625</v>
      </c>
      <c r="W132" s="11">
        <f t="shared" si="278"/>
        <v>0.8666666667</v>
      </c>
      <c r="X132" s="11">
        <f t="shared" si="8"/>
        <v>1.0875</v>
      </c>
    </row>
    <row r="133" ht="15.75" customHeight="1">
      <c r="A133" s="7">
        <v>30701.0</v>
      </c>
      <c r="B133" s="8" t="s">
        <v>32</v>
      </c>
      <c r="C133" s="8" t="s">
        <v>198</v>
      </c>
      <c r="D133" s="9" t="s">
        <v>198</v>
      </c>
      <c r="E133" s="10">
        <v>80.0</v>
      </c>
      <c r="F133" s="10">
        <v>87.0</v>
      </c>
      <c r="G133" s="10">
        <v>72.0</v>
      </c>
      <c r="H133" s="10">
        <v>118.0</v>
      </c>
      <c r="I133" s="10">
        <v>121.0</v>
      </c>
      <c r="J133" s="10">
        <v>110.0</v>
      </c>
      <c r="K133" s="11">
        <f t="shared" ref="K133:M133" si="279">+H133/E133</f>
        <v>1.475</v>
      </c>
      <c r="L133" s="11">
        <f t="shared" si="279"/>
        <v>1.390804598</v>
      </c>
      <c r="M133" s="11">
        <f t="shared" si="279"/>
        <v>1.527777778</v>
      </c>
      <c r="N133" s="11">
        <f t="shared" si="6"/>
        <v>1.464527458</v>
      </c>
      <c r="O133" s="10">
        <v>26.0</v>
      </c>
      <c r="P133" s="10">
        <v>37.0</v>
      </c>
      <c r="Q133" s="10">
        <v>33.0</v>
      </c>
      <c r="R133" s="10">
        <v>48.0</v>
      </c>
      <c r="S133" s="10">
        <v>51.0</v>
      </c>
      <c r="T133" s="10">
        <v>54.0</v>
      </c>
      <c r="U133" s="11">
        <f t="shared" si="248"/>
        <v>1.846153846</v>
      </c>
      <c r="V133" s="11">
        <f t="shared" ref="V133:W133" si="280">+S133/P133</f>
        <v>1.378378378</v>
      </c>
      <c r="W133" s="11">
        <f t="shared" si="280"/>
        <v>1.636363636</v>
      </c>
      <c r="X133" s="11">
        <f t="shared" si="8"/>
        <v>1.62029862</v>
      </c>
    </row>
    <row r="134" ht="15.75" customHeight="1">
      <c r="A134" s="7">
        <v>30702.0</v>
      </c>
      <c r="B134" s="8" t="s">
        <v>32</v>
      </c>
      <c r="C134" s="8" t="s">
        <v>198</v>
      </c>
      <c r="D134" s="9" t="s">
        <v>199</v>
      </c>
      <c r="E134" s="10">
        <v>9.0</v>
      </c>
      <c r="F134" s="10">
        <v>20.0</v>
      </c>
      <c r="G134" s="10">
        <v>18.0</v>
      </c>
      <c r="H134" s="10">
        <v>19.0</v>
      </c>
      <c r="I134" s="10">
        <v>27.0</v>
      </c>
      <c r="J134" s="10">
        <v>37.0</v>
      </c>
      <c r="K134" s="11">
        <f t="shared" ref="K134:M134" si="281">+H134/E134</f>
        <v>2.111111111</v>
      </c>
      <c r="L134" s="11">
        <f t="shared" si="281"/>
        <v>1.35</v>
      </c>
      <c r="M134" s="11">
        <f t="shared" si="281"/>
        <v>2.055555556</v>
      </c>
      <c r="N134" s="11">
        <f t="shared" si="6"/>
        <v>1.838888889</v>
      </c>
      <c r="O134" s="10">
        <v>5.0</v>
      </c>
      <c r="P134" s="10">
        <v>5.0</v>
      </c>
      <c r="Q134" s="10">
        <v>6.0</v>
      </c>
      <c r="R134" s="10">
        <v>8.0</v>
      </c>
      <c r="S134" s="10">
        <v>8.0</v>
      </c>
      <c r="T134" s="10">
        <v>7.0</v>
      </c>
      <c r="U134" s="11">
        <f t="shared" si="248"/>
        <v>1.6</v>
      </c>
      <c r="V134" s="11">
        <f t="shared" ref="V134:W134" si="282">+S134/P134</f>
        <v>1.6</v>
      </c>
      <c r="W134" s="11">
        <f t="shared" si="282"/>
        <v>1.166666667</v>
      </c>
      <c r="X134" s="11">
        <f t="shared" si="8"/>
        <v>1.455555556</v>
      </c>
    </row>
    <row r="135" ht="15.75" customHeight="1">
      <c r="A135" s="7">
        <v>30703.0</v>
      </c>
      <c r="B135" s="8" t="s">
        <v>32</v>
      </c>
      <c r="C135" s="8" t="s">
        <v>198</v>
      </c>
      <c r="D135" s="9" t="s">
        <v>200</v>
      </c>
      <c r="E135" s="10">
        <v>10.0</v>
      </c>
      <c r="F135" s="10">
        <v>10.0</v>
      </c>
      <c r="G135" s="10">
        <v>12.0</v>
      </c>
      <c r="H135" s="10">
        <v>21.0</v>
      </c>
      <c r="I135" s="10">
        <v>13.0</v>
      </c>
      <c r="J135" s="10">
        <v>17.0</v>
      </c>
      <c r="K135" s="11">
        <f t="shared" ref="K135:M135" si="283">+H135/E135</f>
        <v>2.1</v>
      </c>
      <c r="L135" s="11">
        <f t="shared" si="283"/>
        <v>1.3</v>
      </c>
      <c r="M135" s="11">
        <f t="shared" si="283"/>
        <v>1.416666667</v>
      </c>
      <c r="N135" s="11">
        <f t="shared" si="6"/>
        <v>1.605555556</v>
      </c>
      <c r="O135" s="10">
        <v>5.0</v>
      </c>
      <c r="P135" s="10">
        <v>3.0</v>
      </c>
      <c r="Q135" s="10">
        <v>10.0</v>
      </c>
      <c r="R135" s="10">
        <v>7.0</v>
      </c>
      <c r="S135" s="10">
        <v>4.0</v>
      </c>
      <c r="T135" s="10">
        <v>8.0</v>
      </c>
      <c r="U135" s="11">
        <f t="shared" si="248"/>
        <v>1.4</v>
      </c>
      <c r="V135" s="11">
        <f t="shared" ref="V135:W135" si="284">+S135/P135</f>
        <v>1.333333333</v>
      </c>
      <c r="W135" s="11">
        <f t="shared" si="284"/>
        <v>0.8</v>
      </c>
      <c r="X135" s="11">
        <f t="shared" si="8"/>
        <v>1.177777778</v>
      </c>
    </row>
    <row r="136" ht="15.75" customHeight="1">
      <c r="A136" s="7">
        <v>30801.0</v>
      </c>
      <c r="B136" s="8" t="s">
        <v>32</v>
      </c>
      <c r="C136" s="8" t="s">
        <v>201</v>
      </c>
      <c r="D136" s="9" t="s">
        <v>202</v>
      </c>
      <c r="E136" s="10">
        <v>55.0</v>
      </c>
      <c r="F136" s="10">
        <v>47.0</v>
      </c>
      <c r="G136" s="10">
        <v>76.0</v>
      </c>
      <c r="H136" s="10">
        <v>125.0</v>
      </c>
      <c r="I136" s="10">
        <v>101.0</v>
      </c>
      <c r="J136" s="10">
        <v>130.0</v>
      </c>
      <c r="K136" s="11">
        <f t="shared" ref="K136:M136" si="285">+H136/E136</f>
        <v>2.272727273</v>
      </c>
      <c r="L136" s="11">
        <f t="shared" si="285"/>
        <v>2.14893617</v>
      </c>
      <c r="M136" s="11">
        <f t="shared" si="285"/>
        <v>1.710526316</v>
      </c>
      <c r="N136" s="11">
        <f t="shared" si="6"/>
        <v>2.044063253</v>
      </c>
      <c r="O136" s="10">
        <v>49.0</v>
      </c>
      <c r="P136" s="10">
        <v>32.0</v>
      </c>
      <c r="Q136" s="10">
        <v>44.0</v>
      </c>
      <c r="R136" s="10">
        <v>60.0</v>
      </c>
      <c r="S136" s="10">
        <v>41.0</v>
      </c>
      <c r="T136" s="10">
        <v>45.0</v>
      </c>
      <c r="U136" s="11">
        <f t="shared" si="248"/>
        <v>1.224489796</v>
      </c>
      <c r="V136" s="11">
        <f t="shared" ref="V136:W136" si="286">+S136/P136</f>
        <v>1.28125</v>
      </c>
      <c r="W136" s="11">
        <f t="shared" si="286"/>
        <v>1.022727273</v>
      </c>
      <c r="X136" s="11">
        <f t="shared" si="8"/>
        <v>1.17615569</v>
      </c>
    </row>
    <row r="137" ht="15.75" customHeight="1">
      <c r="A137" s="7">
        <v>30802.0</v>
      </c>
      <c r="B137" s="8" t="s">
        <v>32</v>
      </c>
      <c r="C137" s="8" t="s">
        <v>201</v>
      </c>
      <c r="D137" s="9" t="s">
        <v>203</v>
      </c>
      <c r="E137" s="10">
        <v>17.0</v>
      </c>
      <c r="F137" s="10">
        <v>16.0</v>
      </c>
      <c r="G137" s="10">
        <v>19.0</v>
      </c>
      <c r="H137" s="10">
        <v>19.0</v>
      </c>
      <c r="I137" s="10">
        <v>35.0</v>
      </c>
      <c r="J137" s="10">
        <v>28.0</v>
      </c>
      <c r="K137" s="11">
        <f t="shared" ref="K137:M137" si="287">+H137/E137</f>
        <v>1.117647059</v>
      </c>
      <c r="L137" s="11">
        <f t="shared" si="287"/>
        <v>2.1875</v>
      </c>
      <c r="M137" s="11">
        <f t="shared" si="287"/>
        <v>1.473684211</v>
      </c>
      <c r="N137" s="11">
        <f t="shared" si="6"/>
        <v>1.592943756</v>
      </c>
      <c r="O137" s="10">
        <v>14.0</v>
      </c>
      <c r="P137" s="10">
        <v>13.0</v>
      </c>
      <c r="Q137" s="10">
        <v>15.0</v>
      </c>
      <c r="R137" s="10">
        <v>18.0</v>
      </c>
      <c r="S137" s="10">
        <v>19.0</v>
      </c>
      <c r="T137" s="10">
        <v>15.0</v>
      </c>
      <c r="U137" s="11">
        <f t="shared" si="248"/>
        <v>1.285714286</v>
      </c>
      <c r="V137" s="11">
        <f t="shared" ref="V137:W137" si="288">+S137/P137</f>
        <v>1.461538462</v>
      </c>
      <c r="W137" s="11">
        <f t="shared" si="288"/>
        <v>1</v>
      </c>
      <c r="X137" s="11">
        <f t="shared" si="8"/>
        <v>1.249084249</v>
      </c>
    </row>
    <row r="138" ht="15.75" customHeight="1">
      <c r="A138" s="7">
        <v>30803.0</v>
      </c>
      <c r="B138" s="8" t="s">
        <v>32</v>
      </c>
      <c r="C138" s="8" t="s">
        <v>201</v>
      </c>
      <c r="D138" s="9" t="s">
        <v>204</v>
      </c>
      <c r="E138" s="10">
        <v>5.0</v>
      </c>
      <c r="F138" s="10">
        <v>13.0</v>
      </c>
      <c r="G138" s="10">
        <v>10.0</v>
      </c>
      <c r="H138" s="10">
        <v>22.0</v>
      </c>
      <c r="I138" s="10">
        <v>16.0</v>
      </c>
      <c r="J138" s="10">
        <v>17.0</v>
      </c>
      <c r="K138" s="11">
        <f t="shared" ref="K138:M138" si="289">+H138/E138</f>
        <v>4.4</v>
      </c>
      <c r="L138" s="11">
        <f t="shared" si="289"/>
        <v>1.230769231</v>
      </c>
      <c r="M138" s="11">
        <f t="shared" si="289"/>
        <v>1.7</v>
      </c>
      <c r="N138" s="11">
        <f t="shared" si="6"/>
        <v>2.443589744</v>
      </c>
      <c r="O138" s="10">
        <v>12.0</v>
      </c>
      <c r="P138" s="10">
        <v>14.0</v>
      </c>
      <c r="Q138" s="10">
        <v>11.0</v>
      </c>
      <c r="R138" s="10">
        <v>10.0</v>
      </c>
      <c r="S138" s="10">
        <v>15.0</v>
      </c>
      <c r="T138" s="10">
        <v>15.0</v>
      </c>
      <c r="U138" s="11">
        <f t="shared" si="248"/>
        <v>0.8333333333</v>
      </c>
      <c r="V138" s="11">
        <f t="shared" ref="V138:W138" si="290">+S138/P138</f>
        <v>1.071428571</v>
      </c>
      <c r="W138" s="11">
        <f t="shared" si="290"/>
        <v>1.363636364</v>
      </c>
      <c r="X138" s="11">
        <f t="shared" si="8"/>
        <v>1.089466089</v>
      </c>
    </row>
    <row r="139" ht="15.75" customHeight="1">
      <c r="A139" s="7">
        <v>30901.0</v>
      </c>
      <c r="B139" s="8" t="s">
        <v>32</v>
      </c>
      <c r="C139" s="8" t="s">
        <v>205</v>
      </c>
      <c r="D139" s="9" t="s">
        <v>205</v>
      </c>
      <c r="E139" s="10">
        <v>395.0</v>
      </c>
      <c r="F139" s="10">
        <v>475.0</v>
      </c>
      <c r="G139" s="10">
        <v>449.0</v>
      </c>
      <c r="H139" s="10">
        <v>645.0</v>
      </c>
      <c r="I139" s="10">
        <v>786.0</v>
      </c>
      <c r="J139" s="10">
        <v>830.0</v>
      </c>
      <c r="K139" s="11">
        <f t="shared" ref="K139:M139" si="291">+H139/E139</f>
        <v>1.632911392</v>
      </c>
      <c r="L139" s="11">
        <f t="shared" si="291"/>
        <v>1.654736842</v>
      </c>
      <c r="M139" s="11">
        <f t="shared" si="291"/>
        <v>1.848552339</v>
      </c>
      <c r="N139" s="11">
        <f t="shared" si="6"/>
        <v>1.712066858</v>
      </c>
      <c r="O139" s="10">
        <v>169.0</v>
      </c>
      <c r="P139" s="10">
        <v>171.0</v>
      </c>
      <c r="Q139" s="10">
        <v>154.0</v>
      </c>
      <c r="R139" s="10">
        <v>274.0</v>
      </c>
      <c r="S139" s="10">
        <v>264.0</v>
      </c>
      <c r="T139" s="10">
        <v>259.0</v>
      </c>
      <c r="U139" s="11">
        <f t="shared" si="248"/>
        <v>1.621301775</v>
      </c>
      <c r="V139" s="11">
        <f t="shared" ref="V139:W139" si="292">+S139/P139</f>
        <v>1.543859649</v>
      </c>
      <c r="W139" s="11">
        <f t="shared" si="292"/>
        <v>1.681818182</v>
      </c>
      <c r="X139" s="11">
        <f t="shared" si="8"/>
        <v>1.615659869</v>
      </c>
    </row>
    <row r="140" ht="15.75" customHeight="1">
      <c r="A140" s="7">
        <v>30902.0</v>
      </c>
      <c r="B140" s="8" t="s">
        <v>32</v>
      </c>
      <c r="C140" s="8" t="s">
        <v>205</v>
      </c>
      <c r="D140" s="9" t="s">
        <v>206</v>
      </c>
      <c r="E140" s="10">
        <v>116.0</v>
      </c>
      <c r="F140" s="10">
        <v>92.0</v>
      </c>
      <c r="G140" s="10">
        <v>95.0</v>
      </c>
      <c r="H140" s="10">
        <v>228.0</v>
      </c>
      <c r="I140" s="10">
        <v>148.0</v>
      </c>
      <c r="J140" s="10">
        <v>178.0</v>
      </c>
      <c r="K140" s="11">
        <f t="shared" ref="K140:M140" si="293">+H140/E140</f>
        <v>1.965517241</v>
      </c>
      <c r="L140" s="11">
        <f t="shared" si="293"/>
        <v>1.608695652</v>
      </c>
      <c r="M140" s="11">
        <f t="shared" si="293"/>
        <v>1.873684211</v>
      </c>
      <c r="N140" s="11">
        <f t="shared" si="6"/>
        <v>1.815965701</v>
      </c>
      <c r="O140" s="10">
        <v>81.0</v>
      </c>
      <c r="P140" s="10">
        <v>49.0</v>
      </c>
      <c r="Q140" s="10">
        <v>80.0</v>
      </c>
      <c r="R140" s="10">
        <v>98.0</v>
      </c>
      <c r="S140" s="10">
        <v>82.0</v>
      </c>
      <c r="T140" s="10">
        <v>99.0</v>
      </c>
      <c r="U140" s="11">
        <f t="shared" si="248"/>
        <v>1.209876543</v>
      </c>
      <c r="V140" s="11">
        <f t="shared" ref="V140:W140" si="294">+S140/P140</f>
        <v>1.673469388</v>
      </c>
      <c r="W140" s="11">
        <f t="shared" si="294"/>
        <v>1.2375</v>
      </c>
      <c r="X140" s="11">
        <f t="shared" si="8"/>
        <v>1.37361531</v>
      </c>
    </row>
    <row r="141" ht="15.75" customHeight="1">
      <c r="A141" s="7">
        <v>30903.0</v>
      </c>
      <c r="B141" s="8" t="s">
        <v>32</v>
      </c>
      <c r="C141" s="8" t="s">
        <v>205</v>
      </c>
      <c r="D141" s="9" t="s">
        <v>207</v>
      </c>
      <c r="E141" s="10">
        <v>151.0</v>
      </c>
      <c r="F141" s="10">
        <v>160.0</v>
      </c>
      <c r="G141" s="10">
        <v>102.0</v>
      </c>
      <c r="H141" s="10">
        <v>195.0</v>
      </c>
      <c r="I141" s="10">
        <v>245.0</v>
      </c>
      <c r="J141" s="10">
        <v>176.0</v>
      </c>
      <c r="K141" s="11">
        <f t="shared" ref="K141:M141" si="295">+H141/E141</f>
        <v>1.291390728</v>
      </c>
      <c r="L141" s="11">
        <f t="shared" si="295"/>
        <v>1.53125</v>
      </c>
      <c r="M141" s="11">
        <f t="shared" si="295"/>
        <v>1.725490196</v>
      </c>
      <c r="N141" s="11">
        <f t="shared" si="6"/>
        <v>1.516043642</v>
      </c>
      <c r="O141" s="10">
        <v>58.0</v>
      </c>
      <c r="P141" s="10">
        <v>54.0</v>
      </c>
      <c r="Q141" s="10">
        <v>62.0</v>
      </c>
      <c r="R141" s="10">
        <v>71.0</v>
      </c>
      <c r="S141" s="10">
        <v>53.0</v>
      </c>
      <c r="T141" s="10">
        <v>84.0</v>
      </c>
      <c r="U141" s="11">
        <f t="shared" si="248"/>
        <v>1.224137931</v>
      </c>
      <c r="V141" s="11">
        <f t="shared" ref="V141:W141" si="296">+S141/P141</f>
        <v>0.9814814815</v>
      </c>
      <c r="W141" s="11">
        <f t="shared" si="296"/>
        <v>1.35483871</v>
      </c>
      <c r="X141" s="11">
        <f t="shared" si="8"/>
        <v>1.186819374</v>
      </c>
    </row>
    <row r="142" ht="15.75" customHeight="1">
      <c r="A142" s="7">
        <v>30904.0</v>
      </c>
      <c r="B142" s="8" t="s">
        <v>32</v>
      </c>
      <c r="C142" s="8" t="s">
        <v>205</v>
      </c>
      <c r="D142" s="9" t="s">
        <v>208</v>
      </c>
      <c r="E142" s="10">
        <v>159.0</v>
      </c>
      <c r="F142" s="10">
        <v>178.0</v>
      </c>
      <c r="G142" s="10">
        <v>142.0</v>
      </c>
      <c r="H142" s="10">
        <v>279.0</v>
      </c>
      <c r="I142" s="10">
        <v>315.0</v>
      </c>
      <c r="J142" s="10">
        <v>256.0</v>
      </c>
      <c r="K142" s="11">
        <f t="shared" ref="K142:M142" si="297">+H142/E142</f>
        <v>1.754716981</v>
      </c>
      <c r="L142" s="11">
        <f t="shared" si="297"/>
        <v>1.769662921</v>
      </c>
      <c r="M142" s="11">
        <f t="shared" si="297"/>
        <v>1.802816901</v>
      </c>
      <c r="N142" s="11">
        <f t="shared" si="6"/>
        <v>1.775732268</v>
      </c>
      <c r="O142" s="10">
        <v>51.0</v>
      </c>
      <c r="P142" s="10">
        <v>40.0</v>
      </c>
      <c r="Q142" s="10">
        <v>84.0</v>
      </c>
      <c r="R142" s="10">
        <v>82.0</v>
      </c>
      <c r="S142" s="10">
        <v>55.0</v>
      </c>
      <c r="T142" s="10">
        <v>97.0</v>
      </c>
      <c r="U142" s="11">
        <f t="shared" si="248"/>
        <v>1.607843137</v>
      </c>
      <c r="V142" s="11">
        <f t="shared" ref="V142:W142" si="298">+S142/P142</f>
        <v>1.375</v>
      </c>
      <c r="W142" s="11">
        <f t="shared" si="298"/>
        <v>1.154761905</v>
      </c>
      <c r="X142" s="11">
        <f t="shared" si="8"/>
        <v>1.379201681</v>
      </c>
    </row>
    <row r="143" ht="15.75" customHeight="1">
      <c r="A143" s="7">
        <v>30905.0</v>
      </c>
      <c r="B143" s="8" t="s">
        <v>32</v>
      </c>
      <c r="C143" s="8" t="s">
        <v>205</v>
      </c>
      <c r="D143" s="9" t="s">
        <v>209</v>
      </c>
      <c r="E143" s="10">
        <v>68.0</v>
      </c>
      <c r="F143" s="10">
        <v>73.0</v>
      </c>
      <c r="G143" s="10">
        <v>51.0</v>
      </c>
      <c r="H143" s="10">
        <v>97.0</v>
      </c>
      <c r="I143" s="10">
        <v>128.0</v>
      </c>
      <c r="J143" s="10">
        <v>108.0</v>
      </c>
      <c r="K143" s="11">
        <f t="shared" ref="K143:M143" si="299">+H143/E143</f>
        <v>1.426470588</v>
      </c>
      <c r="L143" s="11">
        <f t="shared" si="299"/>
        <v>1.753424658</v>
      </c>
      <c r="M143" s="11">
        <f t="shared" si="299"/>
        <v>2.117647059</v>
      </c>
      <c r="N143" s="11">
        <f t="shared" si="6"/>
        <v>1.765847435</v>
      </c>
      <c r="O143" s="10">
        <v>48.0</v>
      </c>
      <c r="P143" s="10">
        <v>30.0</v>
      </c>
      <c r="Q143" s="10">
        <v>23.0</v>
      </c>
      <c r="R143" s="10">
        <v>44.0</v>
      </c>
      <c r="S143" s="10">
        <v>45.0</v>
      </c>
      <c r="T143" s="10">
        <v>38.0</v>
      </c>
      <c r="U143" s="11">
        <f t="shared" si="248"/>
        <v>0.9166666667</v>
      </c>
      <c r="V143" s="11">
        <f t="shared" ref="V143:W143" si="300">+S143/P143</f>
        <v>1.5</v>
      </c>
      <c r="W143" s="11">
        <f t="shared" si="300"/>
        <v>1.652173913</v>
      </c>
      <c r="X143" s="11">
        <f t="shared" si="8"/>
        <v>1.356280193</v>
      </c>
    </row>
    <row r="144" ht="15.75" customHeight="1">
      <c r="A144" s="7">
        <v>31001.0</v>
      </c>
      <c r="B144" s="8" t="s">
        <v>32</v>
      </c>
      <c r="C144" s="8" t="s">
        <v>210</v>
      </c>
      <c r="D144" s="9" t="s">
        <v>211</v>
      </c>
      <c r="E144" s="10">
        <v>340.0</v>
      </c>
      <c r="F144" s="10">
        <v>401.0</v>
      </c>
      <c r="G144" s="10">
        <v>383.0</v>
      </c>
      <c r="H144" s="10">
        <v>568.0</v>
      </c>
      <c r="I144" s="10">
        <v>658.0</v>
      </c>
      <c r="J144" s="10">
        <v>605.0</v>
      </c>
      <c r="K144" s="11">
        <f t="shared" ref="K144:M144" si="301">+H144/E144</f>
        <v>1.670588235</v>
      </c>
      <c r="L144" s="11">
        <f t="shared" si="301"/>
        <v>1.640897756</v>
      </c>
      <c r="M144" s="11">
        <f t="shared" si="301"/>
        <v>1.579634465</v>
      </c>
      <c r="N144" s="11">
        <f t="shared" si="6"/>
        <v>1.630373485</v>
      </c>
      <c r="O144" s="10">
        <v>162.0</v>
      </c>
      <c r="P144" s="10">
        <v>159.0</v>
      </c>
      <c r="Q144" s="10">
        <v>133.0</v>
      </c>
      <c r="R144" s="10">
        <v>224.0</v>
      </c>
      <c r="S144" s="10">
        <v>229.0</v>
      </c>
      <c r="T144" s="10">
        <v>204.0</v>
      </c>
      <c r="U144" s="11">
        <f t="shared" si="248"/>
        <v>1.382716049</v>
      </c>
      <c r="V144" s="11">
        <f t="shared" ref="V144:W144" si="302">+S144/P144</f>
        <v>1.440251572</v>
      </c>
      <c r="W144" s="11">
        <f t="shared" si="302"/>
        <v>1.533834586</v>
      </c>
      <c r="X144" s="11">
        <f t="shared" si="8"/>
        <v>1.452267403</v>
      </c>
    </row>
    <row r="145" ht="15.75" customHeight="1">
      <c r="A145" s="7">
        <v>31002.0</v>
      </c>
      <c r="B145" s="8" t="s">
        <v>32</v>
      </c>
      <c r="C145" s="8" t="s">
        <v>210</v>
      </c>
      <c r="D145" s="9" t="s">
        <v>212</v>
      </c>
      <c r="E145" s="10">
        <v>77.0</v>
      </c>
      <c r="F145" s="10">
        <v>120.0</v>
      </c>
      <c r="G145" s="10">
        <v>86.0</v>
      </c>
      <c r="H145" s="10">
        <v>89.0</v>
      </c>
      <c r="I145" s="10">
        <v>165.0</v>
      </c>
      <c r="J145" s="10">
        <v>127.0</v>
      </c>
      <c r="K145" s="11">
        <f t="shared" ref="K145:M145" si="303">+H145/E145</f>
        <v>1.155844156</v>
      </c>
      <c r="L145" s="11">
        <f t="shared" si="303"/>
        <v>1.375</v>
      </c>
      <c r="M145" s="11">
        <f t="shared" si="303"/>
        <v>1.476744186</v>
      </c>
      <c r="N145" s="11">
        <f t="shared" si="6"/>
        <v>1.335862781</v>
      </c>
      <c r="O145" s="10">
        <v>48.0</v>
      </c>
      <c r="P145" s="10">
        <v>29.0</v>
      </c>
      <c r="Q145" s="10">
        <v>30.0</v>
      </c>
      <c r="R145" s="10">
        <v>62.0</v>
      </c>
      <c r="S145" s="10">
        <v>47.0</v>
      </c>
      <c r="T145" s="10">
        <v>30.0</v>
      </c>
      <c r="U145" s="11">
        <f t="shared" si="248"/>
        <v>1.291666667</v>
      </c>
      <c r="V145" s="11">
        <f t="shared" ref="V145:W145" si="304">+S145/P145</f>
        <v>1.620689655</v>
      </c>
      <c r="W145" s="11">
        <f t="shared" si="304"/>
        <v>1</v>
      </c>
      <c r="X145" s="11">
        <f t="shared" si="8"/>
        <v>1.304118774</v>
      </c>
    </row>
    <row r="146" ht="15.75" customHeight="1">
      <c r="A146" s="7">
        <v>31003.0</v>
      </c>
      <c r="B146" s="8" t="s">
        <v>32</v>
      </c>
      <c r="C146" s="8" t="s">
        <v>210</v>
      </c>
      <c r="D146" s="9" t="s">
        <v>213</v>
      </c>
      <c r="E146" s="10">
        <v>249.0</v>
      </c>
      <c r="F146" s="10">
        <v>252.0</v>
      </c>
      <c r="G146" s="10">
        <v>263.0</v>
      </c>
      <c r="H146" s="10">
        <v>393.0</v>
      </c>
      <c r="I146" s="10">
        <v>381.0</v>
      </c>
      <c r="J146" s="10">
        <v>397.0</v>
      </c>
      <c r="K146" s="11">
        <f t="shared" ref="K146:M146" si="305">+H146/E146</f>
        <v>1.578313253</v>
      </c>
      <c r="L146" s="11">
        <f t="shared" si="305"/>
        <v>1.511904762</v>
      </c>
      <c r="M146" s="11">
        <f t="shared" si="305"/>
        <v>1.509505703</v>
      </c>
      <c r="N146" s="11">
        <f t="shared" si="6"/>
        <v>1.533241239</v>
      </c>
      <c r="O146" s="10">
        <v>122.0</v>
      </c>
      <c r="P146" s="10">
        <v>136.0</v>
      </c>
      <c r="Q146" s="10">
        <v>136.0</v>
      </c>
      <c r="R146" s="10">
        <v>177.0</v>
      </c>
      <c r="S146" s="10">
        <v>237.0</v>
      </c>
      <c r="T146" s="10">
        <v>236.0</v>
      </c>
      <c r="U146" s="11">
        <f t="shared" si="248"/>
        <v>1.450819672</v>
      </c>
      <c r="V146" s="11">
        <f t="shared" ref="V146:W146" si="306">+S146/P146</f>
        <v>1.742647059</v>
      </c>
      <c r="W146" s="11">
        <f t="shared" si="306"/>
        <v>1.735294118</v>
      </c>
      <c r="X146" s="11">
        <f t="shared" si="8"/>
        <v>1.642920283</v>
      </c>
    </row>
    <row r="147" ht="15.75" customHeight="1">
      <c r="A147" s="7">
        <v>31101.0</v>
      </c>
      <c r="B147" s="8" t="s">
        <v>32</v>
      </c>
      <c r="C147" s="8" t="s">
        <v>214</v>
      </c>
      <c r="D147" s="9" t="s">
        <v>214</v>
      </c>
      <c r="E147" s="10">
        <v>84.0</v>
      </c>
      <c r="F147" s="10">
        <v>82.0</v>
      </c>
      <c r="G147" s="10">
        <v>104.0</v>
      </c>
      <c r="H147" s="10">
        <v>70.0</v>
      </c>
      <c r="I147" s="10">
        <v>92.0</v>
      </c>
      <c r="J147" s="10">
        <v>93.0</v>
      </c>
      <c r="K147" s="11">
        <f t="shared" ref="K147:M147" si="307">+H147/E147</f>
        <v>0.8333333333</v>
      </c>
      <c r="L147" s="11">
        <f t="shared" si="307"/>
        <v>1.12195122</v>
      </c>
      <c r="M147" s="11">
        <f t="shared" si="307"/>
        <v>0.8942307692</v>
      </c>
      <c r="N147" s="11">
        <f t="shared" si="6"/>
        <v>0.9498384407</v>
      </c>
      <c r="O147" s="10">
        <v>48.0</v>
      </c>
      <c r="P147" s="10">
        <v>58.0</v>
      </c>
      <c r="Q147" s="10">
        <v>41.0</v>
      </c>
      <c r="R147" s="10">
        <v>48.0</v>
      </c>
      <c r="S147" s="10">
        <v>37.0</v>
      </c>
      <c r="T147" s="10">
        <v>42.0</v>
      </c>
      <c r="U147" s="11">
        <f t="shared" si="248"/>
        <v>1</v>
      </c>
      <c r="V147" s="11">
        <f t="shared" ref="V147:W147" si="308">+S147/P147</f>
        <v>0.6379310345</v>
      </c>
      <c r="W147" s="11">
        <f t="shared" si="308"/>
        <v>1.024390244</v>
      </c>
      <c r="X147" s="11">
        <f t="shared" si="8"/>
        <v>0.8874404261</v>
      </c>
    </row>
    <row r="148" ht="15.75" customHeight="1">
      <c r="A148" s="7">
        <v>31201.0</v>
      </c>
      <c r="B148" s="8" t="s">
        <v>32</v>
      </c>
      <c r="C148" s="8" t="s">
        <v>215</v>
      </c>
      <c r="D148" s="9" t="s">
        <v>216</v>
      </c>
      <c r="E148" s="10">
        <v>36.0</v>
      </c>
      <c r="F148" s="10">
        <v>36.0</v>
      </c>
      <c r="G148" s="10">
        <v>38.0</v>
      </c>
      <c r="H148" s="10">
        <v>53.0</v>
      </c>
      <c r="I148" s="10">
        <v>50.0</v>
      </c>
      <c r="J148" s="10">
        <v>59.0</v>
      </c>
      <c r="K148" s="11">
        <f t="shared" ref="K148:M148" si="309">+H148/E148</f>
        <v>1.472222222</v>
      </c>
      <c r="L148" s="11">
        <f t="shared" si="309"/>
        <v>1.388888889</v>
      </c>
      <c r="M148" s="11">
        <f t="shared" si="309"/>
        <v>1.552631579</v>
      </c>
      <c r="N148" s="11">
        <f t="shared" si="6"/>
        <v>1.471247563</v>
      </c>
      <c r="O148" s="10">
        <v>15.0</v>
      </c>
      <c r="P148" s="10">
        <v>50.0</v>
      </c>
      <c r="Q148" s="10">
        <v>27.0</v>
      </c>
      <c r="R148" s="10">
        <v>22.0</v>
      </c>
      <c r="S148" s="10">
        <v>48.0</v>
      </c>
      <c r="T148" s="10">
        <v>38.0</v>
      </c>
      <c r="U148" s="11">
        <f t="shared" si="248"/>
        <v>1.466666667</v>
      </c>
      <c r="V148" s="11">
        <f t="shared" ref="V148:W148" si="310">+S148/P148</f>
        <v>0.96</v>
      </c>
      <c r="W148" s="11">
        <f t="shared" si="310"/>
        <v>1.407407407</v>
      </c>
      <c r="X148" s="11">
        <f t="shared" si="8"/>
        <v>1.278024691</v>
      </c>
    </row>
    <row r="149" ht="15.75" customHeight="1">
      <c r="A149" s="7">
        <v>31202.0</v>
      </c>
      <c r="B149" s="8" t="s">
        <v>32</v>
      </c>
      <c r="C149" s="8" t="s">
        <v>215</v>
      </c>
      <c r="D149" s="9" t="s">
        <v>217</v>
      </c>
      <c r="E149" s="10">
        <v>28.0</v>
      </c>
      <c r="F149" s="10">
        <v>37.0</v>
      </c>
      <c r="G149" s="10">
        <v>42.0</v>
      </c>
      <c r="H149" s="10">
        <v>33.0</v>
      </c>
      <c r="I149" s="10">
        <v>42.0</v>
      </c>
      <c r="J149" s="10">
        <v>57.0</v>
      </c>
      <c r="K149" s="11">
        <f t="shared" ref="K149:M149" si="311">+H149/E149</f>
        <v>1.178571429</v>
      </c>
      <c r="L149" s="11">
        <f t="shared" si="311"/>
        <v>1.135135135</v>
      </c>
      <c r="M149" s="11">
        <f t="shared" si="311"/>
        <v>1.357142857</v>
      </c>
      <c r="N149" s="11">
        <f t="shared" si="6"/>
        <v>1.223616474</v>
      </c>
      <c r="O149" s="10">
        <v>20.0</v>
      </c>
      <c r="P149" s="10">
        <v>17.0</v>
      </c>
      <c r="Q149" s="10">
        <v>33.0</v>
      </c>
      <c r="R149" s="10">
        <v>36.0</v>
      </c>
      <c r="S149" s="10">
        <v>18.0</v>
      </c>
      <c r="T149" s="10">
        <v>50.0</v>
      </c>
      <c r="U149" s="11">
        <f t="shared" si="248"/>
        <v>1.8</v>
      </c>
      <c r="V149" s="11">
        <f t="shared" ref="V149:W149" si="312">+S149/P149</f>
        <v>1.058823529</v>
      </c>
      <c r="W149" s="11">
        <f t="shared" si="312"/>
        <v>1.515151515</v>
      </c>
      <c r="X149" s="11">
        <f t="shared" si="8"/>
        <v>1.457991682</v>
      </c>
    </row>
    <row r="150" ht="15.75" customHeight="1">
      <c r="A150" s="7">
        <v>31203.0</v>
      </c>
      <c r="B150" s="8" t="s">
        <v>32</v>
      </c>
      <c r="C150" s="8" t="s">
        <v>215</v>
      </c>
      <c r="D150" s="9" t="s">
        <v>218</v>
      </c>
      <c r="E150" s="10">
        <v>48.0</v>
      </c>
      <c r="F150" s="10">
        <v>54.0</v>
      </c>
      <c r="G150" s="10">
        <v>41.0</v>
      </c>
      <c r="H150" s="10">
        <v>39.0</v>
      </c>
      <c r="I150" s="10">
        <v>64.0</v>
      </c>
      <c r="J150" s="10">
        <v>57.0</v>
      </c>
      <c r="K150" s="11">
        <f t="shared" ref="K150:M150" si="313">+H150/E150</f>
        <v>0.8125</v>
      </c>
      <c r="L150" s="11">
        <f t="shared" si="313"/>
        <v>1.185185185</v>
      </c>
      <c r="M150" s="11">
        <f t="shared" si="313"/>
        <v>1.390243902</v>
      </c>
      <c r="N150" s="11">
        <f t="shared" si="6"/>
        <v>1.129309696</v>
      </c>
      <c r="O150" s="10">
        <v>15.0</v>
      </c>
      <c r="P150" s="10">
        <v>14.0</v>
      </c>
      <c r="Q150" s="10">
        <v>15.0</v>
      </c>
      <c r="R150" s="10">
        <v>17.0</v>
      </c>
      <c r="S150" s="10">
        <v>24.0</v>
      </c>
      <c r="T150" s="10">
        <v>22.0</v>
      </c>
      <c r="U150" s="11">
        <f t="shared" si="248"/>
        <v>1.133333333</v>
      </c>
      <c r="V150" s="11">
        <f t="shared" ref="V150:W150" si="314">+S150/P150</f>
        <v>1.714285714</v>
      </c>
      <c r="W150" s="11">
        <f t="shared" si="314"/>
        <v>1.466666667</v>
      </c>
      <c r="X150" s="11">
        <f t="shared" si="8"/>
        <v>1.438095238</v>
      </c>
    </row>
    <row r="151" ht="15.75" customHeight="1">
      <c r="A151" s="7">
        <v>31204.0</v>
      </c>
      <c r="B151" s="8" t="s">
        <v>32</v>
      </c>
      <c r="C151" s="8" t="s">
        <v>215</v>
      </c>
      <c r="D151" s="9" t="s">
        <v>219</v>
      </c>
      <c r="E151" s="10">
        <v>70.0</v>
      </c>
      <c r="F151" s="10">
        <v>61.0</v>
      </c>
      <c r="G151" s="10">
        <v>76.0</v>
      </c>
      <c r="H151" s="10">
        <v>117.0</v>
      </c>
      <c r="I151" s="10">
        <v>111.0</v>
      </c>
      <c r="J151" s="10">
        <v>135.0</v>
      </c>
      <c r="K151" s="11">
        <f t="shared" ref="K151:M151" si="315">+H151/E151</f>
        <v>1.671428571</v>
      </c>
      <c r="L151" s="11">
        <f t="shared" si="315"/>
        <v>1.819672131</v>
      </c>
      <c r="M151" s="11">
        <f t="shared" si="315"/>
        <v>1.776315789</v>
      </c>
      <c r="N151" s="11">
        <f t="shared" si="6"/>
        <v>1.755805497</v>
      </c>
      <c r="O151" s="10">
        <v>33.0</v>
      </c>
      <c r="P151" s="10">
        <v>34.0</v>
      </c>
      <c r="Q151" s="10">
        <v>41.0</v>
      </c>
      <c r="R151" s="10">
        <v>43.0</v>
      </c>
      <c r="S151" s="10">
        <v>70.0</v>
      </c>
      <c r="T151" s="10">
        <v>87.0</v>
      </c>
      <c r="U151" s="11">
        <f t="shared" si="248"/>
        <v>1.303030303</v>
      </c>
      <c r="V151" s="11">
        <f t="shared" ref="V151:W151" si="316">+S151/P151</f>
        <v>2.058823529</v>
      </c>
      <c r="W151" s="11">
        <f t="shared" si="316"/>
        <v>2.12195122</v>
      </c>
      <c r="X151" s="11">
        <f t="shared" si="8"/>
        <v>1.827935017</v>
      </c>
    </row>
    <row r="152" ht="15.75" customHeight="1">
      <c r="A152" s="7">
        <v>31205.0</v>
      </c>
      <c r="B152" s="8" t="s">
        <v>32</v>
      </c>
      <c r="C152" s="8" t="s">
        <v>215</v>
      </c>
      <c r="D152" s="9" t="s">
        <v>220</v>
      </c>
      <c r="E152" s="10">
        <v>135.0</v>
      </c>
      <c r="F152" s="10">
        <v>117.0</v>
      </c>
      <c r="G152" s="10">
        <v>140.0</v>
      </c>
      <c r="H152" s="10">
        <v>197.0</v>
      </c>
      <c r="I152" s="10">
        <v>212.0</v>
      </c>
      <c r="J152" s="10">
        <v>266.0</v>
      </c>
      <c r="K152" s="11">
        <f t="shared" ref="K152:M152" si="317">+H152/E152</f>
        <v>1.459259259</v>
      </c>
      <c r="L152" s="11">
        <f t="shared" si="317"/>
        <v>1.811965812</v>
      </c>
      <c r="M152" s="11">
        <f t="shared" si="317"/>
        <v>1.9</v>
      </c>
      <c r="N152" s="11">
        <f t="shared" si="6"/>
        <v>1.72374169</v>
      </c>
      <c r="O152" s="10">
        <v>99.0</v>
      </c>
      <c r="P152" s="10">
        <v>69.0</v>
      </c>
      <c r="Q152" s="10">
        <v>131.0</v>
      </c>
      <c r="R152" s="10">
        <v>129.0</v>
      </c>
      <c r="S152" s="10">
        <v>114.0</v>
      </c>
      <c r="T152" s="10">
        <v>183.0</v>
      </c>
      <c r="U152" s="11">
        <f t="shared" si="248"/>
        <v>1.303030303</v>
      </c>
      <c r="V152" s="11">
        <f t="shared" ref="V152:W152" si="318">+S152/P152</f>
        <v>1.652173913</v>
      </c>
      <c r="W152" s="11">
        <f t="shared" si="318"/>
        <v>1.396946565</v>
      </c>
      <c r="X152" s="11">
        <f t="shared" si="8"/>
        <v>1.450716927</v>
      </c>
    </row>
    <row r="153" ht="15.75" customHeight="1">
      <c r="A153" s="7">
        <v>31206.0</v>
      </c>
      <c r="B153" s="8" t="s">
        <v>32</v>
      </c>
      <c r="C153" s="8" t="s">
        <v>215</v>
      </c>
      <c r="D153" s="9" t="s">
        <v>221</v>
      </c>
      <c r="E153" s="10">
        <v>109.0</v>
      </c>
      <c r="F153" s="10">
        <v>79.0</v>
      </c>
      <c r="G153" s="10">
        <v>92.0</v>
      </c>
      <c r="H153" s="10">
        <v>169.0</v>
      </c>
      <c r="I153" s="10">
        <v>152.0</v>
      </c>
      <c r="J153" s="10">
        <v>190.0</v>
      </c>
      <c r="K153" s="11">
        <f t="shared" ref="K153:M153" si="319">+H153/E153</f>
        <v>1.550458716</v>
      </c>
      <c r="L153" s="11">
        <f t="shared" si="319"/>
        <v>1.924050633</v>
      </c>
      <c r="M153" s="11">
        <f t="shared" si="319"/>
        <v>2.065217391</v>
      </c>
      <c r="N153" s="11">
        <f t="shared" si="6"/>
        <v>1.84657558</v>
      </c>
      <c r="O153" s="10">
        <v>74.0</v>
      </c>
      <c r="P153" s="10">
        <v>72.0</v>
      </c>
      <c r="Q153" s="10">
        <v>74.0</v>
      </c>
      <c r="R153" s="10">
        <v>112.0</v>
      </c>
      <c r="S153" s="10">
        <v>78.0</v>
      </c>
      <c r="T153" s="10">
        <v>114.0</v>
      </c>
      <c r="U153" s="11">
        <f t="shared" si="248"/>
        <v>1.513513514</v>
      </c>
      <c r="V153" s="11">
        <f t="shared" ref="V153:W153" si="320">+S153/P153</f>
        <v>1.083333333</v>
      </c>
      <c r="W153" s="11">
        <f t="shared" si="320"/>
        <v>1.540540541</v>
      </c>
      <c r="X153" s="11">
        <f t="shared" si="8"/>
        <v>1.379129129</v>
      </c>
    </row>
    <row r="154" ht="15.75" customHeight="1">
      <c r="A154" s="7">
        <v>31301.0</v>
      </c>
      <c r="B154" s="8" t="s">
        <v>32</v>
      </c>
      <c r="C154" s="8" t="s">
        <v>222</v>
      </c>
      <c r="D154" s="9" t="s">
        <v>222</v>
      </c>
      <c r="E154" s="10">
        <v>91.0</v>
      </c>
      <c r="F154" s="10">
        <v>137.0</v>
      </c>
      <c r="G154" s="10">
        <v>129.0</v>
      </c>
      <c r="H154" s="10">
        <v>138.0</v>
      </c>
      <c r="I154" s="10">
        <v>160.0</v>
      </c>
      <c r="J154" s="10">
        <v>156.0</v>
      </c>
      <c r="K154" s="11">
        <f t="shared" ref="K154:M154" si="321">+H154/E154</f>
        <v>1.516483516</v>
      </c>
      <c r="L154" s="11">
        <f t="shared" si="321"/>
        <v>1.167883212</v>
      </c>
      <c r="M154" s="11">
        <f t="shared" si="321"/>
        <v>1.209302326</v>
      </c>
      <c r="N154" s="11">
        <f t="shared" si="6"/>
        <v>1.297889685</v>
      </c>
      <c r="O154" s="10">
        <v>73.0</v>
      </c>
      <c r="P154" s="10">
        <v>55.0</v>
      </c>
      <c r="Q154" s="10">
        <v>101.0</v>
      </c>
      <c r="R154" s="10">
        <v>89.0</v>
      </c>
      <c r="S154" s="10">
        <v>74.0</v>
      </c>
      <c r="T154" s="10">
        <v>103.0</v>
      </c>
      <c r="U154" s="11">
        <f t="shared" si="248"/>
        <v>1.219178082</v>
      </c>
      <c r="V154" s="11">
        <f t="shared" ref="V154:W154" si="322">+S154/P154</f>
        <v>1.345454545</v>
      </c>
      <c r="W154" s="11">
        <f t="shared" si="322"/>
        <v>1.01980198</v>
      </c>
      <c r="X154" s="11">
        <f t="shared" si="8"/>
        <v>1.194811536</v>
      </c>
    </row>
    <row r="155" ht="15.75" customHeight="1">
      <c r="A155" s="7">
        <v>31302.0</v>
      </c>
      <c r="B155" s="8" t="s">
        <v>32</v>
      </c>
      <c r="C155" s="8" t="s">
        <v>222</v>
      </c>
      <c r="D155" s="9" t="s">
        <v>223</v>
      </c>
      <c r="E155" s="10">
        <v>23.0</v>
      </c>
      <c r="F155" s="10">
        <v>10.0</v>
      </c>
      <c r="G155" s="10">
        <v>6.0</v>
      </c>
      <c r="H155" s="10">
        <v>16.0</v>
      </c>
      <c r="I155" s="10">
        <v>12.0</v>
      </c>
      <c r="J155" s="10">
        <v>17.0</v>
      </c>
      <c r="K155" s="11">
        <f t="shared" ref="K155:M155" si="323">+H155/E155</f>
        <v>0.6956521739</v>
      </c>
      <c r="L155" s="11">
        <f t="shared" si="323"/>
        <v>1.2</v>
      </c>
      <c r="M155" s="11">
        <f t="shared" si="323"/>
        <v>2.833333333</v>
      </c>
      <c r="N155" s="11">
        <f t="shared" si="6"/>
        <v>1.576328502</v>
      </c>
      <c r="O155" s="10">
        <v>5.0</v>
      </c>
      <c r="P155" s="10">
        <v>15.0</v>
      </c>
      <c r="Q155" s="10">
        <v>6.0</v>
      </c>
      <c r="R155" s="10">
        <v>11.0</v>
      </c>
      <c r="S155" s="10">
        <v>11.0</v>
      </c>
      <c r="T155" s="10">
        <v>9.0</v>
      </c>
      <c r="U155" s="11">
        <f t="shared" si="248"/>
        <v>2.2</v>
      </c>
      <c r="V155" s="11">
        <f t="shared" ref="V155:W155" si="324">+S155/P155</f>
        <v>0.7333333333</v>
      </c>
      <c r="W155" s="11">
        <f t="shared" si="324"/>
        <v>1.5</v>
      </c>
      <c r="X155" s="11">
        <f t="shared" si="8"/>
        <v>1.477777778</v>
      </c>
    </row>
    <row r="156" ht="15.75" customHeight="1">
      <c r="A156" s="7">
        <v>31303.0</v>
      </c>
      <c r="B156" s="8" t="s">
        <v>32</v>
      </c>
      <c r="C156" s="8" t="s">
        <v>222</v>
      </c>
      <c r="D156" s="9" t="s">
        <v>224</v>
      </c>
      <c r="E156" s="10">
        <v>15.0</v>
      </c>
      <c r="F156" s="10">
        <v>14.0</v>
      </c>
      <c r="G156" s="10">
        <v>8.0</v>
      </c>
      <c r="H156" s="10">
        <v>17.0</v>
      </c>
      <c r="I156" s="10">
        <v>8.0</v>
      </c>
      <c r="J156" s="10">
        <v>18.0</v>
      </c>
      <c r="K156" s="11">
        <f t="shared" ref="K156:M156" si="325">+H156/E156</f>
        <v>1.133333333</v>
      </c>
      <c r="L156" s="11">
        <f t="shared" si="325"/>
        <v>0.5714285714</v>
      </c>
      <c r="M156" s="11">
        <f t="shared" si="325"/>
        <v>2.25</v>
      </c>
      <c r="N156" s="11">
        <f t="shared" si="6"/>
        <v>1.318253968</v>
      </c>
      <c r="O156" s="10">
        <v>4.0</v>
      </c>
      <c r="P156" s="10">
        <v>3.0</v>
      </c>
      <c r="Q156" s="10">
        <v>3.0</v>
      </c>
      <c r="R156" s="10">
        <v>3.0</v>
      </c>
      <c r="S156" s="10">
        <v>2.0</v>
      </c>
      <c r="T156" s="10">
        <v>4.0</v>
      </c>
      <c r="U156" s="11">
        <f t="shared" si="248"/>
        <v>0.75</v>
      </c>
      <c r="V156" s="11">
        <f t="shared" ref="V156:W156" si="326">+S156/P156</f>
        <v>0.6666666667</v>
      </c>
      <c r="W156" s="11">
        <f t="shared" si="326"/>
        <v>1.333333333</v>
      </c>
      <c r="X156" s="11">
        <f t="shared" si="8"/>
        <v>0.9166666667</v>
      </c>
    </row>
    <row r="157" ht="15.75" customHeight="1">
      <c r="A157" s="7">
        <v>31304.0</v>
      </c>
      <c r="B157" s="8" t="s">
        <v>32</v>
      </c>
      <c r="C157" s="8" t="s">
        <v>222</v>
      </c>
      <c r="D157" s="9" t="s">
        <v>225</v>
      </c>
      <c r="E157" s="10">
        <v>91.0</v>
      </c>
      <c r="F157" s="10">
        <v>137.0</v>
      </c>
      <c r="G157" s="10">
        <v>129.0</v>
      </c>
      <c r="H157" s="10">
        <v>117.0</v>
      </c>
      <c r="I157" s="10">
        <v>111.0</v>
      </c>
      <c r="J157" s="10">
        <v>135.0</v>
      </c>
      <c r="K157" s="11">
        <f t="shared" ref="K157:M157" si="327">+H157/E157</f>
        <v>1.285714286</v>
      </c>
      <c r="L157" s="11">
        <f t="shared" si="327"/>
        <v>0.8102189781</v>
      </c>
      <c r="M157" s="11">
        <f t="shared" si="327"/>
        <v>1.046511628</v>
      </c>
      <c r="N157" s="11">
        <f t="shared" si="6"/>
        <v>1.047481631</v>
      </c>
      <c r="O157" s="10">
        <v>73.0</v>
      </c>
      <c r="P157" s="10">
        <v>55.0</v>
      </c>
      <c r="Q157" s="10"/>
      <c r="R157" s="10">
        <v>89.0</v>
      </c>
      <c r="S157" s="10">
        <v>74.0</v>
      </c>
      <c r="T157" s="10"/>
      <c r="U157" s="11">
        <f t="shared" si="248"/>
        <v>1.219178082</v>
      </c>
      <c r="V157" s="11">
        <f t="shared" ref="V157:V160" si="329">+S157/P157</f>
        <v>1.345454545</v>
      </c>
      <c r="W157" s="11"/>
      <c r="X157" s="11">
        <f t="shared" si="8"/>
        <v>1.282316314</v>
      </c>
    </row>
    <row r="158" ht="15.75" customHeight="1">
      <c r="A158" s="7">
        <v>31401.0</v>
      </c>
      <c r="B158" s="8" t="s">
        <v>32</v>
      </c>
      <c r="C158" s="8" t="s">
        <v>226</v>
      </c>
      <c r="D158" s="9" t="s">
        <v>226</v>
      </c>
      <c r="E158" s="10">
        <v>118.0</v>
      </c>
      <c r="F158" s="10">
        <v>102.0</v>
      </c>
      <c r="G158" s="10">
        <v>102.0</v>
      </c>
      <c r="H158" s="10">
        <v>169.0</v>
      </c>
      <c r="I158" s="10">
        <v>181.0</v>
      </c>
      <c r="J158" s="10">
        <v>159.0</v>
      </c>
      <c r="K158" s="11">
        <f t="shared" ref="K158:M158" si="328">+H158/E158</f>
        <v>1.43220339</v>
      </c>
      <c r="L158" s="11">
        <f t="shared" si="328"/>
        <v>1.774509804</v>
      </c>
      <c r="M158" s="11">
        <f t="shared" si="328"/>
        <v>1.558823529</v>
      </c>
      <c r="N158" s="11">
        <f t="shared" si="6"/>
        <v>1.588512241</v>
      </c>
      <c r="O158" s="10">
        <v>53.0</v>
      </c>
      <c r="P158" s="10">
        <v>47.0</v>
      </c>
      <c r="Q158" s="10">
        <v>64.0</v>
      </c>
      <c r="R158" s="10">
        <v>56.0</v>
      </c>
      <c r="S158" s="10">
        <v>56.0</v>
      </c>
      <c r="T158" s="10">
        <v>85.0</v>
      </c>
      <c r="U158" s="11">
        <f t="shared" si="248"/>
        <v>1.056603774</v>
      </c>
      <c r="V158" s="11">
        <f t="shared" si="329"/>
        <v>1.191489362</v>
      </c>
      <c r="W158" s="11">
        <f t="shared" ref="W158:W160" si="331">+T158/Q158</f>
        <v>1.328125</v>
      </c>
      <c r="X158" s="11">
        <f t="shared" si="8"/>
        <v>1.192072712</v>
      </c>
    </row>
    <row r="159" ht="15.75" customHeight="1">
      <c r="A159" s="7">
        <v>31402.0</v>
      </c>
      <c r="B159" s="8" t="s">
        <v>32</v>
      </c>
      <c r="C159" s="8" t="s">
        <v>226</v>
      </c>
      <c r="D159" s="9" t="s">
        <v>227</v>
      </c>
      <c r="E159" s="10">
        <v>24.0</v>
      </c>
      <c r="F159" s="10">
        <v>33.0</v>
      </c>
      <c r="G159" s="10">
        <v>48.0</v>
      </c>
      <c r="H159" s="10">
        <v>39.0</v>
      </c>
      <c r="I159" s="10">
        <v>46.0</v>
      </c>
      <c r="J159" s="10">
        <v>38.0</v>
      </c>
      <c r="K159" s="11">
        <f t="shared" ref="K159:M159" si="330">+H159/E159</f>
        <v>1.625</v>
      </c>
      <c r="L159" s="11">
        <f t="shared" si="330"/>
        <v>1.393939394</v>
      </c>
      <c r="M159" s="11">
        <f t="shared" si="330"/>
        <v>0.7916666667</v>
      </c>
      <c r="N159" s="11">
        <f t="shared" si="6"/>
        <v>1.27020202</v>
      </c>
      <c r="O159" s="10">
        <v>18.0</v>
      </c>
      <c r="P159" s="10">
        <v>15.0</v>
      </c>
      <c r="Q159" s="10">
        <v>17.0</v>
      </c>
      <c r="R159" s="10">
        <v>18.0</v>
      </c>
      <c r="S159" s="10">
        <v>24.0</v>
      </c>
      <c r="T159" s="10">
        <v>22.0</v>
      </c>
      <c r="U159" s="11">
        <f t="shared" si="248"/>
        <v>1</v>
      </c>
      <c r="V159" s="11">
        <f t="shared" si="329"/>
        <v>1.6</v>
      </c>
      <c r="W159" s="11">
        <f t="shared" si="331"/>
        <v>1.294117647</v>
      </c>
      <c r="X159" s="11">
        <f t="shared" si="8"/>
        <v>1.298039216</v>
      </c>
    </row>
    <row r="160" ht="15.75" customHeight="1">
      <c r="A160" s="7">
        <v>31403.0</v>
      </c>
      <c r="B160" s="8" t="s">
        <v>32</v>
      </c>
      <c r="C160" s="8" t="s">
        <v>226</v>
      </c>
      <c r="D160" s="9" t="s">
        <v>228</v>
      </c>
      <c r="E160" s="10">
        <v>38.0</v>
      </c>
      <c r="F160" s="10">
        <v>32.0</v>
      </c>
      <c r="G160" s="10">
        <v>33.0</v>
      </c>
      <c r="H160" s="10">
        <v>64.0</v>
      </c>
      <c r="I160" s="10">
        <v>58.0</v>
      </c>
      <c r="J160" s="10">
        <v>61.0</v>
      </c>
      <c r="K160" s="11">
        <f t="shared" ref="K160:M160" si="332">+H160/E160</f>
        <v>1.684210526</v>
      </c>
      <c r="L160" s="11">
        <f t="shared" si="332"/>
        <v>1.8125</v>
      </c>
      <c r="M160" s="11">
        <f t="shared" si="332"/>
        <v>1.848484848</v>
      </c>
      <c r="N160" s="11">
        <f t="shared" si="6"/>
        <v>1.781731792</v>
      </c>
      <c r="O160" s="10">
        <v>8.0</v>
      </c>
      <c r="P160" s="10">
        <v>11.0</v>
      </c>
      <c r="Q160" s="10">
        <v>9.0</v>
      </c>
      <c r="R160" s="10">
        <v>15.0</v>
      </c>
      <c r="S160" s="10">
        <v>14.0</v>
      </c>
      <c r="T160" s="10">
        <v>21.0</v>
      </c>
      <c r="U160" s="11">
        <f t="shared" si="248"/>
        <v>1.875</v>
      </c>
      <c r="V160" s="11">
        <f t="shared" si="329"/>
        <v>1.272727273</v>
      </c>
      <c r="W160" s="11">
        <f t="shared" si="331"/>
        <v>2.333333333</v>
      </c>
      <c r="X160" s="11">
        <f t="shared" si="8"/>
        <v>1.827020202</v>
      </c>
    </row>
    <row r="161" ht="15.75" customHeight="1">
      <c r="A161" s="7">
        <v>31404.0</v>
      </c>
      <c r="B161" s="8" t="s">
        <v>32</v>
      </c>
      <c r="C161" s="8" t="s">
        <v>226</v>
      </c>
      <c r="D161" s="9" t="s">
        <v>229</v>
      </c>
      <c r="E161" s="10">
        <v>0.0</v>
      </c>
      <c r="F161" s="10">
        <v>0.0</v>
      </c>
      <c r="G161" s="10">
        <v>1.0</v>
      </c>
      <c r="H161" s="10">
        <v>0.0</v>
      </c>
      <c r="I161" s="10">
        <v>0.0</v>
      </c>
      <c r="J161" s="10">
        <v>2.0</v>
      </c>
      <c r="K161" s="11"/>
      <c r="L161" s="11"/>
      <c r="M161" s="11">
        <f>+J161/G161</f>
        <v>2</v>
      </c>
      <c r="N161" s="11">
        <f t="shared" si="6"/>
        <v>2</v>
      </c>
      <c r="O161" s="10"/>
      <c r="P161" s="10"/>
      <c r="Q161" s="10"/>
      <c r="R161" s="10"/>
      <c r="S161" s="10"/>
      <c r="T161" s="10"/>
      <c r="U161" s="11"/>
      <c r="V161" s="11"/>
      <c r="W161" s="11"/>
      <c r="X161" s="11"/>
    </row>
    <row r="162" ht="15.75" customHeight="1">
      <c r="A162" s="7">
        <v>31405.0</v>
      </c>
      <c r="B162" s="8" t="s">
        <v>32</v>
      </c>
      <c r="C162" s="8" t="s">
        <v>226</v>
      </c>
      <c r="D162" s="9" t="s">
        <v>230</v>
      </c>
      <c r="E162" s="10">
        <v>7.0</v>
      </c>
      <c r="F162" s="10">
        <v>5.0</v>
      </c>
      <c r="G162" s="10">
        <v>3.0</v>
      </c>
      <c r="H162" s="10">
        <v>4.0</v>
      </c>
      <c r="I162" s="10">
        <v>0.0</v>
      </c>
      <c r="J162" s="10">
        <v>1.0</v>
      </c>
      <c r="K162" s="11">
        <f t="shared" ref="K162:M162" si="333">+H162/E162</f>
        <v>0.5714285714</v>
      </c>
      <c r="L162" s="11">
        <f t="shared" si="333"/>
        <v>0</v>
      </c>
      <c r="M162" s="11">
        <f t="shared" si="333"/>
        <v>0.3333333333</v>
      </c>
      <c r="N162" s="11">
        <f t="shared" si="6"/>
        <v>0.3015873016</v>
      </c>
      <c r="O162" s="10"/>
      <c r="P162" s="10"/>
      <c r="Q162" s="10"/>
      <c r="R162" s="10"/>
      <c r="S162" s="10"/>
      <c r="T162" s="10"/>
      <c r="U162" s="11"/>
      <c r="V162" s="11"/>
      <c r="W162" s="11"/>
      <c r="X162" s="11"/>
    </row>
    <row r="163" ht="15.75" customHeight="1">
      <c r="A163" s="7">
        <v>31501.0</v>
      </c>
      <c r="B163" s="8" t="s">
        <v>32</v>
      </c>
      <c r="C163" s="8" t="s">
        <v>231</v>
      </c>
      <c r="D163" s="9" t="s">
        <v>231</v>
      </c>
      <c r="E163" s="10">
        <v>35.0</v>
      </c>
      <c r="F163" s="10">
        <v>26.0</v>
      </c>
      <c r="G163" s="10">
        <v>28.0</v>
      </c>
      <c r="H163" s="10">
        <v>27.0</v>
      </c>
      <c r="I163" s="10">
        <v>34.0</v>
      </c>
      <c r="J163" s="10">
        <v>25.0</v>
      </c>
      <c r="K163" s="11">
        <f t="shared" ref="K163:M163" si="334">+H163/E163</f>
        <v>0.7714285714</v>
      </c>
      <c r="L163" s="11">
        <f t="shared" si="334"/>
        <v>1.307692308</v>
      </c>
      <c r="M163" s="11">
        <f t="shared" si="334"/>
        <v>0.8928571429</v>
      </c>
      <c r="N163" s="11">
        <f t="shared" si="6"/>
        <v>0.9906593407</v>
      </c>
      <c r="O163" s="10">
        <v>8.0</v>
      </c>
      <c r="P163" s="10">
        <v>6.0</v>
      </c>
      <c r="Q163" s="10">
        <v>12.0</v>
      </c>
      <c r="R163" s="10">
        <v>6.0</v>
      </c>
      <c r="S163" s="10">
        <v>10.0</v>
      </c>
      <c r="T163" s="10">
        <v>12.0</v>
      </c>
      <c r="U163" s="11">
        <f t="shared" ref="U163:W163" si="335">+R163/O163</f>
        <v>0.75</v>
      </c>
      <c r="V163" s="11">
        <f t="shared" si="335"/>
        <v>1.666666667</v>
      </c>
      <c r="W163" s="11">
        <f t="shared" si="335"/>
        <v>1</v>
      </c>
      <c r="X163" s="11">
        <f t="shared" ref="X163:X172" si="338">AVERAGE(U163:W163)</f>
        <v>1.138888889</v>
      </c>
    </row>
    <row r="164" ht="15.75" customHeight="1">
      <c r="A164" s="7">
        <v>31601.0</v>
      </c>
      <c r="B164" s="8" t="s">
        <v>32</v>
      </c>
      <c r="C164" s="8" t="s">
        <v>232</v>
      </c>
      <c r="D164" s="9" t="s">
        <v>232</v>
      </c>
      <c r="E164" s="10">
        <v>152.0</v>
      </c>
      <c r="F164" s="10">
        <v>142.0</v>
      </c>
      <c r="G164" s="10">
        <v>69.0</v>
      </c>
      <c r="H164" s="10">
        <v>217.0</v>
      </c>
      <c r="I164" s="10">
        <v>220.0</v>
      </c>
      <c r="J164" s="10">
        <v>121.0</v>
      </c>
      <c r="K164" s="11">
        <f t="shared" ref="K164:M164" si="336">+H164/E164</f>
        <v>1.427631579</v>
      </c>
      <c r="L164" s="11">
        <f t="shared" si="336"/>
        <v>1.549295775</v>
      </c>
      <c r="M164" s="11">
        <f t="shared" si="336"/>
        <v>1.753623188</v>
      </c>
      <c r="N164" s="11">
        <f t="shared" si="6"/>
        <v>1.576850181</v>
      </c>
      <c r="O164" s="10">
        <v>41.0</v>
      </c>
      <c r="P164" s="10">
        <v>33.0</v>
      </c>
      <c r="Q164" s="10">
        <v>35.0</v>
      </c>
      <c r="R164" s="10">
        <v>31.0</v>
      </c>
      <c r="S164" s="10">
        <v>62.0</v>
      </c>
      <c r="T164" s="10">
        <v>64.0</v>
      </c>
      <c r="U164" s="11">
        <f t="shared" ref="U164:W164" si="337">+R164/O164</f>
        <v>0.756097561</v>
      </c>
      <c r="V164" s="11">
        <f t="shared" si="337"/>
        <v>1.878787879</v>
      </c>
      <c r="W164" s="11">
        <f t="shared" si="337"/>
        <v>1.828571429</v>
      </c>
      <c r="X164" s="11">
        <f t="shared" si="338"/>
        <v>1.487818956</v>
      </c>
    </row>
    <row r="165" ht="15.75" customHeight="1">
      <c r="A165" s="7">
        <v>31602.0</v>
      </c>
      <c r="B165" s="8" t="s">
        <v>32</v>
      </c>
      <c r="C165" s="8" t="s">
        <v>232</v>
      </c>
      <c r="D165" s="9" t="s">
        <v>233</v>
      </c>
      <c r="E165" s="10">
        <v>0.0</v>
      </c>
      <c r="F165" s="10">
        <v>0.0</v>
      </c>
      <c r="G165" s="10">
        <v>57.0</v>
      </c>
      <c r="H165" s="10">
        <v>0.0</v>
      </c>
      <c r="I165" s="10">
        <v>0.0</v>
      </c>
      <c r="J165" s="10">
        <v>93.0</v>
      </c>
      <c r="K165" s="11"/>
      <c r="L165" s="11"/>
      <c r="M165" s="11">
        <f>+J165/G165</f>
        <v>1.631578947</v>
      </c>
      <c r="N165" s="11">
        <f t="shared" si="6"/>
        <v>1.631578947</v>
      </c>
      <c r="O165" s="10">
        <v>52.0</v>
      </c>
      <c r="P165" s="10">
        <v>44.0</v>
      </c>
      <c r="Q165" s="10">
        <v>42.0</v>
      </c>
      <c r="R165" s="10">
        <v>68.0</v>
      </c>
      <c r="S165" s="10">
        <v>45.0</v>
      </c>
      <c r="T165" s="10">
        <v>57.0</v>
      </c>
      <c r="U165" s="11">
        <f t="shared" ref="U165:W165" si="339">+R165/O165</f>
        <v>1.307692308</v>
      </c>
      <c r="V165" s="11">
        <f t="shared" si="339"/>
        <v>1.022727273</v>
      </c>
      <c r="W165" s="11">
        <f t="shared" si="339"/>
        <v>1.357142857</v>
      </c>
      <c r="X165" s="11">
        <f t="shared" si="338"/>
        <v>1.229187479</v>
      </c>
    </row>
    <row r="166" ht="15.75" customHeight="1">
      <c r="A166" s="7">
        <v>40101.0</v>
      </c>
      <c r="B166" s="8" t="s">
        <v>35</v>
      </c>
      <c r="C166" s="8" t="s">
        <v>180</v>
      </c>
      <c r="D166" s="9" t="s">
        <v>35</v>
      </c>
      <c r="E166" s="10">
        <v>511.0</v>
      </c>
      <c r="F166" s="10">
        <v>778.0</v>
      </c>
      <c r="G166" s="10">
        <v>658.0</v>
      </c>
      <c r="H166" s="10">
        <v>917.0</v>
      </c>
      <c r="I166" s="10">
        <v>1249.0</v>
      </c>
      <c r="J166" s="10">
        <v>1273.0</v>
      </c>
      <c r="K166" s="11">
        <f t="shared" ref="K166:M166" si="340">+H166/E166</f>
        <v>1.794520548</v>
      </c>
      <c r="L166" s="11">
        <f t="shared" si="340"/>
        <v>1.605398458</v>
      </c>
      <c r="M166" s="11">
        <f t="shared" si="340"/>
        <v>1.934650456</v>
      </c>
      <c r="N166" s="11">
        <f t="shared" si="6"/>
        <v>1.77818982</v>
      </c>
      <c r="O166" s="10">
        <v>445.0</v>
      </c>
      <c r="P166" s="10">
        <v>307.0</v>
      </c>
      <c r="Q166" s="10">
        <v>325.0</v>
      </c>
      <c r="R166" s="10">
        <v>548.0</v>
      </c>
      <c r="S166" s="10">
        <v>451.0</v>
      </c>
      <c r="T166" s="10">
        <v>487.0</v>
      </c>
      <c r="U166" s="11">
        <f t="shared" ref="U166:W166" si="341">+R166/O166</f>
        <v>1.231460674</v>
      </c>
      <c r="V166" s="11">
        <f t="shared" si="341"/>
        <v>1.469055375</v>
      </c>
      <c r="W166" s="11">
        <f t="shared" si="341"/>
        <v>1.498461538</v>
      </c>
      <c r="X166" s="11">
        <f t="shared" si="338"/>
        <v>1.399659196</v>
      </c>
    </row>
    <row r="167" ht="15.75" customHeight="1">
      <c r="A167" s="7">
        <v>40102.0</v>
      </c>
      <c r="B167" s="8" t="s">
        <v>35</v>
      </c>
      <c r="C167" s="8" t="s">
        <v>180</v>
      </c>
      <c r="D167" s="9" t="s">
        <v>234</v>
      </c>
      <c r="E167" s="10">
        <v>65.0</v>
      </c>
      <c r="F167" s="10">
        <v>69.0</v>
      </c>
      <c r="G167" s="10">
        <v>84.0</v>
      </c>
      <c r="H167" s="10">
        <v>91.0</v>
      </c>
      <c r="I167" s="10">
        <v>76.0</v>
      </c>
      <c r="J167" s="10">
        <v>81.0</v>
      </c>
      <c r="K167" s="11">
        <f t="shared" ref="K167:M167" si="342">+H167/E167</f>
        <v>1.4</v>
      </c>
      <c r="L167" s="11">
        <f t="shared" si="342"/>
        <v>1.101449275</v>
      </c>
      <c r="M167" s="11">
        <f t="shared" si="342"/>
        <v>0.9642857143</v>
      </c>
      <c r="N167" s="11">
        <f t="shared" si="6"/>
        <v>1.155244997</v>
      </c>
      <c r="O167" s="10">
        <v>18.0</v>
      </c>
      <c r="P167" s="10">
        <v>19.0</v>
      </c>
      <c r="Q167" s="10">
        <v>24.0</v>
      </c>
      <c r="R167" s="10">
        <v>25.0</v>
      </c>
      <c r="S167" s="10">
        <v>19.0</v>
      </c>
      <c r="T167" s="10">
        <v>57.0</v>
      </c>
      <c r="U167" s="11">
        <f t="shared" ref="U167:W167" si="343">+R167/O167</f>
        <v>1.388888889</v>
      </c>
      <c r="V167" s="11">
        <f t="shared" si="343"/>
        <v>1</v>
      </c>
      <c r="W167" s="11">
        <f t="shared" si="343"/>
        <v>2.375</v>
      </c>
      <c r="X167" s="11">
        <f t="shared" si="338"/>
        <v>1.587962963</v>
      </c>
    </row>
    <row r="168" ht="15.75" customHeight="1">
      <c r="A168" s="7">
        <v>40103.0</v>
      </c>
      <c r="B168" s="8" t="s">
        <v>35</v>
      </c>
      <c r="C168" s="8" t="s">
        <v>180</v>
      </c>
      <c r="D168" s="9" t="s">
        <v>235</v>
      </c>
      <c r="E168" s="10">
        <v>7.0</v>
      </c>
      <c r="F168" s="10">
        <v>7.0</v>
      </c>
      <c r="G168" s="10">
        <v>20.0</v>
      </c>
      <c r="H168" s="10">
        <v>10.0</v>
      </c>
      <c r="I168" s="10">
        <v>4.0</v>
      </c>
      <c r="J168" s="10">
        <v>18.0</v>
      </c>
      <c r="K168" s="11">
        <f t="shared" ref="K168:M168" si="344">+H168/E168</f>
        <v>1.428571429</v>
      </c>
      <c r="L168" s="11">
        <f t="shared" si="344"/>
        <v>0.5714285714</v>
      </c>
      <c r="M168" s="11">
        <f t="shared" si="344"/>
        <v>0.9</v>
      </c>
      <c r="N168" s="11">
        <f t="shared" si="6"/>
        <v>0.9666666667</v>
      </c>
      <c r="O168" s="10">
        <v>7.0</v>
      </c>
      <c r="P168" s="10">
        <v>3.0</v>
      </c>
      <c r="Q168" s="10">
        <v>6.0</v>
      </c>
      <c r="R168" s="10">
        <v>8.0</v>
      </c>
      <c r="S168" s="10">
        <v>7.0</v>
      </c>
      <c r="T168" s="10">
        <v>10.0</v>
      </c>
      <c r="U168" s="11">
        <f t="shared" ref="U168:W168" si="345">+R168/O168</f>
        <v>1.142857143</v>
      </c>
      <c r="V168" s="11">
        <f t="shared" si="345"/>
        <v>2.333333333</v>
      </c>
      <c r="W168" s="11">
        <f t="shared" si="345"/>
        <v>1.666666667</v>
      </c>
      <c r="X168" s="11">
        <f t="shared" si="338"/>
        <v>1.714285714</v>
      </c>
    </row>
    <row r="169" ht="15.75" customHeight="1">
      <c r="A169" s="7">
        <v>40104.0</v>
      </c>
      <c r="B169" s="8" t="s">
        <v>35</v>
      </c>
      <c r="C169" s="8" t="s">
        <v>180</v>
      </c>
      <c r="D169" s="9" t="s">
        <v>236</v>
      </c>
      <c r="E169" s="10">
        <v>43.0</v>
      </c>
      <c r="F169" s="10">
        <v>56.0</v>
      </c>
      <c r="G169" s="10">
        <v>44.0</v>
      </c>
      <c r="H169" s="10">
        <v>39.0</v>
      </c>
      <c r="I169" s="10">
        <v>53.0</v>
      </c>
      <c r="J169" s="10">
        <v>51.0</v>
      </c>
      <c r="K169" s="11">
        <f t="shared" ref="K169:M169" si="346">+H169/E169</f>
        <v>0.9069767442</v>
      </c>
      <c r="L169" s="11">
        <f t="shared" si="346"/>
        <v>0.9464285714</v>
      </c>
      <c r="M169" s="11">
        <f t="shared" si="346"/>
        <v>1.159090909</v>
      </c>
      <c r="N169" s="11">
        <f t="shared" si="6"/>
        <v>1.004165408</v>
      </c>
      <c r="O169" s="10">
        <v>14.0</v>
      </c>
      <c r="P169" s="10">
        <v>27.0</v>
      </c>
      <c r="Q169" s="10">
        <v>38.0</v>
      </c>
      <c r="R169" s="10">
        <v>23.0</v>
      </c>
      <c r="S169" s="10">
        <v>17.0</v>
      </c>
      <c r="T169" s="10">
        <v>27.0</v>
      </c>
      <c r="U169" s="11">
        <f t="shared" ref="U169:W169" si="347">+R169/O169</f>
        <v>1.642857143</v>
      </c>
      <c r="V169" s="11">
        <f t="shared" si="347"/>
        <v>0.6296296296</v>
      </c>
      <c r="W169" s="11">
        <f t="shared" si="347"/>
        <v>0.7105263158</v>
      </c>
      <c r="X169" s="11">
        <f t="shared" si="338"/>
        <v>0.9943376961</v>
      </c>
    </row>
    <row r="170" ht="15.75" customHeight="1">
      <c r="A170" s="7">
        <v>40201.0</v>
      </c>
      <c r="B170" s="8" t="s">
        <v>35</v>
      </c>
      <c r="C170" s="8" t="s">
        <v>237</v>
      </c>
      <c r="D170" s="9" t="s">
        <v>238</v>
      </c>
      <c r="E170" s="10">
        <v>102.0</v>
      </c>
      <c r="F170" s="10">
        <v>89.0</v>
      </c>
      <c r="G170" s="10">
        <v>126.0</v>
      </c>
      <c r="H170" s="10">
        <v>135.0</v>
      </c>
      <c r="I170" s="10">
        <v>136.0</v>
      </c>
      <c r="J170" s="10">
        <v>168.0</v>
      </c>
      <c r="K170" s="11">
        <f t="shared" ref="K170:M170" si="348">+H170/E170</f>
        <v>1.323529412</v>
      </c>
      <c r="L170" s="11">
        <f t="shared" si="348"/>
        <v>1.528089888</v>
      </c>
      <c r="M170" s="11">
        <f t="shared" si="348"/>
        <v>1.333333333</v>
      </c>
      <c r="N170" s="11">
        <f t="shared" si="6"/>
        <v>1.394984211</v>
      </c>
      <c r="O170" s="10">
        <v>46.0</v>
      </c>
      <c r="P170" s="10">
        <v>55.0</v>
      </c>
      <c r="Q170" s="10">
        <v>45.0</v>
      </c>
      <c r="R170" s="10">
        <v>74.0</v>
      </c>
      <c r="S170" s="10">
        <v>51.0</v>
      </c>
      <c r="T170" s="10">
        <v>51.0</v>
      </c>
      <c r="U170" s="11">
        <f t="shared" ref="U170:W170" si="349">+R170/O170</f>
        <v>1.608695652</v>
      </c>
      <c r="V170" s="11">
        <f t="shared" si="349"/>
        <v>0.9272727273</v>
      </c>
      <c r="W170" s="11">
        <f t="shared" si="349"/>
        <v>1.133333333</v>
      </c>
      <c r="X170" s="11">
        <f t="shared" si="338"/>
        <v>1.223100571</v>
      </c>
    </row>
    <row r="171" ht="15.75" customHeight="1">
      <c r="A171" s="7">
        <v>40202.0</v>
      </c>
      <c r="B171" s="8" t="s">
        <v>35</v>
      </c>
      <c r="C171" s="8" t="s">
        <v>237</v>
      </c>
      <c r="D171" s="9" t="s">
        <v>239</v>
      </c>
      <c r="E171" s="10">
        <v>9.0</v>
      </c>
      <c r="F171" s="10">
        <v>12.0</v>
      </c>
      <c r="G171" s="10">
        <v>5.0</v>
      </c>
      <c r="H171" s="10">
        <v>2.0</v>
      </c>
      <c r="I171" s="10">
        <v>7.0</v>
      </c>
      <c r="J171" s="10">
        <v>10.0</v>
      </c>
      <c r="K171" s="11">
        <f t="shared" ref="K171:M171" si="350">+H171/E171</f>
        <v>0.2222222222</v>
      </c>
      <c r="L171" s="11">
        <f t="shared" si="350"/>
        <v>0.5833333333</v>
      </c>
      <c r="M171" s="11">
        <f t="shared" si="350"/>
        <v>2</v>
      </c>
      <c r="N171" s="11">
        <f t="shared" si="6"/>
        <v>0.9351851852</v>
      </c>
      <c r="O171" s="10">
        <v>5.0</v>
      </c>
      <c r="P171" s="10">
        <v>2.0</v>
      </c>
      <c r="Q171" s="10">
        <v>2.0</v>
      </c>
      <c r="R171" s="10">
        <v>4.0</v>
      </c>
      <c r="S171" s="10">
        <v>2.0</v>
      </c>
      <c r="T171" s="10">
        <v>3.0</v>
      </c>
      <c r="U171" s="11">
        <f t="shared" ref="U171:W171" si="351">+R171/O171</f>
        <v>0.8</v>
      </c>
      <c r="V171" s="11">
        <f t="shared" si="351"/>
        <v>1</v>
      </c>
      <c r="W171" s="11">
        <f t="shared" si="351"/>
        <v>1.5</v>
      </c>
      <c r="X171" s="11">
        <f t="shared" si="338"/>
        <v>1.1</v>
      </c>
    </row>
    <row r="172" ht="15.75" customHeight="1">
      <c r="A172" s="7">
        <v>40301.0</v>
      </c>
      <c r="B172" s="8" t="s">
        <v>35</v>
      </c>
      <c r="C172" s="8" t="s">
        <v>240</v>
      </c>
      <c r="D172" s="9" t="s">
        <v>241</v>
      </c>
      <c r="E172" s="10">
        <v>33.0</v>
      </c>
      <c r="F172" s="10">
        <v>51.0</v>
      </c>
      <c r="G172" s="10">
        <v>30.0</v>
      </c>
      <c r="H172" s="10">
        <v>26.0</v>
      </c>
      <c r="I172" s="10">
        <v>53.0</v>
      </c>
      <c r="J172" s="10">
        <v>32.0</v>
      </c>
      <c r="K172" s="11">
        <f t="shared" ref="K172:M172" si="352">+H172/E172</f>
        <v>0.7878787879</v>
      </c>
      <c r="L172" s="11">
        <f t="shared" si="352"/>
        <v>1.039215686</v>
      </c>
      <c r="M172" s="11">
        <f t="shared" si="352"/>
        <v>1.066666667</v>
      </c>
      <c r="N172" s="11">
        <f t="shared" si="6"/>
        <v>0.9645870469</v>
      </c>
      <c r="O172" s="10">
        <v>10.0</v>
      </c>
      <c r="P172" s="10">
        <v>12.0</v>
      </c>
      <c r="Q172" s="10">
        <v>22.0</v>
      </c>
      <c r="R172" s="10">
        <v>10.0</v>
      </c>
      <c r="S172" s="10">
        <v>17.0</v>
      </c>
      <c r="T172" s="10">
        <v>25.0</v>
      </c>
      <c r="U172" s="11">
        <f t="shared" ref="U172:W172" si="353">+R172/O172</f>
        <v>1</v>
      </c>
      <c r="V172" s="11">
        <f t="shared" si="353"/>
        <v>1.416666667</v>
      </c>
      <c r="W172" s="11">
        <f t="shared" si="353"/>
        <v>1.136363636</v>
      </c>
      <c r="X172" s="11">
        <f t="shared" si="338"/>
        <v>1.184343434</v>
      </c>
    </row>
    <row r="173" ht="15.75" customHeight="1">
      <c r="A173" s="7">
        <v>40302.0</v>
      </c>
      <c r="B173" s="8" t="s">
        <v>35</v>
      </c>
      <c r="C173" s="8" t="s">
        <v>240</v>
      </c>
      <c r="D173" s="9" t="s">
        <v>242</v>
      </c>
      <c r="E173" s="10">
        <v>6.0</v>
      </c>
      <c r="F173" s="10">
        <v>6.0</v>
      </c>
      <c r="G173" s="10">
        <v>5.0</v>
      </c>
      <c r="H173" s="10">
        <v>4.0</v>
      </c>
      <c r="I173" s="10">
        <v>10.0</v>
      </c>
      <c r="J173" s="10">
        <v>5.0</v>
      </c>
      <c r="K173" s="11">
        <f t="shared" ref="K173:M173" si="354">+H173/E173</f>
        <v>0.6666666667</v>
      </c>
      <c r="L173" s="11">
        <f t="shared" si="354"/>
        <v>1.666666667</v>
      </c>
      <c r="M173" s="11">
        <f t="shared" si="354"/>
        <v>1</v>
      </c>
      <c r="N173" s="11">
        <f t="shared" si="6"/>
        <v>1.111111111</v>
      </c>
      <c r="O173" s="10">
        <v>0.0</v>
      </c>
      <c r="P173" s="10">
        <v>0.0</v>
      </c>
      <c r="Q173" s="10"/>
      <c r="R173" s="10">
        <v>1.0</v>
      </c>
      <c r="S173" s="10">
        <v>0.0</v>
      </c>
      <c r="T173" s="10"/>
      <c r="U173" s="11"/>
      <c r="V173" s="11"/>
      <c r="W173" s="11"/>
      <c r="X173" s="11"/>
    </row>
    <row r="174" ht="15.75" customHeight="1">
      <c r="A174" s="7">
        <v>40401.0</v>
      </c>
      <c r="B174" s="8" t="s">
        <v>35</v>
      </c>
      <c r="C174" s="8" t="s">
        <v>243</v>
      </c>
      <c r="D174" s="9" t="s">
        <v>244</v>
      </c>
      <c r="E174" s="10">
        <v>14.0</v>
      </c>
      <c r="F174" s="10">
        <v>9.0</v>
      </c>
      <c r="G174" s="10">
        <v>12.0</v>
      </c>
      <c r="H174" s="10">
        <v>7.0</v>
      </c>
      <c r="I174" s="10">
        <v>11.0</v>
      </c>
      <c r="J174" s="10">
        <v>8.0</v>
      </c>
      <c r="K174" s="11">
        <f t="shared" ref="K174:M174" si="355">+H174/E174</f>
        <v>0.5</v>
      </c>
      <c r="L174" s="11">
        <f t="shared" si="355"/>
        <v>1.222222222</v>
      </c>
      <c r="M174" s="11">
        <f t="shared" si="355"/>
        <v>0.6666666667</v>
      </c>
      <c r="N174" s="11">
        <f t="shared" si="6"/>
        <v>0.7962962963</v>
      </c>
      <c r="O174" s="10">
        <v>3.0</v>
      </c>
      <c r="P174" s="10">
        <v>1.0</v>
      </c>
      <c r="Q174" s="10">
        <v>1.0</v>
      </c>
      <c r="R174" s="10">
        <v>2.0</v>
      </c>
      <c r="S174" s="10">
        <v>3.0</v>
      </c>
      <c r="T174" s="10">
        <v>2.0</v>
      </c>
      <c r="U174" s="11">
        <f t="shared" ref="U174:W174" si="356">+R174/O174</f>
        <v>0.6666666667</v>
      </c>
      <c r="V174" s="11">
        <f t="shared" si="356"/>
        <v>3</v>
      </c>
      <c r="W174" s="11">
        <f t="shared" si="356"/>
        <v>2</v>
      </c>
      <c r="X174" s="11">
        <f t="shared" ref="X174:X177" si="359">AVERAGE(U174:W174)</f>
        <v>1.888888889</v>
      </c>
    </row>
    <row r="175" ht="15.75" customHeight="1">
      <c r="A175" s="7">
        <v>40402.0</v>
      </c>
      <c r="B175" s="8" t="s">
        <v>35</v>
      </c>
      <c r="C175" s="8" t="s">
        <v>243</v>
      </c>
      <c r="D175" s="9" t="s">
        <v>245</v>
      </c>
      <c r="E175" s="10">
        <v>8.0</v>
      </c>
      <c r="F175" s="10">
        <v>7.0</v>
      </c>
      <c r="G175" s="10">
        <v>10.0</v>
      </c>
      <c r="H175" s="10">
        <v>5.0</v>
      </c>
      <c r="I175" s="10">
        <v>6.0</v>
      </c>
      <c r="J175" s="10">
        <v>9.0</v>
      </c>
      <c r="K175" s="11">
        <f t="shared" ref="K175:M175" si="357">+H175/E175</f>
        <v>0.625</v>
      </c>
      <c r="L175" s="11">
        <f t="shared" si="357"/>
        <v>0.8571428571</v>
      </c>
      <c r="M175" s="11">
        <f t="shared" si="357"/>
        <v>0.9</v>
      </c>
      <c r="N175" s="11">
        <f t="shared" si="6"/>
        <v>0.794047619</v>
      </c>
      <c r="O175" s="10">
        <v>2.0</v>
      </c>
      <c r="P175" s="10">
        <v>6.0</v>
      </c>
      <c r="Q175" s="10">
        <v>5.0</v>
      </c>
      <c r="R175" s="10">
        <v>4.0</v>
      </c>
      <c r="S175" s="10">
        <v>4.0</v>
      </c>
      <c r="T175" s="10">
        <v>2.0</v>
      </c>
      <c r="U175" s="11">
        <f t="shared" ref="U175:W175" si="358">+R175/O175</f>
        <v>2</v>
      </c>
      <c r="V175" s="11">
        <f t="shared" si="358"/>
        <v>0.6666666667</v>
      </c>
      <c r="W175" s="11">
        <f t="shared" si="358"/>
        <v>0.4</v>
      </c>
      <c r="X175" s="11">
        <f t="shared" si="359"/>
        <v>1.022222222</v>
      </c>
    </row>
    <row r="176" ht="15.75" customHeight="1">
      <c r="A176" s="7">
        <v>40501.0</v>
      </c>
      <c r="B176" s="8" t="s">
        <v>35</v>
      </c>
      <c r="C176" s="8" t="s">
        <v>246</v>
      </c>
      <c r="D176" s="9" t="s">
        <v>247</v>
      </c>
      <c r="E176" s="10">
        <v>5.0</v>
      </c>
      <c r="F176" s="10">
        <v>2.0</v>
      </c>
      <c r="G176" s="10">
        <v>2.0</v>
      </c>
      <c r="H176" s="10">
        <v>1.0</v>
      </c>
      <c r="I176" s="10">
        <v>3.0</v>
      </c>
      <c r="J176" s="10">
        <v>2.0</v>
      </c>
      <c r="K176" s="11">
        <f t="shared" ref="K176:M176" si="360">+H176/E176</f>
        <v>0.2</v>
      </c>
      <c r="L176" s="11">
        <f t="shared" si="360"/>
        <v>1.5</v>
      </c>
      <c r="M176" s="11">
        <f t="shared" si="360"/>
        <v>1</v>
      </c>
      <c r="N176" s="11">
        <f t="shared" si="6"/>
        <v>0.9</v>
      </c>
      <c r="O176" s="10">
        <v>0.0</v>
      </c>
      <c r="P176" s="10">
        <v>0.0</v>
      </c>
      <c r="Q176" s="10">
        <v>1.0</v>
      </c>
      <c r="R176" s="10">
        <v>0.0</v>
      </c>
      <c r="S176" s="10">
        <v>1.0</v>
      </c>
      <c r="T176" s="10">
        <v>2.0</v>
      </c>
      <c r="U176" s="11"/>
      <c r="V176" s="11"/>
      <c r="W176" s="11">
        <f>+T176/Q176</f>
        <v>2</v>
      </c>
      <c r="X176" s="11">
        <f t="shared" si="359"/>
        <v>2</v>
      </c>
    </row>
    <row r="177" ht="15.75" customHeight="1">
      <c r="A177" s="7">
        <v>40502.0</v>
      </c>
      <c r="B177" s="8" t="s">
        <v>35</v>
      </c>
      <c r="C177" s="8" t="s">
        <v>246</v>
      </c>
      <c r="D177" s="9" t="s">
        <v>248</v>
      </c>
      <c r="E177" s="10">
        <v>3.0</v>
      </c>
      <c r="F177" s="10">
        <v>0.0</v>
      </c>
      <c r="G177" s="10">
        <v>0.0</v>
      </c>
      <c r="H177" s="10">
        <v>4.0</v>
      </c>
      <c r="I177" s="10">
        <v>5.0</v>
      </c>
      <c r="J177" s="10">
        <v>1.0</v>
      </c>
      <c r="K177" s="11">
        <f>+H177/E177</f>
        <v>1.333333333</v>
      </c>
      <c r="L177" s="11"/>
      <c r="M177" s="11"/>
      <c r="N177" s="11">
        <f t="shared" si="6"/>
        <v>1.333333333</v>
      </c>
      <c r="O177" s="10">
        <v>1.0</v>
      </c>
      <c r="P177" s="10">
        <v>0.0</v>
      </c>
      <c r="Q177" s="10"/>
      <c r="R177" s="10">
        <v>1.0</v>
      </c>
      <c r="S177" s="10">
        <v>1.0</v>
      </c>
      <c r="T177" s="10"/>
      <c r="U177" s="11">
        <f>+R177/O177</f>
        <v>1</v>
      </c>
      <c r="V177" s="11"/>
      <c r="W177" s="11"/>
      <c r="X177" s="11">
        <f t="shared" si="359"/>
        <v>1</v>
      </c>
    </row>
    <row r="178" ht="15.75" customHeight="1">
      <c r="A178" s="7">
        <v>40503.0</v>
      </c>
      <c r="B178" s="8" t="s">
        <v>35</v>
      </c>
      <c r="C178" s="8" t="s">
        <v>246</v>
      </c>
      <c r="D178" s="9" t="s">
        <v>249</v>
      </c>
      <c r="E178" s="10">
        <v>0.0</v>
      </c>
      <c r="F178" s="10">
        <v>0.0</v>
      </c>
      <c r="G178" s="10">
        <v>1.0</v>
      </c>
      <c r="H178" s="10">
        <v>0.0</v>
      </c>
      <c r="I178" s="10">
        <v>0.0</v>
      </c>
      <c r="J178" s="10">
        <v>0.0</v>
      </c>
      <c r="K178" s="11"/>
      <c r="L178" s="11"/>
      <c r="M178" s="11">
        <f t="shared" ref="M178:M179" si="361">+J178/G178</f>
        <v>0</v>
      </c>
      <c r="N178" s="11">
        <f t="shared" si="6"/>
        <v>0</v>
      </c>
      <c r="O178" s="10"/>
      <c r="P178" s="10"/>
      <c r="Q178" s="10"/>
      <c r="R178" s="10"/>
      <c r="S178" s="10"/>
      <c r="T178" s="10"/>
      <c r="U178" s="11"/>
      <c r="V178" s="11"/>
      <c r="W178" s="11"/>
      <c r="X178" s="11"/>
    </row>
    <row r="179" ht="15.75" customHeight="1">
      <c r="A179" s="7">
        <v>40504.0</v>
      </c>
      <c r="B179" s="8" t="s">
        <v>35</v>
      </c>
      <c r="C179" s="8" t="s">
        <v>246</v>
      </c>
      <c r="D179" s="9" t="s">
        <v>250</v>
      </c>
      <c r="E179" s="10">
        <v>0.0</v>
      </c>
      <c r="F179" s="10">
        <v>0.0</v>
      </c>
      <c r="G179" s="10">
        <v>1.0</v>
      </c>
      <c r="H179" s="10">
        <v>1.0</v>
      </c>
      <c r="I179" s="10">
        <v>0.0</v>
      </c>
      <c r="J179" s="10">
        <v>1.0</v>
      </c>
      <c r="K179" s="11"/>
      <c r="L179" s="11"/>
      <c r="M179" s="11">
        <f t="shared" si="361"/>
        <v>1</v>
      </c>
      <c r="N179" s="11">
        <f t="shared" si="6"/>
        <v>1</v>
      </c>
      <c r="O179" s="10"/>
      <c r="P179" s="10"/>
      <c r="Q179" s="10"/>
      <c r="R179" s="10"/>
      <c r="S179" s="10"/>
      <c r="T179" s="10"/>
      <c r="U179" s="11"/>
      <c r="V179" s="11"/>
      <c r="W179" s="11"/>
      <c r="X179" s="11"/>
    </row>
    <row r="180" ht="15.75" customHeight="1">
      <c r="A180" s="7">
        <v>40505.0</v>
      </c>
      <c r="B180" s="8" t="s">
        <v>35</v>
      </c>
      <c r="C180" s="8" t="s">
        <v>246</v>
      </c>
      <c r="D180" s="9" t="s">
        <v>251</v>
      </c>
      <c r="E180" s="10">
        <v>0.0</v>
      </c>
      <c r="F180" s="10">
        <v>1.0</v>
      </c>
      <c r="G180" s="10">
        <v>0.0</v>
      </c>
      <c r="H180" s="10">
        <v>2.0</v>
      </c>
      <c r="I180" s="10">
        <v>0.0</v>
      </c>
      <c r="J180" s="10">
        <v>2.0</v>
      </c>
      <c r="K180" s="11"/>
      <c r="L180" s="11">
        <f>+I180/F180</f>
        <v>0</v>
      </c>
      <c r="M180" s="11"/>
      <c r="N180" s="11">
        <f t="shared" si="6"/>
        <v>0</v>
      </c>
      <c r="O180" s="10"/>
      <c r="P180" s="10"/>
      <c r="Q180" s="10"/>
      <c r="R180" s="10"/>
      <c r="S180" s="10"/>
      <c r="T180" s="10"/>
      <c r="U180" s="11"/>
      <c r="V180" s="11"/>
      <c r="W180" s="11"/>
      <c r="X180" s="11"/>
    </row>
    <row r="181" ht="15.75" customHeight="1">
      <c r="A181" s="7">
        <v>40601.0</v>
      </c>
      <c r="B181" s="8" t="s">
        <v>35</v>
      </c>
      <c r="C181" s="8" t="s">
        <v>252</v>
      </c>
      <c r="D181" s="9" t="s">
        <v>252</v>
      </c>
      <c r="E181" s="10">
        <v>12.0</v>
      </c>
      <c r="F181" s="10">
        <v>8.0</v>
      </c>
      <c r="G181" s="10">
        <v>14.0</v>
      </c>
      <c r="H181" s="10">
        <v>15.0</v>
      </c>
      <c r="I181" s="10">
        <v>13.0</v>
      </c>
      <c r="J181" s="10">
        <v>20.0</v>
      </c>
      <c r="K181" s="11">
        <f t="shared" ref="K181:M181" si="362">+H181/E181</f>
        <v>1.25</v>
      </c>
      <c r="L181" s="11">
        <f t="shared" si="362"/>
        <v>1.625</v>
      </c>
      <c r="M181" s="11">
        <f t="shared" si="362"/>
        <v>1.428571429</v>
      </c>
      <c r="N181" s="11">
        <f t="shared" si="6"/>
        <v>1.43452381</v>
      </c>
      <c r="O181" s="10">
        <v>7.0</v>
      </c>
      <c r="P181" s="10">
        <v>10.0</v>
      </c>
      <c r="Q181" s="10">
        <v>9.0</v>
      </c>
      <c r="R181" s="10">
        <v>14.0</v>
      </c>
      <c r="S181" s="10">
        <v>10.0</v>
      </c>
      <c r="T181" s="10">
        <v>16.0</v>
      </c>
      <c r="U181" s="11">
        <f t="shared" ref="U181:W181" si="363">+R181/O181</f>
        <v>2</v>
      </c>
      <c r="V181" s="11">
        <f t="shared" si="363"/>
        <v>1</v>
      </c>
      <c r="W181" s="11">
        <f t="shared" si="363"/>
        <v>1.777777778</v>
      </c>
      <c r="X181" s="11">
        <f t="shared" ref="X181:X198" si="366">AVERAGE(U181:W181)</f>
        <v>1.592592593</v>
      </c>
    </row>
    <row r="182" ht="15.75" customHeight="1">
      <c r="A182" s="7">
        <v>40602.0</v>
      </c>
      <c r="B182" s="8" t="s">
        <v>35</v>
      </c>
      <c r="C182" s="8" t="s">
        <v>252</v>
      </c>
      <c r="D182" s="9" t="s">
        <v>253</v>
      </c>
      <c r="E182" s="10">
        <v>12.0</v>
      </c>
      <c r="F182" s="10">
        <v>14.0</v>
      </c>
      <c r="G182" s="10">
        <v>8.0</v>
      </c>
      <c r="H182" s="10">
        <v>14.0</v>
      </c>
      <c r="I182" s="10">
        <v>19.0</v>
      </c>
      <c r="J182" s="10">
        <v>7.0</v>
      </c>
      <c r="K182" s="11">
        <f t="shared" ref="K182:M182" si="364">+H182/E182</f>
        <v>1.166666667</v>
      </c>
      <c r="L182" s="11">
        <f t="shared" si="364"/>
        <v>1.357142857</v>
      </c>
      <c r="M182" s="11">
        <f t="shared" si="364"/>
        <v>0.875</v>
      </c>
      <c r="N182" s="11">
        <f t="shared" si="6"/>
        <v>1.132936508</v>
      </c>
      <c r="O182" s="10">
        <v>8.0</v>
      </c>
      <c r="P182" s="10">
        <v>5.0</v>
      </c>
      <c r="Q182" s="10">
        <v>4.0</v>
      </c>
      <c r="R182" s="10">
        <v>5.0</v>
      </c>
      <c r="S182" s="10">
        <v>19.0</v>
      </c>
      <c r="T182" s="10">
        <v>10.0</v>
      </c>
      <c r="U182" s="11">
        <f t="shared" ref="U182:W182" si="365">+R182/O182</f>
        <v>0.625</v>
      </c>
      <c r="V182" s="11">
        <f t="shared" si="365"/>
        <v>3.8</v>
      </c>
      <c r="W182" s="11">
        <f t="shared" si="365"/>
        <v>2.5</v>
      </c>
      <c r="X182" s="11">
        <f t="shared" si="366"/>
        <v>2.308333333</v>
      </c>
    </row>
    <row r="183" ht="15.75" customHeight="1">
      <c r="A183" s="7">
        <v>40603.0</v>
      </c>
      <c r="B183" s="8" t="s">
        <v>35</v>
      </c>
      <c r="C183" s="8" t="s">
        <v>252</v>
      </c>
      <c r="D183" s="9" t="s">
        <v>254</v>
      </c>
      <c r="E183" s="10">
        <v>5.0</v>
      </c>
      <c r="F183" s="10">
        <v>7.0</v>
      </c>
      <c r="G183" s="10">
        <v>5.0</v>
      </c>
      <c r="H183" s="10">
        <v>3.0</v>
      </c>
      <c r="I183" s="10">
        <v>8.0</v>
      </c>
      <c r="J183" s="10">
        <v>4.0</v>
      </c>
      <c r="K183" s="11">
        <f t="shared" ref="K183:M183" si="367">+H183/E183</f>
        <v>0.6</v>
      </c>
      <c r="L183" s="11">
        <f t="shared" si="367"/>
        <v>1.142857143</v>
      </c>
      <c r="M183" s="11">
        <f t="shared" si="367"/>
        <v>0.8</v>
      </c>
      <c r="N183" s="11">
        <f t="shared" si="6"/>
        <v>0.8476190476</v>
      </c>
      <c r="O183" s="10">
        <v>2.0</v>
      </c>
      <c r="P183" s="10">
        <v>0.0</v>
      </c>
      <c r="Q183" s="10">
        <v>1.0</v>
      </c>
      <c r="R183" s="10">
        <v>0.0</v>
      </c>
      <c r="S183" s="10">
        <v>1.0</v>
      </c>
      <c r="T183" s="10">
        <v>0.0</v>
      </c>
      <c r="U183" s="11">
        <f t="shared" ref="U183:U193" si="369">+R183/O183</f>
        <v>0</v>
      </c>
      <c r="V183" s="11"/>
      <c r="W183" s="11">
        <f>+T183/Q183</f>
        <v>0</v>
      </c>
      <c r="X183" s="11">
        <f t="shared" si="366"/>
        <v>0</v>
      </c>
    </row>
    <row r="184" ht="15.75" customHeight="1">
      <c r="A184" s="7">
        <v>40701.0</v>
      </c>
      <c r="B184" s="8" t="s">
        <v>35</v>
      </c>
      <c r="C184" s="8" t="s">
        <v>255</v>
      </c>
      <c r="D184" s="9" t="s">
        <v>256</v>
      </c>
      <c r="E184" s="10">
        <v>71.0</v>
      </c>
      <c r="F184" s="10">
        <v>103.0</v>
      </c>
      <c r="G184" s="10">
        <v>126.0</v>
      </c>
      <c r="H184" s="10">
        <v>108.0</v>
      </c>
      <c r="I184" s="10">
        <v>171.0</v>
      </c>
      <c r="J184" s="10">
        <v>218.0</v>
      </c>
      <c r="K184" s="11">
        <f t="shared" ref="K184:M184" si="368">+H184/E184</f>
        <v>1.521126761</v>
      </c>
      <c r="L184" s="11">
        <f t="shared" si="368"/>
        <v>1.660194175</v>
      </c>
      <c r="M184" s="11">
        <f t="shared" si="368"/>
        <v>1.73015873</v>
      </c>
      <c r="N184" s="11">
        <f t="shared" si="6"/>
        <v>1.637159888</v>
      </c>
      <c r="O184" s="10">
        <v>14.0</v>
      </c>
      <c r="P184" s="10">
        <v>22.0</v>
      </c>
      <c r="Q184" s="10">
        <v>19.0</v>
      </c>
      <c r="R184" s="10">
        <v>21.0</v>
      </c>
      <c r="S184" s="10">
        <v>40.0</v>
      </c>
      <c r="T184" s="10">
        <v>18.0</v>
      </c>
      <c r="U184" s="11">
        <f t="shared" si="369"/>
        <v>1.5</v>
      </c>
      <c r="V184" s="11">
        <f t="shared" ref="V184:W184" si="370">+S184/P184</f>
        <v>1.818181818</v>
      </c>
      <c r="W184" s="11">
        <f t="shared" si="370"/>
        <v>0.9473684211</v>
      </c>
      <c r="X184" s="11">
        <f t="shared" si="366"/>
        <v>1.42185008</v>
      </c>
    </row>
    <row r="185" ht="15.75" customHeight="1">
      <c r="A185" s="7">
        <v>40702.0</v>
      </c>
      <c r="B185" s="8" t="s">
        <v>35</v>
      </c>
      <c r="C185" s="8" t="s">
        <v>255</v>
      </c>
      <c r="D185" s="9" t="s">
        <v>257</v>
      </c>
      <c r="E185" s="10">
        <v>13.0</v>
      </c>
      <c r="F185" s="10">
        <v>3.0</v>
      </c>
      <c r="G185" s="10">
        <v>16.0</v>
      </c>
      <c r="H185" s="10">
        <v>13.0</v>
      </c>
      <c r="I185" s="10">
        <v>9.0</v>
      </c>
      <c r="J185" s="10">
        <v>15.0</v>
      </c>
      <c r="K185" s="11">
        <f t="shared" ref="K185:M185" si="371">+H185/E185</f>
        <v>1</v>
      </c>
      <c r="L185" s="11">
        <f t="shared" si="371"/>
        <v>3</v>
      </c>
      <c r="M185" s="11">
        <f t="shared" si="371"/>
        <v>0.9375</v>
      </c>
      <c r="N185" s="11">
        <f t="shared" si="6"/>
        <v>1.645833333</v>
      </c>
      <c r="O185" s="10">
        <v>10.0</v>
      </c>
      <c r="P185" s="10">
        <v>9.0</v>
      </c>
      <c r="Q185" s="10">
        <v>16.0</v>
      </c>
      <c r="R185" s="10">
        <v>7.0</v>
      </c>
      <c r="S185" s="10">
        <v>16.0</v>
      </c>
      <c r="T185" s="10">
        <v>11.0</v>
      </c>
      <c r="U185" s="11">
        <f t="shared" si="369"/>
        <v>0.7</v>
      </c>
      <c r="V185" s="11">
        <f t="shared" ref="V185:W185" si="372">+S185/P185</f>
        <v>1.777777778</v>
      </c>
      <c r="W185" s="11">
        <f t="shared" si="372"/>
        <v>0.6875</v>
      </c>
      <c r="X185" s="11">
        <f t="shared" si="366"/>
        <v>1.055092593</v>
      </c>
    </row>
    <row r="186" ht="15.75" customHeight="1">
      <c r="A186" s="7">
        <v>40801.0</v>
      </c>
      <c r="B186" s="8" t="s">
        <v>35</v>
      </c>
      <c r="C186" s="8" t="s">
        <v>258</v>
      </c>
      <c r="D186" s="9" t="s">
        <v>259</v>
      </c>
      <c r="E186" s="10">
        <v>19.0</v>
      </c>
      <c r="F186" s="10">
        <v>9.0</v>
      </c>
      <c r="G186" s="10">
        <v>34.0</v>
      </c>
      <c r="H186" s="10">
        <v>16.0</v>
      </c>
      <c r="I186" s="10">
        <v>17.0</v>
      </c>
      <c r="J186" s="10">
        <v>39.0</v>
      </c>
      <c r="K186" s="11">
        <f t="shared" ref="K186:M186" si="373">+H186/E186</f>
        <v>0.8421052632</v>
      </c>
      <c r="L186" s="11">
        <f t="shared" si="373"/>
        <v>1.888888889</v>
      </c>
      <c r="M186" s="11">
        <f t="shared" si="373"/>
        <v>1.147058824</v>
      </c>
      <c r="N186" s="11">
        <f t="shared" si="6"/>
        <v>1.292684325</v>
      </c>
      <c r="O186" s="10">
        <v>10.0</v>
      </c>
      <c r="P186" s="10">
        <v>7.0</v>
      </c>
      <c r="Q186" s="10">
        <v>5.0</v>
      </c>
      <c r="R186" s="10">
        <v>5.0</v>
      </c>
      <c r="S186" s="10">
        <v>11.0</v>
      </c>
      <c r="T186" s="10">
        <v>8.0</v>
      </c>
      <c r="U186" s="11">
        <f t="shared" si="369"/>
        <v>0.5</v>
      </c>
      <c r="V186" s="11">
        <f t="shared" ref="V186:W186" si="374">+S186/P186</f>
        <v>1.571428571</v>
      </c>
      <c r="W186" s="11">
        <f t="shared" si="374"/>
        <v>1.6</v>
      </c>
      <c r="X186" s="11">
        <f t="shared" si="366"/>
        <v>1.223809524</v>
      </c>
    </row>
    <row r="187" ht="15.75" customHeight="1">
      <c r="A187" s="7">
        <v>40802.0</v>
      </c>
      <c r="B187" s="8" t="s">
        <v>35</v>
      </c>
      <c r="C187" s="8" t="s">
        <v>258</v>
      </c>
      <c r="D187" s="9" t="s">
        <v>260</v>
      </c>
      <c r="E187" s="10">
        <v>5.0</v>
      </c>
      <c r="F187" s="10">
        <v>6.0</v>
      </c>
      <c r="G187" s="10">
        <v>5.0</v>
      </c>
      <c r="H187" s="10">
        <v>4.0</v>
      </c>
      <c r="I187" s="10">
        <v>4.0</v>
      </c>
      <c r="J187" s="10">
        <v>4.0</v>
      </c>
      <c r="K187" s="11">
        <f t="shared" ref="K187:M187" si="375">+H187/E187</f>
        <v>0.8</v>
      </c>
      <c r="L187" s="11">
        <f t="shared" si="375"/>
        <v>0.6666666667</v>
      </c>
      <c r="M187" s="11">
        <f t="shared" si="375"/>
        <v>0.8</v>
      </c>
      <c r="N187" s="11">
        <f t="shared" si="6"/>
        <v>0.7555555556</v>
      </c>
      <c r="O187" s="10">
        <v>4.0</v>
      </c>
      <c r="P187" s="10">
        <v>1.0</v>
      </c>
      <c r="Q187" s="10">
        <v>2.0</v>
      </c>
      <c r="R187" s="10">
        <v>2.0</v>
      </c>
      <c r="S187" s="10">
        <v>0.0</v>
      </c>
      <c r="T187" s="10">
        <v>4.0</v>
      </c>
      <c r="U187" s="11">
        <f t="shared" si="369"/>
        <v>0.5</v>
      </c>
      <c r="V187" s="11">
        <f t="shared" ref="V187:W187" si="376">+S187/P187</f>
        <v>0</v>
      </c>
      <c r="W187" s="11">
        <f t="shared" si="376"/>
        <v>2</v>
      </c>
      <c r="X187" s="11">
        <f t="shared" si="366"/>
        <v>0.8333333333</v>
      </c>
    </row>
    <row r="188" ht="15.75" customHeight="1">
      <c r="A188" s="7">
        <v>40901.0</v>
      </c>
      <c r="B188" s="8" t="s">
        <v>35</v>
      </c>
      <c r="C188" s="8" t="s">
        <v>261</v>
      </c>
      <c r="D188" s="9" t="s">
        <v>261</v>
      </c>
      <c r="E188" s="10">
        <v>10.0</v>
      </c>
      <c r="F188" s="10">
        <v>5.0</v>
      </c>
      <c r="G188" s="10">
        <v>7.0</v>
      </c>
      <c r="H188" s="10">
        <v>8.0</v>
      </c>
      <c r="I188" s="10">
        <v>3.0</v>
      </c>
      <c r="J188" s="10">
        <v>4.0</v>
      </c>
      <c r="K188" s="11">
        <f t="shared" ref="K188:M188" si="377">+H188/E188</f>
        <v>0.8</v>
      </c>
      <c r="L188" s="11">
        <f t="shared" si="377"/>
        <v>0.6</v>
      </c>
      <c r="M188" s="11">
        <f t="shared" si="377"/>
        <v>0.5714285714</v>
      </c>
      <c r="N188" s="11">
        <f t="shared" si="6"/>
        <v>0.6571428571</v>
      </c>
      <c r="O188" s="10">
        <v>1.0</v>
      </c>
      <c r="P188" s="10">
        <v>4.0</v>
      </c>
      <c r="Q188" s="10">
        <v>5.0</v>
      </c>
      <c r="R188" s="10">
        <v>3.0</v>
      </c>
      <c r="S188" s="10">
        <v>2.0</v>
      </c>
      <c r="T188" s="10">
        <v>6.0</v>
      </c>
      <c r="U188" s="11">
        <f t="shared" si="369"/>
        <v>3</v>
      </c>
      <c r="V188" s="11">
        <f t="shared" ref="V188:W188" si="378">+S188/P188</f>
        <v>0.5</v>
      </c>
      <c r="W188" s="11">
        <f t="shared" si="378"/>
        <v>1.2</v>
      </c>
      <c r="X188" s="11">
        <f t="shared" si="366"/>
        <v>1.566666667</v>
      </c>
    </row>
    <row r="189" ht="15.75" customHeight="1">
      <c r="A189" s="7">
        <v>40902.0</v>
      </c>
      <c r="B189" s="8" t="s">
        <v>35</v>
      </c>
      <c r="C189" s="8" t="s">
        <v>261</v>
      </c>
      <c r="D189" s="9" t="s">
        <v>262</v>
      </c>
      <c r="E189" s="10">
        <v>1.0</v>
      </c>
      <c r="F189" s="10">
        <v>1.0</v>
      </c>
      <c r="G189" s="10">
        <v>7.0</v>
      </c>
      <c r="H189" s="10">
        <v>2.0</v>
      </c>
      <c r="I189" s="10">
        <v>0.0</v>
      </c>
      <c r="J189" s="10">
        <v>7.0</v>
      </c>
      <c r="K189" s="11">
        <f t="shared" ref="K189:M189" si="379">+H189/E189</f>
        <v>2</v>
      </c>
      <c r="L189" s="11">
        <f t="shared" si="379"/>
        <v>0</v>
      </c>
      <c r="M189" s="11">
        <f t="shared" si="379"/>
        <v>1</v>
      </c>
      <c r="N189" s="11">
        <f t="shared" si="6"/>
        <v>1</v>
      </c>
      <c r="O189" s="10">
        <v>2.0</v>
      </c>
      <c r="P189" s="10">
        <v>0.0</v>
      </c>
      <c r="Q189" s="10"/>
      <c r="R189" s="10">
        <v>0.0</v>
      </c>
      <c r="S189" s="10">
        <v>1.0</v>
      </c>
      <c r="T189" s="10"/>
      <c r="U189" s="11">
        <f t="shared" si="369"/>
        <v>0</v>
      </c>
      <c r="V189" s="11"/>
      <c r="W189" s="11"/>
      <c r="X189" s="11">
        <f t="shared" si="366"/>
        <v>0</v>
      </c>
    </row>
    <row r="190" ht="15.75" customHeight="1">
      <c r="A190" s="7">
        <v>40903.0</v>
      </c>
      <c r="B190" s="8" t="s">
        <v>35</v>
      </c>
      <c r="C190" s="8" t="s">
        <v>261</v>
      </c>
      <c r="D190" s="9" t="s">
        <v>263</v>
      </c>
      <c r="E190" s="10">
        <v>11.0</v>
      </c>
      <c r="F190" s="10">
        <v>6.0</v>
      </c>
      <c r="G190" s="10">
        <v>22.0</v>
      </c>
      <c r="H190" s="10">
        <v>6.0</v>
      </c>
      <c r="I190" s="10">
        <v>7.0</v>
      </c>
      <c r="J190" s="10">
        <v>12.0</v>
      </c>
      <c r="K190" s="11">
        <f t="shared" ref="K190:M190" si="380">+H190/E190</f>
        <v>0.5454545455</v>
      </c>
      <c r="L190" s="11">
        <f t="shared" si="380"/>
        <v>1.166666667</v>
      </c>
      <c r="M190" s="11">
        <f t="shared" si="380"/>
        <v>0.5454545455</v>
      </c>
      <c r="N190" s="11">
        <f t="shared" si="6"/>
        <v>0.7525252525</v>
      </c>
      <c r="O190" s="10">
        <v>6.0</v>
      </c>
      <c r="P190" s="10">
        <v>5.0</v>
      </c>
      <c r="Q190" s="10">
        <v>6.0</v>
      </c>
      <c r="R190" s="10">
        <v>3.0</v>
      </c>
      <c r="S190" s="10">
        <v>8.0</v>
      </c>
      <c r="T190" s="10">
        <v>12.0</v>
      </c>
      <c r="U190" s="11">
        <f t="shared" si="369"/>
        <v>0.5</v>
      </c>
      <c r="V190" s="11">
        <f t="shared" ref="V190:W190" si="381">+S190/P190</f>
        <v>1.6</v>
      </c>
      <c r="W190" s="11">
        <f t="shared" si="381"/>
        <v>2</v>
      </c>
      <c r="X190" s="11">
        <f t="shared" si="366"/>
        <v>1.366666667</v>
      </c>
    </row>
    <row r="191" ht="15.75" customHeight="1">
      <c r="A191" s="7">
        <v>41001.0</v>
      </c>
      <c r="B191" s="8" t="s">
        <v>35</v>
      </c>
      <c r="C191" s="8" t="s">
        <v>264</v>
      </c>
      <c r="D191" s="9" t="s">
        <v>265</v>
      </c>
      <c r="E191" s="10">
        <v>36.0</v>
      </c>
      <c r="F191" s="10">
        <v>31.0</v>
      </c>
      <c r="G191" s="10">
        <v>22.0</v>
      </c>
      <c r="H191" s="10">
        <v>24.0</v>
      </c>
      <c r="I191" s="10">
        <v>22.0</v>
      </c>
      <c r="J191" s="10">
        <v>24.0</v>
      </c>
      <c r="K191" s="11">
        <f t="shared" ref="K191:M191" si="382">+H191/E191</f>
        <v>0.6666666667</v>
      </c>
      <c r="L191" s="11">
        <f t="shared" si="382"/>
        <v>0.7096774194</v>
      </c>
      <c r="M191" s="11">
        <f t="shared" si="382"/>
        <v>1.090909091</v>
      </c>
      <c r="N191" s="11">
        <f t="shared" si="6"/>
        <v>0.8224177256</v>
      </c>
      <c r="O191" s="10">
        <v>5.0</v>
      </c>
      <c r="P191" s="10">
        <v>4.0</v>
      </c>
      <c r="Q191" s="10">
        <v>6.0</v>
      </c>
      <c r="R191" s="10">
        <v>17.0</v>
      </c>
      <c r="S191" s="10">
        <v>12.0</v>
      </c>
      <c r="T191" s="10">
        <v>6.0</v>
      </c>
      <c r="U191" s="11">
        <f t="shared" si="369"/>
        <v>3.4</v>
      </c>
      <c r="V191" s="11">
        <f t="shared" ref="V191:W191" si="383">+S191/P191</f>
        <v>3</v>
      </c>
      <c r="W191" s="11">
        <f t="shared" si="383"/>
        <v>1</v>
      </c>
      <c r="X191" s="11">
        <f t="shared" si="366"/>
        <v>2.466666667</v>
      </c>
    </row>
    <row r="192" ht="15.75" customHeight="1">
      <c r="A192" s="7">
        <v>41101.0</v>
      </c>
      <c r="B192" s="8" t="s">
        <v>35</v>
      </c>
      <c r="C192" s="8" t="s">
        <v>266</v>
      </c>
      <c r="D192" s="9" t="s">
        <v>267</v>
      </c>
      <c r="E192" s="10">
        <v>7.0</v>
      </c>
      <c r="F192" s="10">
        <v>20.0</v>
      </c>
      <c r="G192" s="10">
        <v>4.0</v>
      </c>
      <c r="H192" s="10">
        <v>5.0</v>
      </c>
      <c r="I192" s="10">
        <v>15.0</v>
      </c>
      <c r="J192" s="10">
        <v>13.0</v>
      </c>
      <c r="K192" s="11">
        <f t="shared" ref="K192:M192" si="384">+H192/E192</f>
        <v>0.7142857143</v>
      </c>
      <c r="L192" s="11">
        <f t="shared" si="384"/>
        <v>0.75</v>
      </c>
      <c r="M192" s="11">
        <f t="shared" si="384"/>
        <v>3.25</v>
      </c>
      <c r="N192" s="11">
        <f t="shared" si="6"/>
        <v>1.571428571</v>
      </c>
      <c r="O192" s="10">
        <v>7.0</v>
      </c>
      <c r="P192" s="10">
        <v>14.0</v>
      </c>
      <c r="Q192" s="10">
        <v>11.0</v>
      </c>
      <c r="R192" s="10">
        <v>8.0</v>
      </c>
      <c r="S192" s="10">
        <v>12.0</v>
      </c>
      <c r="T192" s="10">
        <v>2.0</v>
      </c>
      <c r="U192" s="11">
        <f t="shared" si="369"/>
        <v>1.142857143</v>
      </c>
      <c r="V192" s="11">
        <f t="shared" ref="V192:W192" si="385">+S192/P192</f>
        <v>0.8571428571</v>
      </c>
      <c r="W192" s="11">
        <f t="shared" si="385"/>
        <v>0.1818181818</v>
      </c>
      <c r="X192" s="11">
        <f t="shared" si="366"/>
        <v>0.7272727273</v>
      </c>
    </row>
    <row r="193" ht="15.75" customHeight="1">
      <c r="A193" s="7">
        <v>41201.0</v>
      </c>
      <c r="B193" s="8" t="s">
        <v>35</v>
      </c>
      <c r="C193" s="8" t="s">
        <v>268</v>
      </c>
      <c r="D193" s="9" t="s">
        <v>269</v>
      </c>
      <c r="E193" s="10">
        <v>11.0</v>
      </c>
      <c r="F193" s="10">
        <v>12.0</v>
      </c>
      <c r="G193" s="10">
        <v>11.0</v>
      </c>
      <c r="H193" s="10">
        <v>14.0</v>
      </c>
      <c r="I193" s="10">
        <v>20.0</v>
      </c>
      <c r="J193" s="10">
        <v>18.0</v>
      </c>
      <c r="K193" s="11">
        <f t="shared" ref="K193:M193" si="386">+H193/E193</f>
        <v>1.272727273</v>
      </c>
      <c r="L193" s="11">
        <f t="shared" si="386"/>
        <v>1.666666667</v>
      </c>
      <c r="M193" s="11">
        <f t="shared" si="386"/>
        <v>1.636363636</v>
      </c>
      <c r="N193" s="11">
        <f t="shared" si="6"/>
        <v>1.525252525</v>
      </c>
      <c r="O193" s="10">
        <v>3.0</v>
      </c>
      <c r="P193" s="10">
        <v>3.0</v>
      </c>
      <c r="Q193" s="10">
        <v>2.0</v>
      </c>
      <c r="R193" s="10">
        <v>7.0</v>
      </c>
      <c r="S193" s="10">
        <v>8.0</v>
      </c>
      <c r="T193" s="10">
        <v>9.0</v>
      </c>
      <c r="U193" s="11">
        <f t="shared" si="369"/>
        <v>2.333333333</v>
      </c>
      <c r="V193" s="11">
        <f t="shared" ref="V193:W193" si="387">+S193/P193</f>
        <v>2.666666667</v>
      </c>
      <c r="W193" s="11">
        <f t="shared" si="387"/>
        <v>4.5</v>
      </c>
      <c r="X193" s="11">
        <f t="shared" si="366"/>
        <v>3.166666667</v>
      </c>
    </row>
    <row r="194" ht="15.75" customHeight="1">
      <c r="A194" s="7">
        <v>41202.0</v>
      </c>
      <c r="B194" s="8" t="s">
        <v>35</v>
      </c>
      <c r="C194" s="8" t="s">
        <v>268</v>
      </c>
      <c r="D194" s="9" t="s">
        <v>270</v>
      </c>
      <c r="E194" s="10">
        <v>2.0</v>
      </c>
      <c r="F194" s="10">
        <v>2.0</v>
      </c>
      <c r="G194" s="10">
        <v>3.0</v>
      </c>
      <c r="H194" s="10">
        <v>8.0</v>
      </c>
      <c r="I194" s="10">
        <v>5.0</v>
      </c>
      <c r="J194" s="10">
        <v>3.0</v>
      </c>
      <c r="K194" s="11">
        <f t="shared" ref="K194:M194" si="388">+H194/E194</f>
        <v>4</v>
      </c>
      <c r="L194" s="11">
        <f t="shared" si="388"/>
        <v>2.5</v>
      </c>
      <c r="M194" s="11">
        <f t="shared" si="388"/>
        <v>1</v>
      </c>
      <c r="N194" s="11">
        <f t="shared" si="6"/>
        <v>2.5</v>
      </c>
      <c r="O194" s="10">
        <v>0.0</v>
      </c>
      <c r="P194" s="10">
        <v>5.0</v>
      </c>
      <c r="Q194" s="10">
        <v>6.0</v>
      </c>
      <c r="R194" s="10">
        <v>4.0</v>
      </c>
      <c r="S194" s="10">
        <v>2.0</v>
      </c>
      <c r="T194" s="10">
        <v>8.0</v>
      </c>
      <c r="U194" s="11"/>
      <c r="V194" s="11">
        <f t="shared" ref="V194:W194" si="389">+S194/P194</f>
        <v>0.4</v>
      </c>
      <c r="W194" s="11">
        <f t="shared" si="389"/>
        <v>1.333333333</v>
      </c>
      <c r="X194" s="11">
        <f t="shared" si="366"/>
        <v>0.8666666667</v>
      </c>
    </row>
    <row r="195" ht="15.75" customHeight="1">
      <c r="A195" s="7">
        <v>41301.0</v>
      </c>
      <c r="B195" s="8" t="s">
        <v>35</v>
      </c>
      <c r="C195" s="8" t="s">
        <v>271</v>
      </c>
      <c r="D195" s="9" t="s">
        <v>271</v>
      </c>
      <c r="E195" s="10">
        <v>19.0</v>
      </c>
      <c r="F195" s="10">
        <v>15.0</v>
      </c>
      <c r="G195" s="10">
        <v>10.0</v>
      </c>
      <c r="H195" s="10">
        <v>21.0</v>
      </c>
      <c r="I195" s="10">
        <v>16.0</v>
      </c>
      <c r="J195" s="10">
        <v>14.0</v>
      </c>
      <c r="K195" s="11">
        <f t="shared" ref="K195:M195" si="390">+H195/E195</f>
        <v>1.105263158</v>
      </c>
      <c r="L195" s="11">
        <f t="shared" si="390"/>
        <v>1.066666667</v>
      </c>
      <c r="M195" s="11">
        <f t="shared" si="390"/>
        <v>1.4</v>
      </c>
      <c r="N195" s="11">
        <f t="shared" si="6"/>
        <v>1.190643275</v>
      </c>
      <c r="O195" s="10">
        <v>13.0</v>
      </c>
      <c r="P195" s="10">
        <v>5.0</v>
      </c>
      <c r="Q195" s="10">
        <v>6.0</v>
      </c>
      <c r="R195" s="10">
        <v>11.0</v>
      </c>
      <c r="S195" s="10">
        <v>3.0</v>
      </c>
      <c r="T195" s="10">
        <v>5.0</v>
      </c>
      <c r="U195" s="11">
        <f t="shared" ref="U195:W195" si="391">+R195/O195</f>
        <v>0.8461538462</v>
      </c>
      <c r="V195" s="11">
        <f t="shared" si="391"/>
        <v>0.6</v>
      </c>
      <c r="W195" s="11">
        <f t="shared" si="391"/>
        <v>0.8333333333</v>
      </c>
      <c r="X195" s="11">
        <f t="shared" si="366"/>
        <v>0.7598290598</v>
      </c>
    </row>
    <row r="196" ht="15.75" customHeight="1">
      <c r="A196" s="7">
        <v>41401.0</v>
      </c>
      <c r="B196" s="8" t="s">
        <v>35</v>
      </c>
      <c r="C196" s="8" t="s">
        <v>272</v>
      </c>
      <c r="D196" s="9" t="s">
        <v>273</v>
      </c>
      <c r="E196" s="10">
        <v>36.0</v>
      </c>
      <c r="F196" s="10">
        <v>31.0</v>
      </c>
      <c r="G196" s="10">
        <v>19.0</v>
      </c>
      <c r="H196" s="10">
        <v>30.0</v>
      </c>
      <c r="I196" s="10">
        <v>33.0</v>
      </c>
      <c r="J196" s="10">
        <v>31.0</v>
      </c>
      <c r="K196" s="11">
        <f t="shared" ref="K196:M196" si="392">+H196/E196</f>
        <v>0.8333333333</v>
      </c>
      <c r="L196" s="11">
        <f t="shared" si="392"/>
        <v>1.064516129</v>
      </c>
      <c r="M196" s="11">
        <f t="shared" si="392"/>
        <v>1.631578947</v>
      </c>
      <c r="N196" s="11">
        <f t="shared" si="6"/>
        <v>1.176476137</v>
      </c>
      <c r="O196" s="10">
        <v>5.0</v>
      </c>
      <c r="P196" s="10">
        <v>2.0</v>
      </c>
      <c r="Q196" s="10">
        <v>6.0</v>
      </c>
      <c r="R196" s="10">
        <v>12.0</v>
      </c>
      <c r="S196" s="10">
        <v>8.0</v>
      </c>
      <c r="T196" s="10">
        <v>9.0</v>
      </c>
      <c r="U196" s="11">
        <f t="shared" ref="U196:W196" si="393">+R196/O196</f>
        <v>2.4</v>
      </c>
      <c r="V196" s="11">
        <f t="shared" si="393"/>
        <v>4</v>
      </c>
      <c r="W196" s="11">
        <f t="shared" si="393"/>
        <v>1.5</v>
      </c>
      <c r="X196" s="11">
        <f t="shared" si="366"/>
        <v>2.633333333</v>
      </c>
    </row>
    <row r="197" ht="15.75" customHeight="1">
      <c r="A197" s="7">
        <v>41501.0</v>
      </c>
      <c r="B197" s="8" t="s">
        <v>35</v>
      </c>
      <c r="C197" s="8" t="s">
        <v>274</v>
      </c>
      <c r="D197" s="9" t="s">
        <v>275</v>
      </c>
      <c r="E197" s="10">
        <v>2.0</v>
      </c>
      <c r="F197" s="10">
        <v>0.0</v>
      </c>
      <c r="G197" s="10">
        <v>0.0</v>
      </c>
      <c r="H197" s="10">
        <v>2.0</v>
      </c>
      <c r="I197" s="10">
        <v>1.0</v>
      </c>
      <c r="J197" s="10">
        <v>1.0</v>
      </c>
      <c r="K197" s="11">
        <f>+H197/E197</f>
        <v>1</v>
      </c>
      <c r="L197" s="11"/>
      <c r="M197" s="11"/>
      <c r="N197" s="11">
        <f t="shared" si="6"/>
        <v>1</v>
      </c>
      <c r="O197" s="10">
        <v>1.0</v>
      </c>
      <c r="P197" s="10">
        <v>0.0</v>
      </c>
      <c r="Q197" s="10">
        <v>2.0</v>
      </c>
      <c r="R197" s="10">
        <v>0.0</v>
      </c>
      <c r="S197" s="10">
        <v>0.0</v>
      </c>
      <c r="T197" s="10">
        <v>1.0</v>
      </c>
      <c r="U197" s="11">
        <f>+R197/O197</f>
        <v>0</v>
      </c>
      <c r="V197" s="11"/>
      <c r="W197" s="11">
        <f t="shared" ref="W197:W198" si="394">+T197/Q197</f>
        <v>0.5</v>
      </c>
      <c r="X197" s="11">
        <f t="shared" si="366"/>
        <v>0.25</v>
      </c>
    </row>
    <row r="198" ht="15.75" customHeight="1">
      <c r="A198" s="7">
        <v>41502.0</v>
      </c>
      <c r="B198" s="8" t="s">
        <v>35</v>
      </c>
      <c r="C198" s="8" t="s">
        <v>274</v>
      </c>
      <c r="D198" s="9" t="s">
        <v>276</v>
      </c>
      <c r="E198" s="10">
        <v>0.0</v>
      </c>
      <c r="F198" s="10">
        <v>1.0</v>
      </c>
      <c r="G198" s="10">
        <v>0.0</v>
      </c>
      <c r="H198" s="10">
        <v>0.0</v>
      </c>
      <c r="I198" s="10">
        <v>3.0</v>
      </c>
      <c r="J198" s="10">
        <v>0.0</v>
      </c>
      <c r="K198" s="11"/>
      <c r="L198" s="11">
        <f>+I198/F198</f>
        <v>3</v>
      </c>
      <c r="M198" s="11"/>
      <c r="N198" s="11">
        <f t="shared" si="6"/>
        <v>3</v>
      </c>
      <c r="O198" s="10"/>
      <c r="P198" s="10"/>
      <c r="Q198" s="10">
        <v>1.0</v>
      </c>
      <c r="R198" s="10"/>
      <c r="S198" s="10"/>
      <c r="T198" s="10">
        <v>0.0</v>
      </c>
      <c r="U198" s="11"/>
      <c r="V198" s="11"/>
      <c r="W198" s="11">
        <f t="shared" si="394"/>
        <v>0</v>
      </c>
      <c r="X198" s="11">
        <f t="shared" si="366"/>
        <v>0</v>
      </c>
    </row>
    <row r="199" ht="15.75" customHeight="1">
      <c r="A199" s="7">
        <v>41503.0</v>
      </c>
      <c r="B199" s="8" t="s">
        <v>35</v>
      </c>
      <c r="C199" s="8" t="s">
        <v>274</v>
      </c>
      <c r="D199" s="9" t="s">
        <v>240</v>
      </c>
      <c r="E199" s="10">
        <v>2.0</v>
      </c>
      <c r="F199" s="10">
        <v>0.0</v>
      </c>
      <c r="G199" s="10">
        <v>0.0</v>
      </c>
      <c r="H199" s="10">
        <v>0.0</v>
      </c>
      <c r="I199" s="10">
        <v>0.0</v>
      </c>
      <c r="J199" s="10">
        <v>0.0</v>
      </c>
      <c r="K199" s="11">
        <f t="shared" ref="K199:K207" si="395">+H199/E199</f>
        <v>0</v>
      </c>
      <c r="L199" s="11"/>
      <c r="M199" s="11"/>
      <c r="N199" s="11">
        <f t="shared" si="6"/>
        <v>0</v>
      </c>
      <c r="O199" s="10">
        <v>0.0</v>
      </c>
      <c r="P199" s="10">
        <v>0.0</v>
      </c>
      <c r="Q199" s="10"/>
      <c r="R199" s="10">
        <v>1.0</v>
      </c>
      <c r="S199" s="10">
        <v>1.0</v>
      </c>
      <c r="T199" s="10"/>
      <c r="U199" s="11"/>
      <c r="V199" s="11"/>
      <c r="W199" s="11"/>
      <c r="X199" s="11"/>
    </row>
    <row r="200" ht="15.75" customHeight="1">
      <c r="A200" s="7">
        <v>41601.0</v>
      </c>
      <c r="B200" s="8" t="s">
        <v>35</v>
      </c>
      <c r="C200" s="8" t="s">
        <v>277</v>
      </c>
      <c r="D200" s="9" t="s">
        <v>278</v>
      </c>
      <c r="E200" s="10">
        <v>20.0</v>
      </c>
      <c r="F200" s="10">
        <v>13.0</v>
      </c>
      <c r="G200" s="10">
        <v>13.0</v>
      </c>
      <c r="H200" s="10">
        <v>26.0</v>
      </c>
      <c r="I200" s="10">
        <v>27.0</v>
      </c>
      <c r="J200" s="10">
        <v>15.0</v>
      </c>
      <c r="K200" s="11">
        <f t="shared" si="395"/>
        <v>1.3</v>
      </c>
      <c r="L200" s="11">
        <f t="shared" ref="L200:M200" si="396">+I200/F200</f>
        <v>2.076923077</v>
      </c>
      <c r="M200" s="11">
        <f t="shared" si="396"/>
        <v>1.153846154</v>
      </c>
      <c r="N200" s="11">
        <f t="shared" si="6"/>
        <v>1.51025641</v>
      </c>
      <c r="O200" s="10">
        <v>4.0</v>
      </c>
      <c r="P200" s="10">
        <v>3.0</v>
      </c>
      <c r="Q200" s="10">
        <v>2.0</v>
      </c>
      <c r="R200" s="10">
        <v>6.0</v>
      </c>
      <c r="S200" s="10">
        <v>6.0</v>
      </c>
      <c r="T200" s="10">
        <v>4.0</v>
      </c>
      <c r="U200" s="11">
        <f t="shared" ref="U200:W200" si="397">+R200/O200</f>
        <v>1.5</v>
      </c>
      <c r="V200" s="11">
        <f t="shared" si="397"/>
        <v>2</v>
      </c>
      <c r="W200" s="11">
        <f t="shared" si="397"/>
        <v>2</v>
      </c>
      <c r="X200" s="11">
        <f t="shared" ref="X200:X203" si="400">AVERAGE(U200:W200)</f>
        <v>1.833333333</v>
      </c>
    </row>
    <row r="201" ht="15.75" customHeight="1">
      <c r="A201" s="7">
        <v>50101.0</v>
      </c>
      <c r="B201" s="8" t="s">
        <v>279</v>
      </c>
      <c r="C201" s="8" t="s">
        <v>280</v>
      </c>
      <c r="D201" s="9" t="s">
        <v>279</v>
      </c>
      <c r="E201" s="10">
        <v>687.0</v>
      </c>
      <c r="F201" s="10">
        <v>721.0</v>
      </c>
      <c r="G201" s="10">
        <v>733.0</v>
      </c>
      <c r="H201" s="10">
        <v>1235.0</v>
      </c>
      <c r="I201" s="10">
        <v>1320.0</v>
      </c>
      <c r="J201" s="10">
        <v>1238.0</v>
      </c>
      <c r="K201" s="11">
        <f t="shared" si="395"/>
        <v>1.797671033</v>
      </c>
      <c r="L201" s="11">
        <f t="shared" ref="L201:M201" si="398">+I201/F201</f>
        <v>1.830790569</v>
      </c>
      <c r="M201" s="11">
        <f t="shared" si="398"/>
        <v>1.688949523</v>
      </c>
      <c r="N201" s="11">
        <f t="shared" si="6"/>
        <v>1.772470375</v>
      </c>
      <c r="O201" s="10">
        <v>393.0</v>
      </c>
      <c r="P201" s="10">
        <v>331.0</v>
      </c>
      <c r="Q201" s="10">
        <v>302.0</v>
      </c>
      <c r="R201" s="10">
        <v>528.0</v>
      </c>
      <c r="S201" s="10">
        <v>458.0</v>
      </c>
      <c r="T201" s="10">
        <v>465.0</v>
      </c>
      <c r="U201" s="11">
        <f t="shared" ref="U201:W201" si="399">+R201/O201</f>
        <v>1.34351145</v>
      </c>
      <c r="V201" s="11">
        <f t="shared" si="399"/>
        <v>1.383685801</v>
      </c>
      <c r="W201" s="11">
        <f t="shared" si="399"/>
        <v>1.539735099</v>
      </c>
      <c r="X201" s="11">
        <f t="shared" si="400"/>
        <v>1.422310783</v>
      </c>
    </row>
    <row r="202" ht="15.75" customHeight="1">
      <c r="A202" s="7">
        <v>50102.0</v>
      </c>
      <c r="B202" s="8" t="s">
        <v>279</v>
      </c>
      <c r="C202" s="8" t="s">
        <v>280</v>
      </c>
      <c r="D202" s="9" t="s">
        <v>281</v>
      </c>
      <c r="E202" s="10">
        <v>107.0</v>
      </c>
      <c r="F202" s="10">
        <v>117.0</v>
      </c>
      <c r="G202" s="10">
        <v>161.0</v>
      </c>
      <c r="H202" s="10">
        <v>97.0</v>
      </c>
      <c r="I202" s="10">
        <v>130.0</v>
      </c>
      <c r="J202" s="10">
        <v>155.0</v>
      </c>
      <c r="K202" s="11">
        <f t="shared" si="395"/>
        <v>0.9065420561</v>
      </c>
      <c r="L202" s="11">
        <f t="shared" ref="L202:M202" si="401">+I202/F202</f>
        <v>1.111111111</v>
      </c>
      <c r="M202" s="11">
        <f t="shared" si="401"/>
        <v>0.9627329193</v>
      </c>
      <c r="N202" s="11">
        <f t="shared" si="6"/>
        <v>0.9934620288</v>
      </c>
      <c r="O202" s="10">
        <v>35.0</v>
      </c>
      <c r="P202" s="10">
        <v>20.0</v>
      </c>
      <c r="Q202" s="10">
        <v>34.0</v>
      </c>
      <c r="R202" s="10">
        <v>53.0</v>
      </c>
      <c r="S202" s="10">
        <v>33.0</v>
      </c>
      <c r="T202" s="10">
        <v>32.0</v>
      </c>
      <c r="U202" s="11">
        <f t="shared" ref="U202:W202" si="402">+R202/O202</f>
        <v>1.514285714</v>
      </c>
      <c r="V202" s="11">
        <f t="shared" si="402"/>
        <v>1.65</v>
      </c>
      <c r="W202" s="11">
        <f t="shared" si="402"/>
        <v>0.9411764706</v>
      </c>
      <c r="X202" s="11">
        <f t="shared" si="400"/>
        <v>1.368487395</v>
      </c>
    </row>
    <row r="203" ht="15.75" customHeight="1">
      <c r="A203" s="7">
        <v>50103.0</v>
      </c>
      <c r="B203" s="8" t="s">
        <v>279</v>
      </c>
      <c r="C203" s="8" t="s">
        <v>280</v>
      </c>
      <c r="D203" s="9" t="s">
        <v>282</v>
      </c>
      <c r="E203" s="10">
        <v>20.0</v>
      </c>
      <c r="F203" s="10">
        <v>29.0</v>
      </c>
      <c r="G203" s="10">
        <v>21.0</v>
      </c>
      <c r="H203" s="10">
        <v>46.0</v>
      </c>
      <c r="I203" s="10">
        <v>47.0</v>
      </c>
      <c r="J203" s="10">
        <v>46.0</v>
      </c>
      <c r="K203" s="11">
        <f t="shared" si="395"/>
        <v>2.3</v>
      </c>
      <c r="L203" s="11">
        <f t="shared" ref="L203:M203" si="403">+I203/F203</f>
        <v>1.620689655</v>
      </c>
      <c r="M203" s="11">
        <f t="shared" si="403"/>
        <v>2.19047619</v>
      </c>
      <c r="N203" s="11">
        <f t="shared" si="6"/>
        <v>2.037055282</v>
      </c>
      <c r="O203" s="10">
        <v>6.0</v>
      </c>
      <c r="P203" s="10">
        <v>14.0</v>
      </c>
      <c r="Q203" s="10">
        <v>14.0</v>
      </c>
      <c r="R203" s="10">
        <v>22.0</v>
      </c>
      <c r="S203" s="10">
        <v>24.0</v>
      </c>
      <c r="T203" s="10">
        <v>26.0</v>
      </c>
      <c r="U203" s="11">
        <f t="shared" ref="U203:W203" si="404">+R203/O203</f>
        <v>3.666666667</v>
      </c>
      <c r="V203" s="11">
        <f t="shared" si="404"/>
        <v>1.714285714</v>
      </c>
      <c r="W203" s="11">
        <f t="shared" si="404"/>
        <v>1.857142857</v>
      </c>
      <c r="X203" s="11">
        <f t="shared" si="400"/>
        <v>2.412698413</v>
      </c>
    </row>
    <row r="204" ht="15.75" customHeight="1">
      <c r="A204" s="7">
        <v>50104.0</v>
      </c>
      <c r="B204" s="8" t="s">
        <v>279</v>
      </c>
      <c r="C204" s="8" t="s">
        <v>280</v>
      </c>
      <c r="D204" s="9" t="s">
        <v>283</v>
      </c>
      <c r="E204" s="10">
        <v>4.0</v>
      </c>
      <c r="F204" s="10">
        <v>6.0</v>
      </c>
      <c r="G204" s="10">
        <v>1.0</v>
      </c>
      <c r="H204" s="10">
        <v>6.0</v>
      </c>
      <c r="I204" s="10">
        <v>8.0</v>
      </c>
      <c r="J204" s="10">
        <v>2.0</v>
      </c>
      <c r="K204" s="11">
        <f t="shared" si="395"/>
        <v>1.5</v>
      </c>
      <c r="L204" s="11">
        <f t="shared" ref="L204:M204" si="405">+I204/F204</f>
        <v>1.333333333</v>
      </c>
      <c r="M204" s="11">
        <f t="shared" si="405"/>
        <v>2</v>
      </c>
      <c r="N204" s="11">
        <f t="shared" si="6"/>
        <v>1.611111111</v>
      </c>
      <c r="O204" s="10">
        <v>0.0</v>
      </c>
      <c r="P204" s="10">
        <v>0.0</v>
      </c>
      <c r="Q204" s="10">
        <v>0.0</v>
      </c>
      <c r="R204" s="10">
        <v>1.0</v>
      </c>
      <c r="S204" s="10">
        <v>1.0</v>
      </c>
      <c r="T204" s="10">
        <v>3.0</v>
      </c>
      <c r="U204" s="11"/>
      <c r="V204" s="11"/>
      <c r="W204" s="11"/>
      <c r="X204" s="11"/>
    </row>
    <row r="205" ht="15.75" customHeight="1">
      <c r="A205" s="7">
        <v>50201.0</v>
      </c>
      <c r="B205" s="8" t="s">
        <v>279</v>
      </c>
      <c r="C205" s="8" t="s">
        <v>284</v>
      </c>
      <c r="D205" s="9" t="s">
        <v>285</v>
      </c>
      <c r="E205" s="10">
        <v>136.0</v>
      </c>
      <c r="F205" s="10">
        <v>118.0</v>
      </c>
      <c r="G205" s="10">
        <v>73.0</v>
      </c>
      <c r="H205" s="10">
        <v>178.0</v>
      </c>
      <c r="I205" s="10">
        <v>139.0</v>
      </c>
      <c r="J205" s="10">
        <v>122.0</v>
      </c>
      <c r="K205" s="11">
        <f t="shared" si="395"/>
        <v>1.308823529</v>
      </c>
      <c r="L205" s="11">
        <f t="shared" ref="L205:M205" si="406">+I205/F205</f>
        <v>1.177966102</v>
      </c>
      <c r="M205" s="11">
        <f t="shared" si="406"/>
        <v>1.671232877</v>
      </c>
      <c r="N205" s="11">
        <f t="shared" si="6"/>
        <v>1.386007503</v>
      </c>
      <c r="O205" s="10">
        <v>31.0</v>
      </c>
      <c r="P205" s="10">
        <v>35.0</v>
      </c>
      <c r="Q205" s="10">
        <v>29.0</v>
      </c>
      <c r="R205" s="10">
        <v>42.0</v>
      </c>
      <c r="S205" s="10">
        <v>41.0</v>
      </c>
      <c r="T205" s="10">
        <v>33.0</v>
      </c>
      <c r="U205" s="11">
        <f t="shared" ref="U205:W205" si="407">+R205/O205</f>
        <v>1.35483871</v>
      </c>
      <c r="V205" s="11">
        <f t="shared" si="407"/>
        <v>1.171428571</v>
      </c>
      <c r="W205" s="11">
        <f t="shared" si="407"/>
        <v>1.137931034</v>
      </c>
      <c r="X205" s="11">
        <f t="shared" ref="X205:X227" si="410">AVERAGE(U205:W205)</f>
        <v>1.221399439</v>
      </c>
    </row>
    <row r="206" ht="15.75" customHeight="1">
      <c r="A206" s="7">
        <v>50202.0</v>
      </c>
      <c r="B206" s="8" t="s">
        <v>279</v>
      </c>
      <c r="C206" s="8" t="s">
        <v>284</v>
      </c>
      <c r="D206" s="9" t="s">
        <v>286</v>
      </c>
      <c r="E206" s="10">
        <v>63.0</v>
      </c>
      <c r="F206" s="10">
        <v>74.0</v>
      </c>
      <c r="G206" s="10">
        <v>84.0</v>
      </c>
      <c r="H206" s="10">
        <v>80.0</v>
      </c>
      <c r="I206" s="10">
        <v>62.0</v>
      </c>
      <c r="J206" s="10">
        <v>89.0</v>
      </c>
      <c r="K206" s="11">
        <f t="shared" si="395"/>
        <v>1.26984127</v>
      </c>
      <c r="L206" s="11">
        <f t="shared" ref="L206:M206" si="408">+I206/F206</f>
        <v>0.8378378378</v>
      </c>
      <c r="M206" s="11">
        <f t="shared" si="408"/>
        <v>1.05952381</v>
      </c>
      <c r="N206" s="11">
        <f t="shared" si="6"/>
        <v>1.055734306</v>
      </c>
      <c r="O206" s="10">
        <v>40.0</v>
      </c>
      <c r="P206" s="10">
        <v>34.0</v>
      </c>
      <c r="Q206" s="10">
        <v>28.0</v>
      </c>
      <c r="R206" s="10">
        <v>34.0</v>
      </c>
      <c r="S206" s="10">
        <v>25.0</v>
      </c>
      <c r="T206" s="10">
        <v>38.0</v>
      </c>
      <c r="U206" s="11">
        <f t="shared" ref="U206:W206" si="409">+R206/O206</f>
        <v>0.85</v>
      </c>
      <c r="V206" s="11">
        <f t="shared" si="409"/>
        <v>0.7352941176</v>
      </c>
      <c r="W206" s="11">
        <f t="shared" si="409"/>
        <v>1.357142857</v>
      </c>
      <c r="X206" s="11">
        <f t="shared" si="410"/>
        <v>0.9808123249</v>
      </c>
    </row>
    <row r="207" ht="15.75" customHeight="1">
      <c r="A207" s="7">
        <v>50203.0</v>
      </c>
      <c r="B207" s="8" t="s">
        <v>279</v>
      </c>
      <c r="C207" s="8" t="s">
        <v>284</v>
      </c>
      <c r="D207" s="9" t="s">
        <v>287</v>
      </c>
      <c r="E207" s="10">
        <v>133.0</v>
      </c>
      <c r="F207" s="10">
        <v>114.0</v>
      </c>
      <c r="G207" s="10">
        <v>132.0</v>
      </c>
      <c r="H207" s="10">
        <v>192.0</v>
      </c>
      <c r="I207" s="10">
        <v>205.0</v>
      </c>
      <c r="J207" s="10">
        <v>204.0</v>
      </c>
      <c r="K207" s="11">
        <f t="shared" si="395"/>
        <v>1.443609023</v>
      </c>
      <c r="L207" s="11">
        <f t="shared" ref="L207:M207" si="411">+I207/F207</f>
        <v>1.798245614</v>
      </c>
      <c r="M207" s="11">
        <f t="shared" si="411"/>
        <v>1.545454545</v>
      </c>
      <c r="N207" s="11">
        <f t="shared" si="6"/>
        <v>1.595769727</v>
      </c>
      <c r="O207" s="10">
        <v>58.0</v>
      </c>
      <c r="P207" s="10">
        <v>58.0</v>
      </c>
      <c r="Q207" s="10">
        <v>52.0</v>
      </c>
      <c r="R207" s="10">
        <v>68.0</v>
      </c>
      <c r="S207" s="10">
        <v>70.0</v>
      </c>
      <c r="T207" s="10">
        <v>81.0</v>
      </c>
      <c r="U207" s="11">
        <f t="shared" ref="U207:W207" si="412">+R207/O207</f>
        <v>1.172413793</v>
      </c>
      <c r="V207" s="11">
        <f t="shared" si="412"/>
        <v>1.206896552</v>
      </c>
      <c r="W207" s="11">
        <f t="shared" si="412"/>
        <v>1.557692308</v>
      </c>
      <c r="X207" s="11">
        <f t="shared" si="410"/>
        <v>1.312334218</v>
      </c>
    </row>
    <row r="208" ht="15.75" customHeight="1">
      <c r="A208" s="7">
        <v>50204.0</v>
      </c>
      <c r="B208" s="8" t="s">
        <v>279</v>
      </c>
      <c r="C208" s="8" t="s">
        <v>284</v>
      </c>
      <c r="D208" s="9" t="s">
        <v>288</v>
      </c>
      <c r="E208" s="10">
        <v>0.0</v>
      </c>
      <c r="F208" s="10">
        <v>0.0</v>
      </c>
      <c r="G208" s="10">
        <v>35.0</v>
      </c>
      <c r="H208" s="10">
        <v>0.0</v>
      </c>
      <c r="I208" s="10">
        <v>0.0</v>
      </c>
      <c r="J208" s="10">
        <v>33.0</v>
      </c>
      <c r="K208" s="11"/>
      <c r="L208" s="11"/>
      <c r="M208" s="11">
        <f>+J208/G208</f>
        <v>0.9428571429</v>
      </c>
      <c r="N208" s="11">
        <f t="shared" si="6"/>
        <v>0.9428571429</v>
      </c>
      <c r="O208" s="10">
        <v>14.0</v>
      </c>
      <c r="P208" s="10">
        <v>8.0</v>
      </c>
      <c r="Q208" s="10">
        <v>7.0</v>
      </c>
      <c r="R208" s="10">
        <v>23.0</v>
      </c>
      <c r="S208" s="10">
        <v>23.0</v>
      </c>
      <c r="T208" s="10">
        <v>24.0</v>
      </c>
      <c r="U208" s="11">
        <f t="shared" ref="U208:W208" si="413">+R208/O208</f>
        <v>1.642857143</v>
      </c>
      <c r="V208" s="11">
        <f t="shared" si="413"/>
        <v>2.875</v>
      </c>
      <c r="W208" s="11">
        <f t="shared" si="413"/>
        <v>3.428571429</v>
      </c>
      <c r="X208" s="11">
        <f t="shared" si="410"/>
        <v>2.648809524</v>
      </c>
    </row>
    <row r="209" ht="15.75" customHeight="1">
      <c r="A209" s="7">
        <v>50301.0</v>
      </c>
      <c r="B209" s="8" t="s">
        <v>279</v>
      </c>
      <c r="C209" s="8" t="s">
        <v>289</v>
      </c>
      <c r="D209" s="9" t="s">
        <v>290</v>
      </c>
      <c r="E209" s="10">
        <v>174.0</v>
      </c>
      <c r="F209" s="10">
        <v>171.0</v>
      </c>
      <c r="G209" s="10">
        <v>169.0</v>
      </c>
      <c r="H209" s="10">
        <v>204.0</v>
      </c>
      <c r="I209" s="10">
        <v>213.0</v>
      </c>
      <c r="J209" s="10">
        <v>176.0</v>
      </c>
      <c r="K209" s="11">
        <f t="shared" ref="K209:M209" si="414">+H209/E209</f>
        <v>1.172413793</v>
      </c>
      <c r="L209" s="11">
        <f t="shared" si="414"/>
        <v>1.245614035</v>
      </c>
      <c r="M209" s="11">
        <f t="shared" si="414"/>
        <v>1.041420118</v>
      </c>
      <c r="N209" s="11">
        <f t="shared" si="6"/>
        <v>1.153149316</v>
      </c>
      <c r="O209" s="10">
        <v>52.0</v>
      </c>
      <c r="P209" s="10">
        <v>48.0</v>
      </c>
      <c r="Q209" s="10">
        <v>44.0</v>
      </c>
      <c r="R209" s="10">
        <v>80.0</v>
      </c>
      <c r="S209" s="10">
        <v>86.0</v>
      </c>
      <c r="T209" s="10">
        <v>72.0</v>
      </c>
      <c r="U209" s="11">
        <f t="shared" ref="U209:W209" si="415">+R209/O209</f>
        <v>1.538461538</v>
      </c>
      <c r="V209" s="11">
        <f t="shared" si="415"/>
        <v>1.791666667</v>
      </c>
      <c r="W209" s="11">
        <f t="shared" si="415"/>
        <v>1.636363636</v>
      </c>
      <c r="X209" s="11">
        <f t="shared" si="410"/>
        <v>1.65549728</v>
      </c>
    </row>
    <row r="210" ht="15.75" customHeight="1">
      <c r="A210" s="7">
        <v>50302.0</v>
      </c>
      <c r="B210" s="8" t="s">
        <v>279</v>
      </c>
      <c r="C210" s="8" t="s">
        <v>289</v>
      </c>
      <c r="D210" s="9" t="s">
        <v>291</v>
      </c>
      <c r="E210" s="10">
        <v>28.0</v>
      </c>
      <c r="F210" s="10">
        <v>29.0</v>
      </c>
      <c r="G210" s="10">
        <v>25.0</v>
      </c>
      <c r="H210" s="10">
        <v>38.0</v>
      </c>
      <c r="I210" s="10">
        <v>50.0</v>
      </c>
      <c r="J210" s="10">
        <v>46.0</v>
      </c>
      <c r="K210" s="11">
        <f t="shared" ref="K210:M210" si="416">+H210/E210</f>
        <v>1.357142857</v>
      </c>
      <c r="L210" s="11">
        <f t="shared" si="416"/>
        <v>1.724137931</v>
      </c>
      <c r="M210" s="11">
        <f t="shared" si="416"/>
        <v>1.84</v>
      </c>
      <c r="N210" s="11">
        <f t="shared" si="6"/>
        <v>1.640426929</v>
      </c>
      <c r="O210" s="10">
        <v>14.0</v>
      </c>
      <c r="P210" s="10">
        <v>10.0</v>
      </c>
      <c r="Q210" s="10">
        <v>14.0</v>
      </c>
      <c r="R210" s="10">
        <v>18.0</v>
      </c>
      <c r="S210" s="10">
        <v>24.0</v>
      </c>
      <c r="T210" s="10">
        <v>17.0</v>
      </c>
      <c r="U210" s="11">
        <f t="shared" ref="U210:W210" si="417">+R210/O210</f>
        <v>1.285714286</v>
      </c>
      <c r="V210" s="11">
        <f t="shared" si="417"/>
        <v>2.4</v>
      </c>
      <c r="W210" s="11">
        <f t="shared" si="417"/>
        <v>1.214285714</v>
      </c>
      <c r="X210" s="11">
        <f t="shared" si="410"/>
        <v>1.633333333</v>
      </c>
    </row>
    <row r="211" ht="15.75" customHeight="1">
      <c r="A211" s="7">
        <v>50303.0</v>
      </c>
      <c r="B211" s="8" t="s">
        <v>279</v>
      </c>
      <c r="C211" s="8" t="s">
        <v>289</v>
      </c>
      <c r="D211" s="9" t="s">
        <v>292</v>
      </c>
      <c r="E211" s="10">
        <v>74.0</v>
      </c>
      <c r="F211" s="10">
        <v>76.0</v>
      </c>
      <c r="G211" s="10">
        <v>55.0</v>
      </c>
      <c r="H211" s="10">
        <v>64.0</v>
      </c>
      <c r="I211" s="10">
        <v>71.0</v>
      </c>
      <c r="J211" s="10">
        <v>71.0</v>
      </c>
      <c r="K211" s="11">
        <f t="shared" ref="K211:M211" si="418">+H211/E211</f>
        <v>0.8648648649</v>
      </c>
      <c r="L211" s="11">
        <f t="shared" si="418"/>
        <v>0.9342105263</v>
      </c>
      <c r="M211" s="11">
        <f t="shared" si="418"/>
        <v>1.290909091</v>
      </c>
      <c r="N211" s="11">
        <f t="shared" si="6"/>
        <v>1.029994827</v>
      </c>
      <c r="O211" s="10">
        <v>22.0</v>
      </c>
      <c r="P211" s="10">
        <v>14.0</v>
      </c>
      <c r="Q211" s="10">
        <v>16.0</v>
      </c>
      <c r="R211" s="10">
        <v>22.0</v>
      </c>
      <c r="S211" s="10">
        <v>24.0</v>
      </c>
      <c r="T211" s="10">
        <v>18.0</v>
      </c>
      <c r="U211" s="11">
        <f t="shared" ref="U211:W211" si="419">+R211/O211</f>
        <v>1</v>
      </c>
      <c r="V211" s="11">
        <f t="shared" si="419"/>
        <v>1.714285714</v>
      </c>
      <c r="W211" s="11">
        <f t="shared" si="419"/>
        <v>1.125</v>
      </c>
      <c r="X211" s="11">
        <f t="shared" si="410"/>
        <v>1.279761905</v>
      </c>
    </row>
    <row r="212" ht="15.75" customHeight="1">
      <c r="A212" s="7">
        <v>50401.0</v>
      </c>
      <c r="B212" s="8" t="s">
        <v>279</v>
      </c>
      <c r="C212" s="8" t="s">
        <v>286</v>
      </c>
      <c r="D212" s="9" t="s">
        <v>293</v>
      </c>
      <c r="E212" s="10">
        <v>291.0</v>
      </c>
      <c r="F212" s="10">
        <v>236.0</v>
      </c>
      <c r="G212" s="10">
        <v>198.0</v>
      </c>
      <c r="H212" s="10">
        <v>302.0</v>
      </c>
      <c r="I212" s="10">
        <v>283.0</v>
      </c>
      <c r="J212" s="10">
        <v>241.0</v>
      </c>
      <c r="K212" s="11">
        <f t="shared" ref="K212:M212" si="420">+H212/E212</f>
        <v>1.037800687</v>
      </c>
      <c r="L212" s="11">
        <f t="shared" si="420"/>
        <v>1.199152542</v>
      </c>
      <c r="M212" s="11">
        <f t="shared" si="420"/>
        <v>1.217171717</v>
      </c>
      <c r="N212" s="11">
        <f t="shared" si="6"/>
        <v>1.151374982</v>
      </c>
      <c r="O212" s="10">
        <v>87.0</v>
      </c>
      <c r="P212" s="10">
        <v>62.0</v>
      </c>
      <c r="Q212" s="10">
        <v>67.0</v>
      </c>
      <c r="R212" s="10">
        <v>116.0</v>
      </c>
      <c r="S212" s="10">
        <v>84.0</v>
      </c>
      <c r="T212" s="10">
        <v>85.0</v>
      </c>
      <c r="U212" s="11">
        <f t="shared" ref="U212:W212" si="421">+R212/O212</f>
        <v>1.333333333</v>
      </c>
      <c r="V212" s="11">
        <f t="shared" si="421"/>
        <v>1.35483871</v>
      </c>
      <c r="W212" s="11">
        <f t="shared" si="421"/>
        <v>1.268656716</v>
      </c>
      <c r="X212" s="11">
        <f t="shared" si="410"/>
        <v>1.31894292</v>
      </c>
    </row>
    <row r="213" ht="15.75" customHeight="1">
      <c r="A213" s="7">
        <v>50402.0</v>
      </c>
      <c r="B213" s="8" t="s">
        <v>279</v>
      </c>
      <c r="C213" s="8" t="s">
        <v>286</v>
      </c>
      <c r="D213" s="9" t="s">
        <v>294</v>
      </c>
      <c r="E213" s="10">
        <v>133.0</v>
      </c>
      <c r="F213" s="10">
        <v>117.0</v>
      </c>
      <c r="G213" s="10">
        <v>148.0</v>
      </c>
      <c r="H213" s="10">
        <v>150.0</v>
      </c>
      <c r="I213" s="10">
        <v>134.0</v>
      </c>
      <c r="J213" s="10">
        <v>168.0</v>
      </c>
      <c r="K213" s="11">
        <f t="shared" ref="K213:M213" si="422">+H213/E213</f>
        <v>1.127819549</v>
      </c>
      <c r="L213" s="11">
        <f t="shared" si="422"/>
        <v>1.145299145</v>
      </c>
      <c r="M213" s="11">
        <f t="shared" si="422"/>
        <v>1.135135135</v>
      </c>
      <c r="N213" s="11">
        <f t="shared" si="6"/>
        <v>1.13608461</v>
      </c>
      <c r="O213" s="10">
        <v>27.0</v>
      </c>
      <c r="P213" s="10">
        <v>20.0</v>
      </c>
      <c r="Q213" s="10">
        <v>21.0</v>
      </c>
      <c r="R213" s="10">
        <v>32.0</v>
      </c>
      <c r="S213" s="10">
        <v>45.0</v>
      </c>
      <c r="T213" s="10">
        <v>43.0</v>
      </c>
      <c r="U213" s="11">
        <f t="shared" ref="U213:W213" si="423">+R213/O213</f>
        <v>1.185185185</v>
      </c>
      <c r="V213" s="11">
        <f t="shared" si="423"/>
        <v>2.25</v>
      </c>
      <c r="W213" s="11">
        <f t="shared" si="423"/>
        <v>2.047619048</v>
      </c>
      <c r="X213" s="11">
        <f t="shared" si="410"/>
        <v>1.827601411</v>
      </c>
    </row>
    <row r="214" ht="15.75" customHeight="1">
      <c r="A214" s="7">
        <v>50403.0</v>
      </c>
      <c r="B214" s="8" t="s">
        <v>279</v>
      </c>
      <c r="C214" s="8" t="s">
        <v>286</v>
      </c>
      <c r="D214" s="9" t="s">
        <v>295</v>
      </c>
      <c r="E214" s="10">
        <v>156.0</v>
      </c>
      <c r="F214" s="10">
        <v>173.0</v>
      </c>
      <c r="G214" s="10">
        <v>183.0</v>
      </c>
      <c r="H214" s="10">
        <v>200.0</v>
      </c>
      <c r="I214" s="10">
        <v>176.0</v>
      </c>
      <c r="J214" s="10">
        <v>172.0</v>
      </c>
      <c r="K214" s="11">
        <f t="shared" ref="K214:M214" si="424">+H214/E214</f>
        <v>1.282051282</v>
      </c>
      <c r="L214" s="11">
        <f t="shared" si="424"/>
        <v>1.01734104</v>
      </c>
      <c r="M214" s="11">
        <f t="shared" si="424"/>
        <v>0.9398907104</v>
      </c>
      <c r="N214" s="11">
        <f t="shared" si="6"/>
        <v>1.079761011</v>
      </c>
      <c r="O214" s="10">
        <v>55.0</v>
      </c>
      <c r="P214" s="10">
        <v>67.0</v>
      </c>
      <c r="Q214" s="10">
        <v>60.0</v>
      </c>
      <c r="R214" s="10">
        <v>50.0</v>
      </c>
      <c r="S214" s="10">
        <v>63.0</v>
      </c>
      <c r="T214" s="10">
        <v>59.0</v>
      </c>
      <c r="U214" s="11">
        <f t="shared" ref="U214:W214" si="425">+R214/O214</f>
        <v>0.9090909091</v>
      </c>
      <c r="V214" s="11">
        <f t="shared" si="425"/>
        <v>0.9402985075</v>
      </c>
      <c r="W214" s="11">
        <f t="shared" si="425"/>
        <v>0.9833333333</v>
      </c>
      <c r="X214" s="11">
        <f t="shared" si="410"/>
        <v>0.9442409166</v>
      </c>
    </row>
    <row r="215" ht="15.75" customHeight="1">
      <c r="A215" s="7">
        <v>50404.0</v>
      </c>
      <c r="B215" s="8" t="s">
        <v>279</v>
      </c>
      <c r="C215" s="8" t="s">
        <v>286</v>
      </c>
      <c r="D215" s="9" t="s">
        <v>296</v>
      </c>
      <c r="E215" s="10">
        <v>92.0</v>
      </c>
      <c r="F215" s="10">
        <v>113.0</v>
      </c>
      <c r="G215" s="10">
        <v>98.0</v>
      </c>
      <c r="H215" s="10">
        <v>120.0</v>
      </c>
      <c r="I215" s="10">
        <v>143.0</v>
      </c>
      <c r="J215" s="10">
        <v>106.0</v>
      </c>
      <c r="K215" s="11">
        <f t="shared" ref="K215:M215" si="426">+H215/E215</f>
        <v>1.304347826</v>
      </c>
      <c r="L215" s="11">
        <f t="shared" si="426"/>
        <v>1.265486726</v>
      </c>
      <c r="M215" s="11">
        <f t="shared" si="426"/>
        <v>1.081632653</v>
      </c>
      <c r="N215" s="11">
        <f t="shared" si="6"/>
        <v>1.217155735</v>
      </c>
      <c r="O215" s="10">
        <v>29.0</v>
      </c>
      <c r="P215" s="10">
        <v>14.0</v>
      </c>
      <c r="Q215" s="10">
        <v>9.0</v>
      </c>
      <c r="R215" s="10">
        <v>49.0</v>
      </c>
      <c r="S215" s="10">
        <v>21.0</v>
      </c>
      <c r="T215" s="10">
        <v>25.0</v>
      </c>
      <c r="U215" s="11">
        <f t="shared" ref="U215:W215" si="427">+R215/O215</f>
        <v>1.689655172</v>
      </c>
      <c r="V215" s="11">
        <f t="shared" si="427"/>
        <v>1.5</v>
      </c>
      <c r="W215" s="11">
        <f t="shared" si="427"/>
        <v>2.777777778</v>
      </c>
      <c r="X215" s="11">
        <f t="shared" si="410"/>
        <v>1.989144317</v>
      </c>
    </row>
    <row r="216" ht="15.75" customHeight="1">
      <c r="A216" s="7">
        <v>50405.0</v>
      </c>
      <c r="B216" s="8" t="s">
        <v>279</v>
      </c>
      <c r="C216" s="8" t="s">
        <v>286</v>
      </c>
      <c r="D216" s="9" t="s">
        <v>297</v>
      </c>
      <c r="E216" s="10">
        <v>291.0</v>
      </c>
      <c r="F216" s="10">
        <v>236.0</v>
      </c>
      <c r="G216" s="10">
        <v>198.0</v>
      </c>
      <c r="H216" s="10">
        <v>302.0</v>
      </c>
      <c r="I216" s="10">
        <v>283.0</v>
      </c>
      <c r="J216" s="10">
        <v>241.0</v>
      </c>
      <c r="K216" s="11">
        <f t="shared" ref="K216:M216" si="428">+H216/E216</f>
        <v>1.037800687</v>
      </c>
      <c r="L216" s="11">
        <f t="shared" si="428"/>
        <v>1.199152542</v>
      </c>
      <c r="M216" s="11">
        <f t="shared" si="428"/>
        <v>1.217171717</v>
      </c>
      <c r="N216" s="11">
        <f t="shared" si="6"/>
        <v>1.151374982</v>
      </c>
      <c r="O216" s="10">
        <v>87.0</v>
      </c>
      <c r="P216" s="10">
        <v>62.0</v>
      </c>
      <c r="Q216" s="10"/>
      <c r="R216" s="10">
        <v>116.0</v>
      </c>
      <c r="S216" s="10">
        <v>84.0</v>
      </c>
      <c r="T216" s="10"/>
      <c r="U216" s="11">
        <f t="shared" ref="U216:V216" si="429">+R216/O216</f>
        <v>1.333333333</v>
      </c>
      <c r="V216" s="11">
        <f t="shared" si="429"/>
        <v>1.35483871</v>
      </c>
      <c r="W216" s="11"/>
      <c r="X216" s="11">
        <f t="shared" si="410"/>
        <v>1.344086022</v>
      </c>
    </row>
    <row r="217" ht="15.75" customHeight="1">
      <c r="A217" s="7">
        <v>50501.0</v>
      </c>
      <c r="B217" s="8" t="s">
        <v>279</v>
      </c>
      <c r="C217" s="8" t="s">
        <v>298</v>
      </c>
      <c r="D217" s="9" t="s">
        <v>299</v>
      </c>
      <c r="E217" s="10">
        <v>190.0</v>
      </c>
      <c r="F217" s="10">
        <v>211.0</v>
      </c>
      <c r="G217" s="10">
        <v>264.0</v>
      </c>
      <c r="H217" s="10">
        <v>194.0</v>
      </c>
      <c r="I217" s="10">
        <v>227.0</v>
      </c>
      <c r="J217" s="10">
        <v>257.0</v>
      </c>
      <c r="K217" s="11">
        <f t="shared" ref="K217:M217" si="430">+H217/E217</f>
        <v>1.021052632</v>
      </c>
      <c r="L217" s="11">
        <f t="shared" si="430"/>
        <v>1.075829384</v>
      </c>
      <c r="M217" s="11">
        <f t="shared" si="430"/>
        <v>0.9734848485</v>
      </c>
      <c r="N217" s="11">
        <f t="shared" si="6"/>
        <v>1.023455621</v>
      </c>
      <c r="O217" s="10">
        <v>90.0</v>
      </c>
      <c r="P217" s="10">
        <v>113.0</v>
      </c>
      <c r="Q217" s="10">
        <v>83.0</v>
      </c>
      <c r="R217" s="10">
        <v>96.0</v>
      </c>
      <c r="S217" s="10">
        <v>123.0</v>
      </c>
      <c r="T217" s="10">
        <v>95.0</v>
      </c>
      <c r="U217" s="11">
        <f t="shared" ref="U217:W217" si="431">+R217/O217</f>
        <v>1.066666667</v>
      </c>
      <c r="V217" s="11">
        <f t="shared" si="431"/>
        <v>1.088495575</v>
      </c>
      <c r="W217" s="11">
        <f t="shared" si="431"/>
        <v>1.144578313</v>
      </c>
      <c r="X217" s="11">
        <f t="shared" si="410"/>
        <v>1.099913518</v>
      </c>
    </row>
    <row r="218" ht="15.75" customHeight="1">
      <c r="A218" s="7">
        <v>50502.0</v>
      </c>
      <c r="B218" s="8" t="s">
        <v>279</v>
      </c>
      <c r="C218" s="8" t="s">
        <v>298</v>
      </c>
      <c r="D218" s="9" t="s">
        <v>300</v>
      </c>
      <c r="E218" s="10">
        <v>70.0</v>
      </c>
      <c r="F218" s="10">
        <v>70.0</v>
      </c>
      <c r="G218" s="10">
        <v>78.0</v>
      </c>
      <c r="H218" s="10">
        <v>86.0</v>
      </c>
      <c r="I218" s="10">
        <v>71.0</v>
      </c>
      <c r="J218" s="10">
        <v>76.0</v>
      </c>
      <c r="K218" s="11">
        <f t="shared" ref="K218:M218" si="432">+H218/E218</f>
        <v>1.228571429</v>
      </c>
      <c r="L218" s="11">
        <f t="shared" si="432"/>
        <v>1.014285714</v>
      </c>
      <c r="M218" s="11">
        <f t="shared" si="432"/>
        <v>0.9743589744</v>
      </c>
      <c r="N218" s="11">
        <f t="shared" si="6"/>
        <v>1.072405372</v>
      </c>
      <c r="O218" s="10">
        <v>46.0</v>
      </c>
      <c r="P218" s="10">
        <v>20.0</v>
      </c>
      <c r="Q218" s="10">
        <v>36.0</v>
      </c>
      <c r="R218" s="10">
        <v>43.0</v>
      </c>
      <c r="S218" s="10">
        <v>24.0</v>
      </c>
      <c r="T218" s="10">
        <v>40.0</v>
      </c>
      <c r="U218" s="11">
        <f t="shared" ref="U218:W218" si="433">+R218/O218</f>
        <v>0.9347826087</v>
      </c>
      <c r="V218" s="11">
        <f t="shared" si="433"/>
        <v>1.2</v>
      </c>
      <c r="W218" s="11">
        <f t="shared" si="433"/>
        <v>1.111111111</v>
      </c>
      <c r="X218" s="11">
        <f t="shared" si="410"/>
        <v>1.081964573</v>
      </c>
    </row>
    <row r="219" ht="15.75" customHeight="1">
      <c r="A219" s="7">
        <v>50601.0</v>
      </c>
      <c r="B219" s="8" t="s">
        <v>279</v>
      </c>
      <c r="C219" s="8" t="s">
        <v>301</v>
      </c>
      <c r="D219" s="9" t="s">
        <v>302</v>
      </c>
      <c r="E219" s="10">
        <v>153.0</v>
      </c>
      <c r="F219" s="10">
        <v>174.0</v>
      </c>
      <c r="G219" s="10">
        <v>118.0</v>
      </c>
      <c r="H219" s="10">
        <v>178.0</v>
      </c>
      <c r="I219" s="10">
        <v>197.0</v>
      </c>
      <c r="J219" s="10">
        <v>149.0</v>
      </c>
      <c r="K219" s="11">
        <f t="shared" ref="K219:M219" si="434">+H219/E219</f>
        <v>1.163398693</v>
      </c>
      <c r="L219" s="11">
        <f t="shared" si="434"/>
        <v>1.132183908</v>
      </c>
      <c r="M219" s="11">
        <f t="shared" si="434"/>
        <v>1.262711864</v>
      </c>
      <c r="N219" s="11">
        <f t="shared" si="6"/>
        <v>1.186098155</v>
      </c>
      <c r="O219" s="10">
        <v>43.0</v>
      </c>
      <c r="P219" s="10">
        <v>42.0</v>
      </c>
      <c r="Q219" s="10">
        <v>31.0</v>
      </c>
      <c r="R219" s="10">
        <v>40.0</v>
      </c>
      <c r="S219" s="10">
        <v>53.0</v>
      </c>
      <c r="T219" s="10">
        <v>37.0</v>
      </c>
      <c r="U219" s="11">
        <f t="shared" ref="U219:W219" si="435">+R219/O219</f>
        <v>0.9302325581</v>
      </c>
      <c r="V219" s="11">
        <f t="shared" si="435"/>
        <v>1.261904762</v>
      </c>
      <c r="W219" s="11">
        <f t="shared" si="435"/>
        <v>1.193548387</v>
      </c>
      <c r="X219" s="11">
        <f t="shared" si="410"/>
        <v>1.128561902</v>
      </c>
    </row>
    <row r="220" ht="15.75" customHeight="1">
      <c r="A220" s="7">
        <v>50602.0</v>
      </c>
      <c r="B220" s="8" t="s">
        <v>279</v>
      </c>
      <c r="C220" s="8" t="s">
        <v>301</v>
      </c>
      <c r="D220" s="9" t="s">
        <v>303</v>
      </c>
      <c r="E220" s="10">
        <v>27.0</v>
      </c>
      <c r="F220" s="10">
        <v>46.0</v>
      </c>
      <c r="G220" s="10">
        <v>34.0</v>
      </c>
      <c r="H220" s="10">
        <v>44.0</v>
      </c>
      <c r="I220" s="10">
        <v>57.0</v>
      </c>
      <c r="J220" s="10">
        <v>47.0</v>
      </c>
      <c r="K220" s="11">
        <f t="shared" ref="K220:M220" si="436">+H220/E220</f>
        <v>1.62962963</v>
      </c>
      <c r="L220" s="11">
        <f t="shared" si="436"/>
        <v>1.239130435</v>
      </c>
      <c r="M220" s="11">
        <f t="shared" si="436"/>
        <v>1.382352941</v>
      </c>
      <c r="N220" s="11">
        <f t="shared" si="6"/>
        <v>1.417037669</v>
      </c>
      <c r="O220" s="10">
        <v>10.0</v>
      </c>
      <c r="P220" s="10">
        <v>10.0</v>
      </c>
      <c r="Q220" s="10">
        <v>18.0</v>
      </c>
      <c r="R220" s="10">
        <v>23.0</v>
      </c>
      <c r="S220" s="10">
        <v>22.0</v>
      </c>
      <c r="T220" s="10">
        <v>30.0</v>
      </c>
      <c r="U220" s="11">
        <f t="shared" ref="U220:W220" si="437">+R220/O220</f>
        <v>2.3</v>
      </c>
      <c r="V220" s="11">
        <f t="shared" si="437"/>
        <v>2.2</v>
      </c>
      <c r="W220" s="11">
        <f t="shared" si="437"/>
        <v>1.666666667</v>
      </c>
      <c r="X220" s="11">
        <f t="shared" si="410"/>
        <v>2.055555556</v>
      </c>
    </row>
    <row r="221" ht="15.75" customHeight="1">
      <c r="A221" s="7">
        <v>50701.0</v>
      </c>
      <c r="B221" s="8" t="s">
        <v>279</v>
      </c>
      <c r="C221" s="8" t="s">
        <v>304</v>
      </c>
      <c r="D221" s="9" t="s">
        <v>305</v>
      </c>
      <c r="E221" s="10">
        <v>140.0</v>
      </c>
      <c r="F221" s="10">
        <v>122.0</v>
      </c>
      <c r="G221" s="10">
        <v>120.0</v>
      </c>
      <c r="H221" s="10">
        <v>113.0</v>
      </c>
      <c r="I221" s="10">
        <v>109.0</v>
      </c>
      <c r="J221" s="10">
        <v>101.0</v>
      </c>
      <c r="K221" s="11">
        <f t="shared" ref="K221:M221" si="438">+H221/E221</f>
        <v>0.8071428571</v>
      </c>
      <c r="L221" s="11">
        <f t="shared" si="438"/>
        <v>0.893442623</v>
      </c>
      <c r="M221" s="11">
        <f t="shared" si="438"/>
        <v>0.8416666667</v>
      </c>
      <c r="N221" s="11">
        <f t="shared" si="6"/>
        <v>0.8474173823</v>
      </c>
      <c r="O221" s="10">
        <v>55.0</v>
      </c>
      <c r="P221" s="10">
        <v>35.0</v>
      </c>
      <c r="Q221" s="10">
        <v>26.0</v>
      </c>
      <c r="R221" s="10">
        <v>44.0</v>
      </c>
      <c r="S221" s="10">
        <v>46.0</v>
      </c>
      <c r="T221" s="10">
        <v>71.0</v>
      </c>
      <c r="U221" s="11">
        <f t="shared" ref="U221:W221" si="439">+R221/O221</f>
        <v>0.8</v>
      </c>
      <c r="V221" s="11">
        <f t="shared" si="439"/>
        <v>1.314285714</v>
      </c>
      <c r="W221" s="11">
        <f t="shared" si="439"/>
        <v>2.730769231</v>
      </c>
      <c r="X221" s="11">
        <f t="shared" si="410"/>
        <v>1.615018315</v>
      </c>
    </row>
    <row r="222" ht="15.75" customHeight="1">
      <c r="A222" s="7">
        <v>50702.0</v>
      </c>
      <c r="B222" s="8" t="s">
        <v>279</v>
      </c>
      <c r="C222" s="8" t="s">
        <v>304</v>
      </c>
      <c r="D222" s="9" t="s">
        <v>306</v>
      </c>
      <c r="E222" s="10">
        <v>39.0</v>
      </c>
      <c r="F222" s="10">
        <v>53.0</v>
      </c>
      <c r="G222" s="10">
        <v>44.0</v>
      </c>
      <c r="H222" s="10">
        <v>31.0</v>
      </c>
      <c r="I222" s="10">
        <v>54.0</v>
      </c>
      <c r="J222" s="10">
        <v>49.0</v>
      </c>
      <c r="K222" s="11">
        <f t="shared" ref="K222:M222" si="440">+H222/E222</f>
        <v>0.7948717949</v>
      </c>
      <c r="L222" s="11">
        <f t="shared" si="440"/>
        <v>1.018867925</v>
      </c>
      <c r="M222" s="11">
        <f t="shared" si="440"/>
        <v>1.113636364</v>
      </c>
      <c r="N222" s="11">
        <f t="shared" si="6"/>
        <v>0.9757920277</v>
      </c>
      <c r="O222" s="10">
        <v>20.0</v>
      </c>
      <c r="P222" s="10">
        <v>19.0</v>
      </c>
      <c r="Q222" s="10">
        <v>22.0</v>
      </c>
      <c r="R222" s="10">
        <v>28.0</v>
      </c>
      <c r="S222" s="10">
        <v>22.0</v>
      </c>
      <c r="T222" s="10">
        <v>20.0</v>
      </c>
      <c r="U222" s="11">
        <f t="shared" ref="U222:W222" si="441">+R222/O222</f>
        <v>1.4</v>
      </c>
      <c r="V222" s="11">
        <f t="shared" si="441"/>
        <v>1.157894737</v>
      </c>
      <c r="W222" s="11">
        <f t="shared" si="441"/>
        <v>0.9090909091</v>
      </c>
      <c r="X222" s="11">
        <f t="shared" si="410"/>
        <v>1.155661882</v>
      </c>
    </row>
    <row r="223" ht="15.75" customHeight="1">
      <c r="A223" s="7">
        <v>50801.0</v>
      </c>
      <c r="B223" s="8" t="s">
        <v>279</v>
      </c>
      <c r="C223" s="8" t="s">
        <v>307</v>
      </c>
      <c r="D223" s="9" t="s">
        <v>308</v>
      </c>
      <c r="E223" s="10">
        <v>150.0</v>
      </c>
      <c r="F223" s="10">
        <v>129.0</v>
      </c>
      <c r="G223" s="10">
        <v>129.0</v>
      </c>
      <c r="H223" s="10">
        <v>195.0</v>
      </c>
      <c r="I223" s="10">
        <v>186.0</v>
      </c>
      <c r="J223" s="10">
        <v>188.0</v>
      </c>
      <c r="K223" s="11">
        <f t="shared" ref="K223:M223" si="442">+H223/E223</f>
        <v>1.3</v>
      </c>
      <c r="L223" s="11">
        <f t="shared" si="442"/>
        <v>1.441860465</v>
      </c>
      <c r="M223" s="11">
        <f t="shared" si="442"/>
        <v>1.457364341</v>
      </c>
      <c r="N223" s="11">
        <f t="shared" si="6"/>
        <v>1.399741602</v>
      </c>
      <c r="O223" s="10">
        <v>64.0</v>
      </c>
      <c r="P223" s="10">
        <v>39.0</v>
      </c>
      <c r="Q223" s="10">
        <v>32.0</v>
      </c>
      <c r="R223" s="10">
        <v>84.0</v>
      </c>
      <c r="S223" s="10">
        <v>75.0</v>
      </c>
      <c r="T223" s="10">
        <v>43.0</v>
      </c>
      <c r="U223" s="11">
        <f t="shared" ref="U223:W223" si="443">+R223/O223</f>
        <v>1.3125</v>
      </c>
      <c r="V223" s="11">
        <f t="shared" si="443"/>
        <v>1.923076923</v>
      </c>
      <c r="W223" s="11">
        <f t="shared" si="443"/>
        <v>1.34375</v>
      </c>
      <c r="X223" s="11">
        <f t="shared" si="410"/>
        <v>1.526442308</v>
      </c>
    </row>
    <row r="224" ht="15.75" customHeight="1">
      <c r="A224" s="7">
        <v>50802.0</v>
      </c>
      <c r="B224" s="8" t="s">
        <v>279</v>
      </c>
      <c r="C224" s="8" t="s">
        <v>307</v>
      </c>
      <c r="D224" s="9" t="s">
        <v>309</v>
      </c>
      <c r="E224" s="10">
        <v>38.0</v>
      </c>
      <c r="F224" s="10">
        <v>26.0</v>
      </c>
      <c r="G224" s="10">
        <v>36.0</v>
      </c>
      <c r="H224" s="10">
        <v>34.0</v>
      </c>
      <c r="I224" s="10">
        <v>34.0</v>
      </c>
      <c r="J224" s="10">
        <v>37.0</v>
      </c>
      <c r="K224" s="11">
        <f t="shared" ref="K224:M224" si="444">+H224/E224</f>
        <v>0.8947368421</v>
      </c>
      <c r="L224" s="11">
        <f t="shared" si="444"/>
        <v>1.307692308</v>
      </c>
      <c r="M224" s="11">
        <f t="shared" si="444"/>
        <v>1.027777778</v>
      </c>
      <c r="N224" s="11">
        <f t="shared" si="6"/>
        <v>1.076735643</v>
      </c>
      <c r="O224" s="10">
        <v>9.0</v>
      </c>
      <c r="P224" s="10">
        <v>10.0</v>
      </c>
      <c r="Q224" s="10">
        <v>4.0</v>
      </c>
      <c r="R224" s="10">
        <v>8.0</v>
      </c>
      <c r="S224" s="10">
        <v>9.0</v>
      </c>
      <c r="T224" s="10">
        <v>9.0</v>
      </c>
      <c r="U224" s="11">
        <f t="shared" ref="U224:W224" si="445">+R224/O224</f>
        <v>0.8888888889</v>
      </c>
      <c r="V224" s="11">
        <f t="shared" si="445"/>
        <v>0.9</v>
      </c>
      <c r="W224" s="11">
        <f t="shared" si="445"/>
        <v>2.25</v>
      </c>
      <c r="X224" s="11">
        <f t="shared" si="410"/>
        <v>1.346296296</v>
      </c>
    </row>
    <row r="225" ht="15.75" customHeight="1">
      <c r="A225" s="7">
        <v>50901.0</v>
      </c>
      <c r="B225" s="8" t="s">
        <v>279</v>
      </c>
      <c r="C225" s="8" t="s">
        <v>310</v>
      </c>
      <c r="D225" s="9" t="s">
        <v>311</v>
      </c>
      <c r="E225" s="10">
        <v>21.0</v>
      </c>
      <c r="F225" s="10">
        <v>30.0</v>
      </c>
      <c r="G225" s="10">
        <v>34.0</v>
      </c>
      <c r="H225" s="10">
        <v>25.0</v>
      </c>
      <c r="I225" s="10">
        <v>37.0</v>
      </c>
      <c r="J225" s="10">
        <v>31.0</v>
      </c>
      <c r="K225" s="11">
        <f t="shared" ref="K225:M225" si="446">+H225/E225</f>
        <v>1.19047619</v>
      </c>
      <c r="L225" s="11">
        <f t="shared" si="446"/>
        <v>1.233333333</v>
      </c>
      <c r="M225" s="11">
        <f t="shared" si="446"/>
        <v>0.9117647059</v>
      </c>
      <c r="N225" s="11">
        <f t="shared" si="6"/>
        <v>1.111858077</v>
      </c>
      <c r="O225" s="10">
        <v>13.0</v>
      </c>
      <c r="P225" s="10">
        <v>10.0</v>
      </c>
      <c r="Q225" s="10">
        <v>10.0</v>
      </c>
      <c r="R225" s="10">
        <v>17.0</v>
      </c>
      <c r="S225" s="10">
        <v>12.0</v>
      </c>
      <c r="T225" s="10">
        <v>7.0</v>
      </c>
      <c r="U225" s="11">
        <f t="shared" ref="U225:W225" si="447">+R225/O225</f>
        <v>1.307692308</v>
      </c>
      <c r="V225" s="11">
        <f t="shared" si="447"/>
        <v>1.2</v>
      </c>
      <c r="W225" s="11">
        <f t="shared" si="447"/>
        <v>0.7</v>
      </c>
      <c r="X225" s="11">
        <f t="shared" si="410"/>
        <v>1.069230769</v>
      </c>
    </row>
    <row r="226" ht="15.75" customHeight="1">
      <c r="A226" s="7">
        <v>50902.0</v>
      </c>
      <c r="B226" s="8" t="s">
        <v>279</v>
      </c>
      <c r="C226" s="8" t="s">
        <v>310</v>
      </c>
      <c r="D226" s="9" t="s">
        <v>312</v>
      </c>
      <c r="E226" s="10">
        <v>0.0</v>
      </c>
      <c r="F226" s="10">
        <v>1.0</v>
      </c>
      <c r="G226" s="10">
        <v>0.0</v>
      </c>
      <c r="H226" s="10">
        <v>0.0</v>
      </c>
      <c r="I226" s="10">
        <v>8.0</v>
      </c>
      <c r="J226" s="10">
        <v>3.0</v>
      </c>
      <c r="K226" s="11"/>
      <c r="L226" s="11">
        <f>+I226/F226</f>
        <v>8</v>
      </c>
      <c r="M226" s="11"/>
      <c r="N226" s="11">
        <f t="shared" si="6"/>
        <v>8</v>
      </c>
      <c r="O226" s="10">
        <v>5.0</v>
      </c>
      <c r="P226" s="10">
        <v>2.0</v>
      </c>
      <c r="Q226" s="10">
        <v>1.0</v>
      </c>
      <c r="R226" s="10">
        <v>0.0</v>
      </c>
      <c r="S226" s="10">
        <v>2.0</v>
      </c>
      <c r="T226" s="10">
        <v>2.0</v>
      </c>
      <c r="U226" s="11">
        <f t="shared" ref="U226:W226" si="448">+R226/O226</f>
        <v>0</v>
      </c>
      <c r="V226" s="11">
        <f t="shared" si="448"/>
        <v>1</v>
      </c>
      <c r="W226" s="11">
        <f t="shared" si="448"/>
        <v>2</v>
      </c>
      <c r="X226" s="11">
        <f t="shared" si="410"/>
        <v>1</v>
      </c>
    </row>
    <row r="227" ht="15.75" customHeight="1">
      <c r="A227" s="7">
        <v>51001.0</v>
      </c>
      <c r="B227" s="8" t="s">
        <v>279</v>
      </c>
      <c r="C227" s="8" t="s">
        <v>313</v>
      </c>
      <c r="D227" s="9" t="s">
        <v>314</v>
      </c>
      <c r="E227" s="10">
        <v>5.0</v>
      </c>
      <c r="F227" s="10">
        <v>11.0</v>
      </c>
      <c r="G227" s="10">
        <v>8.0</v>
      </c>
      <c r="H227" s="10">
        <v>5.0</v>
      </c>
      <c r="I227" s="10">
        <v>8.0</v>
      </c>
      <c r="J227" s="10">
        <v>8.0</v>
      </c>
      <c r="K227" s="11">
        <f t="shared" ref="K227:M227" si="449">+H227/E227</f>
        <v>1</v>
      </c>
      <c r="L227" s="11">
        <f t="shared" si="449"/>
        <v>0.7272727273</v>
      </c>
      <c r="M227" s="11">
        <f t="shared" si="449"/>
        <v>1</v>
      </c>
      <c r="N227" s="11">
        <f t="shared" si="6"/>
        <v>0.9090909091</v>
      </c>
      <c r="O227" s="10">
        <v>1.0</v>
      </c>
      <c r="P227" s="10">
        <v>0.0</v>
      </c>
      <c r="Q227" s="10">
        <v>4.0</v>
      </c>
      <c r="R227" s="10">
        <v>3.0</v>
      </c>
      <c r="S227" s="10">
        <v>2.0</v>
      </c>
      <c r="T227" s="10">
        <v>2.0</v>
      </c>
      <c r="U227" s="11">
        <f>+R227/O227</f>
        <v>3</v>
      </c>
      <c r="V227" s="11"/>
      <c r="W227" s="11">
        <f>+T227/Q227</f>
        <v>0.5</v>
      </c>
      <c r="X227" s="11">
        <f t="shared" si="410"/>
        <v>1.75</v>
      </c>
    </row>
    <row r="228" ht="15.75" customHeight="1">
      <c r="A228" s="7">
        <v>51002.0</v>
      </c>
      <c r="B228" s="8" t="s">
        <v>279</v>
      </c>
      <c r="C228" s="8" t="s">
        <v>313</v>
      </c>
      <c r="D228" s="9" t="s">
        <v>315</v>
      </c>
      <c r="E228" s="10">
        <v>2.0</v>
      </c>
      <c r="F228" s="10">
        <v>1.0</v>
      </c>
      <c r="G228" s="10">
        <v>1.0</v>
      </c>
      <c r="H228" s="10">
        <v>0.0</v>
      </c>
      <c r="I228" s="10">
        <v>0.0</v>
      </c>
      <c r="J228" s="10">
        <v>1.0</v>
      </c>
      <c r="K228" s="11">
        <f t="shared" ref="K228:M228" si="450">+H228/E228</f>
        <v>0</v>
      </c>
      <c r="L228" s="11">
        <f t="shared" si="450"/>
        <v>0</v>
      </c>
      <c r="M228" s="11">
        <f t="shared" si="450"/>
        <v>1</v>
      </c>
      <c r="N228" s="11">
        <f t="shared" si="6"/>
        <v>0.3333333333</v>
      </c>
      <c r="O228" s="10">
        <v>0.0</v>
      </c>
      <c r="P228" s="10">
        <v>0.0</v>
      </c>
      <c r="Q228" s="10"/>
      <c r="R228" s="10">
        <v>1.0</v>
      </c>
      <c r="S228" s="10">
        <v>2.0</v>
      </c>
      <c r="T228" s="10"/>
      <c r="U228" s="11"/>
      <c r="V228" s="11"/>
      <c r="W228" s="11"/>
      <c r="X228" s="11"/>
    </row>
    <row r="229" ht="15.75" customHeight="1">
      <c r="A229" s="7">
        <v>51003.0</v>
      </c>
      <c r="B229" s="8" t="s">
        <v>279</v>
      </c>
      <c r="C229" s="8" t="s">
        <v>313</v>
      </c>
      <c r="D229" s="9" t="s">
        <v>316</v>
      </c>
      <c r="E229" s="10">
        <v>3.0</v>
      </c>
      <c r="F229" s="10">
        <v>2.0</v>
      </c>
      <c r="G229" s="10">
        <v>4.0</v>
      </c>
      <c r="H229" s="10">
        <v>5.0</v>
      </c>
      <c r="I229" s="10">
        <v>11.0</v>
      </c>
      <c r="J229" s="10">
        <v>2.0</v>
      </c>
      <c r="K229" s="11">
        <f t="shared" ref="K229:M229" si="451">+H229/E229</f>
        <v>1.666666667</v>
      </c>
      <c r="L229" s="11">
        <f t="shared" si="451"/>
        <v>5.5</v>
      </c>
      <c r="M229" s="11">
        <f t="shared" si="451"/>
        <v>0.5</v>
      </c>
      <c r="N229" s="11">
        <f t="shared" si="6"/>
        <v>2.555555556</v>
      </c>
      <c r="O229" s="10">
        <v>2.0</v>
      </c>
      <c r="P229" s="10">
        <v>0.0</v>
      </c>
      <c r="Q229" s="10">
        <v>4.0</v>
      </c>
      <c r="R229" s="10">
        <v>1.0</v>
      </c>
      <c r="S229" s="10">
        <v>2.0</v>
      </c>
      <c r="T229" s="10">
        <v>2.0</v>
      </c>
      <c r="U229" s="11">
        <f t="shared" ref="U229:U239" si="453">+R229/O229</f>
        <v>0.5</v>
      </c>
      <c r="V229" s="11"/>
      <c r="W229" s="11">
        <f>+T229/Q229</f>
        <v>0.5</v>
      </c>
      <c r="X229" s="11">
        <f t="shared" ref="X229:X284" si="455">AVERAGE(U229:W229)</f>
        <v>0.5</v>
      </c>
    </row>
    <row r="230" ht="15.75" customHeight="1">
      <c r="A230" s="7">
        <v>51101.0</v>
      </c>
      <c r="B230" s="8" t="s">
        <v>279</v>
      </c>
      <c r="C230" s="8" t="s">
        <v>317</v>
      </c>
      <c r="D230" s="9" t="s">
        <v>318</v>
      </c>
      <c r="E230" s="10">
        <v>205.0</v>
      </c>
      <c r="F230" s="10">
        <v>227.0</v>
      </c>
      <c r="G230" s="10">
        <v>91.0</v>
      </c>
      <c r="H230" s="10">
        <v>227.0</v>
      </c>
      <c r="I230" s="10">
        <v>253.0</v>
      </c>
      <c r="J230" s="10">
        <v>108.0</v>
      </c>
      <c r="K230" s="11">
        <f t="shared" ref="K230:M230" si="452">+H230/E230</f>
        <v>1.107317073</v>
      </c>
      <c r="L230" s="11">
        <f t="shared" si="452"/>
        <v>1.114537445</v>
      </c>
      <c r="M230" s="11">
        <f t="shared" si="452"/>
        <v>1.186813187</v>
      </c>
      <c r="N230" s="11">
        <f t="shared" si="6"/>
        <v>1.136222568</v>
      </c>
      <c r="O230" s="10">
        <v>26.0</v>
      </c>
      <c r="P230" s="10">
        <v>33.0</v>
      </c>
      <c r="Q230" s="10">
        <v>25.0</v>
      </c>
      <c r="R230" s="10">
        <v>21.0</v>
      </c>
      <c r="S230" s="10">
        <v>31.0</v>
      </c>
      <c r="T230" s="10">
        <v>26.0</v>
      </c>
      <c r="U230" s="11">
        <f t="shared" si="453"/>
        <v>0.8076923077</v>
      </c>
      <c r="V230" s="11">
        <f t="shared" ref="V230:W230" si="454">+S230/P230</f>
        <v>0.9393939394</v>
      </c>
      <c r="W230" s="11">
        <f t="shared" si="454"/>
        <v>1.04</v>
      </c>
      <c r="X230" s="11">
        <f t="shared" si="455"/>
        <v>0.929028749</v>
      </c>
    </row>
    <row r="231" ht="15.75" customHeight="1">
      <c r="A231" s="7">
        <v>51102.0</v>
      </c>
      <c r="B231" s="8" t="s">
        <v>279</v>
      </c>
      <c r="C231" s="8" t="s">
        <v>317</v>
      </c>
      <c r="D231" s="9" t="s">
        <v>319</v>
      </c>
      <c r="E231" s="10">
        <v>38.0</v>
      </c>
      <c r="F231" s="10">
        <v>28.0</v>
      </c>
      <c r="G231" s="10">
        <v>28.0</v>
      </c>
      <c r="H231" s="10">
        <v>64.0</v>
      </c>
      <c r="I231" s="10">
        <v>41.0</v>
      </c>
      <c r="J231" s="10">
        <v>35.0</v>
      </c>
      <c r="K231" s="11">
        <f t="shared" ref="K231:M231" si="456">+H231/E231</f>
        <v>1.684210526</v>
      </c>
      <c r="L231" s="11">
        <f t="shared" si="456"/>
        <v>1.464285714</v>
      </c>
      <c r="M231" s="11">
        <f t="shared" si="456"/>
        <v>1.25</v>
      </c>
      <c r="N231" s="11">
        <f t="shared" si="6"/>
        <v>1.466165414</v>
      </c>
      <c r="O231" s="10">
        <v>22.0</v>
      </c>
      <c r="P231" s="10">
        <v>23.0</v>
      </c>
      <c r="Q231" s="10">
        <v>21.0</v>
      </c>
      <c r="R231" s="10">
        <v>24.0</v>
      </c>
      <c r="S231" s="10">
        <v>31.0</v>
      </c>
      <c r="T231" s="10">
        <v>21.0</v>
      </c>
      <c r="U231" s="11">
        <f t="shared" si="453"/>
        <v>1.090909091</v>
      </c>
      <c r="V231" s="11">
        <f t="shared" ref="V231:W231" si="457">+S231/P231</f>
        <v>1.347826087</v>
      </c>
      <c r="W231" s="11">
        <f t="shared" si="457"/>
        <v>1</v>
      </c>
      <c r="X231" s="11">
        <f t="shared" si="455"/>
        <v>1.146245059</v>
      </c>
    </row>
    <row r="232" ht="15.75" customHeight="1">
      <c r="A232" s="7">
        <v>51103.0</v>
      </c>
      <c r="B232" s="8" t="s">
        <v>279</v>
      </c>
      <c r="C232" s="8" t="s">
        <v>317</v>
      </c>
      <c r="D232" s="9" t="s">
        <v>320</v>
      </c>
      <c r="E232" s="10">
        <v>0.0</v>
      </c>
      <c r="F232" s="10">
        <v>0.0</v>
      </c>
      <c r="G232" s="10">
        <v>88.0</v>
      </c>
      <c r="H232" s="10">
        <v>0.0</v>
      </c>
      <c r="I232" s="10">
        <v>0.0</v>
      </c>
      <c r="J232" s="10">
        <v>89.0</v>
      </c>
      <c r="K232" s="11"/>
      <c r="L232" s="11"/>
      <c r="M232" s="11">
        <f>+J232/G232</f>
        <v>1.011363636</v>
      </c>
      <c r="N232" s="11">
        <f t="shared" si="6"/>
        <v>1.011363636</v>
      </c>
      <c r="O232" s="10">
        <v>26.0</v>
      </c>
      <c r="P232" s="10">
        <v>27.0</v>
      </c>
      <c r="Q232" s="10">
        <v>22.0</v>
      </c>
      <c r="R232" s="10">
        <v>51.0</v>
      </c>
      <c r="S232" s="10">
        <v>54.0</v>
      </c>
      <c r="T232" s="10">
        <v>53.0</v>
      </c>
      <c r="U232" s="11">
        <f t="shared" si="453"/>
        <v>1.961538462</v>
      </c>
      <c r="V232" s="11">
        <f t="shared" ref="V232:W232" si="458">+S232/P232</f>
        <v>2</v>
      </c>
      <c r="W232" s="11">
        <f t="shared" si="458"/>
        <v>2.409090909</v>
      </c>
      <c r="X232" s="11">
        <f t="shared" si="455"/>
        <v>2.123543124</v>
      </c>
    </row>
    <row r="233" ht="15.75" customHeight="1">
      <c r="A233" s="7">
        <v>51201.0</v>
      </c>
      <c r="B233" s="8" t="s">
        <v>279</v>
      </c>
      <c r="C233" s="8" t="s">
        <v>321</v>
      </c>
      <c r="D233" s="9" t="s">
        <v>322</v>
      </c>
      <c r="E233" s="10">
        <v>98.0</v>
      </c>
      <c r="F233" s="10">
        <v>98.0</v>
      </c>
      <c r="G233" s="10">
        <v>122.0</v>
      </c>
      <c r="H233" s="10">
        <v>167.0</v>
      </c>
      <c r="I233" s="10">
        <v>156.0</v>
      </c>
      <c r="J233" s="10">
        <v>152.0</v>
      </c>
      <c r="K233" s="11">
        <f t="shared" ref="K233:M233" si="459">+H233/E233</f>
        <v>1.704081633</v>
      </c>
      <c r="L233" s="11">
        <f t="shared" si="459"/>
        <v>1.591836735</v>
      </c>
      <c r="M233" s="11">
        <f t="shared" si="459"/>
        <v>1.245901639</v>
      </c>
      <c r="N233" s="11">
        <f t="shared" si="6"/>
        <v>1.513940002</v>
      </c>
      <c r="O233" s="10">
        <v>44.0</v>
      </c>
      <c r="P233" s="10">
        <v>42.0</v>
      </c>
      <c r="Q233" s="10">
        <v>41.0</v>
      </c>
      <c r="R233" s="10">
        <v>55.0</v>
      </c>
      <c r="S233" s="10">
        <v>65.0</v>
      </c>
      <c r="T233" s="10">
        <v>63.0</v>
      </c>
      <c r="U233" s="11">
        <f t="shared" si="453"/>
        <v>1.25</v>
      </c>
      <c r="V233" s="11">
        <f t="shared" ref="V233:W233" si="460">+S233/P233</f>
        <v>1.547619048</v>
      </c>
      <c r="W233" s="11">
        <f t="shared" si="460"/>
        <v>1.536585366</v>
      </c>
      <c r="X233" s="11">
        <f t="shared" si="455"/>
        <v>1.444734804</v>
      </c>
    </row>
    <row r="234" ht="15.75" customHeight="1">
      <c r="A234" s="7">
        <v>51202.0</v>
      </c>
      <c r="B234" s="8" t="s">
        <v>279</v>
      </c>
      <c r="C234" s="8" t="s">
        <v>321</v>
      </c>
      <c r="D234" s="9" t="s">
        <v>323</v>
      </c>
      <c r="E234" s="10">
        <v>38.0</v>
      </c>
      <c r="F234" s="10">
        <v>77.0</v>
      </c>
      <c r="G234" s="10">
        <v>57.0</v>
      </c>
      <c r="H234" s="10">
        <v>73.0</v>
      </c>
      <c r="I234" s="10">
        <v>123.0</v>
      </c>
      <c r="J234" s="10">
        <v>51.0</v>
      </c>
      <c r="K234" s="11">
        <f t="shared" ref="K234:M234" si="461">+H234/E234</f>
        <v>1.921052632</v>
      </c>
      <c r="L234" s="11">
        <f t="shared" si="461"/>
        <v>1.597402597</v>
      </c>
      <c r="M234" s="11">
        <f t="shared" si="461"/>
        <v>0.8947368421</v>
      </c>
      <c r="N234" s="11">
        <f t="shared" si="6"/>
        <v>1.471064024</v>
      </c>
      <c r="O234" s="10">
        <v>14.0</v>
      </c>
      <c r="P234" s="10">
        <v>9.0</v>
      </c>
      <c r="Q234" s="10">
        <v>6.0</v>
      </c>
      <c r="R234" s="10">
        <v>22.0</v>
      </c>
      <c r="S234" s="10">
        <v>11.0</v>
      </c>
      <c r="T234" s="10">
        <v>11.0</v>
      </c>
      <c r="U234" s="11">
        <f t="shared" si="453"/>
        <v>1.571428571</v>
      </c>
      <c r="V234" s="11">
        <f t="shared" ref="V234:W234" si="462">+S234/P234</f>
        <v>1.222222222</v>
      </c>
      <c r="W234" s="11">
        <f t="shared" si="462"/>
        <v>1.833333333</v>
      </c>
      <c r="X234" s="11">
        <f t="shared" si="455"/>
        <v>1.542328042</v>
      </c>
    </row>
    <row r="235" ht="15.75" customHeight="1">
      <c r="A235" s="7">
        <v>51203.0</v>
      </c>
      <c r="B235" s="8" t="s">
        <v>279</v>
      </c>
      <c r="C235" s="8" t="s">
        <v>321</v>
      </c>
      <c r="D235" s="9" t="s">
        <v>324</v>
      </c>
      <c r="E235" s="10">
        <v>25.0</v>
      </c>
      <c r="F235" s="10">
        <v>27.0</v>
      </c>
      <c r="G235" s="10">
        <v>39.0</v>
      </c>
      <c r="H235" s="10">
        <v>28.0</v>
      </c>
      <c r="I235" s="10">
        <v>30.0</v>
      </c>
      <c r="J235" s="10">
        <v>28.0</v>
      </c>
      <c r="K235" s="11">
        <f t="shared" ref="K235:M235" si="463">+H235/E235</f>
        <v>1.12</v>
      </c>
      <c r="L235" s="11">
        <f t="shared" si="463"/>
        <v>1.111111111</v>
      </c>
      <c r="M235" s="11">
        <f t="shared" si="463"/>
        <v>0.7179487179</v>
      </c>
      <c r="N235" s="11">
        <f t="shared" si="6"/>
        <v>0.983019943</v>
      </c>
      <c r="O235" s="10">
        <v>7.0</v>
      </c>
      <c r="P235" s="10">
        <v>6.0</v>
      </c>
      <c r="Q235" s="10">
        <v>11.0</v>
      </c>
      <c r="R235" s="10">
        <v>8.0</v>
      </c>
      <c r="S235" s="10">
        <v>15.0</v>
      </c>
      <c r="T235" s="10">
        <v>13.0</v>
      </c>
      <c r="U235" s="11">
        <f t="shared" si="453"/>
        <v>1.142857143</v>
      </c>
      <c r="V235" s="11">
        <f t="shared" ref="V235:W235" si="464">+S235/P235</f>
        <v>2.5</v>
      </c>
      <c r="W235" s="11">
        <f t="shared" si="464"/>
        <v>1.181818182</v>
      </c>
      <c r="X235" s="11">
        <f t="shared" si="455"/>
        <v>1.608225108</v>
      </c>
    </row>
    <row r="236" ht="15.75" customHeight="1">
      <c r="A236" s="7">
        <v>51204.0</v>
      </c>
      <c r="B236" s="8" t="s">
        <v>279</v>
      </c>
      <c r="C236" s="8"/>
      <c r="D236" s="9" t="s">
        <v>325</v>
      </c>
      <c r="E236" s="10">
        <v>38.0</v>
      </c>
      <c r="F236" s="10">
        <v>77.0</v>
      </c>
      <c r="G236" s="10">
        <v>57.0</v>
      </c>
      <c r="H236" s="10">
        <v>73.0</v>
      </c>
      <c r="I236" s="10">
        <v>123.0</v>
      </c>
      <c r="J236" s="10">
        <v>51.0</v>
      </c>
      <c r="K236" s="11">
        <f t="shared" ref="K236:M236" si="465">+H236/E236</f>
        <v>1.921052632</v>
      </c>
      <c r="L236" s="11">
        <f t="shared" si="465"/>
        <v>1.597402597</v>
      </c>
      <c r="M236" s="11">
        <f t="shared" si="465"/>
        <v>0.8947368421</v>
      </c>
      <c r="N236" s="11">
        <f t="shared" si="6"/>
        <v>1.471064024</v>
      </c>
      <c r="O236" s="10">
        <v>14.0</v>
      </c>
      <c r="P236" s="10">
        <v>9.0</v>
      </c>
      <c r="Q236" s="10"/>
      <c r="R236" s="10">
        <v>22.0</v>
      </c>
      <c r="S236" s="10">
        <v>11.0</v>
      </c>
      <c r="T236" s="10"/>
      <c r="U236" s="11">
        <f t="shared" si="453"/>
        <v>1.571428571</v>
      </c>
      <c r="V236" s="11">
        <f t="shared" ref="V236:V239" si="467">+S236/P236</f>
        <v>1.222222222</v>
      </c>
      <c r="W236" s="11"/>
      <c r="X236" s="11">
        <f t="shared" si="455"/>
        <v>1.396825397</v>
      </c>
    </row>
    <row r="237" ht="15.75" customHeight="1">
      <c r="A237" s="7">
        <v>51301.0</v>
      </c>
      <c r="B237" s="8" t="s">
        <v>279</v>
      </c>
      <c r="C237" s="8" t="s">
        <v>326</v>
      </c>
      <c r="D237" s="9" t="s">
        <v>327</v>
      </c>
      <c r="E237" s="10">
        <v>29.0</v>
      </c>
      <c r="F237" s="10">
        <v>28.0</v>
      </c>
      <c r="G237" s="10">
        <v>34.0</v>
      </c>
      <c r="H237" s="10">
        <v>34.0</v>
      </c>
      <c r="I237" s="10">
        <v>30.0</v>
      </c>
      <c r="J237" s="10">
        <v>30.0</v>
      </c>
      <c r="K237" s="11">
        <f t="shared" ref="K237:M237" si="466">+H237/E237</f>
        <v>1.172413793</v>
      </c>
      <c r="L237" s="11">
        <f t="shared" si="466"/>
        <v>1.071428571</v>
      </c>
      <c r="M237" s="11">
        <f t="shared" si="466"/>
        <v>0.8823529412</v>
      </c>
      <c r="N237" s="11">
        <f t="shared" si="6"/>
        <v>1.042065102</v>
      </c>
      <c r="O237" s="10">
        <v>24.0</v>
      </c>
      <c r="P237" s="10">
        <v>26.0</v>
      </c>
      <c r="Q237" s="10"/>
      <c r="R237" s="10">
        <v>35.0</v>
      </c>
      <c r="S237" s="10">
        <v>27.0</v>
      </c>
      <c r="T237" s="10"/>
      <c r="U237" s="11">
        <f t="shared" si="453"/>
        <v>1.458333333</v>
      </c>
      <c r="V237" s="11">
        <f t="shared" si="467"/>
        <v>1.038461538</v>
      </c>
      <c r="W237" s="11"/>
      <c r="X237" s="11">
        <f t="shared" si="455"/>
        <v>1.248397436</v>
      </c>
    </row>
    <row r="238" ht="15.75" customHeight="1">
      <c r="A238" s="7">
        <v>51302.0</v>
      </c>
      <c r="B238" s="8" t="s">
        <v>279</v>
      </c>
      <c r="C238" s="8" t="s">
        <v>326</v>
      </c>
      <c r="D238" s="9" t="s">
        <v>328</v>
      </c>
      <c r="E238" s="10">
        <v>24.0</v>
      </c>
      <c r="F238" s="10">
        <v>12.0</v>
      </c>
      <c r="G238" s="10">
        <v>22.0</v>
      </c>
      <c r="H238" s="10">
        <v>34.0</v>
      </c>
      <c r="I238" s="10">
        <v>33.0</v>
      </c>
      <c r="J238" s="10">
        <v>54.0</v>
      </c>
      <c r="K238" s="11">
        <f t="shared" ref="K238:M238" si="468">+H238/E238</f>
        <v>1.416666667</v>
      </c>
      <c r="L238" s="11">
        <f t="shared" si="468"/>
        <v>2.75</v>
      </c>
      <c r="M238" s="11">
        <f t="shared" si="468"/>
        <v>2.454545455</v>
      </c>
      <c r="N238" s="11">
        <f t="shared" si="6"/>
        <v>2.207070707</v>
      </c>
      <c r="O238" s="10">
        <v>15.0</v>
      </c>
      <c r="P238" s="10">
        <v>16.0</v>
      </c>
      <c r="Q238" s="10">
        <v>17.0</v>
      </c>
      <c r="R238" s="10">
        <v>18.0</v>
      </c>
      <c r="S238" s="10">
        <v>12.0</v>
      </c>
      <c r="T238" s="10">
        <v>18.0</v>
      </c>
      <c r="U238" s="11">
        <f t="shared" si="453"/>
        <v>1.2</v>
      </c>
      <c r="V238" s="11">
        <f t="shared" si="467"/>
        <v>0.75</v>
      </c>
      <c r="W238" s="11">
        <f t="shared" ref="W238:W240" si="470">+T238/Q238</f>
        <v>1.058823529</v>
      </c>
      <c r="X238" s="11">
        <f t="shared" si="455"/>
        <v>1.002941176</v>
      </c>
    </row>
    <row r="239" ht="15.75" customHeight="1">
      <c r="A239" s="7">
        <v>51401.0</v>
      </c>
      <c r="B239" s="8" t="s">
        <v>279</v>
      </c>
      <c r="C239" s="8" t="s">
        <v>329</v>
      </c>
      <c r="D239" s="9" t="s">
        <v>330</v>
      </c>
      <c r="E239" s="10">
        <v>13.0</v>
      </c>
      <c r="F239" s="10">
        <v>8.0</v>
      </c>
      <c r="G239" s="10">
        <v>14.0</v>
      </c>
      <c r="H239" s="10">
        <v>28.0</v>
      </c>
      <c r="I239" s="10">
        <v>14.0</v>
      </c>
      <c r="J239" s="10">
        <v>14.0</v>
      </c>
      <c r="K239" s="11">
        <f t="shared" ref="K239:M239" si="469">+H239/E239</f>
        <v>2.153846154</v>
      </c>
      <c r="L239" s="11">
        <f t="shared" si="469"/>
        <v>1.75</v>
      </c>
      <c r="M239" s="11">
        <f t="shared" si="469"/>
        <v>1</v>
      </c>
      <c r="N239" s="11">
        <f t="shared" si="6"/>
        <v>1.634615385</v>
      </c>
      <c r="O239" s="10">
        <v>6.0</v>
      </c>
      <c r="P239" s="10">
        <v>7.0</v>
      </c>
      <c r="Q239" s="10">
        <v>11.0</v>
      </c>
      <c r="R239" s="10">
        <v>4.0</v>
      </c>
      <c r="S239" s="10">
        <v>6.0</v>
      </c>
      <c r="T239" s="10">
        <v>5.0</v>
      </c>
      <c r="U239" s="11">
        <f t="shared" si="453"/>
        <v>0.6666666667</v>
      </c>
      <c r="V239" s="11">
        <f t="shared" si="467"/>
        <v>0.8571428571</v>
      </c>
      <c r="W239" s="11">
        <f t="shared" si="470"/>
        <v>0.4545454545</v>
      </c>
      <c r="X239" s="11">
        <f t="shared" si="455"/>
        <v>0.6594516595</v>
      </c>
    </row>
    <row r="240" ht="15.75" customHeight="1">
      <c r="A240" s="7">
        <v>51402.0</v>
      </c>
      <c r="B240" s="8" t="s">
        <v>279</v>
      </c>
      <c r="C240" s="8" t="s">
        <v>329</v>
      </c>
      <c r="D240" s="9" t="s">
        <v>331</v>
      </c>
      <c r="E240" s="10">
        <v>3.0</v>
      </c>
      <c r="F240" s="10">
        <v>6.0</v>
      </c>
      <c r="G240" s="10">
        <v>5.0</v>
      </c>
      <c r="H240" s="10">
        <v>3.0</v>
      </c>
      <c r="I240" s="10">
        <v>7.0</v>
      </c>
      <c r="J240" s="10">
        <v>4.0</v>
      </c>
      <c r="K240" s="11">
        <f t="shared" ref="K240:M240" si="471">+H240/E240</f>
        <v>1</v>
      </c>
      <c r="L240" s="11">
        <f t="shared" si="471"/>
        <v>1.166666667</v>
      </c>
      <c r="M240" s="11">
        <f t="shared" si="471"/>
        <v>0.8</v>
      </c>
      <c r="N240" s="11">
        <f t="shared" si="6"/>
        <v>0.9888888889</v>
      </c>
      <c r="O240" s="10">
        <v>0.0</v>
      </c>
      <c r="P240" s="10">
        <v>0.0</v>
      </c>
      <c r="Q240" s="10">
        <v>1.0</v>
      </c>
      <c r="R240" s="10">
        <v>1.0</v>
      </c>
      <c r="S240" s="10">
        <v>1.0</v>
      </c>
      <c r="T240" s="10">
        <v>1.0</v>
      </c>
      <c r="U240" s="11"/>
      <c r="V240" s="11"/>
      <c r="W240" s="11">
        <f t="shared" si="470"/>
        <v>1</v>
      </c>
      <c r="X240" s="11">
        <f t="shared" si="455"/>
        <v>1</v>
      </c>
    </row>
    <row r="241" ht="15.75" customHeight="1">
      <c r="A241" s="7">
        <v>51501.0</v>
      </c>
      <c r="B241" s="8" t="s">
        <v>279</v>
      </c>
      <c r="C241" s="8" t="s">
        <v>332</v>
      </c>
      <c r="D241" s="9" t="s">
        <v>333</v>
      </c>
      <c r="E241" s="10">
        <v>185.0</v>
      </c>
      <c r="F241" s="10">
        <v>200.0</v>
      </c>
      <c r="G241" s="10">
        <v>164.0</v>
      </c>
      <c r="H241" s="10">
        <v>309.0</v>
      </c>
      <c r="I241" s="10">
        <v>275.0</v>
      </c>
      <c r="J241" s="10">
        <v>179.0</v>
      </c>
      <c r="K241" s="11">
        <f t="shared" ref="K241:M241" si="472">+H241/E241</f>
        <v>1.67027027</v>
      </c>
      <c r="L241" s="11">
        <f t="shared" si="472"/>
        <v>1.375</v>
      </c>
      <c r="M241" s="11">
        <f t="shared" si="472"/>
        <v>1.091463415</v>
      </c>
      <c r="N241" s="11">
        <f t="shared" si="6"/>
        <v>1.378911228</v>
      </c>
      <c r="O241" s="10">
        <v>77.0</v>
      </c>
      <c r="P241" s="10">
        <v>66.0</v>
      </c>
      <c r="Q241" s="10">
        <v>58.0</v>
      </c>
      <c r="R241" s="10">
        <v>107.0</v>
      </c>
      <c r="S241" s="10">
        <v>114.0</v>
      </c>
      <c r="T241" s="10">
        <v>96.0</v>
      </c>
      <c r="U241" s="11">
        <f t="shared" ref="U241:W241" si="473">+R241/O241</f>
        <v>1.38961039</v>
      </c>
      <c r="V241" s="11">
        <f t="shared" si="473"/>
        <v>1.727272727</v>
      </c>
      <c r="W241" s="11">
        <f t="shared" si="473"/>
        <v>1.655172414</v>
      </c>
      <c r="X241" s="11">
        <f t="shared" si="455"/>
        <v>1.590685177</v>
      </c>
    </row>
    <row r="242" ht="15.75" customHeight="1">
      <c r="A242" s="7">
        <v>51601.0</v>
      </c>
      <c r="B242" s="8" t="s">
        <v>279</v>
      </c>
      <c r="C242" s="8" t="s">
        <v>334</v>
      </c>
      <c r="D242" s="9" t="s">
        <v>335</v>
      </c>
      <c r="E242" s="10">
        <v>7.0</v>
      </c>
      <c r="F242" s="10">
        <v>4.0</v>
      </c>
      <c r="G242" s="10">
        <v>1.0</v>
      </c>
      <c r="H242" s="10">
        <v>12.0</v>
      </c>
      <c r="I242" s="10">
        <v>3.0</v>
      </c>
      <c r="J242" s="10">
        <v>2.0</v>
      </c>
      <c r="K242" s="11">
        <f t="shared" ref="K242:M242" si="474">+H242/E242</f>
        <v>1.714285714</v>
      </c>
      <c r="L242" s="11">
        <f t="shared" si="474"/>
        <v>0.75</v>
      </c>
      <c r="M242" s="11">
        <f t="shared" si="474"/>
        <v>2</v>
      </c>
      <c r="N242" s="11">
        <f t="shared" si="6"/>
        <v>1.488095238</v>
      </c>
      <c r="O242" s="10">
        <v>2.0</v>
      </c>
      <c r="P242" s="10">
        <v>2.0</v>
      </c>
      <c r="Q242" s="10"/>
      <c r="R242" s="10">
        <v>0.0</v>
      </c>
      <c r="S242" s="10">
        <v>2.0</v>
      </c>
      <c r="T242" s="10"/>
      <c r="U242" s="11">
        <f t="shared" ref="U242:V242" si="475">+R242/O242</f>
        <v>0</v>
      </c>
      <c r="V242" s="11">
        <f t="shared" si="475"/>
        <v>1</v>
      </c>
      <c r="W242" s="11"/>
      <c r="X242" s="11">
        <f t="shared" si="455"/>
        <v>0.5</v>
      </c>
    </row>
    <row r="243" ht="15.75" customHeight="1">
      <c r="A243" s="7">
        <v>60101.0</v>
      </c>
      <c r="B243" s="8" t="s">
        <v>40</v>
      </c>
      <c r="C243" s="8" t="s">
        <v>180</v>
      </c>
      <c r="D243" s="9" t="s">
        <v>40</v>
      </c>
      <c r="E243" s="10">
        <v>493.0</v>
      </c>
      <c r="F243" s="10">
        <v>498.0</v>
      </c>
      <c r="G243" s="10">
        <v>428.0</v>
      </c>
      <c r="H243" s="10">
        <v>720.0</v>
      </c>
      <c r="I243" s="10">
        <v>817.0</v>
      </c>
      <c r="J243" s="10">
        <v>794.0</v>
      </c>
      <c r="K243" s="11">
        <f t="shared" ref="K243:M243" si="476">+H243/E243</f>
        <v>1.460446247</v>
      </c>
      <c r="L243" s="11">
        <f t="shared" si="476"/>
        <v>1.640562249</v>
      </c>
      <c r="M243" s="11">
        <f t="shared" si="476"/>
        <v>1.855140187</v>
      </c>
      <c r="N243" s="11">
        <f t="shared" si="6"/>
        <v>1.652049561</v>
      </c>
      <c r="O243" s="10">
        <v>197.0</v>
      </c>
      <c r="P243" s="10">
        <v>138.0</v>
      </c>
      <c r="Q243" s="10">
        <v>204.0</v>
      </c>
      <c r="R243" s="10">
        <v>211.0</v>
      </c>
      <c r="S243" s="10">
        <v>207.0</v>
      </c>
      <c r="T243" s="10">
        <v>302.0</v>
      </c>
      <c r="U243" s="11">
        <f t="shared" ref="U243:W243" si="477">+R243/O243</f>
        <v>1.07106599</v>
      </c>
      <c r="V243" s="11">
        <f t="shared" si="477"/>
        <v>1.5</v>
      </c>
      <c r="W243" s="11">
        <f t="shared" si="477"/>
        <v>1.480392157</v>
      </c>
      <c r="X243" s="11">
        <f t="shared" si="455"/>
        <v>1.350486049</v>
      </c>
    </row>
    <row r="244" ht="15.75" customHeight="1">
      <c r="A244" s="7">
        <v>60201.0</v>
      </c>
      <c r="B244" s="8" t="s">
        <v>40</v>
      </c>
      <c r="C244" s="8" t="s">
        <v>336</v>
      </c>
      <c r="D244" s="9" t="s">
        <v>337</v>
      </c>
      <c r="E244" s="10">
        <v>47.0</v>
      </c>
      <c r="F244" s="10">
        <v>57.0</v>
      </c>
      <c r="G244" s="10">
        <v>39.0</v>
      </c>
      <c r="H244" s="10">
        <v>85.0</v>
      </c>
      <c r="I244" s="10">
        <v>94.0</v>
      </c>
      <c r="J244" s="10">
        <v>45.0</v>
      </c>
      <c r="K244" s="11">
        <f t="shared" ref="K244:M244" si="478">+H244/E244</f>
        <v>1.808510638</v>
      </c>
      <c r="L244" s="11">
        <f t="shared" si="478"/>
        <v>1.649122807</v>
      </c>
      <c r="M244" s="11">
        <f t="shared" si="478"/>
        <v>1.153846154</v>
      </c>
      <c r="N244" s="11">
        <f t="shared" si="6"/>
        <v>1.537159866</v>
      </c>
      <c r="O244" s="10">
        <v>10.0</v>
      </c>
      <c r="P244" s="10">
        <v>11.0</v>
      </c>
      <c r="Q244" s="10">
        <v>10.0</v>
      </c>
      <c r="R244" s="10">
        <v>26.0</v>
      </c>
      <c r="S244" s="10">
        <v>29.0</v>
      </c>
      <c r="T244" s="10">
        <v>20.0</v>
      </c>
      <c r="U244" s="11">
        <f t="shared" ref="U244:W244" si="479">+R244/O244</f>
        <v>2.6</v>
      </c>
      <c r="V244" s="11">
        <f t="shared" si="479"/>
        <v>2.636363636</v>
      </c>
      <c r="W244" s="11">
        <f t="shared" si="479"/>
        <v>2</v>
      </c>
      <c r="X244" s="11">
        <f t="shared" si="455"/>
        <v>2.412121212</v>
      </c>
    </row>
    <row r="245" ht="15.75" customHeight="1">
      <c r="A245" s="7">
        <v>60202.0</v>
      </c>
      <c r="B245" s="8" t="s">
        <v>40</v>
      </c>
      <c r="C245" s="8" t="s">
        <v>336</v>
      </c>
      <c r="D245" s="9" t="s">
        <v>338</v>
      </c>
      <c r="E245" s="10">
        <v>87.0</v>
      </c>
      <c r="F245" s="10">
        <v>125.0</v>
      </c>
      <c r="G245" s="10">
        <v>90.0</v>
      </c>
      <c r="H245" s="10">
        <v>119.0</v>
      </c>
      <c r="I245" s="10">
        <v>191.0</v>
      </c>
      <c r="J245" s="10">
        <v>172.0</v>
      </c>
      <c r="K245" s="11">
        <f t="shared" ref="K245:M245" si="480">+H245/E245</f>
        <v>1.367816092</v>
      </c>
      <c r="L245" s="11">
        <f t="shared" si="480"/>
        <v>1.528</v>
      </c>
      <c r="M245" s="11">
        <f t="shared" si="480"/>
        <v>1.911111111</v>
      </c>
      <c r="N245" s="11">
        <f t="shared" si="6"/>
        <v>1.602309068</v>
      </c>
      <c r="O245" s="10">
        <v>60.0</v>
      </c>
      <c r="P245" s="10">
        <v>40.0</v>
      </c>
      <c r="Q245" s="10">
        <v>49.0</v>
      </c>
      <c r="R245" s="10">
        <v>85.0</v>
      </c>
      <c r="S245" s="10">
        <v>81.0</v>
      </c>
      <c r="T245" s="10">
        <v>98.0</v>
      </c>
      <c r="U245" s="11">
        <f t="shared" ref="U245:W245" si="481">+R245/O245</f>
        <v>1.416666667</v>
      </c>
      <c r="V245" s="11">
        <f t="shared" si="481"/>
        <v>2.025</v>
      </c>
      <c r="W245" s="11">
        <f t="shared" si="481"/>
        <v>2</v>
      </c>
      <c r="X245" s="11">
        <f t="shared" si="455"/>
        <v>1.813888889</v>
      </c>
    </row>
    <row r="246" ht="15.75" customHeight="1">
      <c r="A246" s="7">
        <v>60301.0</v>
      </c>
      <c r="B246" s="8" t="s">
        <v>40</v>
      </c>
      <c r="C246" s="8" t="s">
        <v>339</v>
      </c>
      <c r="D246" s="9" t="s">
        <v>340</v>
      </c>
      <c r="E246" s="10">
        <v>333.0</v>
      </c>
      <c r="F246" s="10">
        <v>353.0</v>
      </c>
      <c r="G246" s="10">
        <v>285.0</v>
      </c>
      <c r="H246" s="10">
        <v>488.0</v>
      </c>
      <c r="I246" s="10">
        <v>510.0</v>
      </c>
      <c r="J246" s="10">
        <v>458.0</v>
      </c>
      <c r="K246" s="11">
        <f t="shared" ref="K246:M246" si="482">+H246/E246</f>
        <v>1.465465465</v>
      </c>
      <c r="L246" s="11">
        <f t="shared" si="482"/>
        <v>1.444759207</v>
      </c>
      <c r="M246" s="11">
        <f t="shared" si="482"/>
        <v>1.607017544</v>
      </c>
      <c r="N246" s="11">
        <f t="shared" si="6"/>
        <v>1.505747405</v>
      </c>
      <c r="O246" s="10">
        <v>89.0</v>
      </c>
      <c r="P246" s="10">
        <v>76.0</v>
      </c>
      <c r="Q246" s="10">
        <v>89.0</v>
      </c>
      <c r="R246" s="10">
        <v>129.0</v>
      </c>
      <c r="S246" s="10">
        <v>147.0</v>
      </c>
      <c r="T246" s="10">
        <v>132.0</v>
      </c>
      <c r="U246" s="11">
        <f t="shared" ref="U246:W246" si="483">+R246/O246</f>
        <v>1.449438202</v>
      </c>
      <c r="V246" s="11">
        <f t="shared" si="483"/>
        <v>1.934210526</v>
      </c>
      <c r="W246" s="11">
        <f t="shared" si="483"/>
        <v>1.483146067</v>
      </c>
      <c r="X246" s="11">
        <f t="shared" si="455"/>
        <v>1.622264932</v>
      </c>
    </row>
    <row r="247" ht="15.75" customHeight="1">
      <c r="A247" s="7">
        <v>60302.0</v>
      </c>
      <c r="B247" s="8" t="s">
        <v>40</v>
      </c>
      <c r="C247" s="8" t="s">
        <v>339</v>
      </c>
      <c r="D247" s="9" t="s">
        <v>341</v>
      </c>
      <c r="E247" s="10">
        <v>43.0</v>
      </c>
      <c r="F247" s="10">
        <v>45.0</v>
      </c>
      <c r="G247" s="10">
        <v>34.0</v>
      </c>
      <c r="H247" s="10">
        <v>57.0</v>
      </c>
      <c r="I247" s="10">
        <v>56.0</v>
      </c>
      <c r="J247" s="10">
        <v>50.0</v>
      </c>
      <c r="K247" s="11">
        <f t="shared" ref="K247:M247" si="484">+H247/E247</f>
        <v>1.325581395</v>
      </c>
      <c r="L247" s="11">
        <f t="shared" si="484"/>
        <v>1.244444444</v>
      </c>
      <c r="M247" s="11">
        <f t="shared" si="484"/>
        <v>1.470588235</v>
      </c>
      <c r="N247" s="11">
        <f t="shared" si="6"/>
        <v>1.346871358</v>
      </c>
      <c r="O247" s="10">
        <v>15.0</v>
      </c>
      <c r="P247" s="10">
        <v>16.0</v>
      </c>
      <c r="Q247" s="10">
        <v>12.0</v>
      </c>
      <c r="R247" s="10">
        <v>25.0</v>
      </c>
      <c r="S247" s="10">
        <v>22.0</v>
      </c>
      <c r="T247" s="10">
        <v>28.0</v>
      </c>
      <c r="U247" s="11">
        <f t="shared" ref="U247:W247" si="485">+R247/O247</f>
        <v>1.666666667</v>
      </c>
      <c r="V247" s="11">
        <f t="shared" si="485"/>
        <v>1.375</v>
      </c>
      <c r="W247" s="11">
        <f t="shared" si="485"/>
        <v>2.333333333</v>
      </c>
      <c r="X247" s="11">
        <f t="shared" si="455"/>
        <v>1.791666667</v>
      </c>
    </row>
    <row r="248" ht="15.75" customHeight="1">
      <c r="A248" s="7">
        <v>60303.0</v>
      </c>
      <c r="B248" s="8" t="s">
        <v>40</v>
      </c>
      <c r="C248" s="8" t="s">
        <v>339</v>
      </c>
      <c r="D248" s="9" t="s">
        <v>342</v>
      </c>
      <c r="E248" s="10">
        <v>141.0</v>
      </c>
      <c r="F248" s="10">
        <v>170.0</v>
      </c>
      <c r="G248" s="10">
        <v>178.0</v>
      </c>
      <c r="H248" s="10">
        <v>239.0</v>
      </c>
      <c r="I248" s="10">
        <v>274.0</v>
      </c>
      <c r="J248" s="10">
        <v>251.0</v>
      </c>
      <c r="K248" s="11">
        <f t="shared" ref="K248:M248" si="486">+H248/E248</f>
        <v>1.695035461</v>
      </c>
      <c r="L248" s="11">
        <f t="shared" si="486"/>
        <v>1.611764706</v>
      </c>
      <c r="M248" s="11">
        <f t="shared" si="486"/>
        <v>1.41011236</v>
      </c>
      <c r="N248" s="11">
        <f t="shared" si="6"/>
        <v>1.572304175</v>
      </c>
      <c r="O248" s="10">
        <v>86.0</v>
      </c>
      <c r="P248" s="10">
        <v>65.0</v>
      </c>
      <c r="Q248" s="10">
        <v>47.0</v>
      </c>
      <c r="R248" s="10">
        <v>130.0</v>
      </c>
      <c r="S248" s="10">
        <v>82.0</v>
      </c>
      <c r="T248" s="10">
        <v>104.0</v>
      </c>
      <c r="U248" s="11">
        <f t="shared" ref="U248:W248" si="487">+R248/O248</f>
        <v>1.511627907</v>
      </c>
      <c r="V248" s="11">
        <f t="shared" si="487"/>
        <v>1.261538462</v>
      </c>
      <c r="W248" s="11">
        <f t="shared" si="487"/>
        <v>2.212765957</v>
      </c>
      <c r="X248" s="11">
        <f t="shared" si="455"/>
        <v>1.661977442</v>
      </c>
    </row>
    <row r="249" ht="15.75" customHeight="1">
      <c r="A249" s="7">
        <v>60401.0</v>
      </c>
      <c r="B249" s="8" t="s">
        <v>40</v>
      </c>
      <c r="C249" s="8" t="s">
        <v>343</v>
      </c>
      <c r="D249" s="9" t="s">
        <v>344</v>
      </c>
      <c r="E249" s="10">
        <v>59.0</v>
      </c>
      <c r="F249" s="10">
        <v>76.0</v>
      </c>
      <c r="G249" s="10">
        <v>65.0</v>
      </c>
      <c r="H249" s="10">
        <v>56.0</v>
      </c>
      <c r="I249" s="10">
        <v>68.0</v>
      </c>
      <c r="J249" s="10">
        <v>65.0</v>
      </c>
      <c r="K249" s="11">
        <f t="shared" ref="K249:M249" si="488">+H249/E249</f>
        <v>0.9491525424</v>
      </c>
      <c r="L249" s="11">
        <f t="shared" si="488"/>
        <v>0.8947368421</v>
      </c>
      <c r="M249" s="11">
        <f t="shared" si="488"/>
        <v>1</v>
      </c>
      <c r="N249" s="11">
        <f t="shared" si="6"/>
        <v>0.9479631282</v>
      </c>
      <c r="O249" s="10">
        <v>12.0</v>
      </c>
      <c r="P249" s="10">
        <v>8.0</v>
      </c>
      <c r="Q249" s="10">
        <v>7.0</v>
      </c>
      <c r="R249" s="10">
        <v>11.0</v>
      </c>
      <c r="S249" s="10">
        <v>23.0</v>
      </c>
      <c r="T249" s="10">
        <v>12.0</v>
      </c>
      <c r="U249" s="11">
        <f t="shared" ref="U249:W249" si="489">+R249/O249</f>
        <v>0.9166666667</v>
      </c>
      <c r="V249" s="11">
        <f t="shared" si="489"/>
        <v>2.875</v>
      </c>
      <c r="W249" s="11">
        <f t="shared" si="489"/>
        <v>1.714285714</v>
      </c>
      <c r="X249" s="11">
        <f t="shared" si="455"/>
        <v>1.83531746</v>
      </c>
    </row>
    <row r="250" ht="15.75" customHeight="1">
      <c r="A250" s="7">
        <v>60402.0</v>
      </c>
      <c r="B250" s="8" t="s">
        <v>40</v>
      </c>
      <c r="C250" s="8" t="s">
        <v>343</v>
      </c>
      <c r="D250" s="9" t="s">
        <v>345</v>
      </c>
      <c r="E250" s="10">
        <v>11.0</v>
      </c>
      <c r="F250" s="10">
        <v>6.0</v>
      </c>
      <c r="G250" s="10">
        <v>8.0</v>
      </c>
      <c r="H250" s="10">
        <v>8.0</v>
      </c>
      <c r="I250" s="10">
        <v>10.0</v>
      </c>
      <c r="J250" s="10">
        <v>26.0</v>
      </c>
      <c r="K250" s="11">
        <f t="shared" ref="K250:M250" si="490">+H250/E250</f>
        <v>0.7272727273</v>
      </c>
      <c r="L250" s="11">
        <f t="shared" si="490"/>
        <v>1.666666667</v>
      </c>
      <c r="M250" s="11">
        <f t="shared" si="490"/>
        <v>3.25</v>
      </c>
      <c r="N250" s="11">
        <f t="shared" si="6"/>
        <v>1.881313131</v>
      </c>
      <c r="O250" s="10">
        <v>7.0</v>
      </c>
      <c r="P250" s="10">
        <v>3.0</v>
      </c>
      <c r="Q250" s="10">
        <v>5.0</v>
      </c>
      <c r="R250" s="10">
        <v>9.0</v>
      </c>
      <c r="S250" s="10">
        <v>5.0</v>
      </c>
      <c r="T250" s="10">
        <v>6.0</v>
      </c>
      <c r="U250" s="11">
        <f t="shared" ref="U250:W250" si="491">+R250/O250</f>
        <v>1.285714286</v>
      </c>
      <c r="V250" s="11">
        <f t="shared" si="491"/>
        <v>1.666666667</v>
      </c>
      <c r="W250" s="11">
        <f t="shared" si="491"/>
        <v>1.2</v>
      </c>
      <c r="X250" s="11">
        <f t="shared" si="455"/>
        <v>1.384126984</v>
      </c>
    </row>
    <row r="251" ht="15.75" customHeight="1">
      <c r="A251" s="7">
        <v>60501.0</v>
      </c>
      <c r="B251" s="8" t="s">
        <v>40</v>
      </c>
      <c r="C251" s="8" t="s">
        <v>346</v>
      </c>
      <c r="D251" s="9" t="s">
        <v>347</v>
      </c>
      <c r="E251" s="10">
        <v>95.0</v>
      </c>
      <c r="F251" s="10">
        <v>122.0</v>
      </c>
      <c r="G251" s="10">
        <v>86.0</v>
      </c>
      <c r="H251" s="10">
        <v>157.0</v>
      </c>
      <c r="I251" s="10">
        <v>170.0</v>
      </c>
      <c r="J251" s="10">
        <v>132.0</v>
      </c>
      <c r="K251" s="11">
        <f t="shared" ref="K251:M251" si="492">+H251/E251</f>
        <v>1.652631579</v>
      </c>
      <c r="L251" s="11">
        <f t="shared" si="492"/>
        <v>1.393442623</v>
      </c>
      <c r="M251" s="11">
        <f t="shared" si="492"/>
        <v>1.534883721</v>
      </c>
      <c r="N251" s="11">
        <f t="shared" si="6"/>
        <v>1.526985974</v>
      </c>
      <c r="O251" s="10">
        <v>30.0</v>
      </c>
      <c r="P251" s="10">
        <v>23.0</v>
      </c>
      <c r="Q251" s="10">
        <v>24.0</v>
      </c>
      <c r="R251" s="10">
        <v>46.0</v>
      </c>
      <c r="S251" s="10">
        <v>44.0</v>
      </c>
      <c r="T251" s="10">
        <v>40.0</v>
      </c>
      <c r="U251" s="11">
        <f t="shared" ref="U251:W251" si="493">+R251/O251</f>
        <v>1.533333333</v>
      </c>
      <c r="V251" s="11">
        <f t="shared" si="493"/>
        <v>1.913043478</v>
      </c>
      <c r="W251" s="11">
        <f t="shared" si="493"/>
        <v>1.666666667</v>
      </c>
      <c r="X251" s="11">
        <f t="shared" si="455"/>
        <v>1.704347826</v>
      </c>
    </row>
    <row r="252" ht="15.75" customHeight="1">
      <c r="A252" s="7">
        <v>60502.0</v>
      </c>
      <c r="B252" s="8" t="s">
        <v>40</v>
      </c>
      <c r="C252" s="8" t="s">
        <v>346</v>
      </c>
      <c r="D252" s="9" t="s">
        <v>348</v>
      </c>
      <c r="E252" s="10">
        <v>70.0</v>
      </c>
      <c r="F252" s="10">
        <v>61.0</v>
      </c>
      <c r="G252" s="10">
        <v>24.0</v>
      </c>
      <c r="H252" s="10">
        <v>51.0</v>
      </c>
      <c r="I252" s="10">
        <v>88.0</v>
      </c>
      <c r="J252" s="10">
        <v>50.0</v>
      </c>
      <c r="K252" s="11">
        <f t="shared" ref="K252:M252" si="494">+H252/E252</f>
        <v>0.7285714286</v>
      </c>
      <c r="L252" s="11">
        <f t="shared" si="494"/>
        <v>1.442622951</v>
      </c>
      <c r="M252" s="11">
        <f t="shared" si="494"/>
        <v>2.083333333</v>
      </c>
      <c r="N252" s="11">
        <f t="shared" si="6"/>
        <v>1.418175904</v>
      </c>
      <c r="O252" s="10">
        <v>14.0</v>
      </c>
      <c r="P252" s="10">
        <v>12.0</v>
      </c>
      <c r="Q252" s="10">
        <v>5.0</v>
      </c>
      <c r="R252" s="10">
        <v>22.0</v>
      </c>
      <c r="S252" s="10">
        <v>8.0</v>
      </c>
      <c r="T252" s="10">
        <v>14.0</v>
      </c>
      <c r="U252" s="11">
        <f t="shared" ref="U252:W252" si="495">+R252/O252</f>
        <v>1.571428571</v>
      </c>
      <c r="V252" s="11">
        <f t="shared" si="495"/>
        <v>0.6666666667</v>
      </c>
      <c r="W252" s="11">
        <f t="shared" si="495"/>
        <v>2.8</v>
      </c>
      <c r="X252" s="11">
        <f t="shared" si="455"/>
        <v>1.679365079</v>
      </c>
    </row>
    <row r="253" ht="15.75" customHeight="1">
      <c r="A253" s="7">
        <v>60601.0</v>
      </c>
      <c r="B253" s="8" t="s">
        <v>40</v>
      </c>
      <c r="C253" s="8" t="s">
        <v>349</v>
      </c>
      <c r="D253" s="9" t="s">
        <v>221</v>
      </c>
      <c r="E253" s="10">
        <v>93.0</v>
      </c>
      <c r="F253" s="10">
        <v>101.0</v>
      </c>
      <c r="G253" s="10">
        <v>86.0</v>
      </c>
      <c r="H253" s="10">
        <v>107.0</v>
      </c>
      <c r="I253" s="10">
        <v>132.0</v>
      </c>
      <c r="J253" s="10">
        <v>122.0</v>
      </c>
      <c r="K253" s="11">
        <f t="shared" ref="K253:M253" si="496">+H253/E253</f>
        <v>1.150537634</v>
      </c>
      <c r="L253" s="11">
        <f t="shared" si="496"/>
        <v>1.306930693</v>
      </c>
      <c r="M253" s="11">
        <f t="shared" si="496"/>
        <v>1.418604651</v>
      </c>
      <c r="N253" s="11">
        <f t="shared" si="6"/>
        <v>1.292024326</v>
      </c>
      <c r="O253" s="10">
        <v>31.0</v>
      </c>
      <c r="P253" s="10">
        <v>20.0</v>
      </c>
      <c r="Q253" s="10">
        <v>18.0</v>
      </c>
      <c r="R253" s="10">
        <v>40.0</v>
      </c>
      <c r="S253" s="10">
        <v>21.0</v>
      </c>
      <c r="T253" s="10">
        <v>34.0</v>
      </c>
      <c r="U253" s="11">
        <f t="shared" ref="U253:W253" si="497">+R253/O253</f>
        <v>1.290322581</v>
      </c>
      <c r="V253" s="11">
        <f t="shared" si="497"/>
        <v>1.05</v>
      </c>
      <c r="W253" s="11">
        <f t="shared" si="497"/>
        <v>1.888888889</v>
      </c>
      <c r="X253" s="11">
        <f t="shared" si="455"/>
        <v>1.409737157</v>
      </c>
    </row>
    <row r="254" ht="15.75" customHeight="1">
      <c r="A254" s="7">
        <v>70101.0</v>
      </c>
      <c r="B254" s="8" t="s">
        <v>42</v>
      </c>
      <c r="C254" s="8" t="s">
        <v>350</v>
      </c>
      <c r="D254" s="9" t="s">
        <v>351</v>
      </c>
      <c r="E254" s="10">
        <v>3741.0</v>
      </c>
      <c r="F254" s="10">
        <v>4494.0</v>
      </c>
      <c r="G254" s="10">
        <v>4767.0</v>
      </c>
      <c r="H254" s="10">
        <v>5459.0</v>
      </c>
      <c r="I254" s="10">
        <v>6307.0</v>
      </c>
      <c r="J254" s="10">
        <v>6733.0</v>
      </c>
      <c r="K254" s="11">
        <f t="shared" ref="K254:M254" si="498">+H254/E254</f>
        <v>1.459235499</v>
      </c>
      <c r="L254" s="11">
        <f t="shared" si="498"/>
        <v>1.403426791</v>
      </c>
      <c r="M254" s="11">
        <f t="shared" si="498"/>
        <v>1.412418712</v>
      </c>
      <c r="N254" s="11">
        <f t="shared" si="6"/>
        <v>1.425027001</v>
      </c>
      <c r="O254" s="10">
        <v>1391.0</v>
      </c>
      <c r="P254" s="10">
        <v>1140.0</v>
      </c>
      <c r="Q254" s="10">
        <v>1565.0</v>
      </c>
      <c r="R254" s="10">
        <v>1700.0</v>
      </c>
      <c r="S254" s="10">
        <v>1625.0</v>
      </c>
      <c r="T254" s="10">
        <v>2452.0</v>
      </c>
      <c r="U254" s="11">
        <f t="shared" ref="U254:W254" si="499">+R254/O254</f>
        <v>1.222142344</v>
      </c>
      <c r="V254" s="11">
        <f t="shared" si="499"/>
        <v>1.425438596</v>
      </c>
      <c r="W254" s="11">
        <f t="shared" si="499"/>
        <v>1.566773163</v>
      </c>
      <c r="X254" s="11">
        <f t="shared" si="455"/>
        <v>1.404784701</v>
      </c>
    </row>
    <row r="255" ht="15.75" customHeight="1">
      <c r="A255" s="7">
        <v>70102.0</v>
      </c>
      <c r="B255" s="8" t="s">
        <v>42</v>
      </c>
      <c r="C255" s="8" t="s">
        <v>350</v>
      </c>
      <c r="D255" s="9" t="s">
        <v>352</v>
      </c>
      <c r="E255" s="10">
        <v>207.0</v>
      </c>
      <c r="F255" s="10">
        <v>303.0</v>
      </c>
      <c r="G255" s="10">
        <v>306.0</v>
      </c>
      <c r="H255" s="10">
        <v>353.0</v>
      </c>
      <c r="I255" s="10">
        <v>467.0</v>
      </c>
      <c r="J255" s="10">
        <v>465.0</v>
      </c>
      <c r="K255" s="11">
        <f t="shared" ref="K255:M255" si="500">+H255/E255</f>
        <v>1.70531401</v>
      </c>
      <c r="L255" s="11">
        <f t="shared" si="500"/>
        <v>1.541254125</v>
      </c>
      <c r="M255" s="11">
        <f t="shared" si="500"/>
        <v>1.519607843</v>
      </c>
      <c r="N255" s="11">
        <f t="shared" si="6"/>
        <v>1.588725326</v>
      </c>
      <c r="O255" s="10">
        <v>117.0</v>
      </c>
      <c r="P255" s="10">
        <v>81.0</v>
      </c>
      <c r="Q255" s="10">
        <v>137.0</v>
      </c>
      <c r="R255" s="10">
        <v>199.0</v>
      </c>
      <c r="S255" s="10">
        <v>113.0</v>
      </c>
      <c r="T255" s="10">
        <v>200.0</v>
      </c>
      <c r="U255" s="11">
        <f t="shared" ref="U255:W255" si="501">+R255/O255</f>
        <v>1.700854701</v>
      </c>
      <c r="V255" s="11">
        <f t="shared" si="501"/>
        <v>1.395061728</v>
      </c>
      <c r="W255" s="11">
        <f t="shared" si="501"/>
        <v>1.459854015</v>
      </c>
      <c r="X255" s="11">
        <f t="shared" si="455"/>
        <v>1.518590148</v>
      </c>
    </row>
    <row r="256" ht="15.75" customHeight="1">
      <c r="A256" s="7">
        <v>70103.0</v>
      </c>
      <c r="B256" s="8" t="s">
        <v>42</v>
      </c>
      <c r="C256" s="8" t="s">
        <v>350</v>
      </c>
      <c r="D256" s="9" t="s">
        <v>353</v>
      </c>
      <c r="E256" s="10">
        <v>59.0</v>
      </c>
      <c r="F256" s="10">
        <v>77.0</v>
      </c>
      <c r="G256" s="10">
        <v>64.0</v>
      </c>
      <c r="H256" s="10">
        <v>84.0</v>
      </c>
      <c r="I256" s="10">
        <v>113.0</v>
      </c>
      <c r="J256" s="10">
        <v>92.0</v>
      </c>
      <c r="K256" s="11">
        <f t="shared" ref="K256:M256" si="502">+H256/E256</f>
        <v>1.423728814</v>
      </c>
      <c r="L256" s="11">
        <f t="shared" si="502"/>
        <v>1.467532468</v>
      </c>
      <c r="M256" s="11">
        <f t="shared" si="502"/>
        <v>1.4375</v>
      </c>
      <c r="N256" s="11">
        <f t="shared" si="6"/>
        <v>1.442920427</v>
      </c>
      <c r="O256" s="10">
        <v>20.0</v>
      </c>
      <c r="P256" s="10">
        <v>22.0</v>
      </c>
      <c r="Q256" s="10">
        <v>10.0</v>
      </c>
      <c r="R256" s="10">
        <v>26.0</v>
      </c>
      <c r="S256" s="10">
        <v>28.0</v>
      </c>
      <c r="T256" s="10">
        <v>22.0</v>
      </c>
      <c r="U256" s="11">
        <f t="shared" ref="U256:W256" si="503">+R256/O256</f>
        <v>1.3</v>
      </c>
      <c r="V256" s="11">
        <f t="shared" si="503"/>
        <v>1.272727273</v>
      </c>
      <c r="W256" s="11">
        <f t="shared" si="503"/>
        <v>2.2</v>
      </c>
      <c r="X256" s="11">
        <f t="shared" si="455"/>
        <v>1.590909091</v>
      </c>
    </row>
    <row r="257" ht="15.75" customHeight="1">
      <c r="A257" s="7">
        <v>70104.0</v>
      </c>
      <c r="B257" s="8" t="s">
        <v>42</v>
      </c>
      <c r="C257" s="8" t="s">
        <v>350</v>
      </c>
      <c r="D257" s="9" t="s">
        <v>354</v>
      </c>
      <c r="E257" s="10">
        <v>157.0</v>
      </c>
      <c r="F257" s="10">
        <v>252.0</v>
      </c>
      <c r="G257" s="10">
        <v>275.0</v>
      </c>
      <c r="H257" s="10">
        <v>241.0</v>
      </c>
      <c r="I257" s="10">
        <v>390.0</v>
      </c>
      <c r="J257" s="10">
        <v>328.0</v>
      </c>
      <c r="K257" s="11">
        <f t="shared" ref="K257:M257" si="504">+H257/E257</f>
        <v>1.535031847</v>
      </c>
      <c r="L257" s="11">
        <f t="shared" si="504"/>
        <v>1.547619048</v>
      </c>
      <c r="M257" s="11">
        <f t="shared" si="504"/>
        <v>1.192727273</v>
      </c>
      <c r="N257" s="11">
        <f t="shared" si="6"/>
        <v>1.425126056</v>
      </c>
      <c r="O257" s="10">
        <v>104.0</v>
      </c>
      <c r="P257" s="10">
        <v>102.0</v>
      </c>
      <c r="Q257" s="10">
        <v>104.0</v>
      </c>
      <c r="R257" s="10">
        <v>139.0</v>
      </c>
      <c r="S257" s="10">
        <v>148.0</v>
      </c>
      <c r="T257" s="10">
        <v>183.0</v>
      </c>
      <c r="U257" s="11">
        <f t="shared" ref="U257:W257" si="505">+R257/O257</f>
        <v>1.336538462</v>
      </c>
      <c r="V257" s="11">
        <f t="shared" si="505"/>
        <v>1.450980392</v>
      </c>
      <c r="W257" s="11">
        <f t="shared" si="505"/>
        <v>1.759615385</v>
      </c>
      <c r="X257" s="11">
        <f t="shared" si="455"/>
        <v>1.515711413</v>
      </c>
    </row>
    <row r="258" ht="15.75" customHeight="1">
      <c r="A258" s="7">
        <v>70105.0</v>
      </c>
      <c r="B258" s="8" t="s">
        <v>42</v>
      </c>
      <c r="C258" s="8" t="s">
        <v>350</v>
      </c>
      <c r="D258" s="9" t="s">
        <v>355</v>
      </c>
      <c r="E258" s="10">
        <v>183.0</v>
      </c>
      <c r="F258" s="10">
        <v>179.0</v>
      </c>
      <c r="G258" s="10">
        <v>189.0</v>
      </c>
      <c r="H258" s="10">
        <v>322.0</v>
      </c>
      <c r="I258" s="10">
        <v>310.0</v>
      </c>
      <c r="J258" s="10">
        <v>319.0</v>
      </c>
      <c r="K258" s="11">
        <f t="shared" ref="K258:M258" si="506">+H258/E258</f>
        <v>1.759562842</v>
      </c>
      <c r="L258" s="11">
        <f t="shared" si="506"/>
        <v>1.731843575</v>
      </c>
      <c r="M258" s="11">
        <f t="shared" si="506"/>
        <v>1.687830688</v>
      </c>
      <c r="N258" s="11">
        <f t="shared" si="6"/>
        <v>1.726412368</v>
      </c>
      <c r="O258" s="10">
        <v>69.0</v>
      </c>
      <c r="P258" s="10">
        <v>66.0</v>
      </c>
      <c r="Q258" s="10">
        <v>92.0</v>
      </c>
      <c r="R258" s="10">
        <v>147.0</v>
      </c>
      <c r="S258" s="10">
        <v>119.0</v>
      </c>
      <c r="T258" s="10">
        <v>149.0</v>
      </c>
      <c r="U258" s="11">
        <f t="shared" ref="U258:W258" si="507">+R258/O258</f>
        <v>2.130434783</v>
      </c>
      <c r="V258" s="11">
        <f t="shared" si="507"/>
        <v>1.803030303</v>
      </c>
      <c r="W258" s="11">
        <f t="shared" si="507"/>
        <v>1.619565217</v>
      </c>
      <c r="X258" s="11">
        <f t="shared" si="455"/>
        <v>1.851010101</v>
      </c>
    </row>
    <row r="259" ht="15.75" customHeight="1">
      <c r="A259" s="7">
        <v>70201.0</v>
      </c>
      <c r="B259" s="8" t="s">
        <v>42</v>
      </c>
      <c r="C259" s="8" t="s">
        <v>356</v>
      </c>
      <c r="D259" s="9" t="s">
        <v>356</v>
      </c>
      <c r="E259" s="10">
        <v>349.0</v>
      </c>
      <c r="F259" s="10">
        <v>406.0</v>
      </c>
      <c r="G259" s="10">
        <v>377.0</v>
      </c>
      <c r="H259" s="10">
        <v>517.0</v>
      </c>
      <c r="I259" s="10">
        <v>657.0</v>
      </c>
      <c r="J259" s="10">
        <v>591.0</v>
      </c>
      <c r="K259" s="11">
        <f t="shared" ref="K259:M259" si="508">+H259/E259</f>
        <v>1.481375358</v>
      </c>
      <c r="L259" s="11">
        <f t="shared" si="508"/>
        <v>1.618226601</v>
      </c>
      <c r="M259" s="11">
        <f t="shared" si="508"/>
        <v>1.567639257</v>
      </c>
      <c r="N259" s="11">
        <f t="shared" si="6"/>
        <v>1.555747072</v>
      </c>
      <c r="O259" s="10">
        <v>199.0</v>
      </c>
      <c r="P259" s="10">
        <v>152.0</v>
      </c>
      <c r="Q259" s="10">
        <v>268.0</v>
      </c>
      <c r="R259" s="10">
        <v>293.0</v>
      </c>
      <c r="S259" s="10">
        <v>211.0</v>
      </c>
      <c r="T259" s="10">
        <v>353.0</v>
      </c>
      <c r="U259" s="11">
        <f t="shared" ref="U259:W259" si="509">+R259/O259</f>
        <v>1.472361809</v>
      </c>
      <c r="V259" s="11">
        <f t="shared" si="509"/>
        <v>1.388157895</v>
      </c>
      <c r="W259" s="11">
        <f t="shared" si="509"/>
        <v>1.317164179</v>
      </c>
      <c r="X259" s="11">
        <f t="shared" si="455"/>
        <v>1.392561294</v>
      </c>
    </row>
    <row r="260" ht="15.75" customHeight="1">
      <c r="A260" s="7">
        <v>70202.0</v>
      </c>
      <c r="B260" s="8" t="s">
        <v>42</v>
      </c>
      <c r="C260" s="8" t="s">
        <v>356</v>
      </c>
      <c r="D260" s="9" t="s">
        <v>357</v>
      </c>
      <c r="E260" s="10">
        <v>51.0</v>
      </c>
      <c r="F260" s="10">
        <v>51.0</v>
      </c>
      <c r="G260" s="10">
        <v>68.0</v>
      </c>
      <c r="H260" s="10">
        <v>59.0</v>
      </c>
      <c r="I260" s="10">
        <v>98.0</v>
      </c>
      <c r="J260" s="10">
        <v>102.0</v>
      </c>
      <c r="K260" s="11">
        <f t="shared" ref="K260:M260" si="510">+H260/E260</f>
        <v>1.156862745</v>
      </c>
      <c r="L260" s="11">
        <f t="shared" si="510"/>
        <v>1.921568627</v>
      </c>
      <c r="M260" s="11">
        <f t="shared" si="510"/>
        <v>1.5</v>
      </c>
      <c r="N260" s="11">
        <f t="shared" si="6"/>
        <v>1.526143791</v>
      </c>
      <c r="O260" s="10">
        <v>10.0</v>
      </c>
      <c r="P260" s="10">
        <v>12.0</v>
      </c>
      <c r="Q260" s="10">
        <v>27.0</v>
      </c>
      <c r="R260" s="10">
        <v>15.0</v>
      </c>
      <c r="S260" s="10">
        <v>14.0</v>
      </c>
      <c r="T260" s="10">
        <v>33.0</v>
      </c>
      <c r="U260" s="11">
        <f t="shared" ref="U260:W260" si="511">+R260/O260</f>
        <v>1.5</v>
      </c>
      <c r="V260" s="11">
        <f t="shared" si="511"/>
        <v>1.166666667</v>
      </c>
      <c r="W260" s="11">
        <f t="shared" si="511"/>
        <v>1.222222222</v>
      </c>
      <c r="X260" s="11">
        <f t="shared" si="455"/>
        <v>1.296296296</v>
      </c>
    </row>
    <row r="261" ht="15.75" customHeight="1">
      <c r="A261" s="7">
        <v>70301.0</v>
      </c>
      <c r="B261" s="8" t="s">
        <v>42</v>
      </c>
      <c r="C261" s="8" t="s">
        <v>358</v>
      </c>
      <c r="D261" s="9" t="s">
        <v>359</v>
      </c>
      <c r="E261" s="10">
        <v>208.0</v>
      </c>
      <c r="F261" s="10">
        <v>207.0</v>
      </c>
      <c r="G261" s="10">
        <v>235.0</v>
      </c>
      <c r="H261" s="10">
        <v>261.0</v>
      </c>
      <c r="I261" s="10">
        <v>298.0</v>
      </c>
      <c r="J261" s="10">
        <v>279.0</v>
      </c>
      <c r="K261" s="11">
        <f t="shared" ref="K261:M261" si="512">+H261/E261</f>
        <v>1.254807692</v>
      </c>
      <c r="L261" s="11">
        <f t="shared" si="512"/>
        <v>1.439613527</v>
      </c>
      <c r="M261" s="11">
        <f t="shared" si="512"/>
        <v>1.187234043</v>
      </c>
      <c r="N261" s="11">
        <f t="shared" si="6"/>
        <v>1.293885087</v>
      </c>
      <c r="O261" s="10">
        <v>91.0</v>
      </c>
      <c r="P261" s="10">
        <v>90.0</v>
      </c>
      <c r="Q261" s="10">
        <v>99.0</v>
      </c>
      <c r="R261" s="10">
        <v>149.0</v>
      </c>
      <c r="S261" s="10">
        <v>116.0</v>
      </c>
      <c r="T261" s="10">
        <v>157.0</v>
      </c>
      <c r="U261" s="11">
        <f t="shared" ref="U261:W261" si="513">+R261/O261</f>
        <v>1.637362637</v>
      </c>
      <c r="V261" s="11">
        <f t="shared" si="513"/>
        <v>1.288888889</v>
      </c>
      <c r="W261" s="11">
        <f t="shared" si="513"/>
        <v>1.585858586</v>
      </c>
      <c r="X261" s="11">
        <f t="shared" si="455"/>
        <v>1.504036704</v>
      </c>
    </row>
    <row r="262" ht="15.75" customHeight="1">
      <c r="A262" s="7">
        <v>70302.0</v>
      </c>
      <c r="B262" s="8" t="s">
        <v>42</v>
      </c>
      <c r="C262" s="8" t="s">
        <v>358</v>
      </c>
      <c r="D262" s="9" t="s">
        <v>360</v>
      </c>
      <c r="E262" s="10">
        <v>33.0</v>
      </c>
      <c r="F262" s="10">
        <v>40.0</v>
      </c>
      <c r="G262" s="10">
        <v>30.0</v>
      </c>
      <c r="H262" s="10">
        <v>47.0</v>
      </c>
      <c r="I262" s="10">
        <v>48.0</v>
      </c>
      <c r="J262" s="10">
        <v>67.0</v>
      </c>
      <c r="K262" s="11">
        <f t="shared" ref="K262:M262" si="514">+H262/E262</f>
        <v>1.424242424</v>
      </c>
      <c r="L262" s="11">
        <f t="shared" si="514"/>
        <v>1.2</v>
      </c>
      <c r="M262" s="11">
        <f t="shared" si="514"/>
        <v>2.233333333</v>
      </c>
      <c r="N262" s="11">
        <f t="shared" si="6"/>
        <v>1.619191919</v>
      </c>
      <c r="O262" s="10">
        <v>15.0</v>
      </c>
      <c r="P262" s="10">
        <v>7.0</v>
      </c>
      <c r="Q262" s="10">
        <v>16.0</v>
      </c>
      <c r="R262" s="10">
        <v>22.0</v>
      </c>
      <c r="S262" s="10">
        <v>20.0</v>
      </c>
      <c r="T262" s="10">
        <v>25.0</v>
      </c>
      <c r="U262" s="11">
        <f t="shared" ref="U262:W262" si="515">+R262/O262</f>
        <v>1.466666667</v>
      </c>
      <c r="V262" s="11">
        <f t="shared" si="515"/>
        <v>2.857142857</v>
      </c>
      <c r="W262" s="11">
        <f t="shared" si="515"/>
        <v>1.5625</v>
      </c>
      <c r="X262" s="11">
        <f t="shared" si="455"/>
        <v>1.962103175</v>
      </c>
    </row>
    <row r="263" ht="15.75" customHeight="1">
      <c r="A263" s="7">
        <v>70303.0</v>
      </c>
      <c r="B263" s="8" t="s">
        <v>42</v>
      </c>
      <c r="C263" s="8" t="s">
        <v>358</v>
      </c>
      <c r="D263" s="9" t="s">
        <v>361</v>
      </c>
      <c r="E263" s="10">
        <v>37.0</v>
      </c>
      <c r="F263" s="10">
        <v>19.0</v>
      </c>
      <c r="G263" s="10">
        <v>20.0</v>
      </c>
      <c r="H263" s="10">
        <v>46.0</v>
      </c>
      <c r="I263" s="10">
        <v>36.0</v>
      </c>
      <c r="J263" s="10">
        <v>35.0</v>
      </c>
      <c r="K263" s="11">
        <f t="shared" ref="K263:M263" si="516">+H263/E263</f>
        <v>1.243243243</v>
      </c>
      <c r="L263" s="11">
        <f t="shared" si="516"/>
        <v>1.894736842</v>
      </c>
      <c r="M263" s="11">
        <f t="shared" si="516"/>
        <v>1.75</v>
      </c>
      <c r="N263" s="11">
        <f t="shared" si="6"/>
        <v>1.629326695</v>
      </c>
      <c r="O263" s="10">
        <v>6.0</v>
      </c>
      <c r="P263" s="10">
        <v>6.0</v>
      </c>
      <c r="Q263" s="10">
        <v>9.0</v>
      </c>
      <c r="R263" s="10">
        <v>8.0</v>
      </c>
      <c r="S263" s="10">
        <v>8.0</v>
      </c>
      <c r="T263" s="10">
        <v>17.0</v>
      </c>
      <c r="U263" s="11">
        <f t="shared" ref="U263:W263" si="517">+R263/O263</f>
        <v>1.333333333</v>
      </c>
      <c r="V263" s="11">
        <f t="shared" si="517"/>
        <v>1.333333333</v>
      </c>
      <c r="W263" s="11">
        <f t="shared" si="517"/>
        <v>1.888888889</v>
      </c>
      <c r="X263" s="11">
        <f t="shared" si="455"/>
        <v>1.518518519</v>
      </c>
    </row>
    <row r="264" ht="15.75" customHeight="1">
      <c r="A264" s="7">
        <v>70401.0</v>
      </c>
      <c r="B264" s="8" t="s">
        <v>42</v>
      </c>
      <c r="C264" s="8" t="s">
        <v>362</v>
      </c>
      <c r="D264" s="9" t="s">
        <v>363</v>
      </c>
      <c r="E264" s="10">
        <v>41.0</v>
      </c>
      <c r="F264" s="10">
        <v>63.0</v>
      </c>
      <c r="G264" s="10">
        <v>54.0</v>
      </c>
      <c r="H264" s="10">
        <v>76.0</v>
      </c>
      <c r="I264" s="10">
        <v>83.0</v>
      </c>
      <c r="J264" s="10">
        <v>67.0</v>
      </c>
      <c r="K264" s="11">
        <f t="shared" ref="K264:M264" si="518">+H264/E264</f>
        <v>1.853658537</v>
      </c>
      <c r="L264" s="11">
        <f t="shared" si="518"/>
        <v>1.317460317</v>
      </c>
      <c r="M264" s="11">
        <f t="shared" si="518"/>
        <v>1.240740741</v>
      </c>
      <c r="N264" s="11">
        <f t="shared" si="6"/>
        <v>1.470619865</v>
      </c>
      <c r="O264" s="10">
        <v>19.0</v>
      </c>
      <c r="P264" s="10">
        <v>22.0</v>
      </c>
      <c r="Q264" s="10">
        <v>22.0</v>
      </c>
      <c r="R264" s="10">
        <v>32.0</v>
      </c>
      <c r="S264" s="10">
        <v>28.0</v>
      </c>
      <c r="T264" s="10">
        <v>31.0</v>
      </c>
      <c r="U264" s="11">
        <f t="shared" ref="U264:W264" si="519">+R264/O264</f>
        <v>1.684210526</v>
      </c>
      <c r="V264" s="11">
        <f t="shared" si="519"/>
        <v>1.272727273</v>
      </c>
      <c r="W264" s="11">
        <f t="shared" si="519"/>
        <v>1.409090909</v>
      </c>
      <c r="X264" s="11">
        <f t="shared" si="455"/>
        <v>1.455342903</v>
      </c>
    </row>
    <row r="265" ht="15.75" customHeight="1">
      <c r="A265" s="7">
        <v>70402.0</v>
      </c>
      <c r="B265" s="8" t="s">
        <v>42</v>
      </c>
      <c r="C265" s="8" t="s">
        <v>362</v>
      </c>
      <c r="D265" s="9" t="s">
        <v>364</v>
      </c>
      <c r="E265" s="10">
        <v>65.0</v>
      </c>
      <c r="F265" s="10">
        <v>105.0</v>
      </c>
      <c r="G265" s="10">
        <v>99.0</v>
      </c>
      <c r="H265" s="10">
        <v>131.0</v>
      </c>
      <c r="I265" s="10">
        <v>154.0</v>
      </c>
      <c r="J265" s="10">
        <v>155.0</v>
      </c>
      <c r="K265" s="11">
        <f t="shared" ref="K265:M265" si="520">+H265/E265</f>
        <v>2.015384615</v>
      </c>
      <c r="L265" s="11">
        <f t="shared" si="520"/>
        <v>1.466666667</v>
      </c>
      <c r="M265" s="11">
        <f t="shared" si="520"/>
        <v>1.565656566</v>
      </c>
      <c r="N265" s="11">
        <f t="shared" si="6"/>
        <v>1.682569283</v>
      </c>
      <c r="O265" s="10">
        <v>27.0</v>
      </c>
      <c r="P265" s="10">
        <v>24.0</v>
      </c>
      <c r="Q265" s="10">
        <v>29.0</v>
      </c>
      <c r="R265" s="10">
        <v>32.0</v>
      </c>
      <c r="S265" s="10">
        <v>43.0</v>
      </c>
      <c r="T265" s="10">
        <v>39.0</v>
      </c>
      <c r="U265" s="11">
        <f t="shared" ref="U265:W265" si="521">+R265/O265</f>
        <v>1.185185185</v>
      </c>
      <c r="V265" s="11">
        <f t="shared" si="521"/>
        <v>1.791666667</v>
      </c>
      <c r="W265" s="11">
        <f t="shared" si="521"/>
        <v>1.344827586</v>
      </c>
      <c r="X265" s="11">
        <f t="shared" si="455"/>
        <v>1.440559813</v>
      </c>
    </row>
    <row r="266" ht="15.75" customHeight="1">
      <c r="A266" s="7">
        <v>70403.0</v>
      </c>
      <c r="B266" s="8" t="s">
        <v>42</v>
      </c>
      <c r="C266" s="8" t="s">
        <v>362</v>
      </c>
      <c r="D266" s="9" t="s">
        <v>365</v>
      </c>
      <c r="E266" s="10">
        <v>49.0</v>
      </c>
      <c r="F266" s="10">
        <v>169.0</v>
      </c>
      <c r="G266" s="10">
        <v>184.0</v>
      </c>
      <c r="H266" s="10">
        <v>114.0</v>
      </c>
      <c r="I266" s="10">
        <v>284.0</v>
      </c>
      <c r="J266" s="10">
        <v>286.0</v>
      </c>
      <c r="K266" s="11">
        <f t="shared" ref="K266:M266" si="522">+H266/E266</f>
        <v>2.326530612</v>
      </c>
      <c r="L266" s="11">
        <f t="shared" si="522"/>
        <v>1.680473373</v>
      </c>
      <c r="M266" s="11">
        <f t="shared" si="522"/>
        <v>1.554347826</v>
      </c>
      <c r="N266" s="11">
        <f t="shared" si="6"/>
        <v>1.853783937</v>
      </c>
      <c r="O266" s="10">
        <v>95.0</v>
      </c>
      <c r="P266" s="10">
        <v>79.0</v>
      </c>
      <c r="Q266" s="10">
        <v>122.0</v>
      </c>
      <c r="R266" s="10">
        <v>113.0</v>
      </c>
      <c r="S266" s="10">
        <v>117.0</v>
      </c>
      <c r="T266" s="10">
        <v>163.0</v>
      </c>
      <c r="U266" s="11">
        <f t="shared" ref="U266:W266" si="523">+R266/O266</f>
        <v>1.189473684</v>
      </c>
      <c r="V266" s="11">
        <f t="shared" si="523"/>
        <v>1.481012658</v>
      </c>
      <c r="W266" s="11">
        <f t="shared" si="523"/>
        <v>1.336065574</v>
      </c>
      <c r="X266" s="11">
        <f t="shared" si="455"/>
        <v>1.335517305</v>
      </c>
    </row>
    <row r="267" ht="15.75" customHeight="1">
      <c r="A267" s="7">
        <v>70404.0</v>
      </c>
      <c r="B267" s="8" t="s">
        <v>42</v>
      </c>
      <c r="C267" s="8" t="s">
        <v>362</v>
      </c>
      <c r="D267" s="9" t="s">
        <v>366</v>
      </c>
      <c r="E267" s="10">
        <v>28.0</v>
      </c>
      <c r="F267" s="10">
        <v>30.0</v>
      </c>
      <c r="G267" s="10">
        <v>23.0</v>
      </c>
      <c r="H267" s="10">
        <v>40.0</v>
      </c>
      <c r="I267" s="10">
        <v>42.0</v>
      </c>
      <c r="J267" s="10">
        <v>27.0</v>
      </c>
      <c r="K267" s="11">
        <f t="shared" ref="K267:M267" si="524">+H267/E267</f>
        <v>1.428571429</v>
      </c>
      <c r="L267" s="11">
        <f t="shared" si="524"/>
        <v>1.4</v>
      </c>
      <c r="M267" s="11">
        <f t="shared" si="524"/>
        <v>1.173913043</v>
      </c>
      <c r="N267" s="11">
        <f t="shared" si="6"/>
        <v>1.334161491</v>
      </c>
      <c r="O267" s="10">
        <v>13.0</v>
      </c>
      <c r="P267" s="10">
        <v>16.0</v>
      </c>
      <c r="Q267" s="10">
        <v>12.0</v>
      </c>
      <c r="R267" s="10">
        <v>29.0</v>
      </c>
      <c r="S267" s="10">
        <v>22.0</v>
      </c>
      <c r="T267" s="10">
        <v>18.0</v>
      </c>
      <c r="U267" s="11">
        <f t="shared" ref="U267:W267" si="525">+R267/O267</f>
        <v>2.230769231</v>
      </c>
      <c r="V267" s="11">
        <f t="shared" si="525"/>
        <v>1.375</v>
      </c>
      <c r="W267" s="11">
        <f t="shared" si="525"/>
        <v>1.5</v>
      </c>
      <c r="X267" s="11">
        <f t="shared" si="455"/>
        <v>1.701923077</v>
      </c>
    </row>
    <row r="268" ht="15.75" customHeight="1">
      <c r="A268" s="7">
        <v>70501.0</v>
      </c>
      <c r="B268" s="8" t="s">
        <v>42</v>
      </c>
      <c r="C268" s="8" t="s">
        <v>367</v>
      </c>
      <c r="D268" s="9" t="s">
        <v>368</v>
      </c>
      <c r="E268" s="10">
        <v>57.0</v>
      </c>
      <c r="F268" s="10">
        <v>47.0</v>
      </c>
      <c r="G268" s="10">
        <v>51.0</v>
      </c>
      <c r="H268" s="10">
        <v>82.0</v>
      </c>
      <c r="I268" s="10">
        <v>76.0</v>
      </c>
      <c r="J268" s="10">
        <v>78.0</v>
      </c>
      <c r="K268" s="11">
        <f t="shared" ref="K268:M268" si="526">+H268/E268</f>
        <v>1.438596491</v>
      </c>
      <c r="L268" s="11">
        <f t="shared" si="526"/>
        <v>1.617021277</v>
      </c>
      <c r="M268" s="11">
        <f t="shared" si="526"/>
        <v>1.529411765</v>
      </c>
      <c r="N268" s="11">
        <f t="shared" si="6"/>
        <v>1.528343178</v>
      </c>
      <c r="O268" s="10">
        <v>25.0</v>
      </c>
      <c r="P268" s="10">
        <v>39.0</v>
      </c>
      <c r="Q268" s="10">
        <v>58.0</v>
      </c>
      <c r="R268" s="10">
        <v>40.0</v>
      </c>
      <c r="S268" s="10">
        <v>46.0</v>
      </c>
      <c r="T268" s="10">
        <v>61.0</v>
      </c>
      <c r="U268" s="11">
        <f t="shared" ref="U268:W268" si="527">+R268/O268</f>
        <v>1.6</v>
      </c>
      <c r="V268" s="11">
        <f t="shared" si="527"/>
        <v>1.179487179</v>
      </c>
      <c r="W268" s="11">
        <f t="shared" si="527"/>
        <v>1.051724138</v>
      </c>
      <c r="X268" s="11">
        <f t="shared" si="455"/>
        <v>1.277070439</v>
      </c>
    </row>
    <row r="269" ht="15.75" customHeight="1">
      <c r="A269" s="7">
        <v>70502.0</v>
      </c>
      <c r="B269" s="8" t="s">
        <v>42</v>
      </c>
      <c r="C269" s="8" t="s">
        <v>367</v>
      </c>
      <c r="D269" s="9" t="s">
        <v>369</v>
      </c>
      <c r="E269" s="10">
        <v>100.0</v>
      </c>
      <c r="F269" s="10">
        <v>90.0</v>
      </c>
      <c r="G269" s="10">
        <v>104.0</v>
      </c>
      <c r="H269" s="10">
        <v>126.0</v>
      </c>
      <c r="I269" s="10">
        <v>113.0</v>
      </c>
      <c r="J269" s="10">
        <v>133.0</v>
      </c>
      <c r="K269" s="11">
        <f t="shared" ref="K269:M269" si="528">+H269/E269</f>
        <v>1.26</v>
      </c>
      <c r="L269" s="11">
        <f t="shared" si="528"/>
        <v>1.255555556</v>
      </c>
      <c r="M269" s="11">
        <f t="shared" si="528"/>
        <v>1.278846154</v>
      </c>
      <c r="N269" s="11">
        <f t="shared" si="6"/>
        <v>1.26480057</v>
      </c>
      <c r="O269" s="10">
        <v>63.0</v>
      </c>
      <c r="P269" s="10">
        <v>48.0</v>
      </c>
      <c r="Q269" s="10">
        <v>48.0</v>
      </c>
      <c r="R269" s="10">
        <v>74.0</v>
      </c>
      <c r="S269" s="10">
        <v>70.0</v>
      </c>
      <c r="T269" s="10">
        <v>81.0</v>
      </c>
      <c r="U269" s="11">
        <f t="shared" ref="U269:W269" si="529">+R269/O269</f>
        <v>1.174603175</v>
      </c>
      <c r="V269" s="11">
        <f t="shared" si="529"/>
        <v>1.458333333</v>
      </c>
      <c r="W269" s="11">
        <f t="shared" si="529"/>
        <v>1.6875</v>
      </c>
      <c r="X269" s="11">
        <f t="shared" si="455"/>
        <v>1.440145503</v>
      </c>
    </row>
    <row r="270" ht="15.75" customHeight="1">
      <c r="A270" s="7">
        <v>70503.0</v>
      </c>
      <c r="B270" s="8" t="s">
        <v>42</v>
      </c>
      <c r="C270" s="8" t="s">
        <v>367</v>
      </c>
      <c r="D270" s="9" t="s">
        <v>370</v>
      </c>
      <c r="E270" s="10">
        <v>80.0</v>
      </c>
      <c r="F270" s="10">
        <v>75.0</v>
      </c>
      <c r="G270" s="10">
        <v>49.0</v>
      </c>
      <c r="H270" s="10">
        <v>115.0</v>
      </c>
      <c r="I270" s="10">
        <v>100.0</v>
      </c>
      <c r="J270" s="10">
        <v>96.0</v>
      </c>
      <c r="K270" s="11">
        <f t="shared" ref="K270:M270" si="530">+H270/E270</f>
        <v>1.4375</v>
      </c>
      <c r="L270" s="11">
        <f t="shared" si="530"/>
        <v>1.333333333</v>
      </c>
      <c r="M270" s="11">
        <f t="shared" si="530"/>
        <v>1.959183673</v>
      </c>
      <c r="N270" s="11">
        <f t="shared" si="6"/>
        <v>1.576672336</v>
      </c>
      <c r="O270" s="10">
        <v>20.0</v>
      </c>
      <c r="P270" s="10">
        <v>12.0</v>
      </c>
      <c r="Q270" s="10">
        <v>23.0</v>
      </c>
      <c r="R270" s="10">
        <v>24.0</v>
      </c>
      <c r="S270" s="10">
        <v>18.0</v>
      </c>
      <c r="T270" s="10">
        <v>18.0</v>
      </c>
      <c r="U270" s="11">
        <f t="shared" ref="U270:W270" si="531">+R270/O270</f>
        <v>1.2</v>
      </c>
      <c r="V270" s="11">
        <f t="shared" si="531"/>
        <v>1.5</v>
      </c>
      <c r="W270" s="11">
        <f t="shared" si="531"/>
        <v>0.7826086957</v>
      </c>
      <c r="X270" s="11">
        <f t="shared" si="455"/>
        <v>1.160869565</v>
      </c>
    </row>
    <row r="271" ht="15.75" customHeight="1">
      <c r="A271" s="7">
        <v>70601.0</v>
      </c>
      <c r="B271" s="8" t="s">
        <v>42</v>
      </c>
      <c r="C271" s="8" t="s">
        <v>371</v>
      </c>
      <c r="D271" s="9" t="s">
        <v>372</v>
      </c>
      <c r="E271" s="10">
        <v>75.0</v>
      </c>
      <c r="F271" s="10">
        <v>84.0</v>
      </c>
      <c r="G271" s="10">
        <v>84.0</v>
      </c>
      <c r="H271" s="10">
        <v>121.0</v>
      </c>
      <c r="I271" s="10">
        <v>175.0</v>
      </c>
      <c r="J271" s="10">
        <v>107.0</v>
      </c>
      <c r="K271" s="11">
        <f t="shared" ref="K271:M271" si="532">+H271/E271</f>
        <v>1.613333333</v>
      </c>
      <c r="L271" s="11">
        <f t="shared" si="532"/>
        <v>2.083333333</v>
      </c>
      <c r="M271" s="11">
        <f t="shared" si="532"/>
        <v>1.273809524</v>
      </c>
      <c r="N271" s="11">
        <f t="shared" si="6"/>
        <v>1.656825397</v>
      </c>
      <c r="O271" s="10">
        <v>33.0</v>
      </c>
      <c r="P271" s="10">
        <v>42.0</v>
      </c>
      <c r="Q271" s="10">
        <v>22.0</v>
      </c>
      <c r="R271" s="10">
        <v>51.0</v>
      </c>
      <c r="S271" s="10">
        <v>53.0</v>
      </c>
      <c r="T271" s="10">
        <v>45.0</v>
      </c>
      <c r="U271" s="11">
        <f t="shared" ref="U271:W271" si="533">+R271/O271</f>
        <v>1.545454545</v>
      </c>
      <c r="V271" s="11">
        <f t="shared" si="533"/>
        <v>1.261904762</v>
      </c>
      <c r="W271" s="11">
        <f t="shared" si="533"/>
        <v>2.045454545</v>
      </c>
      <c r="X271" s="11">
        <f t="shared" si="455"/>
        <v>1.617604618</v>
      </c>
    </row>
    <row r="272" ht="15.75" customHeight="1">
      <c r="A272" s="7">
        <v>70602.0</v>
      </c>
      <c r="B272" s="8" t="s">
        <v>42</v>
      </c>
      <c r="C272" s="8" t="s">
        <v>371</v>
      </c>
      <c r="D272" s="9" t="s">
        <v>373</v>
      </c>
      <c r="E272" s="10">
        <v>54.0</v>
      </c>
      <c r="F272" s="10">
        <v>109.0</v>
      </c>
      <c r="G272" s="10">
        <v>81.0</v>
      </c>
      <c r="H272" s="10">
        <v>90.0</v>
      </c>
      <c r="I272" s="10">
        <v>172.0</v>
      </c>
      <c r="J272" s="10">
        <v>100.0</v>
      </c>
      <c r="K272" s="11">
        <f t="shared" ref="K272:M272" si="534">+H272/E272</f>
        <v>1.666666667</v>
      </c>
      <c r="L272" s="11">
        <f t="shared" si="534"/>
        <v>1.577981651</v>
      </c>
      <c r="M272" s="11">
        <f t="shared" si="534"/>
        <v>1.234567901</v>
      </c>
      <c r="N272" s="11">
        <f t="shared" si="6"/>
        <v>1.493072073</v>
      </c>
      <c r="O272" s="10">
        <v>34.0</v>
      </c>
      <c r="P272" s="10">
        <v>37.0</v>
      </c>
      <c r="Q272" s="10">
        <v>27.0</v>
      </c>
      <c r="R272" s="10">
        <v>47.0</v>
      </c>
      <c r="S272" s="10">
        <v>64.0</v>
      </c>
      <c r="T272" s="10">
        <v>53.0</v>
      </c>
      <c r="U272" s="11">
        <f t="shared" ref="U272:W272" si="535">+R272/O272</f>
        <v>1.382352941</v>
      </c>
      <c r="V272" s="11">
        <f t="shared" si="535"/>
        <v>1.72972973</v>
      </c>
      <c r="W272" s="11">
        <f t="shared" si="535"/>
        <v>1.962962963</v>
      </c>
      <c r="X272" s="11">
        <f t="shared" si="455"/>
        <v>1.691681878</v>
      </c>
    </row>
    <row r="273" ht="15.75" customHeight="1">
      <c r="A273" s="7">
        <v>70603.0</v>
      </c>
      <c r="B273" s="8" t="s">
        <v>42</v>
      </c>
      <c r="C273" s="8" t="s">
        <v>371</v>
      </c>
      <c r="D273" s="9" t="s">
        <v>374</v>
      </c>
      <c r="E273" s="10">
        <v>36.0</v>
      </c>
      <c r="F273" s="10">
        <v>45.0</v>
      </c>
      <c r="G273" s="10">
        <v>37.0</v>
      </c>
      <c r="H273" s="10">
        <v>50.0</v>
      </c>
      <c r="I273" s="10">
        <v>56.0</v>
      </c>
      <c r="J273" s="10">
        <v>59.0</v>
      </c>
      <c r="K273" s="11">
        <f t="shared" ref="K273:M273" si="536">+H273/E273</f>
        <v>1.388888889</v>
      </c>
      <c r="L273" s="11">
        <f t="shared" si="536"/>
        <v>1.244444444</v>
      </c>
      <c r="M273" s="11">
        <f t="shared" si="536"/>
        <v>1.594594595</v>
      </c>
      <c r="N273" s="11">
        <f t="shared" si="6"/>
        <v>1.409309309</v>
      </c>
      <c r="O273" s="10">
        <v>11.0</v>
      </c>
      <c r="P273" s="10">
        <v>9.0</v>
      </c>
      <c r="Q273" s="10">
        <v>6.0</v>
      </c>
      <c r="R273" s="10">
        <v>25.0</v>
      </c>
      <c r="S273" s="10">
        <v>8.0</v>
      </c>
      <c r="T273" s="10">
        <v>10.0</v>
      </c>
      <c r="U273" s="11">
        <f t="shared" ref="U273:W273" si="537">+R273/O273</f>
        <v>2.272727273</v>
      </c>
      <c r="V273" s="11">
        <f t="shared" si="537"/>
        <v>0.8888888889</v>
      </c>
      <c r="W273" s="11">
        <f t="shared" si="537"/>
        <v>1.666666667</v>
      </c>
      <c r="X273" s="11">
        <f t="shared" si="455"/>
        <v>1.609427609</v>
      </c>
    </row>
    <row r="274" ht="15.75" customHeight="1">
      <c r="A274" s="7">
        <v>70701.0</v>
      </c>
      <c r="B274" s="8" t="s">
        <v>42</v>
      </c>
      <c r="C274" s="8" t="s">
        <v>375</v>
      </c>
      <c r="D274" s="9" t="s">
        <v>376</v>
      </c>
      <c r="E274" s="10">
        <v>11.0</v>
      </c>
      <c r="F274" s="10">
        <v>35.0</v>
      </c>
      <c r="G274" s="10">
        <v>27.0</v>
      </c>
      <c r="H274" s="10">
        <v>37.0</v>
      </c>
      <c r="I274" s="10">
        <v>39.0</v>
      </c>
      <c r="J274" s="10">
        <v>32.0</v>
      </c>
      <c r="K274" s="11">
        <f t="shared" ref="K274:M274" si="538">+H274/E274</f>
        <v>3.363636364</v>
      </c>
      <c r="L274" s="11">
        <f t="shared" si="538"/>
        <v>1.114285714</v>
      </c>
      <c r="M274" s="11">
        <f t="shared" si="538"/>
        <v>1.185185185</v>
      </c>
      <c r="N274" s="11">
        <f t="shared" si="6"/>
        <v>1.887702421</v>
      </c>
      <c r="O274" s="10">
        <v>11.0</v>
      </c>
      <c r="P274" s="10">
        <v>6.0</v>
      </c>
      <c r="Q274" s="10">
        <v>8.0</v>
      </c>
      <c r="R274" s="10">
        <v>16.0</v>
      </c>
      <c r="S274" s="10">
        <v>28.0</v>
      </c>
      <c r="T274" s="10">
        <v>18.0</v>
      </c>
      <c r="U274" s="11">
        <f t="shared" ref="U274:W274" si="539">+R274/O274</f>
        <v>1.454545455</v>
      </c>
      <c r="V274" s="11">
        <f t="shared" si="539"/>
        <v>4.666666667</v>
      </c>
      <c r="W274" s="11">
        <f t="shared" si="539"/>
        <v>2.25</v>
      </c>
      <c r="X274" s="11">
        <f t="shared" si="455"/>
        <v>2.79040404</v>
      </c>
    </row>
    <row r="275" ht="15.75" customHeight="1">
      <c r="A275" s="7">
        <v>70702.0</v>
      </c>
      <c r="B275" s="8" t="s">
        <v>42</v>
      </c>
      <c r="C275" s="8" t="s">
        <v>375</v>
      </c>
      <c r="D275" s="9" t="s">
        <v>377</v>
      </c>
      <c r="E275" s="10">
        <v>102.0</v>
      </c>
      <c r="F275" s="10">
        <v>127.0</v>
      </c>
      <c r="G275" s="10">
        <v>130.0</v>
      </c>
      <c r="H275" s="10">
        <v>150.0</v>
      </c>
      <c r="I275" s="10">
        <v>182.0</v>
      </c>
      <c r="J275" s="10">
        <v>164.0</v>
      </c>
      <c r="K275" s="11">
        <f t="shared" ref="K275:M275" si="540">+H275/E275</f>
        <v>1.470588235</v>
      </c>
      <c r="L275" s="11">
        <f t="shared" si="540"/>
        <v>1.433070866</v>
      </c>
      <c r="M275" s="11">
        <f t="shared" si="540"/>
        <v>1.261538462</v>
      </c>
      <c r="N275" s="11">
        <f t="shared" si="6"/>
        <v>1.388399188</v>
      </c>
      <c r="O275" s="10">
        <v>48.0</v>
      </c>
      <c r="P275" s="10">
        <v>40.0</v>
      </c>
      <c r="Q275" s="10">
        <v>38.0</v>
      </c>
      <c r="R275" s="10">
        <v>46.0</v>
      </c>
      <c r="S275" s="10">
        <v>63.0</v>
      </c>
      <c r="T275" s="10">
        <v>71.0</v>
      </c>
      <c r="U275" s="11">
        <f t="shared" ref="U275:W275" si="541">+R275/O275</f>
        <v>0.9583333333</v>
      </c>
      <c r="V275" s="11">
        <f t="shared" si="541"/>
        <v>1.575</v>
      </c>
      <c r="W275" s="11">
        <f t="shared" si="541"/>
        <v>1.868421053</v>
      </c>
      <c r="X275" s="11">
        <f t="shared" si="455"/>
        <v>1.467251462</v>
      </c>
    </row>
    <row r="276" ht="15.75" customHeight="1">
      <c r="A276" s="7">
        <v>70703.0</v>
      </c>
      <c r="B276" s="8" t="s">
        <v>42</v>
      </c>
      <c r="C276" s="8" t="s">
        <v>375</v>
      </c>
      <c r="D276" s="9" t="s">
        <v>378</v>
      </c>
      <c r="E276" s="10">
        <v>44.0</v>
      </c>
      <c r="F276" s="10">
        <v>67.0</v>
      </c>
      <c r="G276" s="10">
        <v>64.0</v>
      </c>
      <c r="H276" s="10">
        <v>85.0</v>
      </c>
      <c r="I276" s="10">
        <v>107.0</v>
      </c>
      <c r="J276" s="10">
        <v>127.0</v>
      </c>
      <c r="K276" s="11">
        <f t="shared" ref="K276:M276" si="542">+H276/E276</f>
        <v>1.931818182</v>
      </c>
      <c r="L276" s="11">
        <f t="shared" si="542"/>
        <v>1.597014925</v>
      </c>
      <c r="M276" s="11">
        <f t="shared" si="542"/>
        <v>1.984375</v>
      </c>
      <c r="N276" s="11">
        <f t="shared" si="6"/>
        <v>1.837736036</v>
      </c>
      <c r="O276" s="10">
        <v>37.0</v>
      </c>
      <c r="P276" s="10">
        <v>49.0</v>
      </c>
      <c r="Q276" s="10">
        <v>57.0</v>
      </c>
      <c r="R276" s="10">
        <v>66.0</v>
      </c>
      <c r="S276" s="10">
        <v>73.0</v>
      </c>
      <c r="T276" s="10">
        <v>91.0</v>
      </c>
      <c r="U276" s="11">
        <f t="shared" ref="U276:W276" si="543">+R276/O276</f>
        <v>1.783783784</v>
      </c>
      <c r="V276" s="11">
        <f t="shared" si="543"/>
        <v>1.489795918</v>
      </c>
      <c r="W276" s="11">
        <f t="shared" si="543"/>
        <v>1.596491228</v>
      </c>
      <c r="X276" s="11">
        <f t="shared" si="455"/>
        <v>1.623356977</v>
      </c>
    </row>
    <row r="277" ht="15.75" customHeight="1">
      <c r="A277" s="7">
        <v>70704.0</v>
      </c>
      <c r="B277" s="8" t="s">
        <v>42</v>
      </c>
      <c r="C277" s="8" t="s">
        <v>375</v>
      </c>
      <c r="D277" s="9" t="s">
        <v>379</v>
      </c>
      <c r="E277" s="10">
        <v>7.0</v>
      </c>
      <c r="F277" s="10">
        <v>14.0</v>
      </c>
      <c r="G277" s="10">
        <v>17.0</v>
      </c>
      <c r="H277" s="10">
        <v>22.0</v>
      </c>
      <c r="I277" s="10">
        <v>44.0</v>
      </c>
      <c r="J277" s="10">
        <v>34.0</v>
      </c>
      <c r="K277" s="11">
        <f t="shared" ref="K277:M277" si="544">+H277/E277</f>
        <v>3.142857143</v>
      </c>
      <c r="L277" s="11">
        <f t="shared" si="544"/>
        <v>3.142857143</v>
      </c>
      <c r="M277" s="11">
        <f t="shared" si="544"/>
        <v>2</v>
      </c>
      <c r="N277" s="11">
        <f t="shared" si="6"/>
        <v>2.761904762</v>
      </c>
      <c r="O277" s="10">
        <v>8.0</v>
      </c>
      <c r="P277" s="10">
        <v>2.0</v>
      </c>
      <c r="Q277" s="10">
        <v>5.0</v>
      </c>
      <c r="R277" s="10">
        <v>6.0</v>
      </c>
      <c r="S277" s="10">
        <v>15.0</v>
      </c>
      <c r="T277" s="10">
        <v>8.0</v>
      </c>
      <c r="U277" s="11">
        <f t="shared" ref="U277:W277" si="545">+R277/O277</f>
        <v>0.75</v>
      </c>
      <c r="V277" s="11">
        <f t="shared" si="545"/>
        <v>7.5</v>
      </c>
      <c r="W277" s="11">
        <f t="shared" si="545"/>
        <v>1.6</v>
      </c>
      <c r="X277" s="11">
        <f t="shared" si="455"/>
        <v>3.283333333</v>
      </c>
    </row>
    <row r="278" ht="15.75" customHeight="1">
      <c r="A278" s="7">
        <v>70705.0</v>
      </c>
      <c r="B278" s="8" t="s">
        <v>42</v>
      </c>
      <c r="C278" s="8" t="s">
        <v>375</v>
      </c>
      <c r="D278" s="9" t="s">
        <v>380</v>
      </c>
      <c r="E278" s="10">
        <v>47.0</v>
      </c>
      <c r="F278" s="10">
        <v>70.0</v>
      </c>
      <c r="G278" s="10">
        <v>51.0</v>
      </c>
      <c r="H278" s="10">
        <v>80.0</v>
      </c>
      <c r="I278" s="10">
        <v>108.0</v>
      </c>
      <c r="J278" s="10">
        <v>75.0</v>
      </c>
      <c r="K278" s="11">
        <f t="shared" ref="K278:M278" si="546">+H278/E278</f>
        <v>1.70212766</v>
      </c>
      <c r="L278" s="11">
        <f t="shared" si="546"/>
        <v>1.542857143</v>
      </c>
      <c r="M278" s="11">
        <f t="shared" si="546"/>
        <v>1.470588235</v>
      </c>
      <c r="N278" s="11">
        <f t="shared" si="6"/>
        <v>1.571857679</v>
      </c>
      <c r="O278" s="10">
        <v>23.0</v>
      </c>
      <c r="P278" s="10">
        <v>25.0</v>
      </c>
      <c r="Q278" s="10">
        <v>42.0</v>
      </c>
      <c r="R278" s="10">
        <v>32.0</v>
      </c>
      <c r="S278" s="10">
        <v>45.0</v>
      </c>
      <c r="T278" s="10">
        <v>44.0</v>
      </c>
      <c r="U278" s="11">
        <f t="shared" ref="U278:W278" si="547">+R278/O278</f>
        <v>1.391304348</v>
      </c>
      <c r="V278" s="11">
        <f t="shared" si="547"/>
        <v>1.8</v>
      </c>
      <c r="W278" s="11">
        <f t="shared" si="547"/>
        <v>1.047619048</v>
      </c>
      <c r="X278" s="11">
        <f t="shared" si="455"/>
        <v>1.412974465</v>
      </c>
    </row>
    <row r="279" ht="15.75" customHeight="1">
      <c r="A279" s="7">
        <v>70706.0</v>
      </c>
      <c r="B279" s="8" t="s">
        <v>42</v>
      </c>
      <c r="C279" s="8" t="s">
        <v>375</v>
      </c>
      <c r="D279" s="9" t="s">
        <v>381</v>
      </c>
      <c r="E279" s="10">
        <v>104.0</v>
      </c>
      <c r="F279" s="10">
        <v>106.0</v>
      </c>
      <c r="G279" s="10">
        <v>103.0</v>
      </c>
      <c r="H279" s="10">
        <v>129.0</v>
      </c>
      <c r="I279" s="10">
        <v>143.0</v>
      </c>
      <c r="J279" s="10">
        <v>154.0</v>
      </c>
      <c r="K279" s="11">
        <f t="shared" ref="K279:M279" si="548">+H279/E279</f>
        <v>1.240384615</v>
      </c>
      <c r="L279" s="11">
        <f t="shared" si="548"/>
        <v>1.349056604</v>
      </c>
      <c r="M279" s="11">
        <f t="shared" si="548"/>
        <v>1.495145631</v>
      </c>
      <c r="N279" s="11">
        <f t="shared" si="6"/>
        <v>1.36152895</v>
      </c>
      <c r="O279" s="10">
        <v>38.0</v>
      </c>
      <c r="P279" s="10">
        <v>33.0</v>
      </c>
      <c r="Q279" s="10">
        <v>49.0</v>
      </c>
      <c r="R279" s="10">
        <v>53.0</v>
      </c>
      <c r="S279" s="10">
        <v>47.0</v>
      </c>
      <c r="T279" s="10">
        <v>78.0</v>
      </c>
      <c r="U279" s="11">
        <f t="shared" ref="U279:W279" si="549">+R279/O279</f>
        <v>1.394736842</v>
      </c>
      <c r="V279" s="11">
        <f t="shared" si="549"/>
        <v>1.424242424</v>
      </c>
      <c r="W279" s="11">
        <f t="shared" si="549"/>
        <v>1.591836735</v>
      </c>
      <c r="X279" s="11">
        <f t="shared" si="455"/>
        <v>1.470272</v>
      </c>
    </row>
    <row r="280" ht="15.75" customHeight="1">
      <c r="A280" s="7">
        <v>70707.0</v>
      </c>
      <c r="B280" s="8" t="s">
        <v>42</v>
      </c>
      <c r="C280" s="8" t="s">
        <v>375</v>
      </c>
      <c r="D280" s="9" t="s">
        <v>382</v>
      </c>
      <c r="E280" s="10">
        <v>20.0</v>
      </c>
      <c r="F280" s="10">
        <v>11.0</v>
      </c>
      <c r="G280" s="10">
        <v>27.0</v>
      </c>
      <c r="H280" s="10">
        <v>24.0</v>
      </c>
      <c r="I280" s="10">
        <v>30.0</v>
      </c>
      <c r="J280" s="10">
        <v>20.0</v>
      </c>
      <c r="K280" s="11">
        <f t="shared" ref="K280:M280" si="550">+H280/E280</f>
        <v>1.2</v>
      </c>
      <c r="L280" s="11">
        <f t="shared" si="550"/>
        <v>2.727272727</v>
      </c>
      <c r="M280" s="11">
        <f t="shared" si="550"/>
        <v>0.7407407407</v>
      </c>
      <c r="N280" s="11">
        <f t="shared" si="6"/>
        <v>1.556004489</v>
      </c>
      <c r="O280" s="10">
        <v>3.0</v>
      </c>
      <c r="P280" s="10">
        <v>3.0</v>
      </c>
      <c r="Q280" s="10">
        <v>7.0</v>
      </c>
      <c r="R280" s="10">
        <v>5.0</v>
      </c>
      <c r="S280" s="10">
        <v>4.0</v>
      </c>
      <c r="T280" s="10">
        <v>6.0</v>
      </c>
      <c r="U280" s="11">
        <f t="shared" ref="U280:W280" si="551">+R280/O280</f>
        <v>1.666666667</v>
      </c>
      <c r="V280" s="11">
        <f t="shared" si="551"/>
        <v>1.333333333</v>
      </c>
      <c r="W280" s="11">
        <f t="shared" si="551"/>
        <v>0.8571428571</v>
      </c>
      <c r="X280" s="11">
        <f t="shared" si="455"/>
        <v>1.285714286</v>
      </c>
    </row>
    <row r="281" ht="15.75" customHeight="1">
      <c r="A281" s="7">
        <v>70801.0</v>
      </c>
      <c r="B281" s="8" t="s">
        <v>42</v>
      </c>
      <c r="C281" s="8" t="s">
        <v>383</v>
      </c>
      <c r="D281" s="9" t="s">
        <v>383</v>
      </c>
      <c r="E281" s="10">
        <v>54.0</v>
      </c>
      <c r="F281" s="10">
        <v>57.0</v>
      </c>
      <c r="G281" s="10">
        <v>69.0</v>
      </c>
      <c r="H281" s="10">
        <v>92.0</v>
      </c>
      <c r="I281" s="10">
        <v>92.0</v>
      </c>
      <c r="J281" s="10">
        <v>95.0</v>
      </c>
      <c r="K281" s="11">
        <f t="shared" ref="K281:M281" si="552">+H281/E281</f>
        <v>1.703703704</v>
      </c>
      <c r="L281" s="11">
        <f t="shared" si="552"/>
        <v>1.614035088</v>
      </c>
      <c r="M281" s="11">
        <f t="shared" si="552"/>
        <v>1.376811594</v>
      </c>
      <c r="N281" s="11">
        <f t="shared" si="6"/>
        <v>1.564850129</v>
      </c>
      <c r="O281" s="10">
        <v>11.0</v>
      </c>
      <c r="P281" s="10">
        <v>10.0</v>
      </c>
      <c r="Q281" s="10">
        <v>8.0</v>
      </c>
      <c r="R281" s="10">
        <v>21.0</v>
      </c>
      <c r="S281" s="10">
        <v>27.0</v>
      </c>
      <c r="T281" s="10">
        <v>37.0</v>
      </c>
      <c r="U281" s="11">
        <f t="shared" ref="U281:W281" si="553">+R281/O281</f>
        <v>1.909090909</v>
      </c>
      <c r="V281" s="11">
        <f t="shared" si="553"/>
        <v>2.7</v>
      </c>
      <c r="W281" s="11">
        <f t="shared" si="553"/>
        <v>4.625</v>
      </c>
      <c r="X281" s="11">
        <f t="shared" si="455"/>
        <v>3.078030303</v>
      </c>
    </row>
    <row r="282" ht="15.75" customHeight="1">
      <c r="A282" s="7">
        <v>70802.0</v>
      </c>
      <c r="B282" s="8" t="s">
        <v>42</v>
      </c>
      <c r="C282" s="8" t="s">
        <v>383</v>
      </c>
      <c r="D282" s="9" t="s">
        <v>384</v>
      </c>
      <c r="E282" s="10">
        <v>5.0</v>
      </c>
      <c r="F282" s="10">
        <v>11.0</v>
      </c>
      <c r="G282" s="10">
        <v>3.0</v>
      </c>
      <c r="H282" s="10">
        <v>6.0</v>
      </c>
      <c r="I282" s="10">
        <v>11.0</v>
      </c>
      <c r="J282" s="10">
        <v>10.0</v>
      </c>
      <c r="K282" s="11">
        <f t="shared" ref="K282:M282" si="554">+H282/E282</f>
        <v>1.2</v>
      </c>
      <c r="L282" s="11">
        <f t="shared" si="554"/>
        <v>1</v>
      </c>
      <c r="M282" s="11">
        <f t="shared" si="554"/>
        <v>3.333333333</v>
      </c>
      <c r="N282" s="11">
        <f t="shared" si="6"/>
        <v>1.844444444</v>
      </c>
      <c r="O282" s="10">
        <v>1.0</v>
      </c>
      <c r="P282" s="10">
        <v>0.0</v>
      </c>
      <c r="Q282" s="10"/>
      <c r="R282" s="10">
        <v>4.0</v>
      </c>
      <c r="S282" s="10">
        <v>1.0</v>
      </c>
      <c r="T282" s="10"/>
      <c r="U282" s="11">
        <f t="shared" ref="U282:U283" si="556">+R282/O282</f>
        <v>4</v>
      </c>
      <c r="V282" s="11"/>
      <c r="W282" s="11"/>
      <c r="X282" s="11">
        <f t="shared" si="455"/>
        <v>4</v>
      </c>
    </row>
    <row r="283" ht="15.75" customHeight="1">
      <c r="A283" s="7">
        <v>70803.0</v>
      </c>
      <c r="B283" s="8" t="s">
        <v>42</v>
      </c>
      <c r="C283" s="8" t="s">
        <v>383</v>
      </c>
      <c r="D283" s="9" t="s">
        <v>385</v>
      </c>
      <c r="E283" s="10">
        <v>10.0</v>
      </c>
      <c r="F283" s="10">
        <v>6.0</v>
      </c>
      <c r="G283" s="10">
        <v>14.0</v>
      </c>
      <c r="H283" s="10">
        <v>13.0</v>
      </c>
      <c r="I283" s="10">
        <v>13.0</v>
      </c>
      <c r="J283" s="10">
        <v>22.0</v>
      </c>
      <c r="K283" s="11">
        <f t="shared" ref="K283:M283" si="555">+H283/E283</f>
        <v>1.3</v>
      </c>
      <c r="L283" s="11">
        <f t="shared" si="555"/>
        <v>2.166666667</v>
      </c>
      <c r="M283" s="11">
        <f t="shared" si="555"/>
        <v>1.571428571</v>
      </c>
      <c r="N283" s="11">
        <f t="shared" si="6"/>
        <v>1.679365079</v>
      </c>
      <c r="O283" s="10">
        <v>7.0</v>
      </c>
      <c r="P283" s="10">
        <v>5.0</v>
      </c>
      <c r="Q283" s="10">
        <v>2.0</v>
      </c>
      <c r="R283" s="10">
        <v>16.0</v>
      </c>
      <c r="S283" s="10">
        <v>10.0</v>
      </c>
      <c r="T283" s="10">
        <v>6.0</v>
      </c>
      <c r="U283" s="11">
        <f t="shared" si="556"/>
        <v>2.285714286</v>
      </c>
      <c r="V283" s="11">
        <f t="shared" ref="V283:W283" si="557">+S283/P283</f>
        <v>2</v>
      </c>
      <c r="W283" s="11">
        <f t="shared" si="557"/>
        <v>3</v>
      </c>
      <c r="X283" s="11">
        <f t="shared" si="455"/>
        <v>2.428571429</v>
      </c>
    </row>
    <row r="284" ht="15.75" customHeight="1">
      <c r="A284" s="7">
        <v>70804.0</v>
      </c>
      <c r="B284" s="8" t="s">
        <v>42</v>
      </c>
      <c r="C284" s="8" t="s">
        <v>383</v>
      </c>
      <c r="D284" s="9" t="s">
        <v>386</v>
      </c>
      <c r="E284" s="10">
        <v>2.0</v>
      </c>
      <c r="F284" s="10">
        <v>14.0</v>
      </c>
      <c r="G284" s="10">
        <v>9.0</v>
      </c>
      <c r="H284" s="10">
        <v>6.0</v>
      </c>
      <c r="I284" s="10">
        <v>21.0</v>
      </c>
      <c r="J284" s="10">
        <v>18.0</v>
      </c>
      <c r="K284" s="11">
        <f t="shared" ref="K284:M284" si="558">+H284/E284</f>
        <v>3</v>
      </c>
      <c r="L284" s="11">
        <f t="shared" si="558"/>
        <v>1.5</v>
      </c>
      <c r="M284" s="11">
        <f t="shared" si="558"/>
        <v>2</v>
      </c>
      <c r="N284" s="11">
        <f t="shared" si="6"/>
        <v>2.166666667</v>
      </c>
      <c r="O284" s="10">
        <v>0.0</v>
      </c>
      <c r="P284" s="10">
        <v>1.0</v>
      </c>
      <c r="Q284" s="10">
        <v>1.0</v>
      </c>
      <c r="R284" s="10">
        <v>1.0</v>
      </c>
      <c r="S284" s="10">
        <v>2.0</v>
      </c>
      <c r="T284" s="10">
        <v>1.0</v>
      </c>
      <c r="U284" s="11"/>
      <c r="V284" s="11">
        <f t="shared" ref="V284:W284" si="559">+S284/P284</f>
        <v>2</v>
      </c>
      <c r="W284" s="11">
        <f t="shared" si="559"/>
        <v>1</v>
      </c>
      <c r="X284" s="11">
        <f t="shared" si="455"/>
        <v>1.5</v>
      </c>
    </row>
    <row r="285" ht="15.75" customHeight="1">
      <c r="A285" s="7">
        <v>70805.0</v>
      </c>
      <c r="B285" s="8" t="s">
        <v>42</v>
      </c>
      <c r="C285" s="8" t="s">
        <v>383</v>
      </c>
      <c r="D285" s="9" t="s">
        <v>387</v>
      </c>
      <c r="E285" s="10">
        <v>11.0</v>
      </c>
      <c r="F285" s="10">
        <v>1.0</v>
      </c>
      <c r="G285" s="10">
        <v>7.0</v>
      </c>
      <c r="H285" s="10">
        <v>11.0</v>
      </c>
      <c r="I285" s="10">
        <v>4.0</v>
      </c>
      <c r="J285" s="10">
        <v>12.0</v>
      </c>
      <c r="K285" s="11">
        <f t="shared" ref="K285:M285" si="560">+H285/E285</f>
        <v>1</v>
      </c>
      <c r="L285" s="11">
        <f t="shared" si="560"/>
        <v>4</v>
      </c>
      <c r="M285" s="11">
        <f t="shared" si="560"/>
        <v>1.714285714</v>
      </c>
      <c r="N285" s="11">
        <f t="shared" si="6"/>
        <v>2.238095238</v>
      </c>
      <c r="O285" s="10">
        <v>0.0</v>
      </c>
      <c r="P285" s="10">
        <v>0.0</v>
      </c>
      <c r="Q285" s="10">
        <v>0.0</v>
      </c>
      <c r="R285" s="10">
        <v>1.0</v>
      </c>
      <c r="S285" s="10">
        <v>2.0</v>
      </c>
      <c r="T285" s="10">
        <v>2.0</v>
      </c>
      <c r="U285" s="11"/>
      <c r="V285" s="11"/>
      <c r="W285" s="11"/>
      <c r="X285" s="11"/>
    </row>
    <row r="286" ht="15.75" customHeight="1">
      <c r="A286" s="7">
        <v>70901.0</v>
      </c>
      <c r="B286" s="8" t="s">
        <v>42</v>
      </c>
      <c r="C286" s="8" t="s">
        <v>388</v>
      </c>
      <c r="D286" s="9" t="s">
        <v>389</v>
      </c>
      <c r="E286" s="10">
        <v>39.0</v>
      </c>
      <c r="F286" s="10">
        <v>36.0</v>
      </c>
      <c r="G286" s="10">
        <v>26.0</v>
      </c>
      <c r="H286" s="10">
        <v>57.0</v>
      </c>
      <c r="I286" s="10">
        <v>59.0</v>
      </c>
      <c r="J286" s="10">
        <v>32.0</v>
      </c>
      <c r="K286" s="11">
        <f t="shared" ref="K286:M286" si="561">+H286/E286</f>
        <v>1.461538462</v>
      </c>
      <c r="L286" s="11">
        <f t="shared" si="561"/>
        <v>1.638888889</v>
      </c>
      <c r="M286" s="11">
        <f t="shared" si="561"/>
        <v>1.230769231</v>
      </c>
      <c r="N286" s="11">
        <f t="shared" si="6"/>
        <v>1.443732194</v>
      </c>
      <c r="O286" s="10">
        <v>8.0</v>
      </c>
      <c r="P286" s="10">
        <v>12.0</v>
      </c>
      <c r="Q286" s="10">
        <v>14.0</v>
      </c>
      <c r="R286" s="10">
        <v>16.0</v>
      </c>
      <c r="S286" s="10">
        <v>14.0</v>
      </c>
      <c r="T286" s="10">
        <v>16.0</v>
      </c>
      <c r="U286" s="11">
        <f t="shared" ref="U286:W286" si="562">+R286/O286</f>
        <v>2</v>
      </c>
      <c r="V286" s="11">
        <f t="shared" si="562"/>
        <v>1.166666667</v>
      </c>
      <c r="W286" s="11">
        <f t="shared" si="562"/>
        <v>1.142857143</v>
      </c>
      <c r="X286" s="11">
        <f t="shared" ref="X286:X344" si="565">AVERAGE(U286:W286)</f>
        <v>1.436507937</v>
      </c>
    </row>
    <row r="287" ht="15.75" customHeight="1">
      <c r="A287" s="7">
        <v>70902.0</v>
      </c>
      <c r="B287" s="8" t="s">
        <v>42</v>
      </c>
      <c r="C287" s="8" t="s">
        <v>388</v>
      </c>
      <c r="D287" s="9" t="s">
        <v>390</v>
      </c>
      <c r="E287" s="10">
        <v>20.0</v>
      </c>
      <c r="F287" s="10">
        <v>18.0</v>
      </c>
      <c r="G287" s="10">
        <v>20.0</v>
      </c>
      <c r="H287" s="10">
        <v>44.0</v>
      </c>
      <c r="I287" s="10">
        <v>27.0</v>
      </c>
      <c r="J287" s="10">
        <v>40.0</v>
      </c>
      <c r="K287" s="11">
        <f t="shared" ref="K287:M287" si="563">+H287/E287</f>
        <v>2.2</v>
      </c>
      <c r="L287" s="11">
        <f t="shared" si="563"/>
        <v>1.5</v>
      </c>
      <c r="M287" s="11">
        <f t="shared" si="563"/>
        <v>2</v>
      </c>
      <c r="N287" s="11">
        <f t="shared" si="6"/>
        <v>1.9</v>
      </c>
      <c r="O287" s="10">
        <v>10.0</v>
      </c>
      <c r="P287" s="10">
        <v>7.0</v>
      </c>
      <c r="Q287" s="10">
        <v>9.0</v>
      </c>
      <c r="R287" s="10">
        <v>27.0</v>
      </c>
      <c r="S287" s="10">
        <v>29.0</v>
      </c>
      <c r="T287" s="10">
        <v>14.0</v>
      </c>
      <c r="U287" s="11">
        <f t="shared" ref="U287:W287" si="564">+R287/O287</f>
        <v>2.7</v>
      </c>
      <c r="V287" s="11">
        <f t="shared" si="564"/>
        <v>4.142857143</v>
      </c>
      <c r="W287" s="11">
        <f t="shared" si="564"/>
        <v>1.555555556</v>
      </c>
      <c r="X287" s="11">
        <f t="shared" si="565"/>
        <v>2.799470899</v>
      </c>
    </row>
    <row r="288" ht="15.75" customHeight="1">
      <c r="A288" s="7">
        <v>70903.0</v>
      </c>
      <c r="B288" s="8" t="s">
        <v>42</v>
      </c>
      <c r="C288" s="8" t="s">
        <v>388</v>
      </c>
      <c r="D288" s="9" t="s">
        <v>391</v>
      </c>
      <c r="E288" s="10">
        <v>41.0</v>
      </c>
      <c r="F288" s="10">
        <v>47.0</v>
      </c>
      <c r="G288" s="10">
        <v>39.0</v>
      </c>
      <c r="H288" s="10">
        <v>43.0</v>
      </c>
      <c r="I288" s="10">
        <v>105.0</v>
      </c>
      <c r="J288" s="10">
        <v>60.0</v>
      </c>
      <c r="K288" s="11">
        <f t="shared" ref="K288:M288" si="566">+H288/E288</f>
        <v>1.048780488</v>
      </c>
      <c r="L288" s="11">
        <f t="shared" si="566"/>
        <v>2.234042553</v>
      </c>
      <c r="M288" s="11">
        <f t="shared" si="566"/>
        <v>1.538461538</v>
      </c>
      <c r="N288" s="11">
        <f t="shared" si="6"/>
        <v>1.60709486</v>
      </c>
      <c r="O288" s="10">
        <v>27.0</v>
      </c>
      <c r="P288" s="10">
        <v>37.0</v>
      </c>
      <c r="Q288" s="10">
        <v>18.0</v>
      </c>
      <c r="R288" s="10">
        <v>61.0</v>
      </c>
      <c r="S288" s="10">
        <v>51.0</v>
      </c>
      <c r="T288" s="10">
        <v>53.0</v>
      </c>
      <c r="U288" s="11">
        <f t="shared" ref="U288:W288" si="567">+R288/O288</f>
        <v>2.259259259</v>
      </c>
      <c r="V288" s="11">
        <f t="shared" si="567"/>
        <v>1.378378378</v>
      </c>
      <c r="W288" s="11">
        <f t="shared" si="567"/>
        <v>2.944444444</v>
      </c>
      <c r="X288" s="11">
        <f t="shared" si="565"/>
        <v>2.194027361</v>
      </c>
    </row>
    <row r="289" ht="15.75" customHeight="1">
      <c r="A289" s="7">
        <v>70904.0</v>
      </c>
      <c r="B289" s="8" t="s">
        <v>42</v>
      </c>
      <c r="C289" s="8" t="s">
        <v>388</v>
      </c>
      <c r="D289" s="9" t="s">
        <v>392</v>
      </c>
      <c r="E289" s="10">
        <v>6.0</v>
      </c>
      <c r="F289" s="10">
        <v>2.0</v>
      </c>
      <c r="G289" s="10">
        <v>9.0</v>
      </c>
      <c r="H289" s="10">
        <v>9.0</v>
      </c>
      <c r="I289" s="10">
        <v>4.0</v>
      </c>
      <c r="J289" s="10">
        <v>17.0</v>
      </c>
      <c r="K289" s="11">
        <f t="shared" ref="K289:M289" si="568">+H289/E289</f>
        <v>1.5</v>
      </c>
      <c r="L289" s="11">
        <f t="shared" si="568"/>
        <v>2</v>
      </c>
      <c r="M289" s="11">
        <f t="shared" si="568"/>
        <v>1.888888889</v>
      </c>
      <c r="N289" s="11">
        <f t="shared" si="6"/>
        <v>1.796296296</v>
      </c>
      <c r="O289" s="10">
        <v>0.0</v>
      </c>
      <c r="P289" s="10">
        <v>1.0</v>
      </c>
      <c r="Q289" s="10">
        <v>1.0</v>
      </c>
      <c r="R289" s="10">
        <v>2.0</v>
      </c>
      <c r="S289" s="10">
        <v>0.0</v>
      </c>
      <c r="T289" s="10">
        <v>1.0</v>
      </c>
      <c r="U289" s="11"/>
      <c r="V289" s="11">
        <f t="shared" ref="V289:W289" si="569">+S289/P289</f>
        <v>0</v>
      </c>
      <c r="W289" s="11">
        <f t="shared" si="569"/>
        <v>1</v>
      </c>
      <c r="X289" s="11">
        <f t="shared" si="565"/>
        <v>0.5</v>
      </c>
    </row>
    <row r="290" ht="15.75" customHeight="1">
      <c r="A290" s="7">
        <v>71001.0</v>
      </c>
      <c r="B290" s="8" t="s">
        <v>42</v>
      </c>
      <c r="C290" s="8" t="s">
        <v>393</v>
      </c>
      <c r="D290" s="9" t="s">
        <v>394</v>
      </c>
      <c r="E290" s="10">
        <v>335.0</v>
      </c>
      <c r="F290" s="10">
        <v>468.0</v>
      </c>
      <c r="G290" s="10">
        <v>493.0</v>
      </c>
      <c r="H290" s="10">
        <v>518.0</v>
      </c>
      <c r="I290" s="10">
        <v>705.0</v>
      </c>
      <c r="J290" s="10">
        <v>743.0</v>
      </c>
      <c r="K290" s="11">
        <f t="shared" ref="K290:M290" si="570">+H290/E290</f>
        <v>1.546268657</v>
      </c>
      <c r="L290" s="11">
        <f t="shared" si="570"/>
        <v>1.506410256</v>
      </c>
      <c r="M290" s="11">
        <f t="shared" si="570"/>
        <v>1.507099391</v>
      </c>
      <c r="N290" s="11">
        <f t="shared" si="6"/>
        <v>1.519926102</v>
      </c>
      <c r="O290" s="10">
        <v>243.0</v>
      </c>
      <c r="P290" s="10">
        <v>233.0</v>
      </c>
      <c r="Q290" s="10">
        <v>265.0</v>
      </c>
      <c r="R290" s="10">
        <v>279.0</v>
      </c>
      <c r="S290" s="10">
        <v>320.0</v>
      </c>
      <c r="T290" s="10">
        <v>331.0</v>
      </c>
      <c r="U290" s="11">
        <f t="shared" ref="U290:W290" si="571">+R290/O290</f>
        <v>1.148148148</v>
      </c>
      <c r="V290" s="11">
        <f t="shared" si="571"/>
        <v>1.373390558</v>
      </c>
      <c r="W290" s="11">
        <f t="shared" si="571"/>
        <v>1.249056604</v>
      </c>
      <c r="X290" s="11">
        <f t="shared" si="565"/>
        <v>1.256865103</v>
      </c>
    </row>
    <row r="291" ht="15.75" customHeight="1">
      <c r="A291" s="7">
        <v>71002.0</v>
      </c>
      <c r="B291" s="8" t="s">
        <v>42</v>
      </c>
      <c r="C291" s="8" t="s">
        <v>393</v>
      </c>
      <c r="D291" s="9" t="s">
        <v>395</v>
      </c>
      <c r="E291" s="10">
        <v>64.0</v>
      </c>
      <c r="F291" s="10">
        <v>75.0</v>
      </c>
      <c r="G291" s="10">
        <v>65.0</v>
      </c>
      <c r="H291" s="10">
        <v>99.0</v>
      </c>
      <c r="I291" s="10">
        <v>130.0</v>
      </c>
      <c r="J291" s="10">
        <v>102.0</v>
      </c>
      <c r="K291" s="11">
        <f t="shared" ref="K291:M291" si="572">+H291/E291</f>
        <v>1.546875</v>
      </c>
      <c r="L291" s="11">
        <f t="shared" si="572"/>
        <v>1.733333333</v>
      </c>
      <c r="M291" s="11">
        <f t="shared" si="572"/>
        <v>1.569230769</v>
      </c>
      <c r="N291" s="11">
        <f t="shared" si="6"/>
        <v>1.616479701</v>
      </c>
      <c r="O291" s="10">
        <v>41.0</v>
      </c>
      <c r="P291" s="10">
        <v>23.0</v>
      </c>
      <c r="Q291" s="10">
        <v>31.0</v>
      </c>
      <c r="R291" s="10">
        <v>42.0</v>
      </c>
      <c r="S291" s="10">
        <v>25.0</v>
      </c>
      <c r="T291" s="10">
        <v>41.0</v>
      </c>
      <c r="U291" s="11">
        <f t="shared" ref="U291:W291" si="573">+R291/O291</f>
        <v>1.024390244</v>
      </c>
      <c r="V291" s="11">
        <f t="shared" si="573"/>
        <v>1.086956522</v>
      </c>
      <c r="W291" s="11">
        <f t="shared" si="573"/>
        <v>1.322580645</v>
      </c>
      <c r="X291" s="11">
        <f t="shared" si="565"/>
        <v>1.14464247</v>
      </c>
    </row>
    <row r="292" ht="15.75" customHeight="1">
      <c r="A292" s="7">
        <v>71003.0</v>
      </c>
      <c r="B292" s="8" t="s">
        <v>42</v>
      </c>
      <c r="C292" s="8" t="s">
        <v>393</v>
      </c>
      <c r="D292" s="9" t="s">
        <v>396</v>
      </c>
      <c r="E292" s="10">
        <v>83.0</v>
      </c>
      <c r="F292" s="10">
        <v>85.0</v>
      </c>
      <c r="G292" s="10">
        <v>125.0</v>
      </c>
      <c r="H292" s="10">
        <v>126.0</v>
      </c>
      <c r="I292" s="10">
        <v>131.0</v>
      </c>
      <c r="J292" s="10">
        <v>174.0</v>
      </c>
      <c r="K292" s="11">
        <f t="shared" ref="K292:M292" si="574">+H292/E292</f>
        <v>1.518072289</v>
      </c>
      <c r="L292" s="11">
        <f t="shared" si="574"/>
        <v>1.541176471</v>
      </c>
      <c r="M292" s="11">
        <f t="shared" si="574"/>
        <v>1.392</v>
      </c>
      <c r="N292" s="11">
        <f t="shared" si="6"/>
        <v>1.483749587</v>
      </c>
      <c r="O292" s="10">
        <v>37.0</v>
      </c>
      <c r="P292" s="10">
        <v>34.0</v>
      </c>
      <c r="Q292" s="10">
        <v>74.0</v>
      </c>
      <c r="R292" s="10">
        <v>64.0</v>
      </c>
      <c r="S292" s="10">
        <v>36.0</v>
      </c>
      <c r="T292" s="10">
        <v>92.0</v>
      </c>
      <c r="U292" s="11">
        <f t="shared" ref="U292:W292" si="575">+R292/O292</f>
        <v>1.72972973</v>
      </c>
      <c r="V292" s="11">
        <f t="shared" si="575"/>
        <v>1.058823529</v>
      </c>
      <c r="W292" s="11">
        <f t="shared" si="575"/>
        <v>1.243243243</v>
      </c>
      <c r="X292" s="11">
        <f t="shared" si="565"/>
        <v>1.343932167</v>
      </c>
    </row>
    <row r="293" ht="15.75" customHeight="1">
      <c r="A293" s="7">
        <v>71004.0</v>
      </c>
      <c r="B293" s="8" t="s">
        <v>42</v>
      </c>
      <c r="C293" s="8" t="s">
        <v>393</v>
      </c>
      <c r="D293" s="9" t="s">
        <v>397</v>
      </c>
      <c r="E293" s="10">
        <v>41.0</v>
      </c>
      <c r="F293" s="10">
        <v>39.0</v>
      </c>
      <c r="G293" s="10">
        <v>60.0</v>
      </c>
      <c r="H293" s="10">
        <v>62.0</v>
      </c>
      <c r="I293" s="10">
        <v>60.0</v>
      </c>
      <c r="J293" s="10">
        <v>58.0</v>
      </c>
      <c r="K293" s="11">
        <f t="shared" ref="K293:M293" si="576">+H293/E293</f>
        <v>1.512195122</v>
      </c>
      <c r="L293" s="11">
        <f t="shared" si="576"/>
        <v>1.538461538</v>
      </c>
      <c r="M293" s="11">
        <f t="shared" si="576"/>
        <v>0.9666666667</v>
      </c>
      <c r="N293" s="11">
        <f t="shared" si="6"/>
        <v>1.339107776</v>
      </c>
      <c r="O293" s="10">
        <v>14.0</v>
      </c>
      <c r="P293" s="10">
        <v>16.0</v>
      </c>
      <c r="Q293" s="10">
        <v>15.0</v>
      </c>
      <c r="R293" s="10">
        <v>32.0</v>
      </c>
      <c r="S293" s="10">
        <v>28.0</v>
      </c>
      <c r="T293" s="10">
        <v>47.0</v>
      </c>
      <c r="U293" s="11">
        <f t="shared" ref="U293:W293" si="577">+R293/O293</f>
        <v>2.285714286</v>
      </c>
      <c r="V293" s="11">
        <f t="shared" si="577"/>
        <v>1.75</v>
      </c>
      <c r="W293" s="11">
        <f t="shared" si="577"/>
        <v>3.133333333</v>
      </c>
      <c r="X293" s="11">
        <f t="shared" si="565"/>
        <v>2.38968254</v>
      </c>
    </row>
    <row r="294" ht="15.75" customHeight="1">
      <c r="A294" s="7">
        <v>71005.0</v>
      </c>
      <c r="B294" s="8" t="s">
        <v>42</v>
      </c>
      <c r="C294" s="8" t="s">
        <v>393</v>
      </c>
      <c r="D294" s="9" t="s">
        <v>398</v>
      </c>
      <c r="E294" s="10">
        <v>41.0</v>
      </c>
      <c r="F294" s="10">
        <v>53.0</v>
      </c>
      <c r="G294" s="10">
        <v>44.0</v>
      </c>
      <c r="H294" s="10">
        <v>77.0</v>
      </c>
      <c r="I294" s="10">
        <v>80.0</v>
      </c>
      <c r="J294" s="10">
        <v>90.0</v>
      </c>
      <c r="K294" s="11">
        <f t="shared" ref="K294:M294" si="578">+H294/E294</f>
        <v>1.87804878</v>
      </c>
      <c r="L294" s="11">
        <f t="shared" si="578"/>
        <v>1.509433962</v>
      </c>
      <c r="M294" s="11">
        <f t="shared" si="578"/>
        <v>2.045454545</v>
      </c>
      <c r="N294" s="11">
        <f t="shared" si="6"/>
        <v>1.810979096</v>
      </c>
      <c r="O294" s="10">
        <v>25.0</v>
      </c>
      <c r="P294" s="10">
        <v>13.0</v>
      </c>
      <c r="Q294" s="10">
        <v>23.0</v>
      </c>
      <c r="R294" s="10">
        <v>21.0</v>
      </c>
      <c r="S294" s="10">
        <v>33.0</v>
      </c>
      <c r="T294" s="10">
        <v>31.0</v>
      </c>
      <c r="U294" s="11">
        <f t="shared" ref="U294:W294" si="579">+R294/O294</f>
        <v>0.84</v>
      </c>
      <c r="V294" s="11">
        <f t="shared" si="579"/>
        <v>2.538461538</v>
      </c>
      <c r="W294" s="11">
        <f t="shared" si="579"/>
        <v>1.347826087</v>
      </c>
      <c r="X294" s="11">
        <f t="shared" si="565"/>
        <v>1.575429208</v>
      </c>
    </row>
    <row r="295" ht="15.75" customHeight="1">
      <c r="A295" s="7">
        <v>71101.0</v>
      </c>
      <c r="B295" s="8" t="s">
        <v>42</v>
      </c>
      <c r="C295" s="8" t="s">
        <v>399</v>
      </c>
      <c r="D295" s="9" t="s">
        <v>400</v>
      </c>
      <c r="E295" s="10">
        <v>69.0</v>
      </c>
      <c r="F295" s="10">
        <v>59.0</v>
      </c>
      <c r="G295" s="10">
        <v>69.0</v>
      </c>
      <c r="H295" s="10">
        <v>98.0</v>
      </c>
      <c r="I295" s="10">
        <v>107.0</v>
      </c>
      <c r="J295" s="10">
        <v>98.0</v>
      </c>
      <c r="K295" s="11">
        <f t="shared" ref="K295:M295" si="580">+H295/E295</f>
        <v>1.420289855</v>
      </c>
      <c r="L295" s="11">
        <f t="shared" si="580"/>
        <v>1.813559322</v>
      </c>
      <c r="M295" s="11">
        <f t="shared" si="580"/>
        <v>1.420289855</v>
      </c>
      <c r="N295" s="11">
        <f t="shared" si="6"/>
        <v>1.551379677</v>
      </c>
      <c r="O295" s="10">
        <v>25.0</v>
      </c>
      <c r="P295" s="10">
        <v>35.0</v>
      </c>
      <c r="Q295" s="10">
        <v>49.0</v>
      </c>
      <c r="R295" s="10">
        <v>33.0</v>
      </c>
      <c r="S295" s="10">
        <v>36.0</v>
      </c>
      <c r="T295" s="10">
        <v>40.0</v>
      </c>
      <c r="U295" s="11">
        <f t="shared" ref="U295:W295" si="581">+R295/O295</f>
        <v>1.32</v>
      </c>
      <c r="V295" s="11">
        <f t="shared" si="581"/>
        <v>1.028571429</v>
      </c>
      <c r="W295" s="11">
        <f t="shared" si="581"/>
        <v>0.8163265306</v>
      </c>
      <c r="X295" s="11">
        <f t="shared" si="565"/>
        <v>1.054965986</v>
      </c>
    </row>
    <row r="296" ht="15.75" customHeight="1">
      <c r="A296" s="7">
        <v>71102.0</v>
      </c>
      <c r="B296" s="8" t="s">
        <v>42</v>
      </c>
      <c r="C296" s="8" t="s">
        <v>399</v>
      </c>
      <c r="D296" s="9" t="s">
        <v>401</v>
      </c>
      <c r="E296" s="10">
        <v>54.0</v>
      </c>
      <c r="F296" s="10">
        <v>54.0</v>
      </c>
      <c r="G296" s="10">
        <v>61.0</v>
      </c>
      <c r="H296" s="10">
        <v>84.0</v>
      </c>
      <c r="I296" s="10">
        <v>80.0</v>
      </c>
      <c r="J296" s="10">
        <v>99.0</v>
      </c>
      <c r="K296" s="11">
        <f t="shared" ref="K296:M296" si="582">+H296/E296</f>
        <v>1.555555556</v>
      </c>
      <c r="L296" s="11">
        <f t="shared" si="582"/>
        <v>1.481481481</v>
      </c>
      <c r="M296" s="11">
        <f t="shared" si="582"/>
        <v>1.62295082</v>
      </c>
      <c r="N296" s="11">
        <f t="shared" si="6"/>
        <v>1.553329286</v>
      </c>
      <c r="O296" s="10">
        <v>22.0</v>
      </c>
      <c r="P296" s="10">
        <v>11.0</v>
      </c>
      <c r="Q296" s="10">
        <v>21.0</v>
      </c>
      <c r="R296" s="10">
        <v>33.0</v>
      </c>
      <c r="S296" s="10">
        <v>16.0</v>
      </c>
      <c r="T296" s="10">
        <v>37.0</v>
      </c>
      <c r="U296" s="11">
        <f t="shared" ref="U296:W296" si="583">+R296/O296</f>
        <v>1.5</v>
      </c>
      <c r="V296" s="11">
        <f t="shared" si="583"/>
        <v>1.454545455</v>
      </c>
      <c r="W296" s="11">
        <f t="shared" si="583"/>
        <v>1.761904762</v>
      </c>
      <c r="X296" s="11">
        <f t="shared" si="565"/>
        <v>1.572150072</v>
      </c>
    </row>
    <row r="297" ht="15.75" customHeight="1">
      <c r="A297" s="7">
        <v>71103.0</v>
      </c>
      <c r="B297" s="8" t="s">
        <v>42</v>
      </c>
      <c r="C297" s="8" t="s">
        <v>399</v>
      </c>
      <c r="D297" s="9" t="s">
        <v>402</v>
      </c>
      <c r="E297" s="10">
        <v>36.0</v>
      </c>
      <c r="F297" s="10">
        <v>46.0</v>
      </c>
      <c r="G297" s="10">
        <v>43.0</v>
      </c>
      <c r="H297" s="10">
        <v>45.0</v>
      </c>
      <c r="I297" s="10">
        <v>70.0</v>
      </c>
      <c r="J297" s="10">
        <v>58.0</v>
      </c>
      <c r="K297" s="11">
        <f t="shared" ref="K297:M297" si="584">+H297/E297</f>
        <v>1.25</v>
      </c>
      <c r="L297" s="11">
        <f t="shared" si="584"/>
        <v>1.52173913</v>
      </c>
      <c r="M297" s="11">
        <f t="shared" si="584"/>
        <v>1.348837209</v>
      </c>
      <c r="N297" s="11">
        <f t="shared" si="6"/>
        <v>1.373525447</v>
      </c>
      <c r="O297" s="10">
        <v>14.0</v>
      </c>
      <c r="P297" s="10">
        <v>23.0</v>
      </c>
      <c r="Q297" s="10">
        <v>17.0</v>
      </c>
      <c r="R297" s="10">
        <v>20.0</v>
      </c>
      <c r="S297" s="10">
        <v>26.0</v>
      </c>
      <c r="T297" s="10">
        <v>24.0</v>
      </c>
      <c r="U297" s="11">
        <f t="shared" ref="U297:W297" si="585">+R297/O297</f>
        <v>1.428571429</v>
      </c>
      <c r="V297" s="11">
        <f t="shared" si="585"/>
        <v>1.130434783</v>
      </c>
      <c r="W297" s="11">
        <f t="shared" si="585"/>
        <v>1.411764706</v>
      </c>
      <c r="X297" s="11">
        <f t="shared" si="565"/>
        <v>1.323590306</v>
      </c>
    </row>
    <row r="298" ht="15.75" customHeight="1">
      <c r="A298" s="7">
        <v>71104.0</v>
      </c>
      <c r="B298" s="8" t="s">
        <v>42</v>
      </c>
      <c r="C298" s="8" t="s">
        <v>399</v>
      </c>
      <c r="D298" s="9" t="s">
        <v>403</v>
      </c>
      <c r="E298" s="10">
        <v>214.0</v>
      </c>
      <c r="F298" s="10">
        <v>212.0</v>
      </c>
      <c r="G298" s="10">
        <v>203.0</v>
      </c>
      <c r="H298" s="10">
        <v>336.0</v>
      </c>
      <c r="I298" s="10">
        <v>318.0</v>
      </c>
      <c r="J298" s="10">
        <v>274.0</v>
      </c>
      <c r="K298" s="11">
        <f t="shared" ref="K298:M298" si="586">+H298/E298</f>
        <v>1.570093458</v>
      </c>
      <c r="L298" s="11">
        <f t="shared" si="586"/>
        <v>1.5</v>
      </c>
      <c r="M298" s="11">
        <f t="shared" si="586"/>
        <v>1.349753695</v>
      </c>
      <c r="N298" s="11">
        <f t="shared" si="6"/>
        <v>1.473282384</v>
      </c>
      <c r="O298" s="10">
        <v>63.0</v>
      </c>
      <c r="P298" s="10">
        <v>57.0</v>
      </c>
      <c r="Q298" s="10">
        <v>74.0</v>
      </c>
      <c r="R298" s="10">
        <v>115.0</v>
      </c>
      <c r="S298" s="10">
        <v>114.0</v>
      </c>
      <c r="T298" s="10">
        <v>138.0</v>
      </c>
      <c r="U298" s="11">
        <f t="shared" ref="U298:W298" si="587">+R298/O298</f>
        <v>1.825396825</v>
      </c>
      <c r="V298" s="11">
        <f t="shared" si="587"/>
        <v>2</v>
      </c>
      <c r="W298" s="11">
        <f t="shared" si="587"/>
        <v>1.864864865</v>
      </c>
      <c r="X298" s="11">
        <f t="shared" si="565"/>
        <v>1.896753897</v>
      </c>
    </row>
    <row r="299" ht="15.75" customHeight="1">
      <c r="A299" s="7">
        <v>71105.0</v>
      </c>
      <c r="B299" s="8" t="s">
        <v>42</v>
      </c>
      <c r="C299" s="8" t="s">
        <v>399</v>
      </c>
      <c r="D299" s="9" t="s">
        <v>404</v>
      </c>
      <c r="E299" s="10">
        <v>22.0</v>
      </c>
      <c r="F299" s="10">
        <v>19.0</v>
      </c>
      <c r="G299" s="10">
        <v>11.0</v>
      </c>
      <c r="H299" s="10">
        <v>18.0</v>
      </c>
      <c r="I299" s="10">
        <v>44.0</v>
      </c>
      <c r="J299" s="10">
        <v>33.0</v>
      </c>
      <c r="K299" s="11">
        <f t="shared" ref="K299:M299" si="588">+H299/E299</f>
        <v>0.8181818182</v>
      </c>
      <c r="L299" s="11">
        <f t="shared" si="588"/>
        <v>2.315789474</v>
      </c>
      <c r="M299" s="11">
        <f t="shared" si="588"/>
        <v>3</v>
      </c>
      <c r="N299" s="11">
        <f t="shared" si="6"/>
        <v>2.044657097</v>
      </c>
      <c r="O299" s="10">
        <v>7.0</v>
      </c>
      <c r="P299" s="10">
        <v>9.0</v>
      </c>
      <c r="Q299" s="10">
        <v>7.0</v>
      </c>
      <c r="R299" s="10">
        <v>18.0</v>
      </c>
      <c r="S299" s="10">
        <v>4.0</v>
      </c>
      <c r="T299" s="10">
        <v>7.0</v>
      </c>
      <c r="U299" s="11">
        <f t="shared" ref="U299:W299" si="589">+R299/O299</f>
        <v>2.571428571</v>
      </c>
      <c r="V299" s="11">
        <f t="shared" si="589"/>
        <v>0.4444444444</v>
      </c>
      <c r="W299" s="11">
        <f t="shared" si="589"/>
        <v>1</v>
      </c>
      <c r="X299" s="11">
        <f t="shared" si="565"/>
        <v>1.338624339</v>
      </c>
    </row>
    <row r="300" ht="15.75" customHeight="1">
      <c r="A300" s="7">
        <v>71106.0</v>
      </c>
      <c r="B300" s="8" t="s">
        <v>42</v>
      </c>
      <c r="C300" s="8" t="s">
        <v>399</v>
      </c>
      <c r="D300" s="9" t="s">
        <v>405</v>
      </c>
      <c r="E300" s="10">
        <v>62.0</v>
      </c>
      <c r="F300" s="10">
        <v>66.0</v>
      </c>
      <c r="G300" s="10">
        <v>84.0</v>
      </c>
      <c r="H300" s="10">
        <v>115.0</v>
      </c>
      <c r="I300" s="10">
        <v>122.0</v>
      </c>
      <c r="J300" s="10">
        <v>111.0</v>
      </c>
      <c r="K300" s="11">
        <f t="shared" ref="K300:M300" si="590">+H300/E300</f>
        <v>1.85483871</v>
      </c>
      <c r="L300" s="11">
        <f t="shared" si="590"/>
        <v>1.848484848</v>
      </c>
      <c r="M300" s="11">
        <f t="shared" si="590"/>
        <v>1.321428571</v>
      </c>
      <c r="N300" s="11">
        <f t="shared" si="6"/>
        <v>1.674917377</v>
      </c>
      <c r="O300" s="10">
        <v>22.0</v>
      </c>
      <c r="P300" s="10">
        <v>24.0</v>
      </c>
      <c r="Q300" s="10">
        <v>22.0</v>
      </c>
      <c r="R300" s="10">
        <v>36.0</v>
      </c>
      <c r="S300" s="10">
        <v>39.0</v>
      </c>
      <c r="T300" s="10">
        <v>48.0</v>
      </c>
      <c r="U300" s="11">
        <f t="shared" ref="U300:W300" si="591">+R300/O300</f>
        <v>1.636363636</v>
      </c>
      <c r="V300" s="11">
        <f t="shared" si="591"/>
        <v>1.625</v>
      </c>
      <c r="W300" s="11">
        <f t="shared" si="591"/>
        <v>2.181818182</v>
      </c>
      <c r="X300" s="11">
        <f t="shared" si="565"/>
        <v>1.814393939</v>
      </c>
    </row>
    <row r="301" ht="15.75" customHeight="1">
      <c r="A301" s="7">
        <v>71201.0</v>
      </c>
      <c r="B301" s="8" t="s">
        <v>42</v>
      </c>
      <c r="C301" s="8" t="s">
        <v>406</v>
      </c>
      <c r="D301" s="9" t="s">
        <v>407</v>
      </c>
      <c r="E301" s="10">
        <v>83.0</v>
      </c>
      <c r="F301" s="10">
        <v>84.0</v>
      </c>
      <c r="G301" s="10">
        <v>65.0</v>
      </c>
      <c r="H301" s="10">
        <v>108.0</v>
      </c>
      <c r="I301" s="10">
        <v>110.0</v>
      </c>
      <c r="J301" s="10">
        <v>95.0</v>
      </c>
      <c r="K301" s="11">
        <f t="shared" ref="K301:M301" si="592">+H301/E301</f>
        <v>1.301204819</v>
      </c>
      <c r="L301" s="11">
        <f t="shared" si="592"/>
        <v>1.30952381</v>
      </c>
      <c r="M301" s="11">
        <f t="shared" si="592"/>
        <v>1.461538462</v>
      </c>
      <c r="N301" s="11">
        <f t="shared" si="6"/>
        <v>1.357422363</v>
      </c>
      <c r="O301" s="10">
        <v>28.0</v>
      </c>
      <c r="P301" s="10">
        <v>20.0</v>
      </c>
      <c r="Q301" s="10">
        <v>39.0</v>
      </c>
      <c r="R301" s="10">
        <v>37.0</v>
      </c>
      <c r="S301" s="10">
        <v>37.0</v>
      </c>
      <c r="T301" s="10">
        <v>53.0</v>
      </c>
      <c r="U301" s="11">
        <f t="shared" ref="U301:W301" si="593">+R301/O301</f>
        <v>1.321428571</v>
      </c>
      <c r="V301" s="11">
        <f t="shared" si="593"/>
        <v>1.85</v>
      </c>
      <c r="W301" s="11">
        <f t="shared" si="593"/>
        <v>1.358974359</v>
      </c>
      <c r="X301" s="11">
        <f t="shared" si="565"/>
        <v>1.51013431</v>
      </c>
    </row>
    <row r="302" ht="15.75" customHeight="1">
      <c r="A302" s="7">
        <v>71301.0</v>
      </c>
      <c r="B302" s="8" t="s">
        <v>42</v>
      </c>
      <c r="C302" s="8" t="s">
        <v>408</v>
      </c>
      <c r="D302" s="9" t="s">
        <v>409</v>
      </c>
      <c r="E302" s="10">
        <v>44.0</v>
      </c>
      <c r="F302" s="10">
        <v>54.0</v>
      </c>
      <c r="G302" s="10">
        <v>48.0</v>
      </c>
      <c r="H302" s="10">
        <v>76.0</v>
      </c>
      <c r="I302" s="10">
        <v>86.0</v>
      </c>
      <c r="J302" s="10">
        <v>85.0</v>
      </c>
      <c r="K302" s="11">
        <f t="shared" ref="K302:M302" si="594">+H302/E302</f>
        <v>1.727272727</v>
      </c>
      <c r="L302" s="11">
        <f t="shared" si="594"/>
        <v>1.592592593</v>
      </c>
      <c r="M302" s="11">
        <f t="shared" si="594"/>
        <v>1.770833333</v>
      </c>
      <c r="N302" s="11">
        <f t="shared" si="6"/>
        <v>1.696899551</v>
      </c>
      <c r="O302" s="10">
        <v>29.0</v>
      </c>
      <c r="P302" s="10">
        <v>39.0</v>
      </c>
      <c r="Q302" s="10">
        <v>41.0</v>
      </c>
      <c r="R302" s="10">
        <v>51.0</v>
      </c>
      <c r="S302" s="10">
        <v>70.0</v>
      </c>
      <c r="T302" s="10">
        <v>66.0</v>
      </c>
      <c r="U302" s="11">
        <f t="shared" ref="U302:W302" si="595">+R302/O302</f>
        <v>1.75862069</v>
      </c>
      <c r="V302" s="11">
        <f t="shared" si="595"/>
        <v>1.794871795</v>
      </c>
      <c r="W302" s="11">
        <f t="shared" si="595"/>
        <v>1.609756098</v>
      </c>
      <c r="X302" s="11">
        <f t="shared" si="565"/>
        <v>1.721082861</v>
      </c>
    </row>
    <row r="303" ht="15.75" customHeight="1">
      <c r="A303" s="7">
        <v>71302.0</v>
      </c>
      <c r="B303" s="8" t="s">
        <v>42</v>
      </c>
      <c r="C303" s="8" t="s">
        <v>408</v>
      </c>
      <c r="D303" s="9" t="s">
        <v>410</v>
      </c>
      <c r="E303" s="10">
        <v>19.0</v>
      </c>
      <c r="F303" s="10">
        <v>21.0</v>
      </c>
      <c r="G303" s="10">
        <v>19.0</v>
      </c>
      <c r="H303" s="10">
        <v>30.0</v>
      </c>
      <c r="I303" s="10">
        <v>49.0</v>
      </c>
      <c r="J303" s="10">
        <v>46.0</v>
      </c>
      <c r="K303" s="11">
        <f t="shared" ref="K303:M303" si="596">+H303/E303</f>
        <v>1.578947368</v>
      </c>
      <c r="L303" s="11">
        <f t="shared" si="596"/>
        <v>2.333333333</v>
      </c>
      <c r="M303" s="11">
        <f t="shared" si="596"/>
        <v>2.421052632</v>
      </c>
      <c r="N303" s="11">
        <f t="shared" si="6"/>
        <v>2.111111111</v>
      </c>
      <c r="O303" s="10">
        <v>6.0</v>
      </c>
      <c r="P303" s="10">
        <v>7.0</v>
      </c>
      <c r="Q303" s="10">
        <v>8.0</v>
      </c>
      <c r="R303" s="10">
        <v>9.0</v>
      </c>
      <c r="S303" s="10">
        <v>10.0</v>
      </c>
      <c r="T303" s="10">
        <v>19.0</v>
      </c>
      <c r="U303" s="11">
        <f t="shared" ref="U303:W303" si="597">+R303/O303</f>
        <v>1.5</v>
      </c>
      <c r="V303" s="11">
        <f t="shared" si="597"/>
        <v>1.428571429</v>
      </c>
      <c r="W303" s="11">
        <f t="shared" si="597"/>
        <v>2.375</v>
      </c>
      <c r="X303" s="11">
        <f t="shared" si="565"/>
        <v>1.767857143</v>
      </c>
    </row>
    <row r="304" ht="15.75" customHeight="1">
      <c r="A304" s="7">
        <v>71401.0</v>
      </c>
      <c r="B304" s="8" t="s">
        <v>42</v>
      </c>
      <c r="C304" s="8" t="s">
        <v>411</v>
      </c>
      <c r="D304" s="9" t="s">
        <v>412</v>
      </c>
      <c r="E304" s="10">
        <v>53.0</v>
      </c>
      <c r="F304" s="10">
        <v>53.0</v>
      </c>
      <c r="G304" s="10">
        <v>47.0</v>
      </c>
      <c r="H304" s="10">
        <v>79.0</v>
      </c>
      <c r="I304" s="10">
        <v>78.0</v>
      </c>
      <c r="J304" s="10">
        <v>81.0</v>
      </c>
      <c r="K304" s="11">
        <f t="shared" ref="K304:M304" si="598">+H304/E304</f>
        <v>1.490566038</v>
      </c>
      <c r="L304" s="11">
        <f t="shared" si="598"/>
        <v>1.471698113</v>
      </c>
      <c r="M304" s="11">
        <f t="shared" si="598"/>
        <v>1.723404255</v>
      </c>
      <c r="N304" s="11">
        <f t="shared" si="6"/>
        <v>1.561889469</v>
      </c>
      <c r="O304" s="10">
        <v>23.0</v>
      </c>
      <c r="P304" s="10">
        <v>30.0</v>
      </c>
      <c r="Q304" s="10">
        <v>40.0</v>
      </c>
      <c r="R304" s="10">
        <v>40.0</v>
      </c>
      <c r="S304" s="10">
        <v>55.0</v>
      </c>
      <c r="T304" s="10">
        <v>77.0</v>
      </c>
      <c r="U304" s="11">
        <f t="shared" ref="U304:W304" si="599">+R304/O304</f>
        <v>1.739130435</v>
      </c>
      <c r="V304" s="11">
        <f t="shared" si="599"/>
        <v>1.833333333</v>
      </c>
      <c r="W304" s="11">
        <f t="shared" si="599"/>
        <v>1.925</v>
      </c>
      <c r="X304" s="11">
        <f t="shared" si="565"/>
        <v>1.832487923</v>
      </c>
    </row>
    <row r="305" ht="15.75" customHeight="1">
      <c r="A305" s="7">
        <v>71402.0</v>
      </c>
      <c r="B305" s="8" t="s">
        <v>42</v>
      </c>
      <c r="C305" s="8" t="s">
        <v>411</v>
      </c>
      <c r="D305" s="9" t="s">
        <v>413</v>
      </c>
      <c r="E305" s="10">
        <v>53.0</v>
      </c>
      <c r="F305" s="10">
        <v>57.0</v>
      </c>
      <c r="G305" s="10">
        <v>76.0</v>
      </c>
      <c r="H305" s="10">
        <v>80.0</v>
      </c>
      <c r="I305" s="10">
        <v>75.0</v>
      </c>
      <c r="J305" s="10">
        <v>130.0</v>
      </c>
      <c r="K305" s="11">
        <f t="shared" ref="K305:M305" si="600">+H305/E305</f>
        <v>1.509433962</v>
      </c>
      <c r="L305" s="11">
        <f t="shared" si="600"/>
        <v>1.315789474</v>
      </c>
      <c r="M305" s="11">
        <f t="shared" si="600"/>
        <v>1.710526316</v>
      </c>
      <c r="N305" s="11">
        <f t="shared" si="6"/>
        <v>1.511916584</v>
      </c>
      <c r="O305" s="10">
        <v>38.0</v>
      </c>
      <c r="P305" s="10">
        <v>24.0</v>
      </c>
      <c r="Q305" s="10">
        <v>29.0</v>
      </c>
      <c r="R305" s="10">
        <v>42.0</v>
      </c>
      <c r="S305" s="10">
        <v>30.0</v>
      </c>
      <c r="T305" s="10">
        <v>53.0</v>
      </c>
      <c r="U305" s="11">
        <f t="shared" ref="U305:W305" si="601">+R305/O305</f>
        <v>1.105263158</v>
      </c>
      <c r="V305" s="11">
        <f t="shared" si="601"/>
        <v>1.25</v>
      </c>
      <c r="W305" s="11">
        <f t="shared" si="601"/>
        <v>1.827586207</v>
      </c>
      <c r="X305" s="11">
        <f t="shared" si="565"/>
        <v>1.394283122</v>
      </c>
    </row>
    <row r="306" ht="15.75" customHeight="1">
      <c r="A306" s="7">
        <v>71403.0</v>
      </c>
      <c r="B306" s="8" t="s">
        <v>42</v>
      </c>
      <c r="C306" s="8" t="s">
        <v>411</v>
      </c>
      <c r="D306" s="9" t="s">
        <v>414</v>
      </c>
      <c r="E306" s="10">
        <v>30.0</v>
      </c>
      <c r="F306" s="10">
        <v>26.0</v>
      </c>
      <c r="G306" s="10">
        <v>23.0</v>
      </c>
      <c r="H306" s="10">
        <v>33.0</v>
      </c>
      <c r="I306" s="10">
        <v>47.0</v>
      </c>
      <c r="J306" s="10">
        <v>21.0</v>
      </c>
      <c r="K306" s="11">
        <f t="shared" ref="K306:M306" si="602">+H306/E306</f>
        <v>1.1</v>
      </c>
      <c r="L306" s="11">
        <f t="shared" si="602"/>
        <v>1.807692308</v>
      </c>
      <c r="M306" s="11">
        <f t="shared" si="602"/>
        <v>0.9130434783</v>
      </c>
      <c r="N306" s="11">
        <f t="shared" si="6"/>
        <v>1.273578595</v>
      </c>
      <c r="O306" s="10">
        <v>16.0</v>
      </c>
      <c r="P306" s="10">
        <v>14.0</v>
      </c>
      <c r="Q306" s="10">
        <v>12.0</v>
      </c>
      <c r="R306" s="10">
        <v>27.0</v>
      </c>
      <c r="S306" s="10">
        <v>11.0</v>
      </c>
      <c r="T306" s="10">
        <v>19.0</v>
      </c>
      <c r="U306" s="11">
        <f t="shared" ref="U306:W306" si="603">+R306/O306</f>
        <v>1.6875</v>
      </c>
      <c r="V306" s="11">
        <f t="shared" si="603"/>
        <v>0.7857142857</v>
      </c>
      <c r="W306" s="11">
        <f t="shared" si="603"/>
        <v>1.583333333</v>
      </c>
      <c r="X306" s="11">
        <f t="shared" si="565"/>
        <v>1.35218254</v>
      </c>
    </row>
    <row r="307" ht="15.75" customHeight="1">
      <c r="A307" s="7">
        <v>71501.0</v>
      </c>
      <c r="B307" s="8" t="s">
        <v>42</v>
      </c>
      <c r="C307" s="8" t="s">
        <v>415</v>
      </c>
      <c r="D307" s="9" t="s">
        <v>416</v>
      </c>
      <c r="E307" s="10">
        <v>154.0</v>
      </c>
      <c r="F307" s="10">
        <v>150.0</v>
      </c>
      <c r="G307" s="10">
        <v>127.0</v>
      </c>
      <c r="H307" s="10">
        <v>217.0</v>
      </c>
      <c r="I307" s="10">
        <v>223.0</v>
      </c>
      <c r="J307" s="10">
        <v>193.0</v>
      </c>
      <c r="K307" s="11">
        <f t="shared" ref="K307:M307" si="604">+H307/E307</f>
        <v>1.409090909</v>
      </c>
      <c r="L307" s="11">
        <f t="shared" si="604"/>
        <v>1.486666667</v>
      </c>
      <c r="M307" s="11">
        <f t="shared" si="604"/>
        <v>1.519685039</v>
      </c>
      <c r="N307" s="11">
        <f t="shared" si="6"/>
        <v>1.471814205</v>
      </c>
      <c r="O307" s="10">
        <v>113.0</v>
      </c>
      <c r="P307" s="10">
        <v>99.0</v>
      </c>
      <c r="Q307" s="10">
        <v>89.0</v>
      </c>
      <c r="R307" s="10">
        <v>140.0</v>
      </c>
      <c r="S307" s="10">
        <v>142.0</v>
      </c>
      <c r="T307" s="10">
        <v>106.0</v>
      </c>
      <c r="U307" s="11">
        <f t="shared" ref="U307:W307" si="605">+R307/O307</f>
        <v>1.238938053</v>
      </c>
      <c r="V307" s="11">
        <f t="shared" si="605"/>
        <v>1.434343434</v>
      </c>
      <c r="W307" s="11">
        <f t="shared" si="605"/>
        <v>1.191011236</v>
      </c>
      <c r="X307" s="11">
        <f t="shared" si="565"/>
        <v>1.288097574</v>
      </c>
    </row>
    <row r="308" ht="15.75" customHeight="1">
      <c r="A308" s="7">
        <v>71502.0</v>
      </c>
      <c r="B308" s="8" t="s">
        <v>42</v>
      </c>
      <c r="C308" s="8" t="s">
        <v>415</v>
      </c>
      <c r="D308" s="9" t="s">
        <v>417</v>
      </c>
      <c r="E308" s="10">
        <v>13.0</v>
      </c>
      <c r="F308" s="10">
        <v>20.0</v>
      </c>
      <c r="G308" s="10">
        <v>29.0</v>
      </c>
      <c r="H308" s="10">
        <v>18.0</v>
      </c>
      <c r="I308" s="10">
        <v>22.0</v>
      </c>
      <c r="J308" s="10">
        <v>33.0</v>
      </c>
      <c r="K308" s="11">
        <f t="shared" ref="K308:M308" si="606">+H308/E308</f>
        <v>1.384615385</v>
      </c>
      <c r="L308" s="11">
        <f t="shared" si="606"/>
        <v>1.1</v>
      </c>
      <c r="M308" s="11">
        <f t="shared" si="606"/>
        <v>1.137931034</v>
      </c>
      <c r="N308" s="11">
        <f t="shared" si="6"/>
        <v>1.207515473</v>
      </c>
      <c r="O308" s="10">
        <v>17.0</v>
      </c>
      <c r="P308" s="10">
        <v>18.0</v>
      </c>
      <c r="Q308" s="10">
        <v>20.0</v>
      </c>
      <c r="R308" s="10">
        <v>11.0</v>
      </c>
      <c r="S308" s="10">
        <v>27.0</v>
      </c>
      <c r="T308" s="10">
        <v>21.0</v>
      </c>
      <c r="U308" s="11">
        <f t="shared" ref="U308:W308" si="607">+R308/O308</f>
        <v>0.6470588235</v>
      </c>
      <c r="V308" s="11">
        <f t="shared" si="607"/>
        <v>1.5</v>
      </c>
      <c r="W308" s="11">
        <f t="shared" si="607"/>
        <v>1.05</v>
      </c>
      <c r="X308" s="11">
        <f t="shared" si="565"/>
        <v>1.065686275</v>
      </c>
    </row>
    <row r="309" ht="15.75" customHeight="1">
      <c r="A309" s="7">
        <v>71503.0</v>
      </c>
      <c r="B309" s="8" t="s">
        <v>42</v>
      </c>
      <c r="C309" s="8" t="s">
        <v>415</v>
      </c>
      <c r="D309" s="9" t="s">
        <v>348</v>
      </c>
      <c r="E309" s="10">
        <v>32.0</v>
      </c>
      <c r="F309" s="10">
        <v>49.0</v>
      </c>
      <c r="G309" s="10">
        <v>29.0</v>
      </c>
      <c r="H309" s="10">
        <v>87.0</v>
      </c>
      <c r="I309" s="10">
        <v>77.0</v>
      </c>
      <c r="J309" s="10">
        <v>68.0</v>
      </c>
      <c r="K309" s="11">
        <f t="shared" ref="K309:M309" si="608">+H309/E309</f>
        <v>2.71875</v>
      </c>
      <c r="L309" s="11">
        <f t="shared" si="608"/>
        <v>1.571428571</v>
      </c>
      <c r="M309" s="11">
        <f t="shared" si="608"/>
        <v>2.344827586</v>
      </c>
      <c r="N309" s="11">
        <f t="shared" si="6"/>
        <v>2.211668719</v>
      </c>
      <c r="O309" s="10">
        <v>17.0</v>
      </c>
      <c r="P309" s="10">
        <v>21.0</v>
      </c>
      <c r="Q309" s="10">
        <v>25.0</v>
      </c>
      <c r="R309" s="10">
        <v>29.0</v>
      </c>
      <c r="S309" s="10">
        <v>32.0</v>
      </c>
      <c r="T309" s="10">
        <v>43.0</v>
      </c>
      <c r="U309" s="11">
        <f t="shared" ref="U309:W309" si="609">+R309/O309</f>
        <v>1.705882353</v>
      </c>
      <c r="V309" s="11">
        <f t="shared" si="609"/>
        <v>1.523809524</v>
      </c>
      <c r="W309" s="11">
        <f t="shared" si="609"/>
        <v>1.72</v>
      </c>
      <c r="X309" s="11">
        <f t="shared" si="565"/>
        <v>1.649897292</v>
      </c>
    </row>
    <row r="310" ht="15.75" customHeight="1">
      <c r="A310" s="7">
        <v>80101.0</v>
      </c>
      <c r="B310" s="8" t="s">
        <v>44</v>
      </c>
      <c r="C310" s="8" t="s">
        <v>180</v>
      </c>
      <c r="D310" s="9" t="s">
        <v>418</v>
      </c>
      <c r="E310" s="10">
        <v>412.0</v>
      </c>
      <c r="F310" s="10">
        <v>596.0</v>
      </c>
      <c r="G310" s="10">
        <v>545.0</v>
      </c>
      <c r="H310" s="10">
        <v>591.0</v>
      </c>
      <c r="I310" s="10">
        <v>782.0</v>
      </c>
      <c r="J310" s="10">
        <v>658.0</v>
      </c>
      <c r="K310" s="11">
        <f t="shared" ref="K310:M310" si="610">+H310/E310</f>
        <v>1.434466019</v>
      </c>
      <c r="L310" s="11">
        <f t="shared" si="610"/>
        <v>1.312080537</v>
      </c>
      <c r="M310" s="11">
        <f t="shared" si="610"/>
        <v>1.20733945</v>
      </c>
      <c r="N310" s="11">
        <f t="shared" si="6"/>
        <v>1.317962002</v>
      </c>
      <c r="O310" s="10">
        <v>165.0</v>
      </c>
      <c r="P310" s="10">
        <v>206.0</v>
      </c>
      <c r="Q310" s="10">
        <v>226.0</v>
      </c>
      <c r="R310" s="10">
        <v>214.0</v>
      </c>
      <c r="S310" s="10">
        <v>223.0</v>
      </c>
      <c r="T310" s="10">
        <v>307.0</v>
      </c>
      <c r="U310" s="11">
        <f t="shared" ref="U310:W310" si="611">+R310/O310</f>
        <v>1.296969697</v>
      </c>
      <c r="V310" s="11">
        <f t="shared" si="611"/>
        <v>1.082524272</v>
      </c>
      <c r="W310" s="11">
        <f t="shared" si="611"/>
        <v>1.35840708</v>
      </c>
      <c r="X310" s="11">
        <f t="shared" si="565"/>
        <v>1.245967016</v>
      </c>
    </row>
    <row r="311" ht="15.75" customHeight="1">
      <c r="A311" s="7">
        <v>80102.0</v>
      </c>
      <c r="B311" s="8" t="s">
        <v>44</v>
      </c>
      <c r="C311" s="8" t="s">
        <v>180</v>
      </c>
      <c r="D311" s="9" t="s">
        <v>401</v>
      </c>
      <c r="E311" s="10">
        <v>14.0</v>
      </c>
      <c r="F311" s="10">
        <v>34.0</v>
      </c>
      <c r="G311" s="10">
        <v>35.0</v>
      </c>
      <c r="H311" s="10">
        <v>10.0</v>
      </c>
      <c r="I311" s="10">
        <v>42.0</v>
      </c>
      <c r="J311" s="10">
        <v>36.0</v>
      </c>
      <c r="K311" s="11">
        <f t="shared" ref="K311:M311" si="612">+H311/E311</f>
        <v>0.7142857143</v>
      </c>
      <c r="L311" s="11">
        <f t="shared" si="612"/>
        <v>1.235294118</v>
      </c>
      <c r="M311" s="11">
        <f t="shared" si="612"/>
        <v>1.028571429</v>
      </c>
      <c r="N311" s="11">
        <f t="shared" si="6"/>
        <v>0.9927170868</v>
      </c>
      <c r="O311" s="10">
        <v>4.0</v>
      </c>
      <c r="P311" s="10">
        <v>12.0</v>
      </c>
      <c r="Q311" s="10">
        <v>16.0</v>
      </c>
      <c r="R311" s="10">
        <v>7.0</v>
      </c>
      <c r="S311" s="10">
        <v>8.0</v>
      </c>
      <c r="T311" s="10">
        <v>23.0</v>
      </c>
      <c r="U311" s="11">
        <f t="shared" ref="U311:W311" si="613">+R311/O311</f>
        <v>1.75</v>
      </c>
      <c r="V311" s="11">
        <f t="shared" si="613"/>
        <v>0.6666666667</v>
      </c>
      <c r="W311" s="11">
        <f t="shared" si="613"/>
        <v>1.4375</v>
      </c>
      <c r="X311" s="11">
        <f t="shared" si="565"/>
        <v>1.284722222</v>
      </c>
    </row>
    <row r="312" ht="15.75" customHeight="1">
      <c r="A312" s="7">
        <v>80201.0</v>
      </c>
      <c r="B312" s="8" t="s">
        <v>44</v>
      </c>
      <c r="C312" s="8" t="s">
        <v>419</v>
      </c>
      <c r="D312" s="9" t="s">
        <v>420</v>
      </c>
      <c r="E312" s="10">
        <v>633.0</v>
      </c>
      <c r="F312" s="10">
        <v>706.0</v>
      </c>
      <c r="G312" s="10">
        <v>757.0</v>
      </c>
      <c r="H312" s="10">
        <v>912.0</v>
      </c>
      <c r="I312" s="10">
        <v>977.0</v>
      </c>
      <c r="J312" s="10">
        <v>973.0</v>
      </c>
      <c r="K312" s="11">
        <f t="shared" ref="K312:M312" si="614">+H312/E312</f>
        <v>1.440758294</v>
      </c>
      <c r="L312" s="11">
        <f t="shared" si="614"/>
        <v>1.383852691</v>
      </c>
      <c r="M312" s="11">
        <f t="shared" si="614"/>
        <v>1.285336856</v>
      </c>
      <c r="N312" s="11">
        <f t="shared" si="6"/>
        <v>1.369982614</v>
      </c>
      <c r="O312" s="10">
        <v>384.0</v>
      </c>
      <c r="P312" s="10">
        <v>407.0</v>
      </c>
      <c r="Q312" s="10">
        <v>463.0</v>
      </c>
      <c r="R312" s="10">
        <v>513.0</v>
      </c>
      <c r="S312" s="10">
        <v>557.0</v>
      </c>
      <c r="T312" s="10">
        <v>607.0</v>
      </c>
      <c r="U312" s="11">
        <f t="shared" ref="U312:W312" si="615">+R312/O312</f>
        <v>1.3359375</v>
      </c>
      <c r="V312" s="11">
        <f t="shared" si="615"/>
        <v>1.368550369</v>
      </c>
      <c r="W312" s="11">
        <f t="shared" si="615"/>
        <v>1.311015119</v>
      </c>
      <c r="X312" s="11">
        <f t="shared" si="565"/>
        <v>1.338500996</v>
      </c>
    </row>
    <row r="313" ht="15.75" customHeight="1">
      <c r="A313" s="7">
        <v>80202.0</v>
      </c>
      <c r="B313" s="8" t="s">
        <v>44</v>
      </c>
      <c r="C313" s="8" t="s">
        <v>419</v>
      </c>
      <c r="D313" s="9" t="s">
        <v>421</v>
      </c>
      <c r="E313" s="10">
        <v>96.0</v>
      </c>
      <c r="F313" s="10">
        <v>153.0</v>
      </c>
      <c r="G313" s="10">
        <v>234.0</v>
      </c>
      <c r="H313" s="10">
        <v>137.0</v>
      </c>
      <c r="I313" s="10">
        <v>200.0</v>
      </c>
      <c r="J313" s="10">
        <v>360.0</v>
      </c>
      <c r="K313" s="11">
        <f t="shared" ref="K313:M313" si="616">+H313/E313</f>
        <v>1.427083333</v>
      </c>
      <c r="L313" s="11">
        <f t="shared" si="616"/>
        <v>1.307189542</v>
      </c>
      <c r="M313" s="11">
        <f t="shared" si="616"/>
        <v>1.538461538</v>
      </c>
      <c r="N313" s="11">
        <f t="shared" si="6"/>
        <v>1.424244805</v>
      </c>
      <c r="O313" s="10">
        <v>100.0</v>
      </c>
      <c r="P313" s="10">
        <v>113.0</v>
      </c>
      <c r="Q313" s="10">
        <v>133.0</v>
      </c>
      <c r="R313" s="10">
        <v>119.0</v>
      </c>
      <c r="S313" s="10">
        <v>179.0</v>
      </c>
      <c r="T313" s="10">
        <v>180.0</v>
      </c>
      <c r="U313" s="11">
        <f t="shared" ref="U313:W313" si="617">+R313/O313</f>
        <v>1.19</v>
      </c>
      <c r="V313" s="11">
        <f t="shared" si="617"/>
        <v>1.584070796</v>
      </c>
      <c r="W313" s="11">
        <f t="shared" si="617"/>
        <v>1.353383459</v>
      </c>
      <c r="X313" s="11">
        <f t="shared" si="565"/>
        <v>1.375818085</v>
      </c>
    </row>
    <row r="314" ht="15.75" customHeight="1">
      <c r="A314" s="7">
        <v>80301.0</v>
      </c>
      <c r="B314" s="8" t="s">
        <v>44</v>
      </c>
      <c r="C314" s="8" t="s">
        <v>422</v>
      </c>
      <c r="D314" s="9" t="s">
        <v>423</v>
      </c>
      <c r="E314" s="10">
        <v>65.0</v>
      </c>
      <c r="F314" s="10">
        <v>78.0</v>
      </c>
      <c r="G314" s="10">
        <v>61.0</v>
      </c>
      <c r="H314" s="10">
        <v>81.0</v>
      </c>
      <c r="I314" s="10">
        <v>113.0</v>
      </c>
      <c r="J314" s="10">
        <v>90.0</v>
      </c>
      <c r="K314" s="11">
        <f t="shared" ref="K314:M314" si="618">+H314/E314</f>
        <v>1.246153846</v>
      </c>
      <c r="L314" s="11">
        <f t="shared" si="618"/>
        <v>1.448717949</v>
      </c>
      <c r="M314" s="11">
        <f t="shared" si="618"/>
        <v>1.475409836</v>
      </c>
      <c r="N314" s="11">
        <f t="shared" si="6"/>
        <v>1.390093877</v>
      </c>
      <c r="O314" s="10">
        <v>41.0</v>
      </c>
      <c r="P314" s="10">
        <v>31.0</v>
      </c>
      <c r="Q314" s="10">
        <v>32.0</v>
      </c>
      <c r="R314" s="10">
        <v>58.0</v>
      </c>
      <c r="S314" s="10">
        <v>48.0</v>
      </c>
      <c r="T314" s="10">
        <v>63.0</v>
      </c>
      <c r="U314" s="11">
        <f t="shared" ref="U314:W314" si="619">+R314/O314</f>
        <v>1.414634146</v>
      </c>
      <c r="V314" s="11">
        <f t="shared" si="619"/>
        <v>1.548387097</v>
      </c>
      <c r="W314" s="11">
        <f t="shared" si="619"/>
        <v>1.96875</v>
      </c>
      <c r="X314" s="11">
        <f t="shared" si="565"/>
        <v>1.643923748</v>
      </c>
    </row>
    <row r="315" ht="15.75" customHeight="1">
      <c r="A315" s="7">
        <v>80302.0</v>
      </c>
      <c r="B315" s="8" t="s">
        <v>44</v>
      </c>
      <c r="C315" s="8" t="s">
        <v>422</v>
      </c>
      <c r="D315" s="9" t="s">
        <v>424</v>
      </c>
      <c r="E315" s="10">
        <v>308.0</v>
      </c>
      <c r="F315" s="10">
        <v>300.0</v>
      </c>
      <c r="G315" s="10">
        <v>271.0</v>
      </c>
      <c r="H315" s="10">
        <v>416.0</v>
      </c>
      <c r="I315" s="10">
        <v>386.0</v>
      </c>
      <c r="J315" s="10">
        <v>354.0</v>
      </c>
      <c r="K315" s="11">
        <f t="shared" ref="K315:M315" si="620">+H315/E315</f>
        <v>1.350649351</v>
      </c>
      <c r="L315" s="11">
        <f t="shared" si="620"/>
        <v>1.286666667</v>
      </c>
      <c r="M315" s="11">
        <f t="shared" si="620"/>
        <v>1.306273063</v>
      </c>
      <c r="N315" s="11">
        <f t="shared" si="6"/>
        <v>1.314529693</v>
      </c>
      <c r="O315" s="10">
        <v>123.0</v>
      </c>
      <c r="P315" s="10">
        <v>131.0</v>
      </c>
      <c r="Q315" s="10">
        <v>132.0</v>
      </c>
      <c r="R315" s="10">
        <v>165.0</v>
      </c>
      <c r="S315" s="10">
        <v>175.0</v>
      </c>
      <c r="T315" s="10">
        <v>162.0</v>
      </c>
      <c r="U315" s="11">
        <f t="shared" ref="U315:W315" si="621">+R315/O315</f>
        <v>1.341463415</v>
      </c>
      <c r="V315" s="11">
        <f t="shared" si="621"/>
        <v>1.335877863</v>
      </c>
      <c r="W315" s="11">
        <f t="shared" si="621"/>
        <v>1.227272727</v>
      </c>
      <c r="X315" s="11">
        <f t="shared" si="565"/>
        <v>1.301538002</v>
      </c>
    </row>
    <row r="316" ht="15.75" customHeight="1">
      <c r="A316" s="7">
        <v>80303.0</v>
      </c>
      <c r="B316" s="8" t="s">
        <v>44</v>
      </c>
      <c r="C316" s="8" t="s">
        <v>422</v>
      </c>
      <c r="D316" s="9" t="s">
        <v>425</v>
      </c>
      <c r="E316" s="10">
        <v>21.0</v>
      </c>
      <c r="F316" s="10">
        <v>46.0</v>
      </c>
      <c r="G316" s="10">
        <v>43.0</v>
      </c>
      <c r="H316" s="10">
        <v>30.0</v>
      </c>
      <c r="I316" s="10">
        <v>68.0</v>
      </c>
      <c r="J316" s="10">
        <v>50.0</v>
      </c>
      <c r="K316" s="11">
        <f t="shared" ref="K316:M316" si="622">+H316/E316</f>
        <v>1.428571429</v>
      </c>
      <c r="L316" s="11">
        <f t="shared" si="622"/>
        <v>1.47826087</v>
      </c>
      <c r="M316" s="11">
        <f t="shared" si="622"/>
        <v>1.162790698</v>
      </c>
      <c r="N316" s="11">
        <f t="shared" si="6"/>
        <v>1.356540999</v>
      </c>
      <c r="O316" s="10">
        <v>27.0</v>
      </c>
      <c r="P316" s="10">
        <v>18.0</v>
      </c>
      <c r="Q316" s="10">
        <v>26.0</v>
      </c>
      <c r="R316" s="10">
        <v>33.0</v>
      </c>
      <c r="S316" s="10">
        <v>21.0</v>
      </c>
      <c r="T316" s="10">
        <v>49.0</v>
      </c>
      <c r="U316" s="11">
        <f t="shared" ref="U316:W316" si="623">+R316/O316</f>
        <v>1.222222222</v>
      </c>
      <c r="V316" s="11">
        <f t="shared" si="623"/>
        <v>1.166666667</v>
      </c>
      <c r="W316" s="11">
        <f t="shared" si="623"/>
        <v>1.884615385</v>
      </c>
      <c r="X316" s="11">
        <f t="shared" si="565"/>
        <v>1.424501425</v>
      </c>
    </row>
    <row r="317" ht="15.75" customHeight="1">
      <c r="A317" s="7">
        <v>80304.0</v>
      </c>
      <c r="B317" s="8" t="s">
        <v>44</v>
      </c>
      <c r="C317" s="8" t="s">
        <v>422</v>
      </c>
      <c r="D317" s="9" t="s">
        <v>426</v>
      </c>
      <c r="E317" s="10">
        <v>99.0</v>
      </c>
      <c r="F317" s="10">
        <v>120.0</v>
      </c>
      <c r="G317" s="10">
        <v>100.0</v>
      </c>
      <c r="H317" s="10">
        <v>96.0</v>
      </c>
      <c r="I317" s="10">
        <v>136.0</v>
      </c>
      <c r="J317" s="10">
        <v>122.0</v>
      </c>
      <c r="K317" s="11">
        <f t="shared" ref="K317:M317" si="624">+H317/E317</f>
        <v>0.9696969697</v>
      </c>
      <c r="L317" s="11">
        <f t="shared" si="624"/>
        <v>1.133333333</v>
      </c>
      <c r="M317" s="11">
        <f t="shared" si="624"/>
        <v>1.22</v>
      </c>
      <c r="N317" s="11">
        <f t="shared" si="6"/>
        <v>1.107676768</v>
      </c>
      <c r="O317" s="10">
        <v>36.0</v>
      </c>
      <c r="P317" s="10">
        <v>39.0</v>
      </c>
      <c r="Q317" s="10">
        <v>58.0</v>
      </c>
      <c r="R317" s="10">
        <v>57.0</v>
      </c>
      <c r="S317" s="10">
        <v>46.0</v>
      </c>
      <c r="T317" s="10">
        <v>54.0</v>
      </c>
      <c r="U317" s="11">
        <f t="shared" ref="U317:W317" si="625">+R317/O317</f>
        <v>1.583333333</v>
      </c>
      <c r="V317" s="11">
        <f t="shared" si="625"/>
        <v>1.179487179</v>
      </c>
      <c r="W317" s="11">
        <f t="shared" si="625"/>
        <v>0.9310344828</v>
      </c>
      <c r="X317" s="11">
        <f t="shared" si="565"/>
        <v>1.231284999</v>
      </c>
    </row>
    <row r="318" ht="15.75" customHeight="1">
      <c r="A318" s="7">
        <v>80401.0</v>
      </c>
      <c r="B318" s="8" t="s">
        <v>44</v>
      </c>
      <c r="C318" s="8" t="s">
        <v>427</v>
      </c>
      <c r="D318" s="9" t="s">
        <v>428</v>
      </c>
      <c r="E318" s="10">
        <v>143.0</v>
      </c>
      <c r="F318" s="10">
        <v>147.0</v>
      </c>
      <c r="G318" s="10">
        <v>135.0</v>
      </c>
      <c r="H318" s="10">
        <v>202.0</v>
      </c>
      <c r="I318" s="10">
        <v>160.0</v>
      </c>
      <c r="J318" s="10">
        <v>188.0</v>
      </c>
      <c r="K318" s="11">
        <f t="shared" ref="K318:M318" si="626">+H318/E318</f>
        <v>1.412587413</v>
      </c>
      <c r="L318" s="11">
        <f t="shared" si="626"/>
        <v>1.088435374</v>
      </c>
      <c r="M318" s="11">
        <f t="shared" si="626"/>
        <v>1.392592593</v>
      </c>
      <c r="N318" s="11">
        <f t="shared" si="6"/>
        <v>1.297871793</v>
      </c>
      <c r="O318" s="10">
        <v>58.0</v>
      </c>
      <c r="P318" s="10">
        <v>57.0</v>
      </c>
      <c r="Q318" s="10">
        <v>48.0</v>
      </c>
      <c r="R318" s="10">
        <v>70.0</v>
      </c>
      <c r="S318" s="10">
        <v>86.0</v>
      </c>
      <c r="T318" s="10">
        <v>65.0</v>
      </c>
      <c r="U318" s="11">
        <f t="shared" ref="U318:W318" si="627">+R318/O318</f>
        <v>1.206896552</v>
      </c>
      <c r="V318" s="11">
        <f t="shared" si="627"/>
        <v>1.50877193</v>
      </c>
      <c r="W318" s="11">
        <f t="shared" si="627"/>
        <v>1.354166667</v>
      </c>
      <c r="X318" s="11">
        <f t="shared" si="565"/>
        <v>1.356611716</v>
      </c>
    </row>
    <row r="319" ht="15.75" customHeight="1">
      <c r="A319" s="7">
        <v>80402.0</v>
      </c>
      <c r="B319" s="8" t="s">
        <v>44</v>
      </c>
      <c r="C319" s="8" t="s">
        <v>427</v>
      </c>
      <c r="D319" s="9" t="s">
        <v>429</v>
      </c>
      <c r="E319" s="10">
        <v>45.0</v>
      </c>
      <c r="F319" s="10">
        <v>36.0</v>
      </c>
      <c r="G319" s="10">
        <v>32.0</v>
      </c>
      <c r="H319" s="10">
        <v>64.0</v>
      </c>
      <c r="I319" s="10">
        <v>49.0</v>
      </c>
      <c r="J319" s="10">
        <v>43.0</v>
      </c>
      <c r="K319" s="11">
        <f t="shared" ref="K319:M319" si="628">+H319/E319</f>
        <v>1.422222222</v>
      </c>
      <c r="L319" s="11">
        <f t="shared" si="628"/>
        <v>1.361111111</v>
      </c>
      <c r="M319" s="11">
        <f t="shared" si="628"/>
        <v>1.34375</v>
      </c>
      <c r="N319" s="11">
        <f t="shared" si="6"/>
        <v>1.375694444</v>
      </c>
      <c r="O319" s="10">
        <v>2.0</v>
      </c>
      <c r="P319" s="10">
        <v>13.0</v>
      </c>
      <c r="Q319" s="10">
        <v>14.0</v>
      </c>
      <c r="R319" s="10">
        <v>5.0</v>
      </c>
      <c r="S319" s="10">
        <v>22.0</v>
      </c>
      <c r="T319" s="10">
        <v>18.0</v>
      </c>
      <c r="U319" s="11">
        <f t="shared" ref="U319:W319" si="629">+R319/O319</f>
        <v>2.5</v>
      </c>
      <c r="V319" s="11">
        <f t="shared" si="629"/>
        <v>1.692307692</v>
      </c>
      <c r="W319" s="11">
        <f t="shared" si="629"/>
        <v>1.285714286</v>
      </c>
      <c r="X319" s="11">
        <f t="shared" si="565"/>
        <v>1.826007326</v>
      </c>
    </row>
    <row r="320" ht="15.75" customHeight="1">
      <c r="A320" s="7">
        <v>80501.0</v>
      </c>
      <c r="B320" s="8" t="s">
        <v>44</v>
      </c>
      <c r="C320" s="8" t="s">
        <v>430</v>
      </c>
      <c r="D320" s="9" t="s">
        <v>431</v>
      </c>
      <c r="E320" s="10">
        <v>145.0</v>
      </c>
      <c r="F320" s="10">
        <v>208.0</v>
      </c>
      <c r="G320" s="10">
        <v>151.0</v>
      </c>
      <c r="H320" s="10">
        <v>209.0</v>
      </c>
      <c r="I320" s="10">
        <v>217.0</v>
      </c>
      <c r="J320" s="10">
        <v>204.0</v>
      </c>
      <c r="K320" s="11">
        <f t="shared" ref="K320:M320" si="630">+H320/E320</f>
        <v>1.44137931</v>
      </c>
      <c r="L320" s="11">
        <f t="shared" si="630"/>
        <v>1.043269231</v>
      </c>
      <c r="M320" s="11">
        <f t="shared" si="630"/>
        <v>1.350993377</v>
      </c>
      <c r="N320" s="11">
        <f t="shared" si="6"/>
        <v>1.278547306</v>
      </c>
      <c r="O320" s="10">
        <v>65.0</v>
      </c>
      <c r="P320" s="10">
        <v>56.0</v>
      </c>
      <c r="Q320" s="10">
        <v>70.0</v>
      </c>
      <c r="R320" s="10">
        <v>82.0</v>
      </c>
      <c r="S320" s="10">
        <v>99.0</v>
      </c>
      <c r="T320" s="10">
        <v>98.0</v>
      </c>
      <c r="U320" s="11">
        <f t="shared" ref="U320:W320" si="631">+R320/O320</f>
        <v>1.261538462</v>
      </c>
      <c r="V320" s="11">
        <f t="shared" si="631"/>
        <v>1.767857143</v>
      </c>
      <c r="W320" s="11">
        <f t="shared" si="631"/>
        <v>1.4</v>
      </c>
      <c r="X320" s="11">
        <f t="shared" si="565"/>
        <v>1.476465201</v>
      </c>
    </row>
    <row r="321" ht="15.75" customHeight="1">
      <c r="A321" s="7">
        <v>80601.0</v>
      </c>
      <c r="B321" s="8" t="s">
        <v>44</v>
      </c>
      <c r="C321" s="8" t="s">
        <v>432</v>
      </c>
      <c r="D321" s="9" t="s">
        <v>433</v>
      </c>
      <c r="E321" s="10">
        <v>20.0</v>
      </c>
      <c r="F321" s="10">
        <v>12.0</v>
      </c>
      <c r="G321" s="10">
        <v>13.0</v>
      </c>
      <c r="H321" s="10">
        <v>31.0</v>
      </c>
      <c r="I321" s="10">
        <v>19.0</v>
      </c>
      <c r="J321" s="10">
        <v>34.0</v>
      </c>
      <c r="K321" s="11">
        <f t="shared" ref="K321:M321" si="632">+H321/E321</f>
        <v>1.55</v>
      </c>
      <c r="L321" s="11">
        <f t="shared" si="632"/>
        <v>1.583333333</v>
      </c>
      <c r="M321" s="11">
        <f t="shared" si="632"/>
        <v>2.615384615</v>
      </c>
      <c r="N321" s="11">
        <f t="shared" si="6"/>
        <v>1.916239316</v>
      </c>
      <c r="O321" s="10">
        <v>8.0</v>
      </c>
      <c r="P321" s="10">
        <v>5.0</v>
      </c>
      <c r="Q321" s="10">
        <v>10.0</v>
      </c>
      <c r="R321" s="10">
        <v>5.0</v>
      </c>
      <c r="S321" s="10">
        <v>7.0</v>
      </c>
      <c r="T321" s="10">
        <v>11.0</v>
      </c>
      <c r="U321" s="11">
        <f t="shared" ref="U321:W321" si="633">+R321/O321</f>
        <v>0.625</v>
      </c>
      <c r="V321" s="11">
        <f t="shared" si="633"/>
        <v>1.4</v>
      </c>
      <c r="W321" s="11">
        <f t="shared" si="633"/>
        <v>1.1</v>
      </c>
      <c r="X321" s="11">
        <f t="shared" si="565"/>
        <v>1.041666667</v>
      </c>
    </row>
    <row r="322" ht="15.75" customHeight="1">
      <c r="A322" s="7">
        <v>80602.0</v>
      </c>
      <c r="B322" s="8" t="s">
        <v>44</v>
      </c>
      <c r="C322" s="8" t="s">
        <v>432</v>
      </c>
      <c r="D322" s="9" t="s">
        <v>434</v>
      </c>
      <c r="E322" s="10">
        <v>65.0</v>
      </c>
      <c r="F322" s="10">
        <v>51.0</v>
      </c>
      <c r="G322" s="10">
        <v>71.0</v>
      </c>
      <c r="H322" s="10">
        <v>102.0</v>
      </c>
      <c r="I322" s="10">
        <v>68.0</v>
      </c>
      <c r="J322" s="10">
        <v>82.0</v>
      </c>
      <c r="K322" s="11">
        <f t="shared" ref="K322:M322" si="634">+H322/E322</f>
        <v>1.569230769</v>
      </c>
      <c r="L322" s="11">
        <f t="shared" si="634"/>
        <v>1.333333333</v>
      </c>
      <c r="M322" s="11">
        <f t="shared" si="634"/>
        <v>1.154929577</v>
      </c>
      <c r="N322" s="11">
        <f t="shared" si="6"/>
        <v>1.352497893</v>
      </c>
      <c r="O322" s="10">
        <v>29.0</v>
      </c>
      <c r="P322" s="10">
        <v>29.0</v>
      </c>
      <c r="Q322" s="10">
        <v>44.0</v>
      </c>
      <c r="R322" s="10">
        <v>39.0</v>
      </c>
      <c r="S322" s="10">
        <v>71.0</v>
      </c>
      <c r="T322" s="10">
        <v>66.0</v>
      </c>
      <c r="U322" s="11">
        <f t="shared" ref="U322:W322" si="635">+R322/O322</f>
        <v>1.344827586</v>
      </c>
      <c r="V322" s="11">
        <f t="shared" si="635"/>
        <v>2.448275862</v>
      </c>
      <c r="W322" s="11">
        <f t="shared" si="635"/>
        <v>1.5</v>
      </c>
      <c r="X322" s="11">
        <f t="shared" si="565"/>
        <v>1.764367816</v>
      </c>
    </row>
    <row r="323" ht="15.75" customHeight="1">
      <c r="A323" s="7">
        <v>80701.0</v>
      </c>
      <c r="B323" s="8" t="s">
        <v>44</v>
      </c>
      <c r="C323" s="8" t="s">
        <v>435</v>
      </c>
      <c r="D323" s="9" t="s">
        <v>436</v>
      </c>
      <c r="E323" s="10">
        <v>30.0</v>
      </c>
      <c r="F323" s="10">
        <v>40.0</v>
      </c>
      <c r="G323" s="10">
        <v>38.0</v>
      </c>
      <c r="H323" s="10">
        <v>56.0</v>
      </c>
      <c r="I323" s="10">
        <v>61.0</v>
      </c>
      <c r="J323" s="10">
        <v>36.0</v>
      </c>
      <c r="K323" s="11">
        <f t="shared" ref="K323:M323" si="636">+H323/E323</f>
        <v>1.866666667</v>
      </c>
      <c r="L323" s="11">
        <f t="shared" si="636"/>
        <v>1.525</v>
      </c>
      <c r="M323" s="11">
        <f t="shared" si="636"/>
        <v>0.9473684211</v>
      </c>
      <c r="N323" s="11">
        <f t="shared" si="6"/>
        <v>1.446345029</v>
      </c>
      <c r="O323" s="10">
        <v>23.0</v>
      </c>
      <c r="P323" s="10">
        <v>9.0</v>
      </c>
      <c r="Q323" s="10">
        <v>14.0</v>
      </c>
      <c r="R323" s="10">
        <v>16.0</v>
      </c>
      <c r="S323" s="10">
        <v>14.0</v>
      </c>
      <c r="T323" s="10">
        <v>16.0</v>
      </c>
      <c r="U323" s="11">
        <f t="shared" ref="U323:W323" si="637">+R323/O323</f>
        <v>0.6956521739</v>
      </c>
      <c r="V323" s="11">
        <f t="shared" si="637"/>
        <v>1.555555556</v>
      </c>
      <c r="W323" s="11">
        <f t="shared" si="637"/>
        <v>1.142857143</v>
      </c>
      <c r="X323" s="11">
        <f t="shared" si="565"/>
        <v>1.131354957</v>
      </c>
    </row>
    <row r="324" ht="15.75" customHeight="1">
      <c r="A324" s="7">
        <v>80702.0</v>
      </c>
      <c r="B324" s="8" t="s">
        <v>44</v>
      </c>
      <c r="C324" s="8" t="s">
        <v>435</v>
      </c>
      <c r="D324" s="9" t="s">
        <v>402</v>
      </c>
      <c r="E324" s="10">
        <v>16.0</v>
      </c>
      <c r="F324" s="10">
        <v>34.0</v>
      </c>
      <c r="G324" s="10">
        <v>17.0</v>
      </c>
      <c r="H324" s="10">
        <v>19.0</v>
      </c>
      <c r="I324" s="10">
        <v>35.0</v>
      </c>
      <c r="J324" s="10">
        <v>18.0</v>
      </c>
      <c r="K324" s="11">
        <f t="shared" ref="K324:M324" si="638">+H324/E324</f>
        <v>1.1875</v>
      </c>
      <c r="L324" s="11">
        <f t="shared" si="638"/>
        <v>1.029411765</v>
      </c>
      <c r="M324" s="11">
        <f t="shared" si="638"/>
        <v>1.058823529</v>
      </c>
      <c r="N324" s="11">
        <f t="shared" si="6"/>
        <v>1.091911765</v>
      </c>
      <c r="O324" s="10">
        <v>9.0</v>
      </c>
      <c r="P324" s="10">
        <v>10.0</v>
      </c>
      <c r="Q324" s="10">
        <v>13.0</v>
      </c>
      <c r="R324" s="10">
        <v>8.0</v>
      </c>
      <c r="S324" s="10">
        <v>9.0</v>
      </c>
      <c r="T324" s="10">
        <v>7.0</v>
      </c>
      <c r="U324" s="11">
        <f t="shared" ref="U324:W324" si="639">+R324/O324</f>
        <v>0.8888888889</v>
      </c>
      <c r="V324" s="11">
        <f t="shared" si="639"/>
        <v>0.9</v>
      </c>
      <c r="W324" s="11">
        <f t="shared" si="639"/>
        <v>0.5384615385</v>
      </c>
      <c r="X324" s="11">
        <f t="shared" si="565"/>
        <v>0.7757834758</v>
      </c>
    </row>
    <row r="325" ht="15.75" customHeight="1">
      <c r="A325" s="7">
        <v>80703.0</v>
      </c>
      <c r="B325" s="8" t="s">
        <v>44</v>
      </c>
      <c r="C325" s="8" t="s">
        <v>435</v>
      </c>
      <c r="D325" s="9" t="s">
        <v>437</v>
      </c>
      <c r="E325" s="10">
        <v>5.0</v>
      </c>
      <c r="F325" s="10">
        <v>4.0</v>
      </c>
      <c r="G325" s="10">
        <v>5.0</v>
      </c>
      <c r="H325" s="10">
        <v>3.0</v>
      </c>
      <c r="I325" s="10">
        <v>13.0</v>
      </c>
      <c r="J325" s="10">
        <v>5.0</v>
      </c>
      <c r="K325" s="11">
        <f t="shared" ref="K325:M325" si="640">+H325/E325</f>
        <v>0.6</v>
      </c>
      <c r="L325" s="11">
        <f t="shared" si="640"/>
        <v>3.25</v>
      </c>
      <c r="M325" s="11">
        <f t="shared" si="640"/>
        <v>1</v>
      </c>
      <c r="N325" s="11">
        <f t="shared" si="6"/>
        <v>1.616666667</v>
      </c>
      <c r="O325" s="10">
        <v>0.0</v>
      </c>
      <c r="P325" s="10">
        <v>7.0</v>
      </c>
      <c r="Q325" s="10">
        <v>5.0</v>
      </c>
      <c r="R325" s="10">
        <v>6.0</v>
      </c>
      <c r="S325" s="10">
        <v>5.0</v>
      </c>
      <c r="T325" s="10">
        <v>5.0</v>
      </c>
      <c r="U325" s="11"/>
      <c r="V325" s="11">
        <f t="shared" ref="V325:W325" si="641">+S325/P325</f>
        <v>0.7142857143</v>
      </c>
      <c r="W325" s="11">
        <f t="shared" si="641"/>
        <v>1</v>
      </c>
      <c r="X325" s="11">
        <f t="shared" si="565"/>
        <v>0.8571428571</v>
      </c>
    </row>
    <row r="326" ht="15.75" customHeight="1">
      <c r="A326" s="7">
        <v>80801.0</v>
      </c>
      <c r="B326" s="8" t="s">
        <v>44</v>
      </c>
      <c r="C326" s="8" t="s">
        <v>438</v>
      </c>
      <c r="D326" s="9" t="s">
        <v>439</v>
      </c>
      <c r="E326" s="10">
        <v>54.0</v>
      </c>
      <c r="F326" s="10">
        <v>71.0</v>
      </c>
      <c r="G326" s="10">
        <v>49.0</v>
      </c>
      <c r="H326" s="10">
        <v>93.0</v>
      </c>
      <c r="I326" s="10">
        <v>76.0</v>
      </c>
      <c r="J326" s="10">
        <v>78.0</v>
      </c>
      <c r="K326" s="11">
        <f t="shared" ref="K326:M326" si="642">+H326/E326</f>
        <v>1.722222222</v>
      </c>
      <c r="L326" s="11">
        <f t="shared" si="642"/>
        <v>1.070422535</v>
      </c>
      <c r="M326" s="11">
        <f t="shared" si="642"/>
        <v>1.591836735</v>
      </c>
      <c r="N326" s="11">
        <f t="shared" si="6"/>
        <v>1.461493831</v>
      </c>
      <c r="O326" s="10">
        <v>37.0</v>
      </c>
      <c r="P326" s="10">
        <v>39.0</v>
      </c>
      <c r="Q326" s="10">
        <v>38.0</v>
      </c>
      <c r="R326" s="10">
        <v>44.0</v>
      </c>
      <c r="S326" s="10">
        <v>31.0</v>
      </c>
      <c r="T326" s="10">
        <v>47.0</v>
      </c>
      <c r="U326" s="11">
        <f t="shared" ref="U326:W326" si="643">+R326/O326</f>
        <v>1.189189189</v>
      </c>
      <c r="V326" s="11">
        <f t="shared" si="643"/>
        <v>0.7948717949</v>
      </c>
      <c r="W326" s="11">
        <f t="shared" si="643"/>
        <v>1.236842105</v>
      </c>
      <c r="X326" s="11">
        <f t="shared" si="565"/>
        <v>1.073634363</v>
      </c>
    </row>
    <row r="327" ht="15.75" customHeight="1">
      <c r="A327" s="7">
        <v>80802.0</v>
      </c>
      <c r="B327" s="8" t="s">
        <v>44</v>
      </c>
      <c r="C327" s="8" t="s">
        <v>438</v>
      </c>
      <c r="D327" s="9" t="s">
        <v>440</v>
      </c>
      <c r="E327" s="10">
        <v>11.0</v>
      </c>
      <c r="F327" s="10">
        <v>17.0</v>
      </c>
      <c r="G327" s="10">
        <v>14.0</v>
      </c>
      <c r="H327" s="10">
        <v>13.0</v>
      </c>
      <c r="I327" s="10">
        <v>24.0</v>
      </c>
      <c r="J327" s="10">
        <v>10.0</v>
      </c>
      <c r="K327" s="11">
        <f t="shared" ref="K327:M327" si="644">+H327/E327</f>
        <v>1.181818182</v>
      </c>
      <c r="L327" s="11">
        <f t="shared" si="644"/>
        <v>1.411764706</v>
      </c>
      <c r="M327" s="11">
        <f t="shared" si="644"/>
        <v>0.7142857143</v>
      </c>
      <c r="N327" s="11">
        <f t="shared" si="6"/>
        <v>1.102622867</v>
      </c>
      <c r="O327" s="10">
        <v>6.0</v>
      </c>
      <c r="P327" s="10">
        <v>15.0</v>
      </c>
      <c r="Q327" s="10">
        <v>8.0</v>
      </c>
      <c r="R327" s="10">
        <v>8.0</v>
      </c>
      <c r="S327" s="10">
        <v>17.0</v>
      </c>
      <c r="T327" s="10">
        <v>20.0</v>
      </c>
      <c r="U327" s="11">
        <f t="shared" ref="U327:W327" si="645">+R327/O327</f>
        <v>1.333333333</v>
      </c>
      <c r="V327" s="11">
        <f t="shared" si="645"/>
        <v>1.133333333</v>
      </c>
      <c r="W327" s="11">
        <f t="shared" si="645"/>
        <v>2.5</v>
      </c>
      <c r="X327" s="11">
        <f t="shared" si="565"/>
        <v>1.655555556</v>
      </c>
    </row>
    <row r="328" ht="15.75" customHeight="1">
      <c r="A328" s="7">
        <v>80803.0</v>
      </c>
      <c r="B328" s="8" t="s">
        <v>44</v>
      </c>
      <c r="C328" s="8" t="s">
        <v>438</v>
      </c>
      <c r="D328" s="9" t="s">
        <v>441</v>
      </c>
      <c r="E328" s="10">
        <v>13.0</v>
      </c>
      <c r="F328" s="10">
        <v>20.0</v>
      </c>
      <c r="G328" s="10">
        <v>16.0</v>
      </c>
      <c r="H328" s="10">
        <v>12.0</v>
      </c>
      <c r="I328" s="10">
        <v>18.0</v>
      </c>
      <c r="J328" s="10">
        <v>23.0</v>
      </c>
      <c r="K328" s="11">
        <f t="shared" ref="K328:M328" si="646">+H328/E328</f>
        <v>0.9230769231</v>
      </c>
      <c r="L328" s="11">
        <f t="shared" si="646"/>
        <v>0.9</v>
      </c>
      <c r="M328" s="11">
        <f t="shared" si="646"/>
        <v>1.4375</v>
      </c>
      <c r="N328" s="11">
        <f t="shared" si="6"/>
        <v>1.086858974</v>
      </c>
      <c r="O328" s="10">
        <v>5.0</v>
      </c>
      <c r="P328" s="10">
        <v>5.0</v>
      </c>
      <c r="Q328" s="10">
        <v>6.0</v>
      </c>
      <c r="R328" s="10">
        <v>9.0</v>
      </c>
      <c r="S328" s="10">
        <v>3.0</v>
      </c>
      <c r="T328" s="10">
        <v>10.0</v>
      </c>
      <c r="U328" s="11">
        <f t="shared" ref="U328:W328" si="647">+R328/O328</f>
        <v>1.8</v>
      </c>
      <c r="V328" s="11">
        <f t="shared" si="647"/>
        <v>0.6</v>
      </c>
      <c r="W328" s="11">
        <f t="shared" si="647"/>
        <v>1.666666667</v>
      </c>
      <c r="X328" s="11">
        <f t="shared" si="565"/>
        <v>1.355555556</v>
      </c>
    </row>
    <row r="329" ht="15.75" customHeight="1">
      <c r="A329" s="7">
        <v>80804.0</v>
      </c>
      <c r="B329" s="8" t="s">
        <v>44</v>
      </c>
      <c r="C329" s="8"/>
      <c r="D329" s="9" t="s">
        <v>442</v>
      </c>
      <c r="E329" s="10">
        <v>144.0</v>
      </c>
      <c r="F329" s="10">
        <v>177.5</v>
      </c>
      <c r="G329" s="10">
        <v>143.0</v>
      </c>
      <c r="H329" s="10">
        <v>205.5</v>
      </c>
      <c r="I329" s="10">
        <v>188.5</v>
      </c>
      <c r="J329" s="10">
        <v>196.0</v>
      </c>
      <c r="K329" s="11">
        <f t="shared" ref="K329:M329" si="648">+H329/E329</f>
        <v>1.427083333</v>
      </c>
      <c r="L329" s="11">
        <f t="shared" si="648"/>
        <v>1.061971831</v>
      </c>
      <c r="M329" s="11">
        <f t="shared" si="648"/>
        <v>1.370629371</v>
      </c>
      <c r="N329" s="11">
        <f t="shared" si="6"/>
        <v>1.286561512</v>
      </c>
      <c r="O329" s="10">
        <v>61.5</v>
      </c>
      <c r="P329" s="10">
        <v>56.5</v>
      </c>
      <c r="Q329" s="10"/>
      <c r="R329" s="10">
        <v>76.0</v>
      </c>
      <c r="S329" s="10">
        <v>92.5</v>
      </c>
      <c r="T329" s="10"/>
      <c r="U329" s="11">
        <f t="shared" ref="U329:V329" si="649">+R329/O329</f>
        <v>1.235772358</v>
      </c>
      <c r="V329" s="11">
        <f t="shared" si="649"/>
        <v>1.637168142</v>
      </c>
      <c r="W329" s="11"/>
      <c r="X329" s="11">
        <f t="shared" si="565"/>
        <v>1.43647025</v>
      </c>
    </row>
    <row r="330" ht="15.75" customHeight="1">
      <c r="A330" s="7">
        <v>90101.0</v>
      </c>
      <c r="B330" s="8" t="s">
        <v>46</v>
      </c>
      <c r="C330" s="8" t="s">
        <v>443</v>
      </c>
      <c r="D330" s="9" t="s">
        <v>444</v>
      </c>
      <c r="E330" s="10">
        <v>220.0</v>
      </c>
      <c r="F330" s="10">
        <v>209.0</v>
      </c>
      <c r="G330" s="10">
        <v>217.0</v>
      </c>
      <c r="H330" s="10">
        <v>301.0</v>
      </c>
      <c r="I330" s="10">
        <v>310.0</v>
      </c>
      <c r="J330" s="10">
        <v>298.0</v>
      </c>
      <c r="K330" s="11">
        <f t="shared" ref="K330:M330" si="650">+H330/E330</f>
        <v>1.368181818</v>
      </c>
      <c r="L330" s="11">
        <f t="shared" si="650"/>
        <v>1.483253589</v>
      </c>
      <c r="M330" s="11">
        <f t="shared" si="650"/>
        <v>1.373271889</v>
      </c>
      <c r="N330" s="11">
        <f t="shared" si="6"/>
        <v>1.408235765</v>
      </c>
      <c r="O330" s="10">
        <v>117.0</v>
      </c>
      <c r="P330" s="10">
        <v>108.0</v>
      </c>
      <c r="Q330" s="10">
        <v>147.0</v>
      </c>
      <c r="R330" s="10">
        <v>121.0</v>
      </c>
      <c r="S330" s="10">
        <v>151.0</v>
      </c>
      <c r="T330" s="10">
        <v>177.0</v>
      </c>
      <c r="U330" s="11">
        <f t="shared" ref="U330:W330" si="651">+R330/O330</f>
        <v>1.034188034</v>
      </c>
      <c r="V330" s="11">
        <f t="shared" si="651"/>
        <v>1.398148148</v>
      </c>
      <c r="W330" s="11">
        <f t="shared" si="651"/>
        <v>1.204081633</v>
      </c>
      <c r="X330" s="11">
        <f t="shared" si="565"/>
        <v>1.212139272</v>
      </c>
    </row>
    <row r="331" ht="15.75" customHeight="1">
      <c r="A331" s="7">
        <v>90102.0</v>
      </c>
      <c r="B331" s="8" t="s">
        <v>46</v>
      </c>
      <c r="C331" s="8" t="s">
        <v>443</v>
      </c>
      <c r="D331" s="9" t="s">
        <v>445</v>
      </c>
      <c r="E331" s="10">
        <v>18.0</v>
      </c>
      <c r="F331" s="10">
        <v>26.0</v>
      </c>
      <c r="G331" s="10">
        <v>23.0</v>
      </c>
      <c r="H331" s="10">
        <v>51.0</v>
      </c>
      <c r="I331" s="10">
        <v>33.0</v>
      </c>
      <c r="J331" s="10">
        <v>39.0</v>
      </c>
      <c r="K331" s="11">
        <f t="shared" ref="K331:M331" si="652">+H331/E331</f>
        <v>2.833333333</v>
      </c>
      <c r="L331" s="11">
        <f t="shared" si="652"/>
        <v>1.269230769</v>
      </c>
      <c r="M331" s="11">
        <f t="shared" si="652"/>
        <v>1.695652174</v>
      </c>
      <c r="N331" s="11">
        <f t="shared" si="6"/>
        <v>1.932738759</v>
      </c>
      <c r="O331" s="10">
        <v>10.0</v>
      </c>
      <c r="P331" s="10">
        <v>10.0</v>
      </c>
      <c r="Q331" s="10">
        <v>18.0</v>
      </c>
      <c r="R331" s="10">
        <v>17.0</v>
      </c>
      <c r="S331" s="10">
        <v>19.0</v>
      </c>
      <c r="T331" s="10">
        <v>16.0</v>
      </c>
      <c r="U331" s="11">
        <f t="shared" ref="U331:W331" si="653">+R331/O331</f>
        <v>1.7</v>
      </c>
      <c r="V331" s="11">
        <f t="shared" si="653"/>
        <v>1.9</v>
      </c>
      <c r="W331" s="11">
        <f t="shared" si="653"/>
        <v>0.8888888889</v>
      </c>
      <c r="X331" s="11">
        <f t="shared" si="565"/>
        <v>1.496296296</v>
      </c>
    </row>
    <row r="332" ht="15.75" customHeight="1">
      <c r="A332" s="7">
        <v>90103.0</v>
      </c>
      <c r="B332" s="8" t="s">
        <v>46</v>
      </c>
      <c r="C332" s="8" t="s">
        <v>443</v>
      </c>
      <c r="D332" s="9" t="s">
        <v>446</v>
      </c>
      <c r="E332" s="10">
        <v>25.0</v>
      </c>
      <c r="F332" s="10">
        <v>20.0</v>
      </c>
      <c r="G332" s="10">
        <v>13.0</v>
      </c>
      <c r="H332" s="10">
        <v>45.0</v>
      </c>
      <c r="I332" s="10">
        <v>30.0</v>
      </c>
      <c r="J332" s="10">
        <v>20.0</v>
      </c>
      <c r="K332" s="11">
        <f t="shared" ref="K332:M332" si="654">+H332/E332</f>
        <v>1.8</v>
      </c>
      <c r="L332" s="11">
        <f t="shared" si="654"/>
        <v>1.5</v>
      </c>
      <c r="M332" s="11">
        <f t="shared" si="654"/>
        <v>1.538461538</v>
      </c>
      <c r="N332" s="11">
        <f t="shared" si="6"/>
        <v>1.612820513</v>
      </c>
      <c r="O332" s="10">
        <v>6.0</v>
      </c>
      <c r="P332" s="10">
        <v>4.0</v>
      </c>
      <c r="Q332" s="10">
        <v>11.0</v>
      </c>
      <c r="R332" s="10">
        <v>20.0</v>
      </c>
      <c r="S332" s="10">
        <v>9.0</v>
      </c>
      <c r="T332" s="10">
        <v>14.0</v>
      </c>
      <c r="U332" s="11">
        <f t="shared" ref="U332:W332" si="655">+R332/O332</f>
        <v>3.333333333</v>
      </c>
      <c r="V332" s="11">
        <f t="shared" si="655"/>
        <v>2.25</v>
      </c>
      <c r="W332" s="11">
        <f t="shared" si="655"/>
        <v>1.272727273</v>
      </c>
      <c r="X332" s="11">
        <f t="shared" si="565"/>
        <v>2.285353535</v>
      </c>
    </row>
    <row r="333" ht="15.75" customHeight="1">
      <c r="A333" s="7">
        <v>90104.0</v>
      </c>
      <c r="B333" s="8" t="s">
        <v>46</v>
      </c>
      <c r="C333" s="8" t="s">
        <v>443</v>
      </c>
      <c r="D333" s="9" t="s">
        <v>447</v>
      </c>
      <c r="E333" s="10">
        <v>18.0</v>
      </c>
      <c r="F333" s="10">
        <v>32.0</v>
      </c>
      <c r="G333" s="10">
        <v>23.0</v>
      </c>
      <c r="H333" s="10">
        <v>34.0</v>
      </c>
      <c r="I333" s="10">
        <v>40.0</v>
      </c>
      <c r="J333" s="10">
        <v>27.0</v>
      </c>
      <c r="K333" s="11">
        <f t="shared" ref="K333:M333" si="656">+H333/E333</f>
        <v>1.888888889</v>
      </c>
      <c r="L333" s="11">
        <f t="shared" si="656"/>
        <v>1.25</v>
      </c>
      <c r="M333" s="11">
        <f t="shared" si="656"/>
        <v>1.173913043</v>
      </c>
      <c r="N333" s="11">
        <f t="shared" si="6"/>
        <v>1.437600644</v>
      </c>
      <c r="O333" s="10">
        <v>9.0</v>
      </c>
      <c r="P333" s="10">
        <v>18.0</v>
      </c>
      <c r="Q333" s="10">
        <v>16.0</v>
      </c>
      <c r="R333" s="10">
        <v>36.0</v>
      </c>
      <c r="S333" s="10">
        <v>20.0</v>
      </c>
      <c r="T333" s="10">
        <v>28.0</v>
      </c>
      <c r="U333" s="11">
        <f t="shared" ref="U333:W333" si="657">+R333/O333</f>
        <v>4</v>
      </c>
      <c r="V333" s="11">
        <f t="shared" si="657"/>
        <v>1.111111111</v>
      </c>
      <c r="W333" s="11">
        <f t="shared" si="657"/>
        <v>1.75</v>
      </c>
      <c r="X333" s="11">
        <f t="shared" si="565"/>
        <v>2.287037037</v>
      </c>
    </row>
    <row r="334" ht="15.75" customHeight="1">
      <c r="A334" s="7">
        <v>90201.0</v>
      </c>
      <c r="B334" s="8" t="s">
        <v>46</v>
      </c>
      <c r="C334" s="8" t="s">
        <v>448</v>
      </c>
      <c r="D334" s="9" t="s">
        <v>449</v>
      </c>
      <c r="E334" s="10">
        <v>44.0</v>
      </c>
      <c r="F334" s="10">
        <v>73.0</v>
      </c>
      <c r="G334" s="10">
        <v>54.0</v>
      </c>
      <c r="H334" s="10">
        <v>51.0</v>
      </c>
      <c r="I334" s="10">
        <v>94.0</v>
      </c>
      <c r="J334" s="10">
        <v>85.0</v>
      </c>
      <c r="K334" s="11">
        <f t="shared" ref="K334:M334" si="658">+H334/E334</f>
        <v>1.159090909</v>
      </c>
      <c r="L334" s="11">
        <f t="shared" si="658"/>
        <v>1.287671233</v>
      </c>
      <c r="M334" s="11">
        <f t="shared" si="658"/>
        <v>1.574074074</v>
      </c>
      <c r="N334" s="11">
        <f t="shared" si="6"/>
        <v>1.340278739</v>
      </c>
      <c r="O334" s="10">
        <v>20.0</v>
      </c>
      <c r="P334" s="10">
        <v>27.0</v>
      </c>
      <c r="Q334" s="10">
        <v>20.0</v>
      </c>
      <c r="R334" s="10">
        <v>44.0</v>
      </c>
      <c r="S334" s="10">
        <v>30.0</v>
      </c>
      <c r="T334" s="10">
        <v>28.0</v>
      </c>
      <c r="U334" s="11">
        <f t="shared" ref="U334:W334" si="659">+R334/O334</f>
        <v>2.2</v>
      </c>
      <c r="V334" s="11">
        <f t="shared" si="659"/>
        <v>1.111111111</v>
      </c>
      <c r="W334" s="11">
        <f t="shared" si="659"/>
        <v>1.4</v>
      </c>
      <c r="X334" s="11">
        <f t="shared" si="565"/>
        <v>1.57037037</v>
      </c>
    </row>
    <row r="335" ht="15.75" customHeight="1">
      <c r="A335" s="7">
        <v>90202.0</v>
      </c>
      <c r="B335" s="8" t="s">
        <v>46</v>
      </c>
      <c r="C335" s="8" t="s">
        <v>448</v>
      </c>
      <c r="D335" s="9" t="s">
        <v>398</v>
      </c>
      <c r="E335" s="10">
        <v>5.0</v>
      </c>
      <c r="F335" s="10">
        <v>8.0</v>
      </c>
      <c r="G335" s="10">
        <v>2.0</v>
      </c>
      <c r="H335" s="10">
        <v>5.0</v>
      </c>
      <c r="I335" s="10">
        <v>11.0</v>
      </c>
      <c r="J335" s="10">
        <v>8.0</v>
      </c>
      <c r="K335" s="11">
        <f t="shared" ref="K335:M335" si="660">+H335/E335</f>
        <v>1</v>
      </c>
      <c r="L335" s="11">
        <f t="shared" si="660"/>
        <v>1.375</v>
      </c>
      <c r="M335" s="11">
        <f t="shared" si="660"/>
        <v>4</v>
      </c>
      <c r="N335" s="11">
        <f t="shared" si="6"/>
        <v>2.125</v>
      </c>
      <c r="O335" s="10">
        <v>7.0</v>
      </c>
      <c r="P335" s="10">
        <v>6.0</v>
      </c>
      <c r="Q335" s="10">
        <v>7.0</v>
      </c>
      <c r="R335" s="10">
        <v>11.0</v>
      </c>
      <c r="S335" s="10">
        <v>14.0</v>
      </c>
      <c r="T335" s="10">
        <v>9.0</v>
      </c>
      <c r="U335" s="11">
        <f t="shared" ref="U335:W335" si="661">+R335/O335</f>
        <v>1.571428571</v>
      </c>
      <c r="V335" s="11">
        <f t="shared" si="661"/>
        <v>2.333333333</v>
      </c>
      <c r="W335" s="11">
        <f t="shared" si="661"/>
        <v>1.285714286</v>
      </c>
      <c r="X335" s="11">
        <f t="shared" si="565"/>
        <v>1.73015873</v>
      </c>
    </row>
    <row r="336" ht="15.75" customHeight="1">
      <c r="A336" s="7">
        <v>90203.0</v>
      </c>
      <c r="B336" s="8" t="s">
        <v>46</v>
      </c>
      <c r="C336" s="8" t="s">
        <v>448</v>
      </c>
      <c r="D336" s="9" t="s">
        <v>450</v>
      </c>
      <c r="E336" s="10">
        <v>29.0</v>
      </c>
      <c r="F336" s="10">
        <v>20.0</v>
      </c>
      <c r="G336" s="10">
        <v>42.0</v>
      </c>
      <c r="H336" s="10">
        <v>43.0</v>
      </c>
      <c r="I336" s="10">
        <v>67.0</v>
      </c>
      <c r="J336" s="10">
        <v>59.0</v>
      </c>
      <c r="K336" s="11">
        <f t="shared" ref="K336:M336" si="662">+H336/E336</f>
        <v>1.482758621</v>
      </c>
      <c r="L336" s="11">
        <f t="shared" si="662"/>
        <v>3.35</v>
      </c>
      <c r="M336" s="11">
        <f t="shared" si="662"/>
        <v>1.404761905</v>
      </c>
      <c r="N336" s="11">
        <f t="shared" si="6"/>
        <v>2.079173508</v>
      </c>
      <c r="O336" s="10">
        <v>17.0</v>
      </c>
      <c r="P336" s="10">
        <v>20.0</v>
      </c>
      <c r="Q336" s="10">
        <v>23.0</v>
      </c>
      <c r="R336" s="10">
        <v>24.0</v>
      </c>
      <c r="S336" s="10">
        <v>26.0</v>
      </c>
      <c r="T336" s="10">
        <v>36.0</v>
      </c>
      <c r="U336" s="11">
        <f t="shared" ref="U336:W336" si="663">+R336/O336</f>
        <v>1.411764706</v>
      </c>
      <c r="V336" s="11">
        <f t="shared" si="663"/>
        <v>1.3</v>
      </c>
      <c r="W336" s="11">
        <f t="shared" si="663"/>
        <v>1.565217391</v>
      </c>
      <c r="X336" s="11">
        <f t="shared" si="565"/>
        <v>1.425660699</v>
      </c>
    </row>
    <row r="337" ht="15.75" customHeight="1">
      <c r="A337" s="7">
        <v>90301.0</v>
      </c>
      <c r="B337" s="8" t="s">
        <v>46</v>
      </c>
      <c r="C337" s="8" t="s">
        <v>451</v>
      </c>
      <c r="D337" s="9" t="s">
        <v>452</v>
      </c>
      <c r="E337" s="10">
        <v>37.0</v>
      </c>
      <c r="F337" s="10">
        <v>51.0</v>
      </c>
      <c r="G337" s="10">
        <v>32.0</v>
      </c>
      <c r="H337" s="10">
        <v>41.0</v>
      </c>
      <c r="I337" s="10">
        <v>57.0</v>
      </c>
      <c r="J337" s="10">
        <v>24.0</v>
      </c>
      <c r="K337" s="11">
        <f t="shared" ref="K337:M337" si="664">+H337/E337</f>
        <v>1.108108108</v>
      </c>
      <c r="L337" s="11">
        <f t="shared" si="664"/>
        <v>1.117647059</v>
      </c>
      <c r="M337" s="11">
        <f t="shared" si="664"/>
        <v>0.75</v>
      </c>
      <c r="N337" s="11">
        <f t="shared" si="6"/>
        <v>0.991918389</v>
      </c>
      <c r="O337" s="10">
        <v>17.0</v>
      </c>
      <c r="P337" s="10">
        <v>10.0</v>
      </c>
      <c r="Q337" s="10">
        <v>17.0</v>
      </c>
      <c r="R337" s="10">
        <v>19.0</v>
      </c>
      <c r="S337" s="10">
        <v>16.0</v>
      </c>
      <c r="T337" s="10">
        <v>18.0</v>
      </c>
      <c r="U337" s="11">
        <f t="shared" ref="U337:W337" si="665">+R337/O337</f>
        <v>1.117647059</v>
      </c>
      <c r="V337" s="11">
        <f t="shared" si="665"/>
        <v>1.6</v>
      </c>
      <c r="W337" s="11">
        <f t="shared" si="665"/>
        <v>1.058823529</v>
      </c>
      <c r="X337" s="11">
        <f t="shared" si="565"/>
        <v>1.258823529</v>
      </c>
    </row>
    <row r="338" ht="15.75" customHeight="1">
      <c r="A338" s="7">
        <v>90302.0</v>
      </c>
      <c r="B338" s="8" t="s">
        <v>46</v>
      </c>
      <c r="C338" s="8" t="s">
        <v>451</v>
      </c>
      <c r="D338" s="9" t="s">
        <v>453</v>
      </c>
      <c r="E338" s="10">
        <v>47.0</v>
      </c>
      <c r="F338" s="10">
        <v>48.0</v>
      </c>
      <c r="G338" s="10">
        <v>45.0</v>
      </c>
      <c r="H338" s="10">
        <v>68.0</v>
      </c>
      <c r="I338" s="10">
        <v>46.0</v>
      </c>
      <c r="J338" s="10">
        <v>55.0</v>
      </c>
      <c r="K338" s="11">
        <f t="shared" ref="K338:M338" si="666">+H338/E338</f>
        <v>1.446808511</v>
      </c>
      <c r="L338" s="11">
        <f t="shared" si="666"/>
        <v>0.9583333333</v>
      </c>
      <c r="M338" s="11">
        <f t="shared" si="666"/>
        <v>1.222222222</v>
      </c>
      <c r="N338" s="11">
        <f t="shared" si="6"/>
        <v>1.209121355</v>
      </c>
      <c r="O338" s="10">
        <v>33.0</v>
      </c>
      <c r="P338" s="10">
        <v>26.0</v>
      </c>
      <c r="Q338" s="10">
        <v>31.0</v>
      </c>
      <c r="R338" s="10">
        <v>41.0</v>
      </c>
      <c r="S338" s="10">
        <v>34.0</v>
      </c>
      <c r="T338" s="10">
        <v>33.0</v>
      </c>
      <c r="U338" s="11">
        <f t="shared" ref="U338:W338" si="667">+R338/O338</f>
        <v>1.242424242</v>
      </c>
      <c r="V338" s="11">
        <f t="shared" si="667"/>
        <v>1.307692308</v>
      </c>
      <c r="W338" s="11">
        <f t="shared" si="667"/>
        <v>1.064516129</v>
      </c>
      <c r="X338" s="11">
        <f t="shared" si="565"/>
        <v>1.20487756</v>
      </c>
    </row>
    <row r="339" ht="15.75" customHeight="1">
      <c r="A339" s="7">
        <v>90303.0</v>
      </c>
      <c r="B339" s="8" t="s">
        <v>46</v>
      </c>
      <c r="C339" s="8" t="s">
        <v>451</v>
      </c>
      <c r="D339" s="9" t="s">
        <v>454</v>
      </c>
      <c r="E339" s="10">
        <v>15.0</v>
      </c>
      <c r="F339" s="10">
        <v>22.0</v>
      </c>
      <c r="G339" s="10">
        <v>27.0</v>
      </c>
      <c r="H339" s="10">
        <v>11.0</v>
      </c>
      <c r="I339" s="10">
        <v>40.0</v>
      </c>
      <c r="J339" s="10">
        <v>28.0</v>
      </c>
      <c r="K339" s="11">
        <f t="shared" ref="K339:M339" si="668">+H339/E339</f>
        <v>0.7333333333</v>
      </c>
      <c r="L339" s="11">
        <f t="shared" si="668"/>
        <v>1.818181818</v>
      </c>
      <c r="M339" s="11">
        <f t="shared" si="668"/>
        <v>1.037037037</v>
      </c>
      <c r="N339" s="11">
        <f t="shared" si="6"/>
        <v>1.196184063</v>
      </c>
      <c r="O339" s="10">
        <v>34.0</v>
      </c>
      <c r="P339" s="10">
        <v>39.0</v>
      </c>
      <c r="Q339" s="10">
        <v>50.0</v>
      </c>
      <c r="R339" s="10">
        <v>22.0</v>
      </c>
      <c r="S339" s="10">
        <v>53.0</v>
      </c>
      <c r="T339" s="10">
        <v>58.0</v>
      </c>
      <c r="U339" s="11">
        <f t="shared" ref="U339:W339" si="669">+R339/O339</f>
        <v>0.6470588235</v>
      </c>
      <c r="V339" s="11">
        <f t="shared" si="669"/>
        <v>1.358974359</v>
      </c>
      <c r="W339" s="11">
        <f t="shared" si="669"/>
        <v>1.16</v>
      </c>
      <c r="X339" s="11">
        <f t="shared" si="565"/>
        <v>1.055344394</v>
      </c>
    </row>
    <row r="340" ht="15.75" customHeight="1">
      <c r="A340" s="7">
        <v>90401.0</v>
      </c>
      <c r="B340" s="8" t="s">
        <v>46</v>
      </c>
      <c r="C340" s="8" t="s">
        <v>455</v>
      </c>
      <c r="D340" s="9" t="s">
        <v>456</v>
      </c>
      <c r="E340" s="10">
        <v>9.0</v>
      </c>
      <c r="F340" s="10">
        <v>15.0</v>
      </c>
      <c r="G340" s="10">
        <v>21.0</v>
      </c>
      <c r="H340" s="10">
        <v>8.0</v>
      </c>
      <c r="I340" s="10">
        <v>23.0</v>
      </c>
      <c r="J340" s="10">
        <v>23.0</v>
      </c>
      <c r="K340" s="11">
        <f t="shared" ref="K340:M340" si="670">+H340/E340</f>
        <v>0.8888888889</v>
      </c>
      <c r="L340" s="11">
        <f t="shared" si="670"/>
        <v>1.533333333</v>
      </c>
      <c r="M340" s="11">
        <f t="shared" si="670"/>
        <v>1.095238095</v>
      </c>
      <c r="N340" s="11">
        <f t="shared" si="6"/>
        <v>1.172486772</v>
      </c>
      <c r="O340" s="10">
        <v>6.0</v>
      </c>
      <c r="P340" s="10">
        <v>13.0</v>
      </c>
      <c r="Q340" s="10">
        <v>2.0</v>
      </c>
      <c r="R340" s="10">
        <v>16.0</v>
      </c>
      <c r="S340" s="10">
        <v>16.0</v>
      </c>
      <c r="T340" s="10">
        <v>8.0</v>
      </c>
      <c r="U340" s="11">
        <f t="shared" ref="U340:W340" si="671">+R340/O340</f>
        <v>2.666666667</v>
      </c>
      <c r="V340" s="11">
        <f t="shared" si="671"/>
        <v>1.230769231</v>
      </c>
      <c r="W340" s="11">
        <f t="shared" si="671"/>
        <v>4</v>
      </c>
      <c r="X340" s="11">
        <f t="shared" si="565"/>
        <v>2.632478632</v>
      </c>
    </row>
    <row r="341" ht="15.75" customHeight="1">
      <c r="A341" s="7">
        <v>90402.0</v>
      </c>
      <c r="B341" s="8" t="s">
        <v>46</v>
      </c>
      <c r="C341" s="8" t="s">
        <v>455</v>
      </c>
      <c r="D341" s="9" t="s">
        <v>118</v>
      </c>
      <c r="E341" s="10">
        <v>0.0</v>
      </c>
      <c r="F341" s="10">
        <v>11.0</v>
      </c>
      <c r="G341" s="10">
        <v>6.0</v>
      </c>
      <c r="H341" s="10">
        <v>0.0</v>
      </c>
      <c r="I341" s="10">
        <v>17.0</v>
      </c>
      <c r="J341" s="10">
        <v>3.0</v>
      </c>
      <c r="K341" s="11"/>
      <c r="L341" s="11">
        <f t="shared" ref="L341:M341" si="672">+I341/F341</f>
        <v>1.545454545</v>
      </c>
      <c r="M341" s="11">
        <f t="shared" si="672"/>
        <v>0.5</v>
      </c>
      <c r="N341" s="11">
        <f t="shared" si="6"/>
        <v>1.022727273</v>
      </c>
      <c r="O341" s="10">
        <v>23.0</v>
      </c>
      <c r="P341" s="10">
        <v>16.0</v>
      </c>
      <c r="Q341" s="10">
        <v>27.0</v>
      </c>
      <c r="R341" s="10">
        <v>28.0</v>
      </c>
      <c r="S341" s="10">
        <v>23.0</v>
      </c>
      <c r="T341" s="10">
        <v>14.0</v>
      </c>
      <c r="U341" s="11">
        <f t="shared" ref="U341:W341" si="673">+R341/O341</f>
        <v>1.217391304</v>
      </c>
      <c r="V341" s="11">
        <f t="shared" si="673"/>
        <v>1.4375</v>
      </c>
      <c r="W341" s="11">
        <f t="shared" si="673"/>
        <v>0.5185185185</v>
      </c>
      <c r="X341" s="11">
        <f t="shared" si="565"/>
        <v>1.057803274</v>
      </c>
    </row>
    <row r="342" ht="15.75" customHeight="1">
      <c r="A342" s="7">
        <v>90501.0</v>
      </c>
      <c r="B342" s="8" t="s">
        <v>46</v>
      </c>
      <c r="C342" s="8" t="s">
        <v>457</v>
      </c>
      <c r="D342" s="9" t="s">
        <v>458</v>
      </c>
      <c r="E342" s="10">
        <v>1.0</v>
      </c>
      <c r="F342" s="10">
        <v>15.0</v>
      </c>
      <c r="G342" s="10">
        <v>9.0</v>
      </c>
      <c r="H342" s="10">
        <v>3.0</v>
      </c>
      <c r="I342" s="10">
        <v>21.0</v>
      </c>
      <c r="J342" s="10">
        <v>14.0</v>
      </c>
      <c r="K342" s="11">
        <f t="shared" ref="K342:M342" si="674">+H342/E342</f>
        <v>3</v>
      </c>
      <c r="L342" s="11">
        <f t="shared" si="674"/>
        <v>1.4</v>
      </c>
      <c r="M342" s="11">
        <f t="shared" si="674"/>
        <v>1.555555556</v>
      </c>
      <c r="N342" s="11">
        <f t="shared" si="6"/>
        <v>1.985185185</v>
      </c>
      <c r="O342" s="10">
        <v>8.0</v>
      </c>
      <c r="P342" s="10">
        <v>16.0</v>
      </c>
      <c r="Q342" s="10">
        <v>17.0</v>
      </c>
      <c r="R342" s="10">
        <v>7.0</v>
      </c>
      <c r="S342" s="10">
        <v>16.0</v>
      </c>
      <c r="T342" s="10">
        <v>28.0</v>
      </c>
      <c r="U342" s="11">
        <f t="shared" ref="U342:W342" si="675">+R342/O342</f>
        <v>0.875</v>
      </c>
      <c r="V342" s="11">
        <f t="shared" si="675"/>
        <v>1</v>
      </c>
      <c r="W342" s="11">
        <f t="shared" si="675"/>
        <v>1.647058824</v>
      </c>
      <c r="X342" s="11">
        <f t="shared" si="565"/>
        <v>1.174019608</v>
      </c>
    </row>
    <row r="343" ht="15.75" customHeight="1">
      <c r="A343" s="7">
        <v>90502.0</v>
      </c>
      <c r="B343" s="8" t="s">
        <v>46</v>
      </c>
      <c r="C343" s="8" t="s">
        <v>457</v>
      </c>
      <c r="D343" s="9" t="s">
        <v>459</v>
      </c>
      <c r="E343" s="10">
        <v>13.0</v>
      </c>
      <c r="F343" s="10">
        <v>34.0</v>
      </c>
      <c r="G343" s="10">
        <v>16.0</v>
      </c>
      <c r="H343" s="10">
        <v>21.0</v>
      </c>
      <c r="I343" s="10">
        <v>35.0</v>
      </c>
      <c r="J343" s="10">
        <v>27.0</v>
      </c>
      <c r="K343" s="11">
        <f t="shared" ref="K343:M343" si="676">+H343/E343</f>
        <v>1.615384615</v>
      </c>
      <c r="L343" s="11">
        <f t="shared" si="676"/>
        <v>1.029411765</v>
      </c>
      <c r="M343" s="11">
        <f t="shared" si="676"/>
        <v>1.6875</v>
      </c>
      <c r="N343" s="11">
        <f t="shared" si="6"/>
        <v>1.444098793</v>
      </c>
      <c r="O343" s="10">
        <v>8.0</v>
      </c>
      <c r="P343" s="10">
        <v>18.0</v>
      </c>
      <c r="Q343" s="10">
        <v>16.0</v>
      </c>
      <c r="R343" s="10">
        <v>12.0</v>
      </c>
      <c r="S343" s="10">
        <v>21.0</v>
      </c>
      <c r="T343" s="10">
        <v>14.0</v>
      </c>
      <c r="U343" s="11">
        <f t="shared" ref="U343:W343" si="677">+R343/O343</f>
        <v>1.5</v>
      </c>
      <c r="V343" s="11">
        <f t="shared" si="677"/>
        <v>1.166666667</v>
      </c>
      <c r="W343" s="11">
        <f t="shared" si="677"/>
        <v>0.875</v>
      </c>
      <c r="X343" s="11">
        <f t="shared" si="565"/>
        <v>1.180555556</v>
      </c>
    </row>
    <row r="344" ht="15.75" customHeight="1">
      <c r="A344" s="7">
        <v>90503.0</v>
      </c>
      <c r="B344" s="8" t="s">
        <v>46</v>
      </c>
      <c r="C344" s="8" t="s">
        <v>457</v>
      </c>
      <c r="D344" s="9" t="s">
        <v>460</v>
      </c>
      <c r="E344" s="10">
        <v>1.0</v>
      </c>
      <c r="F344" s="10">
        <v>6.0</v>
      </c>
      <c r="G344" s="10">
        <v>13.0</v>
      </c>
      <c r="H344" s="10">
        <v>5.0</v>
      </c>
      <c r="I344" s="10">
        <v>12.0</v>
      </c>
      <c r="J344" s="10">
        <v>25.0</v>
      </c>
      <c r="K344" s="11">
        <f t="shared" ref="K344:M344" si="678">+H344/E344</f>
        <v>5</v>
      </c>
      <c r="L344" s="11">
        <f t="shared" si="678"/>
        <v>2</v>
      </c>
      <c r="M344" s="11">
        <f t="shared" si="678"/>
        <v>1.923076923</v>
      </c>
      <c r="N344" s="11">
        <f t="shared" si="6"/>
        <v>2.974358974</v>
      </c>
      <c r="O344" s="10">
        <v>15.0</v>
      </c>
      <c r="P344" s="10">
        <v>16.0</v>
      </c>
      <c r="Q344" s="10">
        <v>14.0</v>
      </c>
      <c r="R344" s="10">
        <v>15.0</v>
      </c>
      <c r="S344" s="10">
        <v>13.0</v>
      </c>
      <c r="T344" s="10">
        <v>8.0</v>
      </c>
      <c r="U344" s="11">
        <f t="shared" ref="U344:W344" si="679">+R344/O344</f>
        <v>1</v>
      </c>
      <c r="V344" s="11">
        <f t="shared" si="679"/>
        <v>0.8125</v>
      </c>
      <c r="W344" s="11">
        <f t="shared" si="679"/>
        <v>0.5714285714</v>
      </c>
      <c r="X344" s="11">
        <f t="shared" si="565"/>
        <v>0.7946428571</v>
      </c>
    </row>
    <row r="345" ht="15.75" customHeight="1">
      <c r="A345" s="14"/>
      <c r="B345" s="15"/>
      <c r="C345" s="15"/>
      <c r="D345" s="16"/>
    </row>
    <row r="346" ht="15.75" customHeight="1">
      <c r="A346" s="14"/>
      <c r="B346" s="15"/>
      <c r="C346" s="15"/>
      <c r="D346" s="16"/>
    </row>
    <row r="347" ht="15.75" customHeight="1">
      <c r="A347" s="14"/>
      <c r="B347" s="15"/>
      <c r="C347" s="15"/>
      <c r="D347" s="16"/>
    </row>
    <row r="348" ht="15.75" customHeight="1">
      <c r="A348" s="14"/>
      <c r="B348" s="15"/>
      <c r="C348" s="15"/>
      <c r="D348" s="16"/>
    </row>
    <row r="349" ht="15.75" customHeight="1">
      <c r="A349" s="14"/>
      <c r="B349" s="15"/>
      <c r="C349" s="15"/>
      <c r="D349" s="16"/>
    </row>
    <row r="350" ht="15.75" customHeight="1">
      <c r="A350" s="14"/>
      <c r="B350" s="15"/>
      <c r="C350" s="15"/>
      <c r="D350" s="16"/>
    </row>
    <row r="351" ht="15.75" customHeight="1">
      <c r="A351" s="14"/>
      <c r="B351" s="15"/>
      <c r="C351" s="15"/>
      <c r="D351" s="16"/>
    </row>
    <row r="352" ht="15.75" customHeight="1">
      <c r="A352" s="14"/>
      <c r="B352" s="15"/>
      <c r="C352" s="15"/>
      <c r="D352" s="16"/>
    </row>
    <row r="353" ht="15.75" customHeight="1">
      <c r="A353" s="14"/>
      <c r="B353" s="15"/>
      <c r="C353" s="15"/>
      <c r="D353" s="16"/>
    </row>
    <row r="354" ht="15.75" customHeight="1">
      <c r="A354" s="14"/>
      <c r="B354" s="15"/>
      <c r="C354" s="15"/>
      <c r="D354" s="16"/>
    </row>
    <row r="355" ht="15.75" customHeight="1">
      <c r="A355" s="14"/>
      <c r="B355" s="15"/>
      <c r="C355" s="15"/>
      <c r="D355" s="16"/>
    </row>
    <row r="356" ht="15.75" customHeight="1">
      <c r="A356" s="14"/>
      <c r="B356" s="15"/>
      <c r="C356" s="15"/>
      <c r="D356" s="16"/>
    </row>
    <row r="357" ht="15.75" customHeight="1">
      <c r="A357" s="14"/>
      <c r="B357" s="15"/>
      <c r="C357" s="15"/>
      <c r="D357" s="16"/>
    </row>
    <row r="358" ht="15.75" customHeight="1">
      <c r="A358" s="14"/>
      <c r="B358" s="15"/>
      <c r="C358" s="15"/>
      <c r="D358" s="16"/>
    </row>
    <row r="359" ht="15.75" customHeight="1">
      <c r="A359" s="14"/>
      <c r="B359" s="15"/>
      <c r="C359" s="15"/>
      <c r="D359" s="16"/>
    </row>
    <row r="360" ht="15.75" customHeight="1">
      <c r="A360" s="14"/>
      <c r="B360" s="15"/>
      <c r="C360" s="15"/>
      <c r="D360" s="16"/>
    </row>
    <row r="361" ht="15.75" customHeight="1">
      <c r="A361" s="14"/>
      <c r="B361" s="15"/>
      <c r="C361" s="15"/>
      <c r="D361" s="16"/>
    </row>
    <row r="362" ht="15.75" customHeight="1">
      <c r="A362" s="14"/>
      <c r="B362" s="15"/>
      <c r="C362" s="15"/>
      <c r="D362" s="16"/>
    </row>
    <row r="363" ht="15.75" customHeight="1">
      <c r="A363" s="14"/>
      <c r="B363" s="15"/>
      <c r="C363" s="15"/>
      <c r="D363" s="16"/>
    </row>
    <row r="364" ht="15.75" customHeight="1">
      <c r="A364" s="14"/>
      <c r="B364" s="15"/>
      <c r="C364" s="15"/>
      <c r="D364" s="16"/>
    </row>
    <row r="365" ht="15.75" customHeight="1">
      <c r="A365" s="14"/>
      <c r="B365" s="15"/>
      <c r="C365" s="15"/>
      <c r="D365" s="16"/>
    </row>
    <row r="366" ht="15.75" customHeight="1">
      <c r="A366" s="14"/>
      <c r="B366" s="15"/>
      <c r="C366" s="15"/>
      <c r="D366" s="16"/>
    </row>
    <row r="367" ht="15.75" customHeight="1">
      <c r="A367" s="14"/>
      <c r="B367" s="15"/>
      <c r="C367" s="15"/>
      <c r="D367" s="16"/>
    </row>
    <row r="368" ht="15.75" customHeight="1">
      <c r="A368" s="14"/>
      <c r="B368" s="15"/>
      <c r="C368" s="15"/>
      <c r="D368" s="16"/>
    </row>
    <row r="369" ht="15.75" customHeight="1">
      <c r="A369" s="14"/>
      <c r="B369" s="15"/>
      <c r="C369" s="15"/>
      <c r="D369" s="16"/>
    </row>
    <row r="370" ht="15.75" customHeight="1">
      <c r="A370" s="14"/>
      <c r="B370" s="15"/>
      <c r="C370" s="15"/>
      <c r="D370" s="16"/>
    </row>
    <row r="371" ht="15.75" customHeight="1">
      <c r="A371" s="14"/>
      <c r="B371" s="15"/>
      <c r="C371" s="15"/>
      <c r="D371" s="16"/>
    </row>
    <row r="372" ht="15.75" customHeight="1">
      <c r="A372" s="14"/>
      <c r="B372" s="15"/>
      <c r="C372" s="15"/>
      <c r="D372" s="16"/>
    </row>
    <row r="373" ht="15.75" customHeight="1">
      <c r="A373" s="14"/>
      <c r="B373" s="15"/>
      <c r="C373" s="15"/>
      <c r="D373" s="16"/>
    </row>
    <row r="374" ht="15.75" customHeight="1">
      <c r="A374" s="14"/>
      <c r="B374" s="15"/>
      <c r="C374" s="15"/>
      <c r="D374" s="16"/>
    </row>
    <row r="375" ht="15.75" customHeight="1">
      <c r="A375" s="14"/>
      <c r="B375" s="15"/>
      <c r="C375" s="15"/>
      <c r="D375" s="16"/>
    </row>
    <row r="376" ht="15.75" customHeight="1">
      <c r="A376" s="14"/>
      <c r="B376" s="15"/>
      <c r="C376" s="15"/>
      <c r="D376" s="16"/>
    </row>
    <row r="377" ht="15.75" customHeight="1">
      <c r="A377" s="14"/>
      <c r="B377" s="15"/>
      <c r="C377" s="15"/>
      <c r="D377" s="16"/>
    </row>
    <row r="378" ht="15.75" customHeight="1">
      <c r="A378" s="14"/>
      <c r="B378" s="15"/>
      <c r="C378" s="15"/>
      <c r="D378" s="16"/>
    </row>
    <row r="379" ht="15.75" customHeight="1">
      <c r="A379" s="14"/>
      <c r="B379" s="15"/>
      <c r="C379" s="15"/>
      <c r="D379" s="16"/>
    </row>
    <row r="380" ht="15.75" customHeight="1">
      <c r="A380" s="14"/>
      <c r="B380" s="15"/>
      <c r="C380" s="15"/>
      <c r="D380" s="16"/>
    </row>
    <row r="381" ht="15.75" customHeight="1">
      <c r="A381" s="14"/>
      <c r="B381" s="15"/>
      <c r="C381" s="15"/>
      <c r="D381" s="16"/>
    </row>
    <row r="382" ht="15.75" customHeight="1">
      <c r="A382" s="14"/>
      <c r="B382" s="15"/>
      <c r="C382" s="15"/>
      <c r="D382" s="16"/>
    </row>
    <row r="383" ht="15.75" customHeight="1">
      <c r="A383" s="14"/>
      <c r="B383" s="15"/>
      <c r="C383" s="15"/>
      <c r="D383" s="16"/>
    </row>
    <row r="384" ht="15.75" customHeight="1">
      <c r="A384" s="14"/>
      <c r="B384" s="15"/>
      <c r="C384" s="15"/>
      <c r="D384" s="16"/>
    </row>
    <row r="385" ht="15.75" customHeight="1">
      <c r="A385" s="14"/>
      <c r="B385" s="15"/>
      <c r="C385" s="15"/>
      <c r="D385" s="16"/>
    </row>
    <row r="386" ht="15.75" customHeight="1">
      <c r="A386" s="14"/>
      <c r="B386" s="15"/>
      <c r="C386" s="15"/>
      <c r="D386" s="16"/>
    </row>
    <row r="387" ht="15.75" customHeight="1">
      <c r="A387" s="14"/>
      <c r="B387" s="15"/>
      <c r="C387" s="15"/>
      <c r="D387" s="16"/>
    </row>
    <row r="388" ht="15.75" customHeight="1">
      <c r="A388" s="14"/>
      <c r="B388" s="15"/>
      <c r="C388" s="15"/>
      <c r="D388" s="16"/>
    </row>
    <row r="389" ht="15.75" customHeight="1">
      <c r="A389" s="14"/>
      <c r="B389" s="15"/>
      <c r="C389" s="15"/>
      <c r="D389" s="16"/>
    </row>
    <row r="390" ht="15.75" customHeight="1">
      <c r="A390" s="14"/>
      <c r="B390" s="15"/>
      <c r="C390" s="15"/>
      <c r="D390" s="16"/>
    </row>
    <row r="391" ht="15.75" customHeight="1">
      <c r="A391" s="14"/>
      <c r="B391" s="15"/>
      <c r="C391" s="15"/>
      <c r="D391" s="16"/>
    </row>
    <row r="392" ht="15.75" customHeight="1">
      <c r="A392" s="14"/>
      <c r="B392" s="15"/>
      <c r="C392" s="15"/>
      <c r="D392" s="16"/>
    </row>
    <row r="393" ht="15.75" customHeight="1">
      <c r="A393" s="14"/>
      <c r="B393" s="15"/>
      <c r="C393" s="15"/>
      <c r="D393" s="16"/>
    </row>
    <row r="394" ht="15.75" customHeight="1">
      <c r="A394" s="14"/>
      <c r="B394" s="15"/>
      <c r="C394" s="15"/>
      <c r="D394" s="16"/>
    </row>
    <row r="395" ht="15.75" customHeight="1">
      <c r="A395" s="14"/>
      <c r="B395" s="15"/>
      <c r="C395" s="15"/>
      <c r="D395" s="16"/>
    </row>
    <row r="396" ht="15.75" customHeight="1">
      <c r="A396" s="14"/>
      <c r="B396" s="15"/>
      <c r="C396" s="15"/>
      <c r="D396" s="16"/>
    </row>
    <row r="397" ht="15.75" customHeight="1">
      <c r="A397" s="14"/>
      <c r="B397" s="15"/>
      <c r="C397" s="15"/>
      <c r="D397" s="16"/>
    </row>
    <row r="398" ht="15.75" customHeight="1">
      <c r="A398" s="14"/>
      <c r="B398" s="15"/>
      <c r="C398" s="15"/>
      <c r="D398" s="16"/>
    </row>
    <row r="399" ht="15.75" customHeight="1">
      <c r="A399" s="14"/>
      <c r="B399" s="15"/>
      <c r="C399" s="15"/>
      <c r="D399" s="16"/>
    </row>
    <row r="400" ht="15.75" customHeight="1">
      <c r="A400" s="14"/>
      <c r="B400" s="15"/>
      <c r="C400" s="15"/>
      <c r="D400" s="16"/>
    </row>
    <row r="401" ht="15.75" customHeight="1">
      <c r="A401" s="14"/>
      <c r="B401" s="15"/>
      <c r="C401" s="15"/>
      <c r="D401" s="16"/>
    </row>
    <row r="402" ht="15.75" customHeight="1">
      <c r="A402" s="14"/>
      <c r="B402" s="15"/>
      <c r="C402" s="15"/>
      <c r="D402" s="16"/>
    </row>
    <row r="403" ht="15.75" customHeight="1">
      <c r="A403" s="14"/>
      <c r="B403" s="15"/>
      <c r="C403" s="15"/>
      <c r="D403" s="16"/>
    </row>
    <row r="404" ht="15.75" customHeight="1">
      <c r="A404" s="14"/>
      <c r="B404" s="15"/>
      <c r="C404" s="15"/>
      <c r="D404" s="16"/>
    </row>
    <row r="405" ht="15.75" customHeight="1">
      <c r="A405" s="14"/>
      <c r="B405" s="15"/>
      <c r="C405" s="15"/>
      <c r="D405" s="16"/>
    </row>
    <row r="406" ht="15.75" customHeight="1">
      <c r="A406" s="14"/>
      <c r="B406" s="15"/>
      <c r="C406" s="15"/>
      <c r="D406" s="16"/>
    </row>
    <row r="407" ht="15.75" customHeight="1">
      <c r="A407" s="14"/>
      <c r="B407" s="15"/>
      <c r="C407" s="15"/>
      <c r="D407" s="16"/>
      <c r="E407" s="17"/>
      <c r="F407" s="17"/>
      <c r="G407" s="17"/>
      <c r="H407" s="17"/>
      <c r="I407" s="15"/>
      <c r="J407" s="15"/>
      <c r="K407" s="15"/>
      <c r="L407" s="18"/>
      <c r="M407" s="18"/>
      <c r="N407" s="18"/>
      <c r="O407" s="15"/>
      <c r="P407" s="15"/>
      <c r="Q407" s="15"/>
      <c r="R407" s="15"/>
      <c r="S407" s="15"/>
      <c r="T407" s="15"/>
      <c r="U407" s="15"/>
      <c r="V407" s="15"/>
    </row>
    <row r="408" ht="15.75" customHeight="1">
      <c r="A408" s="14"/>
      <c r="B408" s="15"/>
      <c r="C408" s="15"/>
      <c r="D408" s="16"/>
      <c r="E408" s="17"/>
      <c r="F408" s="17"/>
      <c r="G408" s="17"/>
      <c r="H408" s="17"/>
      <c r="I408" s="15"/>
      <c r="J408" s="15"/>
      <c r="K408" s="15"/>
      <c r="L408" s="18"/>
      <c r="M408" s="18"/>
      <c r="N408" s="18"/>
      <c r="O408" s="15"/>
      <c r="P408" s="15"/>
      <c r="Q408" s="15"/>
      <c r="R408" s="15"/>
      <c r="S408" s="15"/>
      <c r="T408" s="15"/>
      <c r="U408" s="15"/>
      <c r="V408" s="15"/>
    </row>
    <row r="409" ht="15.75" customHeight="1">
      <c r="A409" s="14"/>
      <c r="B409" s="15"/>
      <c r="C409" s="15"/>
      <c r="D409" s="16"/>
      <c r="E409" s="17"/>
      <c r="F409" s="17"/>
      <c r="G409" s="17"/>
      <c r="H409" s="17"/>
      <c r="I409" s="15"/>
      <c r="J409" s="15"/>
      <c r="K409" s="15"/>
      <c r="L409" s="18"/>
      <c r="M409" s="18"/>
      <c r="N409" s="18"/>
      <c r="O409" s="15"/>
      <c r="P409" s="15"/>
      <c r="Q409" s="15"/>
      <c r="R409" s="15"/>
      <c r="S409" s="15"/>
      <c r="T409" s="15"/>
      <c r="U409" s="15"/>
      <c r="V409" s="15"/>
    </row>
    <row r="410" ht="15.75" customHeight="1">
      <c r="A410" s="14"/>
      <c r="B410" s="15"/>
      <c r="C410" s="15"/>
      <c r="D410" s="16"/>
      <c r="E410" s="17"/>
      <c r="F410" s="17"/>
      <c r="G410" s="17"/>
      <c r="H410" s="17"/>
      <c r="I410" s="15"/>
      <c r="J410" s="15"/>
      <c r="K410" s="15"/>
      <c r="L410" s="18"/>
      <c r="M410" s="18"/>
      <c r="N410" s="18"/>
      <c r="O410" s="15"/>
      <c r="P410" s="15"/>
      <c r="Q410" s="15"/>
      <c r="R410" s="15"/>
      <c r="S410" s="15"/>
      <c r="T410" s="15"/>
      <c r="U410" s="15"/>
      <c r="V410" s="15"/>
    </row>
    <row r="411" ht="15.75" customHeight="1">
      <c r="A411" s="14"/>
      <c r="B411" s="15"/>
      <c r="C411" s="15"/>
      <c r="D411" s="16"/>
      <c r="E411" s="17"/>
      <c r="F411" s="17"/>
      <c r="G411" s="17"/>
      <c r="H411" s="17"/>
      <c r="I411" s="15"/>
      <c r="J411" s="15"/>
      <c r="K411" s="15"/>
      <c r="L411" s="18"/>
      <c r="M411" s="18"/>
      <c r="N411" s="18"/>
      <c r="O411" s="15"/>
      <c r="P411" s="15"/>
      <c r="Q411" s="15"/>
      <c r="R411" s="15"/>
      <c r="S411" s="15"/>
      <c r="T411" s="15"/>
      <c r="U411" s="15"/>
      <c r="V411" s="15"/>
    </row>
    <row r="412" ht="15.75" customHeight="1">
      <c r="A412" s="14"/>
      <c r="B412" s="15"/>
      <c r="C412" s="15"/>
      <c r="D412" s="16"/>
      <c r="E412" s="17"/>
      <c r="F412" s="17"/>
      <c r="G412" s="17"/>
      <c r="H412" s="17"/>
      <c r="I412" s="15"/>
      <c r="J412" s="15"/>
      <c r="K412" s="15"/>
      <c r="L412" s="18"/>
      <c r="M412" s="18"/>
      <c r="N412" s="18"/>
      <c r="O412" s="15"/>
      <c r="P412" s="15"/>
      <c r="Q412" s="15"/>
      <c r="R412" s="15"/>
      <c r="S412" s="15"/>
      <c r="T412" s="15"/>
      <c r="U412" s="15"/>
      <c r="V412" s="15"/>
    </row>
    <row r="413" ht="15.75" customHeight="1">
      <c r="A413" s="14"/>
      <c r="B413" s="15"/>
      <c r="C413" s="15"/>
      <c r="D413" s="16"/>
      <c r="E413" s="17"/>
      <c r="F413" s="17"/>
      <c r="G413" s="17"/>
      <c r="H413" s="17"/>
      <c r="I413" s="15"/>
      <c r="J413" s="15"/>
      <c r="K413" s="15"/>
      <c r="L413" s="18"/>
      <c r="M413" s="18"/>
      <c r="N413" s="18"/>
      <c r="O413" s="15"/>
      <c r="P413" s="15"/>
      <c r="Q413" s="15"/>
      <c r="R413" s="15"/>
      <c r="S413" s="15"/>
      <c r="T413" s="15"/>
      <c r="U413" s="15"/>
      <c r="V413" s="15"/>
    </row>
    <row r="414" ht="15.75" customHeight="1">
      <c r="A414" s="14"/>
      <c r="B414" s="15"/>
      <c r="C414" s="15"/>
      <c r="D414" s="16"/>
      <c r="E414" s="17"/>
      <c r="F414" s="17"/>
      <c r="G414" s="17"/>
      <c r="H414" s="17"/>
      <c r="I414" s="15"/>
      <c r="J414" s="15"/>
      <c r="K414" s="15"/>
      <c r="L414" s="18"/>
      <c r="M414" s="18"/>
      <c r="N414" s="18"/>
      <c r="O414" s="15"/>
      <c r="P414" s="15"/>
      <c r="Q414" s="15"/>
      <c r="R414" s="15"/>
      <c r="S414" s="15"/>
      <c r="T414" s="15"/>
      <c r="U414" s="15"/>
      <c r="V414" s="15"/>
    </row>
    <row r="415" ht="15.75" customHeight="1">
      <c r="A415" s="14"/>
      <c r="B415" s="15"/>
      <c r="C415" s="15"/>
      <c r="D415" s="16"/>
      <c r="E415" s="17"/>
      <c r="F415" s="17"/>
      <c r="G415" s="17"/>
      <c r="H415" s="17"/>
      <c r="I415" s="15"/>
      <c r="J415" s="15"/>
      <c r="K415" s="15"/>
      <c r="L415" s="18"/>
      <c r="M415" s="18"/>
      <c r="N415" s="18"/>
      <c r="O415" s="15"/>
      <c r="P415" s="15"/>
      <c r="Q415" s="15"/>
      <c r="R415" s="15"/>
      <c r="S415" s="15"/>
      <c r="T415" s="15"/>
      <c r="U415" s="15"/>
      <c r="V415" s="15"/>
    </row>
    <row r="416" ht="15.75" customHeight="1">
      <c r="A416" s="14"/>
      <c r="B416" s="15"/>
      <c r="C416" s="15"/>
      <c r="D416" s="16"/>
      <c r="E416" s="17"/>
      <c r="F416" s="17"/>
      <c r="G416" s="17"/>
      <c r="H416" s="17"/>
      <c r="I416" s="15"/>
      <c r="J416" s="15"/>
      <c r="K416" s="15"/>
      <c r="L416" s="18"/>
      <c r="M416" s="18"/>
      <c r="N416" s="18"/>
      <c r="O416" s="15"/>
      <c r="P416" s="15"/>
      <c r="Q416" s="15"/>
      <c r="R416" s="15"/>
      <c r="S416" s="15"/>
      <c r="T416" s="15"/>
      <c r="U416" s="15"/>
      <c r="V416" s="15"/>
    </row>
    <row r="417" ht="15.75" customHeight="1">
      <c r="A417" s="14"/>
      <c r="B417" s="15"/>
      <c r="C417" s="15"/>
      <c r="D417" s="16"/>
      <c r="E417" s="17"/>
      <c r="F417" s="17"/>
      <c r="G417" s="17"/>
      <c r="H417" s="17"/>
      <c r="I417" s="15"/>
      <c r="J417" s="15"/>
      <c r="K417" s="15"/>
      <c r="L417" s="18"/>
      <c r="M417" s="18"/>
      <c r="N417" s="18"/>
      <c r="O417" s="15"/>
      <c r="P417" s="15"/>
      <c r="Q417" s="15"/>
      <c r="R417" s="15"/>
      <c r="S417" s="15"/>
      <c r="T417" s="15"/>
      <c r="U417" s="15"/>
      <c r="V417" s="15"/>
    </row>
    <row r="418" ht="15.75" customHeight="1">
      <c r="A418" s="14"/>
      <c r="B418" s="15"/>
      <c r="C418" s="15"/>
      <c r="D418" s="16"/>
      <c r="E418" s="17"/>
      <c r="F418" s="17"/>
      <c r="G418" s="17"/>
      <c r="H418" s="17"/>
      <c r="I418" s="15"/>
      <c r="J418" s="15"/>
      <c r="K418" s="15"/>
      <c r="L418" s="18"/>
      <c r="M418" s="18"/>
      <c r="N418" s="18"/>
      <c r="O418" s="15"/>
      <c r="P418" s="15"/>
      <c r="Q418" s="15"/>
      <c r="R418" s="15"/>
      <c r="S418" s="15"/>
      <c r="T418" s="15"/>
      <c r="U418" s="15"/>
      <c r="V418" s="15"/>
    </row>
    <row r="419" ht="15.75" customHeight="1">
      <c r="A419" s="14"/>
      <c r="B419" s="15"/>
      <c r="C419" s="15"/>
      <c r="D419" s="16"/>
      <c r="E419" s="17"/>
      <c r="F419" s="17"/>
      <c r="G419" s="17"/>
      <c r="H419" s="17"/>
      <c r="I419" s="15"/>
      <c r="J419" s="15"/>
      <c r="K419" s="15"/>
      <c r="L419" s="18"/>
      <c r="M419" s="18"/>
      <c r="N419" s="18"/>
      <c r="O419" s="15"/>
      <c r="P419" s="15"/>
      <c r="Q419" s="15"/>
      <c r="R419" s="15"/>
      <c r="S419" s="15"/>
      <c r="T419" s="15"/>
      <c r="U419" s="15"/>
      <c r="V419" s="15"/>
    </row>
    <row r="420" ht="15.75" customHeight="1">
      <c r="A420" s="14"/>
      <c r="B420" s="15"/>
      <c r="C420" s="15"/>
      <c r="D420" s="16"/>
      <c r="E420" s="17"/>
      <c r="F420" s="17"/>
      <c r="G420" s="17"/>
      <c r="H420" s="17"/>
      <c r="I420" s="15"/>
      <c r="J420" s="15"/>
      <c r="K420" s="15"/>
      <c r="L420" s="18"/>
      <c r="M420" s="18"/>
      <c r="N420" s="18"/>
      <c r="O420" s="15"/>
      <c r="P420" s="15"/>
      <c r="Q420" s="15"/>
      <c r="R420" s="15"/>
      <c r="S420" s="15"/>
      <c r="T420" s="15"/>
      <c r="U420" s="15"/>
      <c r="V420" s="15"/>
    </row>
    <row r="421" ht="15.75" customHeight="1">
      <c r="A421" s="14"/>
      <c r="B421" s="15"/>
      <c r="C421" s="15"/>
      <c r="D421" s="16"/>
      <c r="E421" s="17"/>
      <c r="F421" s="17"/>
      <c r="G421" s="17"/>
      <c r="H421" s="17"/>
      <c r="I421" s="15"/>
      <c r="J421" s="15"/>
      <c r="K421" s="15"/>
      <c r="L421" s="18"/>
      <c r="M421" s="18"/>
      <c r="N421" s="18"/>
      <c r="O421" s="15"/>
      <c r="P421" s="15"/>
      <c r="Q421" s="15"/>
      <c r="R421" s="15"/>
      <c r="S421" s="15"/>
      <c r="T421" s="15"/>
      <c r="U421" s="15"/>
      <c r="V421" s="15"/>
    </row>
    <row r="422" ht="15.75" customHeight="1">
      <c r="A422" s="14"/>
      <c r="B422" s="15"/>
      <c r="C422" s="15"/>
      <c r="D422" s="16"/>
      <c r="E422" s="17"/>
      <c r="F422" s="17"/>
      <c r="G422" s="17"/>
      <c r="H422" s="17"/>
      <c r="I422" s="15"/>
      <c r="J422" s="15"/>
      <c r="K422" s="15"/>
      <c r="L422" s="18"/>
      <c r="M422" s="18"/>
      <c r="N422" s="18"/>
      <c r="O422" s="15"/>
      <c r="P422" s="15"/>
      <c r="Q422" s="15"/>
      <c r="R422" s="15"/>
      <c r="S422" s="15"/>
      <c r="T422" s="15"/>
      <c r="U422" s="15"/>
      <c r="V422" s="15"/>
    </row>
    <row r="423" ht="15.75" customHeight="1">
      <c r="A423" s="14"/>
      <c r="B423" s="15"/>
      <c r="C423" s="15"/>
      <c r="D423" s="16"/>
      <c r="E423" s="17"/>
      <c r="F423" s="17"/>
      <c r="G423" s="17"/>
      <c r="H423" s="17"/>
      <c r="I423" s="15"/>
      <c r="J423" s="15"/>
      <c r="K423" s="15"/>
      <c r="L423" s="18"/>
      <c r="M423" s="18"/>
      <c r="N423" s="18"/>
      <c r="O423" s="15"/>
      <c r="P423" s="15"/>
      <c r="Q423" s="15"/>
      <c r="R423" s="15"/>
      <c r="S423" s="15"/>
      <c r="T423" s="15"/>
      <c r="U423" s="15"/>
      <c r="V423" s="15"/>
    </row>
    <row r="424" ht="15.75" customHeight="1">
      <c r="A424" s="14"/>
      <c r="B424" s="15"/>
      <c r="C424" s="15"/>
      <c r="D424" s="16"/>
      <c r="E424" s="17"/>
      <c r="F424" s="17"/>
      <c r="G424" s="17"/>
      <c r="H424" s="17"/>
      <c r="I424" s="15"/>
      <c r="J424" s="15"/>
      <c r="K424" s="15"/>
      <c r="L424" s="18"/>
      <c r="M424" s="18"/>
      <c r="N424" s="18"/>
      <c r="O424" s="15"/>
      <c r="P424" s="15"/>
      <c r="Q424" s="15"/>
      <c r="R424" s="15"/>
      <c r="S424" s="15"/>
      <c r="T424" s="15"/>
      <c r="U424" s="15"/>
      <c r="V424" s="15"/>
    </row>
    <row r="425" ht="15.75" customHeight="1">
      <c r="A425" s="14"/>
      <c r="B425" s="15"/>
      <c r="C425" s="15"/>
      <c r="D425" s="16"/>
      <c r="E425" s="17"/>
      <c r="F425" s="17"/>
      <c r="G425" s="17"/>
      <c r="H425" s="17"/>
      <c r="I425" s="15"/>
      <c r="J425" s="15"/>
      <c r="K425" s="15"/>
      <c r="L425" s="18"/>
      <c r="M425" s="18"/>
      <c r="N425" s="18"/>
      <c r="O425" s="15"/>
      <c r="P425" s="15"/>
      <c r="Q425" s="15"/>
      <c r="R425" s="15"/>
      <c r="S425" s="15"/>
      <c r="T425" s="15"/>
      <c r="U425" s="15"/>
      <c r="V425" s="15"/>
    </row>
    <row r="426" ht="15.75" customHeight="1">
      <c r="A426" s="14"/>
      <c r="B426" s="15"/>
      <c r="C426" s="15"/>
      <c r="D426" s="16"/>
      <c r="E426" s="17"/>
      <c r="F426" s="17"/>
      <c r="G426" s="17"/>
      <c r="H426" s="17"/>
      <c r="I426" s="15"/>
      <c r="J426" s="15"/>
      <c r="K426" s="15"/>
      <c r="L426" s="18"/>
      <c r="M426" s="18"/>
      <c r="N426" s="18"/>
      <c r="O426" s="15"/>
      <c r="P426" s="15"/>
      <c r="Q426" s="15"/>
      <c r="R426" s="15"/>
      <c r="S426" s="15"/>
      <c r="T426" s="15"/>
      <c r="U426" s="15"/>
      <c r="V426" s="15"/>
    </row>
    <row r="427" ht="15.75" customHeight="1">
      <c r="A427" s="14"/>
      <c r="B427" s="15"/>
      <c r="C427" s="15"/>
      <c r="D427" s="16"/>
      <c r="E427" s="17"/>
      <c r="F427" s="17"/>
      <c r="G427" s="17"/>
      <c r="H427" s="17"/>
      <c r="I427" s="15"/>
      <c r="J427" s="15"/>
      <c r="K427" s="15"/>
      <c r="L427" s="18"/>
      <c r="M427" s="18"/>
      <c r="N427" s="18"/>
      <c r="O427" s="15"/>
      <c r="P427" s="15"/>
      <c r="Q427" s="15"/>
      <c r="R427" s="15"/>
      <c r="S427" s="15"/>
      <c r="T427" s="15"/>
      <c r="U427" s="15"/>
      <c r="V427" s="15"/>
    </row>
    <row r="428" ht="15.75" customHeight="1">
      <c r="A428" s="14"/>
      <c r="B428" s="15"/>
      <c r="C428" s="15"/>
      <c r="D428" s="16"/>
      <c r="E428" s="17"/>
      <c r="F428" s="17"/>
      <c r="G428" s="17"/>
      <c r="H428" s="17"/>
      <c r="I428" s="15"/>
      <c r="J428" s="15"/>
      <c r="K428" s="15"/>
      <c r="L428" s="18"/>
      <c r="M428" s="18"/>
      <c r="N428" s="18"/>
      <c r="O428" s="15"/>
      <c r="P428" s="15"/>
      <c r="Q428" s="15"/>
      <c r="R428" s="15"/>
      <c r="S428" s="15"/>
      <c r="T428" s="15"/>
      <c r="U428" s="15"/>
      <c r="V428" s="15"/>
    </row>
    <row r="429" ht="15.75" customHeight="1">
      <c r="A429" s="14"/>
      <c r="B429" s="15"/>
      <c r="C429" s="15"/>
      <c r="D429" s="16"/>
      <c r="E429" s="17"/>
      <c r="F429" s="17"/>
      <c r="G429" s="17"/>
      <c r="H429" s="17"/>
      <c r="I429" s="15"/>
      <c r="J429" s="15"/>
      <c r="K429" s="15"/>
      <c r="L429" s="18"/>
      <c r="M429" s="18"/>
      <c r="N429" s="18"/>
      <c r="O429" s="15"/>
      <c r="P429" s="15"/>
      <c r="Q429" s="15"/>
      <c r="R429" s="15"/>
      <c r="S429" s="15"/>
      <c r="T429" s="15"/>
      <c r="U429" s="15"/>
      <c r="V429" s="15"/>
    </row>
    <row r="430" ht="15.75" customHeight="1">
      <c r="A430" s="14"/>
      <c r="B430" s="15"/>
      <c r="C430" s="15"/>
      <c r="D430" s="16"/>
      <c r="E430" s="17"/>
      <c r="F430" s="17"/>
      <c r="G430" s="17"/>
      <c r="H430" s="17"/>
      <c r="I430" s="15"/>
      <c r="J430" s="15"/>
      <c r="K430" s="15"/>
      <c r="L430" s="18"/>
      <c r="M430" s="18"/>
      <c r="N430" s="18"/>
      <c r="O430" s="15"/>
      <c r="P430" s="15"/>
      <c r="Q430" s="15"/>
      <c r="R430" s="15"/>
      <c r="S430" s="15"/>
      <c r="T430" s="15"/>
      <c r="U430" s="15"/>
      <c r="V430" s="15"/>
    </row>
    <row r="431" ht="15.75" customHeight="1">
      <c r="A431" s="14"/>
      <c r="B431" s="15"/>
      <c r="C431" s="15"/>
      <c r="D431" s="16"/>
      <c r="E431" s="17"/>
      <c r="F431" s="17"/>
      <c r="G431" s="17"/>
      <c r="H431" s="17"/>
      <c r="I431" s="15"/>
      <c r="J431" s="15"/>
      <c r="K431" s="15"/>
      <c r="L431" s="18"/>
      <c r="M431" s="18"/>
      <c r="N431" s="18"/>
      <c r="O431" s="15"/>
      <c r="P431" s="15"/>
      <c r="Q431" s="15"/>
      <c r="R431" s="15"/>
      <c r="S431" s="15"/>
      <c r="T431" s="15"/>
      <c r="U431" s="15"/>
      <c r="V431" s="15"/>
    </row>
    <row r="432" ht="15.75" customHeight="1">
      <c r="A432" s="14"/>
      <c r="B432" s="15"/>
      <c r="C432" s="15"/>
      <c r="D432" s="16"/>
      <c r="E432" s="17"/>
      <c r="F432" s="17"/>
      <c r="G432" s="17"/>
      <c r="H432" s="17"/>
      <c r="I432" s="15"/>
      <c r="J432" s="15"/>
      <c r="K432" s="15"/>
      <c r="L432" s="18"/>
      <c r="M432" s="18"/>
      <c r="N432" s="18"/>
      <c r="O432" s="15"/>
      <c r="P432" s="15"/>
      <c r="Q432" s="15"/>
      <c r="R432" s="15"/>
      <c r="S432" s="15"/>
      <c r="T432" s="15"/>
      <c r="U432" s="15"/>
      <c r="V432" s="15"/>
    </row>
    <row r="433" ht="15.75" customHeight="1">
      <c r="A433" s="14"/>
      <c r="B433" s="15"/>
      <c r="C433" s="15"/>
      <c r="D433" s="16"/>
      <c r="E433" s="17"/>
      <c r="F433" s="17"/>
      <c r="G433" s="17"/>
      <c r="H433" s="17"/>
      <c r="I433" s="15"/>
      <c r="J433" s="15"/>
      <c r="K433" s="15"/>
      <c r="L433" s="18"/>
      <c r="M433" s="18"/>
      <c r="N433" s="18"/>
      <c r="O433" s="15"/>
      <c r="P433" s="15"/>
      <c r="Q433" s="15"/>
      <c r="R433" s="15"/>
      <c r="S433" s="15"/>
      <c r="T433" s="15"/>
      <c r="U433" s="15"/>
      <c r="V433" s="15"/>
    </row>
    <row r="434" ht="15.75" customHeight="1">
      <c r="A434" s="14"/>
      <c r="B434" s="15"/>
      <c r="C434" s="15"/>
      <c r="D434" s="16"/>
      <c r="E434" s="17"/>
      <c r="F434" s="17"/>
      <c r="G434" s="17"/>
      <c r="H434" s="17"/>
      <c r="I434" s="15"/>
      <c r="J434" s="15"/>
      <c r="K434" s="15"/>
      <c r="L434" s="18"/>
      <c r="M434" s="18"/>
      <c r="N434" s="18"/>
      <c r="O434" s="15"/>
      <c r="P434" s="15"/>
      <c r="Q434" s="15"/>
      <c r="R434" s="15"/>
      <c r="S434" s="15"/>
      <c r="T434" s="15"/>
      <c r="U434" s="15"/>
      <c r="V434" s="15"/>
    </row>
    <row r="435" ht="15.75" customHeight="1">
      <c r="A435" s="14"/>
      <c r="B435" s="15"/>
      <c r="C435" s="15"/>
      <c r="D435" s="16"/>
      <c r="E435" s="17"/>
      <c r="F435" s="17"/>
      <c r="G435" s="17"/>
      <c r="H435" s="17"/>
      <c r="I435" s="15"/>
      <c r="J435" s="15"/>
      <c r="K435" s="15"/>
      <c r="L435" s="18"/>
      <c r="M435" s="18"/>
      <c r="N435" s="18"/>
      <c r="O435" s="15"/>
      <c r="P435" s="15"/>
      <c r="Q435" s="15"/>
      <c r="R435" s="15"/>
      <c r="S435" s="15"/>
      <c r="T435" s="15"/>
      <c r="U435" s="15"/>
      <c r="V435" s="15"/>
    </row>
    <row r="436" ht="15.75" customHeight="1">
      <c r="A436" s="14"/>
      <c r="B436" s="15"/>
      <c r="C436" s="15"/>
      <c r="D436" s="16"/>
      <c r="E436" s="17"/>
      <c r="F436" s="17"/>
      <c r="G436" s="17"/>
      <c r="H436" s="17"/>
      <c r="I436" s="15"/>
      <c r="J436" s="15"/>
      <c r="K436" s="15"/>
      <c r="L436" s="18"/>
      <c r="M436" s="18"/>
      <c r="N436" s="18"/>
      <c r="O436" s="15"/>
      <c r="P436" s="15"/>
      <c r="Q436" s="15"/>
      <c r="R436" s="15"/>
      <c r="S436" s="15"/>
      <c r="T436" s="15"/>
      <c r="U436" s="15"/>
      <c r="V436" s="15"/>
    </row>
    <row r="437" ht="15.75" customHeight="1">
      <c r="A437" s="14"/>
      <c r="B437" s="15"/>
      <c r="C437" s="15"/>
      <c r="D437" s="16"/>
      <c r="E437" s="17"/>
      <c r="F437" s="17"/>
      <c r="G437" s="17"/>
      <c r="H437" s="17"/>
      <c r="I437" s="15"/>
      <c r="J437" s="15"/>
      <c r="K437" s="15"/>
      <c r="L437" s="18"/>
      <c r="M437" s="18"/>
      <c r="N437" s="18"/>
      <c r="O437" s="15"/>
      <c r="P437" s="15"/>
      <c r="Q437" s="15"/>
      <c r="R437" s="15"/>
      <c r="S437" s="15"/>
      <c r="T437" s="15"/>
      <c r="U437" s="15"/>
      <c r="V437" s="15"/>
    </row>
    <row r="438" ht="15.75" customHeight="1">
      <c r="A438" s="14"/>
      <c r="B438" s="15"/>
      <c r="C438" s="15"/>
      <c r="D438" s="16"/>
      <c r="E438" s="17"/>
      <c r="F438" s="17"/>
      <c r="G438" s="17"/>
      <c r="H438" s="17"/>
      <c r="I438" s="15"/>
      <c r="J438" s="15"/>
      <c r="K438" s="15"/>
      <c r="L438" s="18"/>
      <c r="M438" s="18"/>
      <c r="N438" s="18"/>
      <c r="O438" s="15"/>
      <c r="P438" s="15"/>
      <c r="Q438" s="15"/>
      <c r="R438" s="15"/>
      <c r="S438" s="15"/>
      <c r="T438" s="15"/>
      <c r="U438" s="15"/>
      <c r="V438" s="15"/>
    </row>
    <row r="439" ht="15.75" customHeight="1">
      <c r="A439" s="14"/>
      <c r="B439" s="15"/>
      <c r="C439" s="15"/>
      <c r="D439" s="16"/>
      <c r="E439" s="17"/>
      <c r="F439" s="17"/>
      <c r="G439" s="17"/>
      <c r="H439" s="17"/>
      <c r="I439" s="15"/>
      <c r="J439" s="15"/>
      <c r="K439" s="15"/>
      <c r="L439" s="18"/>
      <c r="M439" s="18"/>
      <c r="N439" s="18"/>
      <c r="O439" s="15"/>
      <c r="P439" s="15"/>
      <c r="Q439" s="15"/>
      <c r="R439" s="15"/>
      <c r="S439" s="15"/>
      <c r="T439" s="15"/>
      <c r="U439" s="15"/>
      <c r="V439" s="15"/>
    </row>
    <row r="440" ht="15.75" customHeight="1">
      <c r="A440" s="14"/>
      <c r="B440" s="15"/>
      <c r="C440" s="15"/>
      <c r="D440" s="16"/>
      <c r="E440" s="17"/>
      <c r="F440" s="17"/>
      <c r="G440" s="17"/>
      <c r="H440" s="17"/>
      <c r="I440" s="15"/>
      <c r="J440" s="15"/>
      <c r="K440" s="15"/>
      <c r="L440" s="18"/>
      <c r="M440" s="18"/>
      <c r="N440" s="18"/>
      <c r="O440" s="15"/>
      <c r="P440" s="15"/>
      <c r="Q440" s="15"/>
      <c r="R440" s="15"/>
      <c r="S440" s="15"/>
      <c r="T440" s="15"/>
      <c r="U440" s="15"/>
      <c r="V440" s="15"/>
    </row>
    <row r="441" ht="15.75" customHeight="1">
      <c r="A441" s="14"/>
      <c r="B441" s="15"/>
      <c r="C441" s="15"/>
      <c r="D441" s="16"/>
      <c r="E441" s="17"/>
      <c r="F441" s="17"/>
      <c r="G441" s="17"/>
      <c r="H441" s="17"/>
      <c r="I441" s="15"/>
      <c r="J441" s="15"/>
      <c r="K441" s="15"/>
      <c r="L441" s="18"/>
      <c r="M441" s="18"/>
      <c r="N441" s="18"/>
      <c r="O441" s="15"/>
      <c r="P441" s="15"/>
      <c r="Q441" s="15"/>
      <c r="R441" s="15"/>
      <c r="S441" s="15"/>
      <c r="T441" s="15"/>
      <c r="U441" s="15"/>
      <c r="V441" s="15"/>
    </row>
    <row r="442" ht="15.75" customHeight="1">
      <c r="A442" s="14"/>
      <c r="B442" s="15"/>
      <c r="C442" s="15"/>
      <c r="D442" s="16"/>
      <c r="E442" s="17"/>
      <c r="F442" s="17"/>
      <c r="G442" s="17"/>
      <c r="H442" s="17"/>
      <c r="I442" s="15"/>
      <c r="J442" s="15"/>
      <c r="K442" s="15"/>
      <c r="L442" s="18"/>
      <c r="M442" s="18"/>
      <c r="N442" s="18"/>
      <c r="O442" s="15"/>
      <c r="P442" s="15"/>
      <c r="Q442" s="15"/>
      <c r="R442" s="15"/>
      <c r="S442" s="15"/>
      <c r="T442" s="15"/>
      <c r="U442" s="15"/>
      <c r="V442" s="15"/>
    </row>
    <row r="443" ht="15.75" customHeight="1">
      <c r="A443" s="14"/>
      <c r="B443" s="15"/>
      <c r="C443" s="15"/>
      <c r="D443" s="16"/>
      <c r="E443" s="17"/>
      <c r="F443" s="17"/>
      <c r="G443" s="17"/>
      <c r="H443" s="17"/>
      <c r="I443" s="15"/>
      <c r="J443" s="15"/>
      <c r="K443" s="15"/>
      <c r="L443" s="18"/>
      <c r="M443" s="18"/>
      <c r="N443" s="18"/>
      <c r="O443" s="15"/>
      <c r="P443" s="15"/>
      <c r="Q443" s="15"/>
      <c r="R443" s="15"/>
      <c r="S443" s="15"/>
      <c r="T443" s="15"/>
      <c r="U443" s="15"/>
      <c r="V443" s="15"/>
    </row>
    <row r="444" ht="15.75" customHeight="1">
      <c r="A444" s="14"/>
      <c r="B444" s="15"/>
      <c r="C444" s="15"/>
      <c r="D444" s="16"/>
      <c r="E444" s="17"/>
      <c r="F444" s="17"/>
      <c r="G444" s="17"/>
      <c r="H444" s="17"/>
      <c r="I444" s="15"/>
      <c r="J444" s="15"/>
      <c r="K444" s="15"/>
      <c r="L444" s="18"/>
      <c r="M444" s="18"/>
      <c r="N444" s="18"/>
      <c r="O444" s="15"/>
      <c r="P444" s="15"/>
      <c r="Q444" s="15"/>
      <c r="R444" s="15"/>
      <c r="S444" s="15"/>
      <c r="T444" s="15"/>
      <c r="U444" s="15"/>
      <c r="V444" s="15"/>
    </row>
    <row r="445" ht="15.75" customHeight="1">
      <c r="A445" s="14"/>
      <c r="B445" s="15"/>
      <c r="C445" s="15"/>
      <c r="D445" s="16"/>
      <c r="E445" s="17"/>
      <c r="F445" s="17"/>
      <c r="G445" s="17"/>
      <c r="H445" s="17"/>
      <c r="I445" s="15"/>
      <c r="J445" s="15"/>
      <c r="K445" s="15"/>
      <c r="L445" s="18"/>
      <c r="M445" s="18"/>
      <c r="N445" s="18"/>
      <c r="O445" s="15"/>
      <c r="P445" s="15"/>
      <c r="Q445" s="15"/>
      <c r="R445" s="15"/>
      <c r="S445" s="15"/>
      <c r="T445" s="15"/>
      <c r="U445" s="15"/>
      <c r="V445" s="15"/>
    </row>
    <row r="446" ht="15.75" customHeight="1">
      <c r="A446" s="14"/>
      <c r="B446" s="15"/>
      <c r="C446" s="15"/>
      <c r="D446" s="16"/>
      <c r="E446" s="17"/>
      <c r="F446" s="17"/>
      <c r="G446" s="17"/>
      <c r="H446" s="17"/>
      <c r="I446" s="15"/>
      <c r="J446" s="15"/>
      <c r="K446" s="15"/>
      <c r="L446" s="18"/>
      <c r="M446" s="18"/>
      <c r="N446" s="18"/>
      <c r="O446" s="15"/>
      <c r="P446" s="15"/>
      <c r="Q446" s="15"/>
      <c r="R446" s="15"/>
      <c r="S446" s="15"/>
      <c r="T446" s="15"/>
      <c r="U446" s="15"/>
      <c r="V446" s="15"/>
    </row>
    <row r="447" ht="15.75" customHeight="1">
      <c r="A447" s="14"/>
      <c r="B447" s="15"/>
      <c r="C447" s="15"/>
      <c r="D447" s="16"/>
      <c r="E447" s="17"/>
      <c r="F447" s="17"/>
      <c r="G447" s="17"/>
      <c r="H447" s="17"/>
      <c r="I447" s="15"/>
      <c r="J447" s="15"/>
      <c r="K447" s="15"/>
      <c r="L447" s="18"/>
      <c r="M447" s="18"/>
      <c r="N447" s="18"/>
      <c r="O447" s="15"/>
      <c r="P447" s="15"/>
      <c r="Q447" s="15"/>
      <c r="R447" s="15"/>
      <c r="S447" s="15"/>
      <c r="T447" s="15"/>
      <c r="U447" s="15"/>
      <c r="V447" s="15"/>
    </row>
    <row r="448" ht="15.75" customHeight="1">
      <c r="A448" s="14"/>
      <c r="B448" s="15"/>
      <c r="C448" s="15"/>
      <c r="D448" s="16"/>
      <c r="E448" s="17"/>
      <c r="F448" s="17"/>
      <c r="G448" s="17"/>
      <c r="H448" s="17"/>
      <c r="I448" s="15"/>
      <c r="J448" s="15"/>
      <c r="K448" s="15"/>
      <c r="L448" s="18"/>
      <c r="M448" s="18"/>
      <c r="N448" s="18"/>
      <c r="O448" s="15"/>
      <c r="P448" s="15"/>
      <c r="Q448" s="15"/>
      <c r="R448" s="15"/>
      <c r="S448" s="15"/>
      <c r="T448" s="15"/>
      <c r="U448" s="15"/>
      <c r="V448" s="15"/>
    </row>
    <row r="449" ht="15.75" customHeight="1">
      <c r="A449" s="14"/>
      <c r="B449" s="15"/>
      <c r="C449" s="15"/>
      <c r="D449" s="16"/>
      <c r="E449" s="17"/>
      <c r="F449" s="17"/>
      <c r="G449" s="17"/>
      <c r="H449" s="17"/>
      <c r="I449" s="15"/>
      <c r="J449" s="15"/>
      <c r="K449" s="15"/>
      <c r="L449" s="18"/>
      <c r="M449" s="18"/>
      <c r="N449" s="18"/>
      <c r="O449" s="15"/>
      <c r="P449" s="15"/>
      <c r="Q449" s="15"/>
      <c r="R449" s="15"/>
      <c r="S449" s="15"/>
      <c r="T449" s="15"/>
      <c r="U449" s="15"/>
      <c r="V449" s="15"/>
    </row>
    <row r="450" ht="15.75" customHeight="1">
      <c r="A450" s="14"/>
      <c r="B450" s="15"/>
      <c r="C450" s="15"/>
      <c r="D450" s="16"/>
      <c r="E450" s="17"/>
      <c r="F450" s="17"/>
      <c r="G450" s="17"/>
      <c r="H450" s="17"/>
      <c r="I450" s="15"/>
      <c r="J450" s="15"/>
      <c r="K450" s="15"/>
      <c r="L450" s="18"/>
      <c r="M450" s="18"/>
      <c r="N450" s="18"/>
      <c r="O450" s="15"/>
      <c r="P450" s="15"/>
      <c r="Q450" s="15"/>
      <c r="R450" s="15"/>
      <c r="S450" s="15"/>
      <c r="T450" s="15"/>
      <c r="U450" s="15"/>
      <c r="V450" s="15"/>
    </row>
    <row r="451" ht="15.75" customHeight="1">
      <c r="A451" s="14"/>
      <c r="B451" s="15"/>
      <c r="C451" s="15"/>
      <c r="D451" s="16"/>
      <c r="E451" s="17"/>
      <c r="F451" s="17"/>
      <c r="G451" s="17"/>
      <c r="H451" s="17"/>
      <c r="I451" s="15"/>
      <c r="J451" s="15"/>
      <c r="K451" s="15"/>
      <c r="L451" s="18"/>
      <c r="M451" s="18"/>
      <c r="N451" s="18"/>
      <c r="O451" s="15"/>
      <c r="P451" s="15"/>
      <c r="Q451" s="15"/>
      <c r="R451" s="15"/>
      <c r="S451" s="15"/>
      <c r="T451" s="15"/>
      <c r="U451" s="15"/>
      <c r="V451" s="15"/>
    </row>
    <row r="452" ht="15.75" customHeight="1">
      <c r="A452" s="14"/>
      <c r="B452" s="15"/>
      <c r="C452" s="15"/>
      <c r="D452" s="16"/>
      <c r="E452" s="17"/>
      <c r="F452" s="17"/>
      <c r="G452" s="17"/>
      <c r="H452" s="17"/>
      <c r="I452" s="15"/>
      <c r="J452" s="15"/>
      <c r="K452" s="15"/>
      <c r="L452" s="18"/>
      <c r="M452" s="18"/>
      <c r="N452" s="18"/>
      <c r="O452" s="15"/>
      <c r="P452" s="15"/>
      <c r="Q452" s="15"/>
      <c r="R452" s="15"/>
      <c r="S452" s="15"/>
      <c r="T452" s="15"/>
      <c r="U452" s="15"/>
      <c r="V452" s="15"/>
    </row>
    <row r="453" ht="15.75" customHeight="1">
      <c r="A453" s="14"/>
      <c r="B453" s="15"/>
      <c r="C453" s="15"/>
      <c r="D453" s="16"/>
      <c r="E453" s="17"/>
      <c r="F453" s="17"/>
      <c r="G453" s="17"/>
      <c r="H453" s="17"/>
      <c r="I453" s="15"/>
      <c r="J453" s="15"/>
      <c r="K453" s="15"/>
      <c r="L453" s="18"/>
      <c r="M453" s="18"/>
      <c r="N453" s="18"/>
      <c r="O453" s="15"/>
      <c r="P453" s="15"/>
      <c r="Q453" s="15"/>
      <c r="R453" s="15"/>
      <c r="S453" s="15"/>
      <c r="T453" s="15"/>
      <c r="U453" s="15"/>
      <c r="V453" s="15"/>
    </row>
    <row r="454" ht="15.75" customHeight="1">
      <c r="A454" s="14"/>
      <c r="B454" s="15"/>
      <c r="C454" s="15"/>
      <c r="D454" s="16"/>
      <c r="E454" s="17"/>
      <c r="F454" s="17"/>
      <c r="G454" s="17"/>
      <c r="H454" s="17"/>
      <c r="I454" s="15"/>
      <c r="J454" s="15"/>
      <c r="K454" s="15"/>
      <c r="L454" s="18"/>
      <c r="M454" s="18"/>
      <c r="N454" s="18"/>
      <c r="O454" s="15"/>
      <c r="P454" s="15"/>
      <c r="Q454" s="15"/>
      <c r="R454" s="15"/>
      <c r="S454" s="15"/>
      <c r="T454" s="15"/>
      <c r="U454" s="15"/>
      <c r="V454" s="15"/>
    </row>
    <row r="455" ht="15.75" customHeight="1">
      <c r="A455" s="14"/>
      <c r="B455" s="15"/>
      <c r="C455" s="15"/>
      <c r="D455" s="16"/>
      <c r="E455" s="17"/>
      <c r="F455" s="17"/>
      <c r="G455" s="17"/>
      <c r="H455" s="17"/>
      <c r="I455" s="15"/>
      <c r="J455" s="15"/>
      <c r="K455" s="15"/>
      <c r="L455" s="18"/>
      <c r="M455" s="18"/>
      <c r="N455" s="18"/>
      <c r="O455" s="15"/>
      <c r="P455" s="15"/>
      <c r="Q455" s="15"/>
      <c r="R455" s="15"/>
      <c r="S455" s="15"/>
      <c r="T455" s="15"/>
      <c r="U455" s="15"/>
      <c r="V455" s="15"/>
    </row>
    <row r="456" ht="15.75" customHeight="1">
      <c r="A456" s="14"/>
      <c r="B456" s="15"/>
      <c r="C456" s="15"/>
      <c r="D456" s="16"/>
      <c r="E456" s="17"/>
      <c r="F456" s="17"/>
      <c r="G456" s="17"/>
      <c r="H456" s="17"/>
      <c r="I456" s="15"/>
      <c r="J456" s="15"/>
      <c r="K456" s="15"/>
      <c r="L456" s="18"/>
      <c r="M456" s="18"/>
      <c r="N456" s="18"/>
      <c r="O456" s="15"/>
      <c r="P456" s="15"/>
      <c r="Q456" s="15"/>
      <c r="R456" s="15"/>
      <c r="S456" s="15"/>
      <c r="T456" s="15"/>
      <c r="U456" s="15"/>
      <c r="V456" s="15"/>
    </row>
    <row r="457" ht="15.75" customHeight="1">
      <c r="A457" s="14"/>
      <c r="B457" s="15"/>
      <c r="C457" s="15"/>
      <c r="D457" s="16"/>
      <c r="E457" s="17"/>
      <c r="F457" s="17"/>
      <c r="G457" s="17"/>
      <c r="H457" s="17"/>
      <c r="I457" s="15"/>
      <c r="J457" s="15"/>
      <c r="K457" s="15"/>
      <c r="L457" s="18"/>
      <c r="M457" s="18"/>
      <c r="N457" s="18"/>
      <c r="O457" s="15"/>
      <c r="P457" s="15"/>
      <c r="Q457" s="15"/>
      <c r="R457" s="15"/>
      <c r="S457" s="15"/>
      <c r="T457" s="15"/>
      <c r="U457" s="15"/>
      <c r="V457" s="15"/>
    </row>
    <row r="458" ht="15.75" customHeight="1">
      <c r="A458" s="14"/>
      <c r="B458" s="15"/>
      <c r="C458" s="15"/>
      <c r="D458" s="16"/>
      <c r="E458" s="17"/>
      <c r="F458" s="17"/>
      <c r="G458" s="17"/>
      <c r="H458" s="17"/>
      <c r="I458" s="15"/>
      <c r="J458" s="15"/>
      <c r="K458" s="15"/>
      <c r="L458" s="18"/>
      <c r="M458" s="18"/>
      <c r="N458" s="18"/>
      <c r="O458" s="15"/>
      <c r="P458" s="15"/>
      <c r="Q458" s="15"/>
      <c r="R458" s="15"/>
      <c r="S458" s="15"/>
      <c r="T458" s="15"/>
      <c r="U458" s="15"/>
      <c r="V458" s="15"/>
    </row>
    <row r="459" ht="15.75" customHeight="1">
      <c r="A459" s="14"/>
      <c r="B459" s="15"/>
      <c r="C459" s="15"/>
      <c r="D459" s="16"/>
      <c r="E459" s="17"/>
      <c r="F459" s="17"/>
      <c r="G459" s="17"/>
      <c r="H459" s="17"/>
      <c r="I459" s="15"/>
      <c r="J459" s="15"/>
      <c r="K459" s="15"/>
      <c r="L459" s="18"/>
      <c r="M459" s="18"/>
      <c r="N459" s="18"/>
      <c r="O459" s="15"/>
      <c r="P459" s="15"/>
      <c r="Q459" s="15"/>
      <c r="R459" s="15"/>
      <c r="S459" s="15"/>
      <c r="T459" s="15"/>
      <c r="U459" s="15"/>
      <c r="V459" s="15"/>
    </row>
    <row r="460" ht="15.75" customHeight="1">
      <c r="A460" s="14"/>
      <c r="B460" s="15"/>
      <c r="C460" s="15"/>
      <c r="D460" s="16"/>
      <c r="E460" s="17"/>
      <c r="F460" s="17"/>
      <c r="G460" s="17"/>
      <c r="H460" s="17"/>
      <c r="I460" s="15"/>
      <c r="J460" s="15"/>
      <c r="K460" s="15"/>
      <c r="L460" s="18"/>
      <c r="M460" s="18"/>
      <c r="N460" s="18"/>
      <c r="O460" s="15"/>
      <c r="P460" s="15"/>
      <c r="Q460" s="15"/>
      <c r="R460" s="15"/>
      <c r="S460" s="15"/>
      <c r="T460" s="15"/>
      <c r="U460" s="15"/>
      <c r="V460" s="15"/>
    </row>
    <row r="461" ht="15.75" customHeight="1">
      <c r="A461" s="14"/>
      <c r="B461" s="15"/>
      <c r="C461" s="15"/>
      <c r="D461" s="16"/>
      <c r="E461" s="17"/>
      <c r="F461" s="17"/>
      <c r="G461" s="17"/>
      <c r="H461" s="17"/>
      <c r="I461" s="15"/>
      <c r="J461" s="15"/>
      <c r="K461" s="15"/>
      <c r="L461" s="18"/>
      <c r="M461" s="18"/>
      <c r="N461" s="18"/>
      <c r="O461" s="15"/>
      <c r="P461" s="15"/>
      <c r="Q461" s="15"/>
      <c r="R461" s="15"/>
      <c r="S461" s="15"/>
      <c r="T461" s="15"/>
      <c r="U461" s="15"/>
      <c r="V461" s="15"/>
    </row>
    <row r="462" ht="15.75" customHeight="1">
      <c r="A462" s="14"/>
      <c r="B462" s="15"/>
      <c r="C462" s="15"/>
      <c r="D462" s="16"/>
      <c r="E462" s="17"/>
      <c r="F462" s="17"/>
      <c r="G462" s="17"/>
      <c r="H462" s="17"/>
      <c r="I462" s="15"/>
      <c r="J462" s="15"/>
      <c r="K462" s="15"/>
      <c r="L462" s="18"/>
      <c r="M462" s="18"/>
      <c r="N462" s="18"/>
      <c r="O462" s="15"/>
      <c r="P462" s="15"/>
      <c r="Q462" s="15"/>
      <c r="R462" s="15"/>
      <c r="S462" s="15"/>
      <c r="T462" s="15"/>
      <c r="U462" s="15"/>
      <c r="V462" s="15"/>
    </row>
    <row r="463" ht="15.75" customHeight="1">
      <c r="A463" s="14"/>
      <c r="B463" s="15"/>
      <c r="C463" s="15"/>
      <c r="D463" s="16"/>
      <c r="E463" s="17"/>
      <c r="F463" s="17"/>
      <c r="G463" s="17"/>
      <c r="H463" s="17"/>
      <c r="I463" s="15"/>
      <c r="J463" s="15"/>
      <c r="K463" s="15"/>
      <c r="L463" s="18"/>
      <c r="M463" s="18"/>
      <c r="N463" s="18"/>
      <c r="O463" s="15"/>
      <c r="P463" s="15"/>
      <c r="Q463" s="15"/>
      <c r="R463" s="15"/>
      <c r="S463" s="15"/>
      <c r="T463" s="15"/>
      <c r="U463" s="15"/>
      <c r="V463" s="15"/>
    </row>
    <row r="464" ht="15.75" customHeight="1">
      <c r="A464" s="14"/>
      <c r="B464" s="15"/>
      <c r="C464" s="15"/>
      <c r="D464" s="16"/>
      <c r="E464" s="17"/>
      <c r="F464" s="17"/>
      <c r="G464" s="17"/>
      <c r="H464" s="17"/>
      <c r="I464" s="15"/>
      <c r="J464" s="15"/>
      <c r="K464" s="15"/>
      <c r="L464" s="18"/>
      <c r="M464" s="18"/>
      <c r="N464" s="18"/>
      <c r="O464" s="15"/>
      <c r="P464" s="15"/>
      <c r="Q464" s="15"/>
      <c r="R464" s="15"/>
      <c r="S464" s="15"/>
      <c r="T464" s="15"/>
      <c r="U464" s="15"/>
      <c r="V464" s="15"/>
    </row>
    <row r="465" ht="15.75" customHeight="1">
      <c r="A465" s="14"/>
      <c r="B465" s="15"/>
      <c r="C465" s="15"/>
      <c r="D465" s="16"/>
      <c r="E465" s="17"/>
      <c r="F465" s="17"/>
      <c r="G465" s="17"/>
      <c r="H465" s="17"/>
      <c r="I465" s="15"/>
      <c r="J465" s="15"/>
      <c r="K465" s="15"/>
      <c r="L465" s="18"/>
      <c r="M465" s="18"/>
      <c r="N465" s="18"/>
      <c r="O465" s="15"/>
      <c r="P465" s="15"/>
      <c r="Q465" s="15"/>
      <c r="R465" s="15"/>
      <c r="S465" s="15"/>
      <c r="T465" s="15"/>
      <c r="U465" s="15"/>
      <c r="V465" s="15"/>
    </row>
    <row r="466" ht="15.75" customHeight="1">
      <c r="A466" s="14"/>
      <c r="B466" s="15"/>
      <c r="C466" s="15"/>
      <c r="D466" s="16"/>
      <c r="E466" s="17"/>
      <c r="F466" s="17"/>
      <c r="G466" s="17"/>
      <c r="H466" s="17"/>
      <c r="I466" s="15"/>
      <c r="J466" s="15"/>
      <c r="K466" s="15"/>
      <c r="L466" s="18"/>
      <c r="M466" s="18"/>
      <c r="N466" s="18"/>
      <c r="O466" s="15"/>
      <c r="P466" s="15"/>
      <c r="Q466" s="15"/>
      <c r="R466" s="15"/>
      <c r="S466" s="15"/>
      <c r="T466" s="15"/>
      <c r="U466" s="15"/>
      <c r="V466" s="15"/>
    </row>
    <row r="467" ht="15.75" customHeight="1">
      <c r="A467" s="14"/>
      <c r="B467" s="15"/>
      <c r="C467" s="15"/>
      <c r="D467" s="16"/>
      <c r="E467" s="17"/>
      <c r="F467" s="17"/>
      <c r="G467" s="17"/>
      <c r="H467" s="17"/>
      <c r="I467" s="15"/>
      <c r="J467" s="15"/>
      <c r="K467" s="15"/>
      <c r="L467" s="18"/>
      <c r="M467" s="18"/>
      <c r="N467" s="18"/>
      <c r="O467" s="15"/>
      <c r="P467" s="15"/>
      <c r="Q467" s="15"/>
      <c r="R467" s="15"/>
      <c r="S467" s="15"/>
      <c r="T467" s="15"/>
      <c r="U467" s="15"/>
      <c r="V467" s="15"/>
    </row>
    <row r="468" ht="15.75" customHeight="1">
      <c r="A468" s="14"/>
      <c r="B468" s="15"/>
      <c r="C468" s="15"/>
      <c r="D468" s="16"/>
      <c r="E468" s="17"/>
      <c r="F468" s="17"/>
      <c r="G468" s="17"/>
      <c r="H468" s="17"/>
      <c r="I468" s="15"/>
      <c r="J468" s="15"/>
      <c r="K468" s="15"/>
      <c r="L468" s="18"/>
      <c r="M468" s="18"/>
      <c r="N468" s="18"/>
      <c r="O468" s="15"/>
      <c r="P468" s="15"/>
      <c r="Q468" s="15"/>
      <c r="R468" s="15"/>
      <c r="S468" s="15"/>
      <c r="T468" s="15"/>
      <c r="U468" s="15"/>
      <c r="V468" s="15"/>
    </row>
    <row r="469" ht="15.75" customHeight="1">
      <c r="A469" s="14"/>
      <c r="B469" s="15"/>
      <c r="C469" s="15"/>
      <c r="D469" s="16"/>
      <c r="E469" s="17"/>
      <c r="F469" s="17"/>
      <c r="G469" s="17"/>
      <c r="H469" s="17"/>
      <c r="I469" s="15"/>
      <c r="J469" s="15"/>
      <c r="K469" s="15"/>
      <c r="L469" s="18"/>
      <c r="M469" s="18"/>
      <c r="N469" s="18"/>
      <c r="O469" s="15"/>
      <c r="P469" s="15"/>
      <c r="Q469" s="15"/>
      <c r="R469" s="15"/>
      <c r="S469" s="15"/>
      <c r="T469" s="15"/>
      <c r="U469" s="15"/>
      <c r="V469" s="15"/>
    </row>
    <row r="470" ht="15.75" customHeight="1">
      <c r="A470" s="14"/>
      <c r="B470" s="15"/>
      <c r="C470" s="15"/>
      <c r="D470" s="16"/>
      <c r="E470" s="17"/>
      <c r="F470" s="17"/>
      <c r="G470" s="17"/>
      <c r="H470" s="17"/>
      <c r="I470" s="15"/>
      <c r="J470" s="15"/>
      <c r="K470" s="15"/>
      <c r="L470" s="18"/>
      <c r="M470" s="18"/>
      <c r="N470" s="18"/>
      <c r="O470" s="15"/>
      <c r="P470" s="15"/>
      <c r="Q470" s="15"/>
      <c r="R470" s="15"/>
      <c r="S470" s="15"/>
      <c r="T470" s="15"/>
      <c r="U470" s="15"/>
      <c r="V470" s="15"/>
    </row>
    <row r="471" ht="15.75" customHeight="1">
      <c r="A471" s="14"/>
      <c r="B471" s="15"/>
      <c r="C471" s="15"/>
      <c r="D471" s="16"/>
      <c r="E471" s="17"/>
      <c r="F471" s="17"/>
      <c r="G471" s="17"/>
      <c r="H471" s="17"/>
      <c r="I471" s="15"/>
      <c r="J471" s="15"/>
      <c r="K471" s="15"/>
      <c r="L471" s="18"/>
      <c r="M471" s="18"/>
      <c r="N471" s="18"/>
      <c r="O471" s="15"/>
      <c r="P471" s="15"/>
      <c r="Q471" s="15"/>
      <c r="R471" s="15"/>
      <c r="S471" s="15"/>
      <c r="T471" s="15"/>
      <c r="U471" s="15"/>
      <c r="V471" s="15"/>
    </row>
    <row r="472" ht="15.75" customHeight="1">
      <c r="A472" s="14"/>
      <c r="B472" s="15"/>
      <c r="C472" s="15"/>
      <c r="D472" s="16"/>
      <c r="E472" s="17"/>
      <c r="F472" s="17"/>
      <c r="G472" s="17"/>
      <c r="H472" s="17"/>
      <c r="I472" s="15"/>
      <c r="J472" s="15"/>
      <c r="K472" s="15"/>
      <c r="L472" s="18"/>
      <c r="M472" s="18"/>
      <c r="N472" s="18"/>
      <c r="O472" s="15"/>
      <c r="P472" s="15"/>
      <c r="Q472" s="15"/>
      <c r="R472" s="15"/>
      <c r="S472" s="15"/>
      <c r="T472" s="15"/>
      <c r="U472" s="15"/>
      <c r="V472" s="15"/>
    </row>
    <row r="473" ht="15.75" customHeight="1">
      <c r="A473" s="14"/>
      <c r="B473" s="15"/>
      <c r="C473" s="15"/>
      <c r="D473" s="16"/>
      <c r="E473" s="17"/>
      <c r="F473" s="17"/>
      <c r="G473" s="17"/>
      <c r="H473" s="17"/>
      <c r="I473" s="15"/>
      <c r="J473" s="15"/>
      <c r="K473" s="15"/>
      <c r="L473" s="18"/>
      <c r="M473" s="18"/>
      <c r="N473" s="18"/>
      <c r="O473" s="15"/>
      <c r="P473" s="15"/>
      <c r="Q473" s="15"/>
      <c r="R473" s="15"/>
      <c r="S473" s="15"/>
      <c r="T473" s="15"/>
      <c r="U473" s="15"/>
      <c r="V473" s="15"/>
    </row>
    <row r="474" ht="15.75" customHeight="1">
      <c r="A474" s="14"/>
      <c r="B474" s="15"/>
      <c r="C474" s="15"/>
      <c r="D474" s="16"/>
      <c r="E474" s="17"/>
      <c r="F474" s="17"/>
      <c r="G474" s="17"/>
      <c r="H474" s="17"/>
      <c r="I474" s="15"/>
      <c r="J474" s="15"/>
      <c r="K474" s="15"/>
      <c r="L474" s="18"/>
      <c r="M474" s="18"/>
      <c r="N474" s="18"/>
      <c r="O474" s="15"/>
      <c r="P474" s="15"/>
      <c r="Q474" s="15"/>
      <c r="R474" s="15"/>
      <c r="S474" s="15"/>
      <c r="T474" s="15"/>
      <c r="U474" s="15"/>
      <c r="V474" s="15"/>
    </row>
    <row r="475" ht="15.75" customHeight="1">
      <c r="A475" s="14"/>
      <c r="B475" s="15"/>
      <c r="C475" s="15"/>
      <c r="D475" s="16"/>
      <c r="E475" s="17"/>
      <c r="F475" s="17"/>
      <c r="G475" s="17"/>
      <c r="H475" s="17"/>
      <c r="I475" s="15"/>
      <c r="J475" s="15"/>
      <c r="K475" s="15"/>
      <c r="L475" s="18"/>
      <c r="M475" s="18"/>
      <c r="N475" s="18"/>
      <c r="O475" s="15"/>
      <c r="P475" s="15"/>
      <c r="Q475" s="15"/>
      <c r="R475" s="15"/>
      <c r="S475" s="15"/>
      <c r="T475" s="15"/>
      <c r="U475" s="15"/>
      <c r="V475" s="15"/>
    </row>
    <row r="476" ht="15.75" customHeight="1">
      <c r="A476" s="14"/>
      <c r="B476" s="15"/>
      <c r="C476" s="15"/>
      <c r="D476" s="16"/>
      <c r="E476" s="17"/>
      <c r="F476" s="17"/>
      <c r="G476" s="17"/>
      <c r="H476" s="17"/>
      <c r="I476" s="15"/>
      <c r="J476" s="15"/>
      <c r="K476" s="15"/>
      <c r="L476" s="18"/>
      <c r="M476" s="18"/>
      <c r="N476" s="18"/>
      <c r="O476" s="15"/>
      <c r="P476" s="15"/>
      <c r="Q476" s="15"/>
      <c r="R476" s="15"/>
      <c r="S476" s="15"/>
      <c r="T476" s="15"/>
      <c r="U476" s="15"/>
      <c r="V476" s="15"/>
    </row>
    <row r="477" ht="15.75" customHeight="1">
      <c r="A477" s="14"/>
      <c r="B477" s="15"/>
      <c r="C477" s="15"/>
      <c r="D477" s="16"/>
      <c r="E477" s="17"/>
      <c r="F477" s="17"/>
      <c r="G477" s="17"/>
      <c r="H477" s="17"/>
      <c r="I477" s="15"/>
      <c r="J477" s="15"/>
      <c r="K477" s="15"/>
      <c r="L477" s="18"/>
      <c r="M477" s="18"/>
      <c r="N477" s="18"/>
      <c r="O477" s="15"/>
      <c r="P477" s="15"/>
      <c r="Q477" s="15"/>
      <c r="R477" s="15"/>
      <c r="S477" s="15"/>
      <c r="T477" s="15"/>
      <c r="U477" s="15"/>
      <c r="V477" s="15"/>
    </row>
    <row r="478" ht="15.75" customHeight="1">
      <c r="A478" s="14"/>
      <c r="B478" s="15"/>
      <c r="C478" s="15"/>
      <c r="D478" s="16"/>
      <c r="E478" s="17"/>
      <c r="F478" s="17"/>
      <c r="G478" s="17"/>
      <c r="H478" s="17"/>
      <c r="I478" s="15"/>
      <c r="J478" s="15"/>
      <c r="K478" s="15"/>
      <c r="L478" s="18"/>
      <c r="M478" s="18"/>
      <c r="N478" s="18"/>
      <c r="O478" s="15"/>
      <c r="P478" s="15"/>
      <c r="Q478" s="15"/>
      <c r="R478" s="15"/>
      <c r="S478" s="15"/>
      <c r="T478" s="15"/>
      <c r="U478" s="15"/>
      <c r="V478" s="15"/>
    </row>
    <row r="479" ht="15.75" customHeight="1">
      <c r="A479" s="14"/>
      <c r="B479" s="15"/>
      <c r="C479" s="15"/>
      <c r="D479" s="16"/>
      <c r="E479" s="17"/>
      <c r="F479" s="17"/>
      <c r="G479" s="17"/>
      <c r="H479" s="17"/>
      <c r="I479" s="15"/>
      <c r="J479" s="15"/>
      <c r="K479" s="15"/>
      <c r="L479" s="18"/>
      <c r="M479" s="18"/>
      <c r="N479" s="18"/>
      <c r="O479" s="15"/>
      <c r="P479" s="15"/>
      <c r="Q479" s="15"/>
      <c r="R479" s="15"/>
      <c r="S479" s="15"/>
      <c r="T479" s="15"/>
      <c r="U479" s="15"/>
      <c r="V479" s="15"/>
    </row>
    <row r="480" ht="15.75" customHeight="1">
      <c r="A480" s="14"/>
      <c r="B480" s="15"/>
      <c r="C480" s="15"/>
      <c r="D480" s="16"/>
      <c r="E480" s="17"/>
      <c r="F480" s="17"/>
      <c r="G480" s="17"/>
      <c r="H480" s="17"/>
      <c r="I480" s="15"/>
      <c r="J480" s="15"/>
      <c r="K480" s="15"/>
      <c r="L480" s="18"/>
      <c r="M480" s="18"/>
      <c r="N480" s="18"/>
      <c r="O480" s="15"/>
      <c r="P480" s="15"/>
      <c r="Q480" s="15"/>
      <c r="R480" s="15"/>
      <c r="S480" s="15"/>
      <c r="T480" s="15"/>
      <c r="U480" s="15"/>
      <c r="V480" s="15"/>
    </row>
    <row r="481" ht="15.75" customHeight="1">
      <c r="A481" s="14"/>
      <c r="B481" s="15"/>
      <c r="C481" s="15"/>
      <c r="D481" s="16"/>
      <c r="E481" s="17"/>
      <c r="F481" s="17"/>
      <c r="G481" s="17"/>
      <c r="H481" s="17"/>
      <c r="I481" s="15"/>
      <c r="J481" s="15"/>
      <c r="K481" s="15"/>
      <c r="L481" s="18"/>
      <c r="M481" s="18"/>
      <c r="N481" s="18"/>
      <c r="O481" s="15"/>
      <c r="P481" s="15"/>
      <c r="Q481" s="15"/>
      <c r="R481" s="15"/>
      <c r="S481" s="15"/>
      <c r="T481" s="15"/>
      <c r="U481" s="15"/>
      <c r="V481" s="15"/>
    </row>
    <row r="482" ht="15.75" customHeight="1">
      <c r="A482" s="14"/>
      <c r="B482" s="15"/>
      <c r="C482" s="15"/>
      <c r="D482" s="16"/>
      <c r="E482" s="17"/>
      <c r="F482" s="17"/>
      <c r="G482" s="17"/>
      <c r="H482" s="17"/>
      <c r="I482" s="15"/>
      <c r="J482" s="15"/>
      <c r="K482" s="15"/>
      <c r="L482" s="18"/>
      <c r="M482" s="18"/>
      <c r="N482" s="18"/>
      <c r="O482" s="15"/>
      <c r="P482" s="15"/>
      <c r="Q482" s="15"/>
      <c r="R482" s="15"/>
      <c r="S482" s="15"/>
      <c r="T482" s="15"/>
      <c r="U482" s="15"/>
      <c r="V482" s="15"/>
    </row>
    <row r="483" ht="15.75" customHeight="1">
      <c r="A483" s="14"/>
      <c r="B483" s="15"/>
      <c r="C483" s="15"/>
      <c r="D483" s="16"/>
      <c r="E483" s="17"/>
      <c r="F483" s="17"/>
      <c r="G483" s="17"/>
      <c r="H483" s="17"/>
      <c r="I483" s="15"/>
      <c r="J483" s="15"/>
      <c r="K483" s="15"/>
      <c r="L483" s="18"/>
      <c r="M483" s="18"/>
      <c r="N483" s="18"/>
      <c r="O483" s="15"/>
      <c r="P483" s="15"/>
      <c r="Q483" s="15"/>
      <c r="R483" s="15"/>
      <c r="S483" s="15"/>
      <c r="T483" s="15"/>
      <c r="U483" s="15"/>
      <c r="V483" s="15"/>
    </row>
    <row r="484" ht="15.75" customHeight="1">
      <c r="A484" s="14"/>
      <c r="B484" s="15"/>
      <c r="C484" s="15"/>
      <c r="D484" s="16"/>
      <c r="E484" s="17"/>
      <c r="F484" s="17"/>
      <c r="G484" s="17"/>
      <c r="H484" s="17"/>
      <c r="I484" s="15"/>
      <c r="J484" s="15"/>
      <c r="K484" s="15"/>
      <c r="L484" s="18"/>
      <c r="M484" s="18"/>
      <c r="N484" s="18"/>
      <c r="O484" s="15"/>
      <c r="P484" s="15"/>
      <c r="Q484" s="15"/>
      <c r="R484" s="15"/>
      <c r="S484" s="15"/>
      <c r="T484" s="15"/>
      <c r="U484" s="15"/>
      <c r="V484" s="15"/>
    </row>
    <row r="485" ht="15.75" customHeight="1">
      <c r="A485" s="14"/>
      <c r="B485" s="15"/>
      <c r="C485" s="15"/>
      <c r="D485" s="16"/>
      <c r="E485" s="17"/>
      <c r="F485" s="17"/>
      <c r="G485" s="17"/>
      <c r="H485" s="17"/>
      <c r="I485" s="15"/>
      <c r="J485" s="15"/>
      <c r="K485" s="15"/>
      <c r="L485" s="18"/>
      <c r="M485" s="18"/>
      <c r="N485" s="18"/>
      <c r="O485" s="15"/>
      <c r="P485" s="15"/>
      <c r="Q485" s="15"/>
      <c r="R485" s="15"/>
      <c r="S485" s="15"/>
      <c r="T485" s="15"/>
      <c r="U485" s="15"/>
      <c r="V485" s="15"/>
    </row>
    <row r="486" ht="15.75" customHeight="1">
      <c r="A486" s="14"/>
      <c r="B486" s="15"/>
      <c r="C486" s="15"/>
      <c r="D486" s="16"/>
      <c r="E486" s="17"/>
      <c r="F486" s="17"/>
      <c r="G486" s="17"/>
      <c r="H486" s="17"/>
      <c r="I486" s="15"/>
      <c r="J486" s="15"/>
      <c r="K486" s="15"/>
      <c r="L486" s="18"/>
      <c r="M486" s="18"/>
      <c r="N486" s="18"/>
      <c r="O486" s="15"/>
      <c r="P486" s="15"/>
      <c r="Q486" s="15"/>
      <c r="R486" s="15"/>
      <c r="S486" s="15"/>
      <c r="T486" s="15"/>
      <c r="U486" s="15"/>
      <c r="V486" s="15"/>
    </row>
    <row r="487" ht="15.75" customHeight="1">
      <c r="A487" s="14"/>
      <c r="B487" s="15"/>
      <c r="C487" s="15"/>
      <c r="D487" s="16"/>
      <c r="E487" s="17"/>
      <c r="F487" s="17"/>
      <c r="G487" s="17"/>
      <c r="H487" s="17"/>
      <c r="I487" s="15"/>
      <c r="J487" s="15"/>
      <c r="K487" s="15"/>
      <c r="L487" s="18"/>
      <c r="M487" s="18"/>
      <c r="N487" s="18"/>
      <c r="O487" s="15"/>
      <c r="P487" s="15"/>
      <c r="Q487" s="15"/>
      <c r="R487" s="15"/>
      <c r="S487" s="15"/>
      <c r="T487" s="15"/>
      <c r="U487" s="15"/>
      <c r="V487" s="15"/>
    </row>
    <row r="488" ht="15.75" customHeight="1">
      <c r="A488" s="14"/>
      <c r="B488" s="15"/>
      <c r="C488" s="15"/>
      <c r="D488" s="16"/>
      <c r="E488" s="17"/>
      <c r="F488" s="17"/>
      <c r="G488" s="17"/>
      <c r="H488" s="17"/>
      <c r="I488" s="15"/>
      <c r="J488" s="15"/>
      <c r="K488" s="15"/>
      <c r="L488" s="18"/>
      <c r="M488" s="18"/>
      <c r="N488" s="18"/>
      <c r="O488" s="15"/>
      <c r="P488" s="15"/>
      <c r="Q488" s="15"/>
      <c r="R488" s="15"/>
      <c r="S488" s="15"/>
      <c r="T488" s="15"/>
      <c r="U488" s="15"/>
      <c r="V488" s="15"/>
    </row>
    <row r="489" ht="15.75" customHeight="1">
      <c r="A489" s="14"/>
      <c r="B489" s="15"/>
      <c r="C489" s="15"/>
      <c r="D489" s="16"/>
      <c r="E489" s="17"/>
      <c r="F489" s="17"/>
      <c r="G489" s="17"/>
      <c r="H489" s="17"/>
      <c r="I489" s="15"/>
      <c r="J489" s="15"/>
      <c r="K489" s="15"/>
      <c r="L489" s="18"/>
      <c r="M489" s="18"/>
      <c r="N489" s="18"/>
      <c r="O489" s="15"/>
      <c r="P489" s="15"/>
      <c r="Q489" s="15"/>
      <c r="R489" s="15"/>
      <c r="S489" s="15"/>
      <c r="T489" s="15"/>
      <c r="U489" s="15"/>
      <c r="V489" s="15"/>
    </row>
    <row r="490" ht="15.75" customHeight="1">
      <c r="A490" s="14"/>
      <c r="B490" s="15"/>
      <c r="C490" s="15"/>
      <c r="D490" s="16"/>
      <c r="E490" s="17"/>
      <c r="F490" s="17"/>
      <c r="G490" s="17"/>
      <c r="H490" s="17"/>
      <c r="I490" s="15"/>
      <c r="J490" s="15"/>
      <c r="K490" s="15"/>
      <c r="L490" s="18"/>
      <c r="M490" s="18"/>
      <c r="N490" s="18"/>
      <c r="O490" s="15"/>
      <c r="P490" s="15"/>
      <c r="Q490" s="15"/>
      <c r="R490" s="15"/>
      <c r="S490" s="15"/>
      <c r="T490" s="15"/>
      <c r="U490" s="15"/>
      <c r="V490" s="15"/>
    </row>
    <row r="491" ht="15.75" customHeight="1">
      <c r="A491" s="14"/>
      <c r="B491" s="15"/>
      <c r="C491" s="15"/>
      <c r="D491" s="16"/>
      <c r="E491" s="17"/>
      <c r="F491" s="17"/>
      <c r="G491" s="17"/>
      <c r="H491" s="17"/>
      <c r="I491" s="15"/>
      <c r="J491" s="15"/>
      <c r="K491" s="15"/>
      <c r="L491" s="18"/>
      <c r="M491" s="18"/>
      <c r="N491" s="18"/>
      <c r="O491" s="15"/>
      <c r="P491" s="15"/>
      <c r="Q491" s="15"/>
      <c r="R491" s="15"/>
      <c r="S491" s="15"/>
      <c r="T491" s="15"/>
      <c r="U491" s="15"/>
      <c r="V491" s="15"/>
    </row>
    <row r="492" ht="15.75" customHeight="1">
      <c r="A492" s="14"/>
      <c r="B492" s="15"/>
      <c r="C492" s="15"/>
      <c r="D492" s="16"/>
      <c r="E492" s="17"/>
      <c r="F492" s="17"/>
      <c r="G492" s="17"/>
      <c r="H492" s="17"/>
      <c r="I492" s="15"/>
      <c r="J492" s="15"/>
      <c r="K492" s="15"/>
      <c r="L492" s="18"/>
      <c r="M492" s="18"/>
      <c r="N492" s="18"/>
      <c r="O492" s="15"/>
      <c r="P492" s="15"/>
      <c r="Q492" s="15"/>
      <c r="R492" s="15"/>
      <c r="S492" s="15"/>
      <c r="T492" s="15"/>
      <c r="U492" s="15"/>
      <c r="V492" s="15"/>
    </row>
    <row r="493" ht="15.75" customHeight="1">
      <c r="A493" s="14"/>
      <c r="B493" s="15"/>
      <c r="C493" s="15"/>
      <c r="D493" s="16"/>
      <c r="E493" s="17"/>
      <c r="F493" s="17"/>
      <c r="G493" s="17"/>
      <c r="H493" s="17"/>
      <c r="I493" s="15"/>
      <c r="J493" s="15"/>
      <c r="K493" s="15"/>
      <c r="L493" s="18"/>
      <c r="M493" s="18"/>
      <c r="N493" s="18"/>
      <c r="O493" s="15"/>
      <c r="P493" s="15"/>
      <c r="Q493" s="15"/>
      <c r="R493" s="15"/>
      <c r="S493" s="15"/>
      <c r="T493" s="15"/>
      <c r="U493" s="15"/>
      <c r="V493" s="15"/>
    </row>
    <row r="494" ht="15.75" customHeight="1">
      <c r="A494" s="14"/>
      <c r="B494" s="15"/>
      <c r="C494" s="15"/>
      <c r="D494" s="16"/>
      <c r="E494" s="17"/>
      <c r="F494" s="17"/>
      <c r="G494" s="17"/>
      <c r="H494" s="17"/>
      <c r="I494" s="15"/>
      <c r="J494" s="15"/>
      <c r="K494" s="15"/>
      <c r="L494" s="18"/>
      <c r="M494" s="18"/>
      <c r="N494" s="18"/>
      <c r="O494" s="15"/>
      <c r="P494" s="15"/>
      <c r="Q494" s="15"/>
      <c r="R494" s="15"/>
      <c r="S494" s="15"/>
      <c r="T494" s="15"/>
      <c r="U494" s="15"/>
      <c r="V494" s="15"/>
    </row>
    <row r="495" ht="15.75" customHeight="1">
      <c r="A495" s="14"/>
      <c r="B495" s="15"/>
      <c r="C495" s="15"/>
      <c r="D495" s="16"/>
      <c r="E495" s="17"/>
      <c r="F495" s="17"/>
      <c r="G495" s="17"/>
      <c r="H495" s="17"/>
      <c r="I495" s="15"/>
      <c r="J495" s="15"/>
      <c r="K495" s="15"/>
      <c r="L495" s="18"/>
      <c r="M495" s="18"/>
      <c r="N495" s="18"/>
      <c r="O495" s="15"/>
      <c r="P495" s="15"/>
      <c r="Q495" s="15"/>
      <c r="R495" s="15"/>
      <c r="S495" s="15"/>
      <c r="T495" s="15"/>
      <c r="U495" s="15"/>
      <c r="V495" s="15"/>
    </row>
    <row r="496" ht="15.75" customHeight="1">
      <c r="A496" s="14"/>
      <c r="B496" s="15"/>
      <c r="C496" s="15"/>
      <c r="D496" s="16"/>
      <c r="E496" s="17"/>
      <c r="F496" s="17"/>
      <c r="G496" s="17"/>
      <c r="H496" s="17"/>
      <c r="I496" s="15"/>
      <c r="J496" s="15"/>
      <c r="K496" s="15"/>
      <c r="L496" s="18"/>
      <c r="M496" s="18"/>
      <c r="N496" s="18"/>
      <c r="O496" s="15"/>
      <c r="P496" s="15"/>
      <c r="Q496" s="15"/>
      <c r="R496" s="15"/>
      <c r="S496" s="15"/>
      <c r="T496" s="15"/>
      <c r="U496" s="15"/>
      <c r="V496" s="15"/>
    </row>
    <row r="497" ht="15.75" customHeight="1">
      <c r="A497" s="14"/>
      <c r="B497" s="15"/>
      <c r="C497" s="15"/>
      <c r="D497" s="16"/>
      <c r="E497" s="17"/>
      <c r="F497" s="17"/>
      <c r="G497" s="17"/>
      <c r="H497" s="17"/>
      <c r="I497" s="15"/>
      <c r="J497" s="15"/>
      <c r="K497" s="15"/>
      <c r="L497" s="18"/>
      <c r="M497" s="18"/>
      <c r="N497" s="18"/>
      <c r="O497" s="15"/>
      <c r="P497" s="15"/>
      <c r="Q497" s="15"/>
      <c r="R497" s="15"/>
      <c r="S497" s="15"/>
      <c r="T497" s="15"/>
      <c r="U497" s="15"/>
      <c r="V497" s="15"/>
    </row>
    <row r="498" ht="15.75" customHeight="1">
      <c r="A498" s="14"/>
      <c r="B498" s="15"/>
      <c r="C498" s="15"/>
      <c r="D498" s="16"/>
      <c r="E498" s="17"/>
      <c r="F498" s="17"/>
      <c r="G498" s="17"/>
      <c r="H498" s="17"/>
      <c r="I498" s="15"/>
      <c r="J498" s="15"/>
      <c r="K498" s="15"/>
      <c r="L498" s="18"/>
      <c r="M498" s="18"/>
      <c r="N498" s="18"/>
      <c r="O498" s="15"/>
      <c r="P498" s="15"/>
      <c r="Q498" s="15"/>
      <c r="R498" s="15"/>
      <c r="S498" s="15"/>
      <c r="T498" s="15"/>
      <c r="U498" s="15"/>
      <c r="V498" s="15"/>
    </row>
    <row r="499" ht="15.75" customHeight="1">
      <c r="A499" s="14"/>
      <c r="B499" s="15"/>
      <c r="C499" s="15"/>
      <c r="D499" s="16"/>
      <c r="E499" s="17"/>
      <c r="F499" s="17"/>
      <c r="G499" s="17"/>
      <c r="H499" s="17"/>
      <c r="I499" s="15"/>
      <c r="J499" s="15"/>
      <c r="K499" s="15"/>
      <c r="L499" s="18"/>
      <c r="M499" s="18"/>
      <c r="N499" s="18"/>
      <c r="O499" s="15"/>
      <c r="P499" s="15"/>
      <c r="Q499" s="15"/>
      <c r="R499" s="15"/>
      <c r="S499" s="15"/>
      <c r="T499" s="15"/>
      <c r="U499" s="15"/>
      <c r="V499" s="15"/>
    </row>
    <row r="500" ht="15.75" customHeight="1">
      <c r="A500" s="14"/>
      <c r="B500" s="15"/>
      <c r="C500" s="15"/>
      <c r="D500" s="16"/>
      <c r="E500" s="17"/>
      <c r="F500" s="17"/>
      <c r="G500" s="17"/>
      <c r="H500" s="17"/>
      <c r="I500" s="15"/>
      <c r="J500" s="15"/>
      <c r="K500" s="15"/>
      <c r="L500" s="18"/>
      <c r="M500" s="18"/>
      <c r="N500" s="18"/>
      <c r="O500" s="15"/>
      <c r="P500" s="15"/>
      <c r="Q500" s="15"/>
      <c r="R500" s="15"/>
      <c r="S500" s="15"/>
      <c r="T500" s="15"/>
      <c r="U500" s="15"/>
      <c r="V500" s="15"/>
    </row>
    <row r="501" ht="15.75" customHeight="1">
      <c r="A501" s="14"/>
      <c r="B501" s="15"/>
      <c r="C501" s="15"/>
      <c r="D501" s="16"/>
      <c r="E501" s="17"/>
      <c r="F501" s="17"/>
      <c r="G501" s="17"/>
      <c r="H501" s="17"/>
      <c r="I501" s="15"/>
      <c r="J501" s="15"/>
      <c r="K501" s="15"/>
      <c r="L501" s="18"/>
      <c r="M501" s="18"/>
      <c r="N501" s="18"/>
      <c r="O501" s="15"/>
      <c r="P501" s="15"/>
      <c r="Q501" s="15"/>
      <c r="R501" s="15"/>
      <c r="S501" s="15"/>
      <c r="T501" s="15"/>
      <c r="U501" s="15"/>
      <c r="V501" s="15"/>
    </row>
    <row r="502" ht="15.75" customHeight="1">
      <c r="A502" s="14"/>
      <c r="B502" s="15"/>
      <c r="C502" s="15"/>
      <c r="D502" s="16"/>
      <c r="E502" s="17"/>
      <c r="F502" s="17"/>
      <c r="G502" s="17"/>
      <c r="H502" s="17"/>
      <c r="I502" s="15"/>
      <c r="J502" s="15"/>
      <c r="K502" s="15"/>
      <c r="L502" s="18"/>
      <c r="M502" s="18"/>
      <c r="N502" s="18"/>
      <c r="O502" s="15"/>
      <c r="P502" s="15"/>
      <c r="Q502" s="15"/>
      <c r="R502" s="15"/>
      <c r="S502" s="15"/>
      <c r="T502" s="15"/>
      <c r="U502" s="15"/>
      <c r="V502" s="15"/>
    </row>
    <row r="503" ht="15.75" customHeight="1">
      <c r="A503" s="14"/>
      <c r="B503" s="15"/>
      <c r="C503" s="15"/>
      <c r="D503" s="16"/>
      <c r="E503" s="17"/>
      <c r="F503" s="17"/>
      <c r="G503" s="17"/>
      <c r="H503" s="17"/>
      <c r="I503" s="15"/>
      <c r="J503" s="15"/>
      <c r="K503" s="15"/>
      <c r="L503" s="18"/>
      <c r="M503" s="18"/>
      <c r="N503" s="18"/>
      <c r="O503" s="15"/>
      <c r="P503" s="15"/>
      <c r="Q503" s="15"/>
      <c r="R503" s="15"/>
      <c r="S503" s="15"/>
      <c r="T503" s="15"/>
      <c r="U503" s="15"/>
      <c r="V503" s="15"/>
    </row>
    <row r="504" ht="15.75" customHeight="1">
      <c r="A504" s="14"/>
      <c r="B504" s="15"/>
      <c r="C504" s="15"/>
      <c r="D504" s="16"/>
      <c r="E504" s="17"/>
      <c r="F504" s="17"/>
      <c r="G504" s="17"/>
      <c r="H504" s="17"/>
      <c r="I504" s="15"/>
      <c r="J504" s="15"/>
      <c r="K504" s="15"/>
      <c r="L504" s="18"/>
      <c r="M504" s="18"/>
      <c r="N504" s="18"/>
      <c r="O504" s="15"/>
      <c r="P504" s="15"/>
      <c r="Q504" s="15"/>
      <c r="R504" s="15"/>
      <c r="S504" s="15"/>
      <c r="T504" s="15"/>
      <c r="U504" s="15"/>
      <c r="V504" s="15"/>
    </row>
    <row r="505" ht="15.75" customHeight="1">
      <c r="A505" s="14"/>
      <c r="B505" s="15"/>
      <c r="C505" s="15"/>
      <c r="D505" s="16"/>
      <c r="E505" s="17"/>
      <c r="F505" s="17"/>
      <c r="G505" s="17"/>
      <c r="H505" s="17"/>
      <c r="I505" s="15"/>
      <c r="J505" s="15"/>
      <c r="K505" s="15"/>
      <c r="L505" s="18"/>
      <c r="M505" s="18"/>
      <c r="N505" s="18"/>
      <c r="O505" s="15"/>
      <c r="P505" s="15"/>
      <c r="Q505" s="15"/>
      <c r="R505" s="15"/>
      <c r="S505" s="15"/>
      <c r="T505" s="15"/>
      <c r="U505" s="15"/>
      <c r="V505" s="15"/>
    </row>
    <row r="506" ht="15.75" customHeight="1">
      <c r="A506" s="14"/>
      <c r="B506" s="15"/>
      <c r="C506" s="15"/>
      <c r="D506" s="16"/>
      <c r="E506" s="17"/>
      <c r="F506" s="17"/>
      <c r="G506" s="17"/>
      <c r="H506" s="17"/>
      <c r="I506" s="15"/>
      <c r="J506" s="15"/>
      <c r="K506" s="15"/>
      <c r="L506" s="18"/>
      <c r="M506" s="18"/>
      <c r="N506" s="18"/>
      <c r="O506" s="15"/>
      <c r="P506" s="15"/>
      <c r="Q506" s="15"/>
      <c r="R506" s="15"/>
      <c r="S506" s="15"/>
      <c r="T506" s="15"/>
      <c r="U506" s="15"/>
      <c r="V506" s="15"/>
    </row>
    <row r="507" ht="15.75" customHeight="1">
      <c r="A507" s="14"/>
      <c r="B507" s="15"/>
      <c r="C507" s="15"/>
      <c r="D507" s="16"/>
      <c r="E507" s="17"/>
      <c r="F507" s="17"/>
      <c r="G507" s="17"/>
      <c r="H507" s="17"/>
      <c r="I507" s="15"/>
      <c r="J507" s="15"/>
      <c r="K507" s="15"/>
      <c r="L507" s="18"/>
      <c r="M507" s="18"/>
      <c r="N507" s="18"/>
      <c r="O507" s="15"/>
      <c r="P507" s="15"/>
      <c r="Q507" s="15"/>
      <c r="R507" s="15"/>
      <c r="S507" s="15"/>
      <c r="T507" s="15"/>
      <c r="U507" s="15"/>
      <c r="V507" s="15"/>
    </row>
    <row r="508" ht="15.75" customHeight="1">
      <c r="A508" s="14"/>
      <c r="B508" s="15"/>
      <c r="C508" s="15"/>
      <c r="D508" s="16"/>
      <c r="E508" s="17"/>
      <c r="F508" s="17"/>
      <c r="G508" s="17"/>
      <c r="H508" s="17"/>
      <c r="I508" s="15"/>
      <c r="J508" s="15"/>
      <c r="K508" s="15"/>
      <c r="L508" s="18"/>
      <c r="M508" s="18"/>
      <c r="N508" s="18"/>
      <c r="O508" s="15"/>
      <c r="P508" s="15"/>
      <c r="Q508" s="15"/>
      <c r="R508" s="15"/>
      <c r="S508" s="15"/>
      <c r="T508" s="15"/>
      <c r="U508" s="15"/>
      <c r="V508" s="15"/>
    </row>
    <row r="509" ht="15.75" customHeight="1">
      <c r="A509" s="14"/>
      <c r="B509" s="15"/>
      <c r="C509" s="15"/>
      <c r="D509" s="16"/>
      <c r="E509" s="17"/>
      <c r="F509" s="17"/>
      <c r="G509" s="17"/>
      <c r="H509" s="17"/>
      <c r="I509" s="15"/>
      <c r="J509" s="15"/>
      <c r="K509" s="15"/>
      <c r="L509" s="18"/>
      <c r="M509" s="18"/>
      <c r="N509" s="18"/>
      <c r="O509" s="15"/>
      <c r="P509" s="15"/>
      <c r="Q509" s="15"/>
      <c r="R509" s="15"/>
      <c r="S509" s="15"/>
      <c r="T509" s="15"/>
      <c r="U509" s="15"/>
      <c r="V509" s="15"/>
    </row>
    <row r="510" ht="15.75" customHeight="1">
      <c r="A510" s="14"/>
      <c r="B510" s="15"/>
      <c r="C510" s="15"/>
      <c r="D510" s="16"/>
      <c r="E510" s="17"/>
      <c r="F510" s="17"/>
      <c r="G510" s="17"/>
      <c r="H510" s="17"/>
      <c r="I510" s="15"/>
      <c r="J510" s="15"/>
      <c r="K510" s="15"/>
      <c r="L510" s="18"/>
      <c r="M510" s="18"/>
      <c r="N510" s="18"/>
      <c r="O510" s="15"/>
      <c r="P510" s="15"/>
      <c r="Q510" s="15"/>
      <c r="R510" s="15"/>
      <c r="S510" s="15"/>
      <c r="T510" s="15"/>
      <c r="U510" s="15"/>
      <c r="V510" s="15"/>
    </row>
    <row r="511" ht="15.75" customHeight="1">
      <c r="A511" s="14"/>
      <c r="B511" s="15"/>
      <c r="C511" s="15"/>
      <c r="D511" s="16"/>
      <c r="E511" s="17"/>
      <c r="F511" s="17"/>
      <c r="G511" s="17"/>
      <c r="H511" s="17"/>
      <c r="I511" s="15"/>
      <c r="J511" s="15"/>
      <c r="K511" s="15"/>
      <c r="L511" s="18"/>
      <c r="M511" s="18"/>
      <c r="N511" s="18"/>
      <c r="O511" s="15"/>
      <c r="P511" s="15"/>
      <c r="Q511" s="15"/>
      <c r="R511" s="15"/>
      <c r="S511" s="15"/>
      <c r="T511" s="15"/>
      <c r="U511" s="15"/>
      <c r="V511" s="15"/>
    </row>
    <row r="512" ht="15.75" customHeight="1">
      <c r="A512" s="14"/>
      <c r="B512" s="15"/>
      <c r="C512" s="15"/>
      <c r="D512" s="16"/>
      <c r="E512" s="17"/>
      <c r="F512" s="17"/>
      <c r="G512" s="17"/>
      <c r="H512" s="17"/>
      <c r="I512" s="15"/>
      <c r="J512" s="15"/>
      <c r="K512" s="15"/>
      <c r="L512" s="18"/>
      <c r="M512" s="18"/>
      <c r="N512" s="18"/>
      <c r="O512" s="15"/>
      <c r="P512" s="15"/>
      <c r="Q512" s="15"/>
      <c r="R512" s="15"/>
      <c r="S512" s="15"/>
      <c r="T512" s="15"/>
      <c r="U512" s="15"/>
      <c r="V512" s="15"/>
    </row>
    <row r="513" ht="15.75" customHeight="1">
      <c r="A513" s="14"/>
      <c r="B513" s="15"/>
      <c r="C513" s="15"/>
      <c r="D513" s="16"/>
      <c r="E513" s="17"/>
      <c r="F513" s="17"/>
      <c r="G513" s="17"/>
      <c r="H513" s="17"/>
      <c r="I513" s="15"/>
      <c r="J513" s="15"/>
      <c r="K513" s="15"/>
      <c r="L513" s="18"/>
      <c r="M513" s="18"/>
      <c r="N513" s="18"/>
      <c r="O513" s="15"/>
      <c r="P513" s="15"/>
      <c r="Q513" s="15"/>
      <c r="R513" s="15"/>
      <c r="S513" s="15"/>
      <c r="T513" s="15"/>
      <c r="U513" s="15"/>
      <c r="V513" s="15"/>
    </row>
    <row r="514" ht="15.75" customHeight="1">
      <c r="A514" s="14"/>
      <c r="B514" s="15"/>
      <c r="C514" s="15"/>
      <c r="D514" s="16"/>
      <c r="E514" s="17"/>
      <c r="F514" s="17"/>
      <c r="G514" s="17"/>
      <c r="H514" s="17"/>
      <c r="I514" s="15"/>
      <c r="J514" s="15"/>
      <c r="K514" s="15"/>
      <c r="L514" s="18"/>
      <c r="M514" s="18"/>
      <c r="N514" s="18"/>
      <c r="O514" s="15"/>
      <c r="P514" s="15"/>
      <c r="Q514" s="15"/>
      <c r="R514" s="15"/>
      <c r="S514" s="15"/>
      <c r="T514" s="15"/>
      <c r="U514" s="15"/>
      <c r="V514" s="15"/>
    </row>
    <row r="515" ht="15.75" customHeight="1">
      <c r="A515" s="14"/>
      <c r="B515" s="15"/>
      <c r="C515" s="15"/>
      <c r="D515" s="16"/>
      <c r="E515" s="17"/>
      <c r="F515" s="17"/>
      <c r="G515" s="17"/>
      <c r="H515" s="17"/>
      <c r="I515" s="15"/>
      <c r="J515" s="15"/>
      <c r="K515" s="15"/>
      <c r="L515" s="18"/>
      <c r="M515" s="18"/>
      <c r="N515" s="18"/>
      <c r="O515" s="15"/>
      <c r="P515" s="15"/>
      <c r="Q515" s="15"/>
      <c r="R515" s="15"/>
      <c r="S515" s="15"/>
      <c r="T515" s="15"/>
      <c r="U515" s="15"/>
      <c r="V515" s="15"/>
    </row>
    <row r="516" ht="15.75" customHeight="1">
      <c r="A516" s="14"/>
      <c r="B516" s="15"/>
      <c r="C516" s="15"/>
      <c r="D516" s="16"/>
      <c r="E516" s="17"/>
      <c r="F516" s="17"/>
      <c r="G516" s="17"/>
      <c r="H516" s="17"/>
      <c r="I516" s="15"/>
      <c r="J516" s="15"/>
      <c r="K516" s="15"/>
      <c r="L516" s="18"/>
      <c r="M516" s="18"/>
      <c r="N516" s="18"/>
      <c r="O516" s="15"/>
      <c r="P516" s="15"/>
      <c r="Q516" s="15"/>
      <c r="R516" s="15"/>
      <c r="S516" s="15"/>
      <c r="T516" s="15"/>
      <c r="U516" s="15"/>
      <c r="V516" s="15"/>
    </row>
    <row r="517" ht="15.75" customHeight="1">
      <c r="A517" s="14"/>
      <c r="B517" s="15"/>
      <c r="C517" s="15"/>
      <c r="D517" s="16"/>
      <c r="E517" s="17"/>
      <c r="F517" s="17"/>
      <c r="G517" s="17"/>
      <c r="H517" s="17"/>
      <c r="I517" s="15"/>
      <c r="J517" s="15"/>
      <c r="K517" s="15"/>
      <c r="L517" s="18"/>
      <c r="M517" s="18"/>
      <c r="N517" s="18"/>
      <c r="O517" s="15"/>
      <c r="P517" s="15"/>
      <c r="Q517" s="15"/>
      <c r="R517" s="15"/>
      <c r="S517" s="15"/>
      <c r="T517" s="15"/>
      <c r="U517" s="15"/>
      <c r="V517" s="15"/>
    </row>
    <row r="518" ht="15.75" customHeight="1">
      <c r="A518" s="14"/>
      <c r="B518" s="15"/>
      <c r="C518" s="15"/>
      <c r="D518" s="16"/>
      <c r="E518" s="17"/>
      <c r="F518" s="17"/>
      <c r="G518" s="17"/>
      <c r="H518" s="17"/>
      <c r="I518" s="15"/>
      <c r="J518" s="15"/>
      <c r="K518" s="15"/>
      <c r="L518" s="18"/>
      <c r="M518" s="18"/>
      <c r="N518" s="18"/>
      <c r="O518" s="15"/>
      <c r="P518" s="15"/>
      <c r="Q518" s="15"/>
      <c r="R518" s="15"/>
      <c r="S518" s="15"/>
      <c r="T518" s="15"/>
      <c r="U518" s="15"/>
      <c r="V518" s="15"/>
    </row>
    <row r="519" ht="15.75" customHeight="1">
      <c r="A519" s="14"/>
      <c r="B519" s="15"/>
      <c r="C519" s="15"/>
      <c r="D519" s="16"/>
      <c r="E519" s="17"/>
      <c r="F519" s="17"/>
      <c r="G519" s="17"/>
      <c r="H519" s="17"/>
      <c r="I519" s="15"/>
      <c r="J519" s="15"/>
      <c r="K519" s="15"/>
      <c r="L519" s="18"/>
      <c r="M519" s="18"/>
      <c r="N519" s="18"/>
      <c r="O519" s="15"/>
      <c r="P519" s="15"/>
      <c r="Q519" s="15"/>
      <c r="R519" s="15"/>
      <c r="S519" s="15"/>
      <c r="T519" s="15"/>
      <c r="U519" s="15"/>
      <c r="V519" s="15"/>
    </row>
    <row r="520" ht="15.75" customHeight="1">
      <c r="A520" s="14"/>
      <c r="B520" s="15"/>
      <c r="C520" s="15"/>
      <c r="D520" s="16"/>
      <c r="E520" s="17"/>
      <c r="F520" s="17"/>
      <c r="G520" s="17"/>
      <c r="H520" s="17"/>
      <c r="I520" s="15"/>
      <c r="J520" s="15"/>
      <c r="K520" s="15"/>
      <c r="L520" s="18"/>
      <c r="M520" s="18"/>
      <c r="N520" s="18"/>
      <c r="O520" s="15"/>
      <c r="P520" s="15"/>
      <c r="Q520" s="15"/>
      <c r="R520" s="15"/>
      <c r="S520" s="15"/>
      <c r="T520" s="15"/>
      <c r="U520" s="15"/>
      <c r="V520" s="15"/>
    </row>
    <row r="521" ht="15.75" customHeight="1">
      <c r="A521" s="14"/>
      <c r="B521" s="15"/>
      <c r="C521" s="15"/>
      <c r="D521" s="16"/>
      <c r="E521" s="17"/>
      <c r="F521" s="17"/>
      <c r="G521" s="17"/>
      <c r="H521" s="17"/>
      <c r="I521" s="15"/>
      <c r="J521" s="15"/>
      <c r="K521" s="15"/>
      <c r="L521" s="18"/>
      <c r="M521" s="18"/>
      <c r="N521" s="18"/>
      <c r="O521" s="15"/>
      <c r="P521" s="15"/>
      <c r="Q521" s="15"/>
      <c r="R521" s="15"/>
      <c r="S521" s="15"/>
      <c r="T521" s="15"/>
      <c r="U521" s="15"/>
      <c r="V521" s="15"/>
    </row>
    <row r="522" ht="15.75" customHeight="1">
      <c r="A522" s="14"/>
      <c r="B522" s="15"/>
      <c r="C522" s="15"/>
      <c r="D522" s="16"/>
      <c r="E522" s="17"/>
      <c r="F522" s="17"/>
      <c r="G522" s="17"/>
      <c r="H522" s="17"/>
      <c r="I522" s="15"/>
      <c r="J522" s="15"/>
      <c r="K522" s="15"/>
      <c r="L522" s="18"/>
      <c r="M522" s="18"/>
      <c r="N522" s="18"/>
      <c r="O522" s="15"/>
      <c r="P522" s="15"/>
      <c r="Q522" s="15"/>
      <c r="R522" s="15"/>
      <c r="S522" s="15"/>
      <c r="T522" s="15"/>
      <c r="U522" s="15"/>
      <c r="V522" s="15"/>
    </row>
    <row r="523" ht="15.75" customHeight="1">
      <c r="A523" s="14"/>
      <c r="B523" s="15"/>
      <c r="C523" s="15"/>
      <c r="D523" s="16"/>
      <c r="E523" s="17"/>
      <c r="F523" s="17"/>
      <c r="G523" s="17"/>
      <c r="H523" s="17"/>
      <c r="I523" s="15"/>
      <c r="J523" s="15"/>
      <c r="K523" s="15"/>
      <c r="L523" s="18"/>
      <c r="M523" s="18"/>
      <c r="N523" s="18"/>
      <c r="O523" s="15"/>
      <c r="P523" s="15"/>
      <c r="Q523" s="15"/>
      <c r="R523" s="15"/>
      <c r="S523" s="15"/>
      <c r="T523" s="15"/>
      <c r="U523" s="15"/>
      <c r="V523" s="15"/>
    </row>
    <row r="524" ht="15.75" customHeight="1">
      <c r="A524" s="14"/>
      <c r="B524" s="15"/>
      <c r="C524" s="15"/>
      <c r="D524" s="16"/>
      <c r="E524" s="17"/>
      <c r="F524" s="17"/>
      <c r="G524" s="17"/>
      <c r="H524" s="17"/>
      <c r="I524" s="15"/>
      <c r="J524" s="15"/>
      <c r="K524" s="15"/>
      <c r="L524" s="18"/>
      <c r="M524" s="18"/>
      <c r="N524" s="18"/>
      <c r="O524" s="15"/>
      <c r="P524" s="15"/>
      <c r="Q524" s="15"/>
      <c r="R524" s="15"/>
      <c r="S524" s="15"/>
      <c r="T524" s="15"/>
      <c r="U524" s="15"/>
      <c r="V524" s="15"/>
    </row>
    <row r="525" ht="15.75" customHeight="1">
      <c r="A525" s="14"/>
      <c r="B525" s="15"/>
      <c r="C525" s="15"/>
      <c r="D525" s="16"/>
      <c r="E525" s="17"/>
      <c r="F525" s="17"/>
      <c r="G525" s="17"/>
      <c r="H525" s="17"/>
      <c r="I525" s="15"/>
      <c r="J525" s="15"/>
      <c r="K525" s="15"/>
      <c r="L525" s="18"/>
      <c r="M525" s="18"/>
      <c r="N525" s="18"/>
      <c r="O525" s="15"/>
      <c r="P525" s="15"/>
      <c r="Q525" s="15"/>
      <c r="R525" s="15"/>
      <c r="S525" s="15"/>
      <c r="T525" s="15"/>
      <c r="U525" s="15"/>
      <c r="V525" s="15"/>
    </row>
    <row r="526" ht="15.75" customHeight="1">
      <c r="A526" s="14"/>
      <c r="B526" s="15"/>
      <c r="C526" s="15"/>
      <c r="D526" s="16"/>
      <c r="E526" s="17"/>
      <c r="F526" s="17"/>
      <c r="G526" s="17"/>
      <c r="H526" s="17"/>
      <c r="I526" s="15"/>
      <c r="J526" s="15"/>
      <c r="K526" s="15"/>
      <c r="L526" s="18"/>
      <c r="M526" s="18"/>
      <c r="N526" s="18"/>
      <c r="O526" s="15"/>
      <c r="P526" s="15"/>
      <c r="Q526" s="15"/>
      <c r="R526" s="15"/>
      <c r="S526" s="15"/>
      <c r="T526" s="15"/>
      <c r="U526" s="15"/>
      <c r="V526" s="15"/>
    </row>
    <row r="527" ht="15.75" customHeight="1">
      <c r="A527" s="14"/>
      <c r="B527" s="15"/>
      <c r="C527" s="15"/>
      <c r="D527" s="16"/>
      <c r="E527" s="17"/>
      <c r="F527" s="17"/>
      <c r="G527" s="17"/>
      <c r="H527" s="17"/>
      <c r="I527" s="15"/>
      <c r="J527" s="15"/>
      <c r="K527" s="15"/>
      <c r="L527" s="18"/>
      <c r="M527" s="18"/>
      <c r="N527" s="18"/>
      <c r="O527" s="15"/>
      <c r="P527" s="15"/>
      <c r="Q527" s="15"/>
      <c r="R527" s="15"/>
      <c r="S527" s="15"/>
      <c r="T527" s="15"/>
      <c r="U527" s="15"/>
      <c r="V527" s="15"/>
    </row>
    <row r="528" ht="15.75" customHeight="1">
      <c r="A528" s="14"/>
      <c r="B528" s="15"/>
      <c r="C528" s="15"/>
      <c r="D528" s="16"/>
      <c r="E528" s="17"/>
      <c r="F528" s="17"/>
      <c r="G528" s="17"/>
      <c r="H528" s="17"/>
      <c r="I528" s="15"/>
      <c r="J528" s="15"/>
      <c r="K528" s="15"/>
      <c r="L528" s="18"/>
      <c r="M528" s="18"/>
      <c r="N528" s="18"/>
      <c r="O528" s="15"/>
      <c r="P528" s="15"/>
      <c r="Q528" s="15"/>
      <c r="R528" s="15"/>
      <c r="S528" s="15"/>
      <c r="T528" s="15"/>
      <c r="U528" s="15"/>
      <c r="V528" s="15"/>
    </row>
    <row r="529" ht="15.75" customHeight="1">
      <c r="A529" s="14"/>
      <c r="B529" s="15"/>
      <c r="C529" s="15"/>
      <c r="D529" s="16"/>
      <c r="E529" s="17"/>
      <c r="F529" s="17"/>
      <c r="G529" s="17"/>
      <c r="H529" s="17"/>
      <c r="I529" s="15"/>
      <c r="J529" s="15"/>
      <c r="K529" s="15"/>
      <c r="L529" s="18"/>
      <c r="M529" s="18"/>
      <c r="N529" s="18"/>
      <c r="O529" s="15"/>
      <c r="P529" s="15"/>
      <c r="Q529" s="15"/>
      <c r="R529" s="15"/>
      <c r="S529" s="15"/>
      <c r="T529" s="15"/>
      <c r="U529" s="15"/>
      <c r="V529" s="15"/>
    </row>
    <row r="530" ht="15.75" customHeight="1">
      <c r="A530" s="14"/>
      <c r="B530" s="15"/>
      <c r="C530" s="15"/>
      <c r="D530" s="16"/>
      <c r="E530" s="17"/>
      <c r="F530" s="17"/>
      <c r="G530" s="17"/>
      <c r="H530" s="17"/>
      <c r="I530" s="15"/>
      <c r="J530" s="15"/>
      <c r="K530" s="15"/>
      <c r="L530" s="18"/>
      <c r="M530" s="18"/>
      <c r="N530" s="18"/>
      <c r="O530" s="15"/>
      <c r="P530" s="15"/>
      <c r="Q530" s="15"/>
      <c r="R530" s="15"/>
      <c r="S530" s="15"/>
      <c r="T530" s="15"/>
      <c r="U530" s="15"/>
      <c r="V530" s="15"/>
    </row>
    <row r="531" ht="15.75" customHeight="1">
      <c r="A531" s="14"/>
      <c r="B531" s="15"/>
      <c r="C531" s="15"/>
      <c r="D531" s="16"/>
      <c r="E531" s="17"/>
      <c r="F531" s="17"/>
      <c r="G531" s="17"/>
      <c r="H531" s="17"/>
      <c r="I531" s="15"/>
      <c r="J531" s="15"/>
      <c r="K531" s="15"/>
      <c r="L531" s="18"/>
      <c r="M531" s="18"/>
      <c r="N531" s="18"/>
      <c r="O531" s="15"/>
      <c r="P531" s="15"/>
      <c r="Q531" s="15"/>
      <c r="R531" s="15"/>
      <c r="S531" s="15"/>
      <c r="T531" s="15"/>
      <c r="U531" s="15"/>
      <c r="V531" s="15"/>
    </row>
    <row r="532" ht="15.75" customHeight="1">
      <c r="A532" s="14"/>
      <c r="B532" s="15"/>
      <c r="C532" s="15"/>
      <c r="D532" s="16"/>
      <c r="E532" s="17"/>
      <c r="F532" s="17"/>
      <c r="G532" s="17"/>
      <c r="H532" s="17"/>
      <c r="I532" s="15"/>
      <c r="J532" s="15"/>
      <c r="K532" s="15"/>
      <c r="L532" s="18"/>
      <c r="M532" s="18"/>
      <c r="N532" s="18"/>
      <c r="O532" s="15"/>
      <c r="P532" s="15"/>
      <c r="Q532" s="15"/>
      <c r="R532" s="15"/>
      <c r="S532" s="15"/>
      <c r="T532" s="15"/>
      <c r="U532" s="15"/>
      <c r="V532" s="15"/>
    </row>
    <row r="533" ht="15.75" customHeight="1">
      <c r="A533" s="14"/>
      <c r="B533" s="15"/>
      <c r="C533" s="15"/>
      <c r="D533" s="16"/>
      <c r="E533" s="17"/>
      <c r="F533" s="17"/>
      <c r="G533" s="17"/>
      <c r="H533" s="17"/>
      <c r="I533" s="15"/>
      <c r="J533" s="15"/>
      <c r="K533" s="15"/>
      <c r="L533" s="18"/>
      <c r="M533" s="18"/>
      <c r="N533" s="18"/>
      <c r="O533" s="15"/>
      <c r="P533" s="15"/>
      <c r="Q533" s="15"/>
      <c r="R533" s="15"/>
      <c r="S533" s="15"/>
      <c r="T533" s="15"/>
      <c r="U533" s="15"/>
      <c r="V533" s="15"/>
    </row>
    <row r="534" ht="15.75" customHeight="1">
      <c r="A534" s="14"/>
      <c r="B534" s="15"/>
      <c r="C534" s="15"/>
      <c r="D534" s="16"/>
      <c r="E534" s="17"/>
      <c r="F534" s="17"/>
      <c r="G534" s="17"/>
      <c r="H534" s="17"/>
      <c r="I534" s="15"/>
      <c r="J534" s="15"/>
      <c r="K534" s="15"/>
      <c r="L534" s="18"/>
      <c r="M534" s="18"/>
      <c r="N534" s="18"/>
      <c r="O534" s="15"/>
      <c r="P534" s="15"/>
      <c r="Q534" s="15"/>
      <c r="R534" s="15"/>
      <c r="S534" s="15"/>
      <c r="T534" s="15"/>
      <c r="U534" s="15"/>
      <c r="V534" s="15"/>
    </row>
    <row r="535" ht="15.75" customHeight="1">
      <c r="A535" s="14"/>
      <c r="B535" s="15"/>
      <c r="C535" s="15"/>
      <c r="D535" s="16"/>
      <c r="E535" s="17"/>
      <c r="F535" s="17"/>
      <c r="G535" s="17"/>
      <c r="H535" s="17"/>
      <c r="I535" s="15"/>
      <c r="J535" s="15"/>
      <c r="K535" s="15"/>
      <c r="L535" s="18"/>
      <c r="M535" s="18"/>
      <c r="N535" s="18"/>
      <c r="O535" s="15"/>
      <c r="P535" s="15"/>
      <c r="Q535" s="15"/>
      <c r="R535" s="15"/>
      <c r="S535" s="15"/>
      <c r="T535" s="15"/>
      <c r="U535" s="15"/>
      <c r="V535" s="15"/>
    </row>
    <row r="536" ht="15.75" customHeight="1">
      <c r="A536" s="14"/>
      <c r="B536" s="15"/>
      <c r="C536" s="15"/>
      <c r="D536" s="16"/>
      <c r="E536" s="17"/>
      <c r="F536" s="17"/>
      <c r="G536" s="17"/>
      <c r="H536" s="17"/>
      <c r="I536" s="15"/>
      <c r="J536" s="15"/>
      <c r="K536" s="15"/>
      <c r="L536" s="18"/>
      <c r="M536" s="18"/>
      <c r="N536" s="18"/>
      <c r="O536" s="15"/>
      <c r="P536" s="15"/>
      <c r="Q536" s="15"/>
      <c r="R536" s="15"/>
      <c r="S536" s="15"/>
      <c r="T536" s="15"/>
      <c r="U536" s="15"/>
      <c r="V536" s="15"/>
    </row>
    <row r="537" ht="15.75" customHeight="1">
      <c r="A537" s="14"/>
      <c r="B537" s="15"/>
      <c r="C537" s="15"/>
      <c r="D537" s="16"/>
      <c r="E537" s="17"/>
      <c r="F537" s="17"/>
      <c r="G537" s="17"/>
      <c r="H537" s="17"/>
      <c r="I537" s="15"/>
      <c r="J537" s="15"/>
      <c r="K537" s="15"/>
      <c r="L537" s="18"/>
      <c r="M537" s="18"/>
      <c r="N537" s="18"/>
      <c r="O537" s="15"/>
      <c r="P537" s="15"/>
      <c r="Q537" s="15"/>
      <c r="R537" s="15"/>
      <c r="S537" s="15"/>
      <c r="T537" s="15"/>
      <c r="U537" s="15"/>
      <c r="V537" s="15"/>
    </row>
    <row r="538" ht="15.75" customHeight="1">
      <c r="A538" s="14"/>
      <c r="B538" s="15"/>
      <c r="C538" s="15"/>
      <c r="D538" s="16"/>
      <c r="E538" s="17"/>
      <c r="F538" s="17"/>
      <c r="G538" s="17"/>
      <c r="H538" s="17"/>
      <c r="I538" s="15"/>
      <c r="J538" s="15"/>
      <c r="K538" s="15"/>
      <c r="L538" s="18"/>
      <c r="M538" s="18"/>
      <c r="N538" s="18"/>
      <c r="O538" s="15"/>
      <c r="P538" s="15"/>
      <c r="Q538" s="15"/>
      <c r="R538" s="15"/>
      <c r="S538" s="15"/>
      <c r="T538" s="15"/>
      <c r="U538" s="15"/>
      <c r="V538" s="15"/>
    </row>
    <row r="539" ht="15.75" customHeight="1">
      <c r="A539" s="14"/>
      <c r="B539" s="15"/>
      <c r="C539" s="15"/>
      <c r="D539" s="16"/>
      <c r="E539" s="17"/>
      <c r="F539" s="17"/>
      <c r="G539" s="17"/>
      <c r="H539" s="17"/>
      <c r="I539" s="15"/>
      <c r="J539" s="15"/>
      <c r="K539" s="15"/>
      <c r="L539" s="18"/>
      <c r="M539" s="18"/>
      <c r="N539" s="18"/>
      <c r="O539" s="15"/>
      <c r="P539" s="15"/>
      <c r="Q539" s="15"/>
      <c r="R539" s="15"/>
      <c r="S539" s="15"/>
      <c r="T539" s="15"/>
      <c r="U539" s="15"/>
      <c r="V539" s="15"/>
    </row>
    <row r="540" ht="15.75" customHeight="1">
      <c r="A540" s="14"/>
      <c r="B540" s="15"/>
      <c r="C540" s="15"/>
      <c r="D540" s="16"/>
      <c r="E540" s="17"/>
      <c r="F540" s="17"/>
      <c r="G540" s="17"/>
      <c r="H540" s="17"/>
      <c r="I540" s="15"/>
      <c r="J540" s="15"/>
      <c r="K540" s="15"/>
      <c r="L540" s="18"/>
      <c r="M540" s="18"/>
      <c r="N540" s="18"/>
      <c r="O540" s="15"/>
      <c r="P540" s="15"/>
      <c r="Q540" s="15"/>
      <c r="R540" s="15"/>
      <c r="S540" s="15"/>
      <c r="T540" s="15"/>
      <c r="U540" s="15"/>
      <c r="V540" s="15"/>
    </row>
    <row r="541" ht="15.75" customHeight="1">
      <c r="A541" s="14"/>
      <c r="B541" s="15"/>
      <c r="C541" s="15"/>
      <c r="D541" s="16"/>
      <c r="E541" s="17"/>
      <c r="F541" s="17"/>
      <c r="G541" s="17"/>
      <c r="H541" s="17"/>
      <c r="I541" s="15"/>
      <c r="J541" s="15"/>
      <c r="K541" s="15"/>
      <c r="L541" s="18"/>
      <c r="M541" s="18"/>
      <c r="N541" s="18"/>
      <c r="O541" s="15"/>
      <c r="P541" s="15"/>
      <c r="Q541" s="15"/>
      <c r="R541" s="15"/>
      <c r="S541" s="15"/>
      <c r="T541" s="15"/>
      <c r="U541" s="15"/>
      <c r="V541" s="15"/>
    </row>
    <row r="542" ht="15.75" customHeight="1">
      <c r="A542" s="14"/>
      <c r="B542" s="15"/>
      <c r="C542" s="15"/>
      <c r="D542" s="16"/>
      <c r="E542" s="17"/>
      <c r="F542" s="17"/>
      <c r="G542" s="17"/>
      <c r="H542" s="17"/>
      <c r="I542" s="15"/>
      <c r="J542" s="15"/>
      <c r="K542" s="15"/>
      <c r="L542" s="18"/>
      <c r="M542" s="18"/>
      <c r="N542" s="18"/>
      <c r="O542" s="15"/>
      <c r="P542" s="15"/>
      <c r="Q542" s="15"/>
      <c r="R542" s="15"/>
      <c r="S542" s="15"/>
      <c r="T542" s="15"/>
      <c r="U542" s="15"/>
      <c r="V542" s="15"/>
    </row>
    <row r="543" ht="15.75" customHeight="1">
      <c r="A543" s="14"/>
      <c r="B543" s="15"/>
      <c r="C543" s="15"/>
      <c r="D543" s="16"/>
      <c r="E543" s="17"/>
      <c r="F543" s="17"/>
      <c r="G543" s="17"/>
      <c r="H543" s="17"/>
      <c r="I543" s="15"/>
      <c r="J543" s="15"/>
      <c r="K543" s="15"/>
      <c r="L543" s="18"/>
      <c r="M543" s="18"/>
      <c r="N543" s="18"/>
      <c r="O543" s="15"/>
      <c r="P543" s="15"/>
      <c r="Q543" s="15"/>
      <c r="R543" s="15"/>
      <c r="S543" s="15"/>
      <c r="T543" s="15"/>
      <c r="U543" s="15"/>
      <c r="V543" s="15"/>
    </row>
    <row r="544" ht="15.75" customHeight="1">
      <c r="A544" s="14"/>
      <c r="B544" s="15"/>
      <c r="C544" s="15"/>
      <c r="D544" s="16"/>
      <c r="E544" s="17"/>
      <c r="F544" s="17"/>
      <c r="G544" s="17"/>
      <c r="H544" s="17"/>
      <c r="I544" s="15"/>
      <c r="J544" s="15"/>
      <c r="K544" s="15"/>
      <c r="L544" s="18"/>
      <c r="M544" s="18"/>
      <c r="N544" s="18"/>
      <c r="O544" s="15"/>
      <c r="P544" s="15"/>
      <c r="Q544" s="15"/>
      <c r="R544" s="15"/>
      <c r="S544" s="15"/>
      <c r="T544" s="15"/>
      <c r="U544" s="15"/>
      <c r="V544" s="15"/>
    </row>
    <row r="545" ht="15.75" customHeight="1">
      <c r="E545" s="17"/>
      <c r="F545" s="17"/>
      <c r="G545" s="17"/>
      <c r="H545" s="17"/>
    </row>
    <row r="546" ht="15.75" customHeight="1">
      <c r="E546" s="17"/>
      <c r="F546" s="17"/>
      <c r="G546" s="17"/>
      <c r="H546" s="17"/>
    </row>
    <row r="547" ht="15.75" customHeight="1">
      <c r="E547" s="17"/>
      <c r="F547" s="17"/>
      <c r="G547" s="17"/>
      <c r="H547" s="17"/>
    </row>
    <row r="548" ht="15.75" customHeight="1">
      <c r="E548" s="17"/>
      <c r="F548" s="17"/>
      <c r="G548" s="17"/>
      <c r="H548" s="17"/>
    </row>
    <row r="549" ht="15.75" customHeight="1">
      <c r="E549" s="17"/>
      <c r="F549" s="17"/>
      <c r="G549" s="17"/>
      <c r="H549" s="17"/>
    </row>
    <row r="550" ht="15.75" customHeight="1">
      <c r="E550" s="17"/>
      <c r="F550" s="17"/>
      <c r="G550" s="17"/>
      <c r="H550" s="17"/>
    </row>
    <row r="551" ht="15.75" customHeight="1">
      <c r="E551" s="17"/>
      <c r="F551" s="17"/>
      <c r="G551" s="17"/>
      <c r="H551" s="17"/>
    </row>
    <row r="552" ht="15.75" customHeight="1">
      <c r="E552" s="17"/>
      <c r="F552" s="17"/>
      <c r="G552" s="17"/>
      <c r="H552" s="17"/>
    </row>
    <row r="553" ht="15.75" customHeight="1">
      <c r="E553" s="17"/>
      <c r="F553" s="17"/>
      <c r="G553" s="17"/>
      <c r="H553" s="17"/>
    </row>
    <row r="554" ht="15.75" customHeight="1">
      <c r="E554" s="17"/>
      <c r="F554" s="17"/>
      <c r="G554" s="17"/>
      <c r="H554" s="17"/>
    </row>
    <row r="555" ht="15.75" customHeight="1">
      <c r="E555" s="17"/>
      <c r="F555" s="17"/>
      <c r="G555" s="17"/>
      <c r="H555" s="17"/>
    </row>
    <row r="556" ht="15.75" customHeight="1">
      <c r="E556" s="17"/>
      <c r="F556" s="17"/>
      <c r="G556" s="17"/>
      <c r="H556" s="17"/>
    </row>
    <row r="557" ht="15.75" customHeight="1">
      <c r="E557" s="17"/>
      <c r="F557" s="17"/>
      <c r="G557" s="17"/>
      <c r="H557" s="17"/>
    </row>
    <row r="558" ht="15.75" customHeight="1">
      <c r="E558" s="17"/>
      <c r="F558" s="17"/>
      <c r="G558" s="17"/>
      <c r="H558" s="17"/>
    </row>
    <row r="559" ht="15.75" customHeight="1">
      <c r="E559" s="17"/>
      <c r="F559" s="17"/>
      <c r="G559" s="17"/>
      <c r="H559" s="17"/>
    </row>
    <row r="560" ht="15.75" customHeight="1">
      <c r="E560" s="17"/>
      <c r="F560" s="17"/>
      <c r="G560" s="17"/>
      <c r="H560" s="17"/>
    </row>
    <row r="561" ht="15.75" customHeight="1">
      <c r="E561" s="17"/>
      <c r="F561" s="17"/>
      <c r="G561" s="17"/>
      <c r="H561" s="17"/>
    </row>
    <row r="562" ht="15.75" customHeight="1">
      <c r="E562" s="17"/>
      <c r="F562" s="17"/>
      <c r="G562" s="17"/>
      <c r="H562" s="17"/>
    </row>
    <row r="563" ht="15.75" customHeight="1">
      <c r="E563" s="17"/>
      <c r="F563" s="17"/>
      <c r="G563" s="17"/>
      <c r="H563" s="17"/>
    </row>
    <row r="564" ht="15.75" customHeight="1">
      <c r="E564" s="17"/>
      <c r="F564" s="17"/>
      <c r="G564" s="17"/>
      <c r="H564" s="17"/>
    </row>
    <row r="565" ht="15.75" customHeight="1">
      <c r="E565" s="17"/>
      <c r="F565" s="17"/>
      <c r="G565" s="17"/>
      <c r="H565" s="17"/>
    </row>
    <row r="566" ht="15.75" customHeight="1">
      <c r="E566" s="17"/>
      <c r="F566" s="17"/>
      <c r="G566" s="17"/>
      <c r="H566" s="17"/>
    </row>
    <row r="567" ht="15.75" customHeight="1">
      <c r="E567" s="17"/>
      <c r="F567" s="17"/>
      <c r="G567" s="17"/>
      <c r="H567" s="17"/>
    </row>
    <row r="568" ht="15.75" customHeight="1">
      <c r="E568" s="17"/>
      <c r="F568" s="17"/>
      <c r="G568" s="17"/>
      <c r="H568" s="17"/>
    </row>
    <row r="569" ht="15.75" customHeight="1">
      <c r="E569" s="17"/>
      <c r="F569" s="17"/>
      <c r="G569" s="17"/>
      <c r="H569" s="17"/>
    </row>
    <row r="570" ht="15.75" customHeight="1">
      <c r="E570" s="17"/>
      <c r="F570" s="17"/>
      <c r="G570" s="17"/>
      <c r="H570" s="17"/>
    </row>
    <row r="571" ht="15.75" customHeight="1">
      <c r="E571" s="17"/>
      <c r="F571" s="17"/>
      <c r="G571" s="17"/>
      <c r="H571" s="17"/>
    </row>
    <row r="572" ht="15.75" customHeight="1">
      <c r="E572" s="17"/>
      <c r="F572" s="17"/>
      <c r="G572" s="17"/>
      <c r="H572" s="17"/>
    </row>
    <row r="573" ht="15.75" customHeight="1">
      <c r="E573" s="17"/>
      <c r="F573" s="17"/>
      <c r="G573" s="17"/>
      <c r="H573" s="17"/>
    </row>
    <row r="574" ht="15.75" customHeight="1">
      <c r="E574" s="17"/>
      <c r="F574" s="17"/>
      <c r="G574" s="17"/>
      <c r="H574" s="17"/>
    </row>
    <row r="575" ht="15.75" customHeight="1">
      <c r="E575" s="17"/>
      <c r="F575" s="17"/>
      <c r="G575" s="17"/>
      <c r="H575" s="17"/>
    </row>
    <row r="576" ht="15.75" customHeight="1">
      <c r="E576" s="17"/>
      <c r="F576" s="17"/>
      <c r="G576" s="17"/>
      <c r="H576" s="17"/>
    </row>
    <row r="577" ht="15.75" customHeight="1">
      <c r="E577" s="17"/>
      <c r="F577" s="17"/>
      <c r="G577" s="17"/>
      <c r="H577" s="17"/>
    </row>
    <row r="578" ht="15.75" customHeight="1">
      <c r="E578" s="17"/>
      <c r="F578" s="17"/>
      <c r="G578" s="17"/>
      <c r="H578" s="17"/>
    </row>
    <row r="579" ht="15.75" customHeight="1">
      <c r="E579" s="17"/>
      <c r="F579" s="17"/>
      <c r="G579" s="17"/>
      <c r="H579" s="17"/>
    </row>
    <row r="580" ht="15.75" customHeight="1">
      <c r="E580" s="17"/>
      <c r="F580" s="17"/>
      <c r="G580" s="17"/>
      <c r="H580" s="17"/>
    </row>
    <row r="581" ht="15.75" customHeight="1">
      <c r="E581" s="17"/>
      <c r="F581" s="17"/>
      <c r="G581" s="17"/>
      <c r="H581" s="17"/>
    </row>
    <row r="582" ht="15.75" customHeight="1">
      <c r="E582" s="17"/>
      <c r="F582" s="17"/>
      <c r="G582" s="17"/>
      <c r="H582" s="17"/>
    </row>
    <row r="583" ht="15.75" customHeight="1">
      <c r="E583" s="17"/>
      <c r="F583" s="17"/>
      <c r="G583" s="17"/>
      <c r="H583" s="17"/>
    </row>
    <row r="584" ht="15.75" customHeight="1">
      <c r="E584" s="17"/>
      <c r="F584" s="17"/>
      <c r="G584" s="17"/>
      <c r="H584" s="17"/>
    </row>
    <row r="585" ht="15.75" customHeight="1">
      <c r="E585" s="17"/>
      <c r="F585" s="17"/>
      <c r="G585" s="17"/>
      <c r="H585" s="17"/>
    </row>
    <row r="586" ht="15.75" customHeight="1">
      <c r="E586" s="17"/>
      <c r="F586" s="17"/>
      <c r="G586" s="17"/>
      <c r="H586" s="17"/>
    </row>
    <row r="587" ht="15.75" customHeight="1">
      <c r="E587" s="17"/>
      <c r="F587" s="17"/>
      <c r="G587" s="17"/>
      <c r="H587" s="17"/>
    </row>
    <row r="588" ht="15.75" customHeight="1">
      <c r="E588" s="17"/>
      <c r="F588" s="17"/>
      <c r="G588" s="17"/>
      <c r="H588" s="17"/>
    </row>
    <row r="589" ht="15.75" customHeight="1">
      <c r="E589" s="17"/>
      <c r="F589" s="17"/>
      <c r="G589" s="17"/>
      <c r="H589" s="17"/>
    </row>
    <row r="590" ht="15.75" customHeight="1">
      <c r="E590" s="17"/>
      <c r="F590" s="17"/>
      <c r="G590" s="17"/>
      <c r="H590" s="17"/>
    </row>
    <row r="591" ht="15.75" customHeight="1">
      <c r="E591" s="17"/>
      <c r="F591" s="17"/>
      <c r="G591" s="17"/>
      <c r="H591" s="17"/>
    </row>
    <row r="592" ht="15.75" customHeight="1">
      <c r="E592" s="17"/>
      <c r="F592" s="17"/>
      <c r="G592" s="17"/>
      <c r="H592" s="17"/>
    </row>
    <row r="593" ht="15.75" customHeight="1">
      <c r="E593" s="17"/>
      <c r="F593" s="17"/>
      <c r="G593" s="17"/>
      <c r="H593" s="17"/>
    </row>
    <row r="594" ht="15.75" customHeight="1">
      <c r="E594" s="17"/>
      <c r="F594" s="17"/>
      <c r="G594" s="17"/>
      <c r="H594" s="17"/>
    </row>
    <row r="595" ht="15.75" customHeight="1">
      <c r="E595" s="17"/>
      <c r="F595" s="17"/>
      <c r="G595" s="17"/>
      <c r="H595" s="17"/>
    </row>
    <row r="596" ht="15.75" customHeight="1">
      <c r="E596" s="17"/>
      <c r="F596" s="17"/>
      <c r="G596" s="17"/>
      <c r="H596" s="17"/>
    </row>
    <row r="597" ht="15.75" customHeight="1">
      <c r="E597" s="17"/>
      <c r="F597" s="17"/>
      <c r="G597" s="17"/>
      <c r="H597" s="17"/>
    </row>
    <row r="598" ht="15.75" customHeight="1">
      <c r="E598" s="17"/>
      <c r="F598" s="17"/>
      <c r="G598" s="17"/>
      <c r="H598" s="17"/>
    </row>
    <row r="599" ht="15.75" customHeight="1">
      <c r="E599" s="17"/>
      <c r="F599" s="17"/>
      <c r="G599" s="17"/>
      <c r="H599" s="17"/>
    </row>
    <row r="600" ht="15.75" customHeight="1">
      <c r="E600" s="17"/>
      <c r="F600" s="17"/>
      <c r="G600" s="17"/>
      <c r="H600" s="17"/>
    </row>
    <row r="601" ht="15.75" customHeight="1">
      <c r="E601" s="17"/>
      <c r="F601" s="17"/>
      <c r="G601" s="17"/>
      <c r="H601" s="17"/>
    </row>
    <row r="602" ht="15.75" customHeight="1">
      <c r="E602" s="17"/>
      <c r="F602" s="17"/>
      <c r="G602" s="17"/>
      <c r="H602" s="17"/>
    </row>
    <row r="603" ht="15.75" customHeight="1">
      <c r="E603" s="17"/>
      <c r="F603" s="17"/>
      <c r="G603" s="17"/>
      <c r="H603" s="17"/>
    </row>
    <row r="604" ht="15.75" customHeight="1">
      <c r="E604" s="17"/>
      <c r="F604" s="17"/>
      <c r="G604" s="17"/>
      <c r="H604" s="17"/>
    </row>
    <row r="605" ht="15.75" customHeight="1">
      <c r="E605" s="17"/>
      <c r="F605" s="17"/>
      <c r="G605" s="17"/>
      <c r="H605" s="17"/>
    </row>
    <row r="606" ht="15.75" customHeight="1">
      <c r="E606" s="17"/>
      <c r="F606" s="17"/>
      <c r="G606" s="17"/>
      <c r="H606" s="17"/>
    </row>
    <row r="607" ht="15.75" customHeight="1">
      <c r="E607" s="17"/>
      <c r="F607" s="17"/>
      <c r="G607" s="17"/>
      <c r="H607" s="17"/>
    </row>
    <row r="608" ht="15.75" customHeight="1">
      <c r="E608" s="17"/>
      <c r="F608" s="17"/>
      <c r="G608" s="17"/>
      <c r="H608" s="17"/>
    </row>
    <row r="609" ht="15.75" customHeight="1">
      <c r="E609" s="17"/>
      <c r="F609" s="17"/>
      <c r="G609" s="17"/>
      <c r="H609" s="17"/>
    </row>
    <row r="610" ht="15.75" customHeight="1">
      <c r="E610" s="17"/>
      <c r="F610" s="17"/>
      <c r="G610" s="17"/>
      <c r="H610" s="17"/>
    </row>
    <row r="611" ht="15.75" customHeight="1">
      <c r="E611" s="17"/>
      <c r="F611" s="17"/>
      <c r="G611" s="17"/>
      <c r="H611" s="17"/>
    </row>
    <row r="612" ht="15.75" customHeight="1">
      <c r="E612" s="17"/>
      <c r="F612" s="17"/>
      <c r="G612" s="17"/>
      <c r="H612" s="17"/>
    </row>
    <row r="613" ht="15.75" customHeight="1">
      <c r="E613" s="17"/>
      <c r="F613" s="17"/>
      <c r="G613" s="17"/>
      <c r="H613" s="17"/>
    </row>
    <row r="614" ht="15.75" customHeight="1">
      <c r="E614" s="17"/>
      <c r="F614" s="17"/>
      <c r="G614" s="17"/>
      <c r="H614" s="17"/>
    </row>
    <row r="615" ht="15.75" customHeight="1">
      <c r="E615" s="17"/>
      <c r="F615" s="17"/>
      <c r="G615" s="17"/>
      <c r="H615" s="17"/>
    </row>
    <row r="616" ht="15.75" customHeight="1">
      <c r="E616" s="17"/>
      <c r="F616" s="17"/>
      <c r="G616" s="17"/>
      <c r="H616" s="17"/>
    </row>
    <row r="617" ht="15.75" customHeight="1">
      <c r="E617" s="17"/>
      <c r="F617" s="17"/>
      <c r="G617" s="17"/>
      <c r="H617" s="17"/>
    </row>
    <row r="618" ht="15.75" customHeight="1">
      <c r="E618" s="17"/>
      <c r="F618" s="17"/>
      <c r="G618" s="17"/>
      <c r="H618" s="17"/>
    </row>
    <row r="619" ht="15.75" customHeight="1">
      <c r="E619" s="17"/>
      <c r="F619" s="17"/>
      <c r="G619" s="17"/>
      <c r="H619" s="17"/>
    </row>
    <row r="620" ht="15.75" customHeight="1">
      <c r="E620" s="17"/>
      <c r="F620" s="17"/>
      <c r="G620" s="17"/>
      <c r="H620" s="17"/>
    </row>
    <row r="621" ht="15.75" customHeight="1">
      <c r="E621" s="17"/>
      <c r="F621" s="17"/>
      <c r="G621" s="17"/>
      <c r="H621" s="17"/>
    </row>
    <row r="622" ht="15.75" customHeight="1">
      <c r="E622" s="17"/>
      <c r="F622" s="17"/>
      <c r="G622" s="17"/>
      <c r="H622" s="17"/>
    </row>
    <row r="623" ht="15.75" customHeight="1">
      <c r="E623" s="17"/>
      <c r="F623" s="17"/>
      <c r="G623" s="17"/>
      <c r="H623" s="17"/>
    </row>
    <row r="624" ht="15.75" customHeight="1">
      <c r="E624" s="17"/>
      <c r="F624" s="17"/>
      <c r="G624" s="17"/>
      <c r="H624" s="17"/>
    </row>
    <row r="625" ht="15.75" customHeight="1">
      <c r="E625" s="17"/>
      <c r="F625" s="17"/>
      <c r="G625" s="17"/>
      <c r="H625" s="17"/>
    </row>
    <row r="626" ht="15.75" customHeight="1">
      <c r="E626" s="17"/>
      <c r="F626" s="17"/>
      <c r="G626" s="17"/>
      <c r="H626" s="17"/>
    </row>
    <row r="627" ht="15.75" customHeight="1">
      <c r="E627" s="17"/>
      <c r="F627" s="17"/>
      <c r="G627" s="17"/>
      <c r="H627" s="17"/>
    </row>
    <row r="628" ht="15.75" customHeight="1">
      <c r="E628" s="17"/>
      <c r="F628" s="17"/>
      <c r="G628" s="17"/>
      <c r="H628" s="17"/>
    </row>
    <row r="629" ht="15.75" customHeight="1">
      <c r="E629" s="17"/>
      <c r="F629" s="17"/>
      <c r="G629" s="17"/>
      <c r="H629" s="17"/>
    </row>
    <row r="630" ht="15.75" customHeight="1">
      <c r="E630" s="17"/>
      <c r="F630" s="17"/>
      <c r="G630" s="17"/>
      <c r="H630" s="17"/>
    </row>
    <row r="631" ht="15.75" customHeight="1">
      <c r="E631" s="17"/>
      <c r="F631" s="17"/>
      <c r="G631" s="17"/>
      <c r="H631" s="17"/>
    </row>
    <row r="632" ht="15.75" customHeight="1">
      <c r="E632" s="17"/>
      <c r="F632" s="17"/>
      <c r="G632" s="17"/>
      <c r="H632" s="17"/>
    </row>
    <row r="633" ht="15.75" customHeight="1">
      <c r="E633" s="17"/>
      <c r="F633" s="17"/>
      <c r="G633" s="17"/>
      <c r="H633" s="17"/>
    </row>
    <row r="634" ht="15.75" customHeight="1">
      <c r="E634" s="17"/>
      <c r="F634" s="17"/>
      <c r="G634" s="17"/>
      <c r="H634" s="17"/>
    </row>
    <row r="635" ht="15.75" customHeight="1">
      <c r="E635" s="17"/>
      <c r="F635" s="17"/>
      <c r="G635" s="17"/>
      <c r="H635" s="17"/>
    </row>
    <row r="636" ht="15.75" customHeight="1">
      <c r="E636" s="17"/>
      <c r="F636" s="17"/>
      <c r="G636" s="17"/>
      <c r="H636" s="17"/>
    </row>
    <row r="637" ht="15.75" customHeight="1">
      <c r="E637" s="17"/>
      <c r="F637" s="17"/>
      <c r="G637" s="17"/>
      <c r="H637" s="17"/>
    </row>
    <row r="638" ht="15.75" customHeight="1">
      <c r="E638" s="17"/>
      <c r="F638" s="17"/>
      <c r="G638" s="17"/>
      <c r="H638" s="17"/>
    </row>
    <row r="639" ht="15.75" customHeight="1">
      <c r="E639" s="17"/>
      <c r="F639" s="17"/>
      <c r="G639" s="17"/>
      <c r="H639" s="17"/>
    </row>
    <row r="640" ht="15.75" customHeight="1">
      <c r="E640" s="17"/>
      <c r="F640" s="17"/>
      <c r="G640" s="17"/>
      <c r="H640" s="17"/>
    </row>
    <row r="641" ht="15.75" customHeight="1">
      <c r="E641" s="17"/>
      <c r="F641" s="17"/>
      <c r="G641" s="17"/>
      <c r="H641" s="17"/>
    </row>
    <row r="642" ht="15.75" customHeight="1">
      <c r="E642" s="17"/>
      <c r="F642" s="17"/>
      <c r="G642" s="17"/>
      <c r="H642" s="17"/>
    </row>
    <row r="643" ht="15.75" customHeight="1">
      <c r="E643" s="17"/>
      <c r="F643" s="17"/>
      <c r="G643" s="17"/>
      <c r="H643" s="17"/>
    </row>
    <row r="644" ht="15.75" customHeight="1">
      <c r="E644" s="17"/>
      <c r="F644" s="17"/>
      <c r="G644" s="17"/>
      <c r="H644" s="17"/>
    </row>
    <row r="645" ht="15.75" customHeight="1">
      <c r="E645" s="17"/>
      <c r="F645" s="17"/>
      <c r="G645" s="17"/>
      <c r="H645" s="17"/>
    </row>
    <row r="646" ht="15.75" customHeight="1">
      <c r="E646" s="17"/>
      <c r="F646" s="17"/>
      <c r="G646" s="17"/>
      <c r="H646" s="17"/>
    </row>
    <row r="647" ht="15.75" customHeight="1">
      <c r="E647" s="17"/>
      <c r="F647" s="17"/>
      <c r="G647" s="17"/>
      <c r="H647" s="17"/>
    </row>
    <row r="648" ht="15.75" customHeight="1">
      <c r="E648" s="17"/>
      <c r="F648" s="17"/>
      <c r="G648" s="17"/>
      <c r="H648" s="17"/>
    </row>
    <row r="649" ht="15.75" customHeight="1">
      <c r="E649" s="17"/>
      <c r="F649" s="17"/>
      <c r="G649" s="17"/>
      <c r="H649" s="17"/>
    </row>
    <row r="650" ht="15.75" customHeight="1">
      <c r="E650" s="17"/>
      <c r="F650" s="17"/>
      <c r="G650" s="17"/>
      <c r="H650" s="17"/>
    </row>
    <row r="651" ht="15.75" customHeight="1">
      <c r="E651" s="17"/>
      <c r="F651" s="17"/>
      <c r="G651" s="17"/>
      <c r="H651" s="17"/>
    </row>
    <row r="652" ht="15.75" customHeight="1">
      <c r="E652" s="17"/>
      <c r="F652" s="17"/>
      <c r="G652" s="17"/>
      <c r="H652" s="17"/>
    </row>
    <row r="653" ht="15.75" customHeight="1">
      <c r="E653" s="17"/>
      <c r="F653" s="17"/>
      <c r="G653" s="17"/>
      <c r="H653" s="17"/>
    </row>
    <row r="654" ht="15.75" customHeight="1">
      <c r="E654" s="17"/>
      <c r="F654" s="17"/>
      <c r="G654" s="17"/>
      <c r="H654" s="17"/>
    </row>
    <row r="655" ht="15.75" customHeight="1">
      <c r="E655" s="17"/>
      <c r="F655" s="17"/>
      <c r="G655" s="17"/>
      <c r="H655" s="17"/>
    </row>
    <row r="656" ht="15.75" customHeight="1">
      <c r="E656" s="17"/>
      <c r="F656" s="17"/>
      <c r="G656" s="17"/>
      <c r="H656" s="17"/>
    </row>
    <row r="657" ht="15.75" customHeight="1">
      <c r="E657" s="17"/>
      <c r="F657" s="17"/>
      <c r="G657" s="17"/>
      <c r="H657" s="17"/>
    </row>
    <row r="658" ht="15.75" customHeight="1">
      <c r="E658" s="17"/>
      <c r="F658" s="17"/>
      <c r="G658" s="17"/>
      <c r="H658" s="17"/>
    </row>
    <row r="659" ht="15.75" customHeight="1">
      <c r="E659" s="17"/>
      <c r="F659" s="17"/>
      <c r="G659" s="17"/>
      <c r="H659" s="17"/>
    </row>
    <row r="660" ht="15.75" customHeight="1">
      <c r="E660" s="17"/>
      <c r="F660" s="17"/>
      <c r="G660" s="17"/>
      <c r="H660" s="17"/>
    </row>
    <row r="661" ht="15.75" customHeight="1">
      <c r="E661" s="17"/>
      <c r="F661" s="17"/>
      <c r="G661" s="17"/>
      <c r="H661" s="17"/>
    </row>
    <row r="662" ht="15.75" customHeight="1">
      <c r="E662" s="17"/>
      <c r="F662" s="17"/>
      <c r="G662" s="17"/>
      <c r="H662" s="17"/>
    </row>
    <row r="663" ht="15.75" customHeight="1">
      <c r="E663" s="17"/>
      <c r="F663" s="17"/>
      <c r="G663" s="17"/>
      <c r="H663" s="17"/>
    </row>
    <row r="664" ht="15.75" customHeight="1">
      <c r="E664" s="17"/>
      <c r="F664" s="17"/>
      <c r="G664" s="17"/>
      <c r="H664" s="17"/>
    </row>
    <row r="665" ht="15.75" customHeight="1">
      <c r="E665" s="17"/>
      <c r="F665" s="17"/>
      <c r="G665" s="17"/>
      <c r="H665" s="17"/>
    </row>
    <row r="666" ht="15.75" customHeight="1">
      <c r="E666" s="17"/>
      <c r="F666" s="17"/>
      <c r="G666" s="17"/>
      <c r="H666" s="17"/>
    </row>
    <row r="667" ht="15.75" customHeight="1">
      <c r="E667" s="17"/>
      <c r="F667" s="17"/>
      <c r="G667" s="17"/>
      <c r="H667" s="17"/>
    </row>
    <row r="668" ht="15.75" customHeight="1">
      <c r="E668" s="17"/>
      <c r="F668" s="17"/>
      <c r="G668" s="17"/>
      <c r="H668" s="17"/>
    </row>
    <row r="669" ht="15.75" customHeight="1">
      <c r="E669" s="17"/>
      <c r="F669" s="17"/>
      <c r="G669" s="17"/>
      <c r="H669" s="17"/>
    </row>
    <row r="670" ht="15.75" customHeight="1">
      <c r="E670" s="17"/>
      <c r="F670" s="17"/>
      <c r="G670" s="17"/>
      <c r="H670" s="17"/>
    </row>
    <row r="671" ht="15.75" customHeight="1">
      <c r="E671" s="17"/>
      <c r="F671" s="17"/>
      <c r="G671" s="17"/>
      <c r="H671" s="17"/>
    </row>
    <row r="672" ht="15.75" customHeight="1">
      <c r="E672" s="17"/>
      <c r="F672" s="17"/>
      <c r="G672" s="17"/>
      <c r="H672" s="17"/>
    </row>
    <row r="673" ht="15.75" customHeight="1">
      <c r="E673" s="17"/>
      <c r="F673" s="17"/>
      <c r="G673" s="17"/>
      <c r="H673" s="17"/>
    </row>
    <row r="674" ht="15.75" customHeight="1">
      <c r="E674" s="17"/>
      <c r="F674" s="17"/>
      <c r="G674" s="17"/>
      <c r="H674" s="17"/>
    </row>
    <row r="675" ht="15.75" customHeight="1">
      <c r="E675" s="17"/>
      <c r="F675" s="17"/>
      <c r="G675" s="17"/>
      <c r="H675" s="17"/>
    </row>
    <row r="676" ht="15.75" customHeight="1">
      <c r="E676" s="17"/>
      <c r="F676" s="17"/>
      <c r="G676" s="17"/>
      <c r="H676" s="17"/>
    </row>
    <row r="677" ht="15.75" customHeight="1">
      <c r="E677" s="17"/>
      <c r="F677" s="17"/>
      <c r="G677" s="17"/>
      <c r="H677" s="17"/>
    </row>
    <row r="678" ht="15.75" customHeight="1">
      <c r="E678" s="17"/>
      <c r="F678" s="17"/>
      <c r="G678" s="17"/>
      <c r="H678" s="17"/>
    </row>
    <row r="679" ht="15.75" customHeight="1">
      <c r="E679" s="17"/>
      <c r="F679" s="17"/>
      <c r="G679" s="17"/>
      <c r="H679" s="17"/>
    </row>
    <row r="680" ht="15.75" customHeight="1">
      <c r="E680" s="17"/>
      <c r="F680" s="17"/>
      <c r="G680" s="17"/>
      <c r="H680" s="17"/>
    </row>
    <row r="681" ht="15.75" customHeight="1">
      <c r="E681" s="17"/>
      <c r="F681" s="17"/>
      <c r="G681" s="17"/>
      <c r="H681" s="17"/>
    </row>
    <row r="682" ht="15.75" customHeight="1">
      <c r="E682" s="17"/>
      <c r="F682" s="17"/>
      <c r="G682" s="17"/>
      <c r="H682" s="17"/>
    </row>
    <row r="683" ht="15.75" customHeight="1">
      <c r="E683" s="17"/>
      <c r="F683" s="17"/>
      <c r="G683" s="17"/>
      <c r="H683" s="17"/>
    </row>
    <row r="684" ht="15.75" customHeight="1">
      <c r="E684" s="17"/>
      <c r="F684" s="17"/>
      <c r="G684" s="17"/>
      <c r="H684" s="17"/>
    </row>
    <row r="685" ht="15.75" customHeight="1">
      <c r="E685" s="17"/>
      <c r="F685" s="17"/>
      <c r="G685" s="17"/>
      <c r="H685" s="17"/>
    </row>
    <row r="686" ht="15.75" customHeight="1">
      <c r="E686" s="17"/>
      <c r="F686" s="17"/>
      <c r="G686" s="17"/>
      <c r="H686" s="17"/>
    </row>
    <row r="687" ht="15.75" customHeight="1">
      <c r="E687" s="17"/>
      <c r="F687" s="17"/>
      <c r="G687" s="17"/>
      <c r="H687" s="17"/>
    </row>
    <row r="688" ht="15.75" customHeight="1">
      <c r="E688" s="17"/>
      <c r="F688" s="17"/>
      <c r="G688" s="17"/>
      <c r="H688" s="17"/>
    </row>
    <row r="689" ht="15.75" customHeight="1">
      <c r="E689" s="17"/>
      <c r="F689" s="17"/>
      <c r="G689" s="17"/>
      <c r="H689" s="17"/>
    </row>
    <row r="690" ht="15.75" customHeight="1">
      <c r="E690" s="17"/>
      <c r="F690" s="17"/>
      <c r="G690" s="17"/>
      <c r="H690" s="17"/>
    </row>
    <row r="691" ht="15.75" customHeight="1">
      <c r="E691" s="17"/>
      <c r="F691" s="17"/>
      <c r="G691" s="17"/>
      <c r="H691" s="17"/>
    </row>
    <row r="692" ht="15.75" customHeight="1">
      <c r="E692" s="17"/>
      <c r="F692" s="17"/>
      <c r="G692" s="17"/>
      <c r="H692" s="17"/>
    </row>
    <row r="693" ht="15.75" customHeight="1">
      <c r="E693" s="17"/>
      <c r="F693" s="17"/>
      <c r="G693" s="17"/>
      <c r="H693" s="17"/>
    </row>
    <row r="694" ht="15.75" customHeight="1">
      <c r="E694" s="17"/>
      <c r="F694" s="17"/>
      <c r="G694" s="17"/>
      <c r="H694" s="17"/>
    </row>
    <row r="695" ht="15.75" customHeight="1">
      <c r="E695" s="17"/>
      <c r="F695" s="17"/>
      <c r="G695" s="17"/>
      <c r="H695" s="17"/>
    </row>
    <row r="696" ht="15.75" customHeight="1">
      <c r="E696" s="17"/>
      <c r="F696" s="17"/>
      <c r="G696" s="17"/>
      <c r="H696" s="17"/>
    </row>
    <row r="697" ht="15.75" customHeight="1">
      <c r="E697" s="17"/>
      <c r="F697" s="17"/>
      <c r="G697" s="17"/>
      <c r="H697" s="17"/>
    </row>
    <row r="698" ht="15.75" customHeight="1">
      <c r="E698" s="17"/>
      <c r="F698" s="17"/>
      <c r="G698" s="17"/>
      <c r="H698" s="17"/>
    </row>
    <row r="699" ht="15.75" customHeight="1">
      <c r="E699" s="17"/>
      <c r="F699" s="17"/>
      <c r="G699" s="17"/>
      <c r="H699" s="17"/>
    </row>
    <row r="700" ht="15.75" customHeight="1">
      <c r="E700" s="17"/>
      <c r="F700" s="17"/>
      <c r="G700" s="17"/>
      <c r="H700" s="17"/>
    </row>
    <row r="701" ht="15.75" customHeight="1">
      <c r="E701" s="17"/>
      <c r="F701" s="17"/>
      <c r="G701" s="17"/>
      <c r="H701" s="17"/>
    </row>
    <row r="702" ht="15.75" customHeight="1">
      <c r="E702" s="17"/>
      <c r="F702" s="17"/>
      <c r="G702" s="17"/>
      <c r="H702" s="17"/>
    </row>
    <row r="703" ht="15.75" customHeight="1">
      <c r="E703" s="17"/>
      <c r="F703" s="17"/>
      <c r="G703" s="17"/>
      <c r="H703" s="17"/>
    </row>
    <row r="704" ht="15.75" customHeight="1">
      <c r="E704" s="17"/>
      <c r="F704" s="17"/>
      <c r="G704" s="17"/>
      <c r="H704" s="17"/>
    </row>
    <row r="705" ht="15.75" customHeight="1">
      <c r="E705" s="17"/>
      <c r="F705" s="17"/>
      <c r="G705" s="17"/>
      <c r="H705" s="17"/>
    </row>
    <row r="706" ht="15.75" customHeight="1">
      <c r="E706" s="17"/>
      <c r="F706" s="17"/>
      <c r="G706" s="17"/>
      <c r="H706" s="17"/>
    </row>
    <row r="707" ht="15.75" customHeight="1">
      <c r="E707" s="17"/>
      <c r="F707" s="17"/>
      <c r="G707" s="17"/>
      <c r="H707" s="17"/>
    </row>
    <row r="708" ht="15.75" customHeight="1">
      <c r="E708" s="17"/>
      <c r="F708" s="17"/>
      <c r="G708" s="17"/>
      <c r="H708" s="17"/>
    </row>
    <row r="709" ht="15.75" customHeight="1">
      <c r="E709" s="17"/>
      <c r="F709" s="17"/>
      <c r="G709" s="17"/>
      <c r="H709" s="17"/>
    </row>
    <row r="710" ht="15.75" customHeight="1">
      <c r="E710" s="17"/>
      <c r="F710" s="17"/>
      <c r="G710" s="17"/>
      <c r="H710" s="17"/>
    </row>
    <row r="711" ht="15.75" customHeight="1">
      <c r="E711" s="17"/>
      <c r="F711" s="17"/>
      <c r="G711" s="17"/>
      <c r="H711" s="17"/>
    </row>
    <row r="712" ht="15.75" customHeight="1">
      <c r="E712" s="17"/>
      <c r="F712" s="17"/>
      <c r="G712" s="17"/>
      <c r="H712" s="17"/>
    </row>
    <row r="713" ht="15.75" customHeight="1">
      <c r="E713" s="17"/>
      <c r="F713" s="17"/>
      <c r="G713" s="17"/>
      <c r="H713" s="17"/>
    </row>
    <row r="714" ht="15.75" customHeight="1">
      <c r="E714" s="17"/>
      <c r="F714" s="17"/>
      <c r="G714" s="17"/>
      <c r="H714" s="17"/>
    </row>
    <row r="715" ht="15.75" customHeight="1">
      <c r="E715" s="17"/>
      <c r="F715" s="17"/>
      <c r="G715" s="17"/>
      <c r="H715" s="17"/>
    </row>
    <row r="716" ht="15.75" customHeight="1">
      <c r="E716" s="17"/>
      <c r="F716" s="17"/>
      <c r="G716" s="17"/>
      <c r="H716" s="17"/>
    </row>
    <row r="717" ht="15.75" customHeight="1">
      <c r="E717" s="17"/>
      <c r="F717" s="17"/>
      <c r="G717" s="17"/>
      <c r="H717" s="17"/>
    </row>
    <row r="718" ht="15.75" customHeight="1">
      <c r="E718" s="17"/>
      <c r="F718" s="17"/>
      <c r="G718" s="17"/>
      <c r="H718" s="17"/>
    </row>
    <row r="719" ht="15.75" customHeight="1">
      <c r="E719" s="17"/>
      <c r="F719" s="17"/>
      <c r="G719" s="17"/>
      <c r="H719" s="17"/>
    </row>
    <row r="720" ht="15.75" customHeight="1">
      <c r="E720" s="17"/>
      <c r="F720" s="17"/>
      <c r="G720" s="17"/>
      <c r="H720" s="17"/>
    </row>
    <row r="721" ht="15.75" customHeight="1">
      <c r="E721" s="17"/>
      <c r="F721" s="17"/>
      <c r="G721" s="17"/>
      <c r="H721" s="17"/>
    </row>
    <row r="722" ht="15.75" customHeight="1">
      <c r="E722" s="17"/>
      <c r="F722" s="17"/>
      <c r="G722" s="17"/>
      <c r="H722" s="17"/>
    </row>
    <row r="723" ht="15.75" customHeight="1">
      <c r="E723" s="17"/>
      <c r="F723" s="17"/>
      <c r="G723" s="17"/>
      <c r="H723" s="17"/>
    </row>
    <row r="724" ht="15.75" customHeight="1">
      <c r="E724" s="17"/>
      <c r="F724" s="17"/>
      <c r="G724" s="17"/>
      <c r="H724" s="17"/>
    </row>
    <row r="725" ht="15.75" customHeight="1">
      <c r="E725" s="17"/>
      <c r="F725" s="17"/>
      <c r="G725" s="17"/>
      <c r="H725" s="17"/>
    </row>
    <row r="726" ht="15.75" customHeight="1">
      <c r="E726" s="17"/>
      <c r="F726" s="17"/>
      <c r="G726" s="17"/>
      <c r="H726" s="17"/>
    </row>
    <row r="727" ht="15.75" customHeight="1">
      <c r="E727" s="17"/>
      <c r="F727" s="17"/>
      <c r="G727" s="17"/>
      <c r="H727" s="17"/>
    </row>
    <row r="728" ht="15.75" customHeight="1">
      <c r="E728" s="17"/>
      <c r="F728" s="17"/>
      <c r="G728" s="17"/>
      <c r="H728" s="17"/>
    </row>
    <row r="729" ht="15.75" customHeight="1">
      <c r="E729" s="17"/>
      <c r="F729" s="17"/>
      <c r="G729" s="17"/>
      <c r="H729" s="17"/>
    </row>
    <row r="730" ht="15.75" customHeight="1">
      <c r="E730" s="17"/>
      <c r="F730" s="17"/>
      <c r="G730" s="17"/>
      <c r="H730" s="17"/>
    </row>
    <row r="731" ht="15.75" customHeight="1">
      <c r="E731" s="17"/>
      <c r="F731" s="17"/>
      <c r="G731" s="17"/>
      <c r="H731" s="17"/>
    </row>
    <row r="732" ht="15.75" customHeight="1">
      <c r="E732" s="17"/>
      <c r="F732" s="17"/>
      <c r="G732" s="17"/>
      <c r="H732" s="17"/>
    </row>
    <row r="733" ht="15.75" customHeight="1">
      <c r="E733" s="17"/>
      <c r="F733" s="17"/>
      <c r="G733" s="17"/>
      <c r="H733" s="17"/>
    </row>
    <row r="734" ht="15.75" customHeight="1">
      <c r="E734" s="17"/>
      <c r="F734" s="17"/>
      <c r="G734" s="17"/>
      <c r="H734" s="17"/>
    </row>
    <row r="735" ht="15.75" customHeight="1">
      <c r="E735" s="17"/>
      <c r="F735" s="17"/>
      <c r="G735" s="17"/>
      <c r="H735" s="17"/>
    </row>
    <row r="736" ht="15.75" customHeight="1">
      <c r="E736" s="17"/>
      <c r="F736" s="17"/>
      <c r="G736" s="17"/>
      <c r="H736" s="17"/>
    </row>
    <row r="737" ht="15.75" customHeight="1">
      <c r="E737" s="17"/>
      <c r="F737" s="17"/>
      <c r="G737" s="17"/>
      <c r="H737" s="17"/>
    </row>
    <row r="738" ht="15.75" customHeight="1">
      <c r="E738" s="17"/>
      <c r="F738" s="17"/>
      <c r="G738" s="17"/>
      <c r="H738" s="17"/>
    </row>
    <row r="739" ht="15.75" customHeight="1">
      <c r="E739" s="17"/>
      <c r="F739" s="17"/>
      <c r="G739" s="17"/>
      <c r="H739" s="17"/>
    </row>
    <row r="740" ht="15.75" customHeight="1">
      <c r="E740" s="17"/>
      <c r="F740" s="17"/>
      <c r="G740" s="17"/>
      <c r="H740" s="17"/>
    </row>
    <row r="741" ht="15.75" customHeight="1">
      <c r="E741" s="17"/>
      <c r="F741" s="17"/>
      <c r="G741" s="17"/>
      <c r="H741" s="17"/>
    </row>
    <row r="742" ht="15.75" customHeight="1">
      <c r="E742" s="17"/>
      <c r="F742" s="17"/>
      <c r="G742" s="17"/>
      <c r="H742" s="17"/>
    </row>
    <row r="743" ht="15.75" customHeight="1">
      <c r="E743" s="17"/>
      <c r="F743" s="17"/>
      <c r="G743" s="17"/>
      <c r="H743" s="17"/>
    </row>
    <row r="744" ht="15.75" customHeight="1">
      <c r="E744" s="17"/>
      <c r="F744" s="17"/>
      <c r="G744" s="17"/>
      <c r="H744" s="17"/>
    </row>
    <row r="745" ht="15.75" customHeight="1">
      <c r="E745" s="17"/>
      <c r="F745" s="17"/>
      <c r="G745" s="17"/>
      <c r="H745" s="17"/>
    </row>
    <row r="746" ht="15.75" customHeight="1">
      <c r="E746" s="17"/>
      <c r="F746" s="17"/>
      <c r="G746" s="17"/>
      <c r="H746" s="17"/>
    </row>
    <row r="747" ht="15.75" customHeight="1">
      <c r="E747" s="17"/>
      <c r="F747" s="17"/>
      <c r="G747" s="17"/>
      <c r="H747" s="17"/>
    </row>
    <row r="748" ht="15.75" customHeight="1">
      <c r="E748" s="17"/>
      <c r="F748" s="17"/>
      <c r="G748" s="17"/>
      <c r="H748" s="17"/>
    </row>
    <row r="749" ht="15.75" customHeight="1">
      <c r="E749" s="17"/>
      <c r="F749" s="17"/>
      <c r="G749" s="17"/>
      <c r="H749" s="17"/>
    </row>
    <row r="750" ht="15.75" customHeight="1">
      <c r="E750" s="17"/>
      <c r="F750" s="17"/>
      <c r="G750" s="17"/>
      <c r="H750" s="17"/>
    </row>
    <row r="751" ht="15.75" customHeight="1">
      <c r="E751" s="17"/>
      <c r="F751" s="17"/>
      <c r="G751" s="17"/>
      <c r="H751" s="17"/>
    </row>
    <row r="752" ht="15.75" customHeight="1">
      <c r="E752" s="17"/>
      <c r="F752" s="17"/>
      <c r="G752" s="17"/>
      <c r="H752" s="17"/>
    </row>
    <row r="753" ht="15.75" customHeight="1">
      <c r="E753" s="17"/>
      <c r="F753" s="17"/>
      <c r="G753" s="17"/>
      <c r="H753" s="17"/>
    </row>
    <row r="754" ht="15.75" customHeight="1">
      <c r="E754" s="17"/>
      <c r="F754" s="17"/>
      <c r="G754" s="17"/>
      <c r="H754" s="17"/>
    </row>
    <row r="755" ht="15.75" customHeight="1">
      <c r="E755" s="17"/>
      <c r="F755" s="17"/>
      <c r="G755" s="17"/>
      <c r="H755" s="17"/>
    </row>
    <row r="756" ht="15.75" customHeight="1">
      <c r="E756" s="17"/>
      <c r="F756" s="17"/>
      <c r="G756" s="17"/>
      <c r="H756" s="17"/>
    </row>
    <row r="757" ht="15.75" customHeight="1">
      <c r="E757" s="17"/>
      <c r="F757" s="17"/>
      <c r="G757" s="17"/>
      <c r="H757" s="17"/>
    </row>
    <row r="758" ht="15.75" customHeight="1">
      <c r="E758" s="17"/>
      <c r="F758" s="17"/>
      <c r="G758" s="17"/>
      <c r="H758" s="17"/>
    </row>
    <row r="759" ht="15.75" customHeight="1">
      <c r="E759" s="17"/>
      <c r="F759" s="17"/>
      <c r="G759" s="17"/>
      <c r="H759" s="17"/>
    </row>
    <row r="760" ht="15.75" customHeight="1">
      <c r="E760" s="17"/>
      <c r="F760" s="17"/>
      <c r="G760" s="17"/>
      <c r="H760" s="17"/>
    </row>
    <row r="761" ht="15.75" customHeight="1">
      <c r="E761" s="17"/>
      <c r="F761" s="17"/>
      <c r="G761" s="17"/>
      <c r="H761" s="17"/>
    </row>
    <row r="762" ht="15.75" customHeight="1">
      <c r="E762" s="17"/>
      <c r="F762" s="17"/>
      <c r="G762" s="17"/>
      <c r="H762" s="17"/>
    </row>
    <row r="763" ht="15.75" customHeight="1">
      <c r="E763" s="17"/>
      <c r="F763" s="17"/>
      <c r="G763" s="17"/>
      <c r="H763" s="17"/>
    </row>
    <row r="764" ht="15.75" customHeight="1">
      <c r="E764" s="17"/>
      <c r="F764" s="17"/>
      <c r="G764" s="17"/>
      <c r="H764" s="17"/>
    </row>
    <row r="765" ht="15.75" customHeight="1">
      <c r="E765" s="17"/>
      <c r="F765" s="17"/>
      <c r="G765" s="17"/>
      <c r="H765" s="17"/>
    </row>
    <row r="766" ht="15.75" customHeight="1">
      <c r="E766" s="17"/>
      <c r="F766" s="17"/>
      <c r="G766" s="17"/>
      <c r="H766" s="17"/>
    </row>
    <row r="767" ht="15.75" customHeight="1">
      <c r="E767" s="17"/>
      <c r="F767" s="17"/>
      <c r="G767" s="17"/>
      <c r="H767" s="17"/>
    </row>
    <row r="768" ht="15.75" customHeight="1">
      <c r="E768" s="17"/>
      <c r="F768" s="17"/>
      <c r="G768" s="17"/>
      <c r="H768" s="17"/>
    </row>
    <row r="769" ht="15.75" customHeight="1">
      <c r="E769" s="17"/>
      <c r="F769" s="17"/>
      <c r="G769" s="17"/>
      <c r="H769" s="17"/>
    </row>
    <row r="770" ht="15.75" customHeight="1">
      <c r="E770" s="17"/>
      <c r="F770" s="17"/>
      <c r="G770" s="17"/>
      <c r="H770" s="17"/>
    </row>
    <row r="771" ht="15.75" customHeight="1">
      <c r="E771" s="17"/>
      <c r="F771" s="17"/>
      <c r="G771" s="17"/>
      <c r="H771" s="17"/>
    </row>
    <row r="772" ht="15.75" customHeight="1">
      <c r="E772" s="17"/>
      <c r="F772" s="17"/>
      <c r="G772" s="17"/>
      <c r="H772" s="17"/>
    </row>
    <row r="773" ht="15.75" customHeight="1">
      <c r="E773" s="17"/>
      <c r="F773" s="17"/>
      <c r="G773" s="17"/>
      <c r="H773" s="17"/>
    </row>
    <row r="774" ht="15.75" customHeight="1">
      <c r="E774" s="17"/>
      <c r="F774" s="17"/>
      <c r="G774" s="17"/>
      <c r="H774" s="17"/>
    </row>
    <row r="775" ht="15.75" customHeight="1">
      <c r="E775" s="17"/>
      <c r="F775" s="17"/>
      <c r="G775" s="17"/>
      <c r="H775" s="17"/>
    </row>
    <row r="776" ht="15.75" customHeight="1">
      <c r="E776" s="17"/>
      <c r="F776" s="17"/>
      <c r="G776" s="17"/>
      <c r="H776" s="17"/>
    </row>
    <row r="777" ht="15.75" customHeight="1">
      <c r="E777" s="17"/>
      <c r="F777" s="17"/>
      <c r="G777" s="17"/>
      <c r="H777" s="17"/>
    </row>
    <row r="778" ht="15.75" customHeight="1">
      <c r="E778" s="17"/>
      <c r="F778" s="17"/>
      <c r="G778" s="17"/>
      <c r="H778" s="17"/>
    </row>
    <row r="779" ht="15.75" customHeight="1">
      <c r="E779" s="17"/>
      <c r="F779" s="17"/>
      <c r="G779" s="17"/>
      <c r="H779" s="17"/>
    </row>
    <row r="780" ht="15.75" customHeight="1">
      <c r="E780" s="17"/>
      <c r="F780" s="17"/>
      <c r="G780" s="17"/>
      <c r="H780" s="17"/>
    </row>
    <row r="781" ht="15.75" customHeight="1">
      <c r="E781" s="17"/>
      <c r="F781" s="17"/>
      <c r="G781" s="17"/>
      <c r="H781" s="17"/>
    </row>
    <row r="782" ht="15.75" customHeight="1">
      <c r="E782" s="17"/>
      <c r="F782" s="17"/>
      <c r="G782" s="17"/>
      <c r="H782" s="17"/>
    </row>
    <row r="783" ht="15.75" customHeight="1">
      <c r="E783" s="17"/>
      <c r="F783" s="17"/>
      <c r="G783" s="17"/>
      <c r="H783" s="17"/>
    </row>
    <row r="784" ht="15.75" customHeight="1">
      <c r="E784" s="17"/>
      <c r="F784" s="17"/>
      <c r="G784" s="17"/>
      <c r="H784" s="17"/>
    </row>
    <row r="785" ht="15.75" customHeight="1">
      <c r="E785" s="17"/>
      <c r="F785" s="17"/>
      <c r="G785" s="17"/>
      <c r="H785" s="17"/>
    </row>
    <row r="786" ht="15.75" customHeight="1">
      <c r="E786" s="17"/>
      <c r="F786" s="17"/>
      <c r="G786" s="17"/>
      <c r="H786" s="17"/>
    </row>
    <row r="787" ht="15.75" customHeight="1">
      <c r="E787" s="17"/>
      <c r="F787" s="17"/>
      <c r="G787" s="17"/>
      <c r="H787" s="17"/>
    </row>
    <row r="788" ht="15.75" customHeight="1">
      <c r="E788" s="17"/>
      <c r="F788" s="17"/>
      <c r="G788" s="17"/>
      <c r="H788" s="17"/>
    </row>
    <row r="789" ht="15.75" customHeight="1">
      <c r="E789" s="17"/>
      <c r="F789" s="17"/>
      <c r="G789" s="17"/>
      <c r="H789" s="17"/>
    </row>
    <row r="790" ht="15.75" customHeight="1">
      <c r="E790" s="17"/>
      <c r="F790" s="17"/>
      <c r="G790" s="17"/>
      <c r="H790" s="17"/>
    </row>
    <row r="791" ht="15.75" customHeight="1">
      <c r="E791" s="17"/>
      <c r="F791" s="17"/>
      <c r="G791" s="17"/>
      <c r="H791" s="17"/>
    </row>
    <row r="792" ht="15.75" customHeight="1">
      <c r="E792" s="17"/>
      <c r="F792" s="17"/>
      <c r="G792" s="17"/>
      <c r="H792" s="17"/>
    </row>
    <row r="793" ht="15.75" customHeight="1">
      <c r="E793" s="17"/>
      <c r="F793" s="17"/>
      <c r="G793" s="17"/>
      <c r="H793" s="17"/>
    </row>
    <row r="794" ht="15.75" customHeight="1">
      <c r="E794" s="17"/>
      <c r="F794" s="17"/>
      <c r="G794" s="17"/>
      <c r="H794" s="17"/>
    </row>
    <row r="795" ht="15.75" customHeight="1">
      <c r="E795" s="17"/>
      <c r="F795" s="17"/>
      <c r="G795" s="17"/>
      <c r="H795" s="17"/>
    </row>
    <row r="796" ht="15.75" customHeight="1">
      <c r="E796" s="17"/>
      <c r="F796" s="17"/>
      <c r="G796" s="17"/>
      <c r="H796" s="17"/>
    </row>
    <row r="797" ht="15.75" customHeight="1">
      <c r="E797" s="17"/>
      <c r="F797" s="17"/>
      <c r="G797" s="17"/>
      <c r="H797" s="17"/>
    </row>
    <row r="798" ht="15.75" customHeight="1">
      <c r="E798" s="17"/>
      <c r="F798" s="17"/>
      <c r="G798" s="17"/>
      <c r="H798" s="17"/>
    </row>
    <row r="799" ht="15.75" customHeight="1">
      <c r="E799" s="17"/>
      <c r="F799" s="17"/>
      <c r="G799" s="17"/>
      <c r="H799" s="17"/>
    </row>
    <row r="800" ht="15.75" customHeight="1">
      <c r="E800" s="17"/>
      <c r="F800" s="17"/>
      <c r="G800" s="17"/>
      <c r="H800" s="17"/>
    </row>
    <row r="801" ht="15.75" customHeight="1">
      <c r="E801" s="17"/>
      <c r="F801" s="17"/>
      <c r="G801" s="17"/>
      <c r="H801" s="17"/>
    </row>
    <row r="802" ht="15.75" customHeight="1">
      <c r="E802" s="17"/>
      <c r="F802" s="17"/>
      <c r="G802" s="17"/>
      <c r="H802" s="17"/>
    </row>
    <row r="803" ht="15.75" customHeight="1">
      <c r="E803" s="17"/>
      <c r="F803" s="17"/>
      <c r="G803" s="17"/>
      <c r="H803" s="17"/>
    </row>
    <row r="804" ht="15.75" customHeight="1">
      <c r="E804" s="17"/>
      <c r="F804" s="17"/>
      <c r="G804" s="17"/>
      <c r="H804" s="17"/>
    </row>
    <row r="805" ht="15.75" customHeight="1">
      <c r="E805" s="17"/>
      <c r="F805" s="17"/>
      <c r="G805" s="17"/>
      <c r="H805" s="17"/>
    </row>
    <row r="806" ht="15.75" customHeight="1">
      <c r="E806" s="17"/>
      <c r="F806" s="17"/>
      <c r="G806" s="17"/>
      <c r="H806" s="17"/>
    </row>
    <row r="807" ht="15.75" customHeight="1">
      <c r="E807" s="17"/>
      <c r="F807" s="17"/>
      <c r="G807" s="17"/>
      <c r="H807" s="17"/>
    </row>
    <row r="808" ht="15.75" customHeight="1">
      <c r="E808" s="17"/>
      <c r="F808" s="17"/>
      <c r="G808" s="17"/>
      <c r="H808" s="17"/>
    </row>
    <row r="809" ht="15.75" customHeight="1">
      <c r="E809" s="17"/>
      <c r="F809" s="17"/>
      <c r="G809" s="17"/>
      <c r="H809" s="17"/>
    </row>
    <row r="810" ht="15.75" customHeight="1">
      <c r="E810" s="17"/>
      <c r="F810" s="17"/>
      <c r="G810" s="17"/>
      <c r="H810" s="17"/>
    </row>
    <row r="811" ht="15.75" customHeight="1">
      <c r="E811" s="17"/>
      <c r="F811" s="17"/>
      <c r="G811" s="17"/>
      <c r="H811" s="17"/>
    </row>
    <row r="812" ht="15.75" customHeight="1">
      <c r="E812" s="17"/>
      <c r="F812" s="17"/>
      <c r="G812" s="17"/>
      <c r="H812" s="17"/>
    </row>
    <row r="813" ht="15.75" customHeight="1">
      <c r="E813" s="17"/>
      <c r="F813" s="17"/>
      <c r="G813" s="17"/>
      <c r="H813" s="17"/>
    </row>
    <row r="814" ht="15.75" customHeight="1">
      <c r="E814" s="17"/>
      <c r="F814" s="17"/>
      <c r="G814" s="17"/>
      <c r="H814" s="17"/>
    </row>
    <row r="815" ht="15.75" customHeight="1">
      <c r="E815" s="17"/>
      <c r="F815" s="17"/>
      <c r="G815" s="17"/>
      <c r="H815" s="17"/>
    </row>
    <row r="816" ht="15.75" customHeight="1">
      <c r="E816" s="17"/>
      <c r="F816" s="17"/>
      <c r="G816" s="17"/>
      <c r="H816" s="17"/>
    </row>
    <row r="817" ht="15.75" customHeight="1">
      <c r="E817" s="17"/>
      <c r="F817" s="17"/>
      <c r="G817" s="17"/>
      <c r="H817" s="17"/>
    </row>
    <row r="818" ht="15.75" customHeight="1">
      <c r="E818" s="17"/>
      <c r="F818" s="17"/>
      <c r="G818" s="17"/>
      <c r="H818" s="17"/>
    </row>
    <row r="819" ht="15.75" customHeight="1">
      <c r="E819" s="17"/>
      <c r="F819" s="17"/>
      <c r="G819" s="17"/>
      <c r="H819" s="17"/>
    </row>
    <row r="820" ht="15.75" customHeight="1">
      <c r="E820" s="17"/>
      <c r="F820" s="17"/>
      <c r="G820" s="17"/>
      <c r="H820" s="17"/>
    </row>
    <row r="821" ht="15.75" customHeight="1">
      <c r="E821" s="17"/>
      <c r="F821" s="17"/>
      <c r="G821" s="17"/>
      <c r="H821" s="17"/>
    </row>
    <row r="822" ht="15.75" customHeight="1">
      <c r="E822" s="17"/>
      <c r="F822" s="17"/>
      <c r="G822" s="17"/>
      <c r="H822" s="17"/>
    </row>
    <row r="823" ht="15.75" customHeight="1">
      <c r="E823" s="17"/>
      <c r="F823" s="17"/>
      <c r="G823" s="17"/>
      <c r="H823" s="17"/>
    </row>
    <row r="824" ht="15.75" customHeight="1">
      <c r="E824" s="17"/>
      <c r="F824" s="17"/>
      <c r="G824" s="17"/>
      <c r="H824" s="17"/>
    </row>
    <row r="825" ht="15.75" customHeight="1">
      <c r="E825" s="17"/>
      <c r="F825" s="17"/>
      <c r="G825" s="17"/>
      <c r="H825" s="17"/>
    </row>
    <row r="826" ht="15.75" customHeight="1">
      <c r="E826" s="17"/>
      <c r="F826" s="17"/>
      <c r="G826" s="17"/>
      <c r="H826" s="17"/>
    </row>
    <row r="827" ht="15.75" customHeight="1">
      <c r="E827" s="17"/>
      <c r="F827" s="17"/>
      <c r="G827" s="17"/>
      <c r="H827" s="17"/>
    </row>
    <row r="828" ht="15.75" customHeight="1">
      <c r="E828" s="17"/>
      <c r="F828" s="17"/>
      <c r="G828" s="17"/>
      <c r="H828" s="17"/>
    </row>
    <row r="829" ht="15.75" customHeight="1">
      <c r="E829" s="17"/>
      <c r="F829" s="17"/>
      <c r="G829" s="17"/>
      <c r="H829" s="17"/>
    </row>
    <row r="830" ht="15.75" customHeight="1">
      <c r="E830" s="17"/>
      <c r="F830" s="17"/>
      <c r="G830" s="17"/>
      <c r="H830" s="17"/>
    </row>
    <row r="831" ht="15.75" customHeight="1">
      <c r="E831" s="17"/>
      <c r="F831" s="17"/>
      <c r="G831" s="17"/>
      <c r="H831" s="17"/>
    </row>
    <row r="832" ht="15.75" customHeight="1">
      <c r="E832" s="17"/>
      <c r="F832" s="17"/>
      <c r="G832" s="17"/>
      <c r="H832" s="17"/>
    </row>
    <row r="833" ht="15.75" customHeight="1">
      <c r="E833" s="17"/>
      <c r="F833" s="17"/>
      <c r="G833" s="17"/>
      <c r="H833" s="17"/>
    </row>
    <row r="834" ht="15.75" customHeight="1">
      <c r="E834" s="17"/>
      <c r="F834" s="17"/>
      <c r="G834" s="17"/>
      <c r="H834" s="17"/>
    </row>
    <row r="835" ht="15.75" customHeight="1">
      <c r="E835" s="17"/>
      <c r="F835" s="17"/>
      <c r="G835" s="17"/>
      <c r="H835" s="17"/>
    </row>
    <row r="836" ht="15.75" customHeight="1">
      <c r="E836" s="17"/>
      <c r="F836" s="17"/>
      <c r="G836" s="17"/>
      <c r="H836" s="17"/>
    </row>
    <row r="837" ht="15.75" customHeight="1">
      <c r="E837" s="17"/>
      <c r="F837" s="17"/>
      <c r="G837" s="17"/>
      <c r="H837" s="17"/>
    </row>
    <row r="838" ht="15.75" customHeight="1">
      <c r="E838" s="17"/>
      <c r="F838" s="17"/>
      <c r="G838" s="17"/>
      <c r="H838" s="17"/>
    </row>
    <row r="839" ht="15.75" customHeight="1">
      <c r="E839" s="17"/>
      <c r="F839" s="17"/>
      <c r="G839" s="17"/>
      <c r="H839" s="17"/>
    </row>
    <row r="840" ht="15.75" customHeight="1">
      <c r="E840" s="17"/>
      <c r="F840" s="17"/>
      <c r="G840" s="17"/>
      <c r="H840" s="17"/>
    </row>
    <row r="841" ht="15.75" customHeight="1">
      <c r="E841" s="17"/>
      <c r="F841" s="17"/>
      <c r="G841" s="17"/>
      <c r="H841" s="17"/>
    </row>
    <row r="842" ht="15.75" customHeight="1">
      <c r="E842" s="17"/>
      <c r="F842" s="17"/>
      <c r="G842" s="17"/>
      <c r="H842" s="17"/>
    </row>
    <row r="843" ht="15.75" customHeight="1">
      <c r="E843" s="17"/>
      <c r="F843" s="17"/>
      <c r="G843" s="17"/>
      <c r="H843" s="17"/>
    </row>
    <row r="844" ht="15.75" customHeight="1">
      <c r="E844" s="17"/>
      <c r="F844" s="17"/>
      <c r="G844" s="17"/>
      <c r="H844" s="17"/>
    </row>
    <row r="845" ht="15.75" customHeight="1">
      <c r="E845" s="17"/>
      <c r="F845" s="17"/>
      <c r="G845" s="17"/>
      <c r="H845" s="17"/>
    </row>
    <row r="846" ht="15.75" customHeight="1">
      <c r="E846" s="17"/>
      <c r="F846" s="17"/>
      <c r="G846" s="17"/>
      <c r="H846" s="17"/>
    </row>
    <row r="847" ht="15.75" customHeight="1">
      <c r="E847" s="17"/>
      <c r="F847" s="17"/>
      <c r="G847" s="17"/>
      <c r="H847" s="17"/>
    </row>
    <row r="848" ht="15.75" customHeight="1">
      <c r="E848" s="17"/>
      <c r="F848" s="17"/>
      <c r="G848" s="17"/>
      <c r="H848" s="17"/>
    </row>
    <row r="849" ht="15.75" customHeight="1">
      <c r="E849" s="17"/>
      <c r="F849" s="17"/>
      <c r="G849" s="17"/>
      <c r="H849" s="17"/>
    </row>
    <row r="850" ht="15.75" customHeight="1">
      <c r="E850" s="17"/>
      <c r="F850" s="17"/>
      <c r="G850" s="17"/>
      <c r="H850" s="17"/>
    </row>
    <row r="851" ht="15.75" customHeight="1">
      <c r="E851" s="17"/>
      <c r="F851" s="17"/>
      <c r="G851" s="17"/>
      <c r="H851" s="17"/>
    </row>
    <row r="852" ht="15.75" customHeight="1">
      <c r="E852" s="17"/>
      <c r="F852" s="17"/>
      <c r="G852" s="17"/>
      <c r="H852" s="17"/>
    </row>
    <row r="853" ht="15.75" customHeight="1">
      <c r="E853" s="17"/>
      <c r="F853" s="17"/>
      <c r="G853" s="17"/>
      <c r="H853" s="17"/>
    </row>
    <row r="854" ht="15.75" customHeight="1">
      <c r="E854" s="17"/>
      <c r="F854" s="17"/>
      <c r="G854" s="17"/>
      <c r="H854" s="17"/>
    </row>
    <row r="855" ht="15.75" customHeight="1">
      <c r="E855" s="17"/>
      <c r="F855" s="17"/>
      <c r="G855" s="17"/>
      <c r="H855" s="17"/>
    </row>
    <row r="856" ht="15.75" customHeight="1">
      <c r="E856" s="17"/>
      <c r="F856" s="17"/>
      <c r="G856" s="17"/>
      <c r="H856" s="17"/>
    </row>
    <row r="857" ht="15.75" customHeight="1">
      <c r="E857" s="17"/>
      <c r="F857" s="17"/>
      <c r="G857" s="17"/>
      <c r="H857" s="17"/>
    </row>
    <row r="858" ht="15.75" customHeight="1">
      <c r="E858" s="17"/>
      <c r="F858" s="17"/>
      <c r="G858" s="17"/>
      <c r="H858" s="17"/>
    </row>
    <row r="859" ht="15.75" customHeight="1">
      <c r="E859" s="17"/>
      <c r="F859" s="17"/>
      <c r="G859" s="17"/>
      <c r="H859" s="17"/>
    </row>
    <row r="860" ht="15.75" customHeight="1">
      <c r="E860" s="17"/>
      <c r="F860" s="17"/>
      <c r="G860" s="17"/>
      <c r="H860" s="17"/>
    </row>
    <row r="861" ht="15.75" customHeight="1">
      <c r="E861" s="17"/>
      <c r="F861" s="17"/>
      <c r="G861" s="17"/>
      <c r="H861" s="17"/>
    </row>
    <row r="862" ht="15.75" customHeight="1">
      <c r="E862" s="17"/>
      <c r="F862" s="17"/>
      <c r="G862" s="17"/>
      <c r="H862" s="17"/>
    </row>
    <row r="863" ht="15.75" customHeight="1">
      <c r="E863" s="17"/>
      <c r="F863" s="17"/>
      <c r="G863" s="17"/>
      <c r="H863" s="17"/>
    </row>
    <row r="864" ht="15.75" customHeight="1">
      <c r="E864" s="17"/>
      <c r="F864" s="17"/>
      <c r="G864" s="17"/>
      <c r="H864" s="17"/>
    </row>
    <row r="865" ht="15.75" customHeight="1">
      <c r="E865" s="17"/>
      <c r="F865" s="17"/>
      <c r="G865" s="17"/>
      <c r="H865" s="17"/>
    </row>
    <row r="866" ht="15.75" customHeight="1">
      <c r="E866" s="17"/>
      <c r="F866" s="17"/>
      <c r="G866" s="17"/>
      <c r="H866" s="17"/>
    </row>
    <row r="867" ht="15.75" customHeight="1">
      <c r="E867" s="17"/>
      <c r="F867" s="17"/>
      <c r="G867" s="17"/>
      <c r="H867" s="17"/>
    </row>
    <row r="868" ht="15.75" customHeight="1">
      <c r="E868" s="17"/>
      <c r="F868" s="17"/>
      <c r="G868" s="17"/>
      <c r="H868" s="17"/>
    </row>
    <row r="869" ht="15.75" customHeight="1">
      <c r="E869" s="17"/>
      <c r="F869" s="17"/>
      <c r="G869" s="17"/>
      <c r="H869" s="17"/>
    </row>
    <row r="870" ht="15.75" customHeight="1">
      <c r="E870" s="17"/>
      <c r="F870" s="17"/>
      <c r="G870" s="17"/>
      <c r="H870" s="17"/>
    </row>
    <row r="871" ht="15.75" customHeight="1">
      <c r="E871" s="17"/>
      <c r="F871" s="17"/>
      <c r="G871" s="17"/>
      <c r="H871" s="17"/>
    </row>
    <row r="872" ht="15.75" customHeight="1">
      <c r="E872" s="17"/>
      <c r="F872" s="17"/>
      <c r="G872" s="17"/>
      <c r="H872" s="17"/>
    </row>
    <row r="873" ht="15.75" customHeight="1">
      <c r="E873" s="17"/>
      <c r="F873" s="17"/>
      <c r="G873" s="17"/>
      <c r="H873" s="17"/>
    </row>
    <row r="874" ht="15.75" customHeight="1">
      <c r="E874" s="17"/>
      <c r="F874" s="17"/>
      <c r="G874" s="17"/>
      <c r="H874" s="17"/>
    </row>
    <row r="875" ht="15.75" customHeight="1">
      <c r="E875" s="17"/>
      <c r="F875" s="17"/>
      <c r="G875" s="17"/>
      <c r="H875" s="17"/>
    </row>
    <row r="876" ht="15.75" customHeight="1">
      <c r="E876" s="17"/>
      <c r="F876" s="17"/>
      <c r="G876" s="17"/>
      <c r="H876" s="17"/>
    </row>
    <row r="877" ht="15.75" customHeight="1">
      <c r="E877" s="17"/>
      <c r="F877" s="17"/>
      <c r="G877" s="17"/>
      <c r="H877" s="17"/>
    </row>
    <row r="878" ht="15.75" customHeight="1">
      <c r="E878" s="17"/>
      <c r="F878" s="17"/>
      <c r="G878" s="17"/>
      <c r="H878" s="17"/>
    </row>
    <row r="879" ht="15.75" customHeight="1">
      <c r="E879" s="17"/>
      <c r="F879" s="17"/>
      <c r="G879" s="17"/>
      <c r="H879" s="17"/>
    </row>
    <row r="880" ht="15.75" customHeight="1">
      <c r="E880" s="17"/>
      <c r="F880" s="17"/>
      <c r="G880" s="17"/>
      <c r="H880" s="17"/>
    </row>
    <row r="881" ht="15.75" customHeight="1">
      <c r="E881" s="17"/>
      <c r="F881" s="17"/>
      <c r="G881" s="17"/>
      <c r="H881" s="17"/>
    </row>
    <row r="882" ht="15.75" customHeight="1">
      <c r="E882" s="17"/>
      <c r="F882" s="17"/>
      <c r="G882" s="17"/>
      <c r="H882" s="17"/>
    </row>
    <row r="883" ht="15.75" customHeight="1">
      <c r="E883" s="17"/>
      <c r="F883" s="17"/>
      <c r="G883" s="17"/>
      <c r="H883" s="17"/>
    </row>
    <row r="884" ht="15.75" customHeight="1">
      <c r="E884" s="17"/>
      <c r="F884" s="17"/>
      <c r="G884" s="17"/>
      <c r="H884" s="17"/>
    </row>
    <row r="885" ht="15.75" customHeight="1">
      <c r="E885" s="17"/>
      <c r="F885" s="17"/>
      <c r="G885" s="17"/>
      <c r="H885" s="17"/>
    </row>
    <row r="886" ht="15.75" customHeight="1">
      <c r="E886" s="17"/>
      <c r="F886" s="17"/>
      <c r="G886" s="17"/>
      <c r="H886" s="17"/>
    </row>
    <row r="887" ht="15.75" customHeight="1">
      <c r="E887" s="17"/>
      <c r="F887" s="17"/>
      <c r="G887" s="17"/>
      <c r="H887" s="17"/>
    </row>
    <row r="888" ht="15.75" customHeight="1">
      <c r="E888" s="17"/>
      <c r="F888" s="17"/>
      <c r="G888" s="17"/>
      <c r="H888" s="17"/>
    </row>
    <row r="889" ht="15.75" customHeight="1">
      <c r="E889" s="17"/>
      <c r="F889" s="17"/>
      <c r="G889" s="17"/>
      <c r="H889" s="17"/>
    </row>
    <row r="890" ht="15.75" customHeight="1">
      <c r="E890" s="17"/>
      <c r="F890" s="17"/>
      <c r="G890" s="17"/>
      <c r="H890" s="17"/>
    </row>
    <row r="891" ht="15.75" customHeight="1">
      <c r="E891" s="17"/>
      <c r="F891" s="17"/>
      <c r="G891" s="17"/>
      <c r="H891" s="17"/>
    </row>
    <row r="892" ht="15.75" customHeight="1">
      <c r="E892" s="17"/>
      <c r="F892" s="17"/>
      <c r="G892" s="17"/>
      <c r="H892" s="17"/>
    </row>
    <row r="893" ht="15.75" customHeight="1">
      <c r="E893" s="17"/>
      <c r="F893" s="17"/>
      <c r="G893" s="17"/>
      <c r="H893" s="17"/>
    </row>
    <row r="894" ht="15.75" customHeight="1">
      <c r="E894" s="17"/>
      <c r="F894" s="17"/>
      <c r="G894" s="17"/>
      <c r="H894" s="17"/>
    </row>
    <row r="895" ht="15.75" customHeight="1">
      <c r="E895" s="17"/>
      <c r="F895" s="17"/>
      <c r="G895" s="17"/>
      <c r="H895" s="17"/>
    </row>
    <row r="896" ht="15.75" customHeight="1">
      <c r="E896" s="17"/>
      <c r="F896" s="17"/>
      <c r="G896" s="17"/>
      <c r="H896" s="17"/>
    </row>
    <row r="897" ht="15.75" customHeight="1">
      <c r="E897" s="17"/>
      <c r="F897" s="17"/>
      <c r="G897" s="17"/>
      <c r="H897" s="17"/>
    </row>
    <row r="898" ht="15.75" customHeight="1">
      <c r="E898" s="17"/>
      <c r="F898" s="17"/>
      <c r="G898" s="17"/>
      <c r="H898" s="17"/>
    </row>
    <row r="899" ht="15.75" customHeight="1">
      <c r="E899" s="17"/>
      <c r="F899" s="17"/>
      <c r="G899" s="17"/>
      <c r="H899" s="17"/>
    </row>
    <row r="900" ht="15.75" customHeight="1">
      <c r="E900" s="17"/>
      <c r="F900" s="17"/>
      <c r="G900" s="17"/>
      <c r="H900" s="17"/>
    </row>
    <row r="901" ht="15.75" customHeight="1">
      <c r="E901" s="17"/>
      <c r="F901" s="17"/>
      <c r="G901" s="17"/>
      <c r="H901" s="17"/>
    </row>
    <row r="902" ht="15.75" customHeight="1">
      <c r="E902" s="17"/>
      <c r="F902" s="17"/>
      <c r="G902" s="17"/>
      <c r="H902" s="17"/>
    </row>
    <row r="903" ht="15.75" customHeight="1">
      <c r="E903" s="17"/>
      <c r="F903" s="17"/>
      <c r="G903" s="17"/>
      <c r="H903" s="17"/>
    </row>
    <row r="904" ht="15.75" customHeight="1">
      <c r="E904" s="17"/>
      <c r="F904" s="17"/>
      <c r="G904" s="17"/>
      <c r="H904" s="17"/>
    </row>
    <row r="905" ht="15.75" customHeight="1">
      <c r="E905" s="17"/>
      <c r="F905" s="17"/>
      <c r="G905" s="17"/>
      <c r="H905" s="17"/>
    </row>
    <row r="906" ht="15.75" customHeight="1">
      <c r="E906" s="17"/>
      <c r="F906" s="17"/>
      <c r="G906" s="17"/>
      <c r="H906" s="17"/>
    </row>
    <row r="907" ht="15.75" customHeight="1">
      <c r="E907" s="17"/>
      <c r="F907" s="17"/>
      <c r="G907" s="17"/>
      <c r="H907" s="17"/>
    </row>
    <row r="908" ht="15.75" customHeight="1">
      <c r="E908" s="17"/>
      <c r="F908" s="17"/>
      <c r="G908" s="17"/>
      <c r="H908" s="17"/>
    </row>
    <row r="909" ht="15.75" customHeight="1">
      <c r="E909" s="17"/>
      <c r="F909" s="17"/>
      <c r="G909" s="17"/>
      <c r="H909" s="17"/>
    </row>
    <row r="910" ht="15.75" customHeight="1">
      <c r="E910" s="17"/>
      <c r="F910" s="17"/>
      <c r="G910" s="17"/>
      <c r="H910" s="17"/>
    </row>
    <row r="911" ht="15.75" customHeight="1">
      <c r="E911" s="17"/>
      <c r="F911" s="17"/>
      <c r="G911" s="17"/>
      <c r="H911" s="17"/>
    </row>
    <row r="912" ht="15.75" customHeight="1">
      <c r="E912" s="17"/>
      <c r="F912" s="17"/>
      <c r="G912" s="17"/>
      <c r="H912" s="17"/>
    </row>
    <row r="913" ht="15.75" customHeight="1">
      <c r="E913" s="17"/>
      <c r="F913" s="17"/>
      <c r="G913" s="17"/>
      <c r="H913" s="17"/>
    </row>
    <row r="914" ht="15.75" customHeight="1">
      <c r="E914" s="17"/>
      <c r="F914" s="17"/>
      <c r="G914" s="17"/>
      <c r="H914" s="17"/>
    </row>
    <row r="915" ht="15.75" customHeight="1">
      <c r="E915" s="17"/>
      <c r="F915" s="17"/>
      <c r="G915" s="17"/>
      <c r="H915" s="17"/>
    </row>
    <row r="916" ht="15.75" customHeight="1">
      <c r="E916" s="17"/>
      <c r="F916" s="17"/>
      <c r="G916" s="17"/>
      <c r="H916" s="17"/>
    </row>
    <row r="917" ht="15.75" customHeight="1">
      <c r="E917" s="17"/>
      <c r="F917" s="17"/>
      <c r="G917" s="17"/>
      <c r="H917" s="17"/>
    </row>
    <row r="918" ht="15.75" customHeight="1">
      <c r="E918" s="17"/>
      <c r="F918" s="17"/>
      <c r="G918" s="17"/>
      <c r="H918" s="17"/>
    </row>
    <row r="919" ht="15.75" customHeight="1">
      <c r="E919" s="17"/>
      <c r="F919" s="17"/>
      <c r="G919" s="17"/>
      <c r="H919" s="17"/>
    </row>
    <row r="920" ht="15.75" customHeight="1">
      <c r="E920" s="17"/>
      <c r="F920" s="17"/>
      <c r="G920" s="17"/>
      <c r="H920" s="17"/>
    </row>
    <row r="921" ht="15.75" customHeight="1">
      <c r="E921" s="17"/>
      <c r="F921" s="17"/>
      <c r="G921" s="17"/>
      <c r="H921" s="17"/>
    </row>
    <row r="922" ht="15.75" customHeight="1">
      <c r="E922" s="17"/>
      <c r="F922" s="17"/>
      <c r="G922" s="17"/>
      <c r="H922" s="17"/>
    </row>
    <row r="923" ht="15.75" customHeight="1">
      <c r="E923" s="17"/>
      <c r="F923" s="17"/>
      <c r="G923" s="17"/>
      <c r="H923" s="17"/>
    </row>
    <row r="924" ht="15.75" customHeight="1">
      <c r="E924" s="17"/>
      <c r="F924" s="17"/>
      <c r="G924" s="17"/>
      <c r="H924" s="17"/>
    </row>
    <row r="925" ht="15.75" customHeight="1">
      <c r="E925" s="17"/>
      <c r="F925" s="17"/>
      <c r="G925" s="17"/>
      <c r="H925" s="17"/>
    </row>
    <row r="926" ht="15.75" customHeight="1">
      <c r="E926" s="17"/>
      <c r="F926" s="17"/>
      <c r="G926" s="17"/>
      <c r="H926" s="17"/>
    </row>
    <row r="927" ht="15.75" customHeight="1">
      <c r="E927" s="17"/>
      <c r="F927" s="17"/>
      <c r="G927" s="17"/>
      <c r="H927" s="17"/>
    </row>
    <row r="928" ht="15.75" customHeight="1">
      <c r="E928" s="17"/>
      <c r="F928" s="17"/>
      <c r="G928" s="17"/>
      <c r="H928" s="17"/>
    </row>
    <row r="929" ht="15.75" customHeight="1">
      <c r="E929" s="17"/>
      <c r="F929" s="17"/>
      <c r="G929" s="17"/>
      <c r="H929" s="17"/>
    </row>
    <row r="930" ht="15.75" customHeight="1">
      <c r="E930" s="17"/>
      <c r="F930" s="17"/>
      <c r="G930" s="17"/>
      <c r="H930" s="17"/>
    </row>
    <row r="931" ht="15.75" customHeight="1">
      <c r="E931" s="17"/>
      <c r="F931" s="17"/>
      <c r="G931" s="17"/>
      <c r="H931" s="17"/>
    </row>
    <row r="932" ht="15.75" customHeight="1">
      <c r="E932" s="17"/>
      <c r="F932" s="17"/>
      <c r="G932" s="17"/>
      <c r="H932" s="17"/>
    </row>
    <row r="933" ht="15.75" customHeight="1">
      <c r="E933" s="17"/>
      <c r="F933" s="17"/>
      <c r="G933" s="17"/>
      <c r="H933" s="17"/>
    </row>
    <row r="934" ht="15.75" customHeight="1">
      <c r="E934" s="17"/>
      <c r="F934" s="17"/>
      <c r="G934" s="17"/>
      <c r="H934" s="17"/>
    </row>
    <row r="935" ht="15.75" customHeight="1">
      <c r="E935" s="17"/>
      <c r="F935" s="17"/>
      <c r="G935" s="17"/>
      <c r="H935" s="17"/>
    </row>
    <row r="936" ht="15.75" customHeight="1">
      <c r="E936" s="17"/>
      <c r="F936" s="17"/>
      <c r="G936" s="17"/>
      <c r="H936" s="17"/>
    </row>
    <row r="937" ht="15.75" customHeight="1">
      <c r="E937" s="17"/>
      <c r="F937" s="17"/>
      <c r="G937" s="17"/>
      <c r="H937" s="17"/>
    </row>
    <row r="938" ht="15.75" customHeight="1">
      <c r="E938" s="17"/>
      <c r="F938" s="17"/>
      <c r="G938" s="17"/>
      <c r="H938" s="17"/>
    </row>
    <row r="939" ht="15.75" customHeight="1">
      <c r="E939" s="17"/>
      <c r="F939" s="17"/>
      <c r="G939" s="17"/>
      <c r="H939" s="17"/>
    </row>
    <row r="940" ht="15.75" customHeight="1">
      <c r="E940" s="17"/>
      <c r="F940" s="17"/>
      <c r="G940" s="17"/>
      <c r="H940" s="17"/>
    </row>
    <row r="941" ht="15.75" customHeight="1">
      <c r="E941" s="17"/>
      <c r="F941" s="17"/>
      <c r="G941" s="17"/>
      <c r="H941" s="17"/>
    </row>
    <row r="942" ht="15.75" customHeight="1">
      <c r="E942" s="17"/>
      <c r="F942" s="17"/>
      <c r="G942" s="17"/>
      <c r="H942" s="17"/>
    </row>
    <row r="943" ht="15.75" customHeight="1">
      <c r="E943" s="17"/>
      <c r="F943" s="17"/>
      <c r="G943" s="17"/>
      <c r="H943" s="17"/>
    </row>
    <row r="944" ht="15.75" customHeight="1">
      <c r="E944" s="17"/>
      <c r="F944" s="17"/>
      <c r="G944" s="17"/>
      <c r="H944" s="17"/>
    </row>
    <row r="945" ht="15.75" customHeight="1">
      <c r="E945" s="17"/>
      <c r="F945" s="17"/>
      <c r="G945" s="17"/>
      <c r="H945" s="17"/>
    </row>
    <row r="946" ht="15.75" customHeight="1">
      <c r="E946" s="17"/>
      <c r="F946" s="17"/>
      <c r="G946" s="17"/>
      <c r="H946" s="17"/>
    </row>
    <row r="947" ht="15.75" customHeight="1">
      <c r="E947" s="17"/>
      <c r="F947" s="17"/>
      <c r="G947" s="17"/>
      <c r="H947" s="17"/>
    </row>
    <row r="948" ht="15.75" customHeight="1">
      <c r="E948" s="17"/>
      <c r="F948" s="17"/>
      <c r="G948" s="17"/>
      <c r="H948" s="17"/>
    </row>
    <row r="949" ht="15.75" customHeight="1">
      <c r="E949" s="17"/>
      <c r="F949" s="17"/>
      <c r="G949" s="17"/>
      <c r="H949" s="17"/>
    </row>
    <row r="950" ht="15.75" customHeight="1">
      <c r="E950" s="17"/>
      <c r="F950" s="17"/>
      <c r="G950" s="17"/>
      <c r="H950" s="17"/>
    </row>
    <row r="951" ht="15.75" customHeight="1">
      <c r="E951" s="17"/>
      <c r="F951" s="17"/>
      <c r="G951" s="17"/>
      <c r="H951" s="17"/>
    </row>
    <row r="952" ht="15.75" customHeight="1">
      <c r="E952" s="17"/>
      <c r="F952" s="17"/>
      <c r="G952" s="17"/>
      <c r="H952" s="17"/>
    </row>
    <row r="953" ht="15.75" customHeight="1">
      <c r="E953" s="17"/>
      <c r="F953" s="17"/>
      <c r="G953" s="17"/>
      <c r="H953" s="17"/>
    </row>
    <row r="954" ht="15.75" customHeight="1">
      <c r="E954" s="17"/>
      <c r="F954" s="17"/>
      <c r="G954" s="17"/>
      <c r="H954" s="17"/>
    </row>
    <row r="955" ht="15.75" customHeight="1">
      <c r="E955" s="17"/>
      <c r="F955" s="17"/>
      <c r="G955" s="17"/>
      <c r="H955" s="17"/>
    </row>
    <row r="956" ht="15.75" customHeight="1">
      <c r="E956" s="17"/>
      <c r="F956" s="17"/>
      <c r="G956" s="17"/>
      <c r="H956" s="17"/>
    </row>
    <row r="957" ht="15.75" customHeight="1">
      <c r="E957" s="17"/>
      <c r="F957" s="17"/>
      <c r="G957" s="17"/>
      <c r="H957" s="17"/>
    </row>
    <row r="958" ht="15.75" customHeight="1">
      <c r="E958" s="17"/>
      <c r="F958" s="17"/>
      <c r="G958" s="17"/>
      <c r="H958" s="17"/>
    </row>
    <row r="959" ht="15.75" customHeight="1">
      <c r="E959" s="17"/>
      <c r="F959" s="17"/>
      <c r="G959" s="17"/>
      <c r="H959" s="17"/>
    </row>
    <row r="960" ht="15.75" customHeight="1">
      <c r="E960" s="17"/>
      <c r="F960" s="17"/>
      <c r="G960" s="17"/>
      <c r="H960" s="17"/>
    </row>
    <row r="961" ht="15.75" customHeight="1">
      <c r="E961" s="17"/>
      <c r="F961" s="17"/>
      <c r="G961" s="17"/>
      <c r="H961" s="17"/>
    </row>
    <row r="962" ht="15.75" customHeight="1">
      <c r="E962" s="17"/>
      <c r="F962" s="17"/>
      <c r="G962" s="17"/>
      <c r="H962" s="17"/>
    </row>
    <row r="963" ht="15.75" customHeight="1">
      <c r="E963" s="17"/>
      <c r="F963" s="17"/>
      <c r="G963" s="17"/>
      <c r="H963" s="17"/>
    </row>
    <row r="964" ht="15.75" customHeight="1">
      <c r="E964" s="17"/>
      <c r="F964" s="17"/>
      <c r="G964" s="17"/>
      <c r="H964" s="17"/>
    </row>
    <row r="965" ht="15.75" customHeight="1">
      <c r="E965" s="17"/>
      <c r="F965" s="17"/>
      <c r="G965" s="17"/>
      <c r="H965" s="17"/>
    </row>
    <row r="966" ht="15.75" customHeight="1">
      <c r="E966" s="17"/>
      <c r="F966" s="17"/>
      <c r="G966" s="17"/>
      <c r="H966" s="17"/>
    </row>
    <row r="967" ht="15.75" customHeight="1">
      <c r="E967" s="17"/>
      <c r="F967" s="17"/>
      <c r="G967" s="17"/>
      <c r="H967" s="17"/>
    </row>
    <row r="968" ht="15.75" customHeight="1">
      <c r="E968" s="17"/>
      <c r="F968" s="17"/>
      <c r="G968" s="17"/>
      <c r="H968" s="17"/>
    </row>
    <row r="969" ht="15.75" customHeight="1">
      <c r="E969" s="17"/>
      <c r="F969" s="17"/>
      <c r="G969" s="17"/>
      <c r="H969" s="17"/>
    </row>
    <row r="970" ht="15.75" customHeight="1">
      <c r="E970" s="17"/>
      <c r="F970" s="17"/>
      <c r="G970" s="17"/>
      <c r="H970" s="17"/>
    </row>
    <row r="971" ht="15.75" customHeight="1">
      <c r="E971" s="17"/>
      <c r="F971" s="17"/>
      <c r="G971" s="17"/>
      <c r="H971" s="17"/>
    </row>
    <row r="972" ht="15.75" customHeight="1">
      <c r="E972" s="17"/>
      <c r="F972" s="17"/>
      <c r="G972" s="17"/>
      <c r="H972" s="17"/>
    </row>
    <row r="973" ht="15.75" customHeight="1">
      <c r="E973" s="17"/>
      <c r="F973" s="17"/>
      <c r="G973" s="17"/>
      <c r="H973" s="17"/>
    </row>
    <row r="974" ht="15.75" customHeight="1">
      <c r="E974" s="17"/>
      <c r="F974" s="17"/>
      <c r="G974" s="17"/>
      <c r="H974" s="17"/>
    </row>
    <row r="975" ht="15.75" customHeight="1">
      <c r="E975" s="17"/>
      <c r="F975" s="17"/>
      <c r="G975" s="17"/>
      <c r="H975" s="17"/>
    </row>
    <row r="976" ht="15.75" customHeight="1">
      <c r="E976" s="17"/>
      <c r="F976" s="17"/>
      <c r="G976" s="17"/>
      <c r="H976" s="17"/>
    </row>
    <row r="977" ht="15.75" customHeight="1">
      <c r="E977" s="17"/>
      <c r="F977" s="17"/>
      <c r="G977" s="17"/>
      <c r="H977" s="17"/>
    </row>
    <row r="978" ht="15.75" customHeight="1">
      <c r="E978" s="17"/>
      <c r="F978" s="17"/>
      <c r="G978" s="17"/>
      <c r="H978" s="17"/>
    </row>
    <row r="979" ht="15.75" customHeight="1">
      <c r="E979" s="17"/>
      <c r="F979" s="17"/>
      <c r="G979" s="17"/>
      <c r="H979" s="17"/>
    </row>
    <row r="980" ht="15.75" customHeight="1">
      <c r="E980" s="17"/>
      <c r="F980" s="17"/>
      <c r="G980" s="17"/>
      <c r="H980" s="17"/>
    </row>
    <row r="981" ht="15.75" customHeight="1">
      <c r="E981" s="17"/>
      <c r="F981" s="17"/>
      <c r="G981" s="17"/>
      <c r="H981" s="17"/>
    </row>
    <row r="982" ht="15.75" customHeight="1">
      <c r="E982" s="17"/>
      <c r="F982" s="17"/>
      <c r="G982" s="17"/>
      <c r="H982" s="17"/>
    </row>
    <row r="983" ht="15.75" customHeight="1">
      <c r="E983" s="17"/>
      <c r="F983" s="17"/>
      <c r="G983" s="17"/>
      <c r="H983" s="17"/>
    </row>
    <row r="984" ht="15.75" customHeight="1">
      <c r="E984" s="17"/>
      <c r="F984" s="17"/>
      <c r="G984" s="17"/>
      <c r="H984" s="17"/>
    </row>
    <row r="985" ht="15.75" customHeight="1">
      <c r="E985" s="17"/>
      <c r="F985" s="17"/>
      <c r="G985" s="17"/>
      <c r="H985" s="17"/>
    </row>
    <row r="986" ht="15.75" customHeight="1">
      <c r="E986" s="17"/>
      <c r="F986" s="17"/>
      <c r="G986" s="17"/>
      <c r="H986" s="17"/>
    </row>
    <row r="987" ht="15.75" customHeight="1">
      <c r="E987" s="17"/>
      <c r="F987" s="17"/>
      <c r="G987" s="17"/>
      <c r="H987" s="17"/>
    </row>
    <row r="988" ht="15.75" customHeight="1">
      <c r="E988" s="17"/>
      <c r="F988" s="17"/>
      <c r="G988" s="17"/>
      <c r="H988" s="17"/>
    </row>
    <row r="989" ht="15.75" customHeight="1">
      <c r="E989" s="17"/>
      <c r="F989" s="17"/>
      <c r="G989" s="17"/>
      <c r="H989" s="17"/>
    </row>
    <row r="990" ht="15.75" customHeight="1">
      <c r="E990" s="17"/>
      <c r="F990" s="17"/>
      <c r="G990" s="17"/>
      <c r="H990" s="17"/>
    </row>
    <row r="991" ht="15.75" customHeight="1">
      <c r="E991" s="17"/>
      <c r="F991" s="17"/>
      <c r="G991" s="17"/>
      <c r="H991" s="17"/>
    </row>
    <row r="992" ht="15.75" customHeight="1">
      <c r="E992" s="17"/>
      <c r="F992" s="17"/>
      <c r="G992" s="17"/>
      <c r="H992" s="17"/>
    </row>
    <row r="993" ht="15.75" customHeight="1">
      <c r="E993" s="17"/>
      <c r="F993" s="17"/>
      <c r="G993" s="17"/>
      <c r="H993" s="17"/>
    </row>
    <row r="994" ht="15.75" customHeight="1">
      <c r="E994" s="17"/>
      <c r="F994" s="17"/>
      <c r="G994" s="17"/>
      <c r="H994" s="17"/>
    </row>
    <row r="995" ht="15.75" customHeight="1">
      <c r="E995" s="17"/>
      <c r="F995" s="17"/>
      <c r="G995" s="17"/>
      <c r="H995" s="17"/>
    </row>
    <row r="996" ht="15.75" customHeight="1">
      <c r="E996" s="17"/>
      <c r="F996" s="17"/>
      <c r="G996" s="17"/>
      <c r="H996" s="17"/>
    </row>
    <row r="997" ht="15.75" customHeight="1">
      <c r="E997" s="17"/>
      <c r="F997" s="17"/>
      <c r="G997" s="17"/>
      <c r="H997" s="17"/>
    </row>
    <row r="998" ht="15.75" customHeight="1">
      <c r="E998" s="17"/>
      <c r="F998" s="17"/>
      <c r="G998" s="17"/>
      <c r="H998" s="17"/>
    </row>
    <row r="999" ht="15.75" customHeight="1">
      <c r="E999" s="17"/>
      <c r="F999" s="17"/>
      <c r="G999" s="17"/>
      <c r="H999" s="17"/>
    </row>
    <row r="1000" ht="15.75" customHeight="1">
      <c r="E1000" s="17"/>
      <c r="F1000" s="17"/>
      <c r="G1000" s="17"/>
      <c r="H1000" s="17"/>
    </row>
    <row r="1001" ht="15.75" customHeight="1">
      <c r="E1001" s="17"/>
      <c r="F1001" s="17"/>
      <c r="G1001" s="17"/>
      <c r="H1001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9" t="s">
        <v>0</v>
      </c>
      <c r="B1" s="20" t="s">
        <v>461</v>
      </c>
      <c r="C1" s="8" t="s">
        <v>462</v>
      </c>
      <c r="D1" s="8" t="s">
        <v>463</v>
      </c>
    </row>
    <row r="2" ht="15.75" customHeight="1">
      <c r="A2" s="19">
        <v>10101.0</v>
      </c>
      <c r="B2" s="20" t="s">
        <v>28</v>
      </c>
      <c r="C2" s="21">
        <v>1.7711544630099436</v>
      </c>
      <c r="D2" s="21">
        <v>1.4236786647713664</v>
      </c>
      <c r="F2" s="22"/>
      <c r="G2" s="23"/>
      <c r="H2" s="22"/>
      <c r="I2" s="22"/>
    </row>
    <row r="3" ht="15.75" customHeight="1">
      <c r="A3" s="19">
        <v>10102.0</v>
      </c>
      <c r="B3" s="20" t="s">
        <v>29</v>
      </c>
      <c r="C3" s="21">
        <v>1.241820987654321</v>
      </c>
      <c r="D3" s="21">
        <v>1.193939393939394</v>
      </c>
      <c r="F3" s="22"/>
      <c r="G3" s="23"/>
      <c r="H3" s="22"/>
      <c r="I3" s="22"/>
    </row>
    <row r="4" ht="15.75" customHeight="1">
      <c r="A4" s="19">
        <v>10103.0</v>
      </c>
      <c r="B4" s="20" t="s">
        <v>31</v>
      </c>
      <c r="C4" s="21">
        <v>1.5628176922564094</v>
      </c>
      <c r="D4" s="21">
        <v>1.5079407979407977</v>
      </c>
    </row>
    <row r="5" ht="15.75" customHeight="1">
      <c r="A5" s="19">
        <v>10201.0</v>
      </c>
      <c r="B5" s="20" t="s">
        <v>34</v>
      </c>
      <c r="C5" s="21">
        <v>1.2632309327961502</v>
      </c>
      <c r="D5" s="21">
        <v>1.509469696969697</v>
      </c>
    </row>
    <row r="6" ht="15.75" customHeight="1">
      <c r="A6" s="19">
        <v>10202.0</v>
      </c>
      <c r="B6" s="20" t="s">
        <v>36</v>
      </c>
      <c r="C6" s="21">
        <v>1.7152000614687184</v>
      </c>
      <c r="D6" s="21">
        <v>1.5608974358974361</v>
      </c>
    </row>
    <row r="7" ht="15.75" customHeight="1">
      <c r="A7" s="19">
        <v>10301.0</v>
      </c>
      <c r="B7" s="20" t="s">
        <v>39</v>
      </c>
      <c r="C7" s="21">
        <v>1.7791666666666668</v>
      </c>
      <c r="D7" s="21">
        <v>1.8034188034188032</v>
      </c>
    </row>
    <row r="8" ht="15.75" customHeight="1">
      <c r="A8" s="19">
        <v>10302.0</v>
      </c>
      <c r="B8" s="20" t="s">
        <v>41</v>
      </c>
      <c r="C8" s="21">
        <v>1.6059510820149117</v>
      </c>
      <c r="D8" s="21">
        <v>1.0243697478991596</v>
      </c>
    </row>
    <row r="9" ht="15.75" customHeight="1">
      <c r="A9" s="19">
        <v>10303.0</v>
      </c>
      <c r="B9" s="20" t="s">
        <v>43</v>
      </c>
      <c r="C9" s="21">
        <v>2.192340067340067</v>
      </c>
      <c r="D9" s="21">
        <v>2.2291666666666665</v>
      </c>
    </row>
    <row r="10" ht="15.75" customHeight="1">
      <c r="A10" s="19">
        <v>10304.0</v>
      </c>
      <c r="B10" s="20" t="s">
        <v>45</v>
      </c>
      <c r="C10" s="21">
        <v>1.3561373873873874</v>
      </c>
      <c r="D10" s="21">
        <v>2.085858585858586</v>
      </c>
    </row>
    <row r="11" ht="15.75" customHeight="1">
      <c r="A11" s="19">
        <v>10401.0</v>
      </c>
      <c r="B11" s="20" t="s">
        <v>48</v>
      </c>
      <c r="C11" s="21">
        <v>3.0208333333333335</v>
      </c>
      <c r="D11" s="21">
        <v>1.4166666666666667</v>
      </c>
    </row>
    <row r="12" ht="15.75" customHeight="1">
      <c r="A12" s="19">
        <v>10402.0</v>
      </c>
      <c r="B12" s="20" t="s">
        <v>47</v>
      </c>
      <c r="C12" s="21">
        <v>1.4333333333333333</v>
      </c>
      <c r="D12" s="21">
        <v>1.25</v>
      </c>
    </row>
    <row r="13" ht="15.75" customHeight="1">
      <c r="A13" s="19">
        <v>10403.0</v>
      </c>
      <c r="B13" s="20" t="s">
        <v>51</v>
      </c>
      <c r="C13" s="21">
        <v>1.365156369183829</v>
      </c>
      <c r="D13" s="21">
        <v>1.1984848484848485</v>
      </c>
    </row>
    <row r="14" ht="15.75" customHeight="1">
      <c r="A14" s="19">
        <v>10404.0</v>
      </c>
      <c r="B14" s="20" t="s">
        <v>52</v>
      </c>
      <c r="C14" s="21">
        <v>1.0777777777777777</v>
      </c>
      <c r="D14" s="21">
        <v>2.1666666666666665</v>
      </c>
    </row>
    <row r="15" ht="15.75" customHeight="1">
      <c r="A15" s="19">
        <v>10405.0</v>
      </c>
      <c r="B15" s="20" t="s">
        <v>53</v>
      </c>
      <c r="C15" s="21">
        <v>1.6666666666666667</v>
      </c>
      <c r="D15" s="21">
        <v>3.5</v>
      </c>
    </row>
    <row r="16" ht="15.75" customHeight="1">
      <c r="A16" s="19">
        <v>10501.0</v>
      </c>
      <c r="B16" s="20" t="s">
        <v>55</v>
      </c>
      <c r="C16" s="21">
        <v>1.6771528766545378</v>
      </c>
      <c r="D16" s="21">
        <v>1.7208547008547008</v>
      </c>
    </row>
    <row r="17" ht="15.75" customHeight="1">
      <c r="A17" s="19">
        <v>10502.0</v>
      </c>
      <c r="B17" s="20" t="s">
        <v>56</v>
      </c>
      <c r="C17" s="21">
        <v>1.942358961128311</v>
      </c>
      <c r="D17" s="21">
        <v>1.3253968253968254</v>
      </c>
    </row>
    <row r="18" ht="15.75" customHeight="1">
      <c r="A18" s="19">
        <v>10601.0</v>
      </c>
      <c r="B18" s="20" t="s">
        <v>58</v>
      </c>
      <c r="C18" s="21">
        <v>1.2232705394801888</v>
      </c>
      <c r="D18" s="21">
        <v>1.4918395780464744</v>
      </c>
    </row>
    <row r="19" ht="15.75" customHeight="1">
      <c r="A19" s="19">
        <v>10602.0</v>
      </c>
      <c r="B19" s="20" t="s">
        <v>57</v>
      </c>
      <c r="C19" s="21">
        <v>1.4656862745098038</v>
      </c>
      <c r="D19" s="21">
        <v>1.4404761904761905</v>
      </c>
    </row>
    <row r="20" ht="15.75" customHeight="1">
      <c r="A20" s="19">
        <v>10701.0</v>
      </c>
      <c r="B20" s="20" t="s">
        <v>60</v>
      </c>
      <c r="C20" s="21">
        <v>1.2669444444444444</v>
      </c>
      <c r="D20" s="21">
        <v>1.3099591230026013</v>
      </c>
    </row>
    <row r="21" ht="15.75" customHeight="1">
      <c r="A21" s="19">
        <v>10702.0</v>
      </c>
      <c r="B21" s="20" t="s">
        <v>61</v>
      </c>
      <c r="C21" s="21">
        <v>1.0325392953528902</v>
      </c>
      <c r="D21" s="21">
        <v>1.20650769002582</v>
      </c>
    </row>
    <row r="22" ht="15.75" customHeight="1">
      <c r="A22" s="19">
        <v>10703.0</v>
      </c>
      <c r="B22" s="20" t="s">
        <v>62</v>
      </c>
      <c r="C22" s="21">
        <v>1.1365965189494602</v>
      </c>
      <c r="D22" s="21">
        <v>1.232258064516129</v>
      </c>
    </row>
    <row r="23" ht="15.75" customHeight="1">
      <c r="A23" s="19">
        <v>10704.0</v>
      </c>
      <c r="B23" s="20" t="s">
        <v>63</v>
      </c>
      <c r="C23" s="21">
        <v>0.8</v>
      </c>
      <c r="D23" s="21">
        <v>1.3537741578251705</v>
      </c>
    </row>
    <row r="24" ht="15.75" customHeight="1">
      <c r="A24" s="19">
        <v>10801.0</v>
      </c>
      <c r="B24" s="20" t="s">
        <v>65</v>
      </c>
      <c r="C24" s="21">
        <v>1.2824097049903502</v>
      </c>
      <c r="D24" s="21">
        <v>2.788095238095238</v>
      </c>
    </row>
    <row r="25" ht="15.75" customHeight="1">
      <c r="A25" s="19">
        <v>10901.0</v>
      </c>
      <c r="B25" s="20" t="s">
        <v>67</v>
      </c>
      <c r="C25" s="21">
        <v>1.6349206349206347</v>
      </c>
      <c r="D25" s="21">
        <v>1.2916666666666667</v>
      </c>
    </row>
    <row r="26" ht="15.75" customHeight="1">
      <c r="A26" s="19">
        <v>10902.0</v>
      </c>
      <c r="B26" s="20" t="s">
        <v>68</v>
      </c>
      <c r="C26" s="21">
        <v>1.3522283851505863</v>
      </c>
      <c r="D26" s="21">
        <v>1.3062678062678064</v>
      </c>
    </row>
    <row r="27" ht="15.75" customHeight="1">
      <c r="A27" s="19">
        <v>10903.0</v>
      </c>
      <c r="B27" s="20" t="s">
        <v>69</v>
      </c>
      <c r="C27" s="21">
        <v>2.5666666666666664</v>
      </c>
      <c r="D27" s="21">
        <v>4.0</v>
      </c>
    </row>
    <row r="28" ht="15.75" customHeight="1">
      <c r="A28" s="19">
        <v>11001.0</v>
      </c>
      <c r="B28" s="20" t="s">
        <v>71</v>
      </c>
      <c r="C28" s="21">
        <v>1.4788359788359788</v>
      </c>
      <c r="D28" s="21">
        <v>1.4714285714285715</v>
      </c>
    </row>
    <row r="29" ht="15.75" customHeight="1">
      <c r="A29" s="19">
        <v>11002.0</v>
      </c>
      <c r="B29" s="20" t="s">
        <v>72</v>
      </c>
      <c r="C29" s="21">
        <v>2.1468253968253967</v>
      </c>
      <c r="D29" s="21">
        <v>2.8333333333333335</v>
      </c>
    </row>
    <row r="30" ht="15.75" customHeight="1">
      <c r="A30" s="19">
        <v>11003.0</v>
      </c>
      <c r="B30" s="20" t="s">
        <v>73</v>
      </c>
      <c r="C30" s="21">
        <v>1.0956349206349205</v>
      </c>
      <c r="D30" s="21">
        <v>2.122507122507123</v>
      </c>
    </row>
    <row r="31" ht="15.75" customHeight="1">
      <c r="A31" s="19">
        <v>20101.0</v>
      </c>
      <c r="B31" s="20" t="s">
        <v>75</v>
      </c>
      <c r="C31" s="21">
        <v>1.6303740958368909</v>
      </c>
      <c r="D31" s="21">
        <v>1.4610281395632645</v>
      </c>
    </row>
    <row r="32" ht="15.75" customHeight="1">
      <c r="A32" s="19">
        <v>20102.0</v>
      </c>
      <c r="B32" s="20" t="s">
        <v>76</v>
      </c>
      <c r="C32" s="21">
        <v>1.392604128043505</v>
      </c>
      <c r="D32" s="21">
        <v>1.3086653847523413</v>
      </c>
    </row>
    <row r="33" ht="15.75" customHeight="1">
      <c r="A33" s="19">
        <v>20103.0</v>
      </c>
      <c r="B33" s="20" t="s">
        <v>77</v>
      </c>
      <c r="C33" s="21">
        <v>1.3099067599067598</v>
      </c>
      <c r="D33" s="21">
        <v>1.3042028985507246</v>
      </c>
    </row>
    <row r="34" ht="15.75" customHeight="1">
      <c r="A34" s="19">
        <v>20104.0</v>
      </c>
      <c r="B34" s="20" t="s">
        <v>78</v>
      </c>
      <c r="C34" s="21">
        <v>1.4783703671493384</v>
      </c>
      <c r="D34" s="21">
        <v>1.3710488505747127</v>
      </c>
    </row>
    <row r="35" ht="15.75" customHeight="1">
      <c r="A35" s="19">
        <v>20105.0</v>
      </c>
      <c r="B35" s="20" t="s">
        <v>79</v>
      </c>
      <c r="C35" s="21">
        <v>1.5813358076162005</v>
      </c>
      <c r="D35" s="21">
        <v>1.456378597701777</v>
      </c>
    </row>
    <row r="36" ht="15.75" customHeight="1">
      <c r="A36" s="19">
        <v>20201.0</v>
      </c>
      <c r="B36" s="20" t="s">
        <v>81</v>
      </c>
      <c r="C36" s="21">
        <v>0.9519742063492064</v>
      </c>
      <c r="D36" s="21">
        <v>0.9770253207753208</v>
      </c>
    </row>
    <row r="37" ht="15.75" customHeight="1">
      <c r="A37" s="19">
        <v>20202.0</v>
      </c>
      <c r="B37" s="20" t="s">
        <v>82</v>
      </c>
      <c r="C37" s="21">
        <v>0.7770329670329671</v>
      </c>
      <c r="D37" s="21">
        <v>0.869047619047619</v>
      </c>
    </row>
    <row r="38" ht="15.75" customHeight="1">
      <c r="A38" s="19">
        <v>20203.0</v>
      </c>
      <c r="B38" s="20" t="s">
        <v>83</v>
      </c>
      <c r="C38" s="21">
        <v>0.7857142857142857</v>
      </c>
      <c r="D38" s="21">
        <v>0.8333333333333334</v>
      </c>
    </row>
    <row r="39" ht="15.75" customHeight="1">
      <c r="A39" s="19">
        <v>20204.0</v>
      </c>
      <c r="B39" s="20" t="s">
        <v>84</v>
      </c>
      <c r="C39" s="21">
        <v>0.5769230769230769</v>
      </c>
      <c r="D39" s="21">
        <v>1.2444444444444442</v>
      </c>
    </row>
    <row r="40" ht="15.75" customHeight="1">
      <c r="A40" s="19">
        <v>20205.0</v>
      </c>
      <c r="B40" s="20" t="s">
        <v>85</v>
      </c>
      <c r="C40" s="21">
        <v>1.0</v>
      </c>
      <c r="D40" s="21">
        <v>2.1999999999999997</v>
      </c>
    </row>
    <row r="41" ht="15.75" customHeight="1">
      <c r="A41" s="19">
        <v>20206.0</v>
      </c>
      <c r="B41" s="20" t="s">
        <v>86</v>
      </c>
      <c r="C41" s="21">
        <v>1.0</v>
      </c>
      <c r="D41" s="21">
        <v>0.0</v>
      </c>
    </row>
    <row r="42" ht="15.75" customHeight="1">
      <c r="A42" s="19">
        <v>20301.0</v>
      </c>
      <c r="B42" s="20" t="s">
        <v>88</v>
      </c>
      <c r="C42" s="21">
        <v>1.0512113617376777</v>
      </c>
      <c r="D42" s="21">
        <v>0.8927015250544663</v>
      </c>
    </row>
    <row r="43" ht="15.75" customHeight="1">
      <c r="A43" s="19">
        <v>20302.0</v>
      </c>
      <c r="B43" s="20" t="s">
        <v>89</v>
      </c>
      <c r="C43" s="21">
        <v>1.1086536313391808</v>
      </c>
      <c r="D43" s="21">
        <v>1.6846153846153846</v>
      </c>
    </row>
    <row r="44" ht="15.75" customHeight="1">
      <c r="A44" s="19">
        <v>20303.0</v>
      </c>
      <c r="B44" s="20" t="s">
        <v>90</v>
      </c>
      <c r="C44" s="21">
        <v>1.3714285714285712</v>
      </c>
      <c r="D44" s="21">
        <v>2.7222222222222228</v>
      </c>
    </row>
    <row r="45" ht="15.75" customHeight="1">
      <c r="A45" s="19">
        <v>20304.0</v>
      </c>
      <c r="B45" s="20" t="s">
        <v>91</v>
      </c>
      <c r="C45" s="21">
        <v>0.7319576719576718</v>
      </c>
      <c r="D45" s="21">
        <v>1.722222222222222</v>
      </c>
    </row>
    <row r="46" ht="15.75" customHeight="1">
      <c r="A46" s="19">
        <v>20305.0</v>
      </c>
      <c r="B46" s="20" t="s">
        <v>92</v>
      </c>
      <c r="C46" s="21">
        <v>0.6904761904761904</v>
      </c>
      <c r="D46" s="21">
        <v>0.8888888888888888</v>
      </c>
    </row>
    <row r="47" ht="15.75" customHeight="1">
      <c r="A47" s="19">
        <v>20306.0</v>
      </c>
      <c r="B47" s="20" t="s">
        <v>93</v>
      </c>
      <c r="C47" s="21">
        <v>1.0444444444444445</v>
      </c>
      <c r="D47" s="21">
        <v>0.9642857142857143</v>
      </c>
    </row>
    <row r="48" ht="15.75" customHeight="1">
      <c r="A48" s="19">
        <v>20307.0</v>
      </c>
      <c r="B48" s="20" t="s">
        <v>94</v>
      </c>
      <c r="C48" s="21">
        <v>0.7388888888888889</v>
      </c>
      <c r="D48" s="21">
        <v>0.6666666666666666</v>
      </c>
    </row>
    <row r="49" ht="15.75" customHeight="1">
      <c r="A49" s="19">
        <v>20308.0</v>
      </c>
      <c r="B49" s="20" t="s">
        <v>95</v>
      </c>
      <c r="C49" s="21">
        <v>1.0081093189964156</v>
      </c>
      <c r="D49" s="21">
        <v>1.0916666666666666</v>
      </c>
    </row>
    <row r="50" ht="15.75" customHeight="1">
      <c r="A50" s="19">
        <v>20401.0</v>
      </c>
      <c r="B50" s="20" t="s">
        <v>97</v>
      </c>
      <c r="C50" s="21">
        <v>0.7386545507453408</v>
      </c>
      <c r="D50" s="21">
        <v>0.7943722943722943</v>
      </c>
    </row>
    <row r="51" ht="15.75" customHeight="1">
      <c r="A51" s="19">
        <v>20402.0</v>
      </c>
      <c r="B51" s="20" t="s">
        <v>98</v>
      </c>
      <c r="C51" s="21">
        <v>0.9530599037333657</v>
      </c>
      <c r="D51" s="21">
        <v>0.7525879917184265</v>
      </c>
    </row>
    <row r="52" ht="15.75" customHeight="1">
      <c r="A52" s="19">
        <v>20403.0</v>
      </c>
      <c r="B52" s="20" t="s">
        <v>99</v>
      </c>
      <c r="C52" s="21">
        <v>0.9338430332345139</v>
      </c>
      <c r="D52" s="21">
        <v>1.4190476190476191</v>
      </c>
    </row>
    <row r="53" ht="15.75" customHeight="1">
      <c r="A53" s="19">
        <v>20404.0</v>
      </c>
      <c r="B53" s="20" t="s">
        <v>100</v>
      </c>
      <c r="C53" s="21">
        <v>0.7941176470588235</v>
      </c>
      <c r="D53" s="21">
        <v>0.8777777777777778</v>
      </c>
    </row>
    <row r="54" ht="15.75" customHeight="1">
      <c r="A54" s="19">
        <v>20405.0</v>
      </c>
      <c r="B54" s="20" t="s">
        <v>101</v>
      </c>
      <c r="C54" s="21">
        <v>0.9523809523809523</v>
      </c>
      <c r="D54" s="21">
        <v>0.6916666666666668</v>
      </c>
    </row>
    <row r="55" ht="15.75" customHeight="1">
      <c r="A55" s="19">
        <v>20501.0</v>
      </c>
      <c r="B55" s="20" t="s">
        <v>103</v>
      </c>
      <c r="C55" s="21">
        <v>1.2322472848788637</v>
      </c>
      <c r="D55" s="21">
        <v>1.5058479532163742</v>
      </c>
    </row>
    <row r="56" ht="15.75" customHeight="1">
      <c r="A56" s="19">
        <v>20502.0</v>
      </c>
      <c r="B56" s="20" t="s">
        <v>104</v>
      </c>
      <c r="C56" s="21">
        <v>1.1005291005291005</v>
      </c>
      <c r="D56" s="21">
        <v>1.942057942057942</v>
      </c>
    </row>
    <row r="57" ht="15.75" customHeight="1">
      <c r="A57" s="19">
        <v>20503.0</v>
      </c>
      <c r="B57" s="20" t="s">
        <v>105</v>
      </c>
      <c r="C57" s="21">
        <v>0.7631578947368421</v>
      </c>
      <c r="D57" s="21">
        <v>1.5083333333333335</v>
      </c>
    </row>
    <row r="58" ht="15.75" customHeight="1">
      <c r="A58" s="19">
        <v>20601.0</v>
      </c>
      <c r="B58" s="20" t="s">
        <v>107</v>
      </c>
      <c r="C58" s="21">
        <v>1.1776094276094276</v>
      </c>
      <c r="D58" s="21">
        <v>1.2690145502645502</v>
      </c>
    </row>
    <row r="59" ht="15.75" customHeight="1">
      <c r="A59" s="19">
        <v>20602.0</v>
      </c>
      <c r="B59" s="20" t="s">
        <v>108</v>
      </c>
      <c r="C59" s="21">
        <v>1.5114583333333333</v>
      </c>
      <c r="D59" s="21">
        <v>1.5712428107026757</v>
      </c>
    </row>
    <row r="60" ht="15.75" customHeight="1">
      <c r="A60" s="19">
        <v>20603.0</v>
      </c>
      <c r="B60" s="20" t="s">
        <v>109</v>
      </c>
      <c r="C60" s="21">
        <v>1.232152292152292</v>
      </c>
      <c r="D60" s="21">
        <v>1.675</v>
      </c>
    </row>
    <row r="61" ht="15.75" customHeight="1">
      <c r="A61" s="19">
        <v>20604.0</v>
      </c>
      <c r="B61" s="20" t="s">
        <v>110</v>
      </c>
      <c r="C61" s="21">
        <v>2.8444444444444446</v>
      </c>
      <c r="D61" s="21">
        <v>1.6603174603174604</v>
      </c>
    </row>
    <row r="62" ht="15.75" customHeight="1">
      <c r="A62" s="19">
        <v>20605.0</v>
      </c>
      <c r="B62" s="20" t="s">
        <v>111</v>
      </c>
      <c r="C62" s="21">
        <v>1.3333333333333333</v>
      </c>
      <c r="D62" s="21">
        <v>0.7222222222222223</v>
      </c>
    </row>
    <row r="63" ht="15.75" customHeight="1">
      <c r="A63" s="19">
        <v>20606.0</v>
      </c>
      <c r="B63" s="20" t="s">
        <v>112</v>
      </c>
      <c r="C63" s="21">
        <v>1.1593944099378881</v>
      </c>
      <c r="D63" s="21">
        <v>2.1333333333333333</v>
      </c>
    </row>
    <row r="64" ht="15.75" customHeight="1">
      <c r="A64" s="19">
        <v>20607.0</v>
      </c>
      <c r="B64" s="20" t="s">
        <v>113</v>
      </c>
      <c r="C64" s="21">
        <v>1.4821316789626648</v>
      </c>
      <c r="D64" s="21">
        <v>1.4955223080223081</v>
      </c>
    </row>
    <row r="65" ht="15.75" customHeight="1">
      <c r="A65" s="19">
        <v>20608.0</v>
      </c>
      <c r="B65" s="20" t="s">
        <v>114</v>
      </c>
      <c r="C65" s="21">
        <v>1.4741545893719807</v>
      </c>
      <c r="D65" s="21">
        <v>1.4477124183006538</v>
      </c>
    </row>
    <row r="66" ht="15.75" customHeight="1">
      <c r="A66" s="19">
        <v>20701.0</v>
      </c>
      <c r="B66" s="20" t="s">
        <v>116</v>
      </c>
      <c r="C66" s="21">
        <v>1.6630466755466753</v>
      </c>
      <c r="D66" s="21">
        <v>1.6337299213470697</v>
      </c>
    </row>
    <row r="67" ht="15.75" customHeight="1">
      <c r="A67" s="19">
        <v>20702.0</v>
      </c>
      <c r="B67" s="20" t="s">
        <v>117</v>
      </c>
      <c r="C67" s="21">
        <v>1.1925925925925924</v>
      </c>
      <c r="D67" s="21">
        <v>1.942857142857143</v>
      </c>
    </row>
    <row r="68" ht="15.75" customHeight="1">
      <c r="A68" s="19">
        <v>20801.0</v>
      </c>
      <c r="B68" s="20" t="s">
        <v>119</v>
      </c>
      <c r="C68" s="21">
        <v>1.4656192469097686</v>
      </c>
      <c r="D68" s="21">
        <v>1.3977878977878977</v>
      </c>
    </row>
    <row r="69" ht="15.75" customHeight="1">
      <c r="A69" s="19">
        <v>20802.0</v>
      </c>
      <c r="B69" s="20" t="s">
        <v>120</v>
      </c>
      <c r="C69" s="21">
        <v>0.6306513409961686</v>
      </c>
      <c r="D69" s="21">
        <v>1.5</v>
      </c>
    </row>
    <row r="70" ht="15.75" customHeight="1">
      <c r="A70" s="19">
        <v>20803.0</v>
      </c>
      <c r="B70" s="20" t="s">
        <v>121</v>
      </c>
      <c r="C70" s="21">
        <v>1.0484126984126985</v>
      </c>
      <c r="D70" s="21">
        <v>0.8148148148148148</v>
      </c>
    </row>
    <row r="71" ht="15.75" customHeight="1">
      <c r="A71" s="19">
        <v>20804.0</v>
      </c>
      <c r="B71" s="20" t="s">
        <v>122</v>
      </c>
      <c r="C71" s="21">
        <v>2.194444444444444</v>
      </c>
      <c r="D71" s="21">
        <v>1.0999999999999999</v>
      </c>
    </row>
    <row r="72" ht="15.75" customHeight="1">
      <c r="A72" s="19">
        <v>20805.0</v>
      </c>
      <c r="B72" s="20" t="s">
        <v>123</v>
      </c>
      <c r="C72" s="21">
        <v>1.560846560846561</v>
      </c>
      <c r="D72" s="21">
        <v>2.185185185185185</v>
      </c>
    </row>
    <row r="73" ht="15.75" customHeight="1">
      <c r="A73" s="19">
        <v>20806.0</v>
      </c>
      <c r="B73" s="20" t="s">
        <v>124</v>
      </c>
      <c r="C73" s="21">
        <v>0.7451026608003352</v>
      </c>
      <c r="D73" s="21">
        <v>1.1708333333333334</v>
      </c>
    </row>
    <row r="74" ht="15.75" customHeight="1">
      <c r="A74" s="19">
        <v>20807.0</v>
      </c>
      <c r="B74" s="20" t="s">
        <v>125</v>
      </c>
      <c r="C74" s="21">
        <v>0.8774603174603174</v>
      </c>
      <c r="D74" s="21">
        <v>2.75</v>
      </c>
    </row>
    <row r="75" ht="15.75" customHeight="1">
      <c r="A75" s="19">
        <v>20901.0</v>
      </c>
      <c r="B75" s="20" t="s">
        <v>127</v>
      </c>
      <c r="C75" s="21">
        <v>1.5454498277078923</v>
      </c>
      <c r="D75" s="21">
        <v>1.351388888888889</v>
      </c>
    </row>
    <row r="76" ht="15.75" customHeight="1">
      <c r="A76" s="19">
        <v>20902.0</v>
      </c>
      <c r="B76" s="20" t="s">
        <v>128</v>
      </c>
      <c r="C76" s="21">
        <v>1.3235294117647058</v>
      </c>
      <c r="D76" s="21">
        <v>1.1610644257703082</v>
      </c>
    </row>
    <row r="77" ht="15.75" customHeight="1">
      <c r="A77" s="19">
        <v>20903.0</v>
      </c>
      <c r="B77" s="20" t="s">
        <v>129</v>
      </c>
      <c r="C77" s="21">
        <v>1.0914839181286549</v>
      </c>
      <c r="D77" s="21">
        <v>0.7747252747252746</v>
      </c>
    </row>
    <row r="78" ht="15.75" customHeight="1">
      <c r="A78" s="19">
        <v>20904.0</v>
      </c>
      <c r="B78" s="20" t="s">
        <v>130</v>
      </c>
      <c r="C78" s="21">
        <v>2.1333333333333333</v>
      </c>
      <c r="D78" s="21">
        <v>1.0</v>
      </c>
    </row>
    <row r="79" ht="15.75" customHeight="1">
      <c r="A79" s="19">
        <v>20905.0</v>
      </c>
      <c r="B79" s="20" t="s">
        <v>131</v>
      </c>
      <c r="C79" s="21">
        <v>1.0091673032849504</v>
      </c>
      <c r="D79" s="21">
        <v>0.9211759504862953</v>
      </c>
    </row>
    <row r="80" ht="15.75" customHeight="1">
      <c r="A80" s="19">
        <v>21001.0</v>
      </c>
      <c r="B80" s="20" t="s">
        <v>132</v>
      </c>
      <c r="C80" s="21">
        <v>1.205128205128205</v>
      </c>
      <c r="D80" s="21">
        <v>1.0203703703703704</v>
      </c>
    </row>
    <row r="81" ht="15.75" customHeight="1">
      <c r="A81" s="19">
        <v>21002.0</v>
      </c>
      <c r="B81" s="20" t="s">
        <v>133</v>
      </c>
      <c r="C81" s="21">
        <v>1.834126984126984</v>
      </c>
      <c r="D81" s="21">
        <v>1.925</v>
      </c>
    </row>
    <row r="82" ht="15.75" customHeight="1">
      <c r="A82" s="19">
        <v>21003.0</v>
      </c>
      <c r="B82" s="20" t="s">
        <v>134</v>
      </c>
      <c r="C82" s="21">
        <v>2.09521344769792</v>
      </c>
      <c r="D82" s="21">
        <v>2.2275689223057644</v>
      </c>
    </row>
    <row r="83" ht="15.75" customHeight="1">
      <c r="A83" s="19">
        <v>21004.0</v>
      </c>
      <c r="B83" s="20" t="s">
        <v>135</v>
      </c>
      <c r="C83" s="21">
        <v>1.1089093788624307</v>
      </c>
      <c r="D83" s="21">
        <v>1.2512984248616432</v>
      </c>
    </row>
    <row r="84" ht="15.75" customHeight="1">
      <c r="A84" s="19">
        <v>21005.0</v>
      </c>
      <c r="B84" s="20" t="s">
        <v>136</v>
      </c>
      <c r="C84" s="21">
        <v>1.2986111111111114</v>
      </c>
      <c r="D84" s="21">
        <v>1.0625</v>
      </c>
    </row>
    <row r="85" ht="15.75" customHeight="1">
      <c r="A85" s="19">
        <v>21006.0</v>
      </c>
      <c r="B85" s="20" t="s">
        <v>137</v>
      </c>
      <c r="C85" s="21">
        <v>2.0805555555555553</v>
      </c>
      <c r="D85" s="21">
        <v>3.1999999999999997</v>
      </c>
    </row>
    <row r="86" ht="15.75" customHeight="1">
      <c r="A86" s="19">
        <v>21101.0</v>
      </c>
      <c r="B86" s="20" t="s">
        <v>139</v>
      </c>
      <c r="C86" s="21">
        <v>1.7309507451211334</v>
      </c>
      <c r="D86" s="21">
        <v>1.778794813119756</v>
      </c>
    </row>
    <row r="87" ht="15.75" customHeight="1">
      <c r="A87" s="19">
        <v>21102.0</v>
      </c>
      <c r="B87" s="20" t="s">
        <v>140</v>
      </c>
      <c r="C87" s="21">
        <v>1.3043953043953043</v>
      </c>
      <c r="D87" s="21">
        <v>1.631111111111111</v>
      </c>
    </row>
    <row r="88" ht="15.75" customHeight="1">
      <c r="A88" s="19">
        <v>21103.0</v>
      </c>
      <c r="B88" s="20" t="s">
        <v>141</v>
      </c>
      <c r="C88" s="21">
        <v>1.4393939393939394</v>
      </c>
      <c r="D88" s="21">
        <v>1.9444444444444446</v>
      </c>
    </row>
    <row r="89" ht="15.75" customHeight="1">
      <c r="A89" s="19">
        <v>21104.0</v>
      </c>
      <c r="B89" s="20" t="s">
        <v>142</v>
      </c>
      <c r="C89" s="21">
        <v>1.3623003510853977</v>
      </c>
      <c r="D89" s="21">
        <v>1.8303703703703704</v>
      </c>
    </row>
    <row r="90" ht="15.75" customHeight="1">
      <c r="A90" s="19">
        <v>21105.0</v>
      </c>
      <c r="B90" s="20" t="s">
        <v>143</v>
      </c>
      <c r="C90" s="21">
        <v>1.4332327430773024</v>
      </c>
      <c r="D90" s="21">
        <v>1.939730691843368</v>
      </c>
    </row>
    <row r="91" ht="15.75" customHeight="1">
      <c r="A91" s="19">
        <v>21201.0</v>
      </c>
      <c r="B91" s="20" t="s">
        <v>145</v>
      </c>
      <c r="C91" s="21">
        <v>0.8454292914455087</v>
      </c>
      <c r="D91" s="21">
        <v>1.3144930644930646</v>
      </c>
    </row>
    <row r="92" ht="15.75" customHeight="1">
      <c r="A92" s="19">
        <v>21202.0</v>
      </c>
      <c r="B92" s="20" t="s">
        <v>146</v>
      </c>
      <c r="C92" s="21">
        <v>1.1274068517129283</v>
      </c>
      <c r="D92" s="21">
        <v>1.0615686274509804</v>
      </c>
    </row>
    <row r="93" ht="15.75" customHeight="1">
      <c r="A93" s="19">
        <v>21203.0</v>
      </c>
      <c r="B93" s="20" t="s">
        <v>147</v>
      </c>
      <c r="C93" s="21">
        <v>0.8475035161744023</v>
      </c>
      <c r="D93" s="21">
        <v>1.0869408369408369</v>
      </c>
    </row>
    <row r="94" ht="15.75" customHeight="1">
      <c r="A94" s="19">
        <v>21204.0</v>
      </c>
      <c r="B94" s="20" t="s">
        <v>148</v>
      </c>
      <c r="C94" s="21">
        <v>0.624098124098124</v>
      </c>
      <c r="D94" s="21">
        <v>1.1388888888888888</v>
      </c>
    </row>
    <row r="95" ht="15.75" customHeight="1">
      <c r="A95" s="19">
        <v>21301.0</v>
      </c>
      <c r="B95" s="20" t="s">
        <v>150</v>
      </c>
      <c r="C95" s="21">
        <v>1.2630379966959395</v>
      </c>
      <c r="D95" s="21">
        <v>1.4978832442067738</v>
      </c>
    </row>
    <row r="96" ht="15.75" customHeight="1">
      <c r="A96" s="19">
        <v>21302.0</v>
      </c>
      <c r="B96" s="20" t="s">
        <v>151</v>
      </c>
      <c r="C96" s="21">
        <v>1.1114692415794007</v>
      </c>
      <c r="D96" s="21">
        <v>0.9819444444444443</v>
      </c>
    </row>
    <row r="97" ht="15.75" customHeight="1">
      <c r="A97" s="19">
        <v>21303.0</v>
      </c>
      <c r="B97" s="20" t="s">
        <v>152</v>
      </c>
      <c r="C97" s="21">
        <v>0.8371940080379977</v>
      </c>
      <c r="D97" s="21">
        <v>0.5231729055258467</v>
      </c>
    </row>
    <row r="98" ht="15.75" customHeight="1">
      <c r="A98" s="19">
        <v>21304.0</v>
      </c>
      <c r="B98" s="20" t="s">
        <v>153</v>
      </c>
      <c r="C98" s="21">
        <v>0.791277069419146</v>
      </c>
      <c r="D98" s="21">
        <v>0.8568722943722943</v>
      </c>
    </row>
    <row r="99" ht="15.75" customHeight="1">
      <c r="A99" s="19">
        <v>21305.0</v>
      </c>
      <c r="B99" s="20" t="s">
        <v>154</v>
      </c>
      <c r="C99" s="21">
        <v>1.0745984969154283</v>
      </c>
      <c r="D99" s="21">
        <v>1.4429239766081874</v>
      </c>
    </row>
    <row r="100" ht="15.75" customHeight="1">
      <c r="A100" s="19">
        <v>21306.0</v>
      </c>
      <c r="B100" s="20" t="s">
        <v>155</v>
      </c>
      <c r="C100" s="21">
        <v>0.8926562359845717</v>
      </c>
      <c r="D100" s="21">
        <v>1.3666666666666665</v>
      </c>
    </row>
    <row r="101" ht="15.75" customHeight="1">
      <c r="A101" s="19">
        <v>21307.0</v>
      </c>
      <c r="B101" s="20" t="s">
        <v>156</v>
      </c>
      <c r="C101" s="21">
        <v>1.0</v>
      </c>
      <c r="D101" s="21">
        <v>3.3333333333333335</v>
      </c>
    </row>
    <row r="102" ht="15.75" customHeight="1">
      <c r="A102" s="19">
        <v>21401.0</v>
      </c>
      <c r="B102" s="20" t="s">
        <v>158</v>
      </c>
      <c r="C102" s="21">
        <v>1.3864950087857748</v>
      </c>
      <c r="D102" s="21">
        <v>1.683838383838384</v>
      </c>
    </row>
    <row r="103" ht="15.75" customHeight="1">
      <c r="A103" s="19">
        <v>21402.0</v>
      </c>
      <c r="B103" s="20" t="s">
        <v>159</v>
      </c>
      <c r="C103" s="21">
        <v>1.4535104364326374</v>
      </c>
      <c r="D103" s="21">
        <v>1.5083333333333335</v>
      </c>
    </row>
    <row r="104" ht="15.75" customHeight="1">
      <c r="A104" s="19">
        <v>21501.0</v>
      </c>
      <c r="B104" s="20" t="s">
        <v>161</v>
      </c>
      <c r="C104" s="21">
        <v>1.3938127090301002</v>
      </c>
      <c r="D104" s="21">
        <v>1.636127355425601</v>
      </c>
    </row>
    <row r="105" ht="15.75" customHeight="1">
      <c r="A105" s="19">
        <v>21502.0</v>
      </c>
      <c r="B105" s="20" t="s">
        <v>162</v>
      </c>
      <c r="C105" s="21">
        <v>2.0001461988304094</v>
      </c>
      <c r="D105" s="21">
        <v>1.0568356374807988</v>
      </c>
    </row>
    <row r="106" ht="15.75" customHeight="1">
      <c r="A106" s="19">
        <v>21601.0</v>
      </c>
      <c r="B106" s="20" t="s">
        <v>164</v>
      </c>
      <c r="C106" s="21">
        <v>0.7736158293104475</v>
      </c>
      <c r="D106" s="21">
        <v>1.0231481481481481</v>
      </c>
    </row>
    <row r="107" ht="15.75" customHeight="1">
      <c r="A107" s="19">
        <v>21602.0</v>
      </c>
      <c r="B107" s="20" t="s">
        <v>165</v>
      </c>
      <c r="C107" s="21">
        <v>1.4333333333333333</v>
      </c>
      <c r="D107" s="21">
        <v>1.6666666666666667</v>
      </c>
    </row>
    <row r="108" ht="15.75" customHeight="1">
      <c r="A108" s="19">
        <v>21701.0</v>
      </c>
      <c r="B108" s="20" t="s">
        <v>167</v>
      </c>
      <c r="C108" s="21">
        <v>1.0983739837398374</v>
      </c>
      <c r="D108" s="21">
        <v>1.1761904761904762</v>
      </c>
    </row>
    <row r="109" ht="15.75" customHeight="1">
      <c r="A109" s="19">
        <v>21702.0</v>
      </c>
      <c r="B109" s="20" t="s">
        <v>168</v>
      </c>
      <c r="C109" s="21">
        <v>1.6714285714285715</v>
      </c>
      <c r="D109" s="21">
        <v>1.25</v>
      </c>
    </row>
    <row r="110" ht="15.75" customHeight="1">
      <c r="A110" s="19">
        <v>21703.0</v>
      </c>
      <c r="B110" s="20" t="s">
        <v>169</v>
      </c>
      <c r="C110" s="21">
        <v>1.0</v>
      </c>
      <c r="D110" s="21">
        <v>0.5</v>
      </c>
    </row>
    <row r="111" ht="15.75" customHeight="1">
      <c r="A111" s="19">
        <v>21801.0</v>
      </c>
      <c r="B111" s="20" t="s">
        <v>171</v>
      </c>
      <c r="C111" s="21">
        <v>1.2657407407407408</v>
      </c>
      <c r="D111" s="21">
        <v>1.175</v>
      </c>
    </row>
    <row r="112" ht="15.75" customHeight="1">
      <c r="A112" s="19">
        <v>21802.0</v>
      </c>
      <c r="B112" s="20" t="s">
        <v>173</v>
      </c>
      <c r="C112" s="21">
        <v>1.0478337754199822</v>
      </c>
      <c r="D112" s="21">
        <v>1.0444444444444445</v>
      </c>
    </row>
    <row r="113" ht="15.75" customHeight="1">
      <c r="A113" s="19">
        <v>21803.0</v>
      </c>
      <c r="B113" s="20" t="s">
        <v>174</v>
      </c>
      <c r="C113" s="21">
        <v>2.138888888888889</v>
      </c>
      <c r="D113" s="21">
        <v>0.16666666666666666</v>
      </c>
    </row>
    <row r="114" ht="15.75" customHeight="1">
      <c r="A114" s="19">
        <v>21901.0</v>
      </c>
      <c r="B114" s="20" t="s">
        <v>176</v>
      </c>
      <c r="C114" s="21">
        <v>1.1005291005291005</v>
      </c>
      <c r="D114" s="21">
        <v>1.955128205128205</v>
      </c>
    </row>
    <row r="115" ht="15.75" customHeight="1">
      <c r="A115" s="19">
        <v>21902.0</v>
      </c>
      <c r="B115" s="20" t="s">
        <v>177</v>
      </c>
      <c r="C115" s="21">
        <v>2.3333333333333335</v>
      </c>
      <c r="D115" s="21">
        <v>2.0</v>
      </c>
    </row>
    <row r="116" ht="15.75" customHeight="1">
      <c r="A116" s="19">
        <v>22001.0</v>
      </c>
      <c r="B116" s="20" t="s">
        <v>178</v>
      </c>
      <c r="C116" s="21">
        <v>1.375817616988514</v>
      </c>
      <c r="D116" s="21">
        <v>1.507816933378731</v>
      </c>
    </row>
    <row r="117" ht="15.75" customHeight="1">
      <c r="A117" s="19">
        <v>22002.0</v>
      </c>
      <c r="B117" s="20" t="s">
        <v>179</v>
      </c>
      <c r="C117" s="21">
        <v>2.235294117647059</v>
      </c>
      <c r="D117" s="21">
        <v>2.1422558922558923</v>
      </c>
    </row>
    <row r="118" ht="15.75" customHeight="1">
      <c r="A118" s="19">
        <v>30101.0</v>
      </c>
      <c r="B118" s="20" t="s">
        <v>32</v>
      </c>
      <c r="C118" s="21">
        <v>1.7072040222904796</v>
      </c>
      <c r="D118" s="21">
        <v>1.50587994430838</v>
      </c>
    </row>
    <row r="119" ht="15.75" customHeight="1">
      <c r="A119" s="19">
        <v>30201.0</v>
      </c>
      <c r="B119" s="20" t="s">
        <v>182</v>
      </c>
      <c r="C119" s="21">
        <v>1.3223703274413214</v>
      </c>
      <c r="D119" s="21">
        <v>1.4610747675263804</v>
      </c>
    </row>
    <row r="120" ht="15.75" customHeight="1">
      <c r="A120" s="19">
        <v>30202.0</v>
      </c>
      <c r="B120" s="20" t="s">
        <v>183</v>
      </c>
      <c r="C120" s="21">
        <v>1.2138888888888888</v>
      </c>
      <c r="D120" s="21">
        <v>0.75</v>
      </c>
    </row>
    <row r="121" ht="15.75" customHeight="1">
      <c r="A121" s="19">
        <v>30203.0</v>
      </c>
      <c r="B121" s="20" t="s">
        <v>184</v>
      </c>
      <c r="C121" s="21">
        <v>1.4928774928774928</v>
      </c>
      <c r="D121" s="21">
        <v>1.0555555555555556</v>
      </c>
    </row>
    <row r="122" ht="15.75" customHeight="1">
      <c r="A122" s="19">
        <v>30301.0</v>
      </c>
      <c r="B122" s="20" t="s">
        <v>186</v>
      </c>
      <c r="C122" s="21">
        <v>1.2559436952566723</v>
      </c>
      <c r="D122" s="21">
        <v>1.1508771929824562</v>
      </c>
    </row>
    <row r="123" ht="15.75" customHeight="1">
      <c r="A123" s="19">
        <v>30302.0</v>
      </c>
      <c r="B123" s="20" t="s">
        <v>187</v>
      </c>
      <c r="C123" s="21">
        <v>1.0631974408570153</v>
      </c>
      <c r="D123" s="21">
        <v>1.363095238095238</v>
      </c>
    </row>
    <row r="124" ht="15.75" customHeight="1">
      <c r="A124" s="19">
        <v>30303.0</v>
      </c>
      <c r="B124" s="20" t="s">
        <v>188</v>
      </c>
      <c r="C124" s="21">
        <v>1.32</v>
      </c>
      <c r="D124" s="21">
        <v>1.1898148148148149</v>
      </c>
    </row>
    <row r="125" ht="15.75" customHeight="1">
      <c r="A125" s="19">
        <v>30401.0</v>
      </c>
      <c r="B125" s="20" t="s">
        <v>190</v>
      </c>
      <c r="C125" s="21">
        <v>1.507020757020757</v>
      </c>
      <c r="D125" s="21">
        <v>1.4170274170274169</v>
      </c>
    </row>
    <row r="126" ht="15.75" customHeight="1">
      <c r="A126" s="19">
        <v>30402.0</v>
      </c>
      <c r="B126" s="20" t="s">
        <v>191</v>
      </c>
      <c r="C126" s="21">
        <v>1.2092044197307354</v>
      </c>
      <c r="D126" s="21">
        <v>1.4444444444444444</v>
      </c>
    </row>
    <row r="127" ht="15.75" customHeight="1">
      <c r="A127" s="19">
        <v>30403.0</v>
      </c>
      <c r="B127" s="20" t="s">
        <v>192</v>
      </c>
      <c r="C127" s="21">
        <v>1.4997921371669982</v>
      </c>
      <c r="D127" s="21">
        <v>1.3112121212121213</v>
      </c>
    </row>
    <row r="128" ht="15.75" customHeight="1">
      <c r="A128" s="19">
        <v>30404.0</v>
      </c>
      <c r="B128" s="20" t="s">
        <v>193</v>
      </c>
      <c r="C128" s="21">
        <v>1.423529411764706</v>
      </c>
      <c r="D128" s="21">
        <v>2.951851851851852</v>
      </c>
    </row>
    <row r="129" ht="15.75" customHeight="1">
      <c r="A129" s="19">
        <v>30501.0</v>
      </c>
      <c r="B129" s="20" t="s">
        <v>194</v>
      </c>
      <c r="C129" s="21">
        <v>1.60849559236656</v>
      </c>
      <c r="D129" s="21">
        <v>2.277777777777778</v>
      </c>
    </row>
    <row r="130" ht="15.75" customHeight="1">
      <c r="A130" s="19">
        <v>30502.0</v>
      </c>
      <c r="B130" s="20" t="s">
        <v>195</v>
      </c>
      <c r="C130" s="21">
        <v>1.1337806823044305</v>
      </c>
      <c r="D130" s="21">
        <v>1.2518939393939394</v>
      </c>
    </row>
    <row r="131" ht="15.75" customHeight="1">
      <c r="A131" s="19">
        <v>30601.0</v>
      </c>
      <c r="B131" s="20" t="s">
        <v>196</v>
      </c>
      <c r="C131" s="21">
        <v>0.9246081041112096</v>
      </c>
      <c r="D131" s="21">
        <v>1.082010582010582</v>
      </c>
    </row>
    <row r="132" ht="15.75" customHeight="1">
      <c r="A132" s="19">
        <v>30602.0</v>
      </c>
      <c r="B132" s="20" t="s">
        <v>197</v>
      </c>
      <c r="C132" s="21">
        <v>1.045673323092678</v>
      </c>
      <c r="D132" s="21">
        <v>1.0875</v>
      </c>
    </row>
    <row r="133" ht="15.75" customHeight="1">
      <c r="A133" s="19">
        <v>30701.0</v>
      </c>
      <c r="B133" s="20" t="s">
        <v>198</v>
      </c>
      <c r="C133" s="21">
        <v>1.4645274584929757</v>
      </c>
      <c r="D133" s="21">
        <v>1.6202986202986205</v>
      </c>
    </row>
    <row r="134" ht="15.75" customHeight="1">
      <c r="A134" s="19">
        <v>30702.0</v>
      </c>
      <c r="B134" s="20" t="s">
        <v>199</v>
      </c>
      <c r="C134" s="21">
        <v>1.8388888888888888</v>
      </c>
      <c r="D134" s="21">
        <v>1.4555555555555557</v>
      </c>
    </row>
    <row r="135" ht="15.75" customHeight="1">
      <c r="A135" s="19">
        <v>30703.0</v>
      </c>
      <c r="B135" s="20" t="s">
        <v>200</v>
      </c>
      <c r="C135" s="21">
        <v>1.6055555555555558</v>
      </c>
      <c r="D135" s="21">
        <v>1.1777777777777778</v>
      </c>
    </row>
    <row r="136" ht="15.75" customHeight="1">
      <c r="A136" s="19">
        <v>30801.0</v>
      </c>
      <c r="B136" s="20" t="s">
        <v>202</v>
      </c>
      <c r="C136" s="21">
        <v>2.0440632529098375</v>
      </c>
      <c r="D136" s="21">
        <v>1.1761556895485468</v>
      </c>
    </row>
    <row r="137" ht="15.75" customHeight="1">
      <c r="A137" s="19">
        <v>30802.0</v>
      </c>
      <c r="B137" s="20" t="s">
        <v>203</v>
      </c>
      <c r="C137" s="21">
        <v>1.5929437564499482</v>
      </c>
      <c r="D137" s="21">
        <v>1.249084249084249</v>
      </c>
    </row>
    <row r="138" ht="15.75" customHeight="1">
      <c r="A138" s="19">
        <v>30803.0</v>
      </c>
      <c r="B138" s="20" t="s">
        <v>204</v>
      </c>
      <c r="C138" s="21">
        <v>2.443589743589744</v>
      </c>
      <c r="D138" s="21">
        <v>1.0894660894660895</v>
      </c>
    </row>
    <row r="139" ht="15.75" customHeight="1">
      <c r="A139" s="19">
        <v>30901.0</v>
      </c>
      <c r="B139" s="20" t="s">
        <v>205</v>
      </c>
      <c r="C139" s="21">
        <v>1.7120668576801312</v>
      </c>
      <c r="D139" s="21">
        <v>1.615659868696306</v>
      </c>
    </row>
    <row r="140" ht="15.75" customHeight="1">
      <c r="A140" s="19">
        <v>30902.0</v>
      </c>
      <c r="B140" s="20" t="s">
        <v>206</v>
      </c>
      <c r="C140" s="21">
        <v>1.8159657013598463</v>
      </c>
      <c r="D140" s="21">
        <v>1.3736153103216597</v>
      </c>
    </row>
    <row r="141" ht="15.75" customHeight="1">
      <c r="A141" s="19">
        <v>30903.0</v>
      </c>
      <c r="B141" s="20" t="s">
        <v>207</v>
      </c>
      <c r="C141" s="21">
        <v>1.5160436415184175</v>
      </c>
      <c r="D141" s="21">
        <v>1.186819374064461</v>
      </c>
    </row>
    <row r="142" ht="15.75" customHeight="1">
      <c r="A142" s="19">
        <v>30904.0</v>
      </c>
      <c r="B142" s="20" t="s">
        <v>208</v>
      </c>
      <c r="C142" s="21">
        <v>1.7757322679629468</v>
      </c>
      <c r="D142" s="21">
        <v>1.379201680672269</v>
      </c>
    </row>
    <row r="143" ht="15.75" customHeight="1">
      <c r="A143" s="19">
        <v>30905.0</v>
      </c>
      <c r="B143" s="20" t="s">
        <v>209</v>
      </c>
      <c r="C143" s="21">
        <v>1.765847434864357</v>
      </c>
      <c r="D143" s="21">
        <v>1.3562801932367148</v>
      </c>
    </row>
    <row r="144" ht="15.75" customHeight="1">
      <c r="A144" s="19">
        <v>31001.0</v>
      </c>
      <c r="B144" s="20" t="s">
        <v>211</v>
      </c>
      <c r="C144" s="21">
        <v>1.6303734852190164</v>
      </c>
      <c r="D144" s="21">
        <v>1.4522674027253084</v>
      </c>
    </row>
    <row r="145" ht="15.75" customHeight="1">
      <c r="A145" s="19">
        <v>31002.0</v>
      </c>
      <c r="B145" s="20" t="s">
        <v>212</v>
      </c>
      <c r="C145" s="21">
        <v>1.3358627806302223</v>
      </c>
      <c r="D145" s="21">
        <v>1.3041187739463602</v>
      </c>
    </row>
    <row r="146" ht="15.75" customHeight="1">
      <c r="A146" s="19">
        <v>31003.0</v>
      </c>
      <c r="B146" s="20" t="s">
        <v>213</v>
      </c>
      <c r="C146" s="21">
        <v>1.5332412394462878</v>
      </c>
      <c r="D146" s="21">
        <v>1.6429202828672453</v>
      </c>
    </row>
    <row r="147" ht="15.75" customHeight="1">
      <c r="A147" s="19">
        <v>31101.0</v>
      </c>
      <c r="B147" s="20" t="s">
        <v>214</v>
      </c>
      <c r="C147" s="21">
        <v>0.9498384406920993</v>
      </c>
      <c r="D147" s="21">
        <v>0.8874404261283994</v>
      </c>
    </row>
    <row r="148" ht="15.75" customHeight="1">
      <c r="A148" s="19">
        <v>31201.0</v>
      </c>
      <c r="B148" s="20" t="s">
        <v>216</v>
      </c>
      <c r="C148" s="21">
        <v>1.4712475633528266</v>
      </c>
      <c r="D148" s="21">
        <v>1.2780246913580247</v>
      </c>
    </row>
    <row r="149" ht="15.75" customHeight="1">
      <c r="A149" s="19">
        <v>31202.0</v>
      </c>
      <c r="B149" s="20" t="s">
        <v>217</v>
      </c>
      <c r="C149" s="21">
        <v>1.2236164736164736</v>
      </c>
      <c r="D149" s="21">
        <v>1.4579916815210934</v>
      </c>
    </row>
    <row r="150" ht="15.75" customHeight="1">
      <c r="A150" s="19">
        <v>31203.0</v>
      </c>
      <c r="B150" s="20" t="s">
        <v>218</v>
      </c>
      <c r="C150" s="21">
        <v>1.1293096958747364</v>
      </c>
      <c r="D150" s="21">
        <v>1.438095238095238</v>
      </c>
    </row>
    <row r="151" ht="15.75" customHeight="1">
      <c r="A151" s="19">
        <v>31204.0</v>
      </c>
      <c r="B151" s="20" t="s">
        <v>219</v>
      </c>
      <c r="C151" s="21">
        <v>1.7558054973499322</v>
      </c>
      <c r="D151" s="21">
        <v>1.8279350173180875</v>
      </c>
    </row>
    <row r="152" ht="15.75" customHeight="1">
      <c r="A152" s="19">
        <v>31205.0</v>
      </c>
      <c r="B152" s="20" t="s">
        <v>220</v>
      </c>
      <c r="C152" s="21">
        <v>1.7237416904083573</v>
      </c>
      <c r="D152" s="21">
        <v>1.450716926986426</v>
      </c>
    </row>
    <row r="153" ht="15.75" customHeight="1">
      <c r="A153" s="19">
        <v>31206.0</v>
      </c>
      <c r="B153" s="20" t="s">
        <v>221</v>
      </c>
      <c r="C153" s="21">
        <v>1.8465755799373567</v>
      </c>
      <c r="D153" s="21">
        <v>1.3791291291291292</v>
      </c>
    </row>
    <row r="154" ht="15.75" customHeight="1">
      <c r="A154" s="19">
        <v>31301.0</v>
      </c>
      <c r="B154" s="20" t="s">
        <v>222</v>
      </c>
      <c r="C154" s="21">
        <v>1.297889684581248</v>
      </c>
      <c r="D154" s="21">
        <v>1.1948115359481155</v>
      </c>
    </row>
    <row r="155" ht="15.75" customHeight="1">
      <c r="A155" s="19">
        <v>31302.0</v>
      </c>
      <c r="B155" s="20" t="s">
        <v>223</v>
      </c>
      <c r="C155" s="21">
        <v>1.576328502415459</v>
      </c>
      <c r="D155" s="21">
        <v>1.4777777777777779</v>
      </c>
    </row>
    <row r="156" ht="15.75" customHeight="1">
      <c r="A156" s="19">
        <v>31303.0</v>
      </c>
      <c r="B156" s="20" t="s">
        <v>224</v>
      </c>
      <c r="C156" s="21">
        <v>1.3182539682539682</v>
      </c>
      <c r="D156" s="21">
        <v>0.9166666666666666</v>
      </c>
    </row>
    <row r="157" ht="15.75" customHeight="1">
      <c r="A157" s="19">
        <v>31304.0</v>
      </c>
      <c r="B157" s="20" t="s">
        <v>225</v>
      </c>
      <c r="C157" s="21">
        <v>1.0474816305744843</v>
      </c>
      <c r="D157" s="21">
        <v>1.2823163138231632</v>
      </c>
    </row>
    <row r="158" ht="15.75" customHeight="1">
      <c r="A158" s="19">
        <v>31401.0</v>
      </c>
      <c r="B158" s="20" t="s">
        <v>226</v>
      </c>
      <c r="C158" s="21">
        <v>1.588512241054614</v>
      </c>
      <c r="D158" s="21">
        <v>1.1920727117623444</v>
      </c>
    </row>
    <row r="159" ht="15.75" customHeight="1">
      <c r="A159" s="19">
        <v>31402.0</v>
      </c>
      <c r="B159" s="20" t="s">
        <v>227</v>
      </c>
      <c r="C159" s="21">
        <v>1.27020202020202</v>
      </c>
      <c r="D159" s="21">
        <v>1.2980392156862746</v>
      </c>
    </row>
    <row r="160" ht="15.75" customHeight="1">
      <c r="A160" s="19">
        <v>31403.0</v>
      </c>
      <c r="B160" s="20" t="s">
        <v>228</v>
      </c>
      <c r="C160" s="21">
        <v>1.7817317916002127</v>
      </c>
      <c r="D160" s="21">
        <v>1.8270202020202018</v>
      </c>
    </row>
    <row r="161" ht="15.75" customHeight="1">
      <c r="A161" s="19">
        <v>31404.0</v>
      </c>
      <c r="B161" s="20" t="s">
        <v>229</v>
      </c>
      <c r="C161" s="21">
        <v>2.0</v>
      </c>
      <c r="D161" s="21"/>
    </row>
    <row r="162" ht="15.75" customHeight="1">
      <c r="A162" s="19">
        <v>31405.0</v>
      </c>
      <c r="B162" s="20" t="s">
        <v>230</v>
      </c>
      <c r="C162" s="21">
        <v>0.30158730158730157</v>
      </c>
      <c r="D162" s="21"/>
    </row>
    <row r="163" ht="15.75" customHeight="1">
      <c r="A163" s="19">
        <v>31501.0</v>
      </c>
      <c r="B163" s="20" t="s">
        <v>231</v>
      </c>
      <c r="C163" s="21">
        <v>0.9906593406593407</v>
      </c>
      <c r="D163" s="21">
        <v>1.138888888888889</v>
      </c>
    </row>
    <row r="164" ht="15.75" customHeight="1">
      <c r="A164" s="19">
        <v>31601.0</v>
      </c>
      <c r="B164" s="20" t="s">
        <v>232</v>
      </c>
      <c r="C164" s="21">
        <v>1.5768501806670177</v>
      </c>
      <c r="D164" s="21">
        <v>1.4878189561116388</v>
      </c>
    </row>
    <row r="165" ht="15.75" customHeight="1">
      <c r="A165" s="19">
        <v>31602.0</v>
      </c>
      <c r="B165" s="20" t="s">
        <v>233</v>
      </c>
      <c r="C165" s="21">
        <v>1.631578947368421</v>
      </c>
      <c r="D165" s="21">
        <v>1.2291874791874793</v>
      </c>
    </row>
    <row r="166" ht="15.75" customHeight="1">
      <c r="A166" s="19">
        <v>40101.0</v>
      </c>
      <c r="B166" s="20" t="s">
        <v>35</v>
      </c>
      <c r="C166" s="21">
        <v>1.7781898204852684</v>
      </c>
      <c r="D166" s="21">
        <v>1.3996591957372253</v>
      </c>
    </row>
    <row r="167" ht="15.75" customHeight="1">
      <c r="A167" s="19">
        <v>40102.0</v>
      </c>
      <c r="B167" s="20" t="s">
        <v>234</v>
      </c>
      <c r="C167" s="21">
        <v>1.1552449965493443</v>
      </c>
      <c r="D167" s="21">
        <v>1.587962962962963</v>
      </c>
    </row>
    <row r="168" ht="15.75" customHeight="1">
      <c r="A168" s="19">
        <v>40103.0</v>
      </c>
      <c r="B168" s="20" t="s">
        <v>235</v>
      </c>
      <c r="C168" s="21">
        <v>0.9666666666666667</v>
      </c>
      <c r="D168" s="21">
        <v>1.7142857142857144</v>
      </c>
    </row>
    <row r="169" ht="15.75" customHeight="1">
      <c r="A169" s="19">
        <v>40104.0</v>
      </c>
      <c r="B169" s="20" t="s">
        <v>236</v>
      </c>
      <c r="C169" s="21">
        <v>1.0041654082351756</v>
      </c>
      <c r="D169" s="21">
        <v>0.9943376960920821</v>
      </c>
    </row>
    <row r="170" ht="15.75" customHeight="1">
      <c r="A170" s="19">
        <v>40201.0</v>
      </c>
      <c r="B170" s="20" t="s">
        <v>238</v>
      </c>
      <c r="C170" s="21">
        <v>1.3949842109128294</v>
      </c>
      <c r="D170" s="21">
        <v>1.2231005709266578</v>
      </c>
    </row>
    <row r="171" ht="15.75" customHeight="1">
      <c r="A171" s="19">
        <v>40202.0</v>
      </c>
      <c r="B171" s="20" t="s">
        <v>239</v>
      </c>
      <c r="C171" s="21">
        <v>0.9351851851851851</v>
      </c>
      <c r="D171" s="21">
        <v>1.0999999999999999</v>
      </c>
    </row>
    <row r="172" ht="15.75" customHeight="1">
      <c r="A172" s="19">
        <v>40301.0</v>
      </c>
      <c r="B172" s="20" t="s">
        <v>241</v>
      </c>
      <c r="C172" s="21">
        <v>0.9645870469399881</v>
      </c>
      <c r="D172" s="21">
        <v>1.1843434343434345</v>
      </c>
    </row>
    <row r="173" ht="15.75" customHeight="1">
      <c r="A173" s="19">
        <v>40302.0</v>
      </c>
      <c r="B173" s="20" t="s">
        <v>242</v>
      </c>
      <c r="C173" s="21">
        <v>1.1111111111111112</v>
      </c>
      <c r="D173" s="21"/>
    </row>
    <row r="174" ht="15.75" customHeight="1">
      <c r="A174" s="19">
        <v>40401.0</v>
      </c>
      <c r="B174" s="20" t="s">
        <v>244</v>
      </c>
      <c r="C174" s="21">
        <v>0.7962962962962963</v>
      </c>
      <c r="D174" s="21">
        <v>1.8888888888888886</v>
      </c>
    </row>
    <row r="175" ht="15.75" customHeight="1">
      <c r="A175" s="19">
        <v>40402.0</v>
      </c>
      <c r="B175" s="20" t="s">
        <v>245</v>
      </c>
      <c r="C175" s="21">
        <v>0.794047619047619</v>
      </c>
      <c r="D175" s="21">
        <v>1.0222222222222221</v>
      </c>
    </row>
    <row r="176" ht="15.75" customHeight="1">
      <c r="A176" s="19">
        <v>40501.0</v>
      </c>
      <c r="B176" s="20" t="s">
        <v>247</v>
      </c>
      <c r="C176" s="21">
        <v>0.9</v>
      </c>
      <c r="D176" s="21">
        <v>2.0</v>
      </c>
    </row>
    <row r="177" ht="15.75" customHeight="1">
      <c r="A177" s="19">
        <v>40502.0</v>
      </c>
      <c r="B177" s="20" t="s">
        <v>248</v>
      </c>
      <c r="C177" s="21">
        <v>1.3333333333333333</v>
      </c>
      <c r="D177" s="21">
        <v>1.0</v>
      </c>
    </row>
    <row r="178" ht="15.75" customHeight="1">
      <c r="A178" s="19">
        <v>40503.0</v>
      </c>
      <c r="B178" s="20" t="s">
        <v>249</v>
      </c>
      <c r="C178" s="21">
        <v>0.0</v>
      </c>
      <c r="D178" s="21"/>
    </row>
    <row r="179" ht="15.75" customHeight="1">
      <c r="A179" s="19">
        <v>40504.0</v>
      </c>
      <c r="B179" s="20" t="s">
        <v>250</v>
      </c>
      <c r="C179" s="21">
        <v>1.0</v>
      </c>
      <c r="D179" s="21"/>
    </row>
    <row r="180" ht="15.75" customHeight="1">
      <c r="A180" s="19">
        <v>40505.0</v>
      </c>
      <c r="B180" s="20" t="s">
        <v>251</v>
      </c>
      <c r="C180" s="21">
        <v>0.0</v>
      </c>
      <c r="D180" s="21"/>
    </row>
    <row r="181" ht="15.75" customHeight="1">
      <c r="A181" s="19">
        <v>40601.0</v>
      </c>
      <c r="B181" s="20" t="s">
        <v>252</v>
      </c>
      <c r="C181" s="21">
        <v>1.4345238095238095</v>
      </c>
      <c r="D181" s="21">
        <v>1.5925925925925926</v>
      </c>
    </row>
    <row r="182" ht="15.75" customHeight="1">
      <c r="A182" s="19">
        <v>40602.0</v>
      </c>
      <c r="B182" s="20" t="s">
        <v>253</v>
      </c>
      <c r="C182" s="21">
        <v>1.132936507936508</v>
      </c>
      <c r="D182" s="21">
        <v>2.308333333333333</v>
      </c>
    </row>
    <row r="183" ht="15.75" customHeight="1">
      <c r="A183" s="19">
        <v>40603.0</v>
      </c>
      <c r="B183" s="20" t="s">
        <v>254</v>
      </c>
      <c r="C183" s="21">
        <v>0.8476190476190476</v>
      </c>
      <c r="D183" s="21">
        <v>0.0</v>
      </c>
    </row>
    <row r="184" ht="15.75" customHeight="1">
      <c r="A184" s="19">
        <v>40701.0</v>
      </c>
      <c r="B184" s="20" t="s">
        <v>256</v>
      </c>
      <c r="C184" s="21">
        <v>1.6371598884931309</v>
      </c>
      <c r="D184" s="21">
        <v>1.4218500797448168</v>
      </c>
    </row>
    <row r="185" ht="15.75" customHeight="1">
      <c r="A185" s="19">
        <v>40702.0</v>
      </c>
      <c r="B185" s="20" t="s">
        <v>257</v>
      </c>
      <c r="C185" s="21">
        <v>1.6458333333333333</v>
      </c>
      <c r="D185" s="21">
        <v>1.0550925925925927</v>
      </c>
    </row>
    <row r="186" ht="15.75" customHeight="1">
      <c r="A186" s="19">
        <v>40801.0</v>
      </c>
      <c r="B186" s="20" t="s">
        <v>259</v>
      </c>
      <c r="C186" s="21">
        <v>1.292684325192065</v>
      </c>
      <c r="D186" s="21">
        <v>1.2238095238095237</v>
      </c>
    </row>
    <row r="187" ht="15.75" customHeight="1">
      <c r="A187" s="19">
        <v>40802.0</v>
      </c>
      <c r="B187" s="20" t="s">
        <v>260</v>
      </c>
      <c r="C187" s="21">
        <v>0.7555555555555555</v>
      </c>
      <c r="D187" s="21">
        <v>0.8333333333333334</v>
      </c>
    </row>
    <row r="188" ht="15.75" customHeight="1">
      <c r="A188" s="19">
        <v>40901.0</v>
      </c>
      <c r="B188" s="20" t="s">
        <v>261</v>
      </c>
      <c r="C188" s="21">
        <v>0.6571428571428571</v>
      </c>
      <c r="D188" s="21">
        <v>1.5666666666666667</v>
      </c>
    </row>
    <row r="189" ht="15.75" customHeight="1">
      <c r="A189" s="19">
        <v>40902.0</v>
      </c>
      <c r="B189" s="20" t="s">
        <v>262</v>
      </c>
      <c r="C189" s="21">
        <v>1.0</v>
      </c>
      <c r="D189" s="21">
        <v>0.0</v>
      </c>
    </row>
    <row r="190" ht="15.75" customHeight="1">
      <c r="A190" s="19">
        <v>40903.0</v>
      </c>
      <c r="B190" s="20" t="s">
        <v>263</v>
      </c>
      <c r="C190" s="21">
        <v>0.7525252525252526</v>
      </c>
      <c r="D190" s="21">
        <v>1.3666666666666665</v>
      </c>
    </row>
    <row r="191" ht="15.75" customHeight="1">
      <c r="A191" s="19">
        <v>41001.0</v>
      </c>
      <c r="B191" s="20" t="s">
        <v>265</v>
      </c>
      <c r="C191" s="21">
        <v>0.8224177256435321</v>
      </c>
      <c r="D191" s="21">
        <v>2.466666666666667</v>
      </c>
    </row>
    <row r="192" ht="15.75" customHeight="1">
      <c r="A192" s="19">
        <v>41101.0</v>
      </c>
      <c r="B192" s="20" t="s">
        <v>267</v>
      </c>
      <c r="C192" s="21">
        <v>1.5714285714285714</v>
      </c>
      <c r="D192" s="21">
        <v>0.7272727272727272</v>
      </c>
    </row>
    <row r="193" ht="15.75" customHeight="1">
      <c r="A193" s="19">
        <v>41201.0</v>
      </c>
      <c r="B193" s="20" t="s">
        <v>269</v>
      </c>
      <c r="C193" s="21">
        <v>1.5252525252525253</v>
      </c>
      <c r="D193" s="21">
        <v>3.1666666666666665</v>
      </c>
    </row>
    <row r="194" ht="15.75" customHeight="1">
      <c r="A194" s="19">
        <v>41202.0</v>
      </c>
      <c r="B194" s="20" t="s">
        <v>270</v>
      </c>
      <c r="C194" s="21">
        <v>2.5</v>
      </c>
      <c r="D194" s="21">
        <v>0.8666666666666667</v>
      </c>
    </row>
    <row r="195" ht="15.75" customHeight="1">
      <c r="A195" s="19">
        <v>41301.0</v>
      </c>
      <c r="B195" s="20" t="s">
        <v>271</v>
      </c>
      <c r="C195" s="21">
        <v>1.1906432748538012</v>
      </c>
      <c r="D195" s="21">
        <v>0.7598290598290598</v>
      </c>
    </row>
    <row r="196" ht="15.75" customHeight="1">
      <c r="A196" s="19">
        <v>41401.0</v>
      </c>
      <c r="B196" s="20" t="s">
        <v>273</v>
      </c>
      <c r="C196" s="21">
        <v>1.176476136578004</v>
      </c>
      <c r="D196" s="21">
        <v>2.6333333333333333</v>
      </c>
    </row>
    <row r="197" ht="15.75" customHeight="1">
      <c r="A197" s="19">
        <v>41501.0</v>
      </c>
      <c r="B197" s="20" t="s">
        <v>275</v>
      </c>
      <c r="C197" s="21">
        <v>1.0</v>
      </c>
      <c r="D197" s="21">
        <v>0.25</v>
      </c>
    </row>
    <row r="198" ht="15.75" customHeight="1">
      <c r="A198" s="19">
        <v>41502.0</v>
      </c>
      <c r="B198" s="20" t="s">
        <v>276</v>
      </c>
      <c r="C198" s="21">
        <v>3.0</v>
      </c>
      <c r="D198" s="21">
        <v>0.0</v>
      </c>
    </row>
    <row r="199" ht="15.75" customHeight="1">
      <c r="A199" s="19">
        <v>41503.0</v>
      </c>
      <c r="B199" s="20" t="s">
        <v>240</v>
      </c>
      <c r="C199" s="21">
        <v>0.0</v>
      </c>
      <c r="D199" s="21"/>
    </row>
    <row r="200" ht="15.75" customHeight="1">
      <c r="A200" s="19">
        <v>41601.0</v>
      </c>
      <c r="B200" s="20" t="s">
        <v>278</v>
      </c>
      <c r="C200" s="21">
        <v>1.5102564102564102</v>
      </c>
      <c r="D200" s="21">
        <v>1.8333333333333333</v>
      </c>
    </row>
    <row r="201" ht="15.75" customHeight="1">
      <c r="A201" s="19">
        <v>50101.0</v>
      </c>
      <c r="B201" s="20" t="s">
        <v>279</v>
      </c>
      <c r="C201" s="21">
        <v>1.7724703748812576</v>
      </c>
      <c r="D201" s="21">
        <v>1.422310783441219</v>
      </c>
    </row>
    <row r="202" ht="15.75" customHeight="1">
      <c r="A202" s="19">
        <v>50102.0</v>
      </c>
      <c r="B202" s="20" t="s">
        <v>281</v>
      </c>
      <c r="C202" s="21">
        <v>0.9934620288135121</v>
      </c>
      <c r="D202" s="21">
        <v>1.368487394957983</v>
      </c>
    </row>
    <row r="203" ht="15.75" customHeight="1">
      <c r="A203" s="19">
        <v>50103.0</v>
      </c>
      <c r="B203" s="20" t="s">
        <v>282</v>
      </c>
      <c r="C203" s="21">
        <v>2.037055281882868</v>
      </c>
      <c r="D203" s="21">
        <v>2.4126984126984126</v>
      </c>
    </row>
    <row r="204" ht="15.75" customHeight="1">
      <c r="A204" s="19">
        <v>50104.0</v>
      </c>
      <c r="B204" s="20" t="s">
        <v>283</v>
      </c>
      <c r="C204" s="21">
        <v>1.611111111111111</v>
      </c>
      <c r="D204" s="21"/>
    </row>
    <row r="205" ht="15.75" customHeight="1">
      <c r="A205" s="19">
        <v>50201.0</v>
      </c>
      <c r="B205" s="20" t="s">
        <v>285</v>
      </c>
      <c r="C205" s="21">
        <v>1.3860075026063363</v>
      </c>
      <c r="D205" s="21">
        <v>1.2213994385295832</v>
      </c>
    </row>
    <row r="206" ht="15.75" customHeight="1">
      <c r="A206" s="19">
        <v>50202.0</v>
      </c>
      <c r="B206" s="20" t="s">
        <v>286</v>
      </c>
      <c r="C206" s="21">
        <v>1.0557343057343056</v>
      </c>
      <c r="D206" s="21">
        <v>0.9808123249299721</v>
      </c>
    </row>
    <row r="207" ht="15.75" customHeight="1">
      <c r="A207" s="19">
        <v>50203.0</v>
      </c>
      <c r="B207" s="20" t="s">
        <v>287</v>
      </c>
      <c r="C207" s="21">
        <v>1.5957697273486746</v>
      </c>
      <c r="D207" s="21">
        <v>1.3123342175066313</v>
      </c>
    </row>
    <row r="208" ht="15.75" customHeight="1">
      <c r="A208" s="19">
        <v>50204.0</v>
      </c>
      <c r="B208" s="20" t="s">
        <v>288</v>
      </c>
      <c r="C208" s="21">
        <v>0.9428571428571428</v>
      </c>
      <c r="D208" s="21">
        <v>2.6488095238095237</v>
      </c>
    </row>
    <row r="209" ht="15.75" customHeight="1">
      <c r="A209" s="19">
        <v>50301.0</v>
      </c>
      <c r="B209" s="20" t="s">
        <v>290</v>
      </c>
      <c r="C209" s="21">
        <v>1.1531493155114543</v>
      </c>
      <c r="D209" s="21">
        <v>1.6554972804972807</v>
      </c>
    </row>
    <row r="210" ht="15.75" customHeight="1">
      <c r="A210" s="19">
        <v>50302.0</v>
      </c>
      <c r="B210" s="20" t="s">
        <v>291</v>
      </c>
      <c r="C210" s="21">
        <v>1.6404269293924465</v>
      </c>
      <c r="D210" s="21">
        <v>1.6333333333333335</v>
      </c>
    </row>
    <row r="211" ht="15.75" customHeight="1">
      <c r="A211" s="19">
        <v>50303.0</v>
      </c>
      <c r="B211" s="20" t="s">
        <v>292</v>
      </c>
      <c r="C211" s="21">
        <v>1.0299948273632484</v>
      </c>
      <c r="D211" s="21">
        <v>1.2797619047619049</v>
      </c>
    </row>
    <row r="212" ht="15.75" customHeight="1">
      <c r="A212" s="19">
        <v>50401.0</v>
      </c>
      <c r="B212" s="20" t="s">
        <v>293</v>
      </c>
      <c r="C212" s="21">
        <v>1.1513749822766073</v>
      </c>
      <c r="D212" s="21">
        <v>1.3189429198095544</v>
      </c>
    </row>
    <row r="213" ht="15.75" customHeight="1">
      <c r="A213" s="19">
        <v>50402.0</v>
      </c>
      <c r="B213" s="20" t="s">
        <v>294</v>
      </c>
      <c r="C213" s="21">
        <v>1.1360846097688204</v>
      </c>
      <c r="D213" s="21">
        <v>1.8276014109347443</v>
      </c>
    </row>
    <row r="214" ht="15.75" customHeight="1">
      <c r="A214" s="19">
        <v>50403.0</v>
      </c>
      <c r="B214" s="20" t="s">
        <v>295</v>
      </c>
      <c r="C214" s="21">
        <v>1.0797610109654079</v>
      </c>
      <c r="D214" s="21">
        <v>0.9442409166289764</v>
      </c>
    </row>
    <row r="215" ht="15.75" customHeight="1">
      <c r="A215" s="19">
        <v>50404.0</v>
      </c>
      <c r="B215" s="20" t="s">
        <v>296</v>
      </c>
      <c r="C215" s="21">
        <v>1.2171557349372992</v>
      </c>
      <c r="D215" s="21">
        <v>1.9891443167305234</v>
      </c>
    </row>
    <row r="216" ht="15.75" customHeight="1">
      <c r="A216" s="19">
        <v>50405.0</v>
      </c>
      <c r="B216" s="20" t="s">
        <v>297</v>
      </c>
      <c r="C216" s="21">
        <v>1.1513749822766073</v>
      </c>
      <c r="D216" s="21">
        <v>1.3440860215053763</v>
      </c>
    </row>
    <row r="217" ht="15.75" customHeight="1">
      <c r="A217" s="19">
        <v>50501.0</v>
      </c>
      <c r="B217" s="20" t="s">
        <v>299</v>
      </c>
      <c r="C217" s="21">
        <v>1.0234556213166839</v>
      </c>
      <c r="D217" s="21">
        <v>1.099913518380306</v>
      </c>
    </row>
    <row r="218" ht="15.75" customHeight="1">
      <c r="A218" s="19">
        <v>50502.0</v>
      </c>
      <c r="B218" s="20" t="s">
        <v>300</v>
      </c>
      <c r="C218" s="21">
        <v>1.0724053724053724</v>
      </c>
      <c r="D218" s="21">
        <v>1.0819645732689211</v>
      </c>
    </row>
    <row r="219" ht="15.75" customHeight="1">
      <c r="A219" s="19">
        <v>50601.0</v>
      </c>
      <c r="B219" s="20" t="s">
        <v>302</v>
      </c>
      <c r="C219" s="21">
        <v>1.1860981550877379</v>
      </c>
      <c r="D219" s="21">
        <v>1.1285619023803568</v>
      </c>
    </row>
    <row r="220" ht="15.75" customHeight="1">
      <c r="A220" s="19">
        <v>50602.0</v>
      </c>
      <c r="B220" s="20" t="s">
        <v>303</v>
      </c>
      <c r="C220" s="21">
        <v>1.4170376685295694</v>
      </c>
      <c r="D220" s="21">
        <v>2.055555555555556</v>
      </c>
    </row>
    <row r="221" ht="15.75" customHeight="1">
      <c r="A221" s="19">
        <v>50701.0</v>
      </c>
      <c r="B221" s="20" t="s">
        <v>305</v>
      </c>
      <c r="C221" s="21">
        <v>0.8474173822534478</v>
      </c>
      <c r="D221" s="21">
        <v>1.6150183150183153</v>
      </c>
    </row>
    <row r="222" ht="15.75" customHeight="1">
      <c r="A222" s="19">
        <v>50702.0</v>
      </c>
      <c r="B222" s="20" t="s">
        <v>306</v>
      </c>
      <c r="C222" s="21">
        <v>0.97579202767882</v>
      </c>
      <c r="D222" s="21">
        <v>1.1556618819776714</v>
      </c>
    </row>
    <row r="223" ht="15.75" customHeight="1">
      <c r="A223" s="19">
        <v>50801.0</v>
      </c>
      <c r="B223" s="20" t="s">
        <v>308</v>
      </c>
      <c r="C223" s="21">
        <v>1.3997416020671833</v>
      </c>
      <c r="D223" s="21">
        <v>1.5264423076923077</v>
      </c>
    </row>
    <row r="224" ht="15.75" customHeight="1">
      <c r="A224" s="19">
        <v>50802.0</v>
      </c>
      <c r="B224" s="20" t="s">
        <v>309</v>
      </c>
      <c r="C224" s="21">
        <v>1.0767356425251162</v>
      </c>
      <c r="D224" s="21">
        <v>1.3462962962962963</v>
      </c>
    </row>
    <row r="225" ht="15.75" customHeight="1">
      <c r="A225" s="19">
        <v>50901.0</v>
      </c>
      <c r="B225" s="20" t="s">
        <v>311</v>
      </c>
      <c r="C225" s="21">
        <v>1.111858076563959</v>
      </c>
      <c r="D225" s="21">
        <v>1.0692307692307692</v>
      </c>
    </row>
    <row r="226" ht="15.75" customHeight="1">
      <c r="A226" s="19">
        <v>50902.0</v>
      </c>
      <c r="B226" s="20" t="s">
        <v>312</v>
      </c>
      <c r="C226" s="21">
        <v>8.0</v>
      </c>
      <c r="D226" s="21">
        <v>1.0</v>
      </c>
    </row>
    <row r="227" ht="15.75" customHeight="1">
      <c r="A227" s="19">
        <v>51001.0</v>
      </c>
      <c r="B227" s="20" t="s">
        <v>314</v>
      </c>
      <c r="C227" s="21">
        <v>0.9090909090909092</v>
      </c>
      <c r="D227" s="21">
        <v>1.75</v>
      </c>
    </row>
    <row r="228" ht="15.75" customHeight="1">
      <c r="A228" s="19">
        <v>51002.0</v>
      </c>
      <c r="B228" s="20" t="s">
        <v>315</v>
      </c>
      <c r="C228" s="21">
        <v>0.3333333333333333</v>
      </c>
      <c r="D228" s="21"/>
    </row>
    <row r="229" ht="15.75" customHeight="1">
      <c r="A229" s="19">
        <v>51003.0</v>
      </c>
      <c r="B229" s="20" t="s">
        <v>316</v>
      </c>
      <c r="C229" s="21">
        <v>2.555555555555556</v>
      </c>
      <c r="D229" s="21">
        <v>0.5</v>
      </c>
    </row>
    <row r="230" ht="15.75" customHeight="1">
      <c r="A230" s="19">
        <v>51101.0</v>
      </c>
      <c r="B230" s="20" t="s">
        <v>318</v>
      </c>
      <c r="C230" s="21">
        <v>1.1362225683059464</v>
      </c>
      <c r="D230" s="21">
        <v>0.929028749028749</v>
      </c>
    </row>
    <row r="231" ht="15.75" customHeight="1">
      <c r="A231" s="19">
        <v>51102.0</v>
      </c>
      <c r="B231" s="20" t="s">
        <v>319</v>
      </c>
      <c r="C231" s="21">
        <v>1.4661654135338347</v>
      </c>
      <c r="D231" s="21">
        <v>1.1462450592885374</v>
      </c>
    </row>
    <row r="232" ht="15.75" customHeight="1">
      <c r="A232" s="19">
        <v>51103.0</v>
      </c>
      <c r="B232" s="20" t="s">
        <v>320</v>
      </c>
      <c r="C232" s="21">
        <v>1.0113636363636365</v>
      </c>
      <c r="D232" s="21">
        <v>2.1235431235431235</v>
      </c>
    </row>
    <row r="233" ht="15.75" customHeight="1">
      <c r="A233" s="19">
        <v>51201.0</v>
      </c>
      <c r="B233" s="20" t="s">
        <v>322</v>
      </c>
      <c r="C233" s="21">
        <v>1.5139400022304006</v>
      </c>
      <c r="D233" s="21">
        <v>1.444734804490902</v>
      </c>
    </row>
    <row r="234" ht="15.75" customHeight="1">
      <c r="A234" s="19">
        <v>51202.0</v>
      </c>
      <c r="B234" s="20" t="s">
        <v>323</v>
      </c>
      <c r="C234" s="21">
        <v>1.4710640236956027</v>
      </c>
      <c r="D234" s="21">
        <v>1.542328042328042</v>
      </c>
    </row>
    <row r="235" ht="15.75" customHeight="1">
      <c r="A235" s="19">
        <v>51203.0</v>
      </c>
      <c r="B235" s="20" t="s">
        <v>324</v>
      </c>
      <c r="C235" s="21">
        <v>0.9830199430199431</v>
      </c>
      <c r="D235" s="21">
        <v>1.6082251082251082</v>
      </c>
    </row>
    <row r="236" ht="15.75" customHeight="1">
      <c r="A236" s="19">
        <v>51204.0</v>
      </c>
      <c r="B236" s="20" t="s">
        <v>325</v>
      </c>
      <c r="C236" s="21">
        <v>1.4710640236956027</v>
      </c>
      <c r="D236" s="21">
        <v>1.3968253968253967</v>
      </c>
    </row>
    <row r="237" ht="15.75" customHeight="1">
      <c r="A237" s="19">
        <v>51301.0</v>
      </c>
      <c r="B237" s="20" t="s">
        <v>327</v>
      </c>
      <c r="C237" s="21">
        <v>1.04206510190283</v>
      </c>
      <c r="D237" s="21">
        <v>1.248397435897436</v>
      </c>
    </row>
    <row r="238" ht="15.75" customHeight="1">
      <c r="A238" s="19">
        <v>51302.0</v>
      </c>
      <c r="B238" s="20" t="s">
        <v>328</v>
      </c>
      <c r="C238" s="21">
        <v>2.207070707070707</v>
      </c>
      <c r="D238" s="21">
        <v>1.0029411764705882</v>
      </c>
    </row>
    <row r="239" ht="15.75" customHeight="1">
      <c r="A239" s="19">
        <v>51401.0</v>
      </c>
      <c r="B239" s="20" t="s">
        <v>330</v>
      </c>
      <c r="C239" s="21">
        <v>1.6346153846153844</v>
      </c>
      <c r="D239" s="21">
        <v>0.6594516594516594</v>
      </c>
    </row>
    <row r="240" ht="15.75" customHeight="1">
      <c r="A240" s="19">
        <v>51402.0</v>
      </c>
      <c r="B240" s="20" t="s">
        <v>331</v>
      </c>
      <c r="C240" s="21">
        <v>0.9888888888888889</v>
      </c>
      <c r="D240" s="21">
        <v>1.0</v>
      </c>
    </row>
    <row r="241" ht="15.75" customHeight="1">
      <c r="A241" s="19">
        <v>51501.0</v>
      </c>
      <c r="B241" s="20" t="s">
        <v>333</v>
      </c>
      <c r="C241" s="21">
        <v>1.3789112283014724</v>
      </c>
      <c r="D241" s="21">
        <v>1.5906851768920733</v>
      </c>
    </row>
    <row r="242" ht="15.75" customHeight="1">
      <c r="A242" s="19">
        <v>51601.0</v>
      </c>
      <c r="B242" s="20" t="s">
        <v>335</v>
      </c>
      <c r="C242" s="21">
        <v>1.4880952380952381</v>
      </c>
      <c r="D242" s="21">
        <v>0.5</v>
      </c>
    </row>
    <row r="243" ht="15.75" customHeight="1">
      <c r="A243" s="19">
        <v>60101.0</v>
      </c>
      <c r="B243" s="20" t="s">
        <v>40</v>
      </c>
      <c r="C243" s="21">
        <v>1.6520495611254582</v>
      </c>
      <c r="D243" s="21">
        <v>1.350486048903487</v>
      </c>
    </row>
    <row r="244" ht="15.75" customHeight="1">
      <c r="A244" s="19">
        <v>60201.0</v>
      </c>
      <c r="B244" s="20" t="s">
        <v>337</v>
      </c>
      <c r="C244" s="21">
        <v>1.5371598663871897</v>
      </c>
      <c r="D244" s="21">
        <v>2.412121212121212</v>
      </c>
    </row>
    <row r="245" ht="15.75" customHeight="1">
      <c r="A245" s="19">
        <v>60202.0</v>
      </c>
      <c r="B245" s="20" t="s">
        <v>338</v>
      </c>
      <c r="C245" s="21">
        <v>1.6023090676883782</v>
      </c>
      <c r="D245" s="21">
        <v>1.8138888888888889</v>
      </c>
    </row>
    <row r="246" ht="15.75" customHeight="1">
      <c r="A246" s="19">
        <v>60301.0</v>
      </c>
      <c r="B246" s="20" t="s">
        <v>340</v>
      </c>
      <c r="C246" s="21">
        <v>1.5057474053746607</v>
      </c>
      <c r="D246" s="21">
        <v>1.6222649319929037</v>
      </c>
    </row>
    <row r="247" ht="15.75" customHeight="1">
      <c r="A247" s="19">
        <v>60302.0</v>
      </c>
      <c r="B247" s="20" t="s">
        <v>341</v>
      </c>
      <c r="C247" s="21">
        <v>1.3468713583624663</v>
      </c>
      <c r="D247" s="21">
        <v>1.7916666666666667</v>
      </c>
    </row>
    <row r="248" ht="15.75" customHeight="1">
      <c r="A248" s="19">
        <v>60303.0</v>
      </c>
      <c r="B248" s="20" t="s">
        <v>342</v>
      </c>
      <c r="C248" s="21">
        <v>1.5723041754752742</v>
      </c>
      <c r="D248" s="21">
        <v>1.6619774419873383</v>
      </c>
    </row>
    <row r="249" ht="15.75" customHeight="1">
      <c r="A249" s="19">
        <v>60401.0</v>
      </c>
      <c r="B249" s="20" t="s">
        <v>344</v>
      </c>
      <c r="C249" s="21">
        <v>0.9479631281593814</v>
      </c>
      <c r="D249" s="21">
        <v>1.8353174603174602</v>
      </c>
    </row>
    <row r="250" ht="15.75" customHeight="1">
      <c r="A250" s="19">
        <v>60402.0</v>
      </c>
      <c r="B250" s="20" t="s">
        <v>345</v>
      </c>
      <c r="C250" s="21">
        <v>1.8813131313131315</v>
      </c>
      <c r="D250" s="21">
        <v>1.3841269841269843</v>
      </c>
    </row>
    <row r="251" ht="15.75" customHeight="1">
      <c r="A251" s="19">
        <v>60501.0</v>
      </c>
      <c r="B251" s="20" t="s">
        <v>347</v>
      </c>
      <c r="C251" s="21">
        <v>1.5269859742761402</v>
      </c>
      <c r="D251" s="21">
        <v>1.7043478260869567</v>
      </c>
    </row>
    <row r="252" ht="15.75" customHeight="1">
      <c r="A252" s="19">
        <v>60502.0</v>
      </c>
      <c r="B252" s="20" t="s">
        <v>348</v>
      </c>
      <c r="C252" s="21">
        <v>1.4181759042414779</v>
      </c>
      <c r="D252" s="21">
        <v>1.6793650793650794</v>
      </c>
    </row>
    <row r="253" ht="15.75" customHeight="1">
      <c r="A253" s="19">
        <v>60601.0</v>
      </c>
      <c r="B253" s="20" t="s">
        <v>221</v>
      </c>
      <c r="C253" s="21">
        <v>1.2920243262135667</v>
      </c>
      <c r="D253" s="21">
        <v>1.4097371565113501</v>
      </c>
    </row>
    <row r="254" ht="15.75" customHeight="1">
      <c r="A254" s="19">
        <v>70101.0</v>
      </c>
      <c r="B254" s="20" t="s">
        <v>351</v>
      </c>
      <c r="C254" s="21">
        <v>1.4250270005950822</v>
      </c>
      <c r="D254" s="21">
        <v>1.404784701022732</v>
      </c>
    </row>
    <row r="255" ht="15.75" customHeight="1">
      <c r="A255" s="19">
        <v>70102.0</v>
      </c>
      <c r="B255" s="20" t="s">
        <v>352</v>
      </c>
      <c r="C255" s="21">
        <v>1.588725326070544</v>
      </c>
      <c r="D255" s="21">
        <v>1.5185901479494344</v>
      </c>
    </row>
    <row r="256" ht="15.75" customHeight="1">
      <c r="A256" s="19">
        <v>70103.0</v>
      </c>
      <c r="B256" s="20" t="s">
        <v>353</v>
      </c>
      <c r="C256" s="21">
        <v>1.4429204270305966</v>
      </c>
      <c r="D256" s="21">
        <v>1.590909090909091</v>
      </c>
    </row>
    <row r="257" ht="15.75" customHeight="1">
      <c r="A257" s="19">
        <v>70104.0</v>
      </c>
      <c r="B257" s="20" t="s">
        <v>354</v>
      </c>
      <c r="C257" s="21">
        <v>1.425126055826693</v>
      </c>
      <c r="D257" s="21">
        <v>1.5157114127702362</v>
      </c>
    </row>
    <row r="258" ht="15.75" customHeight="1">
      <c r="A258" s="19">
        <v>70105.0</v>
      </c>
      <c r="B258" s="20" t="s">
        <v>355</v>
      </c>
      <c r="C258" s="21">
        <v>1.7264123682599124</v>
      </c>
      <c r="D258" s="21">
        <v>1.8510101010101012</v>
      </c>
    </row>
    <row r="259" ht="15.75" customHeight="1">
      <c r="A259" s="19">
        <v>70201.0</v>
      </c>
      <c r="B259" s="20" t="s">
        <v>356</v>
      </c>
      <c r="C259" s="21">
        <v>1.5557470721486135</v>
      </c>
      <c r="D259" s="21">
        <v>1.3925612942955155</v>
      </c>
    </row>
    <row r="260" ht="15.75" customHeight="1">
      <c r="A260" s="19">
        <v>70202.0</v>
      </c>
      <c r="B260" s="20" t="s">
        <v>357</v>
      </c>
      <c r="C260" s="21">
        <v>1.526143790849673</v>
      </c>
      <c r="D260" s="21">
        <v>1.2962962962962965</v>
      </c>
    </row>
    <row r="261" ht="15.75" customHeight="1">
      <c r="A261" s="19">
        <v>70301.0</v>
      </c>
      <c r="B261" s="20" t="s">
        <v>359</v>
      </c>
      <c r="C261" s="21">
        <v>1.293885087143644</v>
      </c>
      <c r="D261" s="21">
        <v>1.504036704036704</v>
      </c>
    </row>
    <row r="262" ht="15.75" customHeight="1">
      <c r="A262" s="19">
        <v>70302.0</v>
      </c>
      <c r="B262" s="20" t="s">
        <v>360</v>
      </c>
      <c r="C262" s="21">
        <v>1.619191919191919</v>
      </c>
      <c r="D262" s="21">
        <v>1.9621031746031745</v>
      </c>
    </row>
    <row r="263" ht="15.75" customHeight="1">
      <c r="A263" s="19">
        <v>70303.0</v>
      </c>
      <c r="B263" s="20" t="s">
        <v>361</v>
      </c>
      <c r="C263" s="21">
        <v>1.6293266951161687</v>
      </c>
      <c r="D263" s="21">
        <v>1.5185185185185184</v>
      </c>
    </row>
    <row r="264" ht="15.75" customHeight="1">
      <c r="A264" s="19">
        <v>70401.0</v>
      </c>
      <c r="B264" s="20" t="s">
        <v>363</v>
      </c>
      <c r="C264" s="21">
        <v>1.470619864928808</v>
      </c>
      <c r="D264" s="21">
        <v>1.4553429027113236</v>
      </c>
    </row>
    <row r="265" ht="15.75" customHeight="1">
      <c r="A265" s="19">
        <v>70402.0</v>
      </c>
      <c r="B265" s="20" t="s">
        <v>364</v>
      </c>
      <c r="C265" s="21">
        <v>1.6825692825692826</v>
      </c>
      <c r="D265" s="21">
        <v>1.4405598126862496</v>
      </c>
    </row>
    <row r="266" ht="15.75" customHeight="1">
      <c r="A266" s="19">
        <v>70403.0</v>
      </c>
      <c r="B266" s="20" t="s">
        <v>365</v>
      </c>
      <c r="C266" s="21">
        <v>1.8537839370376397</v>
      </c>
      <c r="D266" s="21">
        <v>1.3355173054029554</v>
      </c>
    </row>
    <row r="267" ht="15.75" customHeight="1">
      <c r="A267" s="19">
        <v>70404.0</v>
      </c>
      <c r="B267" s="20" t="s">
        <v>366</v>
      </c>
      <c r="C267" s="21">
        <v>1.3341614906832298</v>
      </c>
      <c r="D267" s="21">
        <v>1.7019230769230769</v>
      </c>
    </row>
    <row r="268" ht="15.75" customHeight="1">
      <c r="A268" s="19">
        <v>70501.0</v>
      </c>
      <c r="B268" s="20" t="s">
        <v>368</v>
      </c>
      <c r="C268" s="21">
        <v>1.528343177509899</v>
      </c>
      <c r="D268" s="21">
        <v>1.2770704391394048</v>
      </c>
    </row>
    <row r="269" ht="15.75" customHeight="1">
      <c r="A269" s="19">
        <v>70502.0</v>
      </c>
      <c r="B269" s="20" t="s">
        <v>369</v>
      </c>
      <c r="C269" s="21">
        <v>1.2648005698005698</v>
      </c>
      <c r="D269" s="21">
        <v>1.4401455026455026</v>
      </c>
    </row>
    <row r="270" ht="15.75" customHeight="1">
      <c r="A270" s="19">
        <v>70503.0</v>
      </c>
      <c r="B270" s="20" t="s">
        <v>370</v>
      </c>
      <c r="C270" s="21">
        <v>1.5766723356009067</v>
      </c>
      <c r="D270" s="21">
        <v>1.1608695652173913</v>
      </c>
    </row>
    <row r="271" ht="15.75" customHeight="1">
      <c r="A271" s="19">
        <v>70601.0</v>
      </c>
      <c r="B271" s="20" t="s">
        <v>372</v>
      </c>
      <c r="C271" s="21">
        <v>1.656825396825397</v>
      </c>
      <c r="D271" s="21">
        <v>1.6176046176046175</v>
      </c>
    </row>
    <row r="272" ht="15.75" customHeight="1">
      <c r="A272" s="19">
        <v>70602.0</v>
      </c>
      <c r="B272" s="20" t="s">
        <v>373</v>
      </c>
      <c r="C272" s="21">
        <v>1.4930720730924605</v>
      </c>
      <c r="D272" s="21">
        <v>1.6916818779563878</v>
      </c>
    </row>
    <row r="273" ht="15.75" customHeight="1">
      <c r="A273" s="19">
        <v>70603.0</v>
      </c>
      <c r="B273" s="20" t="s">
        <v>374</v>
      </c>
      <c r="C273" s="21">
        <v>1.4093093093093092</v>
      </c>
      <c r="D273" s="21">
        <v>1.6094276094276097</v>
      </c>
    </row>
    <row r="274" ht="15.75" customHeight="1">
      <c r="A274" s="19">
        <v>70701.0</v>
      </c>
      <c r="B274" s="20" t="s">
        <v>376</v>
      </c>
      <c r="C274" s="21">
        <v>1.8877024210357545</v>
      </c>
      <c r="D274" s="21">
        <v>2.79040404040404</v>
      </c>
    </row>
    <row r="275" ht="15.75" customHeight="1">
      <c r="A275" s="19">
        <v>70702.0</v>
      </c>
      <c r="B275" s="20" t="s">
        <v>377</v>
      </c>
      <c r="C275" s="21">
        <v>1.3883991876581039</v>
      </c>
      <c r="D275" s="21">
        <v>1.467251461988304</v>
      </c>
    </row>
    <row r="276" ht="15.75" customHeight="1">
      <c r="A276" s="19">
        <v>70703.0</v>
      </c>
      <c r="B276" s="20" t="s">
        <v>378</v>
      </c>
      <c r="C276" s="21">
        <v>1.8377360357304386</v>
      </c>
      <c r="D276" s="21">
        <v>1.6233569767404354</v>
      </c>
    </row>
    <row r="277" ht="15.75" customHeight="1">
      <c r="A277" s="19">
        <v>70704.0</v>
      </c>
      <c r="B277" s="20" t="s">
        <v>379</v>
      </c>
      <c r="C277" s="21">
        <v>2.7619047619047614</v>
      </c>
      <c r="D277" s="21">
        <v>3.283333333333333</v>
      </c>
    </row>
    <row r="278" ht="15.75" customHeight="1">
      <c r="A278" s="19">
        <v>70705.0</v>
      </c>
      <c r="B278" s="20" t="s">
        <v>380</v>
      </c>
      <c r="C278" s="21">
        <v>1.5718576792419097</v>
      </c>
      <c r="D278" s="21">
        <v>1.412974465148378</v>
      </c>
    </row>
    <row r="279" ht="15.75" customHeight="1">
      <c r="A279" s="19">
        <v>70706.0</v>
      </c>
      <c r="B279" s="20" t="s">
        <v>381</v>
      </c>
      <c r="C279" s="21">
        <v>1.361528950075387</v>
      </c>
      <c r="D279" s="21">
        <v>1.4702720003471885</v>
      </c>
    </row>
    <row r="280" ht="15.75" customHeight="1">
      <c r="A280" s="19">
        <v>70707.0</v>
      </c>
      <c r="B280" s="20" t="s">
        <v>382</v>
      </c>
      <c r="C280" s="21">
        <v>1.5560044893378224</v>
      </c>
      <c r="D280" s="21">
        <v>1.2857142857142858</v>
      </c>
    </row>
    <row r="281" ht="15.75" customHeight="1">
      <c r="A281" s="19">
        <v>70801.0</v>
      </c>
      <c r="B281" s="20" t="s">
        <v>383</v>
      </c>
      <c r="C281" s="21">
        <v>1.564850128541967</v>
      </c>
      <c r="D281" s="21">
        <v>3.078030303030303</v>
      </c>
    </row>
    <row r="282" ht="15.75" customHeight="1">
      <c r="A282" s="19">
        <v>70802.0</v>
      </c>
      <c r="B282" s="20" t="s">
        <v>384</v>
      </c>
      <c r="C282" s="21">
        <v>1.8444444444444443</v>
      </c>
      <c r="D282" s="21">
        <v>4.0</v>
      </c>
    </row>
    <row r="283" ht="15.75" customHeight="1">
      <c r="A283" s="19">
        <v>70803.0</v>
      </c>
      <c r="B283" s="20" t="s">
        <v>385</v>
      </c>
      <c r="C283" s="21">
        <v>1.6793650793650794</v>
      </c>
      <c r="D283" s="21">
        <v>2.4285714285714284</v>
      </c>
    </row>
    <row r="284" ht="15.75" customHeight="1">
      <c r="A284" s="19">
        <v>70804.0</v>
      </c>
      <c r="B284" s="20" t="s">
        <v>386</v>
      </c>
      <c r="C284" s="21">
        <v>2.1666666666666665</v>
      </c>
      <c r="D284" s="21">
        <v>1.5</v>
      </c>
    </row>
    <row r="285" ht="15.75" customHeight="1">
      <c r="A285" s="19">
        <v>70805.0</v>
      </c>
      <c r="B285" s="20" t="s">
        <v>387</v>
      </c>
      <c r="C285" s="21">
        <v>2.238095238095238</v>
      </c>
      <c r="D285" s="21"/>
    </row>
    <row r="286" ht="15.75" customHeight="1">
      <c r="A286" s="19">
        <v>70901.0</v>
      </c>
      <c r="B286" s="20" t="s">
        <v>389</v>
      </c>
      <c r="C286" s="21">
        <v>1.4437321937321936</v>
      </c>
      <c r="D286" s="21">
        <v>1.4365079365079367</v>
      </c>
    </row>
    <row r="287" ht="15.75" customHeight="1">
      <c r="A287" s="19">
        <v>70902.0</v>
      </c>
      <c r="B287" s="20" t="s">
        <v>390</v>
      </c>
      <c r="C287" s="21">
        <v>1.9000000000000001</v>
      </c>
      <c r="D287" s="21">
        <v>2.7994708994708994</v>
      </c>
    </row>
    <row r="288" ht="15.75" customHeight="1">
      <c r="A288" s="19">
        <v>70903.0</v>
      </c>
      <c r="B288" s="20" t="s">
        <v>391</v>
      </c>
      <c r="C288" s="21">
        <v>1.607094859819302</v>
      </c>
      <c r="D288" s="21">
        <v>2.1940273606940273</v>
      </c>
    </row>
    <row r="289" ht="15.75" customHeight="1">
      <c r="A289" s="19">
        <v>70904.0</v>
      </c>
      <c r="B289" s="20" t="s">
        <v>392</v>
      </c>
      <c r="C289" s="21">
        <v>1.7962962962962965</v>
      </c>
      <c r="D289" s="21">
        <v>0.5</v>
      </c>
    </row>
    <row r="290" ht="15.75" customHeight="1">
      <c r="A290" s="19">
        <v>71001.0</v>
      </c>
      <c r="B290" s="20" t="s">
        <v>394</v>
      </c>
      <c r="C290" s="21">
        <v>1.5199261015358012</v>
      </c>
      <c r="D290" s="21">
        <v>1.2568651032872158</v>
      </c>
    </row>
    <row r="291" ht="15.75" customHeight="1">
      <c r="A291" s="19">
        <v>71002.0</v>
      </c>
      <c r="B291" s="20" t="s">
        <v>395</v>
      </c>
      <c r="C291" s="21">
        <v>1.6164797008547007</v>
      </c>
      <c r="D291" s="21">
        <v>1.14464247026762</v>
      </c>
    </row>
    <row r="292" ht="15.75" customHeight="1">
      <c r="A292" s="19">
        <v>71003.0</v>
      </c>
      <c r="B292" s="20" t="s">
        <v>396</v>
      </c>
      <c r="C292" s="21">
        <v>1.4837495865816208</v>
      </c>
      <c r="D292" s="21">
        <v>1.3439321674615792</v>
      </c>
    </row>
    <row r="293" ht="15.75" customHeight="1">
      <c r="A293" s="19">
        <v>71004.0</v>
      </c>
      <c r="B293" s="20" t="s">
        <v>397</v>
      </c>
      <c r="C293" s="21">
        <v>1.3391077756931418</v>
      </c>
      <c r="D293" s="21">
        <v>2.3896825396825396</v>
      </c>
    </row>
    <row r="294" ht="15.75" customHeight="1">
      <c r="A294" s="19">
        <v>71005.0</v>
      </c>
      <c r="B294" s="20" t="s">
        <v>398</v>
      </c>
      <c r="C294" s="21">
        <v>1.8109790960688337</v>
      </c>
      <c r="D294" s="21">
        <v>1.5754292084726866</v>
      </c>
    </row>
    <row r="295" ht="15.75" customHeight="1">
      <c r="A295" s="19">
        <v>71101.0</v>
      </c>
      <c r="B295" s="20" t="s">
        <v>400</v>
      </c>
      <c r="C295" s="21">
        <v>1.5513796773929418</v>
      </c>
      <c r="D295" s="21">
        <v>1.054965986394558</v>
      </c>
    </row>
    <row r="296" ht="15.75" customHeight="1">
      <c r="A296" s="19">
        <v>71102.0</v>
      </c>
      <c r="B296" s="20" t="s">
        <v>401</v>
      </c>
      <c r="C296" s="21">
        <v>1.553329285569723</v>
      </c>
      <c r="D296" s="21">
        <v>1.572150072150072</v>
      </c>
    </row>
    <row r="297" ht="15.75" customHeight="1">
      <c r="A297" s="19">
        <v>71103.0</v>
      </c>
      <c r="B297" s="20" t="s">
        <v>402</v>
      </c>
      <c r="C297" s="21">
        <v>1.373525446579036</v>
      </c>
      <c r="D297" s="21">
        <v>1.3235903056874925</v>
      </c>
    </row>
    <row r="298" ht="15.75" customHeight="1">
      <c r="A298" s="19">
        <v>71104.0</v>
      </c>
      <c r="B298" s="20" t="s">
        <v>403</v>
      </c>
      <c r="C298" s="21">
        <v>1.4732823841750686</v>
      </c>
      <c r="D298" s="21">
        <v>1.8967538967538966</v>
      </c>
    </row>
    <row r="299" ht="15.75" customHeight="1">
      <c r="A299" s="19">
        <v>71105.0</v>
      </c>
      <c r="B299" s="20" t="s">
        <v>404</v>
      </c>
      <c r="C299" s="21">
        <v>2.044657097288676</v>
      </c>
      <c r="D299" s="21">
        <v>1.3386243386243386</v>
      </c>
    </row>
    <row r="300" ht="15.75" customHeight="1">
      <c r="A300" s="19">
        <v>71106.0</v>
      </c>
      <c r="B300" s="20" t="s">
        <v>405</v>
      </c>
      <c r="C300" s="21">
        <v>1.6749173765302796</v>
      </c>
      <c r="D300" s="21">
        <v>1.8143939393939394</v>
      </c>
    </row>
    <row r="301" ht="15.75" customHeight="1">
      <c r="A301" s="19">
        <v>71201.0</v>
      </c>
      <c r="B301" s="20" t="s">
        <v>407</v>
      </c>
      <c r="C301" s="21">
        <v>1.35742236344646</v>
      </c>
      <c r="D301" s="21">
        <v>1.51013431013431</v>
      </c>
    </row>
    <row r="302" ht="15.75" customHeight="1">
      <c r="A302" s="19">
        <v>71301.0</v>
      </c>
      <c r="B302" s="20" t="s">
        <v>409</v>
      </c>
      <c r="C302" s="21">
        <v>1.6968995510662177</v>
      </c>
      <c r="D302" s="21">
        <v>1.7210828606959812</v>
      </c>
    </row>
    <row r="303" ht="15.75" customHeight="1">
      <c r="A303" s="19">
        <v>71302.0</v>
      </c>
      <c r="B303" s="20" t="s">
        <v>410</v>
      </c>
      <c r="C303" s="21">
        <v>2.111111111111111</v>
      </c>
      <c r="D303" s="21">
        <v>1.767857142857143</v>
      </c>
    </row>
    <row r="304" ht="15.75" customHeight="1">
      <c r="A304" s="19">
        <v>71401.0</v>
      </c>
      <c r="B304" s="20" t="s">
        <v>412</v>
      </c>
      <c r="C304" s="21">
        <v>1.5618894687541818</v>
      </c>
      <c r="D304" s="21">
        <v>1.8324879227053141</v>
      </c>
    </row>
    <row r="305" ht="15.75" customHeight="1">
      <c r="A305" s="19">
        <v>71402.0</v>
      </c>
      <c r="B305" s="20" t="s">
        <v>413</v>
      </c>
      <c r="C305" s="21">
        <v>1.5119165839126119</v>
      </c>
      <c r="D305" s="21">
        <v>1.3942831215970963</v>
      </c>
    </row>
    <row r="306" ht="15.75" customHeight="1">
      <c r="A306" s="19">
        <v>71403.0</v>
      </c>
      <c r="B306" s="20" t="s">
        <v>414</v>
      </c>
      <c r="C306" s="21">
        <v>1.2735785953177259</v>
      </c>
      <c r="D306" s="21">
        <v>1.3521825396825395</v>
      </c>
    </row>
    <row r="307" ht="15.75" customHeight="1">
      <c r="A307" s="19">
        <v>71501.0</v>
      </c>
      <c r="B307" s="20" t="s">
        <v>416</v>
      </c>
      <c r="C307" s="21">
        <v>1.4718142050425513</v>
      </c>
      <c r="D307" s="21">
        <v>1.2880975744652785</v>
      </c>
    </row>
    <row r="308" ht="15.75" customHeight="1">
      <c r="A308" s="19">
        <v>71502.0</v>
      </c>
      <c r="B308" s="20" t="s">
        <v>417</v>
      </c>
      <c r="C308" s="21">
        <v>1.2075154730327144</v>
      </c>
      <c r="D308" s="21">
        <v>1.065686274509804</v>
      </c>
    </row>
    <row r="309" ht="15.75" customHeight="1">
      <c r="A309" s="19">
        <v>71503.0</v>
      </c>
      <c r="B309" s="20" t="s">
        <v>348</v>
      </c>
      <c r="C309" s="21">
        <v>2.2116687192118225</v>
      </c>
      <c r="D309" s="21">
        <v>1.6498972922502333</v>
      </c>
    </row>
    <row r="310" ht="15.75" customHeight="1">
      <c r="A310" s="19">
        <v>80101.0</v>
      </c>
      <c r="B310" s="20" t="s">
        <v>418</v>
      </c>
      <c r="C310" s="21">
        <v>1.3179620019571707</v>
      </c>
      <c r="D310" s="21">
        <v>1.2459670161534582</v>
      </c>
    </row>
    <row r="311" ht="15.75" customHeight="1">
      <c r="A311" s="19">
        <v>80102.0</v>
      </c>
      <c r="B311" s="20" t="s">
        <v>401</v>
      </c>
      <c r="C311" s="21">
        <v>0.9927170868347339</v>
      </c>
      <c r="D311" s="21">
        <v>1.284722222222222</v>
      </c>
    </row>
    <row r="312" ht="15.75" customHeight="1">
      <c r="A312" s="19">
        <v>80201.0</v>
      </c>
      <c r="B312" s="20" t="s">
        <v>420</v>
      </c>
      <c r="C312" s="21">
        <v>1.369982613689187</v>
      </c>
      <c r="D312" s="21">
        <v>1.3385009957802885</v>
      </c>
    </row>
    <row r="313" ht="15.75" customHeight="1">
      <c r="A313" s="19">
        <v>80202.0</v>
      </c>
      <c r="B313" s="20" t="s">
        <v>421</v>
      </c>
      <c r="C313" s="21">
        <v>1.4242448047595107</v>
      </c>
      <c r="D313" s="21">
        <v>1.3758180850355979</v>
      </c>
    </row>
    <row r="314" ht="15.75" customHeight="1">
      <c r="A314" s="19">
        <v>80301.0</v>
      </c>
      <c r="B314" s="20" t="s">
        <v>423</v>
      </c>
      <c r="C314" s="21">
        <v>1.3900938769791231</v>
      </c>
      <c r="D314" s="21">
        <v>1.6439237477052189</v>
      </c>
    </row>
    <row r="315" ht="15.75" customHeight="1">
      <c r="A315" s="19">
        <v>80302.0</v>
      </c>
      <c r="B315" s="20" t="s">
        <v>424</v>
      </c>
      <c r="C315" s="21">
        <v>1.3145296933488815</v>
      </c>
      <c r="D315" s="21">
        <v>1.3015380015007645</v>
      </c>
    </row>
    <row r="316" ht="15.75" customHeight="1">
      <c r="A316" s="19">
        <v>80303.0</v>
      </c>
      <c r="B316" s="20" t="s">
        <v>425</v>
      </c>
      <c r="C316" s="21">
        <v>1.3565409986036883</v>
      </c>
      <c r="D316" s="21">
        <v>1.4245014245014247</v>
      </c>
    </row>
    <row r="317" ht="15.75" customHeight="1">
      <c r="A317" s="19">
        <v>80304.0</v>
      </c>
      <c r="B317" s="20" t="s">
        <v>426</v>
      </c>
      <c r="C317" s="21">
        <v>1.1076767676767678</v>
      </c>
      <c r="D317" s="21">
        <v>1.2312849985263778</v>
      </c>
    </row>
    <row r="318" ht="15.75" customHeight="1">
      <c r="A318" s="19">
        <v>80401.0</v>
      </c>
      <c r="B318" s="20" t="s">
        <v>428</v>
      </c>
      <c r="C318" s="21">
        <v>1.2978717931098884</v>
      </c>
      <c r="D318" s="21">
        <v>1.3566117160717888</v>
      </c>
    </row>
    <row r="319" ht="15.75" customHeight="1">
      <c r="A319" s="19">
        <v>80402.0</v>
      </c>
      <c r="B319" s="20" t="s">
        <v>429</v>
      </c>
      <c r="C319" s="21">
        <v>1.3756944444444443</v>
      </c>
      <c r="D319" s="21">
        <v>1.826007326007326</v>
      </c>
    </row>
    <row r="320" ht="15.75" customHeight="1">
      <c r="A320" s="19">
        <v>80501.0</v>
      </c>
      <c r="B320" s="20" t="s">
        <v>431</v>
      </c>
      <c r="C320" s="21">
        <v>1.2785473061991672</v>
      </c>
      <c r="D320" s="21">
        <v>1.4764652014652013</v>
      </c>
    </row>
    <row r="321" ht="15.75" customHeight="1">
      <c r="A321" s="19">
        <v>80601.0</v>
      </c>
      <c r="B321" s="20" t="s">
        <v>433</v>
      </c>
      <c r="C321" s="21">
        <v>1.9162393162393163</v>
      </c>
      <c r="D321" s="21">
        <v>1.0416666666666667</v>
      </c>
    </row>
    <row r="322" ht="15.75" customHeight="1">
      <c r="A322" s="19">
        <v>80602.0</v>
      </c>
      <c r="B322" s="20" t="s">
        <v>434</v>
      </c>
      <c r="C322" s="21">
        <v>1.3524978933429637</v>
      </c>
      <c r="D322" s="21">
        <v>1.764367816091954</v>
      </c>
    </row>
    <row r="323" ht="15.75" customHeight="1">
      <c r="A323" s="19">
        <v>80701.0</v>
      </c>
      <c r="B323" s="20" t="s">
        <v>436</v>
      </c>
      <c r="C323" s="21">
        <v>1.4463450292397662</v>
      </c>
      <c r="D323" s="21">
        <v>1.131354957441914</v>
      </c>
    </row>
    <row r="324" ht="15.75" customHeight="1">
      <c r="A324" s="19">
        <v>80702.0</v>
      </c>
      <c r="B324" s="20" t="s">
        <v>402</v>
      </c>
      <c r="C324" s="21">
        <v>1.0919117647058822</v>
      </c>
      <c r="D324" s="21">
        <v>0.7757834757834757</v>
      </c>
    </row>
    <row r="325" ht="15.75" customHeight="1">
      <c r="A325" s="19">
        <v>80703.0</v>
      </c>
      <c r="B325" s="20" t="s">
        <v>437</v>
      </c>
      <c r="C325" s="21">
        <v>1.6166666666666665</v>
      </c>
      <c r="D325" s="21">
        <v>0.8571428571428572</v>
      </c>
    </row>
    <row r="326" ht="15.75" customHeight="1">
      <c r="A326" s="19">
        <v>80801.0</v>
      </c>
      <c r="B326" s="20" t="s">
        <v>439</v>
      </c>
      <c r="C326" s="21">
        <v>1.4614938307091225</v>
      </c>
      <c r="D326" s="21">
        <v>1.0736343631080474</v>
      </c>
    </row>
    <row r="327" ht="15.75" customHeight="1">
      <c r="A327" s="19">
        <v>80802.0</v>
      </c>
      <c r="B327" s="20" t="s">
        <v>440</v>
      </c>
      <c r="C327" s="21">
        <v>1.1026228673287497</v>
      </c>
      <c r="D327" s="21">
        <v>1.6555555555555557</v>
      </c>
    </row>
    <row r="328" ht="15.75" customHeight="1">
      <c r="A328" s="19">
        <v>80803.0</v>
      </c>
      <c r="B328" s="20" t="s">
        <v>441</v>
      </c>
      <c r="C328" s="21">
        <v>1.0868589743589745</v>
      </c>
      <c r="D328" s="21">
        <v>1.3555555555555554</v>
      </c>
    </row>
    <row r="329" ht="15.75" customHeight="1">
      <c r="A329" s="19">
        <v>80901.0</v>
      </c>
      <c r="B329" s="20" t="s">
        <v>442</v>
      </c>
      <c r="C329" s="21">
        <v>1.2865615116495397</v>
      </c>
      <c r="D329" s="21">
        <v>1.4364702496582489</v>
      </c>
    </row>
    <row r="330" ht="15.75" customHeight="1">
      <c r="A330" s="19">
        <v>90101.0</v>
      </c>
      <c r="B330" s="20" t="s">
        <v>444</v>
      </c>
      <c r="C330" s="21">
        <v>1.4082357653664956</v>
      </c>
      <c r="D330" s="21">
        <v>1.2121392716630812</v>
      </c>
    </row>
    <row r="331" ht="15.75" customHeight="1">
      <c r="A331" s="19">
        <v>90102.0</v>
      </c>
      <c r="B331" s="20" t="s">
        <v>445</v>
      </c>
      <c r="C331" s="21">
        <v>1.932738758825715</v>
      </c>
      <c r="D331" s="21">
        <v>1.4962962962962962</v>
      </c>
    </row>
    <row r="332" ht="15.75" customHeight="1">
      <c r="A332" s="19">
        <v>90103.0</v>
      </c>
      <c r="B332" s="20" t="s">
        <v>446</v>
      </c>
      <c r="C332" s="21">
        <v>1.6128205128205126</v>
      </c>
      <c r="D332" s="21">
        <v>2.2853535353535355</v>
      </c>
    </row>
    <row r="333" ht="15.75" customHeight="1">
      <c r="A333" s="19">
        <v>90104.0</v>
      </c>
      <c r="B333" s="20" t="s">
        <v>447</v>
      </c>
      <c r="C333" s="21">
        <v>1.4376006441223834</v>
      </c>
      <c r="D333" s="21">
        <v>2.2870370370370368</v>
      </c>
    </row>
    <row r="334" ht="15.75" customHeight="1">
      <c r="A334" s="19">
        <v>90201.0</v>
      </c>
      <c r="B334" s="20" t="s">
        <v>449</v>
      </c>
      <c r="C334" s="21">
        <v>1.3402787386805652</v>
      </c>
      <c r="D334" s="21">
        <v>1.5703703703703704</v>
      </c>
    </row>
    <row r="335" ht="15.75" customHeight="1">
      <c r="A335" s="19">
        <v>90202.0</v>
      </c>
      <c r="B335" s="20" t="s">
        <v>398</v>
      </c>
      <c r="C335" s="21">
        <v>2.125</v>
      </c>
      <c r="D335" s="21">
        <v>1.7301587301587302</v>
      </c>
    </row>
    <row r="336" ht="15.75" customHeight="1">
      <c r="A336" s="19">
        <v>90203.0</v>
      </c>
      <c r="B336" s="20" t="s">
        <v>450</v>
      </c>
      <c r="C336" s="21">
        <v>2.079173508483853</v>
      </c>
      <c r="D336" s="21">
        <v>1.4256606990622336</v>
      </c>
    </row>
    <row r="337" ht="15.75" customHeight="1">
      <c r="A337" s="19">
        <v>90301.0</v>
      </c>
      <c r="B337" s="20" t="s">
        <v>452</v>
      </c>
      <c r="C337" s="21">
        <v>0.9919183889772126</v>
      </c>
      <c r="D337" s="21">
        <v>1.2588235294117647</v>
      </c>
    </row>
    <row r="338" ht="15.75" customHeight="1">
      <c r="A338" s="19">
        <v>90302.0</v>
      </c>
      <c r="B338" s="20" t="s">
        <v>453</v>
      </c>
      <c r="C338" s="21">
        <v>1.2091213553979512</v>
      </c>
      <c r="D338" s="21">
        <v>1.2048775597162693</v>
      </c>
    </row>
    <row r="339" ht="15.75" customHeight="1">
      <c r="A339" s="19">
        <v>90303.0</v>
      </c>
      <c r="B339" s="20" t="s">
        <v>454</v>
      </c>
      <c r="C339" s="21">
        <v>1.1961840628507294</v>
      </c>
      <c r="D339" s="21">
        <v>1.0553443941679237</v>
      </c>
    </row>
    <row r="340" ht="15.75" customHeight="1">
      <c r="A340" s="19">
        <v>90401.0</v>
      </c>
      <c r="B340" s="20" t="s">
        <v>456</v>
      </c>
      <c r="C340" s="21">
        <v>1.1724867724867727</v>
      </c>
      <c r="D340" s="21">
        <v>2.6324786324786325</v>
      </c>
    </row>
    <row r="341" ht="15.75" customHeight="1">
      <c r="A341" s="19">
        <v>90402.0</v>
      </c>
      <c r="B341" s="20" t="s">
        <v>118</v>
      </c>
      <c r="C341" s="21">
        <v>1.0227272727272727</v>
      </c>
      <c r="D341" s="21">
        <v>1.0578032742887815</v>
      </c>
    </row>
    <row r="342" ht="15.75" customHeight="1">
      <c r="A342" s="19">
        <v>90501.0</v>
      </c>
      <c r="B342" s="20" t="s">
        <v>458</v>
      </c>
      <c r="C342" s="21">
        <v>1.9851851851851852</v>
      </c>
      <c r="D342" s="21">
        <v>1.1740196078431373</v>
      </c>
    </row>
    <row r="343" ht="15.75" customHeight="1">
      <c r="A343" s="19">
        <v>90502.0</v>
      </c>
      <c r="B343" s="20" t="s">
        <v>459</v>
      </c>
      <c r="C343" s="21">
        <v>1.444098793363499</v>
      </c>
      <c r="D343" s="21">
        <v>1.1805555555555556</v>
      </c>
    </row>
    <row r="344" ht="15.75" customHeight="1">
      <c r="A344" s="19">
        <v>90503.0</v>
      </c>
      <c r="B344" s="20" t="s">
        <v>460</v>
      </c>
      <c r="C344" s="21">
        <v>2.9743589743589745</v>
      </c>
      <c r="D344" s="21">
        <v>0.7946428571428571</v>
      </c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9" t="s">
        <v>0</v>
      </c>
      <c r="B1" s="20" t="s">
        <v>461</v>
      </c>
      <c r="C1" s="8" t="s">
        <v>464</v>
      </c>
      <c r="D1" s="8" t="s">
        <v>465</v>
      </c>
    </row>
    <row r="2" ht="15.75" customHeight="1">
      <c r="A2" s="19">
        <v>10101.0</v>
      </c>
      <c r="B2" s="20" t="s">
        <v>28</v>
      </c>
      <c r="C2" s="21"/>
      <c r="D2" s="21"/>
      <c r="F2" s="22"/>
      <c r="G2" s="23"/>
      <c r="H2" s="22"/>
      <c r="I2" s="22"/>
    </row>
    <row r="3" ht="15.75" customHeight="1">
      <c r="A3" s="19">
        <v>10102.0</v>
      </c>
      <c r="B3" s="20" t="s">
        <v>29</v>
      </c>
      <c r="C3" s="21"/>
      <c r="D3" s="21"/>
      <c r="F3" s="22"/>
      <c r="G3" s="23"/>
      <c r="H3" s="22"/>
      <c r="I3" s="22"/>
    </row>
    <row r="4" ht="15.75" customHeight="1">
      <c r="A4" s="19">
        <v>10103.0</v>
      </c>
      <c r="B4" s="20" t="s">
        <v>31</v>
      </c>
      <c r="C4" s="21"/>
      <c r="D4" s="21"/>
    </row>
    <row r="5" ht="15.75" customHeight="1">
      <c r="A5" s="19">
        <v>10201.0</v>
      </c>
      <c r="B5" s="20" t="s">
        <v>34</v>
      </c>
      <c r="C5" s="21"/>
      <c r="D5" s="21"/>
    </row>
    <row r="6" ht="15.75" customHeight="1">
      <c r="A6" s="19">
        <v>10202.0</v>
      </c>
      <c r="B6" s="20" t="s">
        <v>36</v>
      </c>
      <c r="C6" s="21"/>
      <c r="D6" s="21"/>
    </row>
    <row r="7" ht="15.75" customHeight="1">
      <c r="A7" s="19">
        <v>10301.0</v>
      </c>
      <c r="B7" s="20" t="s">
        <v>39</v>
      </c>
      <c r="C7" s="21"/>
      <c r="D7" s="21"/>
    </row>
    <row r="8" ht="15.75" customHeight="1">
      <c r="A8" s="19">
        <v>10302.0</v>
      </c>
      <c r="B8" s="20" t="s">
        <v>41</v>
      </c>
      <c r="C8" s="21"/>
      <c r="D8" s="21"/>
    </row>
    <row r="9" ht="15.75" customHeight="1">
      <c r="A9" s="19">
        <v>10303.0</v>
      </c>
      <c r="B9" s="20" t="s">
        <v>43</v>
      </c>
      <c r="C9" s="21"/>
      <c r="D9" s="21"/>
    </row>
    <row r="10" ht="15.75" customHeight="1">
      <c r="A10" s="19">
        <v>10304.0</v>
      </c>
      <c r="B10" s="20" t="s">
        <v>45</v>
      </c>
      <c r="C10" s="21"/>
      <c r="D10" s="21"/>
    </row>
    <row r="11" ht="15.75" customHeight="1">
      <c r="A11" s="19">
        <v>10401.0</v>
      </c>
      <c r="B11" s="20" t="s">
        <v>48</v>
      </c>
      <c r="C11" s="21"/>
      <c r="D11" s="21"/>
    </row>
    <row r="12" ht="15.75" customHeight="1">
      <c r="A12" s="19">
        <v>10402.0</v>
      </c>
      <c r="B12" s="20" t="s">
        <v>47</v>
      </c>
      <c r="C12" s="21"/>
      <c r="D12" s="21"/>
    </row>
    <row r="13" ht="15.75" customHeight="1">
      <c r="A13" s="19">
        <v>10403.0</v>
      </c>
      <c r="B13" s="20" t="s">
        <v>51</v>
      </c>
      <c r="C13" s="21"/>
      <c r="D13" s="21"/>
    </row>
    <row r="14" ht="15.75" customHeight="1">
      <c r="A14" s="19">
        <v>10404.0</v>
      </c>
      <c r="B14" s="20" t="s">
        <v>52</v>
      </c>
      <c r="C14" s="21"/>
      <c r="D14" s="21"/>
    </row>
    <row r="15" ht="15.75" customHeight="1">
      <c r="A15" s="19">
        <v>10405.0</v>
      </c>
      <c r="B15" s="20" t="s">
        <v>53</v>
      </c>
      <c r="C15" s="21"/>
      <c r="D15" s="21"/>
    </row>
    <row r="16" ht="15.75" customHeight="1">
      <c r="A16" s="19">
        <v>10501.0</v>
      </c>
      <c r="B16" s="20" t="s">
        <v>55</v>
      </c>
      <c r="C16" s="21"/>
      <c r="D16" s="21"/>
    </row>
    <row r="17" ht="15.75" customHeight="1">
      <c r="A17" s="19">
        <v>10502.0</v>
      </c>
      <c r="B17" s="20" t="s">
        <v>56</v>
      </c>
      <c r="C17" s="21"/>
      <c r="D17" s="21"/>
    </row>
    <row r="18" ht="15.75" customHeight="1">
      <c r="A18" s="19">
        <v>10601.0</v>
      </c>
      <c r="B18" s="20" t="s">
        <v>58</v>
      </c>
      <c r="C18" s="21"/>
      <c r="D18" s="21"/>
    </row>
    <row r="19" ht="15.75" customHeight="1">
      <c r="A19" s="19">
        <v>10602.0</v>
      </c>
      <c r="B19" s="20" t="s">
        <v>57</v>
      </c>
      <c r="C19" s="21"/>
      <c r="D19" s="21"/>
    </row>
    <row r="20" ht="15.75" customHeight="1">
      <c r="A20" s="19">
        <v>10701.0</v>
      </c>
      <c r="B20" s="20" t="s">
        <v>60</v>
      </c>
      <c r="C20" s="21"/>
      <c r="D20" s="21"/>
    </row>
    <row r="21" ht="15.75" customHeight="1">
      <c r="A21" s="19">
        <v>10702.0</v>
      </c>
      <c r="B21" s="20" t="s">
        <v>61</v>
      </c>
      <c r="C21" s="21"/>
      <c r="D21" s="21"/>
    </row>
    <row r="22" ht="15.75" customHeight="1">
      <c r="A22" s="19">
        <v>10703.0</v>
      </c>
      <c r="B22" s="20" t="s">
        <v>62</v>
      </c>
      <c r="C22" s="21"/>
      <c r="D22" s="21"/>
    </row>
    <row r="23" ht="15.75" customHeight="1">
      <c r="A23" s="19">
        <v>10704.0</v>
      </c>
      <c r="B23" s="20" t="s">
        <v>63</v>
      </c>
      <c r="C23" s="21"/>
      <c r="D23" s="21"/>
    </row>
    <row r="24" ht="15.75" customHeight="1">
      <c r="A24" s="19">
        <v>10801.0</v>
      </c>
      <c r="B24" s="20" t="s">
        <v>65</v>
      </c>
      <c r="C24" s="21"/>
      <c r="D24" s="21"/>
    </row>
    <row r="25" ht="15.75" customHeight="1">
      <c r="A25" s="19">
        <v>10901.0</v>
      </c>
      <c r="B25" s="20" t="s">
        <v>67</v>
      </c>
      <c r="C25" s="21"/>
      <c r="D25" s="21"/>
    </row>
    <row r="26" ht="15.75" customHeight="1">
      <c r="A26" s="19">
        <v>10902.0</v>
      </c>
      <c r="B26" s="20" t="s">
        <v>68</v>
      </c>
      <c r="C26" s="21"/>
      <c r="D26" s="21"/>
    </row>
    <row r="27" ht="15.75" customHeight="1">
      <c r="A27" s="19">
        <v>10903.0</v>
      </c>
      <c r="B27" s="20" t="s">
        <v>69</v>
      </c>
      <c r="C27" s="21"/>
      <c r="D27" s="21"/>
    </row>
    <row r="28" ht="15.75" customHeight="1">
      <c r="A28" s="19">
        <v>11001.0</v>
      </c>
      <c r="B28" s="20" t="s">
        <v>71</v>
      </c>
      <c r="C28" s="21"/>
      <c r="D28" s="21"/>
    </row>
    <row r="29" ht="15.75" customHeight="1">
      <c r="A29" s="19">
        <v>11002.0</v>
      </c>
      <c r="B29" s="20" t="s">
        <v>72</v>
      </c>
      <c r="C29" s="21"/>
      <c r="D29" s="21"/>
    </row>
    <row r="30" ht="15.75" customHeight="1">
      <c r="A30" s="19">
        <v>11003.0</v>
      </c>
      <c r="B30" s="20" t="s">
        <v>73</v>
      </c>
      <c r="C30" s="21"/>
      <c r="D30" s="21"/>
    </row>
    <row r="31" ht="15.75" customHeight="1">
      <c r="A31" s="19">
        <v>20101.0</v>
      </c>
      <c r="B31" s="20" t="s">
        <v>75</v>
      </c>
      <c r="C31" s="21"/>
      <c r="D31" s="21"/>
    </row>
    <row r="32" ht="15.75" customHeight="1">
      <c r="A32" s="19">
        <v>20102.0</v>
      </c>
      <c r="B32" s="20" t="s">
        <v>76</v>
      </c>
      <c r="C32" s="21"/>
      <c r="D32" s="21"/>
    </row>
    <row r="33" ht="15.75" customHeight="1">
      <c r="A33" s="19">
        <v>20103.0</v>
      </c>
      <c r="B33" s="20" t="s">
        <v>77</v>
      </c>
      <c r="C33" s="21"/>
      <c r="D33" s="21"/>
    </row>
    <row r="34" ht="15.75" customHeight="1">
      <c r="A34" s="19">
        <v>20104.0</v>
      </c>
      <c r="B34" s="20" t="s">
        <v>78</v>
      </c>
      <c r="C34" s="21"/>
      <c r="D34" s="21"/>
    </row>
    <row r="35" ht="15.75" customHeight="1">
      <c r="A35" s="19">
        <v>20105.0</v>
      </c>
      <c r="B35" s="20" t="s">
        <v>79</v>
      </c>
      <c r="C35" s="21"/>
      <c r="D35" s="21"/>
    </row>
    <row r="36" ht="15.75" customHeight="1">
      <c r="A36" s="19">
        <v>20201.0</v>
      </c>
      <c r="B36" s="20" t="s">
        <v>81</v>
      </c>
      <c r="C36" s="21"/>
      <c r="D36" s="21"/>
    </row>
    <row r="37" ht="15.75" customHeight="1">
      <c r="A37" s="19">
        <v>20202.0</v>
      </c>
      <c r="B37" s="20" t="s">
        <v>82</v>
      </c>
      <c r="C37" s="21"/>
      <c r="D37" s="21"/>
    </row>
    <row r="38" ht="15.75" customHeight="1">
      <c r="A38" s="19">
        <v>20203.0</v>
      </c>
      <c r="B38" s="20" t="s">
        <v>83</v>
      </c>
      <c r="C38" s="21"/>
      <c r="D38" s="21"/>
    </row>
    <row r="39" ht="15.75" customHeight="1">
      <c r="A39" s="19">
        <v>20204.0</v>
      </c>
      <c r="B39" s="20" t="s">
        <v>84</v>
      </c>
      <c r="C39" s="21"/>
      <c r="D39" s="21"/>
    </row>
    <row r="40" ht="15.75" customHeight="1">
      <c r="A40" s="19">
        <v>20205.0</v>
      </c>
      <c r="B40" s="20" t="s">
        <v>85</v>
      </c>
      <c r="C40" s="21"/>
      <c r="D40" s="21"/>
    </row>
    <row r="41" ht="15.75" customHeight="1">
      <c r="A41" s="19">
        <v>20206.0</v>
      </c>
      <c r="B41" s="20" t="s">
        <v>86</v>
      </c>
      <c r="C41" s="21"/>
      <c r="D41" s="21"/>
    </row>
    <row r="42" ht="15.75" customHeight="1">
      <c r="A42" s="19">
        <v>20301.0</v>
      </c>
      <c r="B42" s="20" t="s">
        <v>88</v>
      </c>
      <c r="C42" s="21"/>
      <c r="D42" s="21"/>
    </row>
    <row r="43" ht="15.75" customHeight="1">
      <c r="A43" s="19">
        <v>20302.0</v>
      </c>
      <c r="B43" s="20" t="s">
        <v>89</v>
      </c>
      <c r="C43" s="21"/>
      <c r="D43" s="21"/>
    </row>
    <row r="44" ht="15.75" customHeight="1">
      <c r="A44" s="19">
        <v>20303.0</v>
      </c>
      <c r="B44" s="20" t="s">
        <v>90</v>
      </c>
      <c r="C44" s="21"/>
      <c r="D44" s="21"/>
    </row>
    <row r="45" ht="15.75" customHeight="1">
      <c r="A45" s="19">
        <v>20304.0</v>
      </c>
      <c r="B45" s="20" t="s">
        <v>91</v>
      </c>
      <c r="C45" s="21"/>
      <c r="D45" s="21"/>
    </row>
    <row r="46" ht="15.75" customHeight="1">
      <c r="A46" s="19">
        <v>20305.0</v>
      </c>
      <c r="B46" s="20" t="s">
        <v>92</v>
      </c>
      <c r="C46" s="21"/>
      <c r="D46" s="21"/>
    </row>
    <row r="47" ht="15.75" customHeight="1">
      <c r="A47" s="19">
        <v>20306.0</v>
      </c>
      <c r="B47" s="20" t="s">
        <v>93</v>
      </c>
      <c r="C47" s="21"/>
      <c r="D47" s="21"/>
    </row>
    <row r="48" ht="15.75" customHeight="1">
      <c r="A48" s="19">
        <v>20307.0</v>
      </c>
      <c r="B48" s="20" t="s">
        <v>94</v>
      </c>
      <c r="C48" s="21"/>
      <c r="D48" s="21"/>
    </row>
    <row r="49" ht="15.75" customHeight="1">
      <c r="A49" s="19">
        <v>20308.0</v>
      </c>
      <c r="B49" s="20" t="s">
        <v>95</v>
      </c>
      <c r="C49" s="21"/>
      <c r="D49" s="21"/>
    </row>
    <row r="50" ht="15.75" customHeight="1">
      <c r="A50" s="19">
        <v>20401.0</v>
      </c>
      <c r="B50" s="20" t="s">
        <v>97</v>
      </c>
      <c r="C50" s="21"/>
      <c r="D50" s="21"/>
    </row>
    <row r="51" ht="15.75" customHeight="1">
      <c r="A51" s="19">
        <v>20402.0</v>
      </c>
      <c r="B51" s="20" t="s">
        <v>98</v>
      </c>
      <c r="C51" s="21"/>
      <c r="D51" s="21"/>
    </row>
    <row r="52" ht="15.75" customHeight="1">
      <c r="A52" s="19">
        <v>20403.0</v>
      </c>
      <c r="B52" s="20" t="s">
        <v>99</v>
      </c>
      <c r="C52" s="21"/>
      <c r="D52" s="21"/>
    </row>
    <row r="53" ht="15.75" customHeight="1">
      <c r="A53" s="19">
        <v>20404.0</v>
      </c>
      <c r="B53" s="20" t="s">
        <v>100</v>
      </c>
      <c r="C53" s="21"/>
      <c r="D53" s="21"/>
    </row>
    <row r="54" ht="15.75" customHeight="1">
      <c r="A54" s="19">
        <v>20405.0</v>
      </c>
      <c r="B54" s="20" t="s">
        <v>101</v>
      </c>
      <c r="C54" s="21"/>
      <c r="D54" s="21"/>
    </row>
    <row r="55" ht="15.75" customHeight="1">
      <c r="A55" s="19">
        <v>20501.0</v>
      </c>
      <c r="B55" s="20" t="s">
        <v>103</v>
      </c>
      <c r="C55" s="21"/>
      <c r="D55" s="21"/>
    </row>
    <row r="56" ht="15.75" customHeight="1">
      <c r="A56" s="19">
        <v>20502.0</v>
      </c>
      <c r="B56" s="20" t="s">
        <v>104</v>
      </c>
      <c r="C56" s="21"/>
      <c r="D56" s="21"/>
    </row>
    <row r="57" ht="15.75" customHeight="1">
      <c r="A57" s="19">
        <v>20503.0</v>
      </c>
      <c r="B57" s="20" t="s">
        <v>105</v>
      </c>
      <c r="C57" s="21"/>
      <c r="D57" s="21"/>
    </row>
    <row r="58" ht="15.75" customHeight="1">
      <c r="A58" s="19">
        <v>20601.0</v>
      </c>
      <c r="B58" s="20" t="s">
        <v>107</v>
      </c>
      <c r="C58" s="21"/>
      <c r="D58" s="21"/>
    </row>
    <row r="59" ht="15.75" customHeight="1">
      <c r="A59" s="19">
        <v>20602.0</v>
      </c>
      <c r="B59" s="20" t="s">
        <v>108</v>
      </c>
      <c r="C59" s="21"/>
      <c r="D59" s="21"/>
    </row>
    <row r="60" ht="15.75" customHeight="1">
      <c r="A60" s="19">
        <v>20603.0</v>
      </c>
      <c r="B60" s="20" t="s">
        <v>109</v>
      </c>
      <c r="C60" s="21"/>
      <c r="D60" s="21"/>
    </row>
    <row r="61" ht="15.75" customHeight="1">
      <c r="A61" s="19">
        <v>20604.0</v>
      </c>
      <c r="B61" s="20" t="s">
        <v>110</v>
      </c>
      <c r="C61" s="21"/>
      <c r="D61" s="21"/>
    </row>
    <row r="62" ht="15.75" customHeight="1">
      <c r="A62" s="19">
        <v>20605.0</v>
      </c>
      <c r="B62" s="20" t="s">
        <v>111</v>
      </c>
      <c r="C62" s="21"/>
      <c r="D62" s="21"/>
    </row>
    <row r="63" ht="15.75" customHeight="1">
      <c r="A63" s="19">
        <v>20606.0</v>
      </c>
      <c r="B63" s="20" t="s">
        <v>112</v>
      </c>
      <c r="C63" s="21"/>
      <c r="D63" s="21"/>
    </row>
    <row r="64" ht="15.75" customHeight="1">
      <c r="A64" s="19">
        <v>20607.0</v>
      </c>
      <c r="B64" s="20" t="s">
        <v>113</v>
      </c>
      <c r="C64" s="21"/>
      <c r="D64" s="21"/>
    </row>
    <row r="65" ht="15.75" customHeight="1">
      <c r="A65" s="19">
        <v>20608.0</v>
      </c>
      <c r="B65" s="20" t="s">
        <v>114</v>
      </c>
      <c r="C65" s="21"/>
      <c r="D65" s="21"/>
    </row>
    <row r="66" ht="15.75" customHeight="1">
      <c r="A66" s="19">
        <v>20701.0</v>
      </c>
      <c r="B66" s="20" t="s">
        <v>116</v>
      </c>
      <c r="C66" s="21"/>
      <c r="D66" s="21"/>
    </row>
    <row r="67" ht="15.75" customHeight="1">
      <c r="A67" s="19">
        <v>20702.0</v>
      </c>
      <c r="B67" s="20" t="s">
        <v>117</v>
      </c>
      <c r="C67" s="21"/>
      <c r="D67" s="21"/>
    </row>
    <row r="68" ht="15.75" customHeight="1">
      <c r="A68" s="19">
        <v>20801.0</v>
      </c>
      <c r="B68" s="20" t="s">
        <v>119</v>
      </c>
      <c r="C68" s="21"/>
      <c r="D68" s="21"/>
    </row>
    <row r="69" ht="15.75" customHeight="1">
      <c r="A69" s="19">
        <v>20802.0</v>
      </c>
      <c r="B69" s="20" t="s">
        <v>120</v>
      </c>
      <c r="C69" s="21"/>
      <c r="D69" s="21"/>
    </row>
    <row r="70" ht="15.75" customHeight="1">
      <c r="A70" s="19">
        <v>20803.0</v>
      </c>
      <c r="B70" s="20" t="s">
        <v>121</v>
      </c>
      <c r="C70" s="21"/>
      <c r="D70" s="21"/>
    </row>
    <row r="71" ht="15.75" customHeight="1">
      <c r="A71" s="19">
        <v>20804.0</v>
      </c>
      <c r="B71" s="20" t="s">
        <v>122</v>
      </c>
      <c r="C71" s="21"/>
      <c r="D71" s="21"/>
    </row>
    <row r="72" ht="15.75" customHeight="1">
      <c r="A72" s="19">
        <v>20805.0</v>
      </c>
      <c r="B72" s="20" t="s">
        <v>123</v>
      </c>
      <c r="C72" s="21"/>
      <c r="D72" s="21"/>
    </row>
    <row r="73" ht="15.75" customHeight="1">
      <c r="A73" s="19">
        <v>20806.0</v>
      </c>
      <c r="B73" s="20" t="s">
        <v>124</v>
      </c>
      <c r="C73" s="21"/>
      <c r="D73" s="21"/>
    </row>
    <row r="74" ht="15.75" customHeight="1">
      <c r="A74" s="19">
        <v>20807.0</v>
      </c>
      <c r="B74" s="20" t="s">
        <v>125</v>
      </c>
      <c r="C74" s="21"/>
      <c r="D74" s="21"/>
    </row>
    <row r="75" ht="15.75" customHeight="1">
      <c r="A75" s="19">
        <v>20901.0</v>
      </c>
      <c r="B75" s="20" t="s">
        <v>127</v>
      </c>
      <c r="C75" s="21"/>
      <c r="D75" s="21"/>
    </row>
    <row r="76" ht="15.75" customHeight="1">
      <c r="A76" s="19">
        <v>20902.0</v>
      </c>
      <c r="B76" s="20" t="s">
        <v>128</v>
      </c>
      <c r="C76" s="21"/>
      <c r="D76" s="21"/>
    </row>
    <row r="77" ht="15.75" customHeight="1">
      <c r="A77" s="19">
        <v>20903.0</v>
      </c>
      <c r="B77" s="20" t="s">
        <v>129</v>
      </c>
      <c r="C77" s="21"/>
      <c r="D77" s="21"/>
    </row>
    <row r="78" ht="15.75" customHeight="1">
      <c r="A78" s="19">
        <v>20904.0</v>
      </c>
      <c r="B78" s="20" t="s">
        <v>130</v>
      </c>
      <c r="C78" s="21"/>
      <c r="D78" s="21"/>
    </row>
    <row r="79" ht="15.75" customHeight="1">
      <c r="A79" s="19">
        <v>20905.0</v>
      </c>
      <c r="B79" s="20" t="s">
        <v>131</v>
      </c>
      <c r="C79" s="21"/>
      <c r="D79" s="21"/>
    </row>
    <row r="80" ht="15.75" customHeight="1">
      <c r="A80" s="19">
        <v>21001.0</v>
      </c>
      <c r="B80" s="20" t="s">
        <v>132</v>
      </c>
      <c r="C80" s="21"/>
      <c r="D80" s="21"/>
    </row>
    <row r="81" ht="15.75" customHeight="1">
      <c r="A81" s="19">
        <v>21002.0</v>
      </c>
      <c r="B81" s="20" t="s">
        <v>133</v>
      </c>
      <c r="C81" s="21"/>
      <c r="D81" s="21"/>
    </row>
    <row r="82" ht="15.75" customHeight="1">
      <c r="A82" s="19">
        <v>21003.0</v>
      </c>
      <c r="B82" s="20" t="s">
        <v>134</v>
      </c>
      <c r="C82" s="21"/>
      <c r="D82" s="21"/>
    </row>
    <row r="83" ht="15.75" customHeight="1">
      <c r="A83" s="19">
        <v>21004.0</v>
      </c>
      <c r="B83" s="20" t="s">
        <v>135</v>
      </c>
      <c r="C83" s="21"/>
      <c r="D83" s="21"/>
    </row>
    <row r="84" ht="15.75" customHeight="1">
      <c r="A84" s="19">
        <v>21005.0</v>
      </c>
      <c r="B84" s="20" t="s">
        <v>136</v>
      </c>
      <c r="C84" s="21"/>
      <c r="D84" s="21"/>
    </row>
    <row r="85" ht="15.75" customHeight="1">
      <c r="A85" s="19">
        <v>21006.0</v>
      </c>
      <c r="B85" s="20" t="s">
        <v>137</v>
      </c>
      <c r="C85" s="21"/>
      <c r="D85" s="21"/>
    </row>
    <row r="86" ht="15.75" customHeight="1">
      <c r="A86" s="19">
        <v>21101.0</v>
      </c>
      <c r="B86" s="20" t="s">
        <v>139</v>
      </c>
      <c r="C86" s="21"/>
      <c r="D86" s="21"/>
    </row>
    <row r="87" ht="15.75" customHeight="1">
      <c r="A87" s="19">
        <v>21102.0</v>
      </c>
      <c r="B87" s="20" t="s">
        <v>140</v>
      </c>
      <c r="C87" s="21"/>
      <c r="D87" s="21"/>
    </row>
    <row r="88" ht="15.75" customHeight="1">
      <c r="A88" s="19">
        <v>21103.0</v>
      </c>
      <c r="B88" s="20" t="s">
        <v>141</v>
      </c>
      <c r="C88" s="21"/>
      <c r="D88" s="21"/>
    </row>
    <row r="89" ht="15.75" customHeight="1">
      <c r="A89" s="19">
        <v>21104.0</v>
      </c>
      <c r="B89" s="20" t="s">
        <v>142</v>
      </c>
      <c r="C89" s="21"/>
      <c r="D89" s="21"/>
    </row>
    <row r="90" ht="15.75" customHeight="1">
      <c r="A90" s="19">
        <v>21105.0</v>
      </c>
      <c r="B90" s="20" t="s">
        <v>143</v>
      </c>
      <c r="C90" s="21"/>
      <c r="D90" s="21"/>
    </row>
    <row r="91" ht="15.75" customHeight="1">
      <c r="A91" s="19">
        <v>21201.0</v>
      </c>
      <c r="B91" s="20" t="s">
        <v>145</v>
      </c>
      <c r="C91" s="21"/>
      <c r="D91" s="21"/>
    </row>
    <row r="92" ht="15.75" customHeight="1">
      <c r="A92" s="19">
        <v>21202.0</v>
      </c>
      <c r="B92" s="20" t="s">
        <v>146</v>
      </c>
      <c r="C92" s="21"/>
      <c r="D92" s="21"/>
    </row>
    <row r="93" ht="15.75" customHeight="1">
      <c r="A93" s="19">
        <v>21203.0</v>
      </c>
      <c r="B93" s="20" t="s">
        <v>147</v>
      </c>
      <c r="C93" s="21"/>
      <c r="D93" s="21"/>
    </row>
    <row r="94" ht="15.75" customHeight="1">
      <c r="A94" s="19">
        <v>21204.0</v>
      </c>
      <c r="B94" s="20" t="s">
        <v>148</v>
      </c>
      <c r="C94" s="21"/>
      <c r="D94" s="21"/>
    </row>
    <row r="95" ht="15.75" customHeight="1">
      <c r="A95" s="19">
        <v>21301.0</v>
      </c>
      <c r="B95" s="20" t="s">
        <v>150</v>
      </c>
      <c r="C95" s="21"/>
      <c r="D95" s="21"/>
    </row>
    <row r="96" ht="15.75" customHeight="1">
      <c r="A96" s="19">
        <v>21302.0</v>
      </c>
      <c r="B96" s="20" t="s">
        <v>151</v>
      </c>
      <c r="C96" s="21"/>
      <c r="D96" s="21"/>
    </row>
    <row r="97" ht="15.75" customHeight="1">
      <c r="A97" s="19">
        <v>21303.0</v>
      </c>
      <c r="B97" s="20" t="s">
        <v>152</v>
      </c>
      <c r="C97" s="21"/>
      <c r="D97" s="21"/>
    </row>
    <row r="98" ht="15.75" customHeight="1">
      <c r="A98" s="19">
        <v>21304.0</v>
      </c>
      <c r="B98" s="20" t="s">
        <v>153</v>
      </c>
      <c r="C98" s="21"/>
      <c r="D98" s="21"/>
    </row>
    <row r="99" ht="15.75" customHeight="1">
      <c r="A99" s="19">
        <v>21305.0</v>
      </c>
      <c r="B99" s="20" t="s">
        <v>154</v>
      </c>
      <c r="C99" s="21"/>
      <c r="D99" s="21"/>
    </row>
    <row r="100" ht="15.75" customHeight="1">
      <c r="A100" s="19">
        <v>21306.0</v>
      </c>
      <c r="B100" s="20" t="s">
        <v>155</v>
      </c>
      <c r="C100" s="21"/>
      <c r="D100" s="21"/>
    </row>
    <row r="101" ht="15.75" customHeight="1">
      <c r="A101" s="19">
        <v>21307.0</v>
      </c>
      <c r="B101" s="20" t="s">
        <v>156</v>
      </c>
      <c r="C101" s="21"/>
      <c r="D101" s="21"/>
    </row>
    <row r="102" ht="15.75" customHeight="1">
      <c r="A102" s="19">
        <v>21401.0</v>
      </c>
      <c r="B102" s="20" t="s">
        <v>158</v>
      </c>
      <c r="C102" s="21"/>
      <c r="D102" s="21"/>
    </row>
    <row r="103" ht="15.75" customHeight="1">
      <c r="A103" s="19">
        <v>21402.0</v>
      </c>
      <c r="B103" s="20" t="s">
        <v>159</v>
      </c>
      <c r="C103" s="21"/>
      <c r="D103" s="21"/>
    </row>
    <row r="104" ht="15.75" customHeight="1">
      <c r="A104" s="19">
        <v>21501.0</v>
      </c>
      <c r="B104" s="20" t="s">
        <v>161</v>
      </c>
      <c r="C104" s="21"/>
      <c r="D104" s="21"/>
    </row>
    <row r="105" ht="15.75" customHeight="1">
      <c r="A105" s="19">
        <v>21502.0</v>
      </c>
      <c r="B105" s="20" t="s">
        <v>162</v>
      </c>
      <c r="C105" s="21"/>
      <c r="D105" s="21"/>
    </row>
    <row r="106" ht="15.75" customHeight="1">
      <c r="A106" s="19">
        <v>21601.0</v>
      </c>
      <c r="B106" s="20" t="s">
        <v>164</v>
      </c>
      <c r="C106" s="21"/>
      <c r="D106" s="21"/>
    </row>
    <row r="107" ht="15.75" customHeight="1">
      <c r="A107" s="19">
        <v>21602.0</v>
      </c>
      <c r="B107" s="20" t="s">
        <v>165</v>
      </c>
      <c r="C107" s="21"/>
      <c r="D107" s="21"/>
    </row>
    <row r="108" ht="15.75" customHeight="1">
      <c r="A108" s="19">
        <v>21701.0</v>
      </c>
      <c r="B108" s="20" t="s">
        <v>167</v>
      </c>
      <c r="C108" s="21"/>
      <c r="D108" s="21"/>
    </row>
    <row r="109" ht="15.75" customHeight="1">
      <c r="A109" s="19">
        <v>21702.0</v>
      </c>
      <c r="B109" s="20" t="s">
        <v>168</v>
      </c>
      <c r="C109" s="21"/>
      <c r="D109" s="21"/>
    </row>
    <row r="110" ht="15.75" customHeight="1">
      <c r="A110" s="19">
        <v>21703.0</v>
      </c>
      <c r="B110" s="20" t="s">
        <v>169</v>
      </c>
      <c r="C110" s="21"/>
      <c r="D110" s="21"/>
    </row>
    <row r="111" ht="15.75" customHeight="1">
      <c r="A111" s="19">
        <v>21801.0</v>
      </c>
      <c r="B111" s="20" t="s">
        <v>171</v>
      </c>
      <c r="C111" s="21"/>
      <c r="D111" s="21"/>
    </row>
    <row r="112" ht="15.75" customHeight="1">
      <c r="A112" s="19">
        <v>21802.0</v>
      </c>
      <c r="B112" s="20" t="s">
        <v>173</v>
      </c>
      <c r="C112" s="21"/>
      <c r="D112" s="21"/>
    </row>
    <row r="113" ht="15.75" customHeight="1">
      <c r="A113" s="19">
        <v>21803.0</v>
      </c>
      <c r="B113" s="20" t="s">
        <v>174</v>
      </c>
      <c r="C113" s="21"/>
      <c r="D113" s="21"/>
    </row>
    <row r="114" ht="15.75" customHeight="1">
      <c r="A114" s="19">
        <v>21901.0</v>
      </c>
      <c r="B114" s="20" t="s">
        <v>176</v>
      </c>
      <c r="C114" s="21"/>
      <c r="D114" s="21"/>
    </row>
    <row r="115" ht="15.75" customHeight="1">
      <c r="A115" s="19">
        <v>21902.0</v>
      </c>
      <c r="B115" s="20" t="s">
        <v>177</v>
      </c>
      <c r="C115" s="21"/>
      <c r="D115" s="21"/>
    </row>
    <row r="116" ht="15.75" customHeight="1">
      <c r="A116" s="19">
        <v>22001.0</v>
      </c>
      <c r="B116" s="20" t="s">
        <v>178</v>
      </c>
      <c r="C116" s="21"/>
      <c r="D116" s="21"/>
    </row>
    <row r="117" ht="15.75" customHeight="1">
      <c r="A117" s="19">
        <v>22002.0</v>
      </c>
      <c r="B117" s="20" t="s">
        <v>179</v>
      </c>
      <c r="C117" s="21"/>
      <c r="D117" s="21"/>
    </row>
    <row r="118" ht="15.75" customHeight="1">
      <c r="A118" s="19">
        <v>30101.0</v>
      </c>
      <c r="B118" s="20" t="s">
        <v>32</v>
      </c>
      <c r="C118" s="21"/>
      <c r="D118" s="21"/>
    </row>
    <row r="119" ht="15.75" customHeight="1">
      <c r="A119" s="19">
        <v>30201.0</v>
      </c>
      <c r="B119" s="20" t="s">
        <v>182</v>
      </c>
      <c r="C119" s="21"/>
      <c r="D119" s="21"/>
    </row>
    <row r="120" ht="15.75" customHeight="1">
      <c r="A120" s="19">
        <v>30202.0</v>
      </c>
      <c r="B120" s="20" t="s">
        <v>183</v>
      </c>
      <c r="C120" s="21"/>
      <c r="D120" s="21"/>
    </row>
    <row r="121" ht="15.75" customHeight="1">
      <c r="A121" s="19">
        <v>30203.0</v>
      </c>
      <c r="B121" s="20" t="s">
        <v>184</v>
      </c>
      <c r="C121" s="21"/>
      <c r="D121" s="21"/>
    </row>
    <row r="122" ht="15.75" customHeight="1">
      <c r="A122" s="19">
        <v>30301.0</v>
      </c>
      <c r="B122" s="20" t="s">
        <v>186</v>
      </c>
      <c r="C122" s="21"/>
      <c r="D122" s="21"/>
    </row>
    <row r="123" ht="15.75" customHeight="1">
      <c r="A123" s="19">
        <v>30302.0</v>
      </c>
      <c r="B123" s="20" t="s">
        <v>187</v>
      </c>
      <c r="C123" s="21"/>
      <c r="D123" s="21"/>
    </row>
    <row r="124" ht="15.75" customHeight="1">
      <c r="A124" s="19">
        <v>30303.0</v>
      </c>
      <c r="B124" s="20" t="s">
        <v>188</v>
      </c>
      <c r="C124" s="21"/>
      <c r="D124" s="21"/>
    </row>
    <row r="125" ht="15.75" customHeight="1">
      <c r="A125" s="19">
        <v>30401.0</v>
      </c>
      <c r="B125" s="20" t="s">
        <v>190</v>
      </c>
      <c r="C125" s="21"/>
      <c r="D125" s="21"/>
    </row>
    <row r="126" ht="15.75" customHeight="1">
      <c r="A126" s="19">
        <v>30402.0</v>
      </c>
      <c r="B126" s="20" t="s">
        <v>191</v>
      </c>
      <c r="C126" s="21"/>
      <c r="D126" s="21"/>
    </row>
    <row r="127" ht="15.75" customHeight="1">
      <c r="A127" s="19">
        <v>30403.0</v>
      </c>
      <c r="B127" s="20" t="s">
        <v>192</v>
      </c>
      <c r="C127" s="21"/>
      <c r="D127" s="21"/>
    </row>
    <row r="128" ht="15.75" customHeight="1">
      <c r="A128" s="19">
        <v>30404.0</v>
      </c>
      <c r="B128" s="20" t="s">
        <v>193</v>
      </c>
      <c r="C128" s="21"/>
      <c r="D128" s="21"/>
    </row>
    <row r="129" ht="15.75" customHeight="1">
      <c r="A129" s="19">
        <v>30501.0</v>
      </c>
      <c r="B129" s="20" t="s">
        <v>194</v>
      </c>
      <c r="C129" s="21"/>
      <c r="D129" s="21"/>
    </row>
    <row r="130" ht="15.75" customHeight="1">
      <c r="A130" s="19">
        <v>30502.0</v>
      </c>
      <c r="B130" s="20" t="s">
        <v>195</v>
      </c>
      <c r="C130" s="21"/>
      <c r="D130" s="21"/>
    </row>
    <row r="131" ht="15.75" customHeight="1">
      <c r="A131" s="19">
        <v>30601.0</v>
      </c>
      <c r="B131" s="20" t="s">
        <v>196</v>
      </c>
      <c r="C131" s="21"/>
      <c r="D131" s="21"/>
    </row>
    <row r="132" ht="15.75" customHeight="1">
      <c r="A132" s="19">
        <v>30602.0</v>
      </c>
      <c r="B132" s="20" t="s">
        <v>197</v>
      </c>
      <c r="C132" s="21"/>
      <c r="D132" s="21"/>
    </row>
    <row r="133" ht="15.75" customHeight="1">
      <c r="A133" s="19">
        <v>30701.0</v>
      </c>
      <c r="B133" s="20" t="s">
        <v>198</v>
      </c>
      <c r="C133" s="21"/>
      <c r="D133" s="21"/>
    </row>
    <row r="134" ht="15.75" customHeight="1">
      <c r="A134" s="19">
        <v>30702.0</v>
      </c>
      <c r="B134" s="20" t="s">
        <v>199</v>
      </c>
      <c r="C134" s="21"/>
      <c r="D134" s="21"/>
    </row>
    <row r="135" ht="15.75" customHeight="1">
      <c r="A135" s="19">
        <v>30703.0</v>
      </c>
      <c r="B135" s="20" t="s">
        <v>200</v>
      </c>
      <c r="C135" s="21"/>
      <c r="D135" s="21"/>
    </row>
    <row r="136" ht="15.75" customHeight="1">
      <c r="A136" s="19">
        <v>30801.0</v>
      </c>
      <c r="B136" s="20" t="s">
        <v>202</v>
      </c>
      <c r="C136" s="21"/>
      <c r="D136" s="21"/>
    </row>
    <row r="137" ht="15.75" customHeight="1">
      <c r="A137" s="19">
        <v>30802.0</v>
      </c>
      <c r="B137" s="20" t="s">
        <v>203</v>
      </c>
      <c r="C137" s="21"/>
      <c r="D137" s="21"/>
    </row>
    <row r="138" ht="15.75" customHeight="1">
      <c r="A138" s="19">
        <v>30803.0</v>
      </c>
      <c r="B138" s="20" t="s">
        <v>204</v>
      </c>
      <c r="C138" s="21"/>
      <c r="D138" s="21"/>
    </row>
    <row r="139" ht="15.75" customHeight="1">
      <c r="A139" s="19">
        <v>30901.0</v>
      </c>
      <c r="B139" s="20" t="s">
        <v>205</v>
      </c>
      <c r="C139" s="21"/>
      <c r="D139" s="21"/>
    </row>
    <row r="140" ht="15.75" customHeight="1">
      <c r="A140" s="19">
        <v>30902.0</v>
      </c>
      <c r="B140" s="20" t="s">
        <v>206</v>
      </c>
      <c r="C140" s="21"/>
      <c r="D140" s="21"/>
    </row>
    <row r="141" ht="15.75" customHeight="1">
      <c r="A141" s="19">
        <v>30903.0</v>
      </c>
      <c r="B141" s="20" t="s">
        <v>207</v>
      </c>
      <c r="C141" s="21"/>
      <c r="D141" s="21"/>
    </row>
    <row r="142" ht="15.75" customHeight="1">
      <c r="A142" s="19">
        <v>30904.0</v>
      </c>
      <c r="B142" s="20" t="s">
        <v>208</v>
      </c>
      <c r="C142" s="21"/>
      <c r="D142" s="21"/>
    </row>
    <row r="143" ht="15.75" customHeight="1">
      <c r="A143" s="19">
        <v>30905.0</v>
      </c>
      <c r="B143" s="20" t="s">
        <v>209</v>
      </c>
      <c r="C143" s="21"/>
      <c r="D143" s="21"/>
    </row>
    <row r="144" ht="15.75" customHeight="1">
      <c r="A144" s="19">
        <v>31001.0</v>
      </c>
      <c r="B144" s="20" t="s">
        <v>211</v>
      </c>
      <c r="C144" s="21"/>
      <c r="D144" s="21"/>
    </row>
    <row r="145" ht="15.75" customHeight="1">
      <c r="A145" s="19">
        <v>31002.0</v>
      </c>
      <c r="B145" s="20" t="s">
        <v>212</v>
      </c>
      <c r="C145" s="21"/>
      <c r="D145" s="21"/>
    </row>
    <row r="146" ht="15.75" customHeight="1">
      <c r="A146" s="19">
        <v>31003.0</v>
      </c>
      <c r="B146" s="20" t="s">
        <v>213</v>
      </c>
      <c r="C146" s="21"/>
      <c r="D146" s="21"/>
    </row>
    <row r="147" ht="15.75" customHeight="1">
      <c r="A147" s="19">
        <v>31101.0</v>
      </c>
      <c r="B147" s="20" t="s">
        <v>214</v>
      </c>
      <c r="C147" s="21"/>
      <c r="D147" s="21"/>
    </row>
    <row r="148" ht="15.75" customHeight="1">
      <c r="A148" s="19">
        <v>31201.0</v>
      </c>
      <c r="B148" s="20" t="s">
        <v>216</v>
      </c>
      <c r="C148" s="21"/>
      <c r="D148" s="21"/>
    </row>
    <row r="149" ht="15.75" customHeight="1">
      <c r="A149" s="19">
        <v>31202.0</v>
      </c>
      <c r="B149" s="20" t="s">
        <v>217</v>
      </c>
      <c r="C149" s="21"/>
      <c r="D149" s="21"/>
    </row>
    <row r="150" ht="15.75" customHeight="1">
      <c r="A150" s="19">
        <v>31203.0</v>
      </c>
      <c r="B150" s="20" t="s">
        <v>218</v>
      </c>
      <c r="C150" s="21"/>
      <c r="D150" s="21"/>
    </row>
    <row r="151" ht="15.75" customHeight="1">
      <c r="A151" s="19">
        <v>31204.0</v>
      </c>
      <c r="B151" s="20" t="s">
        <v>219</v>
      </c>
      <c r="C151" s="21"/>
      <c r="D151" s="21"/>
    </row>
    <row r="152" ht="15.75" customHeight="1">
      <c r="A152" s="19">
        <v>31205.0</v>
      </c>
      <c r="B152" s="20" t="s">
        <v>220</v>
      </c>
      <c r="C152" s="21"/>
      <c r="D152" s="21"/>
    </row>
    <row r="153" ht="15.75" customHeight="1">
      <c r="A153" s="19">
        <v>31206.0</v>
      </c>
      <c r="B153" s="20" t="s">
        <v>221</v>
      </c>
      <c r="C153" s="21"/>
      <c r="D153" s="21"/>
    </row>
    <row r="154" ht="15.75" customHeight="1">
      <c r="A154" s="19">
        <v>31301.0</v>
      </c>
      <c r="B154" s="20" t="s">
        <v>222</v>
      </c>
      <c r="C154" s="21"/>
      <c r="D154" s="21"/>
    </row>
    <row r="155" ht="15.75" customHeight="1">
      <c r="A155" s="19">
        <v>31302.0</v>
      </c>
      <c r="B155" s="20" t="s">
        <v>223</v>
      </c>
      <c r="C155" s="21"/>
      <c r="D155" s="21"/>
    </row>
    <row r="156" ht="15.75" customHeight="1">
      <c r="A156" s="19">
        <v>31303.0</v>
      </c>
      <c r="B156" s="20" t="s">
        <v>224</v>
      </c>
      <c r="C156" s="21"/>
      <c r="D156" s="21"/>
    </row>
    <row r="157" ht="15.75" customHeight="1">
      <c r="A157" s="19">
        <v>31304.0</v>
      </c>
      <c r="B157" s="20" t="s">
        <v>225</v>
      </c>
      <c r="C157" s="21"/>
      <c r="D157" s="21"/>
    </row>
    <row r="158" ht="15.75" customHeight="1">
      <c r="A158" s="19">
        <v>31401.0</v>
      </c>
      <c r="B158" s="20" t="s">
        <v>226</v>
      </c>
      <c r="C158" s="21"/>
      <c r="D158" s="21"/>
    </row>
    <row r="159" ht="15.75" customHeight="1">
      <c r="A159" s="19">
        <v>31402.0</v>
      </c>
      <c r="B159" s="20" t="s">
        <v>227</v>
      </c>
      <c r="C159" s="21"/>
      <c r="D159" s="21"/>
    </row>
    <row r="160" ht="15.75" customHeight="1">
      <c r="A160" s="19">
        <v>31403.0</v>
      </c>
      <c r="B160" s="20" t="s">
        <v>228</v>
      </c>
      <c r="C160" s="21"/>
      <c r="D160" s="21"/>
    </row>
    <row r="161" ht="15.75" customHeight="1">
      <c r="A161" s="19">
        <v>31404.0</v>
      </c>
      <c r="B161" s="20" t="s">
        <v>229</v>
      </c>
      <c r="C161" s="21"/>
      <c r="D161" s="21"/>
    </row>
    <row r="162" ht="15.75" customHeight="1">
      <c r="A162" s="19">
        <v>31405.0</v>
      </c>
      <c r="B162" s="20" t="s">
        <v>230</v>
      </c>
      <c r="C162" s="21"/>
      <c r="D162" s="21"/>
    </row>
    <row r="163" ht="15.75" customHeight="1">
      <c r="A163" s="19">
        <v>31501.0</v>
      </c>
      <c r="B163" s="20" t="s">
        <v>231</v>
      </c>
      <c r="C163" s="21"/>
      <c r="D163" s="21"/>
    </row>
    <row r="164" ht="15.75" customHeight="1">
      <c r="A164" s="19">
        <v>31601.0</v>
      </c>
      <c r="B164" s="20" t="s">
        <v>232</v>
      </c>
      <c r="C164" s="21"/>
      <c r="D164" s="21"/>
    </row>
    <row r="165" ht="15.75" customHeight="1">
      <c r="A165" s="19">
        <v>31602.0</v>
      </c>
      <c r="B165" s="20" t="s">
        <v>233</v>
      </c>
      <c r="C165" s="21"/>
      <c r="D165" s="21"/>
    </row>
    <row r="166" ht="15.75" customHeight="1">
      <c r="A166" s="19">
        <v>40101.0</v>
      </c>
      <c r="B166" s="20" t="s">
        <v>35</v>
      </c>
      <c r="C166" s="21"/>
      <c r="D166" s="21"/>
    </row>
    <row r="167" ht="15.75" customHeight="1">
      <c r="A167" s="19">
        <v>40102.0</v>
      </c>
      <c r="B167" s="20" t="s">
        <v>234</v>
      </c>
      <c r="C167" s="21"/>
      <c r="D167" s="21"/>
    </row>
    <row r="168" ht="15.75" customHeight="1">
      <c r="A168" s="19">
        <v>40103.0</v>
      </c>
      <c r="B168" s="20" t="s">
        <v>235</v>
      </c>
      <c r="C168" s="21"/>
      <c r="D168" s="21"/>
    </row>
    <row r="169" ht="15.75" customHeight="1">
      <c r="A169" s="19">
        <v>40104.0</v>
      </c>
      <c r="B169" s="20" t="s">
        <v>236</v>
      </c>
      <c r="C169" s="21"/>
      <c r="D169" s="21"/>
    </row>
    <row r="170" ht="15.75" customHeight="1">
      <c r="A170" s="19">
        <v>40201.0</v>
      </c>
      <c r="B170" s="20" t="s">
        <v>238</v>
      </c>
      <c r="C170" s="21"/>
      <c r="D170" s="21"/>
    </row>
    <row r="171" ht="15.75" customHeight="1">
      <c r="A171" s="19">
        <v>40202.0</v>
      </c>
      <c r="B171" s="20" t="s">
        <v>239</v>
      </c>
      <c r="C171" s="21"/>
      <c r="D171" s="21"/>
    </row>
    <row r="172" ht="15.75" customHeight="1">
      <c r="A172" s="19">
        <v>40301.0</v>
      </c>
      <c r="B172" s="20" t="s">
        <v>241</v>
      </c>
      <c r="C172" s="21"/>
      <c r="D172" s="21"/>
    </row>
    <row r="173" ht="15.75" customHeight="1">
      <c r="A173" s="19">
        <v>40302.0</v>
      </c>
      <c r="B173" s="20" t="s">
        <v>242</v>
      </c>
      <c r="C173" s="21"/>
      <c r="D173" s="21"/>
    </row>
    <row r="174" ht="15.75" customHeight="1">
      <c r="A174" s="19">
        <v>40401.0</v>
      </c>
      <c r="B174" s="20" t="s">
        <v>244</v>
      </c>
      <c r="C174" s="21"/>
      <c r="D174" s="21"/>
    </row>
    <row r="175" ht="15.75" customHeight="1">
      <c r="A175" s="19">
        <v>40402.0</v>
      </c>
      <c r="B175" s="20" t="s">
        <v>245</v>
      </c>
      <c r="C175" s="21"/>
      <c r="D175" s="21"/>
    </row>
    <row r="176" ht="15.75" customHeight="1">
      <c r="A176" s="19">
        <v>40501.0</v>
      </c>
      <c r="B176" s="20" t="s">
        <v>247</v>
      </c>
      <c r="C176" s="21"/>
      <c r="D176" s="21"/>
    </row>
    <row r="177" ht="15.75" customHeight="1">
      <c r="A177" s="19">
        <v>40502.0</v>
      </c>
      <c r="B177" s="20" t="s">
        <v>248</v>
      </c>
      <c r="C177" s="21"/>
      <c r="D177" s="21"/>
    </row>
    <row r="178" ht="15.75" customHeight="1">
      <c r="A178" s="19">
        <v>40503.0</v>
      </c>
      <c r="B178" s="20" t="s">
        <v>249</v>
      </c>
      <c r="C178" s="21"/>
      <c r="D178" s="21"/>
    </row>
    <row r="179" ht="15.75" customHeight="1">
      <c r="A179" s="19">
        <v>40504.0</v>
      </c>
      <c r="B179" s="20" t="s">
        <v>250</v>
      </c>
      <c r="C179" s="21"/>
      <c r="D179" s="21"/>
    </row>
    <row r="180" ht="15.75" customHeight="1">
      <c r="A180" s="19">
        <v>40505.0</v>
      </c>
      <c r="B180" s="20" t="s">
        <v>251</v>
      </c>
      <c r="C180" s="21"/>
      <c r="D180" s="21"/>
    </row>
    <row r="181" ht="15.75" customHeight="1">
      <c r="A181" s="19">
        <v>40601.0</v>
      </c>
      <c r="B181" s="20" t="s">
        <v>252</v>
      </c>
      <c r="C181" s="21"/>
      <c r="D181" s="21"/>
    </row>
    <row r="182" ht="15.75" customHeight="1">
      <c r="A182" s="19">
        <v>40602.0</v>
      </c>
      <c r="B182" s="20" t="s">
        <v>253</v>
      </c>
      <c r="C182" s="21"/>
      <c r="D182" s="21"/>
    </row>
    <row r="183" ht="15.75" customHeight="1">
      <c r="A183" s="19">
        <v>40603.0</v>
      </c>
      <c r="B183" s="20" t="s">
        <v>254</v>
      </c>
      <c r="C183" s="21"/>
      <c r="D183" s="21"/>
    </row>
    <row r="184" ht="15.75" customHeight="1">
      <c r="A184" s="19">
        <v>40701.0</v>
      </c>
      <c r="B184" s="20" t="s">
        <v>256</v>
      </c>
      <c r="C184" s="21"/>
      <c r="D184" s="21"/>
    </row>
    <row r="185" ht="15.75" customHeight="1">
      <c r="A185" s="19">
        <v>40702.0</v>
      </c>
      <c r="B185" s="20" t="s">
        <v>257</v>
      </c>
      <c r="C185" s="21"/>
      <c r="D185" s="21"/>
    </row>
    <row r="186" ht="15.75" customHeight="1">
      <c r="A186" s="19">
        <v>40801.0</v>
      </c>
      <c r="B186" s="20" t="s">
        <v>259</v>
      </c>
      <c r="C186" s="21"/>
      <c r="D186" s="21"/>
    </row>
    <row r="187" ht="15.75" customHeight="1">
      <c r="A187" s="19">
        <v>40802.0</v>
      </c>
      <c r="B187" s="20" t="s">
        <v>260</v>
      </c>
      <c r="C187" s="21"/>
      <c r="D187" s="21"/>
    </row>
    <row r="188" ht="15.75" customHeight="1">
      <c r="A188" s="19">
        <v>40901.0</v>
      </c>
      <c r="B188" s="20" t="s">
        <v>261</v>
      </c>
      <c r="C188" s="21"/>
      <c r="D188" s="21"/>
    </row>
    <row r="189" ht="15.75" customHeight="1">
      <c r="A189" s="19">
        <v>40902.0</v>
      </c>
      <c r="B189" s="20" t="s">
        <v>262</v>
      </c>
      <c r="C189" s="21"/>
      <c r="D189" s="21"/>
    </row>
    <row r="190" ht="15.75" customHeight="1">
      <c r="A190" s="19">
        <v>40903.0</v>
      </c>
      <c r="B190" s="20" t="s">
        <v>263</v>
      </c>
      <c r="C190" s="21"/>
      <c r="D190" s="21"/>
    </row>
    <row r="191" ht="15.75" customHeight="1">
      <c r="A191" s="19">
        <v>41001.0</v>
      </c>
      <c r="B191" s="20" t="s">
        <v>265</v>
      </c>
      <c r="C191" s="21"/>
      <c r="D191" s="21"/>
    </row>
    <row r="192" ht="15.75" customHeight="1">
      <c r="A192" s="19">
        <v>41101.0</v>
      </c>
      <c r="B192" s="20" t="s">
        <v>267</v>
      </c>
      <c r="C192" s="21"/>
      <c r="D192" s="21"/>
    </row>
    <row r="193" ht="15.75" customHeight="1">
      <c r="A193" s="19">
        <v>41201.0</v>
      </c>
      <c r="B193" s="20" t="s">
        <v>269</v>
      </c>
      <c r="C193" s="21"/>
      <c r="D193" s="21"/>
    </row>
    <row r="194" ht="15.75" customHeight="1">
      <c r="A194" s="19">
        <v>41202.0</v>
      </c>
      <c r="B194" s="20" t="s">
        <v>270</v>
      </c>
      <c r="C194" s="21"/>
      <c r="D194" s="21"/>
    </row>
    <row r="195" ht="15.75" customHeight="1">
      <c r="A195" s="19">
        <v>41301.0</v>
      </c>
      <c r="B195" s="20" t="s">
        <v>271</v>
      </c>
      <c r="C195" s="21"/>
      <c r="D195" s="21"/>
    </row>
    <row r="196" ht="15.75" customHeight="1">
      <c r="A196" s="19">
        <v>41401.0</v>
      </c>
      <c r="B196" s="20" t="s">
        <v>273</v>
      </c>
      <c r="C196" s="21"/>
      <c r="D196" s="21"/>
    </row>
    <row r="197" ht="15.75" customHeight="1">
      <c r="A197" s="19">
        <v>41501.0</v>
      </c>
      <c r="B197" s="20" t="s">
        <v>275</v>
      </c>
      <c r="C197" s="21"/>
      <c r="D197" s="21"/>
    </row>
    <row r="198" ht="15.75" customHeight="1">
      <c r="A198" s="19">
        <v>41502.0</v>
      </c>
      <c r="B198" s="20" t="s">
        <v>276</v>
      </c>
      <c r="C198" s="21"/>
      <c r="D198" s="21"/>
    </row>
    <row r="199" ht="15.75" customHeight="1">
      <c r="A199" s="19">
        <v>41503.0</v>
      </c>
      <c r="B199" s="20" t="s">
        <v>240</v>
      </c>
      <c r="C199" s="21"/>
      <c r="D199" s="21"/>
    </row>
    <row r="200" ht="15.75" customHeight="1">
      <c r="A200" s="19">
        <v>41601.0</v>
      </c>
      <c r="B200" s="20" t="s">
        <v>278</v>
      </c>
      <c r="C200" s="21"/>
      <c r="D200" s="21"/>
    </row>
    <row r="201" ht="15.75" customHeight="1">
      <c r="A201" s="19">
        <v>50101.0</v>
      </c>
      <c r="B201" s="20" t="s">
        <v>279</v>
      </c>
      <c r="C201" s="21"/>
      <c r="D201" s="21"/>
    </row>
    <row r="202" ht="15.75" customHeight="1">
      <c r="A202" s="19">
        <v>50102.0</v>
      </c>
      <c r="B202" s="20" t="s">
        <v>281</v>
      </c>
      <c r="C202" s="21"/>
      <c r="D202" s="21"/>
    </row>
    <row r="203" ht="15.75" customHeight="1">
      <c r="A203" s="19">
        <v>50103.0</v>
      </c>
      <c r="B203" s="20" t="s">
        <v>282</v>
      </c>
      <c r="C203" s="21"/>
      <c r="D203" s="21"/>
    </row>
    <row r="204" ht="15.75" customHeight="1">
      <c r="A204" s="19">
        <v>50104.0</v>
      </c>
      <c r="B204" s="20" t="s">
        <v>283</v>
      </c>
      <c r="C204" s="21"/>
      <c r="D204" s="21"/>
    </row>
    <row r="205" ht="15.75" customHeight="1">
      <c r="A205" s="19">
        <v>50201.0</v>
      </c>
      <c r="B205" s="20" t="s">
        <v>285</v>
      </c>
      <c r="C205" s="21"/>
      <c r="D205" s="21"/>
    </row>
    <row r="206" ht="15.75" customHeight="1">
      <c r="A206" s="19">
        <v>50202.0</v>
      </c>
      <c r="B206" s="20" t="s">
        <v>286</v>
      </c>
      <c r="C206" s="21"/>
      <c r="D206" s="21"/>
    </row>
    <row r="207" ht="15.75" customHeight="1">
      <c r="A207" s="19">
        <v>50203.0</v>
      </c>
      <c r="B207" s="20" t="s">
        <v>287</v>
      </c>
      <c r="C207" s="21"/>
      <c r="D207" s="21"/>
    </row>
    <row r="208" ht="15.75" customHeight="1">
      <c r="A208" s="19">
        <v>50204.0</v>
      </c>
      <c r="B208" s="20" t="s">
        <v>288</v>
      </c>
      <c r="C208" s="21"/>
      <c r="D208" s="21"/>
    </row>
    <row r="209" ht="15.75" customHeight="1">
      <c r="A209" s="19">
        <v>50301.0</v>
      </c>
      <c r="B209" s="20" t="s">
        <v>290</v>
      </c>
      <c r="C209" s="21"/>
      <c r="D209" s="21"/>
    </row>
    <row r="210" ht="15.75" customHeight="1">
      <c r="A210" s="19">
        <v>50302.0</v>
      </c>
      <c r="B210" s="20" t="s">
        <v>291</v>
      </c>
      <c r="C210" s="21"/>
      <c r="D210" s="21"/>
    </row>
    <row r="211" ht="15.75" customHeight="1">
      <c r="A211" s="19">
        <v>50303.0</v>
      </c>
      <c r="B211" s="20" t="s">
        <v>292</v>
      </c>
      <c r="C211" s="21"/>
      <c r="D211" s="21"/>
    </row>
    <row r="212" ht="15.75" customHeight="1">
      <c r="A212" s="19">
        <v>50401.0</v>
      </c>
      <c r="B212" s="20" t="s">
        <v>293</v>
      </c>
      <c r="C212" s="21"/>
      <c r="D212" s="21"/>
    </row>
    <row r="213" ht="15.75" customHeight="1">
      <c r="A213" s="19">
        <v>50402.0</v>
      </c>
      <c r="B213" s="20" t="s">
        <v>294</v>
      </c>
      <c r="C213" s="21"/>
      <c r="D213" s="21"/>
    </row>
    <row r="214" ht="15.75" customHeight="1">
      <c r="A214" s="19">
        <v>50403.0</v>
      </c>
      <c r="B214" s="20" t="s">
        <v>295</v>
      </c>
      <c r="C214" s="21"/>
      <c r="D214" s="21"/>
    </row>
    <row r="215" ht="15.75" customHeight="1">
      <c r="A215" s="19">
        <v>50404.0</v>
      </c>
      <c r="B215" s="20" t="s">
        <v>296</v>
      </c>
      <c r="C215" s="21"/>
      <c r="D215" s="21"/>
    </row>
    <row r="216" ht="15.75" customHeight="1">
      <c r="A216" s="19">
        <v>50405.0</v>
      </c>
      <c r="B216" s="20" t="s">
        <v>297</v>
      </c>
      <c r="C216" s="21"/>
      <c r="D216" s="21"/>
    </row>
    <row r="217" ht="15.75" customHeight="1">
      <c r="A217" s="19">
        <v>50501.0</v>
      </c>
      <c r="B217" s="20" t="s">
        <v>299</v>
      </c>
      <c r="C217" s="21"/>
      <c r="D217" s="21"/>
    </row>
    <row r="218" ht="15.75" customHeight="1">
      <c r="A218" s="19">
        <v>50502.0</v>
      </c>
      <c r="B218" s="20" t="s">
        <v>300</v>
      </c>
      <c r="C218" s="21"/>
      <c r="D218" s="21"/>
    </row>
    <row r="219" ht="15.75" customHeight="1">
      <c r="A219" s="19">
        <v>50601.0</v>
      </c>
      <c r="B219" s="20" t="s">
        <v>302</v>
      </c>
      <c r="C219" s="21"/>
      <c r="D219" s="21"/>
    </row>
    <row r="220" ht="15.75" customHeight="1">
      <c r="A220" s="19">
        <v>50602.0</v>
      </c>
      <c r="B220" s="20" t="s">
        <v>303</v>
      </c>
      <c r="C220" s="21"/>
      <c r="D220" s="21"/>
    </row>
    <row r="221" ht="15.75" customHeight="1">
      <c r="A221" s="19">
        <v>50701.0</v>
      </c>
      <c r="B221" s="20" t="s">
        <v>305</v>
      </c>
      <c r="C221" s="21"/>
      <c r="D221" s="21"/>
    </row>
    <row r="222" ht="15.75" customHeight="1">
      <c r="A222" s="19">
        <v>50702.0</v>
      </c>
      <c r="B222" s="20" t="s">
        <v>306</v>
      </c>
      <c r="C222" s="21"/>
      <c r="D222" s="21"/>
    </row>
    <row r="223" ht="15.75" customHeight="1">
      <c r="A223" s="19">
        <v>50801.0</v>
      </c>
      <c r="B223" s="20" t="s">
        <v>308</v>
      </c>
      <c r="C223" s="21"/>
      <c r="D223" s="21"/>
    </row>
    <row r="224" ht="15.75" customHeight="1">
      <c r="A224" s="19">
        <v>50802.0</v>
      </c>
      <c r="B224" s="20" t="s">
        <v>309</v>
      </c>
      <c r="C224" s="21"/>
      <c r="D224" s="21"/>
    </row>
    <row r="225" ht="15.75" customHeight="1">
      <c r="A225" s="19">
        <v>50901.0</v>
      </c>
      <c r="B225" s="20" t="s">
        <v>311</v>
      </c>
      <c r="C225" s="21"/>
      <c r="D225" s="21"/>
    </row>
    <row r="226" ht="15.75" customHeight="1">
      <c r="A226" s="19">
        <v>50902.0</v>
      </c>
      <c r="B226" s="20" t="s">
        <v>312</v>
      </c>
      <c r="C226" s="21"/>
      <c r="D226" s="21"/>
    </row>
    <row r="227" ht="15.75" customHeight="1">
      <c r="A227" s="19">
        <v>51001.0</v>
      </c>
      <c r="B227" s="20" t="s">
        <v>314</v>
      </c>
      <c r="C227" s="21"/>
      <c r="D227" s="21"/>
    </row>
    <row r="228" ht="15.75" customHeight="1">
      <c r="A228" s="19">
        <v>51002.0</v>
      </c>
      <c r="B228" s="20" t="s">
        <v>315</v>
      </c>
      <c r="C228" s="21"/>
      <c r="D228" s="21"/>
    </row>
    <row r="229" ht="15.75" customHeight="1">
      <c r="A229" s="19">
        <v>51003.0</v>
      </c>
      <c r="B229" s="20" t="s">
        <v>316</v>
      </c>
      <c r="C229" s="21"/>
      <c r="D229" s="21"/>
    </row>
    <row r="230" ht="15.75" customHeight="1">
      <c r="A230" s="19">
        <v>51101.0</v>
      </c>
      <c r="B230" s="20" t="s">
        <v>318</v>
      </c>
      <c r="C230" s="21"/>
      <c r="D230" s="21"/>
    </row>
    <row r="231" ht="15.75" customHeight="1">
      <c r="A231" s="19">
        <v>51102.0</v>
      </c>
      <c r="B231" s="20" t="s">
        <v>319</v>
      </c>
      <c r="C231" s="21"/>
      <c r="D231" s="21"/>
    </row>
    <row r="232" ht="15.75" customHeight="1">
      <c r="A232" s="19">
        <v>51103.0</v>
      </c>
      <c r="B232" s="20" t="s">
        <v>320</v>
      </c>
      <c r="C232" s="21"/>
      <c r="D232" s="21"/>
    </row>
    <row r="233" ht="15.75" customHeight="1">
      <c r="A233" s="19">
        <v>51201.0</v>
      </c>
      <c r="B233" s="20" t="s">
        <v>322</v>
      </c>
      <c r="C233" s="21"/>
      <c r="D233" s="21"/>
    </row>
    <row r="234" ht="15.75" customHeight="1">
      <c r="A234" s="19">
        <v>51202.0</v>
      </c>
      <c r="B234" s="20" t="s">
        <v>323</v>
      </c>
      <c r="C234" s="21"/>
      <c r="D234" s="21"/>
    </row>
    <row r="235" ht="15.75" customHeight="1">
      <c r="A235" s="19">
        <v>51203.0</v>
      </c>
      <c r="B235" s="20" t="s">
        <v>324</v>
      </c>
      <c r="C235" s="21"/>
      <c r="D235" s="21"/>
    </row>
    <row r="236" ht="15.75" customHeight="1">
      <c r="A236" s="19">
        <v>51204.0</v>
      </c>
      <c r="B236" s="20" t="s">
        <v>325</v>
      </c>
      <c r="C236" s="21"/>
      <c r="D236" s="21"/>
    </row>
    <row r="237" ht="15.75" customHeight="1">
      <c r="A237" s="19">
        <v>51301.0</v>
      </c>
      <c r="B237" s="20" t="s">
        <v>327</v>
      </c>
      <c r="C237" s="21"/>
      <c r="D237" s="21"/>
    </row>
    <row r="238" ht="15.75" customHeight="1">
      <c r="A238" s="19">
        <v>51302.0</v>
      </c>
      <c r="B238" s="20" t="s">
        <v>328</v>
      </c>
      <c r="C238" s="21"/>
      <c r="D238" s="21"/>
    </row>
    <row r="239" ht="15.75" customHeight="1">
      <c r="A239" s="19">
        <v>51401.0</v>
      </c>
      <c r="B239" s="20" t="s">
        <v>330</v>
      </c>
      <c r="C239" s="21"/>
      <c r="D239" s="21"/>
    </row>
    <row r="240" ht="15.75" customHeight="1">
      <c r="A240" s="19">
        <v>51402.0</v>
      </c>
      <c r="B240" s="20" t="s">
        <v>331</v>
      </c>
      <c r="C240" s="21"/>
      <c r="D240" s="21"/>
    </row>
    <row r="241" ht="15.75" customHeight="1">
      <c r="A241" s="19">
        <v>51501.0</v>
      </c>
      <c r="B241" s="20" t="s">
        <v>333</v>
      </c>
      <c r="C241" s="21"/>
      <c r="D241" s="21"/>
    </row>
    <row r="242" ht="15.75" customHeight="1">
      <c r="A242" s="19">
        <v>51601.0</v>
      </c>
      <c r="B242" s="20" t="s">
        <v>335</v>
      </c>
      <c r="C242" s="21"/>
      <c r="D242" s="21"/>
    </row>
    <row r="243" ht="15.75" customHeight="1">
      <c r="A243" s="19">
        <v>60101.0</v>
      </c>
      <c r="B243" s="20" t="s">
        <v>40</v>
      </c>
      <c r="C243" s="21"/>
      <c r="D243" s="21"/>
    </row>
    <row r="244" ht="15.75" customHeight="1">
      <c r="A244" s="19">
        <v>60201.0</v>
      </c>
      <c r="B244" s="20" t="s">
        <v>337</v>
      </c>
      <c r="C244" s="21"/>
      <c r="D244" s="21"/>
    </row>
    <row r="245" ht="15.75" customHeight="1">
      <c r="A245" s="19">
        <v>60202.0</v>
      </c>
      <c r="B245" s="20" t="s">
        <v>338</v>
      </c>
      <c r="C245" s="21"/>
      <c r="D245" s="21"/>
    </row>
    <row r="246" ht="15.75" customHeight="1">
      <c r="A246" s="19">
        <v>60301.0</v>
      </c>
      <c r="B246" s="20" t="s">
        <v>340</v>
      </c>
      <c r="C246" s="21"/>
      <c r="D246" s="21"/>
    </row>
    <row r="247" ht="15.75" customHeight="1">
      <c r="A247" s="19">
        <v>60302.0</v>
      </c>
      <c r="B247" s="20" t="s">
        <v>341</v>
      </c>
      <c r="C247" s="21"/>
      <c r="D247" s="21"/>
    </row>
    <row r="248" ht="15.75" customHeight="1">
      <c r="A248" s="19">
        <v>60303.0</v>
      </c>
      <c r="B248" s="20" t="s">
        <v>342</v>
      </c>
      <c r="C248" s="21"/>
      <c r="D248" s="21"/>
    </row>
    <row r="249" ht="15.75" customHeight="1">
      <c r="A249" s="19">
        <v>60401.0</v>
      </c>
      <c r="B249" s="20" t="s">
        <v>344</v>
      </c>
      <c r="C249" s="21"/>
      <c r="D249" s="21"/>
    </row>
    <row r="250" ht="15.75" customHeight="1">
      <c r="A250" s="19">
        <v>60402.0</v>
      </c>
      <c r="B250" s="20" t="s">
        <v>345</v>
      </c>
      <c r="C250" s="21"/>
      <c r="D250" s="21"/>
    </row>
    <row r="251" ht="15.75" customHeight="1">
      <c r="A251" s="19">
        <v>60501.0</v>
      </c>
      <c r="B251" s="20" t="s">
        <v>347</v>
      </c>
      <c r="C251" s="21"/>
      <c r="D251" s="21"/>
    </row>
    <row r="252" ht="15.75" customHeight="1">
      <c r="A252" s="19">
        <v>60502.0</v>
      </c>
      <c r="B252" s="20" t="s">
        <v>348</v>
      </c>
      <c r="C252" s="21"/>
      <c r="D252" s="21"/>
    </row>
    <row r="253" ht="15.75" customHeight="1">
      <c r="A253" s="19">
        <v>60601.0</v>
      </c>
      <c r="B253" s="20" t="s">
        <v>221</v>
      </c>
      <c r="C253" s="21"/>
      <c r="D253" s="21"/>
    </row>
    <row r="254" ht="15.75" customHeight="1">
      <c r="A254" s="19">
        <v>70101.0</v>
      </c>
      <c r="B254" s="20" t="s">
        <v>351</v>
      </c>
      <c r="C254" s="21"/>
      <c r="D254" s="21"/>
    </row>
    <row r="255" ht="15.75" customHeight="1">
      <c r="A255" s="19">
        <v>70102.0</v>
      </c>
      <c r="B255" s="20" t="s">
        <v>352</v>
      </c>
      <c r="C255" s="21"/>
      <c r="D255" s="21"/>
    </row>
    <row r="256" ht="15.75" customHeight="1">
      <c r="A256" s="19">
        <v>70103.0</v>
      </c>
      <c r="B256" s="20" t="s">
        <v>353</v>
      </c>
      <c r="C256" s="21"/>
      <c r="D256" s="21"/>
    </row>
    <row r="257" ht="15.75" customHeight="1">
      <c r="A257" s="19">
        <v>70104.0</v>
      </c>
      <c r="B257" s="20" t="s">
        <v>354</v>
      </c>
      <c r="C257" s="21"/>
      <c r="D257" s="21"/>
    </row>
    <row r="258" ht="15.75" customHeight="1">
      <c r="A258" s="19">
        <v>70105.0</v>
      </c>
      <c r="B258" s="20" t="s">
        <v>355</v>
      </c>
      <c r="C258" s="21"/>
      <c r="D258" s="21"/>
    </row>
    <row r="259" ht="15.75" customHeight="1">
      <c r="A259" s="19">
        <v>70201.0</v>
      </c>
      <c r="B259" s="20" t="s">
        <v>356</v>
      </c>
      <c r="C259" s="21"/>
      <c r="D259" s="21"/>
    </row>
    <row r="260" ht="15.75" customHeight="1">
      <c r="A260" s="19">
        <v>70202.0</v>
      </c>
      <c r="B260" s="20" t="s">
        <v>357</v>
      </c>
      <c r="C260" s="21"/>
      <c r="D260" s="21"/>
    </row>
    <row r="261" ht="15.75" customHeight="1">
      <c r="A261" s="19">
        <v>70301.0</v>
      </c>
      <c r="B261" s="20" t="s">
        <v>359</v>
      </c>
      <c r="C261" s="21"/>
      <c r="D261" s="21"/>
    </row>
    <row r="262" ht="15.75" customHeight="1">
      <c r="A262" s="19">
        <v>70302.0</v>
      </c>
      <c r="B262" s="20" t="s">
        <v>360</v>
      </c>
      <c r="C262" s="21"/>
      <c r="D262" s="21"/>
    </row>
    <row r="263" ht="15.75" customHeight="1">
      <c r="A263" s="19">
        <v>70303.0</v>
      </c>
      <c r="B263" s="20" t="s">
        <v>361</v>
      </c>
      <c r="C263" s="21"/>
      <c r="D263" s="21"/>
    </row>
    <row r="264" ht="15.75" customHeight="1">
      <c r="A264" s="19">
        <v>70401.0</v>
      </c>
      <c r="B264" s="20" t="s">
        <v>363</v>
      </c>
      <c r="C264" s="21"/>
      <c r="D264" s="21"/>
    </row>
    <row r="265" ht="15.75" customHeight="1">
      <c r="A265" s="19">
        <v>70402.0</v>
      </c>
      <c r="B265" s="20" t="s">
        <v>364</v>
      </c>
      <c r="C265" s="21"/>
      <c r="D265" s="21"/>
    </row>
    <row r="266" ht="15.75" customHeight="1">
      <c r="A266" s="19">
        <v>70403.0</v>
      </c>
      <c r="B266" s="20" t="s">
        <v>365</v>
      </c>
      <c r="C266" s="21"/>
      <c r="D266" s="21"/>
    </row>
    <row r="267" ht="15.75" customHeight="1">
      <c r="A267" s="19">
        <v>70404.0</v>
      </c>
      <c r="B267" s="20" t="s">
        <v>366</v>
      </c>
      <c r="C267" s="21"/>
      <c r="D267" s="21"/>
    </row>
    <row r="268" ht="15.75" customHeight="1">
      <c r="A268" s="19">
        <v>70501.0</v>
      </c>
      <c r="B268" s="20" t="s">
        <v>368</v>
      </c>
      <c r="C268" s="21"/>
      <c r="D268" s="21"/>
    </row>
    <row r="269" ht="15.75" customHeight="1">
      <c r="A269" s="19">
        <v>70502.0</v>
      </c>
      <c r="B269" s="20" t="s">
        <v>369</v>
      </c>
      <c r="C269" s="21"/>
      <c r="D269" s="21"/>
    </row>
    <row r="270" ht="15.75" customHeight="1">
      <c r="A270" s="19">
        <v>70503.0</v>
      </c>
      <c r="B270" s="20" t="s">
        <v>370</v>
      </c>
      <c r="C270" s="21"/>
      <c r="D270" s="21"/>
    </row>
    <row r="271" ht="15.75" customHeight="1">
      <c r="A271" s="19">
        <v>70601.0</v>
      </c>
      <c r="B271" s="20" t="s">
        <v>372</v>
      </c>
      <c r="C271" s="21"/>
      <c r="D271" s="21"/>
    </row>
    <row r="272" ht="15.75" customHeight="1">
      <c r="A272" s="19">
        <v>70602.0</v>
      </c>
      <c r="B272" s="20" t="s">
        <v>373</v>
      </c>
      <c r="C272" s="21"/>
      <c r="D272" s="21"/>
    </row>
    <row r="273" ht="15.75" customHeight="1">
      <c r="A273" s="19">
        <v>70603.0</v>
      </c>
      <c r="B273" s="20" t="s">
        <v>374</v>
      </c>
      <c r="C273" s="21"/>
      <c r="D273" s="21"/>
    </row>
    <row r="274" ht="15.75" customHeight="1">
      <c r="A274" s="19">
        <v>70701.0</v>
      </c>
      <c r="B274" s="20" t="s">
        <v>376</v>
      </c>
      <c r="C274" s="21"/>
      <c r="D274" s="21"/>
    </row>
    <row r="275" ht="15.75" customHeight="1">
      <c r="A275" s="19">
        <v>70702.0</v>
      </c>
      <c r="B275" s="20" t="s">
        <v>377</v>
      </c>
      <c r="C275" s="21"/>
      <c r="D275" s="21"/>
    </row>
    <row r="276" ht="15.75" customHeight="1">
      <c r="A276" s="19">
        <v>70703.0</v>
      </c>
      <c r="B276" s="20" t="s">
        <v>378</v>
      </c>
      <c r="C276" s="21"/>
      <c r="D276" s="21"/>
    </row>
    <row r="277" ht="15.75" customHeight="1">
      <c r="A277" s="19">
        <v>70704.0</v>
      </c>
      <c r="B277" s="20" t="s">
        <v>379</v>
      </c>
      <c r="C277" s="21"/>
      <c r="D277" s="21"/>
    </row>
    <row r="278" ht="15.75" customHeight="1">
      <c r="A278" s="19">
        <v>70705.0</v>
      </c>
      <c r="B278" s="20" t="s">
        <v>380</v>
      </c>
      <c r="C278" s="21"/>
      <c r="D278" s="21"/>
    </row>
    <row r="279" ht="15.75" customHeight="1">
      <c r="A279" s="19">
        <v>70706.0</v>
      </c>
      <c r="B279" s="20" t="s">
        <v>381</v>
      </c>
      <c r="C279" s="21"/>
      <c r="D279" s="21"/>
    </row>
    <row r="280" ht="15.75" customHeight="1">
      <c r="A280" s="19">
        <v>70707.0</v>
      </c>
      <c r="B280" s="20" t="s">
        <v>382</v>
      </c>
      <c r="C280" s="21"/>
      <c r="D280" s="21"/>
    </row>
    <row r="281" ht="15.75" customHeight="1">
      <c r="A281" s="19">
        <v>70801.0</v>
      </c>
      <c r="B281" s="20" t="s">
        <v>383</v>
      </c>
      <c r="C281" s="21"/>
      <c r="D281" s="21"/>
    </row>
    <row r="282" ht="15.75" customHeight="1">
      <c r="A282" s="19">
        <v>70802.0</v>
      </c>
      <c r="B282" s="20" t="s">
        <v>384</v>
      </c>
      <c r="C282" s="21"/>
      <c r="D282" s="21"/>
    </row>
    <row r="283" ht="15.75" customHeight="1">
      <c r="A283" s="19">
        <v>70803.0</v>
      </c>
      <c r="B283" s="20" t="s">
        <v>385</v>
      </c>
      <c r="C283" s="21"/>
      <c r="D283" s="21"/>
    </row>
    <row r="284" ht="15.75" customHeight="1">
      <c r="A284" s="19">
        <v>70804.0</v>
      </c>
      <c r="B284" s="20" t="s">
        <v>386</v>
      </c>
      <c r="C284" s="21"/>
      <c r="D284" s="21"/>
    </row>
    <row r="285" ht="15.75" customHeight="1">
      <c r="A285" s="19">
        <v>70805.0</v>
      </c>
      <c r="B285" s="20" t="s">
        <v>387</v>
      </c>
      <c r="C285" s="21"/>
      <c r="D285" s="21"/>
    </row>
    <row r="286" ht="15.75" customHeight="1">
      <c r="A286" s="19">
        <v>70901.0</v>
      </c>
      <c r="B286" s="20" t="s">
        <v>389</v>
      </c>
      <c r="C286" s="21"/>
      <c r="D286" s="21"/>
    </row>
    <row r="287" ht="15.75" customHeight="1">
      <c r="A287" s="19">
        <v>70902.0</v>
      </c>
      <c r="B287" s="20" t="s">
        <v>390</v>
      </c>
      <c r="C287" s="21"/>
      <c r="D287" s="21"/>
    </row>
    <row r="288" ht="15.75" customHeight="1">
      <c r="A288" s="19">
        <v>70903.0</v>
      </c>
      <c r="B288" s="20" t="s">
        <v>391</v>
      </c>
      <c r="C288" s="21"/>
      <c r="D288" s="21"/>
    </row>
    <row r="289" ht="15.75" customHeight="1">
      <c r="A289" s="19">
        <v>70904.0</v>
      </c>
      <c r="B289" s="20" t="s">
        <v>392</v>
      </c>
      <c r="C289" s="21"/>
      <c r="D289" s="21"/>
    </row>
    <row r="290" ht="15.75" customHeight="1">
      <c r="A290" s="19">
        <v>71001.0</v>
      </c>
      <c r="B290" s="20" t="s">
        <v>394</v>
      </c>
      <c r="C290" s="21"/>
      <c r="D290" s="21"/>
    </row>
    <row r="291" ht="15.75" customHeight="1">
      <c r="A291" s="19">
        <v>71002.0</v>
      </c>
      <c r="B291" s="20" t="s">
        <v>395</v>
      </c>
      <c r="C291" s="21"/>
      <c r="D291" s="21"/>
    </row>
    <row r="292" ht="15.75" customHeight="1">
      <c r="A292" s="19">
        <v>71003.0</v>
      </c>
      <c r="B292" s="20" t="s">
        <v>396</v>
      </c>
      <c r="C292" s="21"/>
      <c r="D292" s="21"/>
    </row>
    <row r="293" ht="15.75" customHeight="1">
      <c r="A293" s="19">
        <v>71004.0</v>
      </c>
      <c r="B293" s="20" t="s">
        <v>397</v>
      </c>
      <c r="C293" s="21"/>
      <c r="D293" s="21"/>
    </row>
    <row r="294" ht="15.75" customHeight="1">
      <c r="A294" s="19">
        <v>71005.0</v>
      </c>
      <c r="B294" s="20" t="s">
        <v>398</v>
      </c>
      <c r="C294" s="21"/>
      <c r="D294" s="21"/>
    </row>
    <row r="295" ht="15.75" customHeight="1">
      <c r="A295" s="19">
        <v>71101.0</v>
      </c>
      <c r="B295" s="20" t="s">
        <v>400</v>
      </c>
      <c r="C295" s="21"/>
      <c r="D295" s="21"/>
    </row>
    <row r="296" ht="15.75" customHeight="1">
      <c r="A296" s="19">
        <v>71102.0</v>
      </c>
      <c r="B296" s="20" t="s">
        <v>401</v>
      </c>
      <c r="C296" s="21"/>
      <c r="D296" s="21"/>
    </row>
    <row r="297" ht="15.75" customHeight="1">
      <c r="A297" s="19">
        <v>71103.0</v>
      </c>
      <c r="B297" s="20" t="s">
        <v>402</v>
      </c>
      <c r="C297" s="21"/>
      <c r="D297" s="21"/>
    </row>
    <row r="298" ht="15.75" customHeight="1">
      <c r="A298" s="19">
        <v>71104.0</v>
      </c>
      <c r="B298" s="20" t="s">
        <v>403</v>
      </c>
      <c r="C298" s="21"/>
      <c r="D298" s="21"/>
    </row>
    <row r="299" ht="15.75" customHeight="1">
      <c r="A299" s="19">
        <v>71105.0</v>
      </c>
      <c r="B299" s="20" t="s">
        <v>404</v>
      </c>
      <c r="C299" s="21"/>
      <c r="D299" s="21"/>
    </row>
    <row r="300" ht="15.75" customHeight="1">
      <c r="A300" s="19">
        <v>71106.0</v>
      </c>
      <c r="B300" s="20" t="s">
        <v>405</v>
      </c>
      <c r="C300" s="21"/>
      <c r="D300" s="21"/>
    </row>
    <row r="301" ht="15.75" customHeight="1">
      <c r="A301" s="19">
        <v>71201.0</v>
      </c>
      <c r="B301" s="20" t="s">
        <v>407</v>
      </c>
      <c r="C301" s="21"/>
      <c r="D301" s="21"/>
    </row>
    <row r="302" ht="15.75" customHeight="1">
      <c r="A302" s="19">
        <v>71301.0</v>
      </c>
      <c r="B302" s="20" t="s">
        <v>409</v>
      </c>
      <c r="C302" s="21"/>
      <c r="D302" s="21"/>
    </row>
    <row r="303" ht="15.75" customHeight="1">
      <c r="A303" s="19">
        <v>71302.0</v>
      </c>
      <c r="B303" s="20" t="s">
        <v>410</v>
      </c>
      <c r="C303" s="21"/>
      <c r="D303" s="21"/>
    </row>
    <row r="304" ht="15.75" customHeight="1">
      <c r="A304" s="19">
        <v>71401.0</v>
      </c>
      <c r="B304" s="20" t="s">
        <v>412</v>
      </c>
      <c r="C304" s="21"/>
      <c r="D304" s="21"/>
    </row>
    <row r="305" ht="15.75" customHeight="1">
      <c r="A305" s="19">
        <v>71402.0</v>
      </c>
      <c r="B305" s="20" t="s">
        <v>413</v>
      </c>
      <c r="C305" s="21"/>
      <c r="D305" s="21"/>
    </row>
    <row r="306" ht="15.75" customHeight="1">
      <c r="A306" s="19">
        <v>71403.0</v>
      </c>
      <c r="B306" s="20" t="s">
        <v>414</v>
      </c>
      <c r="C306" s="21"/>
      <c r="D306" s="21"/>
    </row>
    <row r="307" ht="15.75" customHeight="1">
      <c r="A307" s="19">
        <v>71501.0</v>
      </c>
      <c r="B307" s="20" t="s">
        <v>416</v>
      </c>
      <c r="C307" s="21"/>
      <c r="D307" s="21"/>
    </row>
    <row r="308" ht="15.75" customHeight="1">
      <c r="A308" s="19">
        <v>71502.0</v>
      </c>
      <c r="B308" s="20" t="s">
        <v>417</v>
      </c>
      <c r="C308" s="21"/>
      <c r="D308" s="21"/>
    </row>
    <row r="309" ht="15.75" customHeight="1">
      <c r="A309" s="19">
        <v>71503.0</v>
      </c>
      <c r="B309" s="20" t="s">
        <v>348</v>
      </c>
      <c r="C309" s="21"/>
      <c r="D309" s="21"/>
    </row>
    <row r="310" ht="15.75" customHeight="1">
      <c r="A310" s="19">
        <v>80101.0</v>
      </c>
      <c r="B310" s="20" t="s">
        <v>418</v>
      </c>
      <c r="C310" s="21"/>
      <c r="D310" s="21"/>
    </row>
    <row r="311" ht="15.75" customHeight="1">
      <c r="A311" s="19">
        <v>80102.0</v>
      </c>
      <c r="B311" s="20" t="s">
        <v>401</v>
      </c>
      <c r="C311" s="21"/>
      <c r="D311" s="21"/>
    </row>
    <row r="312" ht="15.75" customHeight="1">
      <c r="A312" s="19">
        <v>80201.0</v>
      </c>
      <c r="B312" s="20" t="s">
        <v>420</v>
      </c>
      <c r="C312" s="21"/>
      <c r="D312" s="21"/>
    </row>
    <row r="313" ht="15.75" customHeight="1">
      <c r="A313" s="19">
        <v>80202.0</v>
      </c>
      <c r="B313" s="20" t="s">
        <v>421</v>
      </c>
      <c r="C313" s="21"/>
      <c r="D313" s="21"/>
    </row>
    <row r="314" ht="15.75" customHeight="1">
      <c r="A314" s="19">
        <v>80301.0</v>
      </c>
      <c r="B314" s="20" t="s">
        <v>423</v>
      </c>
      <c r="C314" s="21"/>
      <c r="D314" s="21"/>
    </row>
    <row r="315" ht="15.75" customHeight="1">
      <c r="A315" s="19">
        <v>80302.0</v>
      </c>
      <c r="B315" s="20" t="s">
        <v>424</v>
      </c>
      <c r="C315" s="21"/>
      <c r="D315" s="21"/>
    </row>
    <row r="316" ht="15.75" customHeight="1">
      <c r="A316" s="19">
        <v>80303.0</v>
      </c>
      <c r="B316" s="20" t="s">
        <v>425</v>
      </c>
      <c r="C316" s="21"/>
      <c r="D316" s="21"/>
    </row>
    <row r="317" ht="15.75" customHeight="1">
      <c r="A317" s="19">
        <v>80304.0</v>
      </c>
      <c r="B317" s="20" t="s">
        <v>426</v>
      </c>
      <c r="C317" s="21"/>
      <c r="D317" s="21"/>
    </row>
    <row r="318" ht="15.75" customHeight="1">
      <c r="A318" s="19">
        <v>80401.0</v>
      </c>
      <c r="B318" s="20" t="s">
        <v>428</v>
      </c>
      <c r="C318" s="21"/>
      <c r="D318" s="21"/>
    </row>
    <row r="319" ht="15.75" customHeight="1">
      <c r="A319" s="19">
        <v>80402.0</v>
      </c>
      <c r="B319" s="20" t="s">
        <v>429</v>
      </c>
      <c r="C319" s="21"/>
      <c r="D319" s="21"/>
    </row>
    <row r="320" ht="15.75" customHeight="1">
      <c r="A320" s="19">
        <v>80501.0</v>
      </c>
      <c r="B320" s="20" t="s">
        <v>431</v>
      </c>
      <c r="C320" s="21"/>
      <c r="D320" s="21"/>
    </row>
    <row r="321" ht="15.75" customHeight="1">
      <c r="A321" s="19">
        <v>80601.0</v>
      </c>
      <c r="B321" s="20" t="s">
        <v>433</v>
      </c>
      <c r="C321" s="21"/>
      <c r="D321" s="21"/>
    </row>
    <row r="322" ht="15.75" customHeight="1">
      <c r="A322" s="19">
        <v>80602.0</v>
      </c>
      <c r="B322" s="20" t="s">
        <v>434</v>
      </c>
      <c r="C322" s="21"/>
      <c r="D322" s="21"/>
    </row>
    <row r="323" ht="15.75" customHeight="1">
      <c r="A323" s="19">
        <v>80701.0</v>
      </c>
      <c r="B323" s="20" t="s">
        <v>436</v>
      </c>
      <c r="C323" s="21"/>
      <c r="D323" s="21"/>
    </row>
    <row r="324" ht="15.75" customHeight="1">
      <c r="A324" s="19">
        <v>80702.0</v>
      </c>
      <c r="B324" s="20" t="s">
        <v>402</v>
      </c>
      <c r="C324" s="21"/>
      <c r="D324" s="21"/>
    </row>
    <row r="325" ht="15.75" customHeight="1">
      <c r="A325" s="19">
        <v>80703.0</v>
      </c>
      <c r="B325" s="20" t="s">
        <v>437</v>
      </c>
      <c r="C325" s="21"/>
      <c r="D325" s="21"/>
    </row>
    <row r="326" ht="15.75" customHeight="1">
      <c r="A326" s="19">
        <v>80801.0</v>
      </c>
      <c r="B326" s="20" t="s">
        <v>439</v>
      </c>
      <c r="C326" s="21"/>
      <c r="D326" s="21"/>
    </row>
    <row r="327" ht="15.75" customHeight="1">
      <c r="A327" s="19">
        <v>80802.0</v>
      </c>
      <c r="B327" s="20" t="s">
        <v>440</v>
      </c>
      <c r="C327" s="21"/>
      <c r="D327" s="21"/>
    </row>
    <row r="328" ht="15.75" customHeight="1">
      <c r="A328" s="19">
        <v>80803.0</v>
      </c>
      <c r="B328" s="20" t="s">
        <v>441</v>
      </c>
      <c r="C328" s="21"/>
      <c r="D328" s="21"/>
    </row>
    <row r="329" ht="15.75" customHeight="1">
      <c r="A329" s="19">
        <v>80901.0</v>
      </c>
      <c r="B329" s="20" t="s">
        <v>442</v>
      </c>
      <c r="C329" s="21"/>
      <c r="D329" s="21"/>
    </row>
    <row r="330" ht="15.75" customHeight="1">
      <c r="A330" s="19">
        <v>90101.0</v>
      </c>
      <c r="B330" s="20" t="s">
        <v>444</v>
      </c>
      <c r="C330" s="21"/>
      <c r="D330" s="21"/>
    </row>
    <row r="331" ht="15.75" customHeight="1">
      <c r="A331" s="19">
        <v>90102.0</v>
      </c>
      <c r="B331" s="20" t="s">
        <v>445</v>
      </c>
      <c r="C331" s="21"/>
      <c r="D331" s="21"/>
    </row>
    <row r="332" ht="15.75" customHeight="1">
      <c r="A332" s="19">
        <v>90103.0</v>
      </c>
      <c r="B332" s="20" t="s">
        <v>446</v>
      </c>
      <c r="C332" s="21"/>
      <c r="D332" s="21"/>
    </row>
    <row r="333" ht="15.75" customHeight="1">
      <c r="A333" s="19">
        <v>90104.0</v>
      </c>
      <c r="B333" s="20" t="s">
        <v>447</v>
      </c>
      <c r="C333" s="21"/>
      <c r="D333" s="21"/>
    </row>
    <row r="334" ht="15.75" customHeight="1">
      <c r="A334" s="19">
        <v>90201.0</v>
      </c>
      <c r="B334" s="20" t="s">
        <v>449</v>
      </c>
      <c r="C334" s="21"/>
      <c r="D334" s="21"/>
    </row>
    <row r="335" ht="15.75" customHeight="1">
      <c r="A335" s="19">
        <v>90202.0</v>
      </c>
      <c r="B335" s="20" t="s">
        <v>398</v>
      </c>
      <c r="C335" s="21"/>
      <c r="D335" s="21"/>
    </row>
    <row r="336" ht="15.75" customHeight="1">
      <c r="A336" s="19">
        <v>90203.0</v>
      </c>
      <c r="B336" s="20" t="s">
        <v>450</v>
      </c>
      <c r="C336" s="21"/>
      <c r="D336" s="21"/>
    </row>
    <row r="337" ht="15.75" customHeight="1">
      <c r="A337" s="19">
        <v>90301.0</v>
      </c>
      <c r="B337" s="20" t="s">
        <v>452</v>
      </c>
      <c r="C337" s="21"/>
      <c r="D337" s="21"/>
    </row>
    <row r="338" ht="15.75" customHeight="1">
      <c r="A338" s="19">
        <v>90302.0</v>
      </c>
      <c r="B338" s="20" t="s">
        <v>453</v>
      </c>
      <c r="C338" s="21"/>
      <c r="D338" s="21"/>
    </row>
    <row r="339" ht="15.75" customHeight="1">
      <c r="A339" s="19">
        <v>90303.0</v>
      </c>
      <c r="B339" s="20" t="s">
        <v>454</v>
      </c>
      <c r="C339" s="21"/>
      <c r="D339" s="21"/>
    </row>
    <row r="340" ht="15.75" customHeight="1">
      <c r="A340" s="19">
        <v>90401.0</v>
      </c>
      <c r="B340" s="20" t="s">
        <v>456</v>
      </c>
      <c r="C340" s="21"/>
      <c r="D340" s="21"/>
    </row>
    <row r="341" ht="15.75" customHeight="1">
      <c r="A341" s="19">
        <v>90402.0</v>
      </c>
      <c r="B341" s="20" t="s">
        <v>118</v>
      </c>
      <c r="C341" s="21"/>
      <c r="D341" s="21"/>
    </row>
    <row r="342" ht="15.75" customHeight="1">
      <c r="A342" s="19">
        <v>90501.0</v>
      </c>
      <c r="B342" s="20" t="s">
        <v>458</v>
      </c>
      <c r="C342" s="21"/>
      <c r="D342" s="21"/>
    </row>
    <row r="343" ht="15.75" customHeight="1">
      <c r="A343" s="19">
        <v>90502.0</v>
      </c>
      <c r="B343" s="20" t="s">
        <v>459</v>
      </c>
      <c r="C343" s="21"/>
      <c r="D343" s="21"/>
    </row>
    <row r="344" ht="15.75" customHeight="1">
      <c r="A344" s="19">
        <v>90503.0</v>
      </c>
      <c r="B344" s="20" t="s">
        <v>460</v>
      </c>
      <c r="C344" s="21"/>
      <c r="D344" s="21"/>
    </row>
    <row r="345" ht="15.75" customHeight="1">
      <c r="C345" s="15"/>
      <c r="D345" s="15"/>
    </row>
    <row r="346" ht="15.75" customHeight="1">
      <c r="C346" s="15"/>
      <c r="D346" s="15"/>
    </row>
    <row r="347" ht="15.75" customHeight="1">
      <c r="C347" s="15"/>
      <c r="D347" s="15"/>
    </row>
    <row r="348" ht="15.75" customHeight="1">
      <c r="C348" s="15"/>
      <c r="D348" s="15"/>
    </row>
    <row r="349" ht="15.75" customHeight="1">
      <c r="C349" s="15"/>
      <c r="D349" s="15"/>
    </row>
    <row r="350" ht="15.75" customHeight="1">
      <c r="C350" s="15"/>
      <c r="D350" s="15"/>
    </row>
    <row r="351" ht="15.75" customHeight="1">
      <c r="C351" s="15"/>
      <c r="D351" s="15"/>
    </row>
    <row r="352" ht="15.75" customHeight="1">
      <c r="C352" s="15"/>
      <c r="D352" s="15"/>
    </row>
    <row r="353" ht="15.75" customHeight="1">
      <c r="C353" s="15"/>
      <c r="D353" s="15"/>
    </row>
    <row r="354" ht="15.75" customHeight="1">
      <c r="C354" s="15"/>
      <c r="D354" s="15"/>
    </row>
    <row r="355" ht="15.75" customHeight="1">
      <c r="C355" s="15"/>
      <c r="D355" s="15"/>
    </row>
    <row r="356" ht="15.75" customHeight="1">
      <c r="C356" s="15"/>
      <c r="D356" s="15"/>
    </row>
    <row r="357" ht="15.75" customHeight="1">
      <c r="C357" s="15"/>
      <c r="D357" s="15"/>
    </row>
    <row r="358" ht="15.75" customHeight="1">
      <c r="C358" s="15"/>
      <c r="D358" s="15"/>
    </row>
    <row r="359" ht="15.75" customHeight="1">
      <c r="C359" s="15"/>
      <c r="D359" s="15"/>
    </row>
    <row r="360" ht="15.75" customHeight="1">
      <c r="C360" s="15"/>
      <c r="D360" s="15"/>
    </row>
    <row r="361" ht="15.75" customHeight="1">
      <c r="C361" s="15"/>
      <c r="D361" s="15"/>
    </row>
    <row r="362" ht="15.75" customHeight="1">
      <c r="C362" s="15"/>
      <c r="D362" s="15"/>
    </row>
    <row r="363" ht="15.75" customHeight="1">
      <c r="C363" s="15"/>
      <c r="D363" s="15"/>
    </row>
    <row r="364" ht="15.75" customHeight="1">
      <c r="C364" s="15"/>
      <c r="D364" s="15"/>
    </row>
    <row r="365" ht="15.75" customHeight="1">
      <c r="C365" s="15"/>
      <c r="D365" s="15"/>
    </row>
    <row r="366" ht="15.75" customHeight="1">
      <c r="C366" s="15"/>
      <c r="D366" s="15"/>
    </row>
    <row r="367" ht="15.75" customHeight="1">
      <c r="C367" s="15"/>
      <c r="D367" s="15"/>
    </row>
    <row r="368" ht="15.75" customHeight="1">
      <c r="C368" s="15"/>
      <c r="D368" s="15"/>
    </row>
    <row r="369" ht="15.75" customHeight="1">
      <c r="C369" s="15"/>
      <c r="D369" s="15"/>
    </row>
    <row r="370" ht="15.75" customHeight="1">
      <c r="C370" s="15"/>
      <c r="D370" s="15"/>
    </row>
    <row r="371" ht="15.75" customHeight="1">
      <c r="C371" s="15"/>
      <c r="D371" s="15"/>
    </row>
    <row r="372" ht="15.75" customHeight="1">
      <c r="C372" s="15"/>
      <c r="D372" s="15"/>
    </row>
    <row r="373" ht="15.75" customHeight="1">
      <c r="C373" s="15"/>
      <c r="D373" s="15"/>
    </row>
    <row r="374" ht="15.75" customHeight="1">
      <c r="C374" s="15"/>
      <c r="D374" s="15"/>
    </row>
    <row r="375" ht="15.75" customHeight="1">
      <c r="C375" s="15"/>
      <c r="D375" s="15"/>
    </row>
    <row r="376" ht="15.75" customHeight="1">
      <c r="C376" s="15"/>
      <c r="D376" s="15"/>
    </row>
    <row r="377" ht="15.75" customHeight="1">
      <c r="C377" s="15"/>
      <c r="D377" s="15"/>
    </row>
    <row r="378" ht="15.75" customHeight="1">
      <c r="C378" s="15"/>
      <c r="D378" s="15"/>
    </row>
    <row r="379" ht="15.75" customHeight="1">
      <c r="C379" s="15"/>
      <c r="D379" s="15"/>
    </row>
    <row r="380" ht="15.75" customHeight="1">
      <c r="C380" s="15"/>
      <c r="D380" s="15"/>
    </row>
    <row r="381" ht="15.75" customHeight="1">
      <c r="C381" s="15"/>
      <c r="D381" s="15"/>
    </row>
    <row r="382" ht="15.75" customHeight="1">
      <c r="C382" s="15"/>
      <c r="D382" s="15"/>
    </row>
    <row r="383" ht="15.75" customHeight="1">
      <c r="C383" s="15"/>
      <c r="D383" s="15"/>
    </row>
    <row r="384" ht="15.75" customHeight="1">
      <c r="C384" s="15"/>
      <c r="D384" s="15"/>
    </row>
    <row r="385" ht="15.75" customHeight="1">
      <c r="C385" s="15"/>
      <c r="D385" s="15"/>
    </row>
    <row r="386" ht="15.75" customHeight="1">
      <c r="C386" s="15"/>
      <c r="D386" s="15"/>
    </row>
    <row r="387" ht="15.75" customHeight="1">
      <c r="C387" s="15"/>
      <c r="D387" s="15"/>
    </row>
    <row r="388" ht="15.75" customHeight="1">
      <c r="C388" s="15"/>
      <c r="D388" s="15"/>
    </row>
    <row r="389" ht="15.75" customHeight="1">
      <c r="C389" s="15"/>
      <c r="D389" s="15"/>
    </row>
    <row r="390" ht="15.75" customHeight="1">
      <c r="C390" s="15"/>
      <c r="D390" s="15"/>
    </row>
    <row r="391" ht="15.75" customHeight="1">
      <c r="C391" s="15"/>
      <c r="D391" s="15"/>
    </row>
    <row r="392" ht="15.75" customHeight="1">
      <c r="C392" s="15"/>
      <c r="D392" s="15"/>
    </row>
    <row r="393" ht="15.75" customHeight="1">
      <c r="C393" s="15"/>
      <c r="D393" s="15"/>
    </row>
    <row r="394" ht="15.75" customHeight="1">
      <c r="C394" s="15"/>
      <c r="D394" s="15"/>
    </row>
    <row r="395" ht="15.75" customHeight="1">
      <c r="C395" s="15"/>
      <c r="D395" s="15"/>
    </row>
    <row r="396" ht="15.75" customHeight="1">
      <c r="C396" s="15"/>
      <c r="D396" s="15"/>
    </row>
    <row r="397" ht="15.75" customHeight="1">
      <c r="C397" s="15"/>
      <c r="D397" s="15"/>
    </row>
    <row r="398" ht="15.75" customHeight="1">
      <c r="C398" s="15"/>
      <c r="D398" s="15"/>
    </row>
    <row r="399" ht="15.75" customHeight="1">
      <c r="C399" s="15"/>
      <c r="D399" s="15"/>
    </row>
    <row r="400" ht="15.75" customHeight="1">
      <c r="C400" s="15"/>
      <c r="D400" s="15"/>
    </row>
    <row r="401" ht="15.75" customHeight="1">
      <c r="C401" s="15"/>
      <c r="D401" s="15"/>
    </row>
    <row r="402" ht="15.75" customHeight="1">
      <c r="C402" s="15"/>
      <c r="D402" s="15"/>
    </row>
    <row r="403" ht="15.75" customHeight="1">
      <c r="C403" s="15"/>
      <c r="D403" s="15"/>
    </row>
    <row r="404" ht="15.75" customHeight="1">
      <c r="C404" s="15"/>
      <c r="D404" s="15"/>
    </row>
    <row r="405" ht="15.75" customHeight="1">
      <c r="C405" s="15"/>
      <c r="D405" s="15"/>
    </row>
    <row r="406" ht="15.75" customHeight="1">
      <c r="C406" s="15"/>
      <c r="D406" s="15"/>
    </row>
    <row r="407" ht="15.75" customHeight="1">
      <c r="C407" s="15"/>
      <c r="D407" s="15"/>
    </row>
    <row r="408" ht="15.75" customHeight="1">
      <c r="C408" s="15"/>
      <c r="D408" s="15"/>
    </row>
    <row r="409" ht="15.75" customHeight="1">
      <c r="C409" s="15"/>
      <c r="D409" s="15"/>
    </row>
    <row r="410" ht="15.75" customHeight="1">
      <c r="C410" s="15"/>
      <c r="D410" s="15"/>
    </row>
    <row r="411" ht="15.75" customHeight="1">
      <c r="C411" s="15"/>
      <c r="D411" s="15"/>
    </row>
    <row r="412" ht="15.75" customHeight="1">
      <c r="C412" s="15"/>
      <c r="D412" s="15"/>
    </row>
    <row r="413" ht="15.75" customHeight="1">
      <c r="C413" s="15"/>
      <c r="D413" s="15"/>
    </row>
    <row r="414" ht="15.75" customHeight="1">
      <c r="C414" s="15"/>
      <c r="D414" s="15"/>
    </row>
    <row r="415" ht="15.75" customHeight="1">
      <c r="C415" s="15"/>
      <c r="D415" s="15"/>
    </row>
    <row r="416" ht="15.75" customHeight="1">
      <c r="C416" s="15"/>
      <c r="D416" s="15"/>
    </row>
    <row r="417" ht="15.75" customHeight="1">
      <c r="C417" s="15"/>
      <c r="D417" s="15"/>
    </row>
    <row r="418" ht="15.75" customHeight="1">
      <c r="C418" s="15"/>
      <c r="D418" s="15"/>
    </row>
    <row r="419" ht="15.75" customHeight="1">
      <c r="C419" s="15"/>
      <c r="D419" s="15"/>
    </row>
    <row r="420" ht="15.75" customHeight="1">
      <c r="C420" s="15"/>
      <c r="D420" s="15"/>
    </row>
    <row r="421" ht="15.75" customHeight="1">
      <c r="C421" s="15"/>
      <c r="D421" s="15"/>
    </row>
    <row r="422" ht="15.75" customHeight="1">
      <c r="C422" s="15"/>
      <c r="D422" s="15"/>
    </row>
    <row r="423" ht="15.75" customHeight="1">
      <c r="C423" s="15"/>
      <c r="D423" s="15"/>
    </row>
    <row r="424" ht="15.75" customHeight="1">
      <c r="C424" s="15"/>
      <c r="D424" s="15"/>
    </row>
    <row r="425" ht="15.75" customHeight="1">
      <c r="C425" s="15"/>
      <c r="D425" s="15"/>
    </row>
    <row r="426" ht="15.75" customHeight="1">
      <c r="C426" s="15"/>
      <c r="D426" s="15"/>
    </row>
    <row r="427" ht="15.75" customHeight="1">
      <c r="C427" s="15"/>
      <c r="D427" s="15"/>
    </row>
    <row r="428" ht="15.75" customHeight="1">
      <c r="C428" s="15"/>
      <c r="D428" s="15"/>
    </row>
    <row r="429" ht="15.75" customHeight="1">
      <c r="C429" s="15"/>
      <c r="D429" s="15"/>
    </row>
    <row r="430" ht="15.75" customHeight="1">
      <c r="C430" s="15"/>
      <c r="D430" s="15"/>
    </row>
    <row r="431" ht="15.75" customHeight="1">
      <c r="C431" s="15"/>
      <c r="D431" s="15"/>
    </row>
    <row r="432" ht="15.75" customHeight="1">
      <c r="C432" s="15"/>
      <c r="D432" s="15"/>
    </row>
    <row r="433" ht="15.75" customHeight="1">
      <c r="C433" s="15"/>
      <c r="D433" s="15"/>
    </row>
    <row r="434" ht="15.75" customHeight="1">
      <c r="C434" s="15"/>
      <c r="D434" s="15"/>
    </row>
    <row r="435" ht="15.75" customHeight="1">
      <c r="C435" s="15"/>
      <c r="D435" s="15"/>
    </row>
    <row r="436" ht="15.75" customHeight="1">
      <c r="C436" s="15"/>
      <c r="D436" s="15"/>
    </row>
    <row r="437" ht="15.75" customHeight="1">
      <c r="C437" s="15"/>
      <c r="D437" s="15"/>
    </row>
    <row r="438" ht="15.75" customHeight="1">
      <c r="C438" s="15"/>
      <c r="D438" s="15"/>
    </row>
    <row r="439" ht="15.75" customHeight="1">
      <c r="C439" s="15"/>
      <c r="D439" s="15"/>
    </row>
    <row r="440" ht="15.75" customHeight="1">
      <c r="C440" s="15"/>
      <c r="D440" s="15"/>
    </row>
    <row r="441" ht="15.75" customHeight="1">
      <c r="C441" s="15"/>
      <c r="D441" s="15"/>
    </row>
    <row r="442" ht="15.75" customHeight="1">
      <c r="C442" s="15"/>
      <c r="D442" s="15"/>
    </row>
    <row r="443" ht="15.75" customHeight="1">
      <c r="C443" s="15"/>
      <c r="D443" s="15"/>
    </row>
    <row r="444" ht="15.75" customHeight="1">
      <c r="C444" s="15"/>
      <c r="D444" s="15"/>
    </row>
    <row r="445" ht="15.75" customHeight="1">
      <c r="C445" s="15"/>
      <c r="D445" s="15"/>
    </row>
    <row r="446" ht="15.75" customHeight="1">
      <c r="C446" s="15"/>
      <c r="D446" s="15"/>
    </row>
    <row r="447" ht="15.75" customHeight="1">
      <c r="C447" s="15"/>
      <c r="D447" s="15"/>
    </row>
    <row r="448" ht="15.75" customHeight="1">
      <c r="C448" s="15"/>
      <c r="D448" s="15"/>
    </row>
    <row r="449" ht="15.75" customHeight="1">
      <c r="C449" s="15"/>
      <c r="D449" s="15"/>
    </row>
    <row r="450" ht="15.75" customHeight="1">
      <c r="C450" s="15"/>
      <c r="D450" s="15"/>
    </row>
    <row r="451" ht="15.75" customHeight="1">
      <c r="C451" s="15"/>
      <c r="D451" s="15"/>
    </row>
    <row r="452" ht="15.75" customHeight="1">
      <c r="C452" s="15"/>
      <c r="D452" s="15"/>
    </row>
    <row r="453" ht="15.75" customHeight="1">
      <c r="C453" s="15"/>
      <c r="D453" s="15"/>
    </row>
    <row r="454" ht="15.75" customHeight="1">
      <c r="C454" s="15"/>
      <c r="D454" s="15"/>
    </row>
    <row r="455" ht="15.75" customHeight="1">
      <c r="C455" s="15"/>
      <c r="D455" s="15"/>
    </row>
    <row r="456" ht="15.75" customHeight="1">
      <c r="C456" s="15"/>
      <c r="D456" s="15"/>
    </row>
    <row r="457" ht="15.75" customHeight="1">
      <c r="C457" s="15"/>
      <c r="D457" s="15"/>
    </row>
    <row r="458" ht="15.75" customHeight="1">
      <c r="C458" s="15"/>
      <c r="D458" s="15"/>
    </row>
    <row r="459" ht="15.75" customHeight="1">
      <c r="C459" s="15"/>
      <c r="D459" s="15"/>
    </row>
    <row r="460" ht="15.75" customHeight="1">
      <c r="C460" s="15"/>
      <c r="D460" s="15"/>
    </row>
    <row r="461" ht="15.75" customHeight="1">
      <c r="C461" s="15"/>
      <c r="D461" s="15"/>
    </row>
    <row r="462" ht="15.75" customHeight="1">
      <c r="C462" s="15"/>
      <c r="D462" s="15"/>
    </row>
    <row r="463" ht="15.75" customHeight="1">
      <c r="C463" s="15"/>
      <c r="D463" s="15"/>
    </row>
    <row r="464" ht="15.75" customHeight="1">
      <c r="C464" s="15"/>
      <c r="D464" s="15"/>
    </row>
    <row r="465" ht="15.75" customHeight="1">
      <c r="C465" s="15"/>
      <c r="D465" s="15"/>
    </row>
    <row r="466" ht="15.75" customHeight="1">
      <c r="C466" s="15"/>
      <c r="D466" s="15"/>
    </row>
    <row r="467" ht="15.75" customHeight="1">
      <c r="C467" s="15"/>
      <c r="D467" s="15"/>
    </row>
    <row r="468" ht="15.75" customHeight="1">
      <c r="C468" s="15"/>
      <c r="D468" s="15"/>
    </row>
    <row r="469" ht="15.75" customHeight="1">
      <c r="C469" s="15"/>
      <c r="D469" s="15"/>
    </row>
    <row r="470" ht="15.75" customHeight="1">
      <c r="C470" s="15"/>
      <c r="D470" s="15"/>
    </row>
    <row r="471" ht="15.75" customHeight="1">
      <c r="C471" s="15"/>
      <c r="D471" s="15"/>
    </row>
    <row r="472" ht="15.75" customHeight="1">
      <c r="C472" s="15"/>
      <c r="D472" s="15"/>
    </row>
    <row r="473" ht="15.75" customHeight="1">
      <c r="C473" s="15"/>
      <c r="D473" s="15"/>
    </row>
    <row r="474" ht="15.75" customHeight="1">
      <c r="C474" s="15"/>
      <c r="D474" s="15"/>
    </row>
    <row r="475" ht="15.75" customHeight="1">
      <c r="C475" s="15"/>
      <c r="D475" s="15"/>
    </row>
    <row r="476" ht="15.75" customHeight="1">
      <c r="C476" s="15"/>
      <c r="D476" s="15"/>
    </row>
    <row r="477" ht="15.75" customHeight="1">
      <c r="C477" s="15"/>
      <c r="D477" s="15"/>
    </row>
    <row r="478" ht="15.75" customHeight="1">
      <c r="C478" s="15"/>
      <c r="D478" s="15"/>
    </row>
    <row r="479" ht="15.75" customHeight="1">
      <c r="C479" s="15"/>
      <c r="D479" s="15"/>
    </row>
    <row r="480" ht="15.75" customHeight="1">
      <c r="C480" s="15"/>
      <c r="D480" s="15"/>
    </row>
    <row r="481" ht="15.75" customHeight="1">
      <c r="C481" s="15"/>
      <c r="D481" s="15"/>
    </row>
    <row r="482" ht="15.75" customHeight="1">
      <c r="C482" s="15"/>
      <c r="D482" s="15"/>
    </row>
    <row r="483" ht="15.75" customHeight="1">
      <c r="C483" s="15"/>
      <c r="D483" s="15"/>
    </row>
    <row r="484" ht="15.75" customHeight="1">
      <c r="C484" s="15"/>
      <c r="D484" s="15"/>
    </row>
    <row r="485" ht="15.75" customHeight="1">
      <c r="C485" s="15"/>
      <c r="D485" s="15"/>
    </row>
    <row r="486" ht="15.75" customHeight="1">
      <c r="C486" s="15"/>
      <c r="D486" s="15"/>
    </row>
    <row r="487" ht="15.75" customHeight="1">
      <c r="C487" s="15"/>
      <c r="D487" s="15"/>
    </row>
    <row r="488" ht="15.75" customHeight="1">
      <c r="C488" s="15"/>
      <c r="D488" s="15"/>
    </row>
    <row r="489" ht="15.75" customHeight="1">
      <c r="C489" s="15"/>
      <c r="D489" s="15"/>
    </row>
    <row r="490" ht="15.75" customHeight="1">
      <c r="C490" s="15"/>
      <c r="D490" s="15"/>
    </row>
    <row r="491" ht="15.75" customHeight="1">
      <c r="C491" s="15"/>
      <c r="D491" s="15"/>
    </row>
    <row r="492" ht="15.75" customHeight="1">
      <c r="C492" s="15"/>
      <c r="D492" s="15"/>
    </row>
    <row r="493" ht="15.75" customHeight="1">
      <c r="C493" s="15"/>
      <c r="D493" s="15"/>
    </row>
    <row r="494" ht="15.75" customHeight="1">
      <c r="C494" s="15"/>
      <c r="D494" s="15"/>
    </row>
    <row r="495" ht="15.75" customHeight="1">
      <c r="C495" s="15"/>
      <c r="D495" s="15"/>
    </row>
    <row r="496" ht="15.75" customHeight="1">
      <c r="C496" s="15"/>
      <c r="D496" s="15"/>
    </row>
    <row r="497" ht="15.75" customHeight="1">
      <c r="C497" s="15"/>
      <c r="D497" s="15"/>
    </row>
    <row r="498" ht="15.75" customHeight="1">
      <c r="C498" s="15"/>
      <c r="D498" s="15"/>
    </row>
    <row r="499" ht="15.75" customHeight="1">
      <c r="C499" s="15"/>
      <c r="D499" s="15"/>
    </row>
    <row r="500" ht="15.75" customHeight="1">
      <c r="C500" s="15"/>
      <c r="D500" s="15"/>
    </row>
    <row r="501" ht="15.75" customHeight="1">
      <c r="C501" s="15"/>
      <c r="D501" s="15"/>
    </row>
    <row r="502" ht="15.75" customHeight="1">
      <c r="C502" s="15"/>
      <c r="D502" s="15"/>
    </row>
    <row r="503" ht="15.75" customHeight="1">
      <c r="C503" s="15"/>
      <c r="D503" s="15"/>
    </row>
    <row r="504" ht="15.75" customHeight="1">
      <c r="C504" s="15"/>
      <c r="D504" s="15"/>
    </row>
    <row r="505" ht="15.75" customHeight="1">
      <c r="C505" s="15"/>
      <c r="D505" s="15"/>
    </row>
    <row r="506" ht="15.75" customHeight="1">
      <c r="C506" s="15"/>
      <c r="D506" s="15"/>
    </row>
    <row r="507" ht="15.75" customHeight="1">
      <c r="C507" s="15"/>
      <c r="D507" s="15"/>
    </row>
    <row r="508" ht="15.75" customHeight="1">
      <c r="C508" s="15"/>
      <c r="D508" s="15"/>
    </row>
    <row r="509" ht="15.75" customHeight="1">
      <c r="C509" s="15"/>
      <c r="D509" s="15"/>
    </row>
    <row r="510" ht="15.75" customHeight="1">
      <c r="C510" s="15"/>
      <c r="D510" s="15"/>
    </row>
    <row r="511" ht="15.75" customHeight="1">
      <c r="C511" s="15"/>
      <c r="D511" s="15"/>
    </row>
    <row r="512" ht="15.75" customHeight="1">
      <c r="C512" s="15"/>
      <c r="D512" s="15"/>
    </row>
    <row r="513" ht="15.75" customHeight="1">
      <c r="C513" s="15"/>
      <c r="D513" s="15"/>
    </row>
    <row r="514" ht="15.75" customHeight="1">
      <c r="C514" s="15"/>
      <c r="D514" s="15"/>
    </row>
    <row r="515" ht="15.75" customHeight="1">
      <c r="C515" s="15"/>
      <c r="D515" s="15"/>
    </row>
    <row r="516" ht="15.75" customHeight="1">
      <c r="C516" s="15"/>
      <c r="D516" s="15"/>
    </row>
    <row r="517" ht="15.75" customHeight="1">
      <c r="C517" s="15"/>
      <c r="D517" s="15"/>
    </row>
    <row r="518" ht="15.75" customHeight="1">
      <c r="C518" s="15"/>
      <c r="D518" s="15"/>
    </row>
    <row r="519" ht="15.75" customHeight="1">
      <c r="C519" s="15"/>
      <c r="D519" s="15"/>
    </row>
    <row r="520" ht="15.75" customHeight="1">
      <c r="C520" s="15"/>
      <c r="D520" s="15"/>
    </row>
    <row r="521" ht="15.75" customHeight="1">
      <c r="C521" s="15"/>
      <c r="D521" s="15"/>
    </row>
    <row r="522" ht="15.75" customHeight="1">
      <c r="C522" s="15"/>
      <c r="D522" s="15"/>
    </row>
    <row r="523" ht="15.75" customHeight="1">
      <c r="C523" s="15"/>
      <c r="D523" s="15"/>
    </row>
    <row r="524" ht="15.75" customHeight="1">
      <c r="C524" s="15"/>
      <c r="D524" s="15"/>
    </row>
    <row r="525" ht="15.75" customHeight="1">
      <c r="C525" s="15"/>
      <c r="D525" s="15"/>
    </row>
    <row r="526" ht="15.75" customHeight="1">
      <c r="C526" s="15"/>
      <c r="D526" s="15"/>
    </row>
    <row r="527" ht="15.75" customHeight="1">
      <c r="C527" s="15"/>
      <c r="D527" s="15"/>
    </row>
    <row r="528" ht="15.75" customHeight="1">
      <c r="C528" s="15"/>
      <c r="D528" s="15"/>
    </row>
    <row r="529" ht="15.75" customHeight="1">
      <c r="C529" s="15"/>
      <c r="D529" s="15"/>
    </row>
    <row r="530" ht="15.75" customHeight="1">
      <c r="C530" s="15"/>
      <c r="D530" s="15"/>
    </row>
    <row r="531" ht="15.75" customHeight="1">
      <c r="C531" s="15"/>
      <c r="D531" s="15"/>
    </row>
    <row r="532" ht="15.75" customHeight="1">
      <c r="C532" s="15"/>
      <c r="D532" s="15"/>
    </row>
    <row r="533" ht="15.75" customHeight="1">
      <c r="C533" s="15"/>
      <c r="D533" s="15"/>
    </row>
    <row r="534" ht="15.75" customHeight="1">
      <c r="C534" s="15"/>
      <c r="D534" s="15"/>
    </row>
    <row r="535" ht="15.75" customHeight="1">
      <c r="C535" s="15"/>
      <c r="D535" s="15"/>
    </row>
    <row r="536" ht="15.75" customHeight="1">
      <c r="C536" s="15"/>
      <c r="D536" s="15"/>
    </row>
    <row r="537" ht="15.75" customHeight="1">
      <c r="C537" s="15"/>
      <c r="D537" s="15"/>
    </row>
    <row r="538" ht="15.75" customHeight="1">
      <c r="C538" s="15"/>
      <c r="D538" s="15"/>
    </row>
    <row r="539" ht="15.75" customHeight="1">
      <c r="C539" s="15"/>
      <c r="D539" s="15"/>
    </row>
    <row r="540" ht="15.75" customHeight="1">
      <c r="C540" s="15"/>
      <c r="D540" s="15"/>
    </row>
    <row r="541" ht="15.75" customHeight="1">
      <c r="C541" s="15"/>
      <c r="D541" s="15"/>
    </row>
    <row r="542" ht="15.75" customHeight="1">
      <c r="C542" s="15"/>
      <c r="D542" s="15"/>
    </row>
    <row r="543" ht="15.75" customHeight="1">
      <c r="C543" s="15"/>
      <c r="D543" s="15"/>
    </row>
    <row r="544" ht="15.75" customHeight="1">
      <c r="C544" s="15"/>
      <c r="D544" s="15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8" t="s">
        <v>466</v>
      </c>
      <c r="B1" s="8" t="s">
        <v>24</v>
      </c>
      <c r="C1" s="24" t="s">
        <v>462</v>
      </c>
      <c r="D1" s="24" t="s">
        <v>463</v>
      </c>
      <c r="F1" s="15"/>
      <c r="G1" s="18"/>
    </row>
    <row r="2" ht="15.0" customHeight="1">
      <c r="A2" s="25">
        <v>1.0</v>
      </c>
      <c r="B2" s="26" t="s">
        <v>26</v>
      </c>
      <c r="C2" s="27">
        <v>1.547444528304012</v>
      </c>
      <c r="D2" s="27">
        <v>1.42405372416059</v>
      </c>
      <c r="F2" s="23"/>
      <c r="G2" s="23"/>
    </row>
    <row r="3" ht="15.0" customHeight="1">
      <c r="A3" s="25">
        <v>2.0</v>
      </c>
      <c r="B3" s="26" t="s">
        <v>30</v>
      </c>
      <c r="C3" s="27">
        <v>1.3977925917722853</v>
      </c>
      <c r="D3" s="27">
        <v>1.4043834752325808</v>
      </c>
      <c r="F3" s="23"/>
      <c r="G3" s="23"/>
    </row>
    <row r="4" ht="15.0" customHeight="1">
      <c r="A4" s="25">
        <v>3.0</v>
      </c>
      <c r="B4" s="26" t="s">
        <v>32</v>
      </c>
      <c r="C4" s="27">
        <v>1.5609175191868303</v>
      </c>
      <c r="D4" s="27">
        <v>1.2732362255693161</v>
      </c>
      <c r="F4" s="23"/>
      <c r="G4" s="23"/>
    </row>
    <row r="5" ht="15.0" customHeight="1">
      <c r="A5" s="25">
        <v>4.0</v>
      </c>
      <c r="B5" s="26" t="s">
        <v>35</v>
      </c>
      <c r="C5" s="27">
        <v>1.4915118559838147</v>
      </c>
      <c r="D5" s="27">
        <v>1.2428432148569446</v>
      </c>
      <c r="F5" s="23"/>
      <c r="G5" s="23"/>
    </row>
    <row r="6" ht="15.0" customHeight="1">
      <c r="A6" s="25">
        <v>5.0</v>
      </c>
      <c r="B6" s="26" t="s">
        <v>279</v>
      </c>
      <c r="C6" s="27">
        <v>1.2995610404856643</v>
      </c>
      <c r="D6" s="27">
        <v>1.393758286906537</v>
      </c>
      <c r="F6" s="23"/>
      <c r="G6" s="23"/>
    </row>
    <row r="7" ht="15.0" customHeight="1">
      <c r="A7" s="25">
        <v>6.0</v>
      </c>
      <c r="B7" s="26" t="s">
        <v>40</v>
      </c>
      <c r="C7" s="27">
        <v>1.5158052994033728</v>
      </c>
      <c r="D7" s="27">
        <v>0.8077896998026821</v>
      </c>
      <c r="F7" s="23"/>
      <c r="G7" s="23"/>
    </row>
    <row r="8" ht="15.0" customHeight="1">
      <c r="A8" s="25">
        <v>7.0</v>
      </c>
      <c r="B8" s="26" t="s">
        <v>42</v>
      </c>
      <c r="C8" s="27">
        <v>1.475610927969497</v>
      </c>
      <c r="D8" s="27">
        <v>1.8223057145856272</v>
      </c>
      <c r="F8" s="23"/>
      <c r="G8" s="23"/>
    </row>
    <row r="9" ht="15.0" customHeight="1">
      <c r="A9" s="25">
        <v>8.0</v>
      </c>
      <c r="B9" s="26" t="s">
        <v>44</v>
      </c>
      <c r="C9" s="27">
        <v>1.3272482170846425</v>
      </c>
      <c r="D9" s="27">
        <v>2.4688928506990573</v>
      </c>
      <c r="F9" s="23"/>
      <c r="G9" s="23"/>
    </row>
    <row r="10" ht="15.0" customHeight="1">
      <c r="A10" s="28">
        <v>9.0</v>
      </c>
      <c r="B10" s="29" t="s">
        <v>46</v>
      </c>
      <c r="C10" s="27">
        <v>1.3986171720276233</v>
      </c>
      <c r="D10" s="27">
        <v>2.1714490167919704</v>
      </c>
      <c r="F10" s="23"/>
      <c r="G10" s="23"/>
    </row>
    <row r="11">
      <c r="A11" s="30">
        <v>10.0</v>
      </c>
      <c r="B11" s="31" t="s">
        <v>339</v>
      </c>
      <c r="C11" s="27">
        <v>1.507492407702177</v>
      </c>
      <c r="D11" s="32">
        <v>1.6257489135129095</v>
      </c>
      <c r="F11" s="33"/>
    </row>
    <row r="12">
      <c r="A12" s="30">
        <v>11.0</v>
      </c>
      <c r="B12" s="31" t="s">
        <v>49</v>
      </c>
      <c r="C12" s="27">
        <v>1.4434148904847068</v>
      </c>
      <c r="D12" s="27">
        <v>1.399212079225741</v>
      </c>
      <c r="F12" s="33"/>
    </row>
    <row r="13">
      <c r="A13" s="33"/>
      <c r="B13" s="33"/>
      <c r="F13" s="33"/>
    </row>
    <row r="14">
      <c r="A14" s="33"/>
      <c r="B14" s="33"/>
      <c r="F14" s="33"/>
    </row>
    <row r="15">
      <c r="A15" s="33"/>
      <c r="B15" s="33"/>
      <c r="F15" s="33"/>
    </row>
    <row r="16">
      <c r="A16" s="33"/>
      <c r="B16" s="33"/>
      <c r="F16" s="33"/>
    </row>
    <row r="17">
      <c r="A17" s="33"/>
      <c r="B17" s="33"/>
      <c r="F17" s="33"/>
    </row>
    <row r="18">
      <c r="A18" s="33"/>
      <c r="B18" s="33"/>
      <c r="F18" s="33"/>
    </row>
    <row r="19">
      <c r="A19" s="33"/>
      <c r="B19" s="33"/>
      <c r="F19" s="33"/>
    </row>
    <row r="20">
      <c r="A20" s="33"/>
      <c r="B20" s="33"/>
      <c r="F20" s="33"/>
    </row>
    <row r="21">
      <c r="A21" s="33"/>
      <c r="B21" s="33"/>
      <c r="F21" s="33"/>
    </row>
    <row r="22">
      <c r="A22" s="33"/>
      <c r="B22" s="33"/>
      <c r="F22" s="33"/>
    </row>
    <row r="23">
      <c r="A23" s="33"/>
      <c r="B23" s="33"/>
      <c r="C23" s="34"/>
      <c r="D23" s="34"/>
      <c r="F23" s="33"/>
    </row>
    <row r="24">
      <c r="A24" s="33"/>
      <c r="B24" s="33"/>
      <c r="C24" s="34"/>
      <c r="D24" s="34"/>
      <c r="F24" s="33"/>
    </row>
    <row r="25">
      <c r="A25" s="33"/>
      <c r="B25" s="33"/>
      <c r="C25" s="34"/>
      <c r="D25" s="34"/>
      <c r="F25" s="33"/>
    </row>
    <row r="26">
      <c r="A26" s="33"/>
      <c r="B26" s="33"/>
      <c r="C26" s="34"/>
      <c r="D26" s="34"/>
      <c r="F26" s="33"/>
    </row>
    <row r="27">
      <c r="A27" s="33"/>
      <c r="B27" s="33"/>
      <c r="C27" s="34"/>
      <c r="D27" s="34"/>
      <c r="F27" s="33"/>
    </row>
    <row r="28">
      <c r="A28" s="33"/>
      <c r="B28" s="33"/>
      <c r="C28" s="34"/>
      <c r="D28" s="34"/>
      <c r="F28" s="33"/>
    </row>
    <row r="29">
      <c r="A29" s="33"/>
      <c r="B29" s="33"/>
      <c r="C29" s="34"/>
      <c r="D29" s="34"/>
      <c r="F29" s="33"/>
    </row>
    <row r="30">
      <c r="A30" s="33"/>
      <c r="B30" s="33"/>
      <c r="C30" s="34"/>
      <c r="D30" s="34"/>
      <c r="F30" s="33"/>
    </row>
    <row r="31">
      <c r="A31" s="33"/>
      <c r="B31" s="33"/>
      <c r="C31" s="34"/>
      <c r="D31" s="34"/>
      <c r="F31" s="33"/>
    </row>
    <row r="32">
      <c r="A32" s="33"/>
      <c r="B32" s="33"/>
      <c r="C32" s="34"/>
      <c r="D32" s="34"/>
      <c r="F32" s="33"/>
    </row>
    <row r="33">
      <c r="A33" s="33"/>
      <c r="B33" s="33"/>
      <c r="C33" s="34"/>
      <c r="D33" s="34"/>
      <c r="F33" s="33"/>
    </row>
    <row r="34">
      <c r="A34" s="33"/>
      <c r="B34" s="33"/>
      <c r="C34" s="34"/>
      <c r="D34" s="34"/>
      <c r="F34" s="33"/>
    </row>
    <row r="35">
      <c r="A35" s="33"/>
      <c r="B35" s="33"/>
      <c r="C35" s="34"/>
      <c r="D35" s="34"/>
      <c r="F35" s="33"/>
    </row>
    <row r="36">
      <c r="A36" s="33"/>
      <c r="B36" s="33"/>
      <c r="C36" s="34"/>
      <c r="D36" s="34"/>
      <c r="F36" s="33"/>
    </row>
    <row r="37">
      <c r="A37" s="33"/>
      <c r="B37" s="33"/>
      <c r="C37" s="34"/>
      <c r="D37" s="34"/>
      <c r="F37" s="33"/>
    </row>
    <row r="38">
      <c r="A38" s="33"/>
      <c r="B38" s="33"/>
      <c r="C38" s="34"/>
      <c r="D38" s="34"/>
      <c r="F38" s="33"/>
    </row>
    <row r="39">
      <c r="A39" s="33"/>
      <c r="B39" s="33"/>
      <c r="C39" s="34"/>
      <c r="D39" s="34"/>
      <c r="F39" s="33"/>
    </row>
    <row r="40">
      <c r="A40" s="33"/>
      <c r="B40" s="33"/>
      <c r="C40" s="34"/>
      <c r="D40" s="34"/>
      <c r="F40" s="33"/>
    </row>
    <row r="41">
      <c r="A41" s="33"/>
      <c r="B41" s="33"/>
      <c r="C41" s="34"/>
      <c r="D41" s="34"/>
      <c r="F41" s="33"/>
    </row>
    <row r="42">
      <c r="A42" s="33"/>
      <c r="B42" s="33"/>
      <c r="C42" s="34"/>
      <c r="D42" s="34"/>
      <c r="F42" s="33"/>
    </row>
    <row r="43">
      <c r="A43" s="33"/>
      <c r="B43" s="33"/>
      <c r="C43" s="34"/>
      <c r="D43" s="34"/>
      <c r="F43" s="33"/>
    </row>
    <row r="44">
      <c r="A44" s="33"/>
      <c r="B44" s="33"/>
      <c r="C44" s="34"/>
      <c r="D44" s="34"/>
      <c r="F44" s="33"/>
    </row>
    <row r="45">
      <c r="A45" s="33"/>
      <c r="B45" s="33"/>
      <c r="C45" s="34"/>
      <c r="D45" s="34"/>
      <c r="F45" s="33"/>
    </row>
    <row r="46">
      <c r="A46" s="33"/>
      <c r="B46" s="33"/>
      <c r="C46" s="34"/>
      <c r="D46" s="34"/>
      <c r="F46" s="33"/>
    </row>
    <row r="47">
      <c r="A47" s="33"/>
      <c r="B47" s="33"/>
      <c r="C47" s="34"/>
      <c r="D47" s="34"/>
      <c r="F47" s="33"/>
    </row>
    <row r="48">
      <c r="A48" s="33"/>
      <c r="B48" s="33"/>
      <c r="C48" s="34"/>
      <c r="D48" s="34"/>
      <c r="F48" s="33"/>
    </row>
    <row r="49">
      <c r="A49" s="33"/>
      <c r="B49" s="33"/>
      <c r="C49" s="34"/>
      <c r="D49" s="34"/>
      <c r="F49" s="33"/>
    </row>
    <row r="50">
      <c r="A50" s="33"/>
      <c r="B50" s="33"/>
      <c r="C50" s="34"/>
      <c r="D50" s="34"/>
      <c r="F50" s="33"/>
    </row>
    <row r="51">
      <c r="A51" s="33"/>
      <c r="B51" s="33"/>
      <c r="C51" s="34"/>
      <c r="D51" s="34"/>
      <c r="F51" s="33"/>
    </row>
    <row r="52">
      <c r="A52" s="33"/>
      <c r="B52" s="33"/>
      <c r="C52" s="34"/>
      <c r="D52" s="34"/>
      <c r="F52" s="33"/>
    </row>
    <row r="53">
      <c r="A53" s="33"/>
      <c r="B53" s="33"/>
      <c r="C53" s="34"/>
      <c r="D53" s="34"/>
      <c r="F53" s="33"/>
    </row>
    <row r="54">
      <c r="A54" s="33"/>
      <c r="B54" s="33"/>
      <c r="C54" s="34"/>
      <c r="D54" s="34"/>
      <c r="F54" s="33"/>
    </row>
    <row r="55">
      <c r="A55" s="33"/>
      <c r="B55" s="33"/>
      <c r="C55" s="34"/>
      <c r="D55" s="34"/>
      <c r="F55" s="33"/>
    </row>
    <row r="56">
      <c r="A56" s="33"/>
      <c r="B56" s="33"/>
      <c r="C56" s="34"/>
      <c r="D56" s="34"/>
      <c r="F56" s="33"/>
    </row>
    <row r="57">
      <c r="A57" s="33"/>
      <c r="B57" s="33"/>
      <c r="C57" s="34"/>
      <c r="D57" s="34"/>
      <c r="F57" s="33"/>
    </row>
    <row r="58">
      <c r="A58" s="33"/>
      <c r="B58" s="33"/>
      <c r="C58" s="34"/>
      <c r="D58" s="34"/>
      <c r="F58" s="33"/>
    </row>
    <row r="59">
      <c r="A59" s="33"/>
      <c r="B59" s="33"/>
      <c r="C59" s="34"/>
      <c r="D59" s="34"/>
      <c r="F59" s="33"/>
    </row>
    <row r="60">
      <c r="A60" s="33"/>
      <c r="B60" s="33"/>
      <c r="C60" s="34"/>
      <c r="D60" s="34"/>
      <c r="F60" s="33"/>
    </row>
    <row r="61">
      <c r="A61" s="33"/>
      <c r="B61" s="33"/>
      <c r="C61" s="34"/>
      <c r="D61" s="34"/>
      <c r="F61" s="33"/>
    </row>
    <row r="62">
      <c r="A62" s="33"/>
      <c r="B62" s="33"/>
      <c r="C62" s="34"/>
      <c r="D62" s="34"/>
      <c r="F62" s="33"/>
    </row>
    <row r="63">
      <c r="A63" s="33"/>
      <c r="B63" s="33"/>
      <c r="C63" s="34"/>
      <c r="D63" s="34"/>
      <c r="F63" s="33"/>
    </row>
    <row r="64">
      <c r="A64" s="33"/>
      <c r="B64" s="33"/>
      <c r="C64" s="34"/>
      <c r="D64" s="34"/>
      <c r="F64" s="33"/>
    </row>
    <row r="65">
      <c r="A65" s="33"/>
      <c r="B65" s="33"/>
      <c r="C65" s="34"/>
      <c r="D65" s="34"/>
      <c r="F65" s="33"/>
    </row>
    <row r="66">
      <c r="A66" s="33"/>
      <c r="B66" s="33"/>
      <c r="C66" s="34"/>
      <c r="D66" s="34"/>
      <c r="F66" s="33"/>
    </row>
    <row r="67">
      <c r="A67" s="33"/>
      <c r="B67" s="33"/>
      <c r="C67" s="34"/>
      <c r="D67" s="34"/>
      <c r="F67" s="33"/>
    </row>
    <row r="68">
      <c r="A68" s="33"/>
      <c r="B68" s="33"/>
      <c r="C68" s="34"/>
      <c r="D68" s="34"/>
      <c r="F68" s="33"/>
    </row>
    <row r="69">
      <c r="A69" s="33"/>
      <c r="B69" s="33"/>
      <c r="C69" s="34"/>
      <c r="D69" s="34"/>
      <c r="F69" s="33"/>
    </row>
    <row r="70">
      <c r="A70" s="33"/>
      <c r="B70" s="33"/>
      <c r="C70" s="34"/>
      <c r="D70" s="34"/>
      <c r="F70" s="33"/>
    </row>
    <row r="71">
      <c r="A71" s="33"/>
      <c r="B71" s="33"/>
      <c r="C71" s="34"/>
      <c r="D71" s="34"/>
      <c r="F71" s="33"/>
    </row>
    <row r="72">
      <c r="A72" s="33"/>
      <c r="B72" s="33"/>
      <c r="C72" s="34"/>
      <c r="D72" s="34"/>
      <c r="F72" s="33"/>
    </row>
    <row r="73">
      <c r="A73" s="33"/>
      <c r="B73" s="33"/>
      <c r="C73" s="34"/>
      <c r="D73" s="34"/>
      <c r="F73" s="33"/>
    </row>
    <row r="74">
      <c r="A74" s="33"/>
      <c r="B74" s="33"/>
      <c r="C74" s="34"/>
      <c r="D74" s="34"/>
      <c r="F74" s="33"/>
    </row>
    <row r="75">
      <c r="A75" s="33"/>
      <c r="B75" s="33"/>
      <c r="C75" s="34"/>
      <c r="D75" s="34"/>
      <c r="F75" s="33"/>
    </row>
    <row r="76">
      <c r="A76" s="33"/>
      <c r="B76" s="33"/>
      <c r="C76" s="34"/>
      <c r="D76" s="34"/>
      <c r="F76" s="33"/>
    </row>
    <row r="77">
      <c r="A77" s="33"/>
      <c r="B77" s="33"/>
      <c r="C77" s="34"/>
      <c r="D77" s="34"/>
      <c r="F77" s="33"/>
    </row>
    <row r="78">
      <c r="A78" s="33"/>
      <c r="B78" s="33"/>
      <c r="C78" s="34"/>
      <c r="D78" s="34"/>
      <c r="F78" s="33"/>
    </row>
    <row r="79">
      <c r="A79" s="33"/>
      <c r="B79" s="33"/>
      <c r="C79" s="34"/>
      <c r="D79" s="34"/>
      <c r="F79" s="33"/>
    </row>
    <row r="80">
      <c r="A80" s="33"/>
      <c r="B80" s="33"/>
      <c r="C80" s="34"/>
      <c r="D80" s="34"/>
      <c r="F80" s="33"/>
    </row>
    <row r="81">
      <c r="A81" s="33"/>
      <c r="B81" s="33"/>
      <c r="C81" s="34"/>
      <c r="D81" s="34"/>
      <c r="F81" s="33"/>
    </row>
    <row r="82">
      <c r="A82" s="33"/>
      <c r="B82" s="33"/>
      <c r="C82" s="34"/>
      <c r="D82" s="34"/>
      <c r="F82" s="33"/>
    </row>
    <row r="83">
      <c r="A83" s="33"/>
      <c r="B83" s="33"/>
      <c r="C83" s="34"/>
      <c r="D83" s="34"/>
      <c r="F83" s="33"/>
    </row>
    <row r="84">
      <c r="A84" s="33"/>
      <c r="B84" s="33"/>
      <c r="C84" s="34"/>
      <c r="D84" s="34"/>
      <c r="F84" s="33"/>
    </row>
    <row r="85">
      <c r="A85" s="33"/>
      <c r="B85" s="33"/>
      <c r="C85" s="34"/>
      <c r="D85" s="34"/>
      <c r="F85" s="33"/>
    </row>
    <row r="86">
      <c r="A86" s="33"/>
      <c r="B86" s="33"/>
      <c r="C86" s="34"/>
      <c r="D86" s="34"/>
      <c r="F86" s="33"/>
    </row>
    <row r="87">
      <c r="A87" s="33"/>
      <c r="B87" s="33"/>
      <c r="C87" s="34"/>
      <c r="D87" s="34"/>
      <c r="F87" s="33"/>
    </row>
    <row r="88">
      <c r="A88" s="33"/>
      <c r="B88" s="33"/>
      <c r="C88" s="34"/>
      <c r="D88" s="34"/>
      <c r="F88" s="33"/>
    </row>
    <row r="89">
      <c r="A89" s="33"/>
      <c r="B89" s="33"/>
      <c r="C89" s="34"/>
      <c r="D89" s="34"/>
      <c r="F89" s="33"/>
    </row>
    <row r="90">
      <c r="A90" s="33"/>
      <c r="B90" s="33"/>
      <c r="C90" s="34"/>
      <c r="D90" s="34"/>
      <c r="F90" s="33"/>
    </row>
    <row r="91">
      <c r="A91" s="33"/>
      <c r="B91" s="33"/>
      <c r="C91" s="34"/>
      <c r="D91" s="34"/>
      <c r="F91" s="33"/>
    </row>
    <row r="92">
      <c r="A92" s="33"/>
      <c r="B92" s="33"/>
      <c r="C92" s="34"/>
      <c r="D92" s="34"/>
      <c r="F92" s="33"/>
    </row>
    <row r="93">
      <c r="A93" s="33"/>
      <c r="B93" s="33"/>
      <c r="C93" s="34"/>
      <c r="D93" s="34"/>
      <c r="F93" s="33"/>
    </row>
    <row r="94">
      <c r="A94" s="33"/>
      <c r="B94" s="33"/>
      <c r="C94" s="34"/>
      <c r="D94" s="34"/>
      <c r="F94" s="33"/>
    </row>
    <row r="95">
      <c r="A95" s="33"/>
      <c r="B95" s="33"/>
      <c r="C95" s="34"/>
      <c r="D95" s="34"/>
      <c r="F95" s="33"/>
    </row>
    <row r="96">
      <c r="A96" s="33"/>
      <c r="B96" s="33"/>
      <c r="C96" s="34"/>
      <c r="D96" s="34"/>
      <c r="F96" s="33"/>
    </row>
    <row r="97">
      <c r="A97" s="33"/>
      <c r="B97" s="33"/>
      <c r="C97" s="34"/>
      <c r="D97" s="34"/>
      <c r="F97" s="33"/>
    </row>
    <row r="98">
      <c r="A98" s="33"/>
      <c r="B98" s="33"/>
      <c r="C98" s="34"/>
      <c r="D98" s="34"/>
      <c r="F98" s="33"/>
    </row>
    <row r="99">
      <c r="A99" s="33"/>
      <c r="B99" s="33"/>
      <c r="C99" s="34"/>
      <c r="D99" s="34"/>
      <c r="F99" s="33"/>
    </row>
    <row r="100">
      <c r="A100" s="33"/>
      <c r="B100" s="33"/>
      <c r="C100" s="34"/>
      <c r="D100" s="34"/>
      <c r="F100" s="33"/>
    </row>
    <row r="101">
      <c r="A101" s="33"/>
      <c r="B101" s="33"/>
      <c r="C101" s="34"/>
      <c r="D101" s="34"/>
      <c r="F101" s="33"/>
    </row>
    <row r="102">
      <c r="A102" s="33"/>
      <c r="B102" s="33"/>
      <c r="C102" s="34"/>
      <c r="D102" s="34"/>
      <c r="F102" s="33"/>
    </row>
    <row r="103">
      <c r="A103" s="33"/>
      <c r="B103" s="33"/>
      <c r="C103" s="34"/>
      <c r="D103" s="34"/>
      <c r="F103" s="33"/>
    </row>
    <row r="104">
      <c r="A104" s="33"/>
      <c r="B104" s="33"/>
      <c r="C104" s="34"/>
      <c r="D104" s="34"/>
      <c r="F104" s="33"/>
    </row>
    <row r="105">
      <c r="A105" s="33"/>
      <c r="B105" s="33"/>
      <c r="C105" s="34"/>
      <c r="D105" s="34"/>
      <c r="F105" s="33"/>
    </row>
    <row r="106">
      <c r="A106" s="33"/>
      <c r="B106" s="33"/>
      <c r="C106" s="34"/>
      <c r="D106" s="34"/>
      <c r="F106" s="33"/>
    </row>
    <row r="107">
      <c r="A107" s="33"/>
      <c r="B107" s="33"/>
      <c r="C107" s="34"/>
      <c r="D107" s="34"/>
      <c r="F107" s="33"/>
    </row>
    <row r="108">
      <c r="A108" s="33"/>
      <c r="B108" s="33"/>
      <c r="C108" s="34"/>
      <c r="D108" s="34"/>
      <c r="F108" s="33"/>
    </row>
    <row r="109">
      <c r="A109" s="33"/>
      <c r="B109" s="33"/>
      <c r="C109" s="34"/>
      <c r="D109" s="34"/>
      <c r="F109" s="33"/>
    </row>
    <row r="110">
      <c r="A110" s="33"/>
      <c r="B110" s="33"/>
      <c r="C110" s="34"/>
      <c r="D110" s="34"/>
      <c r="F110" s="33"/>
    </row>
    <row r="111">
      <c r="A111" s="33"/>
      <c r="B111" s="33"/>
      <c r="C111" s="34"/>
      <c r="D111" s="34"/>
      <c r="F111" s="33"/>
    </row>
    <row r="112">
      <c r="A112" s="33"/>
      <c r="B112" s="33"/>
      <c r="C112" s="34"/>
      <c r="D112" s="34"/>
      <c r="F112" s="33"/>
    </row>
    <row r="113">
      <c r="A113" s="33"/>
      <c r="B113" s="33"/>
      <c r="C113" s="34"/>
      <c r="D113" s="34"/>
      <c r="F113" s="33"/>
    </row>
    <row r="114">
      <c r="A114" s="33"/>
      <c r="B114" s="33"/>
      <c r="C114" s="34"/>
      <c r="D114" s="34"/>
      <c r="F114" s="33"/>
    </row>
    <row r="115">
      <c r="A115" s="33"/>
      <c r="B115" s="33"/>
      <c r="C115" s="34"/>
      <c r="D115" s="34"/>
      <c r="F115" s="33"/>
    </row>
    <row r="116">
      <c r="A116" s="33"/>
      <c r="B116" s="33"/>
      <c r="C116" s="34"/>
      <c r="D116" s="34"/>
      <c r="F116" s="33"/>
    </row>
    <row r="117">
      <c r="A117" s="33"/>
      <c r="B117" s="33"/>
      <c r="C117" s="34"/>
      <c r="D117" s="34"/>
      <c r="F117" s="33"/>
    </row>
    <row r="118">
      <c r="A118" s="33"/>
      <c r="B118" s="33"/>
      <c r="C118" s="34"/>
      <c r="D118" s="34"/>
      <c r="F118" s="33"/>
    </row>
    <row r="119">
      <c r="A119" s="33"/>
      <c r="B119" s="33"/>
      <c r="C119" s="34"/>
      <c r="D119" s="34"/>
      <c r="F119" s="33"/>
    </row>
    <row r="120">
      <c r="A120" s="33"/>
      <c r="B120" s="33"/>
      <c r="C120" s="34"/>
      <c r="D120" s="34"/>
      <c r="F120" s="33"/>
    </row>
    <row r="121">
      <c r="A121" s="33"/>
      <c r="B121" s="33"/>
      <c r="C121" s="34"/>
      <c r="D121" s="34"/>
      <c r="F121" s="33"/>
    </row>
    <row r="122">
      <c r="A122" s="33"/>
      <c r="B122" s="33"/>
      <c r="C122" s="34"/>
      <c r="D122" s="34"/>
      <c r="F122" s="33"/>
    </row>
    <row r="123">
      <c r="A123" s="33"/>
      <c r="B123" s="33"/>
      <c r="C123" s="34"/>
      <c r="D123" s="34"/>
      <c r="F123" s="33"/>
    </row>
    <row r="124">
      <c r="A124" s="33"/>
      <c r="B124" s="33"/>
      <c r="C124" s="34"/>
      <c r="D124" s="34"/>
      <c r="F124" s="33"/>
    </row>
    <row r="125">
      <c r="A125" s="33"/>
      <c r="B125" s="33"/>
      <c r="C125" s="34"/>
      <c r="D125" s="34"/>
      <c r="F125" s="33"/>
    </row>
    <row r="126">
      <c r="A126" s="33"/>
      <c r="B126" s="33"/>
      <c r="C126" s="34"/>
      <c r="D126" s="34"/>
      <c r="F126" s="33"/>
    </row>
    <row r="127">
      <c r="A127" s="33"/>
      <c r="B127" s="33"/>
      <c r="C127" s="34"/>
      <c r="D127" s="34"/>
      <c r="F127" s="33"/>
    </row>
    <row r="128">
      <c r="A128" s="33"/>
      <c r="B128" s="33"/>
      <c r="C128" s="34"/>
      <c r="D128" s="34"/>
      <c r="F128" s="33"/>
    </row>
    <row r="129">
      <c r="A129" s="33"/>
      <c r="B129" s="33"/>
      <c r="C129" s="34"/>
      <c r="D129" s="34"/>
      <c r="F129" s="33"/>
    </row>
    <row r="130">
      <c r="A130" s="33"/>
      <c r="B130" s="33"/>
      <c r="C130" s="34"/>
      <c r="D130" s="34"/>
      <c r="F130" s="33"/>
    </row>
    <row r="131">
      <c r="A131" s="33"/>
      <c r="B131" s="33"/>
      <c r="C131" s="34"/>
      <c r="D131" s="34"/>
      <c r="F131" s="33"/>
    </row>
    <row r="132">
      <c r="A132" s="33"/>
      <c r="B132" s="33"/>
      <c r="C132" s="34"/>
      <c r="D132" s="34"/>
      <c r="F132" s="33"/>
    </row>
    <row r="133">
      <c r="A133" s="33"/>
      <c r="B133" s="33"/>
      <c r="C133" s="34"/>
      <c r="D133" s="34"/>
      <c r="F133" s="33"/>
    </row>
    <row r="134">
      <c r="A134" s="33"/>
      <c r="B134" s="33"/>
      <c r="C134" s="34"/>
      <c r="D134" s="34"/>
      <c r="F134" s="33"/>
    </row>
    <row r="135">
      <c r="A135" s="33"/>
      <c r="B135" s="33"/>
      <c r="C135" s="34"/>
      <c r="D135" s="34"/>
      <c r="F135" s="33"/>
    </row>
    <row r="136">
      <c r="A136" s="33"/>
      <c r="B136" s="33"/>
      <c r="C136" s="34"/>
      <c r="D136" s="34"/>
      <c r="F136" s="33"/>
    </row>
    <row r="137">
      <c r="A137" s="33"/>
      <c r="B137" s="33"/>
      <c r="C137" s="34"/>
      <c r="D137" s="34"/>
      <c r="F137" s="33"/>
    </row>
    <row r="138">
      <c r="A138" s="33"/>
      <c r="B138" s="33"/>
      <c r="C138" s="34"/>
      <c r="D138" s="34"/>
      <c r="F138" s="33"/>
    </row>
    <row r="139">
      <c r="A139" s="33"/>
      <c r="B139" s="33"/>
      <c r="C139" s="34"/>
      <c r="D139" s="34"/>
      <c r="F139" s="33"/>
    </row>
    <row r="140">
      <c r="A140" s="33"/>
      <c r="B140" s="33"/>
      <c r="C140" s="34"/>
      <c r="D140" s="34"/>
      <c r="F140" s="33"/>
    </row>
    <row r="141">
      <c r="A141" s="33"/>
      <c r="B141" s="33"/>
      <c r="C141" s="34"/>
      <c r="D141" s="34"/>
      <c r="F141" s="33"/>
    </row>
    <row r="142">
      <c r="A142" s="33"/>
      <c r="B142" s="33"/>
      <c r="C142" s="34"/>
      <c r="D142" s="34"/>
      <c r="F142" s="33"/>
    </row>
    <row r="143">
      <c r="A143" s="33"/>
      <c r="B143" s="33"/>
      <c r="C143" s="34"/>
      <c r="D143" s="34"/>
      <c r="F143" s="33"/>
    </row>
    <row r="144">
      <c r="A144" s="33"/>
      <c r="B144" s="33"/>
      <c r="C144" s="34"/>
      <c r="D144" s="34"/>
      <c r="F144" s="33"/>
    </row>
    <row r="145">
      <c r="A145" s="33"/>
      <c r="B145" s="33"/>
      <c r="C145" s="34"/>
      <c r="D145" s="34"/>
      <c r="F145" s="33"/>
    </row>
    <row r="146">
      <c r="A146" s="33"/>
      <c r="B146" s="33"/>
      <c r="C146" s="34"/>
      <c r="D146" s="34"/>
      <c r="F146" s="33"/>
    </row>
    <row r="147">
      <c r="A147" s="33"/>
      <c r="B147" s="33"/>
      <c r="C147" s="34"/>
      <c r="D147" s="34"/>
      <c r="F147" s="33"/>
    </row>
    <row r="148">
      <c r="A148" s="33"/>
      <c r="B148" s="33"/>
      <c r="C148" s="34"/>
      <c r="D148" s="34"/>
      <c r="F148" s="33"/>
    </row>
    <row r="149">
      <c r="A149" s="33"/>
      <c r="B149" s="33"/>
      <c r="C149" s="34"/>
      <c r="D149" s="34"/>
      <c r="F149" s="33"/>
    </row>
    <row r="150">
      <c r="A150" s="33"/>
      <c r="B150" s="33"/>
      <c r="C150" s="34"/>
      <c r="D150" s="34"/>
      <c r="F150" s="33"/>
    </row>
    <row r="151">
      <c r="A151" s="33"/>
      <c r="B151" s="33"/>
      <c r="C151" s="34"/>
      <c r="D151" s="34"/>
      <c r="F151" s="33"/>
    </row>
    <row r="152">
      <c r="A152" s="33"/>
      <c r="B152" s="33"/>
      <c r="C152" s="34"/>
      <c r="D152" s="34"/>
      <c r="F152" s="33"/>
    </row>
    <row r="153">
      <c r="A153" s="33"/>
      <c r="B153" s="33"/>
      <c r="C153" s="34"/>
      <c r="D153" s="34"/>
      <c r="F153" s="33"/>
    </row>
    <row r="154">
      <c r="A154" s="33"/>
      <c r="B154" s="33"/>
      <c r="C154" s="34"/>
      <c r="D154" s="34"/>
      <c r="F154" s="33"/>
    </row>
    <row r="155">
      <c r="A155" s="33"/>
      <c r="B155" s="33"/>
      <c r="C155" s="34"/>
      <c r="D155" s="34"/>
      <c r="F155" s="33"/>
    </row>
    <row r="156">
      <c r="A156" s="33"/>
      <c r="B156" s="33"/>
      <c r="C156" s="34"/>
      <c r="D156" s="34"/>
      <c r="F156" s="33"/>
    </row>
    <row r="157">
      <c r="A157" s="33"/>
      <c r="B157" s="33"/>
      <c r="C157" s="34"/>
      <c r="D157" s="34"/>
      <c r="F157" s="33"/>
    </row>
    <row r="158">
      <c r="A158" s="33"/>
      <c r="B158" s="33"/>
      <c r="C158" s="34"/>
      <c r="D158" s="34"/>
      <c r="F158" s="33"/>
    </row>
    <row r="159">
      <c r="A159" s="33"/>
      <c r="B159" s="33"/>
      <c r="C159" s="34"/>
      <c r="D159" s="34"/>
      <c r="F159" s="33"/>
    </row>
    <row r="160">
      <c r="A160" s="33"/>
      <c r="B160" s="33"/>
      <c r="C160" s="34"/>
      <c r="D160" s="34"/>
      <c r="F160" s="33"/>
    </row>
    <row r="161">
      <c r="A161" s="33"/>
      <c r="B161" s="33"/>
      <c r="C161" s="34"/>
      <c r="D161" s="34"/>
      <c r="F161" s="33"/>
    </row>
    <row r="162">
      <c r="A162" s="33"/>
      <c r="B162" s="33"/>
      <c r="C162" s="34"/>
      <c r="D162" s="34"/>
      <c r="F162" s="33"/>
    </row>
    <row r="163">
      <c r="A163" s="33"/>
      <c r="B163" s="33"/>
      <c r="C163" s="34"/>
      <c r="D163" s="34"/>
      <c r="F163" s="33"/>
    </row>
    <row r="164">
      <c r="A164" s="33"/>
      <c r="B164" s="33"/>
      <c r="C164" s="34"/>
      <c r="D164" s="34"/>
      <c r="F164" s="33"/>
    </row>
    <row r="165">
      <c r="A165" s="33"/>
      <c r="B165" s="33"/>
      <c r="C165" s="34"/>
      <c r="D165" s="34"/>
      <c r="F165" s="33"/>
    </row>
    <row r="166">
      <c r="A166" s="33"/>
      <c r="B166" s="33"/>
      <c r="C166" s="34"/>
      <c r="D166" s="34"/>
      <c r="F166" s="33"/>
    </row>
    <row r="167">
      <c r="A167" s="33"/>
      <c r="B167" s="33"/>
      <c r="C167" s="34"/>
      <c r="D167" s="34"/>
      <c r="F167" s="33"/>
    </row>
    <row r="168">
      <c r="A168" s="33"/>
      <c r="B168" s="33"/>
      <c r="C168" s="34"/>
      <c r="D168" s="34"/>
      <c r="F168" s="33"/>
    </row>
    <row r="169">
      <c r="A169" s="33"/>
      <c r="B169" s="33"/>
      <c r="C169" s="34"/>
      <c r="D169" s="34"/>
      <c r="F169" s="33"/>
    </row>
    <row r="170">
      <c r="A170" s="33"/>
      <c r="B170" s="33"/>
      <c r="C170" s="34"/>
      <c r="D170" s="34"/>
      <c r="F170" s="33"/>
    </row>
    <row r="171">
      <c r="A171" s="33"/>
      <c r="B171" s="33"/>
      <c r="C171" s="34"/>
      <c r="D171" s="34"/>
      <c r="F171" s="33"/>
    </row>
    <row r="172">
      <c r="A172" s="33"/>
      <c r="B172" s="33"/>
      <c r="C172" s="34"/>
      <c r="D172" s="34"/>
      <c r="F172" s="33"/>
    </row>
    <row r="173">
      <c r="A173" s="33"/>
      <c r="B173" s="33"/>
      <c r="C173" s="34"/>
      <c r="D173" s="34"/>
      <c r="F173" s="33"/>
    </row>
    <row r="174">
      <c r="A174" s="33"/>
      <c r="B174" s="33"/>
      <c r="C174" s="34"/>
      <c r="D174" s="34"/>
      <c r="F174" s="33"/>
    </row>
    <row r="175">
      <c r="A175" s="33"/>
      <c r="B175" s="33"/>
      <c r="C175" s="34"/>
      <c r="D175" s="34"/>
      <c r="F175" s="33"/>
    </row>
    <row r="176">
      <c r="A176" s="33"/>
      <c r="B176" s="33"/>
      <c r="C176" s="34"/>
      <c r="D176" s="34"/>
      <c r="F176" s="33"/>
    </row>
    <row r="177">
      <c r="A177" s="33"/>
      <c r="B177" s="33"/>
      <c r="C177" s="34"/>
      <c r="D177" s="34"/>
      <c r="F177" s="33"/>
    </row>
    <row r="178">
      <c r="A178" s="33"/>
      <c r="B178" s="33"/>
      <c r="C178" s="34"/>
      <c r="D178" s="34"/>
      <c r="F178" s="33"/>
    </row>
    <row r="179">
      <c r="A179" s="33"/>
      <c r="B179" s="33"/>
      <c r="C179" s="34"/>
      <c r="D179" s="34"/>
      <c r="F179" s="33"/>
    </row>
    <row r="180">
      <c r="A180" s="33"/>
      <c r="B180" s="33"/>
      <c r="C180" s="34"/>
      <c r="D180" s="34"/>
      <c r="F180" s="33"/>
    </row>
    <row r="181">
      <c r="A181" s="33"/>
      <c r="B181" s="33"/>
      <c r="C181" s="34"/>
      <c r="D181" s="34"/>
      <c r="F181" s="33"/>
    </row>
    <row r="182">
      <c r="A182" s="33"/>
      <c r="B182" s="33"/>
      <c r="C182" s="34"/>
      <c r="D182" s="34"/>
      <c r="F182" s="33"/>
    </row>
    <row r="183">
      <c r="A183" s="33"/>
      <c r="B183" s="33"/>
      <c r="C183" s="34"/>
      <c r="D183" s="34"/>
      <c r="F183" s="33"/>
    </row>
    <row r="184">
      <c r="A184" s="33"/>
      <c r="B184" s="33"/>
      <c r="C184" s="34"/>
      <c r="D184" s="34"/>
      <c r="F184" s="33"/>
    </row>
    <row r="185">
      <c r="A185" s="33"/>
      <c r="B185" s="33"/>
      <c r="C185" s="34"/>
      <c r="D185" s="34"/>
      <c r="F185" s="33"/>
    </row>
    <row r="186">
      <c r="A186" s="33"/>
      <c r="B186" s="33"/>
      <c r="C186" s="34"/>
      <c r="D186" s="34"/>
      <c r="F186" s="33"/>
    </row>
    <row r="187">
      <c r="A187" s="33"/>
      <c r="B187" s="33"/>
      <c r="C187" s="34"/>
      <c r="D187" s="34"/>
      <c r="F187" s="33"/>
    </row>
    <row r="188">
      <c r="A188" s="33"/>
      <c r="B188" s="33"/>
      <c r="C188" s="34"/>
      <c r="D188" s="34"/>
      <c r="F188" s="33"/>
    </row>
    <row r="189">
      <c r="A189" s="33"/>
      <c r="B189" s="33"/>
      <c r="C189" s="34"/>
      <c r="D189" s="34"/>
      <c r="F189" s="33"/>
    </row>
    <row r="190">
      <c r="A190" s="33"/>
      <c r="B190" s="33"/>
      <c r="C190" s="34"/>
      <c r="D190" s="34"/>
      <c r="F190" s="33"/>
    </row>
    <row r="191">
      <c r="A191" s="33"/>
      <c r="B191" s="33"/>
      <c r="C191" s="34"/>
      <c r="D191" s="34"/>
      <c r="F191" s="33"/>
    </row>
    <row r="192">
      <c r="A192" s="33"/>
      <c r="B192" s="33"/>
      <c r="C192" s="34"/>
      <c r="D192" s="34"/>
      <c r="F192" s="33"/>
    </row>
    <row r="193">
      <c r="A193" s="33"/>
      <c r="B193" s="33"/>
      <c r="C193" s="34"/>
      <c r="D193" s="34"/>
      <c r="F193" s="33"/>
    </row>
    <row r="194">
      <c r="A194" s="33"/>
      <c r="B194" s="33"/>
      <c r="C194" s="34"/>
      <c r="D194" s="34"/>
      <c r="F194" s="33"/>
    </row>
    <row r="195">
      <c r="A195" s="33"/>
      <c r="B195" s="33"/>
      <c r="C195" s="34"/>
      <c r="D195" s="34"/>
      <c r="F195" s="33"/>
    </row>
    <row r="196">
      <c r="A196" s="33"/>
      <c r="B196" s="33"/>
      <c r="C196" s="34"/>
      <c r="D196" s="34"/>
      <c r="F196" s="33"/>
    </row>
    <row r="197">
      <c r="A197" s="33"/>
      <c r="B197" s="33"/>
      <c r="C197" s="34"/>
      <c r="D197" s="34"/>
      <c r="F197" s="33"/>
    </row>
    <row r="198">
      <c r="A198" s="33"/>
      <c r="B198" s="33"/>
      <c r="C198" s="34"/>
      <c r="D198" s="34"/>
      <c r="F198" s="33"/>
    </row>
    <row r="199">
      <c r="A199" s="33"/>
      <c r="B199" s="33"/>
      <c r="C199" s="34"/>
      <c r="D199" s="34"/>
      <c r="F199" s="33"/>
    </row>
    <row r="200">
      <c r="A200" s="33"/>
      <c r="B200" s="33"/>
      <c r="C200" s="34"/>
      <c r="D200" s="34"/>
      <c r="F200" s="33"/>
    </row>
    <row r="201">
      <c r="A201" s="33"/>
      <c r="B201" s="33"/>
      <c r="C201" s="34"/>
      <c r="D201" s="34"/>
      <c r="F201" s="33"/>
    </row>
    <row r="202">
      <c r="A202" s="33"/>
      <c r="B202" s="33"/>
      <c r="C202" s="34"/>
      <c r="D202" s="34"/>
      <c r="F202" s="33"/>
    </row>
    <row r="203">
      <c r="A203" s="33"/>
      <c r="B203" s="33"/>
      <c r="C203" s="34"/>
      <c r="D203" s="34"/>
      <c r="F203" s="33"/>
    </row>
    <row r="204">
      <c r="A204" s="33"/>
      <c r="B204" s="33"/>
      <c r="C204" s="34"/>
      <c r="D204" s="34"/>
      <c r="F204" s="33"/>
    </row>
    <row r="205">
      <c r="A205" s="33"/>
      <c r="B205" s="33"/>
      <c r="C205" s="34"/>
      <c r="D205" s="34"/>
      <c r="F205" s="33"/>
    </row>
    <row r="206">
      <c r="A206" s="33"/>
      <c r="B206" s="33"/>
      <c r="C206" s="34"/>
      <c r="D206" s="34"/>
      <c r="F206" s="33"/>
    </row>
    <row r="207">
      <c r="A207" s="33"/>
      <c r="B207" s="33"/>
      <c r="C207" s="34"/>
      <c r="D207" s="34"/>
      <c r="F207" s="33"/>
    </row>
    <row r="208">
      <c r="A208" s="33"/>
      <c r="B208" s="33"/>
      <c r="C208" s="34"/>
      <c r="D208" s="34"/>
      <c r="F208" s="33"/>
    </row>
    <row r="209">
      <c r="A209" s="33"/>
      <c r="B209" s="33"/>
      <c r="C209" s="34"/>
      <c r="D209" s="34"/>
      <c r="F209" s="33"/>
    </row>
    <row r="210">
      <c r="A210" s="33"/>
      <c r="B210" s="33"/>
      <c r="C210" s="34"/>
      <c r="D210" s="34"/>
      <c r="F210" s="33"/>
    </row>
    <row r="211">
      <c r="A211" s="33"/>
      <c r="B211" s="33"/>
      <c r="C211" s="34"/>
      <c r="D211" s="34"/>
      <c r="F211" s="33"/>
    </row>
    <row r="212">
      <c r="A212" s="33"/>
      <c r="B212" s="33"/>
      <c r="C212" s="34"/>
      <c r="D212" s="34"/>
      <c r="F212" s="33"/>
    </row>
    <row r="213">
      <c r="A213" s="33"/>
      <c r="B213" s="33"/>
      <c r="C213" s="34"/>
      <c r="D213" s="34"/>
      <c r="F213" s="33"/>
    </row>
    <row r="214">
      <c r="A214" s="33"/>
      <c r="B214" s="33"/>
      <c r="C214" s="34"/>
      <c r="D214" s="34"/>
      <c r="F214" s="33"/>
    </row>
    <row r="215">
      <c r="A215" s="33"/>
      <c r="B215" s="33"/>
      <c r="C215" s="34"/>
      <c r="D215" s="34"/>
      <c r="F215" s="33"/>
    </row>
    <row r="216">
      <c r="A216" s="33"/>
      <c r="B216" s="33"/>
      <c r="C216" s="34"/>
      <c r="D216" s="34"/>
      <c r="F216" s="33"/>
    </row>
    <row r="217">
      <c r="A217" s="33"/>
      <c r="B217" s="33"/>
      <c r="C217" s="34"/>
      <c r="D217" s="34"/>
      <c r="F217" s="33"/>
    </row>
    <row r="218">
      <c r="A218" s="33"/>
      <c r="B218" s="33"/>
      <c r="C218" s="34"/>
      <c r="D218" s="34"/>
      <c r="F218" s="33"/>
    </row>
    <row r="219">
      <c r="A219" s="33"/>
      <c r="B219" s="33"/>
      <c r="C219" s="34"/>
      <c r="D219" s="34"/>
      <c r="F219" s="33"/>
    </row>
    <row r="220">
      <c r="A220" s="33"/>
      <c r="B220" s="33"/>
      <c r="C220" s="34"/>
      <c r="D220" s="34"/>
      <c r="F220" s="33"/>
    </row>
    <row r="221">
      <c r="A221" s="33"/>
      <c r="B221" s="33"/>
      <c r="C221" s="34"/>
      <c r="D221" s="34"/>
      <c r="F221" s="33"/>
    </row>
    <row r="222">
      <c r="A222" s="33"/>
      <c r="B222" s="33"/>
      <c r="C222" s="34"/>
      <c r="D222" s="34"/>
      <c r="F222" s="33"/>
    </row>
    <row r="223">
      <c r="A223" s="33"/>
      <c r="B223" s="33"/>
      <c r="C223" s="34"/>
      <c r="D223" s="34"/>
      <c r="F223" s="33"/>
    </row>
    <row r="224">
      <c r="A224" s="33"/>
      <c r="B224" s="33"/>
      <c r="C224" s="34"/>
      <c r="D224" s="34"/>
      <c r="F224" s="33"/>
    </row>
    <row r="225">
      <c r="A225" s="33"/>
      <c r="B225" s="33"/>
      <c r="C225" s="34"/>
      <c r="D225" s="34"/>
      <c r="F225" s="33"/>
    </row>
    <row r="226">
      <c r="A226" s="33"/>
      <c r="B226" s="33"/>
      <c r="C226" s="34"/>
      <c r="D226" s="34"/>
      <c r="F226" s="33"/>
    </row>
    <row r="227">
      <c r="A227" s="33"/>
      <c r="B227" s="33"/>
      <c r="C227" s="34"/>
      <c r="D227" s="34"/>
      <c r="F227" s="33"/>
    </row>
    <row r="228">
      <c r="A228" s="33"/>
      <c r="B228" s="33"/>
      <c r="C228" s="34"/>
      <c r="D228" s="34"/>
      <c r="F228" s="33"/>
    </row>
    <row r="229">
      <c r="A229" s="33"/>
      <c r="B229" s="33"/>
      <c r="C229" s="34"/>
      <c r="D229" s="34"/>
      <c r="F229" s="33"/>
    </row>
    <row r="230">
      <c r="A230" s="33"/>
      <c r="B230" s="33"/>
      <c r="C230" s="34"/>
      <c r="D230" s="34"/>
      <c r="F230" s="33"/>
    </row>
    <row r="231">
      <c r="A231" s="33"/>
      <c r="B231" s="33"/>
      <c r="C231" s="34"/>
      <c r="D231" s="34"/>
      <c r="F231" s="33"/>
    </row>
    <row r="232">
      <c r="A232" s="33"/>
      <c r="B232" s="33"/>
      <c r="C232" s="34"/>
      <c r="D232" s="34"/>
      <c r="F232" s="33"/>
    </row>
    <row r="233">
      <c r="A233" s="33"/>
      <c r="B233" s="33"/>
      <c r="C233" s="34"/>
      <c r="D233" s="34"/>
      <c r="F233" s="33"/>
    </row>
    <row r="234">
      <c r="A234" s="33"/>
      <c r="B234" s="33"/>
      <c r="C234" s="34"/>
      <c r="D234" s="34"/>
      <c r="F234" s="33"/>
    </row>
    <row r="235">
      <c r="A235" s="33"/>
      <c r="B235" s="33"/>
      <c r="C235" s="34"/>
      <c r="D235" s="34"/>
      <c r="F235" s="33"/>
    </row>
    <row r="236">
      <c r="A236" s="33"/>
      <c r="B236" s="33"/>
      <c r="C236" s="34"/>
      <c r="D236" s="34"/>
      <c r="F236" s="33"/>
    </row>
    <row r="237">
      <c r="A237" s="33"/>
      <c r="B237" s="33"/>
      <c r="C237" s="34"/>
      <c r="D237" s="34"/>
      <c r="F237" s="33"/>
    </row>
    <row r="238">
      <c r="A238" s="33"/>
      <c r="B238" s="33"/>
      <c r="C238" s="34"/>
      <c r="D238" s="34"/>
      <c r="F238" s="33"/>
    </row>
    <row r="239">
      <c r="A239" s="33"/>
      <c r="B239" s="33"/>
      <c r="C239" s="34"/>
      <c r="D239" s="34"/>
      <c r="F239" s="33"/>
    </row>
    <row r="240">
      <c r="A240" s="33"/>
      <c r="B240" s="33"/>
      <c r="C240" s="34"/>
      <c r="D240" s="34"/>
      <c r="F240" s="33"/>
    </row>
    <row r="241">
      <c r="A241" s="33"/>
      <c r="B241" s="33"/>
      <c r="C241" s="34"/>
      <c r="D241" s="34"/>
      <c r="F241" s="33"/>
    </row>
    <row r="242">
      <c r="A242" s="33"/>
      <c r="B242" s="33"/>
      <c r="C242" s="34"/>
      <c r="D242" s="34"/>
      <c r="F242" s="33"/>
    </row>
    <row r="243">
      <c r="A243" s="33"/>
      <c r="B243" s="33"/>
      <c r="C243" s="34"/>
      <c r="D243" s="34"/>
      <c r="F243" s="33"/>
    </row>
    <row r="244">
      <c r="A244" s="33"/>
      <c r="B244" s="33"/>
      <c r="C244" s="34"/>
      <c r="D244" s="34"/>
      <c r="F244" s="33"/>
    </row>
    <row r="245">
      <c r="A245" s="33"/>
      <c r="B245" s="33"/>
      <c r="C245" s="34"/>
      <c r="D245" s="34"/>
      <c r="F245" s="33"/>
    </row>
    <row r="246">
      <c r="A246" s="33"/>
      <c r="B246" s="33"/>
      <c r="C246" s="34"/>
      <c r="D246" s="34"/>
      <c r="F246" s="33"/>
    </row>
    <row r="247">
      <c r="A247" s="33"/>
      <c r="B247" s="33"/>
      <c r="C247" s="34"/>
      <c r="D247" s="34"/>
      <c r="F247" s="33"/>
    </row>
    <row r="248">
      <c r="A248" s="33"/>
      <c r="B248" s="33"/>
      <c r="C248" s="34"/>
      <c r="D248" s="34"/>
      <c r="F248" s="33"/>
    </row>
    <row r="249">
      <c r="A249" s="33"/>
      <c r="B249" s="33"/>
      <c r="C249" s="34"/>
      <c r="D249" s="34"/>
      <c r="F249" s="33"/>
    </row>
    <row r="250">
      <c r="A250" s="33"/>
      <c r="B250" s="33"/>
      <c r="C250" s="34"/>
      <c r="D250" s="34"/>
      <c r="F250" s="33"/>
    </row>
    <row r="251">
      <c r="A251" s="33"/>
      <c r="B251" s="33"/>
      <c r="C251" s="34"/>
      <c r="D251" s="34"/>
      <c r="F251" s="33"/>
    </row>
    <row r="252">
      <c r="A252" s="33"/>
      <c r="B252" s="33"/>
      <c r="C252" s="34"/>
      <c r="D252" s="34"/>
      <c r="F252" s="33"/>
    </row>
    <row r="253">
      <c r="A253" s="33"/>
      <c r="B253" s="33"/>
      <c r="C253" s="34"/>
      <c r="D253" s="34"/>
      <c r="F253" s="33"/>
    </row>
    <row r="254">
      <c r="A254" s="33"/>
      <c r="B254" s="33"/>
      <c r="C254" s="34"/>
      <c r="D254" s="34"/>
      <c r="F254" s="33"/>
    </row>
    <row r="255">
      <c r="A255" s="33"/>
      <c r="B255" s="33"/>
      <c r="C255" s="34"/>
      <c r="D255" s="34"/>
      <c r="F255" s="33"/>
    </row>
    <row r="256">
      <c r="A256" s="33"/>
      <c r="B256" s="33"/>
      <c r="C256" s="34"/>
      <c r="D256" s="34"/>
      <c r="F256" s="33"/>
    </row>
    <row r="257">
      <c r="A257" s="33"/>
      <c r="B257" s="33"/>
      <c r="C257" s="34"/>
      <c r="D257" s="34"/>
      <c r="F257" s="33"/>
    </row>
    <row r="258">
      <c r="A258" s="33"/>
      <c r="B258" s="33"/>
      <c r="C258" s="34"/>
      <c r="D258" s="34"/>
      <c r="F258" s="33"/>
    </row>
    <row r="259">
      <c r="A259" s="33"/>
      <c r="B259" s="33"/>
      <c r="C259" s="34"/>
      <c r="D259" s="34"/>
      <c r="F259" s="33"/>
    </row>
    <row r="260">
      <c r="A260" s="33"/>
      <c r="B260" s="33"/>
      <c r="C260" s="34"/>
      <c r="D260" s="34"/>
      <c r="F260" s="33"/>
    </row>
    <row r="261">
      <c r="A261" s="33"/>
      <c r="B261" s="33"/>
      <c r="C261" s="34"/>
      <c r="D261" s="34"/>
      <c r="F261" s="33"/>
    </row>
    <row r="262">
      <c r="A262" s="33"/>
      <c r="B262" s="33"/>
      <c r="C262" s="34"/>
      <c r="D262" s="34"/>
      <c r="F262" s="33"/>
    </row>
    <row r="263">
      <c r="A263" s="33"/>
      <c r="B263" s="33"/>
      <c r="C263" s="34"/>
      <c r="D263" s="34"/>
      <c r="F263" s="33"/>
    </row>
    <row r="264">
      <c r="A264" s="33"/>
      <c r="B264" s="33"/>
      <c r="C264" s="34"/>
      <c r="D264" s="34"/>
      <c r="F264" s="33"/>
    </row>
    <row r="265">
      <c r="A265" s="33"/>
      <c r="B265" s="33"/>
      <c r="C265" s="34"/>
      <c r="D265" s="34"/>
      <c r="F265" s="33"/>
    </row>
    <row r="266">
      <c r="A266" s="33"/>
      <c r="B266" s="33"/>
      <c r="C266" s="34"/>
      <c r="D266" s="34"/>
      <c r="F266" s="33"/>
    </row>
    <row r="267">
      <c r="A267" s="33"/>
      <c r="B267" s="33"/>
      <c r="C267" s="34"/>
      <c r="D267" s="34"/>
      <c r="F267" s="33"/>
    </row>
    <row r="268">
      <c r="A268" s="33"/>
      <c r="B268" s="33"/>
      <c r="C268" s="34"/>
      <c r="D268" s="34"/>
      <c r="F268" s="33"/>
    </row>
    <row r="269">
      <c r="A269" s="33"/>
      <c r="B269" s="33"/>
      <c r="C269" s="34"/>
      <c r="D269" s="34"/>
      <c r="F269" s="33"/>
    </row>
    <row r="270">
      <c r="A270" s="33"/>
      <c r="B270" s="33"/>
      <c r="C270" s="34"/>
      <c r="D270" s="34"/>
      <c r="F270" s="33"/>
    </row>
    <row r="271">
      <c r="A271" s="33"/>
      <c r="B271" s="33"/>
      <c r="C271" s="34"/>
      <c r="D271" s="34"/>
      <c r="F271" s="33"/>
    </row>
    <row r="272">
      <c r="A272" s="33"/>
      <c r="B272" s="33"/>
      <c r="C272" s="34"/>
      <c r="D272" s="34"/>
      <c r="F272" s="33"/>
    </row>
    <row r="273">
      <c r="A273" s="33"/>
      <c r="B273" s="33"/>
      <c r="C273" s="34"/>
      <c r="D273" s="34"/>
      <c r="F273" s="33"/>
    </row>
    <row r="274">
      <c r="A274" s="33"/>
      <c r="B274" s="33"/>
      <c r="C274" s="34"/>
      <c r="D274" s="34"/>
      <c r="F274" s="33"/>
    </row>
    <row r="275">
      <c r="A275" s="33"/>
      <c r="B275" s="33"/>
      <c r="C275" s="34"/>
      <c r="D275" s="34"/>
      <c r="F275" s="33"/>
    </row>
    <row r="276">
      <c r="A276" s="33"/>
      <c r="B276" s="33"/>
      <c r="C276" s="34"/>
      <c r="D276" s="34"/>
      <c r="F276" s="33"/>
    </row>
    <row r="277">
      <c r="A277" s="33"/>
      <c r="B277" s="33"/>
      <c r="C277" s="34"/>
      <c r="D277" s="34"/>
      <c r="F277" s="33"/>
    </row>
    <row r="278">
      <c r="A278" s="33"/>
      <c r="B278" s="33"/>
      <c r="C278" s="34"/>
      <c r="D278" s="34"/>
      <c r="F278" s="33"/>
    </row>
    <row r="279">
      <c r="A279" s="33"/>
      <c r="B279" s="33"/>
      <c r="C279" s="34"/>
      <c r="D279" s="34"/>
      <c r="F279" s="33"/>
    </row>
    <row r="280">
      <c r="A280" s="33"/>
      <c r="B280" s="33"/>
      <c r="C280" s="34"/>
      <c r="D280" s="34"/>
      <c r="F280" s="33"/>
    </row>
    <row r="281">
      <c r="A281" s="33"/>
      <c r="B281" s="33"/>
      <c r="C281" s="34"/>
      <c r="D281" s="34"/>
      <c r="F281" s="33"/>
    </row>
    <row r="282">
      <c r="A282" s="33"/>
      <c r="B282" s="33"/>
      <c r="C282" s="34"/>
      <c r="D282" s="34"/>
      <c r="F282" s="33"/>
    </row>
    <row r="283">
      <c r="A283" s="33"/>
      <c r="B283" s="33"/>
      <c r="C283" s="34"/>
      <c r="D283" s="34"/>
      <c r="F283" s="33"/>
    </row>
    <row r="284">
      <c r="A284" s="33"/>
      <c r="B284" s="33"/>
      <c r="C284" s="34"/>
      <c r="D284" s="34"/>
      <c r="F284" s="33"/>
    </row>
    <row r="285">
      <c r="A285" s="33"/>
      <c r="B285" s="33"/>
      <c r="C285" s="34"/>
      <c r="D285" s="34"/>
      <c r="F285" s="33"/>
    </row>
    <row r="286">
      <c r="A286" s="33"/>
      <c r="B286" s="33"/>
      <c r="C286" s="34"/>
      <c r="D286" s="34"/>
      <c r="F286" s="33"/>
    </row>
    <row r="287">
      <c r="A287" s="33"/>
      <c r="B287" s="33"/>
      <c r="C287" s="34"/>
      <c r="D287" s="34"/>
      <c r="F287" s="33"/>
    </row>
    <row r="288">
      <c r="A288" s="33"/>
      <c r="B288" s="33"/>
      <c r="C288" s="34"/>
      <c r="D288" s="34"/>
      <c r="F288" s="33"/>
    </row>
    <row r="289">
      <c r="A289" s="33"/>
      <c r="B289" s="33"/>
      <c r="C289" s="34"/>
      <c r="D289" s="34"/>
      <c r="F289" s="33"/>
    </row>
    <row r="290">
      <c r="A290" s="33"/>
      <c r="B290" s="33"/>
      <c r="C290" s="34"/>
      <c r="D290" s="34"/>
      <c r="F290" s="33"/>
    </row>
    <row r="291">
      <c r="A291" s="33"/>
      <c r="B291" s="33"/>
      <c r="C291" s="34"/>
      <c r="D291" s="34"/>
      <c r="F291" s="33"/>
    </row>
    <row r="292">
      <c r="A292" s="33"/>
      <c r="B292" s="33"/>
      <c r="C292" s="34"/>
      <c r="D292" s="34"/>
      <c r="F292" s="33"/>
    </row>
    <row r="293">
      <c r="A293" s="33"/>
      <c r="B293" s="33"/>
      <c r="C293" s="34"/>
      <c r="D293" s="34"/>
      <c r="F293" s="33"/>
    </row>
    <row r="294">
      <c r="A294" s="33"/>
      <c r="B294" s="33"/>
      <c r="C294" s="34"/>
      <c r="D294" s="34"/>
      <c r="F294" s="33"/>
    </row>
    <row r="295">
      <c r="A295" s="33"/>
      <c r="B295" s="33"/>
      <c r="C295" s="34"/>
      <c r="D295" s="34"/>
      <c r="F295" s="33"/>
    </row>
    <row r="296">
      <c r="A296" s="33"/>
      <c r="B296" s="33"/>
      <c r="C296" s="34"/>
      <c r="D296" s="34"/>
      <c r="F296" s="33"/>
    </row>
    <row r="297">
      <c r="A297" s="33"/>
      <c r="B297" s="33"/>
      <c r="C297" s="34"/>
      <c r="D297" s="34"/>
      <c r="F297" s="33"/>
    </row>
    <row r="298">
      <c r="A298" s="33"/>
      <c r="B298" s="33"/>
      <c r="C298" s="34"/>
      <c r="D298" s="34"/>
      <c r="F298" s="33"/>
    </row>
    <row r="299">
      <c r="A299" s="33"/>
      <c r="B299" s="33"/>
      <c r="C299" s="34"/>
      <c r="D299" s="34"/>
      <c r="F299" s="33"/>
    </row>
    <row r="300">
      <c r="A300" s="33"/>
      <c r="B300" s="33"/>
      <c r="C300" s="34"/>
      <c r="D300" s="34"/>
      <c r="F300" s="33"/>
    </row>
    <row r="301">
      <c r="A301" s="33"/>
      <c r="B301" s="33"/>
      <c r="C301" s="34"/>
      <c r="D301" s="34"/>
      <c r="F301" s="33"/>
    </row>
    <row r="302">
      <c r="A302" s="33"/>
      <c r="B302" s="33"/>
      <c r="C302" s="34"/>
      <c r="D302" s="34"/>
      <c r="F302" s="33"/>
    </row>
    <row r="303">
      <c r="A303" s="33"/>
      <c r="B303" s="33"/>
      <c r="C303" s="34"/>
      <c r="D303" s="34"/>
      <c r="F303" s="33"/>
    </row>
    <row r="304">
      <c r="A304" s="33"/>
      <c r="B304" s="33"/>
      <c r="C304" s="34"/>
      <c r="D304" s="34"/>
      <c r="F304" s="33"/>
    </row>
    <row r="305">
      <c r="A305" s="33"/>
      <c r="B305" s="33"/>
      <c r="C305" s="34"/>
      <c r="D305" s="34"/>
      <c r="F305" s="33"/>
    </row>
    <row r="306">
      <c r="A306" s="33"/>
      <c r="B306" s="33"/>
      <c r="C306" s="34"/>
      <c r="D306" s="34"/>
      <c r="F306" s="33"/>
    </row>
    <row r="307">
      <c r="A307" s="33"/>
      <c r="B307" s="33"/>
      <c r="C307" s="34"/>
      <c r="D307" s="34"/>
      <c r="F307" s="33"/>
    </row>
    <row r="308">
      <c r="A308" s="33"/>
      <c r="B308" s="33"/>
      <c r="C308" s="34"/>
      <c r="D308" s="34"/>
      <c r="F308" s="33"/>
    </row>
    <row r="309">
      <c r="A309" s="33"/>
      <c r="B309" s="33"/>
      <c r="C309" s="34"/>
      <c r="D309" s="34"/>
      <c r="F309" s="33"/>
    </row>
    <row r="310">
      <c r="A310" s="33"/>
      <c r="B310" s="33"/>
      <c r="C310" s="34"/>
      <c r="D310" s="34"/>
      <c r="F310" s="33"/>
    </row>
    <row r="311">
      <c r="A311" s="33"/>
      <c r="B311" s="33"/>
      <c r="C311" s="34"/>
      <c r="D311" s="34"/>
      <c r="F311" s="33"/>
    </row>
    <row r="312">
      <c r="A312" s="33"/>
      <c r="B312" s="33"/>
      <c r="C312" s="34"/>
      <c r="D312" s="34"/>
      <c r="F312" s="33"/>
    </row>
    <row r="313">
      <c r="A313" s="33"/>
      <c r="B313" s="33"/>
      <c r="C313" s="34"/>
      <c r="D313" s="34"/>
      <c r="F313" s="33"/>
    </row>
    <row r="314">
      <c r="A314" s="33"/>
      <c r="B314" s="33"/>
      <c r="C314" s="34"/>
      <c r="D314" s="34"/>
      <c r="F314" s="33"/>
    </row>
    <row r="315">
      <c r="A315" s="33"/>
      <c r="B315" s="33"/>
      <c r="C315" s="34"/>
      <c r="D315" s="34"/>
      <c r="F315" s="33"/>
    </row>
    <row r="316">
      <c r="A316" s="33"/>
      <c r="B316" s="33"/>
      <c r="C316" s="34"/>
      <c r="D316" s="34"/>
      <c r="F316" s="33"/>
    </row>
    <row r="317">
      <c r="A317" s="33"/>
      <c r="B317" s="33"/>
      <c r="C317" s="34"/>
      <c r="D317" s="34"/>
      <c r="F317" s="33"/>
    </row>
    <row r="318">
      <c r="A318" s="33"/>
      <c r="B318" s="33"/>
      <c r="C318" s="34"/>
      <c r="D318" s="34"/>
      <c r="F318" s="33"/>
    </row>
    <row r="319">
      <c r="A319" s="33"/>
      <c r="B319" s="33"/>
      <c r="C319" s="34"/>
      <c r="D319" s="34"/>
      <c r="F319" s="33"/>
    </row>
    <row r="320">
      <c r="A320" s="33"/>
      <c r="B320" s="33"/>
      <c r="C320" s="34"/>
      <c r="D320" s="34"/>
      <c r="F320" s="33"/>
    </row>
    <row r="321">
      <c r="A321" s="33"/>
      <c r="B321" s="33"/>
      <c r="C321" s="34"/>
      <c r="D321" s="34"/>
      <c r="F321" s="33"/>
    </row>
    <row r="322">
      <c r="A322" s="33"/>
      <c r="B322" s="33"/>
      <c r="C322" s="34"/>
      <c r="D322" s="34"/>
      <c r="F322" s="33"/>
    </row>
    <row r="323">
      <c r="A323" s="33"/>
      <c r="B323" s="33"/>
      <c r="C323" s="34"/>
      <c r="D323" s="34"/>
      <c r="F323" s="33"/>
    </row>
    <row r="324">
      <c r="A324" s="33"/>
      <c r="B324" s="33"/>
      <c r="C324" s="34"/>
      <c r="D324" s="34"/>
      <c r="F324" s="33"/>
    </row>
    <row r="325">
      <c r="A325" s="33"/>
      <c r="B325" s="33"/>
      <c r="C325" s="34"/>
      <c r="D325" s="34"/>
      <c r="F325" s="33"/>
    </row>
    <row r="326">
      <c r="A326" s="33"/>
      <c r="B326" s="33"/>
      <c r="C326" s="34"/>
      <c r="D326" s="34"/>
      <c r="F326" s="33"/>
    </row>
    <row r="327">
      <c r="A327" s="33"/>
      <c r="B327" s="33"/>
      <c r="C327" s="34"/>
      <c r="D327" s="34"/>
      <c r="F327" s="33"/>
    </row>
    <row r="328">
      <c r="A328" s="33"/>
      <c r="B328" s="33"/>
      <c r="C328" s="34"/>
      <c r="D328" s="34"/>
      <c r="F328" s="33"/>
    </row>
    <row r="329">
      <c r="A329" s="33"/>
      <c r="B329" s="33"/>
      <c r="C329" s="34"/>
      <c r="D329" s="34"/>
      <c r="F329" s="33"/>
    </row>
    <row r="330">
      <c r="A330" s="33"/>
      <c r="B330" s="33"/>
      <c r="C330" s="34"/>
      <c r="D330" s="34"/>
      <c r="F330" s="33"/>
    </row>
    <row r="331">
      <c r="A331" s="33"/>
      <c r="B331" s="33"/>
      <c r="C331" s="34"/>
      <c r="D331" s="34"/>
      <c r="F331" s="33"/>
    </row>
    <row r="332">
      <c r="A332" s="33"/>
      <c r="B332" s="33"/>
      <c r="C332" s="34"/>
      <c r="D332" s="34"/>
      <c r="F332" s="33"/>
    </row>
    <row r="333">
      <c r="A333" s="33"/>
      <c r="B333" s="33"/>
      <c r="C333" s="34"/>
      <c r="D333" s="34"/>
      <c r="F333" s="33"/>
    </row>
    <row r="334">
      <c r="A334" s="33"/>
      <c r="B334" s="33"/>
      <c r="C334" s="34"/>
      <c r="D334" s="34"/>
      <c r="F334" s="33"/>
    </row>
    <row r="335">
      <c r="A335" s="33"/>
      <c r="B335" s="33"/>
      <c r="C335" s="34"/>
      <c r="D335" s="34"/>
      <c r="F335" s="33"/>
    </row>
    <row r="336">
      <c r="A336" s="33"/>
      <c r="B336" s="33"/>
      <c r="C336" s="34"/>
      <c r="D336" s="34"/>
      <c r="F336" s="33"/>
    </row>
    <row r="337">
      <c r="A337" s="33"/>
      <c r="B337" s="33"/>
      <c r="C337" s="34"/>
      <c r="D337" s="34"/>
      <c r="F337" s="33"/>
    </row>
    <row r="338">
      <c r="A338" s="33"/>
      <c r="B338" s="33"/>
      <c r="C338" s="34"/>
      <c r="D338" s="34"/>
      <c r="F338" s="33"/>
    </row>
    <row r="339">
      <c r="A339" s="33"/>
      <c r="B339" s="33"/>
      <c r="C339" s="34"/>
      <c r="D339" s="34"/>
      <c r="F339" s="33"/>
    </row>
    <row r="340">
      <c r="A340" s="33"/>
      <c r="B340" s="33"/>
      <c r="C340" s="34"/>
      <c r="D340" s="34"/>
      <c r="F340" s="33"/>
    </row>
    <row r="341">
      <c r="A341" s="33"/>
      <c r="B341" s="33"/>
      <c r="C341" s="34"/>
      <c r="D341" s="34"/>
      <c r="F341" s="33"/>
    </row>
    <row r="342">
      <c r="A342" s="33"/>
      <c r="B342" s="33"/>
      <c r="C342" s="34"/>
      <c r="D342" s="34"/>
      <c r="F342" s="33"/>
    </row>
    <row r="343">
      <c r="A343" s="33"/>
      <c r="B343" s="33"/>
      <c r="C343" s="34"/>
      <c r="D343" s="34"/>
      <c r="F343" s="33"/>
    </row>
    <row r="344">
      <c r="A344" s="33"/>
      <c r="B344" s="33"/>
      <c r="C344" s="34"/>
      <c r="D344" s="34"/>
      <c r="F344" s="33"/>
    </row>
    <row r="345">
      <c r="A345" s="33"/>
      <c r="B345" s="33"/>
      <c r="C345" s="34"/>
      <c r="D345" s="34"/>
      <c r="F345" s="33"/>
    </row>
    <row r="346">
      <c r="A346" s="33"/>
      <c r="B346" s="33"/>
      <c r="C346" s="34"/>
      <c r="D346" s="34"/>
      <c r="F346" s="33"/>
    </row>
    <row r="347">
      <c r="A347" s="33"/>
      <c r="B347" s="33"/>
      <c r="C347" s="34"/>
      <c r="D347" s="34"/>
      <c r="F347" s="33"/>
    </row>
    <row r="348">
      <c r="A348" s="33"/>
      <c r="B348" s="33"/>
      <c r="C348" s="34"/>
      <c r="D348" s="34"/>
      <c r="F348" s="33"/>
    </row>
    <row r="349">
      <c r="A349" s="33"/>
      <c r="B349" s="33"/>
      <c r="C349" s="34"/>
      <c r="D349" s="34"/>
      <c r="F349" s="33"/>
    </row>
    <row r="350">
      <c r="A350" s="33"/>
      <c r="B350" s="33"/>
      <c r="C350" s="34"/>
      <c r="D350" s="34"/>
      <c r="F350" s="33"/>
    </row>
    <row r="351">
      <c r="A351" s="33"/>
      <c r="B351" s="33"/>
      <c r="C351" s="34"/>
      <c r="D351" s="34"/>
      <c r="F351" s="33"/>
    </row>
    <row r="352">
      <c r="A352" s="33"/>
      <c r="B352" s="33"/>
      <c r="C352" s="34"/>
      <c r="D352" s="34"/>
      <c r="F352" s="33"/>
    </row>
    <row r="353">
      <c r="A353" s="33"/>
      <c r="B353" s="33"/>
      <c r="C353" s="34"/>
      <c r="D353" s="34"/>
      <c r="F353" s="33"/>
    </row>
    <row r="354">
      <c r="A354" s="33"/>
      <c r="B354" s="33"/>
      <c r="C354" s="34"/>
      <c r="D354" s="34"/>
      <c r="F354" s="33"/>
    </row>
    <row r="355">
      <c r="A355" s="33"/>
      <c r="B355" s="33"/>
      <c r="C355" s="34"/>
      <c r="D355" s="34"/>
      <c r="F355" s="33"/>
    </row>
    <row r="356">
      <c r="A356" s="33"/>
      <c r="B356" s="33"/>
      <c r="C356" s="34"/>
      <c r="D356" s="34"/>
      <c r="F356" s="33"/>
    </row>
    <row r="357">
      <c r="A357" s="33"/>
      <c r="B357" s="33"/>
      <c r="C357" s="34"/>
      <c r="D357" s="34"/>
      <c r="F357" s="33"/>
    </row>
    <row r="358">
      <c r="A358" s="33"/>
      <c r="B358" s="33"/>
      <c r="C358" s="34"/>
      <c r="D358" s="34"/>
      <c r="F358" s="33"/>
    </row>
    <row r="359">
      <c r="A359" s="33"/>
      <c r="B359" s="33"/>
      <c r="C359" s="34"/>
      <c r="D359" s="34"/>
      <c r="F359" s="33"/>
    </row>
    <row r="360">
      <c r="A360" s="33"/>
      <c r="B360" s="33"/>
      <c r="C360" s="34"/>
      <c r="D360" s="34"/>
      <c r="F360" s="33"/>
    </row>
    <row r="361">
      <c r="A361" s="33"/>
      <c r="B361" s="33"/>
      <c r="C361" s="34"/>
      <c r="D361" s="34"/>
      <c r="F361" s="33"/>
    </row>
    <row r="362">
      <c r="A362" s="33"/>
      <c r="B362" s="33"/>
      <c r="C362" s="34"/>
      <c r="D362" s="34"/>
      <c r="F362" s="33"/>
    </row>
    <row r="363">
      <c r="A363" s="33"/>
      <c r="B363" s="33"/>
      <c r="C363" s="34"/>
      <c r="D363" s="34"/>
      <c r="F363" s="33"/>
    </row>
    <row r="364">
      <c r="A364" s="33"/>
      <c r="B364" s="33"/>
      <c r="C364" s="34"/>
      <c r="D364" s="34"/>
      <c r="F364" s="33"/>
    </row>
    <row r="365">
      <c r="A365" s="33"/>
      <c r="B365" s="33"/>
      <c r="C365" s="34"/>
      <c r="D365" s="34"/>
      <c r="F365" s="33"/>
    </row>
    <row r="366">
      <c r="A366" s="33"/>
      <c r="B366" s="33"/>
      <c r="C366" s="34"/>
      <c r="D366" s="34"/>
      <c r="F366" s="33"/>
    </row>
    <row r="367">
      <c r="A367" s="33"/>
      <c r="B367" s="33"/>
      <c r="C367" s="34"/>
      <c r="D367" s="34"/>
      <c r="F367" s="33"/>
    </row>
    <row r="368">
      <c r="A368" s="33"/>
      <c r="B368" s="33"/>
      <c r="C368" s="34"/>
      <c r="D368" s="34"/>
      <c r="F368" s="33"/>
    </row>
    <row r="369">
      <c r="A369" s="33"/>
      <c r="B369" s="33"/>
      <c r="C369" s="34"/>
      <c r="D369" s="34"/>
      <c r="F369" s="33"/>
    </row>
    <row r="370">
      <c r="A370" s="33"/>
      <c r="B370" s="33"/>
      <c r="C370" s="34"/>
      <c r="D370" s="34"/>
      <c r="F370" s="33"/>
    </row>
    <row r="371">
      <c r="A371" s="33"/>
      <c r="B371" s="33"/>
      <c r="C371" s="34"/>
      <c r="D371" s="34"/>
      <c r="F371" s="33"/>
    </row>
    <row r="372">
      <c r="A372" s="33"/>
      <c r="B372" s="33"/>
      <c r="C372" s="34"/>
      <c r="D372" s="34"/>
      <c r="F372" s="33"/>
    </row>
    <row r="373">
      <c r="A373" s="33"/>
      <c r="B373" s="33"/>
      <c r="C373" s="34"/>
      <c r="D373" s="34"/>
      <c r="F373" s="33"/>
    </row>
    <row r="374">
      <c r="A374" s="33"/>
      <c r="B374" s="33"/>
      <c r="C374" s="34"/>
      <c r="D374" s="34"/>
      <c r="F374" s="33"/>
    </row>
    <row r="375">
      <c r="A375" s="33"/>
      <c r="B375" s="33"/>
      <c r="C375" s="34"/>
      <c r="D375" s="34"/>
      <c r="F375" s="33"/>
    </row>
    <row r="376">
      <c r="A376" s="33"/>
      <c r="B376" s="33"/>
      <c r="C376" s="34"/>
      <c r="D376" s="34"/>
      <c r="F376" s="33"/>
    </row>
    <row r="377">
      <c r="A377" s="33"/>
      <c r="B377" s="33"/>
      <c r="C377" s="34"/>
      <c r="D377" s="34"/>
      <c r="F377" s="33"/>
    </row>
    <row r="378">
      <c r="A378" s="33"/>
      <c r="B378" s="33"/>
      <c r="C378" s="34"/>
      <c r="D378" s="34"/>
      <c r="F378" s="33"/>
    </row>
    <row r="379">
      <c r="A379" s="33"/>
      <c r="B379" s="33"/>
      <c r="C379" s="34"/>
      <c r="D379" s="34"/>
      <c r="F379" s="33"/>
    </row>
    <row r="380">
      <c r="A380" s="33"/>
      <c r="B380" s="33"/>
      <c r="C380" s="34"/>
      <c r="D380" s="34"/>
      <c r="F380" s="33"/>
    </row>
    <row r="381">
      <c r="A381" s="33"/>
      <c r="B381" s="33"/>
      <c r="C381" s="34"/>
      <c r="D381" s="34"/>
      <c r="F381" s="33"/>
    </row>
    <row r="382">
      <c r="A382" s="33"/>
      <c r="B382" s="33"/>
      <c r="C382" s="34"/>
      <c r="D382" s="34"/>
      <c r="F382" s="33"/>
    </row>
    <row r="383">
      <c r="A383" s="33"/>
      <c r="B383" s="33"/>
      <c r="C383" s="34"/>
      <c r="D383" s="34"/>
      <c r="F383" s="33"/>
    </row>
    <row r="384">
      <c r="A384" s="33"/>
      <c r="B384" s="33"/>
      <c r="C384" s="34"/>
      <c r="D384" s="34"/>
      <c r="F384" s="33"/>
    </row>
    <row r="385">
      <c r="A385" s="33"/>
      <c r="B385" s="33"/>
      <c r="C385" s="34"/>
      <c r="D385" s="34"/>
      <c r="F385" s="33"/>
    </row>
    <row r="386">
      <c r="A386" s="33"/>
      <c r="B386" s="33"/>
      <c r="C386" s="34"/>
      <c r="D386" s="34"/>
      <c r="F386" s="33"/>
    </row>
    <row r="387">
      <c r="A387" s="33"/>
      <c r="B387" s="33"/>
      <c r="C387" s="34"/>
      <c r="D387" s="34"/>
      <c r="F387" s="33"/>
    </row>
    <row r="388">
      <c r="A388" s="33"/>
      <c r="B388" s="33"/>
      <c r="C388" s="34"/>
      <c r="D388" s="34"/>
      <c r="F388" s="33"/>
    </row>
    <row r="389">
      <c r="A389" s="33"/>
      <c r="B389" s="33"/>
      <c r="C389" s="34"/>
      <c r="D389" s="34"/>
      <c r="F389" s="33"/>
    </row>
    <row r="390">
      <c r="A390" s="33"/>
      <c r="B390" s="33"/>
      <c r="C390" s="34"/>
      <c r="D390" s="34"/>
      <c r="F390" s="33"/>
    </row>
    <row r="391">
      <c r="A391" s="33"/>
      <c r="B391" s="33"/>
      <c r="C391" s="34"/>
      <c r="D391" s="34"/>
      <c r="F391" s="33"/>
    </row>
    <row r="392">
      <c r="A392" s="33"/>
      <c r="B392" s="33"/>
      <c r="C392" s="34"/>
      <c r="D392" s="34"/>
      <c r="F392" s="33"/>
    </row>
    <row r="393">
      <c r="A393" s="33"/>
      <c r="B393" s="33"/>
      <c r="C393" s="34"/>
      <c r="D393" s="34"/>
      <c r="F393" s="33"/>
    </row>
    <row r="394">
      <c r="A394" s="33"/>
      <c r="B394" s="33"/>
      <c r="C394" s="34"/>
      <c r="D394" s="34"/>
      <c r="F394" s="33"/>
    </row>
    <row r="395">
      <c r="A395" s="33"/>
      <c r="B395" s="33"/>
      <c r="C395" s="34"/>
      <c r="D395" s="34"/>
      <c r="F395" s="33"/>
    </row>
    <row r="396">
      <c r="A396" s="33"/>
      <c r="B396" s="33"/>
      <c r="C396" s="34"/>
      <c r="D396" s="34"/>
      <c r="F396" s="33"/>
    </row>
    <row r="397">
      <c r="A397" s="33"/>
      <c r="B397" s="33"/>
      <c r="C397" s="34"/>
      <c r="D397" s="34"/>
      <c r="F397" s="33"/>
    </row>
    <row r="398">
      <c r="A398" s="33"/>
      <c r="B398" s="33"/>
      <c r="C398" s="34"/>
      <c r="D398" s="34"/>
      <c r="F398" s="33"/>
    </row>
    <row r="399">
      <c r="A399" s="33"/>
      <c r="B399" s="33"/>
      <c r="C399" s="34"/>
      <c r="D399" s="34"/>
      <c r="F399" s="33"/>
    </row>
    <row r="400">
      <c r="A400" s="33"/>
      <c r="B400" s="33"/>
      <c r="C400" s="34"/>
      <c r="D400" s="34"/>
      <c r="F400" s="33"/>
    </row>
    <row r="401">
      <c r="A401" s="33"/>
      <c r="B401" s="33"/>
      <c r="C401" s="34"/>
      <c r="D401" s="34"/>
      <c r="F401" s="33"/>
    </row>
    <row r="402">
      <c r="A402" s="33"/>
      <c r="B402" s="33"/>
      <c r="C402" s="34"/>
      <c r="D402" s="34"/>
      <c r="F402" s="33"/>
    </row>
    <row r="403">
      <c r="A403" s="33"/>
      <c r="B403" s="33"/>
      <c r="C403" s="34"/>
      <c r="D403" s="34"/>
      <c r="F403" s="33"/>
    </row>
    <row r="404">
      <c r="A404" s="33"/>
      <c r="B404" s="33"/>
      <c r="C404" s="34"/>
      <c r="D404" s="34"/>
      <c r="F404" s="33"/>
    </row>
    <row r="405">
      <c r="A405" s="33"/>
      <c r="B405" s="33"/>
      <c r="C405" s="34"/>
      <c r="D405" s="34"/>
      <c r="F405" s="33"/>
    </row>
    <row r="406">
      <c r="A406" s="33"/>
      <c r="B406" s="33"/>
      <c r="C406" s="34"/>
      <c r="D406" s="34"/>
      <c r="F406" s="33"/>
    </row>
    <row r="407">
      <c r="A407" s="33"/>
      <c r="B407" s="33"/>
      <c r="C407" s="34"/>
      <c r="D407" s="34"/>
      <c r="F407" s="33"/>
    </row>
    <row r="408">
      <c r="A408" s="33"/>
      <c r="B408" s="33"/>
      <c r="C408" s="34"/>
      <c r="D408" s="34"/>
      <c r="F408" s="33"/>
    </row>
    <row r="409">
      <c r="A409" s="33"/>
      <c r="B409" s="33"/>
      <c r="C409" s="34"/>
      <c r="D409" s="34"/>
      <c r="F409" s="33"/>
    </row>
    <row r="410">
      <c r="A410" s="33"/>
      <c r="B410" s="33"/>
      <c r="C410" s="34"/>
      <c r="D410" s="34"/>
      <c r="F410" s="33"/>
    </row>
    <row r="411">
      <c r="A411" s="33"/>
      <c r="B411" s="33"/>
      <c r="C411" s="34"/>
      <c r="D411" s="34"/>
      <c r="F411" s="33"/>
    </row>
    <row r="412">
      <c r="A412" s="33"/>
      <c r="B412" s="33"/>
      <c r="C412" s="34"/>
      <c r="D412" s="34"/>
      <c r="F412" s="33"/>
    </row>
    <row r="413">
      <c r="A413" s="33"/>
      <c r="B413" s="33"/>
      <c r="C413" s="34"/>
      <c r="D413" s="34"/>
      <c r="F413" s="33"/>
    </row>
    <row r="414">
      <c r="A414" s="33"/>
      <c r="B414" s="33"/>
      <c r="C414" s="34"/>
      <c r="D414" s="34"/>
      <c r="F414" s="33"/>
    </row>
    <row r="415">
      <c r="A415" s="33"/>
      <c r="B415" s="33"/>
      <c r="C415" s="34"/>
      <c r="D415" s="34"/>
      <c r="F415" s="33"/>
    </row>
    <row r="416">
      <c r="A416" s="33"/>
      <c r="B416" s="33"/>
      <c r="C416" s="34"/>
      <c r="D416" s="34"/>
      <c r="F416" s="33"/>
    </row>
    <row r="417">
      <c r="A417" s="33"/>
      <c r="B417" s="33"/>
      <c r="C417" s="34"/>
      <c r="D417" s="34"/>
      <c r="F417" s="33"/>
    </row>
    <row r="418">
      <c r="A418" s="33"/>
      <c r="B418" s="33"/>
      <c r="C418" s="34"/>
      <c r="D418" s="34"/>
      <c r="F418" s="33"/>
    </row>
    <row r="419">
      <c r="A419" s="33"/>
      <c r="B419" s="33"/>
      <c r="C419" s="34"/>
      <c r="D419" s="34"/>
      <c r="F419" s="33"/>
    </row>
    <row r="420">
      <c r="A420" s="33"/>
      <c r="B420" s="33"/>
      <c r="C420" s="34"/>
      <c r="D420" s="34"/>
      <c r="F420" s="33"/>
    </row>
    <row r="421">
      <c r="A421" s="33"/>
      <c r="B421" s="33"/>
      <c r="C421" s="34"/>
      <c r="D421" s="34"/>
      <c r="F421" s="33"/>
    </row>
    <row r="422">
      <c r="A422" s="33"/>
      <c r="B422" s="33"/>
      <c r="C422" s="34"/>
      <c r="D422" s="34"/>
      <c r="F422" s="33"/>
    </row>
    <row r="423">
      <c r="A423" s="33"/>
      <c r="B423" s="33"/>
      <c r="C423" s="34"/>
      <c r="D423" s="34"/>
      <c r="F423" s="33"/>
    </row>
    <row r="424">
      <c r="A424" s="33"/>
      <c r="B424" s="33"/>
      <c r="C424" s="34"/>
      <c r="D424" s="34"/>
      <c r="F424" s="33"/>
    </row>
    <row r="425">
      <c r="A425" s="33"/>
      <c r="B425" s="33"/>
      <c r="C425" s="34"/>
      <c r="D425" s="34"/>
      <c r="F425" s="33"/>
    </row>
    <row r="426">
      <c r="A426" s="33"/>
      <c r="B426" s="33"/>
      <c r="C426" s="34"/>
      <c r="D426" s="34"/>
      <c r="F426" s="33"/>
    </row>
    <row r="427">
      <c r="A427" s="33"/>
      <c r="B427" s="33"/>
      <c r="C427" s="34"/>
      <c r="D427" s="34"/>
      <c r="F427" s="33"/>
    </row>
    <row r="428">
      <c r="A428" s="33"/>
      <c r="B428" s="33"/>
      <c r="C428" s="34"/>
      <c r="D428" s="34"/>
      <c r="F428" s="33"/>
    </row>
    <row r="429">
      <c r="A429" s="33"/>
      <c r="B429" s="33"/>
      <c r="C429" s="34"/>
      <c r="D429" s="34"/>
      <c r="F429" s="33"/>
    </row>
    <row r="430">
      <c r="A430" s="33"/>
      <c r="B430" s="33"/>
      <c r="C430" s="34"/>
      <c r="D430" s="34"/>
      <c r="F430" s="33"/>
    </row>
    <row r="431">
      <c r="A431" s="33"/>
      <c r="B431" s="33"/>
      <c r="C431" s="34"/>
      <c r="D431" s="34"/>
      <c r="F431" s="33"/>
    </row>
    <row r="432">
      <c r="A432" s="33"/>
      <c r="B432" s="33"/>
      <c r="C432" s="34"/>
      <c r="D432" s="34"/>
      <c r="F432" s="33"/>
    </row>
    <row r="433">
      <c r="A433" s="33"/>
      <c r="B433" s="33"/>
      <c r="C433" s="34"/>
      <c r="D433" s="34"/>
      <c r="F433" s="33"/>
    </row>
    <row r="434">
      <c r="A434" s="33"/>
      <c r="B434" s="33"/>
      <c r="C434" s="34"/>
      <c r="D434" s="34"/>
      <c r="F434" s="33"/>
    </row>
    <row r="435">
      <c r="A435" s="33"/>
      <c r="B435" s="33"/>
      <c r="C435" s="34"/>
      <c r="D435" s="34"/>
      <c r="F435" s="33"/>
    </row>
    <row r="436">
      <c r="A436" s="33"/>
      <c r="B436" s="33"/>
      <c r="C436" s="34"/>
      <c r="D436" s="34"/>
      <c r="F436" s="33"/>
    </row>
    <row r="437">
      <c r="A437" s="33"/>
      <c r="B437" s="33"/>
      <c r="C437" s="34"/>
      <c r="D437" s="34"/>
      <c r="F437" s="33"/>
    </row>
    <row r="438">
      <c r="A438" s="33"/>
      <c r="B438" s="33"/>
      <c r="C438" s="34"/>
      <c r="D438" s="34"/>
      <c r="F438" s="33"/>
    </row>
    <row r="439">
      <c r="A439" s="33"/>
      <c r="B439" s="33"/>
      <c r="C439" s="34"/>
      <c r="D439" s="34"/>
      <c r="F439" s="33"/>
    </row>
    <row r="440">
      <c r="A440" s="33"/>
      <c r="B440" s="33"/>
      <c r="C440" s="34"/>
      <c r="D440" s="34"/>
      <c r="F440" s="33"/>
    </row>
    <row r="441">
      <c r="A441" s="33"/>
      <c r="B441" s="33"/>
      <c r="C441" s="34"/>
      <c r="D441" s="34"/>
      <c r="F441" s="33"/>
    </row>
    <row r="442">
      <c r="A442" s="33"/>
      <c r="B442" s="33"/>
      <c r="C442" s="34"/>
      <c r="D442" s="34"/>
      <c r="F442" s="33"/>
    </row>
    <row r="443">
      <c r="A443" s="33"/>
      <c r="B443" s="33"/>
      <c r="C443" s="34"/>
      <c r="D443" s="34"/>
      <c r="F443" s="33"/>
    </row>
    <row r="444">
      <c r="A444" s="33"/>
      <c r="B444" s="33"/>
      <c r="C444" s="34"/>
      <c r="D444" s="34"/>
      <c r="F444" s="33"/>
    </row>
    <row r="445">
      <c r="A445" s="33"/>
      <c r="B445" s="33"/>
      <c r="C445" s="34"/>
      <c r="D445" s="34"/>
      <c r="F445" s="33"/>
    </row>
    <row r="446">
      <c r="A446" s="33"/>
      <c r="B446" s="33"/>
      <c r="C446" s="34"/>
      <c r="D446" s="34"/>
      <c r="F446" s="33"/>
    </row>
    <row r="447">
      <c r="A447" s="33"/>
      <c r="B447" s="33"/>
      <c r="C447" s="34"/>
      <c r="D447" s="34"/>
      <c r="F447" s="33"/>
    </row>
    <row r="448">
      <c r="A448" s="33"/>
      <c r="B448" s="33"/>
      <c r="C448" s="34"/>
      <c r="D448" s="34"/>
      <c r="F448" s="33"/>
    </row>
    <row r="449">
      <c r="A449" s="33"/>
      <c r="B449" s="33"/>
      <c r="C449" s="34"/>
      <c r="D449" s="34"/>
      <c r="F449" s="33"/>
    </row>
    <row r="450">
      <c r="A450" s="33"/>
      <c r="B450" s="33"/>
      <c r="C450" s="34"/>
      <c r="D450" s="34"/>
      <c r="F450" s="33"/>
    </row>
    <row r="451">
      <c r="A451" s="33"/>
      <c r="B451" s="33"/>
      <c r="C451" s="34"/>
      <c r="D451" s="34"/>
      <c r="F451" s="33"/>
    </row>
    <row r="452">
      <c r="A452" s="33"/>
      <c r="B452" s="33"/>
      <c r="C452" s="34"/>
      <c r="D452" s="34"/>
      <c r="F452" s="33"/>
    </row>
    <row r="453">
      <c r="A453" s="33"/>
      <c r="B453" s="33"/>
      <c r="C453" s="34"/>
      <c r="D453" s="34"/>
      <c r="F453" s="33"/>
    </row>
    <row r="454">
      <c r="A454" s="33"/>
      <c r="B454" s="33"/>
      <c r="C454" s="34"/>
      <c r="D454" s="34"/>
      <c r="F454" s="33"/>
    </row>
    <row r="455">
      <c r="A455" s="33"/>
      <c r="B455" s="33"/>
      <c r="C455" s="34"/>
      <c r="D455" s="34"/>
      <c r="F455" s="33"/>
    </row>
    <row r="456">
      <c r="A456" s="33"/>
      <c r="B456" s="33"/>
      <c r="C456" s="34"/>
      <c r="D456" s="34"/>
      <c r="F456" s="33"/>
    </row>
    <row r="457">
      <c r="A457" s="33"/>
      <c r="B457" s="33"/>
      <c r="C457" s="34"/>
      <c r="D457" s="34"/>
      <c r="F457" s="33"/>
    </row>
    <row r="458">
      <c r="A458" s="33"/>
      <c r="B458" s="33"/>
      <c r="C458" s="34"/>
      <c r="D458" s="34"/>
      <c r="F458" s="33"/>
    </row>
    <row r="459">
      <c r="A459" s="33"/>
      <c r="B459" s="33"/>
      <c r="C459" s="34"/>
      <c r="D459" s="34"/>
      <c r="F459" s="33"/>
    </row>
    <row r="460">
      <c r="A460" s="33"/>
      <c r="B460" s="33"/>
      <c r="C460" s="34"/>
      <c r="D460" s="34"/>
      <c r="F460" s="33"/>
    </row>
    <row r="461">
      <c r="A461" s="33"/>
      <c r="B461" s="33"/>
      <c r="C461" s="34"/>
      <c r="D461" s="34"/>
      <c r="F461" s="33"/>
    </row>
    <row r="462">
      <c r="A462" s="33"/>
      <c r="B462" s="33"/>
      <c r="C462" s="34"/>
      <c r="D462" s="34"/>
      <c r="F462" s="33"/>
    </row>
    <row r="463">
      <c r="A463" s="33"/>
      <c r="B463" s="33"/>
      <c r="C463" s="34"/>
      <c r="D463" s="34"/>
      <c r="F463" s="33"/>
    </row>
    <row r="464">
      <c r="A464" s="33"/>
      <c r="B464" s="33"/>
      <c r="C464" s="34"/>
      <c r="D464" s="34"/>
      <c r="F464" s="33"/>
    </row>
    <row r="465">
      <c r="A465" s="33"/>
      <c r="B465" s="33"/>
      <c r="C465" s="34"/>
      <c r="D465" s="34"/>
      <c r="F465" s="33"/>
    </row>
    <row r="466">
      <c r="A466" s="33"/>
      <c r="B466" s="33"/>
      <c r="C466" s="34"/>
      <c r="D466" s="34"/>
      <c r="F466" s="33"/>
    </row>
    <row r="467">
      <c r="A467" s="33"/>
      <c r="B467" s="33"/>
      <c r="C467" s="34"/>
      <c r="D467" s="34"/>
      <c r="F467" s="33"/>
    </row>
    <row r="468">
      <c r="A468" s="33"/>
      <c r="B468" s="33"/>
      <c r="C468" s="34"/>
      <c r="D468" s="34"/>
      <c r="F468" s="33"/>
    </row>
    <row r="469">
      <c r="A469" s="33"/>
      <c r="B469" s="33"/>
      <c r="C469" s="34"/>
      <c r="D469" s="34"/>
      <c r="F469" s="33"/>
    </row>
    <row r="470">
      <c r="A470" s="33"/>
      <c r="B470" s="33"/>
      <c r="C470" s="34"/>
      <c r="D470" s="34"/>
      <c r="F470" s="33"/>
    </row>
    <row r="471">
      <c r="A471" s="33"/>
      <c r="B471" s="33"/>
      <c r="C471" s="34"/>
      <c r="D471" s="34"/>
      <c r="F471" s="33"/>
    </row>
    <row r="472">
      <c r="A472" s="33"/>
      <c r="B472" s="33"/>
      <c r="C472" s="34"/>
      <c r="D472" s="34"/>
      <c r="F472" s="33"/>
    </row>
    <row r="473">
      <c r="A473" s="33"/>
      <c r="B473" s="33"/>
      <c r="C473" s="34"/>
      <c r="D473" s="34"/>
      <c r="F473" s="33"/>
    </row>
    <row r="474">
      <c r="A474" s="33"/>
      <c r="B474" s="33"/>
      <c r="C474" s="34"/>
      <c r="D474" s="34"/>
      <c r="F474" s="33"/>
    </row>
    <row r="475">
      <c r="A475" s="33"/>
      <c r="B475" s="33"/>
      <c r="C475" s="34"/>
      <c r="D475" s="34"/>
      <c r="F475" s="33"/>
    </row>
    <row r="476">
      <c r="A476" s="33"/>
      <c r="B476" s="33"/>
      <c r="C476" s="34"/>
      <c r="D476" s="34"/>
      <c r="F476" s="33"/>
    </row>
    <row r="477">
      <c r="A477" s="33"/>
      <c r="B477" s="33"/>
      <c r="C477" s="34"/>
      <c r="D477" s="34"/>
      <c r="F477" s="33"/>
    </row>
    <row r="478">
      <c r="A478" s="33"/>
      <c r="B478" s="33"/>
      <c r="C478" s="34"/>
      <c r="D478" s="34"/>
      <c r="F478" s="33"/>
    </row>
    <row r="479">
      <c r="A479" s="33"/>
      <c r="B479" s="33"/>
      <c r="C479" s="34"/>
      <c r="D479" s="34"/>
      <c r="F479" s="33"/>
    </row>
    <row r="480">
      <c r="A480" s="33"/>
      <c r="B480" s="33"/>
      <c r="C480" s="34"/>
      <c r="D480" s="34"/>
      <c r="F480" s="33"/>
    </row>
    <row r="481">
      <c r="A481" s="33"/>
      <c r="B481" s="33"/>
      <c r="C481" s="34"/>
      <c r="D481" s="34"/>
      <c r="F481" s="33"/>
    </row>
    <row r="482">
      <c r="A482" s="33"/>
      <c r="B482" s="33"/>
      <c r="C482" s="34"/>
      <c r="D482" s="34"/>
      <c r="F482" s="33"/>
    </row>
    <row r="483">
      <c r="A483" s="33"/>
      <c r="B483" s="33"/>
      <c r="C483" s="34"/>
      <c r="D483" s="34"/>
      <c r="F483" s="33"/>
    </row>
    <row r="484">
      <c r="A484" s="33"/>
      <c r="B484" s="33"/>
      <c r="C484" s="34"/>
      <c r="D484" s="34"/>
      <c r="F484" s="33"/>
    </row>
    <row r="485">
      <c r="A485" s="33"/>
      <c r="B485" s="33"/>
      <c r="C485" s="34"/>
      <c r="D485" s="34"/>
      <c r="F485" s="33"/>
    </row>
    <row r="486">
      <c r="A486" s="33"/>
      <c r="B486" s="33"/>
      <c r="C486" s="34"/>
      <c r="D486" s="34"/>
      <c r="F486" s="33"/>
    </row>
    <row r="487">
      <c r="A487" s="33"/>
      <c r="B487" s="33"/>
      <c r="C487" s="34"/>
      <c r="D487" s="34"/>
      <c r="F487" s="33"/>
    </row>
    <row r="488">
      <c r="A488" s="33"/>
      <c r="B488" s="33"/>
      <c r="C488" s="34"/>
      <c r="D488" s="34"/>
      <c r="F488" s="33"/>
    </row>
    <row r="489">
      <c r="A489" s="33"/>
      <c r="B489" s="33"/>
      <c r="C489" s="34"/>
      <c r="D489" s="34"/>
      <c r="F489" s="33"/>
    </row>
    <row r="490">
      <c r="A490" s="33"/>
      <c r="B490" s="33"/>
      <c r="C490" s="34"/>
      <c r="D490" s="34"/>
      <c r="F490" s="33"/>
    </row>
    <row r="491">
      <c r="A491" s="33"/>
      <c r="B491" s="33"/>
      <c r="C491" s="34"/>
      <c r="D491" s="34"/>
      <c r="F491" s="33"/>
    </row>
    <row r="492">
      <c r="A492" s="33"/>
      <c r="B492" s="33"/>
      <c r="C492" s="34"/>
      <c r="D492" s="34"/>
      <c r="F492" s="33"/>
    </row>
    <row r="493">
      <c r="A493" s="33"/>
      <c r="B493" s="33"/>
      <c r="C493" s="34"/>
      <c r="D493" s="34"/>
      <c r="F493" s="33"/>
    </row>
    <row r="494">
      <c r="A494" s="33"/>
      <c r="B494" s="33"/>
      <c r="C494" s="34"/>
      <c r="D494" s="34"/>
      <c r="F494" s="33"/>
    </row>
    <row r="495">
      <c r="A495" s="33"/>
      <c r="B495" s="33"/>
      <c r="C495" s="34"/>
      <c r="D495" s="34"/>
      <c r="F495" s="33"/>
    </row>
    <row r="496">
      <c r="A496" s="33"/>
      <c r="B496" s="33"/>
      <c r="C496" s="34"/>
      <c r="D496" s="34"/>
      <c r="F496" s="33"/>
    </row>
    <row r="497">
      <c r="A497" s="33"/>
      <c r="B497" s="33"/>
      <c r="C497" s="34"/>
      <c r="D497" s="34"/>
      <c r="F497" s="33"/>
    </row>
    <row r="498">
      <c r="A498" s="33"/>
      <c r="B498" s="33"/>
      <c r="C498" s="34"/>
      <c r="D498" s="34"/>
      <c r="F498" s="33"/>
    </row>
    <row r="499">
      <c r="A499" s="33"/>
      <c r="B499" s="33"/>
      <c r="C499" s="34"/>
      <c r="D499" s="34"/>
      <c r="F499" s="33"/>
    </row>
    <row r="500">
      <c r="A500" s="33"/>
      <c r="B500" s="33"/>
      <c r="C500" s="34"/>
      <c r="D500" s="34"/>
      <c r="F500" s="33"/>
    </row>
    <row r="501">
      <c r="A501" s="33"/>
      <c r="B501" s="33"/>
      <c r="C501" s="34"/>
      <c r="D501" s="34"/>
      <c r="F501" s="33"/>
    </row>
    <row r="502">
      <c r="A502" s="33"/>
      <c r="B502" s="33"/>
      <c r="C502" s="34"/>
      <c r="D502" s="34"/>
      <c r="F502" s="33"/>
    </row>
    <row r="503">
      <c r="A503" s="33"/>
      <c r="B503" s="33"/>
      <c r="C503" s="34"/>
      <c r="D503" s="34"/>
      <c r="F503" s="33"/>
    </row>
    <row r="504">
      <c r="A504" s="33"/>
      <c r="B504" s="33"/>
      <c r="C504" s="34"/>
      <c r="D504" s="34"/>
      <c r="F504" s="33"/>
    </row>
    <row r="505">
      <c r="A505" s="33"/>
      <c r="B505" s="33"/>
      <c r="C505" s="34"/>
      <c r="D505" s="34"/>
      <c r="F505" s="33"/>
    </row>
    <row r="506">
      <c r="A506" s="33"/>
      <c r="B506" s="33"/>
      <c r="C506" s="34"/>
      <c r="D506" s="34"/>
      <c r="F506" s="33"/>
    </row>
    <row r="507">
      <c r="A507" s="33"/>
      <c r="B507" s="33"/>
      <c r="C507" s="34"/>
      <c r="D507" s="34"/>
      <c r="F507" s="33"/>
    </row>
    <row r="508">
      <c r="A508" s="33"/>
      <c r="B508" s="33"/>
      <c r="C508" s="34"/>
      <c r="D508" s="34"/>
      <c r="F508" s="33"/>
    </row>
    <row r="509">
      <c r="A509" s="33"/>
      <c r="B509" s="33"/>
      <c r="C509" s="34"/>
      <c r="D509" s="34"/>
      <c r="F509" s="33"/>
    </row>
    <row r="510">
      <c r="A510" s="33"/>
      <c r="B510" s="33"/>
      <c r="C510" s="34"/>
      <c r="D510" s="34"/>
      <c r="F510" s="33"/>
    </row>
    <row r="511">
      <c r="A511" s="33"/>
      <c r="B511" s="33"/>
      <c r="C511" s="34"/>
      <c r="D511" s="34"/>
      <c r="F511" s="33"/>
    </row>
    <row r="512">
      <c r="A512" s="33"/>
      <c r="B512" s="33"/>
      <c r="C512" s="34"/>
      <c r="D512" s="34"/>
      <c r="F512" s="33"/>
    </row>
    <row r="513">
      <c r="A513" s="33"/>
      <c r="B513" s="33"/>
      <c r="C513" s="34"/>
      <c r="D513" s="34"/>
      <c r="F513" s="33"/>
    </row>
    <row r="514">
      <c r="A514" s="33"/>
      <c r="B514" s="33"/>
      <c r="C514" s="34"/>
      <c r="D514" s="34"/>
      <c r="F514" s="33"/>
    </row>
    <row r="515">
      <c r="A515" s="33"/>
      <c r="B515" s="33"/>
      <c r="C515" s="34"/>
      <c r="D515" s="34"/>
      <c r="F515" s="33"/>
    </row>
    <row r="516">
      <c r="A516" s="33"/>
      <c r="B516" s="33"/>
      <c r="C516" s="34"/>
      <c r="D516" s="34"/>
      <c r="F516" s="33"/>
    </row>
    <row r="517">
      <c r="A517" s="33"/>
      <c r="B517" s="33"/>
      <c r="C517" s="34"/>
      <c r="D517" s="34"/>
      <c r="F517" s="33"/>
    </row>
    <row r="518">
      <c r="A518" s="33"/>
      <c r="B518" s="33"/>
      <c r="C518" s="34"/>
      <c r="D518" s="34"/>
      <c r="F518" s="33"/>
    </row>
    <row r="519">
      <c r="A519" s="33"/>
      <c r="B519" s="33"/>
      <c r="C519" s="34"/>
      <c r="D519" s="34"/>
      <c r="F519" s="33"/>
    </row>
    <row r="520">
      <c r="A520" s="33"/>
      <c r="B520" s="33"/>
      <c r="C520" s="34"/>
      <c r="D520" s="34"/>
      <c r="F520" s="33"/>
    </row>
    <row r="521">
      <c r="A521" s="33"/>
      <c r="B521" s="33"/>
      <c r="C521" s="34"/>
      <c r="D521" s="34"/>
      <c r="F521" s="33"/>
    </row>
    <row r="522">
      <c r="A522" s="33"/>
      <c r="B522" s="33"/>
      <c r="C522" s="34"/>
      <c r="D522" s="34"/>
      <c r="F522" s="33"/>
    </row>
    <row r="523">
      <c r="A523" s="33"/>
      <c r="B523" s="33"/>
      <c r="C523" s="34"/>
      <c r="D523" s="34"/>
      <c r="F523" s="33"/>
    </row>
    <row r="524">
      <c r="A524" s="33"/>
      <c r="B524" s="33"/>
      <c r="C524" s="34"/>
      <c r="D524" s="34"/>
      <c r="F524" s="33"/>
    </row>
    <row r="525">
      <c r="A525" s="33"/>
      <c r="B525" s="33"/>
      <c r="C525" s="34"/>
      <c r="D525" s="34"/>
      <c r="F525" s="33"/>
    </row>
    <row r="526">
      <c r="A526" s="33"/>
      <c r="B526" s="33"/>
      <c r="C526" s="34"/>
      <c r="D526" s="34"/>
      <c r="F526" s="33"/>
    </row>
    <row r="527">
      <c r="A527" s="33"/>
      <c r="B527" s="33"/>
      <c r="C527" s="34"/>
      <c r="D527" s="34"/>
      <c r="F527" s="33"/>
    </row>
    <row r="528">
      <c r="A528" s="33"/>
      <c r="B528" s="33"/>
      <c r="C528" s="34"/>
      <c r="D528" s="34"/>
      <c r="F528" s="33"/>
    </row>
    <row r="529">
      <c r="A529" s="33"/>
      <c r="B529" s="33"/>
      <c r="C529" s="34"/>
      <c r="D529" s="34"/>
      <c r="F529" s="33"/>
    </row>
    <row r="530">
      <c r="A530" s="33"/>
      <c r="B530" s="33"/>
      <c r="C530" s="34"/>
      <c r="D530" s="34"/>
      <c r="F530" s="33"/>
    </row>
    <row r="531">
      <c r="A531" s="33"/>
      <c r="B531" s="33"/>
      <c r="C531" s="34"/>
      <c r="D531" s="34"/>
      <c r="F531" s="33"/>
    </row>
    <row r="532">
      <c r="A532" s="33"/>
      <c r="B532" s="33"/>
      <c r="C532" s="34"/>
      <c r="D532" s="34"/>
      <c r="F532" s="33"/>
    </row>
    <row r="533">
      <c r="A533" s="33"/>
      <c r="B533" s="33"/>
      <c r="C533" s="34"/>
      <c r="D533" s="34"/>
      <c r="F533" s="33"/>
    </row>
    <row r="534">
      <c r="A534" s="33"/>
      <c r="B534" s="33"/>
      <c r="C534" s="34"/>
      <c r="D534" s="34"/>
      <c r="F534" s="33"/>
    </row>
    <row r="535">
      <c r="A535" s="33"/>
      <c r="B535" s="33"/>
      <c r="C535" s="34"/>
      <c r="D535" s="34"/>
      <c r="F535" s="33"/>
    </row>
    <row r="536">
      <c r="A536" s="33"/>
      <c r="B536" s="33"/>
      <c r="C536" s="34"/>
      <c r="D536" s="34"/>
      <c r="F536" s="33"/>
    </row>
    <row r="537">
      <c r="A537" s="33"/>
      <c r="B537" s="33"/>
      <c r="C537" s="34"/>
      <c r="D537" s="34"/>
      <c r="F537" s="33"/>
    </row>
    <row r="538">
      <c r="A538" s="33"/>
      <c r="B538" s="33"/>
      <c r="C538" s="34"/>
      <c r="D538" s="34"/>
      <c r="F538" s="33"/>
    </row>
    <row r="539">
      <c r="A539" s="33"/>
      <c r="B539" s="33"/>
      <c r="C539" s="34"/>
      <c r="D539" s="34"/>
      <c r="F539" s="33"/>
    </row>
    <row r="540">
      <c r="A540" s="33"/>
      <c r="B540" s="33"/>
      <c r="C540" s="34"/>
      <c r="D540" s="34"/>
      <c r="F540" s="33"/>
    </row>
    <row r="541">
      <c r="A541" s="33"/>
      <c r="B541" s="33"/>
      <c r="C541" s="34"/>
      <c r="D541" s="34"/>
      <c r="F541" s="33"/>
    </row>
    <row r="542">
      <c r="A542" s="33"/>
      <c r="B542" s="33"/>
      <c r="C542" s="34"/>
      <c r="D542" s="34"/>
      <c r="F542" s="33"/>
    </row>
    <row r="543">
      <c r="A543" s="33"/>
      <c r="B543" s="33"/>
      <c r="C543" s="34"/>
      <c r="D543" s="34"/>
      <c r="F543" s="33"/>
    </row>
    <row r="544">
      <c r="A544" s="33"/>
      <c r="B544" s="33"/>
      <c r="C544" s="34"/>
      <c r="D544" s="34"/>
      <c r="F544" s="33"/>
    </row>
    <row r="545">
      <c r="A545" s="33"/>
      <c r="B545" s="33"/>
      <c r="C545" s="34"/>
      <c r="D545" s="34"/>
      <c r="F545" s="33"/>
    </row>
    <row r="546">
      <c r="A546" s="33"/>
      <c r="B546" s="33"/>
      <c r="C546" s="34"/>
      <c r="D546" s="34"/>
      <c r="F546" s="33"/>
    </row>
    <row r="547">
      <c r="A547" s="33"/>
      <c r="B547" s="33"/>
      <c r="C547" s="34"/>
      <c r="D547" s="34"/>
      <c r="F547" s="33"/>
    </row>
    <row r="548">
      <c r="A548" s="33"/>
      <c r="B548" s="33"/>
      <c r="C548" s="34"/>
      <c r="D548" s="34"/>
      <c r="F548" s="33"/>
    </row>
    <row r="549">
      <c r="A549" s="33"/>
      <c r="B549" s="33"/>
      <c r="C549" s="34"/>
      <c r="D549" s="34"/>
      <c r="F549" s="33"/>
    </row>
    <row r="550">
      <c r="A550" s="33"/>
      <c r="B550" s="33"/>
      <c r="C550" s="34"/>
      <c r="D550" s="34"/>
      <c r="F550" s="33"/>
    </row>
    <row r="551">
      <c r="A551" s="33"/>
      <c r="B551" s="33"/>
      <c r="C551" s="34"/>
      <c r="D551" s="34"/>
      <c r="F551" s="33"/>
    </row>
    <row r="552">
      <c r="A552" s="33"/>
      <c r="B552" s="33"/>
      <c r="C552" s="34"/>
      <c r="D552" s="34"/>
      <c r="F552" s="33"/>
    </row>
    <row r="553">
      <c r="A553" s="33"/>
      <c r="B553" s="33"/>
      <c r="C553" s="34"/>
      <c r="D553" s="34"/>
      <c r="F553" s="33"/>
    </row>
    <row r="554">
      <c r="A554" s="33"/>
      <c r="B554" s="33"/>
      <c r="C554" s="34"/>
      <c r="D554" s="34"/>
      <c r="F554" s="33"/>
    </row>
    <row r="555">
      <c r="A555" s="33"/>
      <c r="B555" s="33"/>
      <c r="C555" s="34"/>
      <c r="D555" s="34"/>
      <c r="F555" s="33"/>
    </row>
    <row r="556">
      <c r="A556" s="33"/>
      <c r="B556" s="33"/>
      <c r="C556" s="34"/>
      <c r="D556" s="34"/>
      <c r="F556" s="33"/>
    </row>
    <row r="557">
      <c r="A557" s="33"/>
      <c r="B557" s="33"/>
      <c r="C557" s="34"/>
      <c r="D557" s="34"/>
      <c r="F557" s="33"/>
    </row>
    <row r="558">
      <c r="A558" s="33"/>
      <c r="B558" s="33"/>
      <c r="C558" s="34"/>
      <c r="D558" s="34"/>
      <c r="F558" s="33"/>
    </row>
    <row r="559">
      <c r="A559" s="33"/>
      <c r="B559" s="33"/>
      <c r="C559" s="34"/>
      <c r="D559" s="34"/>
      <c r="F559" s="33"/>
    </row>
    <row r="560">
      <c r="A560" s="33"/>
      <c r="B560" s="33"/>
      <c r="C560" s="34"/>
      <c r="D560" s="34"/>
      <c r="F560" s="33"/>
    </row>
    <row r="561">
      <c r="A561" s="33"/>
      <c r="B561" s="33"/>
      <c r="C561" s="34"/>
      <c r="D561" s="34"/>
      <c r="F561" s="33"/>
    </row>
    <row r="562">
      <c r="A562" s="33"/>
      <c r="B562" s="33"/>
      <c r="C562" s="34"/>
      <c r="D562" s="34"/>
      <c r="F562" s="33"/>
    </row>
    <row r="563">
      <c r="A563" s="33"/>
      <c r="B563" s="33"/>
      <c r="C563" s="34"/>
      <c r="D563" s="34"/>
      <c r="F563" s="33"/>
    </row>
    <row r="564">
      <c r="A564" s="33"/>
      <c r="B564" s="33"/>
      <c r="C564" s="34"/>
      <c r="D564" s="34"/>
      <c r="F564" s="33"/>
    </row>
    <row r="565">
      <c r="A565" s="33"/>
      <c r="B565" s="33"/>
      <c r="C565" s="34"/>
      <c r="D565" s="34"/>
      <c r="F565" s="33"/>
    </row>
    <row r="566">
      <c r="A566" s="33"/>
      <c r="B566" s="33"/>
      <c r="C566" s="34"/>
      <c r="D566" s="34"/>
      <c r="F566" s="33"/>
    </row>
    <row r="567">
      <c r="A567" s="33"/>
      <c r="B567" s="33"/>
      <c r="C567" s="34"/>
      <c r="D567" s="34"/>
      <c r="F567" s="33"/>
    </row>
    <row r="568">
      <c r="A568" s="33"/>
      <c r="B568" s="33"/>
      <c r="C568" s="34"/>
      <c r="D568" s="34"/>
      <c r="F568" s="33"/>
    </row>
    <row r="569">
      <c r="A569" s="33"/>
      <c r="B569" s="33"/>
      <c r="C569" s="34"/>
      <c r="D569" s="34"/>
      <c r="F569" s="33"/>
    </row>
    <row r="570">
      <c r="A570" s="33"/>
      <c r="B570" s="33"/>
      <c r="C570" s="34"/>
      <c r="D570" s="34"/>
      <c r="F570" s="33"/>
    </row>
    <row r="571">
      <c r="A571" s="33"/>
      <c r="B571" s="33"/>
      <c r="C571" s="34"/>
      <c r="D571" s="34"/>
      <c r="F571" s="33"/>
    </row>
    <row r="572">
      <c r="A572" s="33"/>
      <c r="B572" s="33"/>
      <c r="C572" s="34"/>
      <c r="D572" s="34"/>
      <c r="F572" s="33"/>
    </row>
    <row r="573">
      <c r="A573" s="33"/>
      <c r="B573" s="33"/>
      <c r="C573" s="34"/>
      <c r="D573" s="34"/>
      <c r="F573" s="33"/>
    </row>
    <row r="574">
      <c r="A574" s="33"/>
      <c r="B574" s="33"/>
      <c r="C574" s="34"/>
      <c r="D574" s="34"/>
      <c r="F574" s="33"/>
    </row>
    <row r="575">
      <c r="A575" s="33"/>
      <c r="B575" s="33"/>
      <c r="C575" s="34"/>
      <c r="D575" s="34"/>
      <c r="F575" s="33"/>
    </row>
    <row r="576">
      <c r="A576" s="33"/>
      <c r="B576" s="33"/>
      <c r="C576" s="34"/>
      <c r="D576" s="34"/>
      <c r="F576" s="33"/>
    </row>
    <row r="577">
      <c r="A577" s="33"/>
      <c r="B577" s="33"/>
      <c r="C577" s="34"/>
      <c r="D577" s="34"/>
      <c r="F577" s="33"/>
    </row>
    <row r="578">
      <c r="A578" s="33"/>
      <c r="B578" s="33"/>
      <c r="C578" s="34"/>
      <c r="D578" s="34"/>
      <c r="F578" s="33"/>
    </row>
    <row r="579">
      <c r="A579" s="33"/>
      <c r="B579" s="33"/>
      <c r="C579" s="34"/>
      <c r="D579" s="34"/>
      <c r="F579" s="33"/>
    </row>
    <row r="580">
      <c r="A580" s="33"/>
      <c r="B580" s="33"/>
      <c r="C580" s="34"/>
      <c r="D580" s="34"/>
      <c r="F580" s="33"/>
    </row>
    <row r="581">
      <c r="A581" s="33"/>
      <c r="B581" s="33"/>
      <c r="C581" s="34"/>
      <c r="D581" s="34"/>
      <c r="F581" s="33"/>
    </row>
    <row r="582">
      <c r="A582" s="33"/>
      <c r="B582" s="33"/>
      <c r="C582" s="34"/>
      <c r="D582" s="34"/>
      <c r="F582" s="33"/>
    </row>
    <row r="583">
      <c r="A583" s="33"/>
      <c r="B583" s="33"/>
      <c r="C583" s="34"/>
      <c r="D583" s="34"/>
      <c r="F583" s="33"/>
    </row>
    <row r="584">
      <c r="A584" s="33"/>
      <c r="B584" s="33"/>
      <c r="C584" s="34"/>
      <c r="D584" s="34"/>
      <c r="F584" s="33"/>
    </row>
    <row r="585">
      <c r="A585" s="33"/>
      <c r="B585" s="33"/>
      <c r="C585" s="34"/>
      <c r="D585" s="34"/>
      <c r="F585" s="33"/>
    </row>
    <row r="586">
      <c r="A586" s="33"/>
      <c r="B586" s="33"/>
      <c r="C586" s="34"/>
      <c r="D586" s="34"/>
      <c r="F586" s="33"/>
    </row>
    <row r="587">
      <c r="A587" s="33"/>
      <c r="B587" s="33"/>
      <c r="C587" s="34"/>
      <c r="D587" s="34"/>
      <c r="F587" s="33"/>
    </row>
    <row r="588">
      <c r="A588" s="33"/>
      <c r="B588" s="33"/>
      <c r="C588" s="34"/>
      <c r="D588" s="34"/>
      <c r="F588" s="33"/>
    </row>
    <row r="589">
      <c r="A589" s="33"/>
      <c r="B589" s="33"/>
      <c r="C589" s="34"/>
      <c r="D589" s="34"/>
      <c r="F589" s="33"/>
    </row>
    <row r="590">
      <c r="A590" s="33"/>
      <c r="B590" s="33"/>
      <c r="C590" s="34"/>
      <c r="D590" s="34"/>
      <c r="F590" s="33"/>
    </row>
    <row r="591">
      <c r="A591" s="33"/>
      <c r="B591" s="33"/>
      <c r="C591" s="34"/>
      <c r="D591" s="34"/>
      <c r="F591" s="33"/>
    </row>
    <row r="592">
      <c r="A592" s="33"/>
      <c r="B592" s="33"/>
      <c r="C592" s="34"/>
      <c r="D592" s="34"/>
      <c r="F592" s="33"/>
    </row>
    <row r="593">
      <c r="A593" s="33"/>
      <c r="B593" s="33"/>
      <c r="C593" s="34"/>
      <c r="D593" s="34"/>
      <c r="F593" s="33"/>
    </row>
    <row r="594">
      <c r="A594" s="33"/>
      <c r="B594" s="33"/>
      <c r="C594" s="34"/>
      <c r="D594" s="34"/>
      <c r="F594" s="33"/>
    </row>
    <row r="595">
      <c r="A595" s="33"/>
      <c r="B595" s="33"/>
      <c r="C595" s="34"/>
      <c r="D595" s="34"/>
      <c r="F595" s="33"/>
    </row>
    <row r="596">
      <c r="A596" s="33"/>
      <c r="B596" s="33"/>
      <c r="C596" s="34"/>
      <c r="D596" s="34"/>
      <c r="F596" s="33"/>
    </row>
    <row r="597">
      <c r="A597" s="33"/>
      <c r="B597" s="33"/>
      <c r="C597" s="34"/>
      <c r="D597" s="34"/>
      <c r="F597" s="33"/>
    </row>
    <row r="598">
      <c r="A598" s="33"/>
      <c r="B598" s="33"/>
      <c r="C598" s="34"/>
      <c r="D598" s="34"/>
      <c r="F598" s="33"/>
    </row>
    <row r="599">
      <c r="A599" s="33"/>
      <c r="B599" s="33"/>
      <c r="C599" s="34"/>
      <c r="D599" s="34"/>
      <c r="F599" s="33"/>
    </row>
    <row r="600">
      <c r="A600" s="33"/>
      <c r="B600" s="33"/>
      <c r="C600" s="34"/>
      <c r="D600" s="34"/>
      <c r="F600" s="33"/>
    </row>
    <row r="601">
      <c r="A601" s="33"/>
      <c r="B601" s="33"/>
      <c r="C601" s="34"/>
      <c r="D601" s="34"/>
      <c r="F601" s="33"/>
    </row>
    <row r="602">
      <c r="A602" s="33"/>
      <c r="B602" s="33"/>
      <c r="C602" s="34"/>
      <c r="D602" s="34"/>
      <c r="F602" s="33"/>
    </row>
    <row r="603">
      <c r="A603" s="33"/>
      <c r="B603" s="33"/>
      <c r="C603" s="34"/>
      <c r="D603" s="34"/>
      <c r="F603" s="33"/>
    </row>
    <row r="604">
      <c r="A604" s="33"/>
      <c r="B604" s="33"/>
      <c r="C604" s="34"/>
      <c r="D604" s="34"/>
      <c r="F604" s="33"/>
    </row>
    <row r="605">
      <c r="A605" s="33"/>
      <c r="B605" s="33"/>
      <c r="C605" s="34"/>
      <c r="D605" s="34"/>
      <c r="F605" s="33"/>
    </row>
    <row r="606">
      <c r="A606" s="33"/>
      <c r="B606" s="33"/>
      <c r="C606" s="34"/>
      <c r="D606" s="34"/>
      <c r="F606" s="33"/>
    </row>
    <row r="607">
      <c r="A607" s="33"/>
      <c r="B607" s="33"/>
      <c r="C607" s="34"/>
      <c r="D607" s="34"/>
      <c r="F607" s="33"/>
    </row>
    <row r="608">
      <c r="A608" s="33"/>
      <c r="B608" s="33"/>
      <c r="C608" s="34"/>
      <c r="D608" s="34"/>
      <c r="F608" s="33"/>
    </row>
    <row r="609">
      <c r="A609" s="33"/>
      <c r="B609" s="33"/>
      <c r="C609" s="34"/>
      <c r="D609" s="34"/>
      <c r="F609" s="33"/>
    </row>
    <row r="610">
      <c r="A610" s="33"/>
      <c r="B610" s="33"/>
      <c r="C610" s="34"/>
      <c r="D610" s="34"/>
      <c r="F610" s="33"/>
    </row>
    <row r="611">
      <c r="A611" s="33"/>
      <c r="B611" s="33"/>
      <c r="C611" s="34"/>
      <c r="D611" s="34"/>
      <c r="F611" s="33"/>
    </row>
    <row r="612">
      <c r="A612" s="33"/>
      <c r="B612" s="33"/>
      <c r="C612" s="34"/>
      <c r="D612" s="34"/>
      <c r="F612" s="33"/>
    </row>
    <row r="613">
      <c r="A613" s="33"/>
      <c r="B613" s="33"/>
      <c r="C613" s="34"/>
      <c r="D613" s="34"/>
      <c r="F613" s="33"/>
    </row>
    <row r="614">
      <c r="A614" s="33"/>
      <c r="B614" s="33"/>
      <c r="C614" s="34"/>
      <c r="D614" s="34"/>
      <c r="F614" s="33"/>
    </row>
    <row r="615">
      <c r="A615" s="33"/>
      <c r="B615" s="33"/>
      <c r="C615" s="34"/>
      <c r="D615" s="34"/>
      <c r="F615" s="33"/>
    </row>
    <row r="616">
      <c r="A616" s="33"/>
      <c r="B616" s="33"/>
      <c r="C616" s="34"/>
      <c r="D616" s="34"/>
      <c r="F616" s="33"/>
    </row>
    <row r="617">
      <c r="A617" s="33"/>
      <c r="B617" s="33"/>
      <c r="C617" s="34"/>
      <c r="D617" s="34"/>
      <c r="F617" s="33"/>
    </row>
    <row r="618">
      <c r="A618" s="33"/>
      <c r="B618" s="33"/>
      <c r="C618" s="34"/>
      <c r="D618" s="34"/>
      <c r="F618" s="33"/>
    </row>
    <row r="619">
      <c r="A619" s="33"/>
      <c r="B619" s="33"/>
      <c r="C619" s="34"/>
      <c r="D619" s="34"/>
      <c r="F619" s="33"/>
    </row>
    <row r="620">
      <c r="A620" s="33"/>
      <c r="B620" s="33"/>
      <c r="C620" s="34"/>
      <c r="D620" s="34"/>
      <c r="F620" s="33"/>
    </row>
    <row r="621">
      <c r="A621" s="33"/>
      <c r="B621" s="33"/>
      <c r="C621" s="34"/>
      <c r="D621" s="34"/>
      <c r="F621" s="33"/>
    </row>
    <row r="622">
      <c r="A622" s="33"/>
      <c r="B622" s="33"/>
      <c r="C622" s="34"/>
      <c r="D622" s="34"/>
      <c r="F622" s="33"/>
    </row>
    <row r="623">
      <c r="A623" s="33"/>
      <c r="B623" s="33"/>
      <c r="C623" s="34"/>
      <c r="D623" s="34"/>
      <c r="F623" s="33"/>
    </row>
    <row r="624">
      <c r="A624" s="33"/>
      <c r="B624" s="33"/>
      <c r="C624" s="34"/>
      <c r="D624" s="34"/>
      <c r="F624" s="33"/>
    </row>
    <row r="625">
      <c r="A625" s="33"/>
      <c r="B625" s="33"/>
      <c r="C625" s="34"/>
      <c r="D625" s="34"/>
      <c r="F625" s="33"/>
    </row>
    <row r="626">
      <c r="A626" s="33"/>
      <c r="B626" s="33"/>
      <c r="C626" s="34"/>
      <c r="D626" s="34"/>
      <c r="F626" s="33"/>
    </row>
    <row r="627">
      <c r="A627" s="33"/>
      <c r="B627" s="33"/>
      <c r="C627" s="34"/>
      <c r="D627" s="34"/>
      <c r="F627" s="33"/>
    </row>
    <row r="628">
      <c r="A628" s="33"/>
      <c r="B628" s="33"/>
      <c r="C628" s="34"/>
      <c r="D628" s="34"/>
      <c r="F628" s="33"/>
    </row>
    <row r="629">
      <c r="A629" s="33"/>
      <c r="B629" s="33"/>
      <c r="C629" s="34"/>
      <c r="D629" s="34"/>
      <c r="F629" s="33"/>
    </row>
    <row r="630">
      <c r="A630" s="33"/>
      <c r="B630" s="33"/>
      <c r="C630" s="34"/>
      <c r="D630" s="34"/>
      <c r="F630" s="33"/>
    </row>
    <row r="631">
      <c r="A631" s="33"/>
      <c r="B631" s="33"/>
      <c r="C631" s="34"/>
      <c r="D631" s="34"/>
      <c r="F631" s="33"/>
    </row>
    <row r="632">
      <c r="A632" s="33"/>
      <c r="B632" s="33"/>
      <c r="C632" s="34"/>
      <c r="D632" s="34"/>
      <c r="F632" s="33"/>
    </row>
    <row r="633">
      <c r="A633" s="33"/>
      <c r="B633" s="33"/>
      <c r="C633" s="34"/>
      <c r="D633" s="34"/>
      <c r="F633" s="33"/>
    </row>
    <row r="634">
      <c r="A634" s="33"/>
      <c r="B634" s="33"/>
      <c r="C634" s="34"/>
      <c r="D634" s="34"/>
      <c r="F634" s="33"/>
    </row>
    <row r="635">
      <c r="A635" s="33"/>
      <c r="B635" s="33"/>
      <c r="C635" s="34"/>
      <c r="D635" s="34"/>
      <c r="F635" s="33"/>
    </row>
    <row r="636">
      <c r="A636" s="33"/>
      <c r="B636" s="33"/>
      <c r="C636" s="34"/>
      <c r="D636" s="34"/>
      <c r="F636" s="33"/>
    </row>
    <row r="637">
      <c r="A637" s="33"/>
      <c r="B637" s="33"/>
      <c r="C637" s="34"/>
      <c r="D637" s="34"/>
      <c r="F637" s="33"/>
    </row>
    <row r="638">
      <c r="A638" s="33"/>
      <c r="B638" s="33"/>
      <c r="C638" s="34"/>
      <c r="D638" s="34"/>
      <c r="F638" s="33"/>
    </row>
    <row r="639">
      <c r="A639" s="33"/>
      <c r="B639" s="33"/>
      <c r="C639" s="34"/>
      <c r="D639" s="34"/>
      <c r="F639" s="33"/>
    </row>
    <row r="640">
      <c r="A640" s="33"/>
      <c r="B640" s="33"/>
      <c r="C640" s="34"/>
      <c r="D640" s="34"/>
      <c r="F640" s="33"/>
    </row>
    <row r="641">
      <c r="A641" s="33"/>
      <c r="B641" s="33"/>
      <c r="C641" s="34"/>
      <c r="D641" s="34"/>
      <c r="F641" s="33"/>
    </row>
    <row r="642">
      <c r="A642" s="33"/>
      <c r="B642" s="33"/>
      <c r="C642" s="34"/>
      <c r="D642" s="34"/>
      <c r="F642" s="33"/>
    </row>
    <row r="643">
      <c r="A643" s="33"/>
      <c r="B643" s="33"/>
      <c r="C643" s="34"/>
      <c r="D643" s="34"/>
      <c r="F643" s="33"/>
    </row>
    <row r="644">
      <c r="A644" s="33"/>
      <c r="B644" s="33"/>
      <c r="C644" s="34"/>
      <c r="D644" s="34"/>
      <c r="F644" s="33"/>
    </row>
    <row r="645">
      <c r="A645" s="33"/>
      <c r="B645" s="33"/>
      <c r="C645" s="34"/>
      <c r="D645" s="34"/>
      <c r="F645" s="33"/>
    </row>
    <row r="646">
      <c r="A646" s="33"/>
      <c r="B646" s="33"/>
      <c r="C646" s="34"/>
      <c r="D646" s="34"/>
      <c r="F646" s="33"/>
    </row>
    <row r="647">
      <c r="A647" s="33"/>
      <c r="B647" s="33"/>
      <c r="C647" s="34"/>
      <c r="D647" s="34"/>
      <c r="F647" s="33"/>
    </row>
    <row r="648">
      <c r="A648" s="33"/>
      <c r="B648" s="33"/>
      <c r="C648" s="34"/>
      <c r="D648" s="34"/>
      <c r="F648" s="33"/>
    </row>
    <row r="649">
      <c r="A649" s="33"/>
      <c r="B649" s="33"/>
      <c r="C649" s="34"/>
      <c r="D649" s="34"/>
      <c r="F649" s="33"/>
    </row>
    <row r="650">
      <c r="A650" s="33"/>
      <c r="B650" s="33"/>
      <c r="C650" s="34"/>
      <c r="D650" s="34"/>
      <c r="F650" s="33"/>
    </row>
    <row r="651">
      <c r="A651" s="33"/>
      <c r="B651" s="33"/>
      <c r="C651" s="34"/>
      <c r="D651" s="34"/>
      <c r="F651" s="33"/>
    </row>
    <row r="652">
      <c r="A652" s="33"/>
      <c r="B652" s="33"/>
      <c r="C652" s="34"/>
      <c r="D652" s="34"/>
      <c r="F652" s="33"/>
    </row>
    <row r="653">
      <c r="A653" s="33"/>
      <c r="B653" s="33"/>
      <c r="C653" s="34"/>
      <c r="D653" s="34"/>
      <c r="F653" s="33"/>
    </row>
    <row r="654">
      <c r="A654" s="33"/>
      <c r="B654" s="33"/>
      <c r="C654" s="34"/>
      <c r="D654" s="34"/>
      <c r="F654" s="33"/>
    </row>
    <row r="655">
      <c r="A655" s="33"/>
      <c r="B655" s="33"/>
      <c r="C655" s="34"/>
      <c r="D655" s="34"/>
      <c r="F655" s="33"/>
    </row>
    <row r="656">
      <c r="A656" s="33"/>
      <c r="B656" s="33"/>
      <c r="C656" s="34"/>
      <c r="D656" s="34"/>
      <c r="F656" s="33"/>
    </row>
    <row r="657">
      <c r="A657" s="33"/>
      <c r="B657" s="33"/>
      <c r="C657" s="34"/>
      <c r="D657" s="34"/>
      <c r="F657" s="33"/>
    </row>
    <row r="658">
      <c r="A658" s="33"/>
      <c r="B658" s="33"/>
      <c r="C658" s="34"/>
      <c r="D658" s="34"/>
      <c r="F658" s="33"/>
    </row>
    <row r="659">
      <c r="A659" s="33"/>
      <c r="B659" s="33"/>
      <c r="C659" s="34"/>
      <c r="D659" s="34"/>
      <c r="F659" s="33"/>
    </row>
    <row r="660">
      <c r="A660" s="33"/>
      <c r="B660" s="33"/>
      <c r="C660" s="34"/>
      <c r="D660" s="34"/>
      <c r="F660" s="33"/>
    </row>
    <row r="661">
      <c r="A661" s="33"/>
      <c r="B661" s="33"/>
      <c r="C661" s="34"/>
      <c r="D661" s="34"/>
      <c r="F661" s="33"/>
    </row>
    <row r="662">
      <c r="A662" s="33"/>
      <c r="B662" s="33"/>
      <c r="C662" s="34"/>
      <c r="D662" s="34"/>
      <c r="F662" s="33"/>
    </row>
    <row r="663">
      <c r="A663" s="33"/>
      <c r="B663" s="33"/>
      <c r="C663" s="34"/>
      <c r="D663" s="34"/>
      <c r="F663" s="33"/>
    </row>
    <row r="664">
      <c r="A664" s="33"/>
      <c r="B664" s="33"/>
      <c r="C664" s="34"/>
      <c r="D664" s="34"/>
      <c r="F664" s="33"/>
    </row>
    <row r="665">
      <c r="A665" s="33"/>
      <c r="B665" s="33"/>
      <c r="C665" s="34"/>
      <c r="D665" s="34"/>
      <c r="F665" s="33"/>
    </row>
    <row r="666">
      <c r="A666" s="33"/>
      <c r="B666" s="33"/>
      <c r="C666" s="34"/>
      <c r="D666" s="34"/>
      <c r="F666" s="33"/>
    </row>
    <row r="667">
      <c r="A667" s="33"/>
      <c r="B667" s="33"/>
      <c r="C667" s="34"/>
      <c r="D667" s="34"/>
      <c r="F667" s="33"/>
    </row>
    <row r="668">
      <c r="A668" s="33"/>
      <c r="B668" s="33"/>
      <c r="C668" s="34"/>
      <c r="D668" s="34"/>
      <c r="F668" s="33"/>
    </row>
    <row r="669">
      <c r="A669" s="33"/>
      <c r="B669" s="33"/>
      <c r="C669" s="34"/>
      <c r="D669" s="34"/>
      <c r="F669" s="33"/>
    </row>
    <row r="670">
      <c r="A670" s="33"/>
      <c r="B670" s="33"/>
      <c r="C670" s="34"/>
      <c r="D670" s="34"/>
      <c r="F670" s="33"/>
    </row>
    <row r="671">
      <c r="A671" s="33"/>
      <c r="B671" s="33"/>
      <c r="C671" s="34"/>
      <c r="D671" s="34"/>
      <c r="F671" s="33"/>
    </row>
    <row r="672">
      <c r="A672" s="33"/>
      <c r="B672" s="33"/>
      <c r="C672" s="34"/>
      <c r="D672" s="34"/>
      <c r="F672" s="33"/>
    </row>
    <row r="673">
      <c r="A673" s="33"/>
      <c r="B673" s="33"/>
      <c r="C673" s="34"/>
      <c r="D673" s="34"/>
      <c r="F673" s="33"/>
    </row>
    <row r="674">
      <c r="A674" s="33"/>
      <c r="B674" s="33"/>
      <c r="C674" s="34"/>
      <c r="D674" s="34"/>
      <c r="F674" s="33"/>
    </row>
    <row r="675">
      <c r="A675" s="33"/>
      <c r="B675" s="33"/>
      <c r="C675" s="34"/>
      <c r="D675" s="34"/>
      <c r="F675" s="33"/>
    </row>
    <row r="676">
      <c r="A676" s="33"/>
      <c r="B676" s="33"/>
      <c r="C676" s="34"/>
      <c r="D676" s="34"/>
      <c r="F676" s="33"/>
    </row>
    <row r="677">
      <c r="A677" s="33"/>
      <c r="B677" s="33"/>
      <c r="C677" s="34"/>
      <c r="D677" s="34"/>
      <c r="F677" s="33"/>
    </row>
    <row r="678">
      <c r="A678" s="33"/>
      <c r="B678" s="33"/>
      <c r="C678" s="34"/>
      <c r="D678" s="34"/>
      <c r="F678" s="33"/>
    </row>
    <row r="679">
      <c r="A679" s="33"/>
      <c r="B679" s="33"/>
      <c r="C679" s="34"/>
      <c r="D679" s="34"/>
      <c r="F679" s="33"/>
    </row>
    <row r="680">
      <c r="A680" s="33"/>
      <c r="B680" s="33"/>
      <c r="C680" s="34"/>
      <c r="D680" s="34"/>
      <c r="F680" s="33"/>
    </row>
    <row r="681">
      <c r="A681" s="33"/>
      <c r="B681" s="33"/>
      <c r="C681" s="34"/>
      <c r="D681" s="34"/>
      <c r="F681" s="33"/>
    </row>
    <row r="682">
      <c r="A682" s="33"/>
      <c r="B682" s="33"/>
      <c r="C682" s="34"/>
      <c r="D682" s="34"/>
      <c r="F682" s="33"/>
    </row>
    <row r="683">
      <c r="A683" s="33"/>
      <c r="B683" s="33"/>
      <c r="C683" s="34"/>
      <c r="D683" s="34"/>
      <c r="F683" s="33"/>
    </row>
    <row r="684">
      <c r="A684" s="33"/>
      <c r="B684" s="33"/>
      <c r="C684" s="34"/>
      <c r="D684" s="34"/>
      <c r="F684" s="33"/>
    </row>
    <row r="685">
      <c r="A685" s="33"/>
      <c r="B685" s="33"/>
      <c r="C685" s="34"/>
      <c r="D685" s="34"/>
      <c r="F685" s="33"/>
    </row>
    <row r="686">
      <c r="A686" s="33"/>
      <c r="B686" s="33"/>
      <c r="C686" s="34"/>
      <c r="D686" s="34"/>
      <c r="F686" s="33"/>
    </row>
    <row r="687">
      <c r="A687" s="33"/>
      <c r="B687" s="33"/>
      <c r="C687" s="34"/>
      <c r="D687" s="34"/>
      <c r="F687" s="33"/>
    </row>
    <row r="688">
      <c r="A688" s="33"/>
      <c r="B688" s="33"/>
      <c r="C688" s="34"/>
      <c r="D688" s="34"/>
      <c r="F688" s="33"/>
    </row>
    <row r="689">
      <c r="A689" s="33"/>
      <c r="B689" s="33"/>
      <c r="C689" s="34"/>
      <c r="D689" s="34"/>
      <c r="F689" s="33"/>
    </row>
    <row r="690">
      <c r="A690" s="33"/>
      <c r="B690" s="33"/>
      <c r="C690" s="34"/>
      <c r="D690" s="34"/>
      <c r="F690" s="33"/>
    </row>
    <row r="691">
      <c r="A691" s="33"/>
      <c r="B691" s="33"/>
      <c r="C691" s="34"/>
      <c r="D691" s="34"/>
      <c r="F691" s="33"/>
    </row>
    <row r="692">
      <c r="A692" s="33"/>
      <c r="B692" s="33"/>
      <c r="C692" s="34"/>
      <c r="D692" s="34"/>
      <c r="F692" s="33"/>
    </row>
    <row r="693">
      <c r="A693" s="33"/>
      <c r="B693" s="33"/>
      <c r="C693" s="34"/>
      <c r="D693" s="34"/>
      <c r="F693" s="33"/>
    </row>
    <row r="694">
      <c r="A694" s="33"/>
      <c r="B694" s="33"/>
      <c r="C694" s="34"/>
      <c r="D694" s="34"/>
      <c r="F694" s="33"/>
    </row>
    <row r="695">
      <c r="A695" s="33"/>
      <c r="B695" s="33"/>
      <c r="C695" s="34"/>
      <c r="D695" s="34"/>
      <c r="F695" s="33"/>
    </row>
    <row r="696">
      <c r="A696" s="33"/>
      <c r="B696" s="33"/>
      <c r="C696" s="34"/>
      <c r="D696" s="34"/>
      <c r="F696" s="33"/>
    </row>
    <row r="697">
      <c r="A697" s="33"/>
      <c r="B697" s="33"/>
      <c r="C697" s="34"/>
      <c r="D697" s="34"/>
      <c r="F697" s="33"/>
    </row>
    <row r="698">
      <c r="A698" s="33"/>
      <c r="B698" s="33"/>
      <c r="C698" s="34"/>
      <c r="D698" s="34"/>
      <c r="F698" s="33"/>
    </row>
    <row r="699">
      <c r="A699" s="33"/>
      <c r="B699" s="33"/>
      <c r="C699" s="34"/>
      <c r="D699" s="34"/>
      <c r="F699" s="33"/>
    </row>
    <row r="700">
      <c r="A700" s="33"/>
      <c r="B700" s="33"/>
      <c r="C700" s="34"/>
      <c r="D700" s="34"/>
      <c r="F700" s="33"/>
    </row>
    <row r="701">
      <c r="A701" s="33"/>
      <c r="B701" s="33"/>
      <c r="C701" s="34"/>
      <c r="D701" s="34"/>
      <c r="F701" s="33"/>
    </row>
    <row r="702">
      <c r="A702" s="33"/>
      <c r="B702" s="33"/>
      <c r="C702" s="34"/>
      <c r="D702" s="34"/>
      <c r="F702" s="33"/>
    </row>
    <row r="703">
      <c r="A703" s="33"/>
      <c r="B703" s="33"/>
      <c r="C703" s="34"/>
      <c r="D703" s="34"/>
      <c r="F703" s="33"/>
    </row>
    <row r="704">
      <c r="A704" s="33"/>
      <c r="B704" s="33"/>
      <c r="C704" s="34"/>
      <c r="D704" s="34"/>
      <c r="F704" s="33"/>
    </row>
    <row r="705">
      <c r="A705" s="33"/>
      <c r="B705" s="33"/>
      <c r="C705" s="34"/>
      <c r="D705" s="34"/>
      <c r="F705" s="33"/>
    </row>
    <row r="706">
      <c r="A706" s="33"/>
      <c r="B706" s="33"/>
      <c r="C706" s="34"/>
      <c r="D706" s="34"/>
      <c r="F706" s="33"/>
    </row>
    <row r="707">
      <c r="A707" s="33"/>
      <c r="B707" s="33"/>
      <c r="C707" s="34"/>
      <c r="D707" s="34"/>
      <c r="F707" s="33"/>
    </row>
    <row r="708">
      <c r="A708" s="33"/>
      <c r="B708" s="33"/>
      <c r="C708" s="34"/>
      <c r="D708" s="34"/>
      <c r="F708" s="33"/>
    </row>
    <row r="709">
      <c r="A709" s="33"/>
      <c r="B709" s="33"/>
      <c r="C709" s="34"/>
      <c r="D709" s="34"/>
      <c r="F709" s="33"/>
    </row>
    <row r="710">
      <c r="A710" s="33"/>
      <c r="B710" s="33"/>
      <c r="C710" s="34"/>
      <c r="D710" s="34"/>
      <c r="F710" s="33"/>
    </row>
    <row r="711">
      <c r="A711" s="33"/>
      <c r="B711" s="33"/>
      <c r="C711" s="34"/>
      <c r="D711" s="34"/>
      <c r="F711" s="33"/>
    </row>
    <row r="712">
      <c r="A712" s="33"/>
      <c r="B712" s="33"/>
      <c r="C712" s="34"/>
      <c r="D712" s="34"/>
      <c r="F712" s="33"/>
    </row>
    <row r="713">
      <c r="A713" s="33"/>
      <c r="B713" s="33"/>
      <c r="C713" s="34"/>
      <c r="D713" s="34"/>
      <c r="F713" s="33"/>
    </row>
    <row r="714">
      <c r="A714" s="33"/>
      <c r="B714" s="33"/>
      <c r="C714" s="34"/>
      <c r="D714" s="34"/>
      <c r="F714" s="33"/>
    </row>
    <row r="715">
      <c r="A715" s="33"/>
      <c r="B715" s="33"/>
      <c r="C715" s="34"/>
      <c r="D715" s="34"/>
      <c r="F715" s="33"/>
    </row>
    <row r="716">
      <c r="A716" s="33"/>
      <c r="B716" s="33"/>
      <c r="C716" s="34"/>
      <c r="D716" s="34"/>
      <c r="F716" s="33"/>
    </row>
    <row r="717">
      <c r="A717" s="33"/>
      <c r="B717" s="33"/>
      <c r="C717" s="34"/>
      <c r="D717" s="34"/>
      <c r="F717" s="33"/>
    </row>
    <row r="718">
      <c r="A718" s="33"/>
      <c r="B718" s="33"/>
      <c r="C718" s="34"/>
      <c r="D718" s="34"/>
      <c r="F718" s="33"/>
    </row>
    <row r="719">
      <c r="A719" s="33"/>
      <c r="B719" s="33"/>
      <c r="C719" s="34"/>
      <c r="D719" s="34"/>
      <c r="F719" s="33"/>
    </row>
    <row r="720">
      <c r="A720" s="33"/>
      <c r="B720" s="33"/>
      <c r="C720" s="34"/>
      <c r="D720" s="34"/>
      <c r="F720" s="33"/>
    </row>
    <row r="721">
      <c r="A721" s="33"/>
      <c r="B721" s="33"/>
      <c r="C721" s="34"/>
      <c r="D721" s="34"/>
      <c r="F721" s="33"/>
    </row>
    <row r="722">
      <c r="A722" s="33"/>
      <c r="B722" s="33"/>
      <c r="C722" s="34"/>
      <c r="D722" s="34"/>
      <c r="F722" s="33"/>
    </row>
    <row r="723">
      <c r="A723" s="33"/>
      <c r="B723" s="33"/>
      <c r="C723" s="34"/>
      <c r="D723" s="34"/>
      <c r="F723" s="33"/>
    </row>
    <row r="724">
      <c r="A724" s="33"/>
      <c r="B724" s="33"/>
      <c r="C724" s="34"/>
      <c r="D724" s="34"/>
      <c r="F724" s="33"/>
    </row>
    <row r="725">
      <c r="A725" s="33"/>
      <c r="B725" s="33"/>
      <c r="C725" s="34"/>
      <c r="D725" s="34"/>
      <c r="F725" s="33"/>
    </row>
    <row r="726">
      <c r="A726" s="33"/>
      <c r="B726" s="33"/>
      <c r="C726" s="34"/>
      <c r="D726" s="34"/>
      <c r="F726" s="33"/>
    </row>
    <row r="727">
      <c r="A727" s="33"/>
      <c r="B727" s="33"/>
      <c r="C727" s="34"/>
      <c r="D727" s="34"/>
      <c r="F727" s="33"/>
    </row>
    <row r="728">
      <c r="A728" s="33"/>
      <c r="B728" s="33"/>
      <c r="C728" s="34"/>
      <c r="D728" s="34"/>
      <c r="F728" s="33"/>
    </row>
    <row r="729">
      <c r="A729" s="33"/>
      <c r="B729" s="33"/>
      <c r="C729" s="34"/>
      <c r="D729" s="34"/>
      <c r="F729" s="33"/>
    </row>
    <row r="730">
      <c r="A730" s="33"/>
      <c r="B730" s="33"/>
      <c r="C730" s="34"/>
      <c r="D730" s="34"/>
      <c r="F730" s="33"/>
    </row>
    <row r="731">
      <c r="A731" s="33"/>
      <c r="B731" s="33"/>
      <c r="C731" s="34"/>
      <c r="D731" s="34"/>
      <c r="F731" s="33"/>
    </row>
    <row r="732">
      <c r="A732" s="33"/>
      <c r="B732" s="33"/>
      <c r="C732" s="34"/>
      <c r="D732" s="34"/>
      <c r="F732" s="33"/>
    </row>
    <row r="733">
      <c r="A733" s="33"/>
      <c r="B733" s="33"/>
      <c r="C733" s="34"/>
      <c r="D733" s="34"/>
      <c r="F733" s="33"/>
    </row>
    <row r="734">
      <c r="A734" s="33"/>
      <c r="B734" s="33"/>
      <c r="C734" s="34"/>
      <c r="D734" s="34"/>
      <c r="F734" s="33"/>
    </row>
    <row r="735">
      <c r="A735" s="33"/>
      <c r="B735" s="33"/>
      <c r="C735" s="34"/>
      <c r="D735" s="34"/>
      <c r="F735" s="33"/>
    </row>
    <row r="736">
      <c r="A736" s="33"/>
      <c r="B736" s="33"/>
      <c r="C736" s="34"/>
      <c r="D736" s="34"/>
      <c r="F736" s="33"/>
    </row>
    <row r="737">
      <c r="A737" s="33"/>
      <c r="B737" s="33"/>
      <c r="C737" s="34"/>
      <c r="D737" s="34"/>
      <c r="F737" s="33"/>
    </row>
    <row r="738">
      <c r="A738" s="33"/>
      <c r="B738" s="33"/>
      <c r="C738" s="34"/>
      <c r="D738" s="34"/>
      <c r="F738" s="33"/>
    </row>
    <row r="739">
      <c r="A739" s="33"/>
      <c r="B739" s="33"/>
      <c r="C739" s="34"/>
      <c r="D739" s="34"/>
      <c r="F739" s="33"/>
    </row>
    <row r="740">
      <c r="A740" s="33"/>
      <c r="B740" s="33"/>
      <c r="C740" s="34"/>
      <c r="D740" s="34"/>
      <c r="F740" s="33"/>
    </row>
    <row r="741">
      <c r="A741" s="33"/>
      <c r="B741" s="33"/>
      <c r="C741" s="34"/>
      <c r="D741" s="34"/>
      <c r="F741" s="33"/>
    </row>
    <row r="742">
      <c r="A742" s="33"/>
      <c r="B742" s="33"/>
      <c r="C742" s="34"/>
      <c r="D742" s="34"/>
      <c r="F742" s="33"/>
    </row>
    <row r="743">
      <c r="A743" s="33"/>
      <c r="B743" s="33"/>
      <c r="C743" s="34"/>
      <c r="D743" s="34"/>
      <c r="F743" s="33"/>
    </row>
    <row r="744">
      <c r="A744" s="33"/>
      <c r="B744" s="33"/>
      <c r="C744" s="34"/>
      <c r="D744" s="34"/>
      <c r="F744" s="33"/>
    </row>
    <row r="745">
      <c r="A745" s="33"/>
      <c r="B745" s="33"/>
      <c r="C745" s="34"/>
      <c r="D745" s="34"/>
      <c r="F745" s="33"/>
    </row>
    <row r="746">
      <c r="A746" s="33"/>
      <c r="B746" s="33"/>
      <c r="C746" s="34"/>
      <c r="D746" s="34"/>
      <c r="F746" s="33"/>
    </row>
    <row r="747">
      <c r="A747" s="33"/>
      <c r="B747" s="33"/>
      <c r="C747" s="34"/>
      <c r="D747" s="34"/>
      <c r="F747" s="33"/>
    </row>
    <row r="748">
      <c r="A748" s="33"/>
      <c r="B748" s="33"/>
      <c r="C748" s="34"/>
      <c r="D748" s="34"/>
      <c r="F748" s="33"/>
    </row>
    <row r="749">
      <c r="A749" s="33"/>
      <c r="B749" s="33"/>
      <c r="C749" s="34"/>
      <c r="D749" s="34"/>
      <c r="F749" s="33"/>
    </row>
    <row r="750">
      <c r="A750" s="33"/>
      <c r="B750" s="33"/>
      <c r="C750" s="34"/>
      <c r="D750" s="34"/>
      <c r="F750" s="33"/>
    </row>
    <row r="751">
      <c r="A751" s="33"/>
      <c r="B751" s="33"/>
      <c r="C751" s="34"/>
      <c r="D751" s="34"/>
      <c r="F751" s="33"/>
    </row>
    <row r="752">
      <c r="A752" s="33"/>
      <c r="B752" s="33"/>
      <c r="C752" s="34"/>
      <c r="D752" s="34"/>
      <c r="F752" s="33"/>
    </row>
    <row r="753">
      <c r="A753" s="33"/>
      <c r="B753" s="33"/>
      <c r="C753" s="34"/>
      <c r="D753" s="34"/>
      <c r="F753" s="33"/>
    </row>
    <row r="754">
      <c r="A754" s="33"/>
      <c r="B754" s="33"/>
      <c r="C754" s="34"/>
      <c r="D754" s="34"/>
      <c r="F754" s="33"/>
    </row>
    <row r="755">
      <c r="A755" s="33"/>
      <c r="B755" s="33"/>
      <c r="C755" s="34"/>
      <c r="D755" s="34"/>
      <c r="F755" s="33"/>
    </row>
    <row r="756">
      <c r="A756" s="33"/>
      <c r="B756" s="33"/>
      <c r="C756" s="34"/>
      <c r="D756" s="34"/>
      <c r="F756" s="33"/>
    </row>
    <row r="757">
      <c r="A757" s="33"/>
      <c r="B757" s="33"/>
      <c r="C757" s="34"/>
      <c r="D757" s="34"/>
      <c r="F757" s="33"/>
    </row>
    <row r="758">
      <c r="A758" s="33"/>
      <c r="B758" s="33"/>
      <c r="C758" s="34"/>
      <c r="D758" s="34"/>
      <c r="F758" s="33"/>
    </row>
    <row r="759">
      <c r="A759" s="33"/>
      <c r="B759" s="33"/>
      <c r="C759" s="34"/>
      <c r="D759" s="34"/>
      <c r="F759" s="33"/>
    </row>
    <row r="760">
      <c r="A760" s="33"/>
      <c r="B760" s="33"/>
      <c r="C760" s="34"/>
      <c r="D760" s="34"/>
      <c r="F760" s="33"/>
    </row>
    <row r="761">
      <c r="A761" s="33"/>
      <c r="B761" s="33"/>
      <c r="C761" s="34"/>
      <c r="D761" s="34"/>
      <c r="F761" s="33"/>
    </row>
    <row r="762">
      <c r="A762" s="33"/>
      <c r="B762" s="33"/>
      <c r="C762" s="34"/>
      <c r="D762" s="34"/>
      <c r="F762" s="33"/>
    </row>
    <row r="763">
      <c r="A763" s="33"/>
      <c r="B763" s="33"/>
      <c r="C763" s="34"/>
      <c r="D763" s="34"/>
      <c r="F763" s="33"/>
    </row>
    <row r="764">
      <c r="A764" s="33"/>
      <c r="B764" s="33"/>
      <c r="C764" s="34"/>
      <c r="D764" s="34"/>
      <c r="F764" s="33"/>
    </row>
    <row r="765">
      <c r="A765" s="33"/>
      <c r="B765" s="33"/>
      <c r="C765" s="34"/>
      <c r="D765" s="34"/>
      <c r="F765" s="33"/>
    </row>
    <row r="766">
      <c r="A766" s="33"/>
      <c r="B766" s="33"/>
      <c r="C766" s="34"/>
      <c r="D766" s="34"/>
      <c r="F766" s="33"/>
    </row>
    <row r="767">
      <c r="A767" s="33"/>
      <c r="B767" s="33"/>
      <c r="C767" s="34"/>
      <c r="D767" s="34"/>
      <c r="F767" s="33"/>
    </row>
    <row r="768">
      <c r="A768" s="33"/>
      <c r="B768" s="33"/>
      <c r="C768" s="34"/>
      <c r="D768" s="34"/>
      <c r="F768" s="33"/>
    </row>
    <row r="769">
      <c r="A769" s="33"/>
      <c r="B769" s="33"/>
      <c r="C769" s="34"/>
      <c r="D769" s="34"/>
      <c r="F769" s="33"/>
    </row>
    <row r="770">
      <c r="A770" s="33"/>
      <c r="B770" s="33"/>
      <c r="C770" s="34"/>
      <c r="D770" s="34"/>
      <c r="F770" s="33"/>
    </row>
    <row r="771">
      <c r="A771" s="33"/>
      <c r="B771" s="33"/>
      <c r="C771" s="34"/>
      <c r="D771" s="34"/>
      <c r="F771" s="33"/>
    </row>
    <row r="772">
      <c r="A772" s="33"/>
      <c r="B772" s="33"/>
      <c r="C772" s="34"/>
      <c r="D772" s="34"/>
      <c r="F772" s="33"/>
    </row>
    <row r="773">
      <c r="A773" s="33"/>
      <c r="B773" s="33"/>
      <c r="C773" s="34"/>
      <c r="D773" s="34"/>
      <c r="F773" s="33"/>
    </row>
    <row r="774">
      <c r="A774" s="33"/>
      <c r="B774" s="33"/>
      <c r="C774" s="34"/>
      <c r="D774" s="34"/>
      <c r="F774" s="33"/>
    </row>
    <row r="775">
      <c r="A775" s="33"/>
      <c r="B775" s="33"/>
      <c r="C775" s="34"/>
      <c r="D775" s="34"/>
      <c r="F775" s="33"/>
    </row>
    <row r="776">
      <c r="A776" s="33"/>
      <c r="B776" s="33"/>
      <c r="C776" s="34"/>
      <c r="D776" s="34"/>
      <c r="F776" s="33"/>
    </row>
    <row r="777">
      <c r="A777" s="33"/>
      <c r="B777" s="33"/>
      <c r="C777" s="34"/>
      <c r="D777" s="34"/>
      <c r="F777" s="33"/>
    </row>
    <row r="778">
      <c r="A778" s="33"/>
      <c r="B778" s="33"/>
      <c r="C778" s="34"/>
      <c r="D778" s="34"/>
      <c r="F778" s="33"/>
    </row>
    <row r="779">
      <c r="A779" s="33"/>
      <c r="B779" s="33"/>
      <c r="C779" s="34"/>
      <c r="D779" s="34"/>
      <c r="F779" s="33"/>
    </row>
    <row r="780">
      <c r="A780" s="33"/>
      <c r="B780" s="33"/>
      <c r="C780" s="34"/>
      <c r="D780" s="34"/>
      <c r="F780" s="33"/>
    </row>
    <row r="781">
      <c r="A781" s="33"/>
      <c r="B781" s="33"/>
      <c r="C781" s="34"/>
      <c r="D781" s="34"/>
      <c r="F781" s="33"/>
    </row>
    <row r="782">
      <c r="A782" s="33"/>
      <c r="B782" s="33"/>
      <c r="C782" s="34"/>
      <c r="D782" s="34"/>
      <c r="F782" s="33"/>
    </row>
    <row r="783">
      <c r="A783" s="33"/>
      <c r="B783" s="33"/>
      <c r="C783" s="34"/>
      <c r="D783" s="34"/>
      <c r="F783" s="33"/>
    </row>
    <row r="784">
      <c r="A784" s="33"/>
      <c r="B784" s="33"/>
      <c r="C784" s="34"/>
      <c r="D784" s="34"/>
      <c r="F784" s="33"/>
    </row>
    <row r="785">
      <c r="A785" s="33"/>
      <c r="B785" s="33"/>
      <c r="C785" s="34"/>
      <c r="D785" s="34"/>
      <c r="F785" s="33"/>
    </row>
    <row r="786">
      <c r="A786" s="33"/>
      <c r="B786" s="33"/>
      <c r="C786" s="34"/>
      <c r="D786" s="34"/>
      <c r="F786" s="33"/>
    </row>
    <row r="787">
      <c r="A787" s="33"/>
      <c r="B787" s="33"/>
      <c r="C787" s="34"/>
      <c r="D787" s="34"/>
      <c r="F787" s="33"/>
    </row>
    <row r="788">
      <c r="A788" s="33"/>
      <c r="B788" s="33"/>
      <c r="C788" s="34"/>
      <c r="D788" s="34"/>
      <c r="F788" s="33"/>
    </row>
    <row r="789">
      <c r="A789" s="33"/>
      <c r="B789" s="33"/>
      <c r="C789" s="34"/>
      <c r="D789" s="34"/>
      <c r="F789" s="33"/>
    </row>
    <row r="790">
      <c r="A790" s="33"/>
      <c r="B790" s="33"/>
      <c r="C790" s="34"/>
      <c r="D790" s="34"/>
      <c r="F790" s="33"/>
    </row>
    <row r="791">
      <c r="A791" s="33"/>
      <c r="B791" s="33"/>
      <c r="C791" s="34"/>
      <c r="D791" s="34"/>
      <c r="F791" s="33"/>
    </row>
    <row r="792">
      <c r="A792" s="33"/>
      <c r="B792" s="33"/>
      <c r="C792" s="34"/>
      <c r="D792" s="34"/>
      <c r="F792" s="33"/>
    </row>
    <row r="793">
      <c r="A793" s="33"/>
      <c r="B793" s="33"/>
      <c r="C793" s="34"/>
      <c r="D793" s="34"/>
      <c r="F793" s="33"/>
    </row>
    <row r="794">
      <c r="A794" s="33"/>
      <c r="B794" s="33"/>
      <c r="C794" s="34"/>
      <c r="D794" s="34"/>
      <c r="F794" s="33"/>
    </row>
    <row r="795">
      <c r="A795" s="33"/>
      <c r="B795" s="33"/>
      <c r="C795" s="34"/>
      <c r="D795" s="34"/>
      <c r="F795" s="33"/>
    </row>
    <row r="796">
      <c r="A796" s="33"/>
      <c r="B796" s="33"/>
      <c r="C796" s="34"/>
      <c r="D796" s="34"/>
      <c r="F796" s="33"/>
    </row>
    <row r="797">
      <c r="A797" s="33"/>
      <c r="B797" s="33"/>
      <c r="C797" s="34"/>
      <c r="D797" s="34"/>
      <c r="F797" s="33"/>
    </row>
    <row r="798">
      <c r="A798" s="33"/>
      <c r="B798" s="33"/>
      <c r="C798" s="34"/>
      <c r="D798" s="34"/>
      <c r="F798" s="33"/>
    </row>
    <row r="799">
      <c r="A799" s="33"/>
      <c r="B799" s="33"/>
      <c r="C799" s="34"/>
      <c r="D799" s="34"/>
      <c r="F799" s="33"/>
    </row>
    <row r="800">
      <c r="A800" s="33"/>
      <c r="B800" s="33"/>
      <c r="C800" s="34"/>
      <c r="D800" s="34"/>
      <c r="F800" s="33"/>
    </row>
    <row r="801">
      <c r="A801" s="33"/>
      <c r="B801" s="33"/>
      <c r="C801" s="34"/>
      <c r="D801" s="34"/>
      <c r="F801" s="33"/>
    </row>
    <row r="802">
      <c r="A802" s="33"/>
      <c r="B802" s="33"/>
      <c r="C802" s="34"/>
      <c r="D802" s="34"/>
      <c r="F802" s="33"/>
    </row>
    <row r="803">
      <c r="A803" s="33"/>
      <c r="B803" s="33"/>
      <c r="C803" s="34"/>
      <c r="D803" s="34"/>
      <c r="F803" s="33"/>
    </row>
    <row r="804">
      <c r="A804" s="33"/>
      <c r="B804" s="33"/>
      <c r="C804" s="34"/>
      <c r="D804" s="34"/>
      <c r="F804" s="33"/>
    </row>
    <row r="805">
      <c r="A805" s="33"/>
      <c r="B805" s="33"/>
      <c r="C805" s="34"/>
      <c r="D805" s="34"/>
      <c r="F805" s="33"/>
    </row>
    <row r="806">
      <c r="A806" s="33"/>
      <c r="B806" s="33"/>
      <c r="C806" s="34"/>
      <c r="D806" s="34"/>
      <c r="F806" s="33"/>
    </row>
    <row r="807">
      <c r="A807" s="33"/>
      <c r="B807" s="33"/>
      <c r="C807" s="34"/>
      <c r="D807" s="34"/>
      <c r="F807" s="33"/>
    </row>
    <row r="808">
      <c r="A808" s="33"/>
      <c r="B808" s="33"/>
      <c r="C808" s="34"/>
      <c r="D808" s="34"/>
      <c r="F808" s="33"/>
    </row>
    <row r="809">
      <c r="A809" s="33"/>
      <c r="B809" s="33"/>
      <c r="C809" s="34"/>
      <c r="D809" s="34"/>
      <c r="F809" s="33"/>
    </row>
    <row r="810">
      <c r="A810" s="33"/>
      <c r="B810" s="33"/>
      <c r="C810" s="34"/>
      <c r="D810" s="34"/>
      <c r="F810" s="33"/>
    </row>
    <row r="811">
      <c r="A811" s="33"/>
      <c r="B811" s="33"/>
      <c r="C811" s="34"/>
      <c r="D811" s="34"/>
      <c r="F811" s="33"/>
    </row>
    <row r="812">
      <c r="A812" s="33"/>
      <c r="B812" s="33"/>
      <c r="C812" s="34"/>
      <c r="D812" s="34"/>
      <c r="F812" s="33"/>
    </row>
    <row r="813">
      <c r="A813" s="33"/>
      <c r="B813" s="33"/>
      <c r="C813" s="34"/>
      <c r="D813" s="34"/>
      <c r="F813" s="33"/>
    </row>
    <row r="814">
      <c r="A814" s="33"/>
      <c r="B814" s="33"/>
      <c r="C814" s="34"/>
      <c r="D814" s="34"/>
      <c r="F814" s="33"/>
    </row>
    <row r="815">
      <c r="A815" s="33"/>
      <c r="B815" s="33"/>
      <c r="C815" s="34"/>
      <c r="D815" s="34"/>
      <c r="F815" s="33"/>
    </row>
    <row r="816">
      <c r="A816" s="33"/>
      <c r="B816" s="33"/>
      <c r="C816" s="34"/>
      <c r="D816" s="34"/>
      <c r="F816" s="33"/>
    </row>
    <row r="817">
      <c r="A817" s="33"/>
      <c r="B817" s="33"/>
      <c r="C817" s="34"/>
      <c r="D817" s="34"/>
      <c r="F817" s="33"/>
    </row>
    <row r="818">
      <c r="A818" s="33"/>
      <c r="B818" s="33"/>
      <c r="C818" s="34"/>
      <c r="D818" s="34"/>
      <c r="F818" s="33"/>
    </row>
    <row r="819">
      <c r="A819" s="33"/>
      <c r="B819" s="33"/>
      <c r="C819" s="34"/>
      <c r="D819" s="34"/>
      <c r="F819" s="33"/>
    </row>
    <row r="820">
      <c r="A820" s="33"/>
      <c r="B820" s="33"/>
      <c r="C820" s="34"/>
      <c r="D820" s="34"/>
      <c r="F820" s="33"/>
    </row>
    <row r="821">
      <c r="A821" s="33"/>
      <c r="B821" s="33"/>
      <c r="C821" s="34"/>
      <c r="D821" s="34"/>
      <c r="F821" s="33"/>
    </row>
    <row r="822">
      <c r="A822" s="33"/>
      <c r="B822" s="33"/>
      <c r="C822" s="34"/>
      <c r="D822" s="34"/>
      <c r="F822" s="33"/>
    </row>
    <row r="823">
      <c r="A823" s="33"/>
      <c r="B823" s="33"/>
      <c r="C823" s="34"/>
      <c r="D823" s="34"/>
      <c r="F823" s="33"/>
    </row>
    <row r="824">
      <c r="A824" s="33"/>
      <c r="B824" s="33"/>
      <c r="C824" s="34"/>
      <c r="D824" s="34"/>
      <c r="F824" s="33"/>
    </row>
    <row r="825">
      <c r="A825" s="33"/>
      <c r="B825" s="33"/>
      <c r="C825" s="34"/>
      <c r="D825" s="34"/>
      <c r="F825" s="33"/>
    </row>
    <row r="826">
      <c r="A826" s="33"/>
      <c r="B826" s="33"/>
      <c r="C826" s="34"/>
      <c r="D826" s="34"/>
      <c r="F826" s="33"/>
    </row>
    <row r="827">
      <c r="A827" s="33"/>
      <c r="B827" s="33"/>
      <c r="C827" s="34"/>
      <c r="D827" s="34"/>
      <c r="F827" s="33"/>
    </row>
    <row r="828">
      <c r="A828" s="33"/>
      <c r="B828" s="33"/>
      <c r="C828" s="34"/>
      <c r="D828" s="34"/>
      <c r="F828" s="33"/>
    </row>
    <row r="829">
      <c r="A829" s="33"/>
      <c r="B829" s="33"/>
      <c r="C829" s="34"/>
      <c r="D829" s="34"/>
      <c r="F829" s="33"/>
    </row>
    <row r="830">
      <c r="A830" s="33"/>
      <c r="B830" s="33"/>
      <c r="C830" s="34"/>
      <c r="D830" s="34"/>
      <c r="F830" s="33"/>
    </row>
    <row r="831">
      <c r="A831" s="33"/>
      <c r="B831" s="33"/>
      <c r="C831" s="34"/>
      <c r="D831" s="34"/>
      <c r="F831" s="33"/>
    </row>
    <row r="832">
      <c r="A832" s="33"/>
      <c r="B832" s="33"/>
      <c r="C832" s="34"/>
      <c r="D832" s="34"/>
      <c r="F832" s="33"/>
    </row>
    <row r="833">
      <c r="A833" s="33"/>
      <c r="B833" s="33"/>
      <c r="C833" s="34"/>
      <c r="D833" s="34"/>
      <c r="F833" s="33"/>
    </row>
    <row r="834">
      <c r="A834" s="33"/>
      <c r="B834" s="33"/>
      <c r="C834" s="34"/>
      <c r="D834" s="34"/>
      <c r="F834" s="33"/>
    </row>
    <row r="835">
      <c r="A835" s="33"/>
      <c r="B835" s="33"/>
      <c r="C835" s="34"/>
      <c r="D835" s="34"/>
      <c r="F835" s="33"/>
    </row>
    <row r="836">
      <c r="A836" s="33"/>
      <c r="B836" s="33"/>
      <c r="C836" s="34"/>
      <c r="D836" s="34"/>
      <c r="F836" s="33"/>
    </row>
    <row r="837">
      <c r="A837" s="33"/>
      <c r="B837" s="33"/>
      <c r="C837" s="34"/>
      <c r="D837" s="34"/>
      <c r="F837" s="33"/>
    </row>
    <row r="838">
      <c r="A838" s="33"/>
      <c r="B838" s="33"/>
      <c r="C838" s="34"/>
      <c r="D838" s="34"/>
      <c r="F838" s="33"/>
    </row>
    <row r="839">
      <c r="A839" s="33"/>
      <c r="B839" s="33"/>
      <c r="C839" s="34"/>
      <c r="D839" s="34"/>
      <c r="F839" s="33"/>
    </row>
    <row r="840">
      <c r="A840" s="33"/>
      <c r="B840" s="33"/>
      <c r="C840" s="34"/>
      <c r="D840" s="34"/>
      <c r="F840" s="33"/>
    </row>
    <row r="841">
      <c r="A841" s="33"/>
      <c r="B841" s="33"/>
      <c r="C841" s="34"/>
      <c r="D841" s="34"/>
      <c r="F841" s="33"/>
    </row>
    <row r="842">
      <c r="A842" s="33"/>
      <c r="B842" s="33"/>
      <c r="C842" s="34"/>
      <c r="D842" s="34"/>
      <c r="F842" s="33"/>
    </row>
    <row r="843">
      <c r="A843" s="33"/>
      <c r="B843" s="33"/>
      <c r="C843" s="34"/>
      <c r="D843" s="34"/>
      <c r="F843" s="33"/>
    </row>
    <row r="844">
      <c r="A844" s="33"/>
      <c r="B844" s="33"/>
      <c r="C844" s="34"/>
      <c r="D844" s="34"/>
      <c r="F844" s="33"/>
    </row>
    <row r="845">
      <c r="A845" s="33"/>
      <c r="B845" s="33"/>
      <c r="C845" s="34"/>
      <c r="D845" s="34"/>
      <c r="F845" s="33"/>
    </row>
    <row r="846">
      <c r="A846" s="33"/>
      <c r="B846" s="33"/>
      <c r="C846" s="34"/>
      <c r="D846" s="34"/>
      <c r="F846" s="33"/>
    </row>
    <row r="847">
      <c r="A847" s="33"/>
      <c r="B847" s="33"/>
      <c r="C847" s="34"/>
      <c r="D847" s="34"/>
      <c r="F847" s="33"/>
    </row>
    <row r="848">
      <c r="A848" s="33"/>
      <c r="B848" s="33"/>
      <c r="C848" s="34"/>
      <c r="D848" s="34"/>
      <c r="F848" s="33"/>
    </row>
    <row r="849">
      <c r="A849" s="33"/>
      <c r="B849" s="33"/>
      <c r="C849" s="34"/>
      <c r="D849" s="34"/>
      <c r="F849" s="33"/>
    </row>
    <row r="850">
      <c r="A850" s="33"/>
      <c r="B850" s="33"/>
      <c r="C850" s="34"/>
      <c r="D850" s="34"/>
      <c r="F850" s="33"/>
    </row>
    <row r="851">
      <c r="A851" s="33"/>
      <c r="B851" s="33"/>
      <c r="C851" s="34"/>
      <c r="D851" s="34"/>
      <c r="F851" s="33"/>
    </row>
    <row r="852">
      <c r="A852" s="33"/>
      <c r="B852" s="33"/>
      <c r="C852" s="34"/>
      <c r="D852" s="34"/>
      <c r="F852" s="33"/>
    </row>
    <row r="853">
      <c r="A853" s="33"/>
      <c r="B853" s="33"/>
      <c r="C853" s="34"/>
      <c r="D853" s="34"/>
      <c r="F853" s="33"/>
    </row>
    <row r="854">
      <c r="A854" s="33"/>
      <c r="B854" s="33"/>
      <c r="C854" s="34"/>
      <c r="D854" s="34"/>
      <c r="F854" s="33"/>
    </row>
    <row r="855">
      <c r="A855" s="33"/>
      <c r="B855" s="33"/>
      <c r="C855" s="34"/>
      <c r="D855" s="34"/>
      <c r="F855" s="33"/>
    </row>
    <row r="856">
      <c r="A856" s="33"/>
      <c r="B856" s="33"/>
      <c r="C856" s="34"/>
      <c r="D856" s="34"/>
      <c r="F856" s="33"/>
    </row>
    <row r="857">
      <c r="A857" s="33"/>
      <c r="B857" s="33"/>
      <c r="C857" s="34"/>
      <c r="D857" s="34"/>
      <c r="F857" s="33"/>
    </row>
    <row r="858">
      <c r="A858" s="33"/>
      <c r="B858" s="33"/>
      <c r="C858" s="34"/>
      <c r="D858" s="34"/>
      <c r="F858" s="33"/>
    </row>
    <row r="859">
      <c r="A859" s="33"/>
      <c r="B859" s="33"/>
      <c r="C859" s="34"/>
      <c r="D859" s="34"/>
      <c r="F859" s="33"/>
    </row>
    <row r="860">
      <c r="A860" s="33"/>
      <c r="B860" s="33"/>
      <c r="C860" s="34"/>
      <c r="D860" s="34"/>
      <c r="F860" s="33"/>
    </row>
    <row r="861">
      <c r="A861" s="33"/>
      <c r="B861" s="33"/>
      <c r="C861" s="34"/>
      <c r="D861" s="34"/>
      <c r="F861" s="33"/>
    </row>
    <row r="862">
      <c r="A862" s="33"/>
      <c r="B862" s="33"/>
      <c r="C862" s="34"/>
      <c r="D862" s="34"/>
      <c r="F862" s="33"/>
    </row>
    <row r="863">
      <c r="A863" s="33"/>
      <c r="B863" s="33"/>
      <c r="C863" s="34"/>
      <c r="D863" s="34"/>
      <c r="F863" s="33"/>
    </row>
    <row r="864">
      <c r="A864" s="33"/>
      <c r="B864" s="33"/>
      <c r="C864" s="34"/>
      <c r="D864" s="34"/>
      <c r="F864" s="33"/>
    </row>
    <row r="865">
      <c r="A865" s="33"/>
      <c r="B865" s="33"/>
      <c r="C865" s="34"/>
      <c r="D865" s="34"/>
      <c r="F865" s="33"/>
    </row>
    <row r="866">
      <c r="A866" s="33"/>
      <c r="B866" s="33"/>
      <c r="C866" s="34"/>
      <c r="D866" s="34"/>
      <c r="F866" s="33"/>
    </row>
    <row r="867">
      <c r="A867" s="33"/>
      <c r="B867" s="33"/>
      <c r="C867" s="34"/>
      <c r="D867" s="34"/>
      <c r="F867" s="33"/>
    </row>
    <row r="868">
      <c r="A868" s="33"/>
      <c r="B868" s="33"/>
      <c r="C868" s="34"/>
      <c r="D868" s="34"/>
      <c r="F868" s="33"/>
    </row>
    <row r="869">
      <c r="A869" s="33"/>
      <c r="B869" s="33"/>
      <c r="C869" s="34"/>
      <c r="D869" s="34"/>
      <c r="F869" s="33"/>
    </row>
    <row r="870">
      <c r="A870" s="33"/>
      <c r="B870" s="33"/>
      <c r="C870" s="34"/>
      <c r="D870" s="34"/>
      <c r="F870" s="33"/>
    </row>
    <row r="871">
      <c r="A871" s="33"/>
      <c r="B871" s="33"/>
      <c r="C871" s="34"/>
      <c r="D871" s="34"/>
      <c r="F871" s="33"/>
    </row>
    <row r="872">
      <c r="A872" s="33"/>
      <c r="B872" s="33"/>
      <c r="C872" s="34"/>
      <c r="D872" s="34"/>
      <c r="F872" s="33"/>
    </row>
    <row r="873">
      <c r="A873" s="33"/>
      <c r="B873" s="33"/>
      <c r="C873" s="34"/>
      <c r="D873" s="34"/>
      <c r="F873" s="33"/>
    </row>
    <row r="874">
      <c r="A874" s="33"/>
      <c r="B874" s="33"/>
      <c r="C874" s="34"/>
      <c r="D874" s="34"/>
      <c r="F874" s="33"/>
    </row>
    <row r="875">
      <c r="A875" s="33"/>
      <c r="B875" s="33"/>
      <c r="C875" s="34"/>
      <c r="D875" s="34"/>
      <c r="F875" s="33"/>
    </row>
    <row r="876">
      <c r="A876" s="33"/>
      <c r="B876" s="33"/>
      <c r="C876" s="34"/>
      <c r="D876" s="34"/>
      <c r="F876" s="33"/>
    </row>
    <row r="877">
      <c r="A877" s="33"/>
      <c r="B877" s="33"/>
      <c r="C877" s="34"/>
      <c r="D877" s="34"/>
      <c r="F877" s="33"/>
    </row>
    <row r="878">
      <c r="A878" s="33"/>
      <c r="B878" s="33"/>
      <c r="C878" s="34"/>
      <c r="D878" s="34"/>
      <c r="F878" s="33"/>
    </row>
    <row r="879">
      <c r="A879" s="33"/>
      <c r="B879" s="33"/>
      <c r="C879" s="34"/>
      <c r="D879" s="34"/>
      <c r="F879" s="33"/>
    </row>
    <row r="880">
      <c r="A880" s="33"/>
      <c r="B880" s="33"/>
      <c r="C880" s="34"/>
      <c r="D880" s="34"/>
      <c r="F880" s="33"/>
    </row>
    <row r="881">
      <c r="A881" s="33"/>
      <c r="B881" s="33"/>
      <c r="C881" s="34"/>
      <c r="D881" s="34"/>
      <c r="F881" s="33"/>
    </row>
    <row r="882">
      <c r="A882" s="33"/>
      <c r="B882" s="33"/>
      <c r="C882" s="34"/>
      <c r="D882" s="34"/>
      <c r="F882" s="33"/>
    </row>
    <row r="883">
      <c r="A883" s="33"/>
      <c r="B883" s="33"/>
      <c r="C883" s="34"/>
      <c r="D883" s="34"/>
      <c r="F883" s="33"/>
    </row>
    <row r="884">
      <c r="A884" s="33"/>
      <c r="B884" s="33"/>
      <c r="C884" s="34"/>
      <c r="D884" s="34"/>
      <c r="F884" s="33"/>
    </row>
    <row r="885">
      <c r="A885" s="33"/>
      <c r="B885" s="33"/>
      <c r="C885" s="34"/>
      <c r="D885" s="34"/>
      <c r="F885" s="33"/>
    </row>
    <row r="886">
      <c r="A886" s="33"/>
      <c r="B886" s="33"/>
      <c r="C886" s="34"/>
      <c r="D886" s="34"/>
      <c r="F886" s="33"/>
    </row>
    <row r="887">
      <c r="A887" s="33"/>
      <c r="B887" s="33"/>
      <c r="C887" s="34"/>
      <c r="D887" s="34"/>
      <c r="F887" s="33"/>
    </row>
    <row r="888">
      <c r="A888" s="33"/>
      <c r="B888" s="33"/>
      <c r="C888" s="34"/>
      <c r="D888" s="34"/>
      <c r="F888" s="33"/>
    </row>
    <row r="889">
      <c r="A889" s="33"/>
      <c r="B889" s="33"/>
      <c r="C889" s="34"/>
      <c r="D889" s="34"/>
      <c r="F889" s="33"/>
    </row>
    <row r="890">
      <c r="A890" s="33"/>
      <c r="B890" s="33"/>
      <c r="C890" s="34"/>
      <c r="D890" s="34"/>
      <c r="F890" s="33"/>
    </row>
    <row r="891">
      <c r="A891" s="33"/>
      <c r="B891" s="33"/>
      <c r="C891" s="34"/>
      <c r="D891" s="34"/>
      <c r="F891" s="33"/>
    </row>
    <row r="892">
      <c r="A892" s="33"/>
      <c r="B892" s="33"/>
      <c r="C892" s="34"/>
      <c r="D892" s="34"/>
      <c r="F892" s="33"/>
    </row>
    <row r="893">
      <c r="A893" s="33"/>
      <c r="B893" s="33"/>
      <c r="C893" s="34"/>
      <c r="D893" s="34"/>
      <c r="F893" s="33"/>
    </row>
    <row r="894">
      <c r="A894" s="33"/>
      <c r="B894" s="33"/>
      <c r="C894" s="34"/>
      <c r="D894" s="34"/>
      <c r="F894" s="33"/>
    </row>
    <row r="895">
      <c r="A895" s="33"/>
      <c r="B895" s="33"/>
      <c r="C895" s="34"/>
      <c r="D895" s="34"/>
      <c r="F895" s="33"/>
    </row>
    <row r="896">
      <c r="A896" s="33"/>
      <c r="B896" s="33"/>
      <c r="C896" s="34"/>
      <c r="D896" s="34"/>
      <c r="F896" s="33"/>
    </row>
    <row r="897">
      <c r="A897" s="33"/>
      <c r="B897" s="33"/>
      <c r="C897" s="34"/>
      <c r="D897" s="34"/>
      <c r="F897" s="33"/>
    </row>
    <row r="898">
      <c r="A898" s="33"/>
      <c r="B898" s="33"/>
      <c r="C898" s="34"/>
      <c r="D898" s="34"/>
      <c r="F898" s="33"/>
    </row>
    <row r="899">
      <c r="A899" s="33"/>
      <c r="B899" s="33"/>
      <c r="C899" s="34"/>
      <c r="D899" s="34"/>
      <c r="F899" s="33"/>
    </row>
    <row r="900">
      <c r="A900" s="33"/>
      <c r="B900" s="33"/>
      <c r="C900" s="34"/>
      <c r="D900" s="34"/>
      <c r="F900" s="33"/>
    </row>
    <row r="901">
      <c r="A901" s="33"/>
      <c r="B901" s="33"/>
      <c r="C901" s="34"/>
      <c r="D901" s="34"/>
      <c r="F901" s="33"/>
    </row>
    <row r="902">
      <c r="A902" s="33"/>
      <c r="B902" s="33"/>
      <c r="C902" s="34"/>
      <c r="D902" s="34"/>
      <c r="F902" s="33"/>
    </row>
    <row r="903">
      <c r="A903" s="33"/>
      <c r="B903" s="33"/>
      <c r="C903" s="34"/>
      <c r="D903" s="34"/>
      <c r="F903" s="33"/>
    </row>
    <row r="904">
      <c r="A904" s="33"/>
      <c r="B904" s="33"/>
      <c r="C904" s="34"/>
      <c r="D904" s="34"/>
      <c r="F904" s="33"/>
    </row>
    <row r="905">
      <c r="A905" s="33"/>
      <c r="B905" s="33"/>
      <c r="C905" s="34"/>
      <c r="D905" s="34"/>
      <c r="F905" s="33"/>
    </row>
    <row r="906">
      <c r="A906" s="33"/>
      <c r="B906" s="33"/>
      <c r="C906" s="34"/>
      <c r="D906" s="34"/>
      <c r="F906" s="33"/>
    </row>
    <row r="907">
      <c r="A907" s="33"/>
      <c r="B907" s="33"/>
      <c r="C907" s="34"/>
      <c r="D907" s="34"/>
      <c r="F907" s="33"/>
    </row>
    <row r="908">
      <c r="A908" s="33"/>
      <c r="B908" s="33"/>
      <c r="C908" s="34"/>
      <c r="D908" s="34"/>
      <c r="F908" s="33"/>
    </row>
    <row r="909">
      <c r="A909" s="33"/>
      <c r="B909" s="33"/>
      <c r="C909" s="34"/>
      <c r="D909" s="34"/>
      <c r="F909" s="33"/>
    </row>
    <row r="910">
      <c r="A910" s="33"/>
      <c r="B910" s="33"/>
      <c r="C910" s="34"/>
      <c r="D910" s="34"/>
      <c r="F910" s="33"/>
    </row>
    <row r="911">
      <c r="A911" s="33"/>
      <c r="B911" s="33"/>
      <c r="C911" s="34"/>
      <c r="D911" s="34"/>
      <c r="F911" s="33"/>
    </row>
    <row r="912">
      <c r="A912" s="33"/>
      <c r="B912" s="33"/>
      <c r="C912" s="34"/>
      <c r="D912" s="34"/>
      <c r="F912" s="33"/>
    </row>
    <row r="913">
      <c r="A913" s="33"/>
      <c r="B913" s="33"/>
      <c r="C913" s="34"/>
      <c r="D913" s="34"/>
      <c r="F913" s="33"/>
    </row>
    <row r="914">
      <c r="A914" s="33"/>
      <c r="B914" s="33"/>
      <c r="C914" s="34"/>
      <c r="D914" s="34"/>
      <c r="F914" s="33"/>
    </row>
    <row r="915">
      <c r="A915" s="33"/>
      <c r="B915" s="33"/>
      <c r="C915" s="34"/>
      <c r="D915" s="34"/>
      <c r="F915" s="33"/>
    </row>
    <row r="916">
      <c r="A916" s="33"/>
      <c r="B916" s="33"/>
      <c r="C916" s="34"/>
      <c r="D916" s="34"/>
      <c r="F916" s="33"/>
    </row>
    <row r="917">
      <c r="A917" s="33"/>
      <c r="B917" s="33"/>
      <c r="C917" s="34"/>
      <c r="D917" s="34"/>
      <c r="F917" s="33"/>
    </row>
    <row r="918">
      <c r="A918" s="33"/>
      <c r="B918" s="33"/>
      <c r="C918" s="34"/>
      <c r="D918" s="34"/>
      <c r="F918" s="33"/>
    </row>
    <row r="919">
      <c r="A919" s="33"/>
      <c r="B919" s="33"/>
      <c r="C919" s="34"/>
      <c r="D919" s="34"/>
      <c r="F919" s="33"/>
    </row>
    <row r="920">
      <c r="A920" s="33"/>
      <c r="B920" s="33"/>
      <c r="C920" s="34"/>
      <c r="D920" s="34"/>
      <c r="F920" s="33"/>
    </row>
    <row r="921">
      <c r="A921" s="33"/>
      <c r="B921" s="33"/>
      <c r="C921" s="34"/>
      <c r="D921" s="34"/>
      <c r="F921" s="33"/>
    </row>
    <row r="922">
      <c r="A922" s="33"/>
      <c r="B922" s="33"/>
      <c r="C922" s="34"/>
      <c r="D922" s="34"/>
      <c r="F922" s="33"/>
    </row>
    <row r="923">
      <c r="A923" s="33"/>
      <c r="B923" s="33"/>
      <c r="C923" s="34"/>
      <c r="D923" s="34"/>
      <c r="F923" s="33"/>
    </row>
    <row r="924">
      <c r="A924" s="33"/>
      <c r="B924" s="33"/>
      <c r="C924" s="34"/>
      <c r="D924" s="34"/>
      <c r="F924" s="33"/>
    </row>
    <row r="925">
      <c r="A925" s="33"/>
      <c r="B925" s="33"/>
      <c r="C925" s="34"/>
      <c r="D925" s="34"/>
      <c r="F925" s="33"/>
    </row>
    <row r="926">
      <c r="A926" s="33"/>
      <c r="B926" s="33"/>
      <c r="C926" s="34"/>
      <c r="D926" s="34"/>
      <c r="F926" s="33"/>
    </row>
    <row r="927">
      <c r="A927" s="33"/>
      <c r="B927" s="33"/>
      <c r="C927" s="34"/>
      <c r="D927" s="34"/>
      <c r="F927" s="33"/>
    </row>
    <row r="928">
      <c r="A928" s="33"/>
      <c r="B928" s="33"/>
      <c r="C928" s="34"/>
      <c r="D928" s="34"/>
      <c r="F928" s="33"/>
    </row>
    <row r="929">
      <c r="A929" s="33"/>
      <c r="B929" s="33"/>
      <c r="C929" s="34"/>
      <c r="D929" s="34"/>
      <c r="F929" s="33"/>
    </row>
    <row r="930">
      <c r="A930" s="33"/>
      <c r="B930" s="33"/>
      <c r="C930" s="34"/>
      <c r="D930" s="34"/>
      <c r="F930" s="33"/>
    </row>
    <row r="931">
      <c r="A931" s="33"/>
      <c r="B931" s="33"/>
      <c r="C931" s="34"/>
      <c r="D931" s="34"/>
      <c r="F931" s="33"/>
    </row>
    <row r="932">
      <c r="A932" s="33"/>
      <c r="B932" s="33"/>
      <c r="C932" s="34"/>
      <c r="D932" s="34"/>
      <c r="F932" s="33"/>
    </row>
    <row r="933">
      <c r="A933" s="33"/>
      <c r="B933" s="33"/>
      <c r="C933" s="34"/>
      <c r="D933" s="34"/>
      <c r="F933" s="33"/>
    </row>
    <row r="934">
      <c r="A934" s="33"/>
      <c r="B934" s="33"/>
      <c r="C934" s="34"/>
      <c r="D934" s="34"/>
      <c r="F934" s="33"/>
    </row>
    <row r="935">
      <c r="A935" s="33"/>
      <c r="B935" s="33"/>
      <c r="C935" s="34"/>
      <c r="D935" s="34"/>
      <c r="F935" s="33"/>
    </row>
    <row r="936">
      <c r="A936" s="33"/>
      <c r="B936" s="33"/>
      <c r="C936" s="34"/>
      <c r="D936" s="34"/>
      <c r="F936" s="33"/>
    </row>
    <row r="937">
      <c r="A937" s="33"/>
      <c r="B937" s="33"/>
      <c r="C937" s="34"/>
      <c r="D937" s="34"/>
      <c r="F937" s="33"/>
    </row>
    <row r="938">
      <c r="A938" s="33"/>
      <c r="B938" s="33"/>
      <c r="C938" s="34"/>
      <c r="D938" s="34"/>
      <c r="F938" s="33"/>
    </row>
    <row r="939">
      <c r="A939" s="33"/>
      <c r="B939" s="33"/>
      <c r="C939" s="34"/>
      <c r="D939" s="34"/>
      <c r="F939" s="33"/>
    </row>
    <row r="940">
      <c r="A940" s="33"/>
      <c r="B940" s="33"/>
      <c r="C940" s="34"/>
      <c r="D940" s="34"/>
      <c r="F940" s="33"/>
    </row>
    <row r="941">
      <c r="A941" s="33"/>
      <c r="B941" s="33"/>
      <c r="C941" s="34"/>
      <c r="D941" s="34"/>
      <c r="F941" s="33"/>
    </row>
    <row r="942">
      <c r="A942" s="33"/>
      <c r="B942" s="33"/>
      <c r="C942" s="34"/>
      <c r="D942" s="34"/>
      <c r="F942" s="33"/>
    </row>
    <row r="943">
      <c r="A943" s="33"/>
      <c r="B943" s="33"/>
      <c r="C943" s="34"/>
      <c r="D943" s="34"/>
      <c r="F943" s="33"/>
    </row>
    <row r="944">
      <c r="A944" s="33"/>
      <c r="B944" s="33"/>
      <c r="C944" s="34"/>
      <c r="D944" s="34"/>
      <c r="F944" s="33"/>
    </row>
    <row r="945">
      <c r="A945" s="33"/>
      <c r="B945" s="33"/>
      <c r="C945" s="34"/>
      <c r="D945" s="34"/>
      <c r="F945" s="33"/>
    </row>
    <row r="946">
      <c r="A946" s="33"/>
      <c r="B946" s="33"/>
      <c r="C946" s="34"/>
      <c r="D946" s="34"/>
      <c r="F946" s="33"/>
    </row>
    <row r="947">
      <c r="A947" s="33"/>
      <c r="B947" s="33"/>
      <c r="C947" s="34"/>
      <c r="D947" s="34"/>
      <c r="F947" s="33"/>
    </row>
    <row r="948">
      <c r="A948" s="33"/>
      <c r="B948" s="33"/>
      <c r="C948" s="34"/>
      <c r="D948" s="34"/>
      <c r="F948" s="33"/>
    </row>
    <row r="949">
      <c r="A949" s="33"/>
      <c r="B949" s="33"/>
      <c r="C949" s="34"/>
      <c r="D949" s="34"/>
      <c r="F949" s="33"/>
    </row>
    <row r="950">
      <c r="A950" s="33"/>
      <c r="B950" s="33"/>
      <c r="C950" s="34"/>
      <c r="D950" s="34"/>
      <c r="F950" s="33"/>
    </row>
    <row r="951">
      <c r="A951" s="33"/>
      <c r="B951" s="33"/>
      <c r="C951" s="34"/>
      <c r="D951" s="34"/>
      <c r="F951" s="33"/>
    </row>
    <row r="952">
      <c r="A952" s="33"/>
      <c r="B952" s="33"/>
      <c r="C952" s="34"/>
      <c r="D952" s="34"/>
      <c r="F952" s="33"/>
    </row>
    <row r="953">
      <c r="A953" s="33"/>
      <c r="B953" s="33"/>
      <c r="C953" s="34"/>
      <c r="D953" s="34"/>
      <c r="F953" s="33"/>
    </row>
    <row r="954">
      <c r="A954" s="33"/>
      <c r="B954" s="33"/>
      <c r="C954" s="34"/>
      <c r="D954" s="34"/>
      <c r="F954" s="33"/>
    </row>
    <row r="955">
      <c r="A955" s="33"/>
      <c r="B955" s="33"/>
      <c r="C955" s="34"/>
      <c r="D955" s="34"/>
      <c r="F955" s="33"/>
    </row>
    <row r="956">
      <c r="A956" s="33"/>
      <c r="B956" s="33"/>
      <c r="C956" s="34"/>
      <c r="D956" s="34"/>
      <c r="F956" s="33"/>
    </row>
    <row r="957">
      <c r="A957" s="33"/>
      <c r="B957" s="33"/>
      <c r="C957" s="34"/>
      <c r="D957" s="34"/>
      <c r="F957" s="33"/>
    </row>
    <row r="958">
      <c r="A958" s="33"/>
      <c r="B958" s="33"/>
      <c r="C958" s="34"/>
      <c r="D958" s="34"/>
      <c r="F958" s="33"/>
    </row>
    <row r="959">
      <c r="A959" s="33"/>
      <c r="B959" s="33"/>
      <c r="C959" s="34"/>
      <c r="D959" s="34"/>
      <c r="F959" s="33"/>
    </row>
    <row r="960">
      <c r="A960" s="33"/>
      <c r="B960" s="33"/>
      <c r="C960" s="34"/>
      <c r="D960" s="34"/>
      <c r="F960" s="33"/>
    </row>
    <row r="961">
      <c r="A961" s="33"/>
      <c r="B961" s="33"/>
      <c r="C961" s="34"/>
      <c r="D961" s="34"/>
      <c r="F961" s="33"/>
    </row>
    <row r="962">
      <c r="A962" s="33"/>
      <c r="B962" s="33"/>
      <c r="C962" s="34"/>
      <c r="D962" s="34"/>
      <c r="F962" s="33"/>
    </row>
    <row r="963">
      <c r="A963" s="33"/>
      <c r="B963" s="33"/>
      <c r="C963" s="34"/>
      <c r="D963" s="34"/>
      <c r="F963" s="33"/>
    </row>
    <row r="964">
      <c r="A964" s="33"/>
      <c r="B964" s="33"/>
      <c r="C964" s="34"/>
      <c r="D964" s="34"/>
      <c r="F964" s="33"/>
    </row>
    <row r="965">
      <c r="A965" s="33"/>
      <c r="B965" s="33"/>
      <c r="C965" s="34"/>
      <c r="D965" s="34"/>
      <c r="F965" s="33"/>
    </row>
    <row r="966">
      <c r="A966" s="33"/>
      <c r="B966" s="33"/>
      <c r="C966" s="34"/>
      <c r="D966" s="34"/>
      <c r="F966" s="33"/>
    </row>
    <row r="967">
      <c r="A967" s="33"/>
      <c r="B967" s="33"/>
      <c r="C967" s="34"/>
      <c r="D967" s="34"/>
      <c r="F967" s="33"/>
    </row>
    <row r="968">
      <c r="A968" s="33"/>
      <c r="B968" s="33"/>
      <c r="C968" s="34"/>
      <c r="D968" s="34"/>
      <c r="F968" s="33"/>
    </row>
    <row r="969">
      <c r="A969" s="33"/>
      <c r="B969" s="33"/>
      <c r="C969" s="34"/>
      <c r="D969" s="34"/>
      <c r="F969" s="33"/>
    </row>
    <row r="970">
      <c r="A970" s="33"/>
      <c r="B970" s="33"/>
      <c r="C970" s="34"/>
      <c r="D970" s="34"/>
      <c r="F970" s="33"/>
    </row>
    <row r="971">
      <c r="A971" s="33"/>
      <c r="B971" s="33"/>
      <c r="C971" s="34"/>
      <c r="D971" s="34"/>
      <c r="F971" s="33"/>
    </row>
    <row r="972">
      <c r="A972" s="33"/>
      <c r="B972" s="33"/>
      <c r="C972" s="34"/>
      <c r="D972" s="34"/>
      <c r="F972" s="33"/>
    </row>
    <row r="973">
      <c r="A973" s="33"/>
      <c r="B973" s="33"/>
      <c r="C973" s="34"/>
      <c r="D973" s="34"/>
      <c r="F973" s="33"/>
    </row>
    <row r="974">
      <c r="A974" s="33"/>
      <c r="B974" s="33"/>
      <c r="C974" s="34"/>
      <c r="D974" s="34"/>
      <c r="F974" s="33"/>
    </row>
    <row r="975">
      <c r="A975" s="33"/>
      <c r="B975" s="33"/>
      <c r="C975" s="34"/>
      <c r="D975" s="34"/>
      <c r="F975" s="33"/>
    </row>
    <row r="976">
      <c r="A976" s="33"/>
      <c r="B976" s="33"/>
      <c r="C976" s="34"/>
      <c r="D976" s="34"/>
      <c r="F976" s="33"/>
    </row>
    <row r="977">
      <c r="A977" s="33"/>
      <c r="B977" s="33"/>
      <c r="C977" s="34"/>
      <c r="D977" s="34"/>
      <c r="F977" s="33"/>
    </row>
    <row r="978">
      <c r="A978" s="33"/>
      <c r="B978" s="33"/>
      <c r="C978" s="34"/>
      <c r="D978" s="34"/>
      <c r="F978" s="33"/>
    </row>
    <row r="979">
      <c r="A979" s="33"/>
      <c r="B979" s="33"/>
      <c r="C979" s="34"/>
      <c r="D979" s="34"/>
      <c r="F979" s="33"/>
    </row>
    <row r="980">
      <c r="A980" s="33"/>
      <c r="B980" s="33"/>
      <c r="C980" s="34"/>
      <c r="D980" s="34"/>
      <c r="F980" s="33"/>
    </row>
    <row r="981">
      <c r="A981" s="33"/>
      <c r="B981" s="33"/>
      <c r="C981" s="34"/>
      <c r="D981" s="34"/>
      <c r="F981" s="33"/>
    </row>
    <row r="982">
      <c r="A982" s="33"/>
      <c r="B982" s="33"/>
      <c r="C982" s="34"/>
      <c r="D982" s="34"/>
      <c r="F982" s="33"/>
    </row>
    <row r="983">
      <c r="A983" s="33"/>
      <c r="B983" s="33"/>
      <c r="C983" s="34"/>
      <c r="D983" s="34"/>
      <c r="F983" s="33"/>
    </row>
    <row r="984">
      <c r="A984" s="33"/>
      <c r="B984" s="33"/>
      <c r="C984" s="34"/>
      <c r="D984" s="34"/>
      <c r="F984" s="33"/>
    </row>
    <row r="985">
      <c r="A985" s="33"/>
      <c r="B985" s="33"/>
      <c r="C985" s="34"/>
      <c r="D985" s="34"/>
      <c r="F985" s="33"/>
    </row>
    <row r="986">
      <c r="A986" s="33"/>
      <c r="B986" s="33"/>
      <c r="C986" s="34"/>
      <c r="D986" s="34"/>
      <c r="F986" s="33"/>
    </row>
    <row r="987">
      <c r="A987" s="33"/>
      <c r="B987" s="33"/>
      <c r="C987" s="34"/>
      <c r="D987" s="34"/>
      <c r="F987" s="33"/>
    </row>
    <row r="988">
      <c r="A988" s="33"/>
      <c r="B988" s="33"/>
      <c r="C988" s="34"/>
      <c r="D988" s="34"/>
      <c r="F988" s="33"/>
    </row>
    <row r="989">
      <c r="A989" s="33"/>
      <c r="B989" s="33"/>
      <c r="C989" s="34"/>
      <c r="D989" s="34"/>
      <c r="F989" s="33"/>
    </row>
    <row r="990">
      <c r="A990" s="33"/>
      <c r="B990" s="33"/>
      <c r="C990" s="34"/>
      <c r="D990" s="34"/>
      <c r="F990" s="33"/>
    </row>
    <row r="991">
      <c r="A991" s="33"/>
      <c r="B991" s="33"/>
      <c r="C991" s="34"/>
      <c r="D991" s="34"/>
      <c r="F991" s="33"/>
    </row>
    <row r="992">
      <c r="A992" s="33"/>
      <c r="B992" s="33"/>
      <c r="C992" s="34"/>
      <c r="D992" s="34"/>
      <c r="F992" s="33"/>
    </row>
    <row r="993">
      <c r="A993" s="33"/>
      <c r="B993" s="33"/>
      <c r="C993" s="34"/>
      <c r="D993" s="34"/>
      <c r="F993" s="33"/>
    </row>
    <row r="994">
      <c r="A994" s="33"/>
      <c r="B994" s="33"/>
      <c r="C994" s="34"/>
      <c r="D994" s="34"/>
      <c r="F994" s="33"/>
    </row>
    <row r="995">
      <c r="A995" s="33"/>
      <c r="B995" s="33"/>
      <c r="C995" s="34"/>
      <c r="D995" s="34"/>
      <c r="F995" s="33"/>
    </row>
    <row r="996">
      <c r="A996" s="33"/>
      <c r="B996" s="33"/>
      <c r="C996" s="34"/>
      <c r="D996" s="34"/>
      <c r="F996" s="33"/>
    </row>
    <row r="997">
      <c r="A997" s="33"/>
      <c r="B997" s="33"/>
      <c r="C997" s="34"/>
      <c r="D997" s="34"/>
      <c r="F997" s="33"/>
    </row>
    <row r="998">
      <c r="A998" s="33"/>
      <c r="B998" s="33"/>
      <c r="C998" s="34"/>
      <c r="D998" s="34"/>
      <c r="F998" s="33"/>
    </row>
    <row r="999">
      <c r="A999" s="33"/>
      <c r="B999" s="33"/>
      <c r="C999" s="34"/>
      <c r="D999" s="34"/>
      <c r="F999" s="33"/>
    </row>
    <row r="1000">
      <c r="A1000" s="33"/>
      <c r="B1000" s="33"/>
      <c r="C1000" s="34"/>
      <c r="D1000" s="34"/>
      <c r="F1000" s="3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0" customHeight="1">
      <c r="A1" s="8" t="s">
        <v>466</v>
      </c>
      <c r="B1" s="8" t="s">
        <v>24</v>
      </c>
      <c r="C1" s="27" t="s">
        <v>464</v>
      </c>
      <c r="D1" s="27" t="s">
        <v>465</v>
      </c>
      <c r="F1" s="15"/>
      <c r="G1" s="15"/>
      <c r="H1" s="18"/>
      <c r="I1" s="18"/>
    </row>
    <row r="2" ht="15.0" customHeight="1">
      <c r="A2" s="25">
        <v>1.0</v>
      </c>
      <c r="B2" s="8" t="s">
        <v>26</v>
      </c>
      <c r="C2" s="27"/>
      <c r="D2" s="27"/>
      <c r="F2" s="23"/>
      <c r="G2" s="23"/>
      <c r="H2" s="23"/>
      <c r="I2" s="23"/>
    </row>
    <row r="3" ht="15.0" customHeight="1">
      <c r="A3" s="25">
        <v>2.0</v>
      </c>
      <c r="B3" s="8" t="s">
        <v>30</v>
      </c>
      <c r="C3" s="27"/>
      <c r="D3" s="27"/>
      <c r="F3" s="23"/>
      <c r="G3" s="23"/>
      <c r="H3" s="23"/>
      <c r="I3" s="23"/>
    </row>
    <row r="4" ht="15.0" customHeight="1">
      <c r="A4" s="25">
        <v>3.0</v>
      </c>
      <c r="B4" s="8" t="s">
        <v>32</v>
      </c>
      <c r="C4" s="27"/>
      <c r="D4" s="27"/>
      <c r="F4" s="23"/>
      <c r="G4" s="23"/>
      <c r="H4" s="23"/>
      <c r="I4" s="23"/>
    </row>
    <row r="5" ht="15.0" customHeight="1">
      <c r="A5" s="25">
        <v>4.0</v>
      </c>
      <c r="B5" s="8" t="s">
        <v>35</v>
      </c>
      <c r="C5" s="27"/>
      <c r="D5" s="27"/>
      <c r="F5" s="23"/>
      <c r="G5" s="23"/>
      <c r="H5" s="23"/>
      <c r="I5" s="23"/>
    </row>
    <row r="6" ht="15.0" customHeight="1">
      <c r="A6" s="25">
        <v>5.0</v>
      </c>
      <c r="B6" s="8" t="s">
        <v>279</v>
      </c>
      <c r="C6" s="27"/>
      <c r="D6" s="27"/>
      <c r="F6" s="23"/>
      <c r="G6" s="23"/>
      <c r="H6" s="23"/>
      <c r="I6" s="23"/>
    </row>
    <row r="7" ht="15.0" customHeight="1">
      <c r="A7" s="25">
        <v>6.0</v>
      </c>
      <c r="B7" s="8" t="s">
        <v>40</v>
      </c>
      <c r="C7" s="27"/>
      <c r="D7" s="27"/>
      <c r="F7" s="23"/>
      <c r="G7" s="23"/>
      <c r="H7" s="23"/>
      <c r="I7" s="23"/>
    </row>
    <row r="8" ht="15.0" customHeight="1">
      <c r="A8" s="25">
        <v>7.0</v>
      </c>
      <c r="B8" s="8" t="s">
        <v>42</v>
      </c>
      <c r="C8" s="27"/>
      <c r="D8" s="27"/>
      <c r="F8" s="23"/>
      <c r="G8" s="23"/>
      <c r="H8" s="23"/>
      <c r="I8" s="23"/>
    </row>
    <row r="9" ht="15.0" customHeight="1">
      <c r="A9" s="25">
        <v>8.0</v>
      </c>
      <c r="B9" s="8" t="s">
        <v>44</v>
      </c>
      <c r="C9" s="27"/>
      <c r="D9" s="27"/>
      <c r="F9" s="23"/>
      <c r="G9" s="23"/>
      <c r="H9" s="23"/>
      <c r="I9" s="23"/>
    </row>
    <row r="10" ht="15.0" customHeight="1">
      <c r="A10" s="28">
        <v>9.0</v>
      </c>
      <c r="B10" s="35" t="s">
        <v>46</v>
      </c>
      <c r="C10" s="27"/>
      <c r="D10" s="27"/>
      <c r="F10" s="23"/>
      <c r="G10" s="23"/>
      <c r="H10" s="23"/>
      <c r="I10" s="23"/>
    </row>
    <row r="11">
      <c r="A11" s="30">
        <v>10.0</v>
      </c>
      <c r="B11" s="36" t="s">
        <v>339</v>
      </c>
      <c r="C11" s="27"/>
      <c r="D11" s="27"/>
      <c r="F11" s="33"/>
      <c r="G11" s="33"/>
    </row>
    <row r="12">
      <c r="A12" s="30">
        <v>11.0</v>
      </c>
      <c r="B12" s="36" t="s">
        <v>49</v>
      </c>
      <c r="C12" s="27"/>
      <c r="D12" s="27"/>
      <c r="F12" s="33"/>
      <c r="G12" s="33"/>
    </row>
    <row r="13">
      <c r="A13" s="33"/>
      <c r="B13" s="33"/>
      <c r="F13" s="33"/>
      <c r="G13" s="33"/>
    </row>
    <row r="14">
      <c r="A14" s="33"/>
      <c r="B14" s="33"/>
      <c r="F14" s="33"/>
      <c r="G14" s="33"/>
    </row>
    <row r="15">
      <c r="A15" s="33"/>
      <c r="B15" s="33"/>
      <c r="F15" s="33"/>
      <c r="G15" s="33"/>
    </row>
    <row r="16">
      <c r="A16" s="33"/>
      <c r="B16" s="33"/>
      <c r="F16" s="33"/>
      <c r="G16" s="33"/>
    </row>
    <row r="17">
      <c r="A17" s="33"/>
      <c r="B17" s="33"/>
      <c r="F17" s="33"/>
      <c r="G17" s="33"/>
    </row>
    <row r="18">
      <c r="A18" s="33"/>
      <c r="B18" s="33"/>
      <c r="F18" s="33"/>
      <c r="G18" s="33"/>
    </row>
    <row r="19">
      <c r="A19" s="33"/>
      <c r="B19" s="33"/>
      <c r="F19" s="33"/>
      <c r="G19" s="33"/>
    </row>
    <row r="20">
      <c r="A20" s="33"/>
      <c r="B20" s="33"/>
      <c r="F20" s="33"/>
      <c r="G20" s="33"/>
    </row>
    <row r="21" ht="15.75" customHeight="1">
      <c r="A21" s="33"/>
      <c r="B21" s="33"/>
      <c r="F21" s="33"/>
      <c r="G21" s="33"/>
    </row>
    <row r="22" ht="15.75" customHeight="1">
      <c r="A22" s="33"/>
      <c r="B22" s="33"/>
      <c r="F22" s="33"/>
      <c r="G22" s="33"/>
    </row>
    <row r="23" ht="15.75" customHeight="1">
      <c r="A23" s="33"/>
      <c r="B23" s="33"/>
      <c r="C23" s="34"/>
      <c r="D23" s="34"/>
      <c r="F23" s="33"/>
      <c r="G23" s="33"/>
    </row>
    <row r="24" ht="15.75" customHeight="1">
      <c r="A24" s="33"/>
      <c r="B24" s="33"/>
      <c r="C24" s="34"/>
      <c r="D24" s="34"/>
      <c r="F24" s="33"/>
      <c r="G24" s="33"/>
    </row>
    <row r="25" ht="15.75" customHeight="1">
      <c r="A25" s="33"/>
      <c r="B25" s="33"/>
      <c r="C25" s="34"/>
      <c r="D25" s="34"/>
      <c r="F25" s="33"/>
      <c r="G25" s="33"/>
    </row>
    <row r="26" ht="15.75" customHeight="1">
      <c r="A26" s="33"/>
      <c r="B26" s="33"/>
      <c r="C26" s="34"/>
      <c r="D26" s="34"/>
      <c r="F26" s="33"/>
      <c r="G26" s="33"/>
    </row>
    <row r="27" ht="15.75" customHeight="1">
      <c r="A27" s="33"/>
      <c r="B27" s="33"/>
      <c r="C27" s="34"/>
      <c r="D27" s="34"/>
      <c r="F27" s="33"/>
      <c r="G27" s="33"/>
    </row>
    <row r="28" ht="15.75" customHeight="1">
      <c r="A28" s="33"/>
      <c r="B28" s="33"/>
      <c r="C28" s="34"/>
      <c r="D28" s="34"/>
      <c r="F28" s="33"/>
      <c r="G28" s="33"/>
    </row>
    <row r="29" ht="15.75" customHeight="1">
      <c r="A29" s="33"/>
      <c r="B29" s="33"/>
      <c r="C29" s="34"/>
      <c r="D29" s="34"/>
      <c r="F29" s="33"/>
      <c r="G29" s="33"/>
    </row>
    <row r="30" ht="15.75" customHeight="1">
      <c r="A30" s="33"/>
      <c r="B30" s="33"/>
      <c r="C30" s="34"/>
      <c r="D30" s="34"/>
      <c r="F30" s="33"/>
      <c r="G30" s="33"/>
    </row>
    <row r="31" ht="15.75" customHeight="1">
      <c r="A31" s="33"/>
      <c r="B31" s="33"/>
      <c r="C31" s="34"/>
      <c r="D31" s="34"/>
      <c r="F31" s="33"/>
      <c r="G31" s="33"/>
    </row>
    <row r="32" ht="15.75" customHeight="1">
      <c r="A32" s="33"/>
      <c r="B32" s="33"/>
      <c r="C32" s="34"/>
      <c r="D32" s="34"/>
      <c r="F32" s="33"/>
      <c r="G32" s="33"/>
    </row>
    <row r="33" ht="15.75" customHeight="1">
      <c r="A33" s="33"/>
      <c r="B33" s="33"/>
      <c r="C33" s="34"/>
      <c r="D33" s="34"/>
      <c r="F33" s="33"/>
      <c r="G33" s="33"/>
    </row>
    <row r="34" ht="15.75" customHeight="1">
      <c r="A34" s="33"/>
      <c r="B34" s="33"/>
      <c r="C34" s="34"/>
      <c r="D34" s="34"/>
      <c r="F34" s="33"/>
      <c r="G34" s="33"/>
    </row>
    <row r="35" ht="15.75" customHeight="1">
      <c r="A35" s="33"/>
      <c r="B35" s="33"/>
      <c r="C35" s="34"/>
      <c r="D35" s="34"/>
      <c r="F35" s="33"/>
      <c r="G35" s="33"/>
    </row>
    <row r="36" ht="15.75" customHeight="1">
      <c r="A36" s="33"/>
      <c r="B36" s="33"/>
      <c r="C36" s="34"/>
      <c r="D36" s="34"/>
      <c r="F36" s="33"/>
      <c r="G36" s="33"/>
    </row>
    <row r="37" ht="15.75" customHeight="1">
      <c r="A37" s="33"/>
      <c r="B37" s="33"/>
      <c r="C37" s="34"/>
      <c r="D37" s="34"/>
      <c r="F37" s="33"/>
      <c r="G37" s="33"/>
    </row>
    <row r="38" ht="15.75" customHeight="1">
      <c r="A38" s="33"/>
      <c r="B38" s="33"/>
      <c r="C38" s="34"/>
      <c r="D38" s="34"/>
      <c r="F38" s="33"/>
      <c r="G38" s="33"/>
    </row>
    <row r="39" ht="15.75" customHeight="1">
      <c r="A39" s="33"/>
      <c r="B39" s="33"/>
      <c r="C39" s="34"/>
      <c r="D39" s="34"/>
      <c r="F39" s="33"/>
      <c r="G39" s="33"/>
    </row>
    <row r="40" ht="15.75" customHeight="1">
      <c r="A40" s="33"/>
      <c r="B40" s="33"/>
      <c r="C40" s="34"/>
      <c r="D40" s="34"/>
      <c r="F40" s="33"/>
      <c r="G40" s="33"/>
    </row>
    <row r="41" ht="15.75" customHeight="1">
      <c r="A41" s="33"/>
      <c r="B41" s="33"/>
      <c r="C41" s="34"/>
      <c r="D41" s="34"/>
      <c r="F41" s="33"/>
      <c r="G41" s="33"/>
    </row>
    <row r="42" ht="15.75" customHeight="1">
      <c r="A42" s="33"/>
      <c r="B42" s="33"/>
      <c r="C42" s="34"/>
      <c r="D42" s="34"/>
      <c r="F42" s="33"/>
      <c r="G42" s="33"/>
    </row>
    <row r="43" ht="15.75" customHeight="1">
      <c r="A43" s="33"/>
      <c r="B43" s="33"/>
      <c r="C43" s="34"/>
      <c r="D43" s="34"/>
      <c r="F43" s="33"/>
      <c r="G43" s="33"/>
    </row>
    <row r="44" ht="15.75" customHeight="1">
      <c r="A44" s="33"/>
      <c r="B44" s="33"/>
      <c r="C44" s="34"/>
      <c r="D44" s="34"/>
      <c r="F44" s="33"/>
      <c r="G44" s="33"/>
    </row>
    <row r="45" ht="15.75" customHeight="1">
      <c r="A45" s="33"/>
      <c r="B45" s="33"/>
      <c r="C45" s="34"/>
      <c r="D45" s="34"/>
      <c r="F45" s="33"/>
      <c r="G45" s="33"/>
    </row>
    <row r="46" ht="15.75" customHeight="1">
      <c r="A46" s="33"/>
      <c r="B46" s="33"/>
      <c r="C46" s="34"/>
      <c r="D46" s="34"/>
      <c r="F46" s="33"/>
      <c r="G46" s="33"/>
    </row>
    <row r="47" ht="15.75" customHeight="1">
      <c r="A47" s="33"/>
      <c r="B47" s="33"/>
      <c r="C47" s="34"/>
      <c r="D47" s="34"/>
      <c r="F47" s="33"/>
      <c r="G47" s="33"/>
    </row>
    <row r="48" ht="15.75" customHeight="1">
      <c r="A48" s="33"/>
      <c r="B48" s="33"/>
      <c r="C48" s="34"/>
      <c r="D48" s="34"/>
      <c r="F48" s="33"/>
      <c r="G48" s="33"/>
    </row>
    <row r="49" ht="15.75" customHeight="1">
      <c r="A49" s="33"/>
      <c r="B49" s="33"/>
      <c r="C49" s="34"/>
      <c r="D49" s="34"/>
      <c r="F49" s="33"/>
      <c r="G49" s="33"/>
    </row>
    <row r="50" ht="15.75" customHeight="1">
      <c r="A50" s="33"/>
      <c r="B50" s="33"/>
      <c r="C50" s="34"/>
      <c r="D50" s="34"/>
      <c r="F50" s="33"/>
      <c r="G50" s="33"/>
    </row>
    <row r="51" ht="15.75" customHeight="1">
      <c r="A51" s="33"/>
      <c r="B51" s="33"/>
      <c r="C51" s="34"/>
      <c r="D51" s="34"/>
      <c r="F51" s="33"/>
      <c r="G51" s="33"/>
    </row>
    <row r="52" ht="15.75" customHeight="1">
      <c r="A52" s="33"/>
      <c r="B52" s="33"/>
      <c r="C52" s="34"/>
      <c r="D52" s="34"/>
      <c r="F52" s="33"/>
      <c r="G52" s="33"/>
    </row>
    <row r="53" ht="15.75" customHeight="1">
      <c r="A53" s="33"/>
      <c r="B53" s="33"/>
      <c r="C53" s="34"/>
      <c r="D53" s="34"/>
      <c r="F53" s="33"/>
      <c r="G53" s="33"/>
    </row>
    <row r="54" ht="15.75" customHeight="1">
      <c r="A54" s="33"/>
      <c r="B54" s="33"/>
      <c r="C54" s="34"/>
      <c r="D54" s="34"/>
      <c r="F54" s="33"/>
      <c r="G54" s="33"/>
    </row>
    <row r="55" ht="15.75" customHeight="1">
      <c r="A55" s="33"/>
      <c r="B55" s="33"/>
      <c r="C55" s="34"/>
      <c r="D55" s="34"/>
      <c r="F55" s="33"/>
      <c r="G55" s="33"/>
    </row>
    <row r="56" ht="15.75" customHeight="1">
      <c r="A56" s="33"/>
      <c r="B56" s="33"/>
      <c r="C56" s="34"/>
      <c r="D56" s="34"/>
      <c r="F56" s="33"/>
      <c r="G56" s="33"/>
    </row>
    <row r="57" ht="15.75" customHeight="1">
      <c r="A57" s="33"/>
      <c r="B57" s="33"/>
      <c r="C57" s="34"/>
      <c r="D57" s="34"/>
      <c r="F57" s="33"/>
      <c r="G57" s="33"/>
    </row>
    <row r="58" ht="15.75" customHeight="1">
      <c r="A58" s="33"/>
      <c r="B58" s="33"/>
      <c r="C58" s="34"/>
      <c r="D58" s="34"/>
      <c r="F58" s="33"/>
      <c r="G58" s="33"/>
    </row>
    <row r="59" ht="15.75" customHeight="1">
      <c r="A59" s="33"/>
      <c r="B59" s="33"/>
      <c r="C59" s="34"/>
      <c r="D59" s="34"/>
      <c r="F59" s="33"/>
      <c r="G59" s="33"/>
    </row>
    <row r="60" ht="15.75" customHeight="1">
      <c r="A60" s="33"/>
      <c r="B60" s="33"/>
      <c r="C60" s="34"/>
      <c r="D60" s="34"/>
      <c r="F60" s="33"/>
      <c r="G60" s="33"/>
    </row>
    <row r="61" ht="15.75" customHeight="1">
      <c r="A61" s="33"/>
      <c r="B61" s="33"/>
      <c r="C61" s="34"/>
      <c r="D61" s="34"/>
      <c r="F61" s="33"/>
      <c r="G61" s="33"/>
    </row>
    <row r="62" ht="15.75" customHeight="1">
      <c r="A62" s="33"/>
      <c r="B62" s="33"/>
      <c r="C62" s="34"/>
      <c r="D62" s="34"/>
      <c r="F62" s="33"/>
      <c r="G62" s="33"/>
    </row>
    <row r="63" ht="15.75" customHeight="1">
      <c r="A63" s="33"/>
      <c r="B63" s="33"/>
      <c r="C63" s="34"/>
      <c r="D63" s="34"/>
      <c r="F63" s="33"/>
      <c r="G63" s="33"/>
    </row>
    <row r="64" ht="15.75" customHeight="1">
      <c r="A64" s="33"/>
      <c r="B64" s="33"/>
      <c r="C64" s="34"/>
      <c r="D64" s="34"/>
      <c r="F64" s="33"/>
      <c r="G64" s="33"/>
    </row>
    <row r="65" ht="15.75" customHeight="1">
      <c r="A65" s="33"/>
      <c r="B65" s="33"/>
      <c r="C65" s="34"/>
      <c r="D65" s="34"/>
      <c r="F65" s="33"/>
      <c r="G65" s="33"/>
    </row>
    <row r="66" ht="15.75" customHeight="1">
      <c r="A66" s="33"/>
      <c r="B66" s="33"/>
      <c r="C66" s="34"/>
      <c r="D66" s="34"/>
      <c r="F66" s="33"/>
      <c r="G66" s="33"/>
    </row>
    <row r="67" ht="15.75" customHeight="1">
      <c r="A67" s="33"/>
      <c r="B67" s="33"/>
      <c r="C67" s="34"/>
      <c r="D67" s="34"/>
      <c r="F67" s="33"/>
      <c r="G67" s="33"/>
    </row>
    <row r="68" ht="15.75" customHeight="1">
      <c r="A68" s="33"/>
      <c r="B68" s="33"/>
      <c r="C68" s="34"/>
      <c r="D68" s="34"/>
      <c r="F68" s="33"/>
      <c r="G68" s="33"/>
    </row>
    <row r="69" ht="15.75" customHeight="1">
      <c r="A69" s="33"/>
      <c r="B69" s="33"/>
      <c r="C69" s="34"/>
      <c r="D69" s="34"/>
      <c r="F69" s="33"/>
      <c r="G69" s="33"/>
    </row>
    <row r="70" ht="15.75" customHeight="1">
      <c r="A70" s="33"/>
      <c r="B70" s="33"/>
      <c r="C70" s="34"/>
      <c r="D70" s="34"/>
      <c r="F70" s="33"/>
      <c r="G70" s="33"/>
    </row>
    <row r="71" ht="15.75" customHeight="1">
      <c r="A71" s="33"/>
      <c r="B71" s="33"/>
      <c r="C71" s="34"/>
      <c r="D71" s="34"/>
      <c r="F71" s="33"/>
      <c r="G71" s="33"/>
    </row>
    <row r="72" ht="15.75" customHeight="1">
      <c r="A72" s="33"/>
      <c r="B72" s="33"/>
      <c r="C72" s="34"/>
      <c r="D72" s="34"/>
      <c r="F72" s="33"/>
      <c r="G72" s="33"/>
    </row>
    <row r="73" ht="15.75" customHeight="1">
      <c r="A73" s="33"/>
      <c r="B73" s="33"/>
      <c r="C73" s="34"/>
      <c r="D73" s="34"/>
      <c r="F73" s="33"/>
      <c r="G73" s="33"/>
    </row>
    <row r="74" ht="15.75" customHeight="1">
      <c r="A74" s="33"/>
      <c r="B74" s="33"/>
      <c r="C74" s="34"/>
      <c r="D74" s="34"/>
      <c r="F74" s="33"/>
      <c r="G74" s="33"/>
    </row>
    <row r="75" ht="15.75" customHeight="1">
      <c r="A75" s="33"/>
      <c r="B75" s="33"/>
      <c r="C75" s="34"/>
      <c r="D75" s="34"/>
      <c r="F75" s="33"/>
      <c r="G75" s="33"/>
    </row>
    <row r="76" ht="15.75" customHeight="1">
      <c r="A76" s="33"/>
      <c r="B76" s="33"/>
      <c r="C76" s="34"/>
      <c r="D76" s="34"/>
      <c r="F76" s="33"/>
      <c r="G76" s="33"/>
    </row>
    <row r="77" ht="15.75" customHeight="1">
      <c r="A77" s="33"/>
      <c r="B77" s="33"/>
      <c r="C77" s="34"/>
      <c r="D77" s="34"/>
      <c r="F77" s="33"/>
      <c r="G77" s="33"/>
    </row>
    <row r="78" ht="15.75" customHeight="1">
      <c r="A78" s="33"/>
      <c r="B78" s="33"/>
      <c r="C78" s="34"/>
      <c r="D78" s="34"/>
      <c r="F78" s="33"/>
      <c r="G78" s="33"/>
    </row>
    <row r="79" ht="15.75" customHeight="1">
      <c r="A79" s="33"/>
      <c r="B79" s="33"/>
      <c r="C79" s="34"/>
      <c r="D79" s="34"/>
      <c r="F79" s="33"/>
      <c r="G79" s="33"/>
    </row>
    <row r="80" ht="15.75" customHeight="1">
      <c r="A80" s="33"/>
      <c r="B80" s="33"/>
      <c r="C80" s="34"/>
      <c r="D80" s="34"/>
      <c r="F80" s="33"/>
      <c r="G80" s="33"/>
    </row>
    <row r="81" ht="15.75" customHeight="1">
      <c r="A81" s="33"/>
      <c r="B81" s="33"/>
      <c r="C81" s="34"/>
      <c r="D81" s="34"/>
      <c r="F81" s="33"/>
      <c r="G81" s="33"/>
    </row>
    <row r="82" ht="15.75" customHeight="1">
      <c r="A82" s="33"/>
      <c r="B82" s="33"/>
      <c r="C82" s="34"/>
      <c r="D82" s="34"/>
      <c r="F82" s="33"/>
      <c r="G82" s="33"/>
    </row>
    <row r="83" ht="15.75" customHeight="1">
      <c r="A83" s="33"/>
      <c r="B83" s="33"/>
      <c r="C83" s="34"/>
      <c r="D83" s="34"/>
      <c r="F83" s="33"/>
      <c r="G83" s="33"/>
    </row>
    <row r="84" ht="15.75" customHeight="1">
      <c r="A84" s="33"/>
      <c r="B84" s="33"/>
      <c r="C84" s="34"/>
      <c r="D84" s="34"/>
      <c r="F84" s="33"/>
      <c r="G84" s="33"/>
    </row>
    <row r="85" ht="15.75" customHeight="1">
      <c r="A85" s="33"/>
      <c r="B85" s="33"/>
      <c r="C85" s="34"/>
      <c r="D85" s="34"/>
      <c r="F85" s="33"/>
      <c r="G85" s="33"/>
    </row>
    <row r="86" ht="15.75" customHeight="1">
      <c r="A86" s="33"/>
      <c r="B86" s="33"/>
      <c r="C86" s="34"/>
      <c r="D86" s="34"/>
      <c r="F86" s="33"/>
      <c r="G86" s="33"/>
    </row>
    <row r="87" ht="15.75" customHeight="1">
      <c r="A87" s="33"/>
      <c r="B87" s="33"/>
      <c r="C87" s="34"/>
      <c r="D87" s="34"/>
      <c r="F87" s="33"/>
      <c r="G87" s="33"/>
    </row>
    <row r="88" ht="15.75" customHeight="1">
      <c r="A88" s="33"/>
      <c r="B88" s="33"/>
      <c r="C88" s="34"/>
      <c r="D88" s="34"/>
      <c r="F88" s="33"/>
      <c r="G88" s="33"/>
    </row>
    <row r="89" ht="15.75" customHeight="1">
      <c r="A89" s="33"/>
      <c r="B89" s="33"/>
      <c r="C89" s="34"/>
      <c r="D89" s="34"/>
      <c r="F89" s="33"/>
      <c r="G89" s="33"/>
    </row>
    <row r="90" ht="15.75" customHeight="1">
      <c r="A90" s="33"/>
      <c r="B90" s="33"/>
      <c r="C90" s="34"/>
      <c r="D90" s="34"/>
      <c r="F90" s="33"/>
      <c r="G90" s="33"/>
    </row>
    <row r="91" ht="15.75" customHeight="1">
      <c r="A91" s="33"/>
      <c r="B91" s="33"/>
      <c r="C91" s="34"/>
      <c r="D91" s="34"/>
      <c r="F91" s="33"/>
      <c r="G91" s="33"/>
    </row>
    <row r="92" ht="15.75" customHeight="1">
      <c r="A92" s="33"/>
      <c r="B92" s="33"/>
      <c r="C92" s="34"/>
      <c r="D92" s="34"/>
      <c r="F92" s="33"/>
      <c r="G92" s="33"/>
    </row>
    <row r="93" ht="15.75" customHeight="1">
      <c r="A93" s="33"/>
      <c r="B93" s="33"/>
      <c r="C93" s="34"/>
      <c r="D93" s="34"/>
      <c r="F93" s="33"/>
      <c r="G93" s="33"/>
    </row>
    <row r="94" ht="15.75" customHeight="1">
      <c r="A94" s="33"/>
      <c r="B94" s="33"/>
      <c r="C94" s="34"/>
      <c r="D94" s="34"/>
      <c r="F94" s="33"/>
      <c r="G94" s="33"/>
    </row>
    <row r="95" ht="15.75" customHeight="1">
      <c r="A95" s="33"/>
      <c r="B95" s="33"/>
      <c r="C95" s="34"/>
      <c r="D95" s="34"/>
      <c r="F95" s="33"/>
      <c r="G95" s="33"/>
    </row>
    <row r="96" ht="15.75" customHeight="1">
      <c r="A96" s="33"/>
      <c r="B96" s="33"/>
      <c r="C96" s="34"/>
      <c r="D96" s="34"/>
      <c r="F96" s="33"/>
      <c r="G96" s="33"/>
    </row>
    <row r="97" ht="15.75" customHeight="1">
      <c r="A97" s="33"/>
      <c r="B97" s="33"/>
      <c r="C97" s="34"/>
      <c r="D97" s="34"/>
      <c r="F97" s="33"/>
      <c r="G97" s="33"/>
    </row>
    <row r="98" ht="15.75" customHeight="1">
      <c r="A98" s="33"/>
      <c r="B98" s="33"/>
      <c r="C98" s="34"/>
      <c r="D98" s="34"/>
      <c r="F98" s="33"/>
      <c r="G98" s="33"/>
    </row>
    <row r="99" ht="15.75" customHeight="1">
      <c r="A99" s="33"/>
      <c r="B99" s="33"/>
      <c r="C99" s="34"/>
      <c r="D99" s="34"/>
      <c r="F99" s="33"/>
      <c r="G99" s="33"/>
    </row>
    <row r="100" ht="15.75" customHeight="1">
      <c r="A100" s="33"/>
      <c r="B100" s="33"/>
      <c r="C100" s="34"/>
      <c r="D100" s="34"/>
      <c r="F100" s="33"/>
      <c r="G100" s="33"/>
    </row>
    <row r="101" ht="15.75" customHeight="1">
      <c r="A101" s="33"/>
      <c r="B101" s="33"/>
      <c r="C101" s="34"/>
      <c r="D101" s="34"/>
      <c r="F101" s="33"/>
      <c r="G101" s="33"/>
    </row>
    <row r="102" ht="15.75" customHeight="1">
      <c r="A102" s="33"/>
      <c r="B102" s="33"/>
      <c r="C102" s="34"/>
      <c r="D102" s="34"/>
      <c r="F102" s="33"/>
      <c r="G102" s="33"/>
    </row>
    <row r="103" ht="15.75" customHeight="1">
      <c r="A103" s="33"/>
      <c r="B103" s="33"/>
      <c r="C103" s="34"/>
      <c r="D103" s="34"/>
      <c r="F103" s="33"/>
      <c r="G103" s="33"/>
    </row>
    <row r="104" ht="15.75" customHeight="1">
      <c r="A104" s="33"/>
      <c r="B104" s="33"/>
      <c r="C104" s="34"/>
      <c r="D104" s="34"/>
      <c r="F104" s="33"/>
      <c r="G104" s="33"/>
    </row>
    <row r="105" ht="15.75" customHeight="1">
      <c r="A105" s="33"/>
      <c r="B105" s="33"/>
      <c r="C105" s="34"/>
      <c r="D105" s="34"/>
      <c r="F105" s="33"/>
      <c r="G105" s="33"/>
    </row>
    <row r="106" ht="15.75" customHeight="1">
      <c r="A106" s="33"/>
      <c r="B106" s="33"/>
      <c r="C106" s="34"/>
      <c r="D106" s="34"/>
      <c r="F106" s="33"/>
      <c r="G106" s="33"/>
    </row>
    <row r="107" ht="15.75" customHeight="1">
      <c r="A107" s="33"/>
      <c r="B107" s="33"/>
      <c r="C107" s="34"/>
      <c r="D107" s="34"/>
      <c r="F107" s="33"/>
      <c r="G107" s="33"/>
    </row>
    <row r="108" ht="15.75" customHeight="1">
      <c r="A108" s="33"/>
      <c r="B108" s="33"/>
      <c r="C108" s="34"/>
      <c r="D108" s="34"/>
      <c r="F108" s="33"/>
      <c r="G108" s="33"/>
    </row>
    <row r="109" ht="15.75" customHeight="1">
      <c r="A109" s="33"/>
      <c r="B109" s="33"/>
      <c r="C109" s="34"/>
      <c r="D109" s="34"/>
      <c r="F109" s="33"/>
      <c r="G109" s="33"/>
    </row>
    <row r="110" ht="15.75" customHeight="1">
      <c r="A110" s="33"/>
      <c r="B110" s="33"/>
      <c r="C110" s="34"/>
      <c r="D110" s="34"/>
      <c r="F110" s="33"/>
      <c r="G110" s="33"/>
    </row>
    <row r="111" ht="15.75" customHeight="1">
      <c r="A111" s="33"/>
      <c r="B111" s="33"/>
      <c r="C111" s="34"/>
      <c r="D111" s="34"/>
      <c r="F111" s="33"/>
      <c r="G111" s="33"/>
    </row>
    <row r="112" ht="15.75" customHeight="1">
      <c r="A112" s="33"/>
      <c r="B112" s="33"/>
      <c r="C112" s="34"/>
      <c r="D112" s="34"/>
      <c r="F112" s="33"/>
      <c r="G112" s="33"/>
    </row>
    <row r="113" ht="15.75" customHeight="1">
      <c r="A113" s="33"/>
      <c r="B113" s="33"/>
      <c r="C113" s="34"/>
      <c r="D113" s="34"/>
      <c r="F113" s="33"/>
      <c r="G113" s="33"/>
    </row>
    <row r="114" ht="15.75" customHeight="1">
      <c r="A114" s="33"/>
      <c r="B114" s="33"/>
      <c r="C114" s="34"/>
      <c r="D114" s="34"/>
      <c r="F114" s="33"/>
      <c r="G114" s="33"/>
    </row>
    <row r="115" ht="15.75" customHeight="1">
      <c r="A115" s="33"/>
      <c r="B115" s="33"/>
      <c r="C115" s="34"/>
      <c r="D115" s="34"/>
      <c r="F115" s="33"/>
      <c r="G115" s="33"/>
    </row>
    <row r="116" ht="15.75" customHeight="1">
      <c r="A116" s="33"/>
      <c r="B116" s="33"/>
      <c r="C116" s="34"/>
      <c r="D116" s="34"/>
      <c r="F116" s="33"/>
      <c r="G116" s="33"/>
    </row>
    <row r="117" ht="15.75" customHeight="1">
      <c r="A117" s="33"/>
      <c r="B117" s="33"/>
      <c r="C117" s="34"/>
      <c r="D117" s="34"/>
      <c r="F117" s="33"/>
      <c r="G117" s="33"/>
    </row>
    <row r="118" ht="15.75" customHeight="1">
      <c r="A118" s="33"/>
      <c r="B118" s="33"/>
      <c r="C118" s="34"/>
      <c r="D118" s="34"/>
      <c r="F118" s="33"/>
      <c r="G118" s="33"/>
    </row>
    <row r="119" ht="15.75" customHeight="1">
      <c r="A119" s="33"/>
      <c r="B119" s="33"/>
      <c r="C119" s="34"/>
      <c r="D119" s="34"/>
      <c r="F119" s="33"/>
      <c r="G119" s="33"/>
    </row>
    <row r="120" ht="15.75" customHeight="1">
      <c r="A120" s="33"/>
      <c r="B120" s="33"/>
      <c r="C120" s="34"/>
      <c r="D120" s="34"/>
      <c r="F120" s="33"/>
      <c r="G120" s="33"/>
    </row>
    <row r="121" ht="15.75" customHeight="1">
      <c r="A121" s="33"/>
      <c r="B121" s="33"/>
      <c r="C121" s="34"/>
      <c r="D121" s="34"/>
      <c r="F121" s="33"/>
      <c r="G121" s="33"/>
    </row>
    <row r="122" ht="15.75" customHeight="1">
      <c r="A122" s="33"/>
      <c r="B122" s="33"/>
      <c r="C122" s="34"/>
      <c r="D122" s="34"/>
      <c r="F122" s="33"/>
      <c r="G122" s="33"/>
    </row>
    <row r="123" ht="15.75" customHeight="1">
      <c r="A123" s="33"/>
      <c r="B123" s="33"/>
      <c r="C123" s="34"/>
      <c r="D123" s="34"/>
      <c r="F123" s="33"/>
      <c r="G123" s="33"/>
    </row>
    <row r="124" ht="15.75" customHeight="1">
      <c r="A124" s="33"/>
      <c r="B124" s="33"/>
      <c r="C124" s="34"/>
      <c r="D124" s="34"/>
      <c r="F124" s="33"/>
      <c r="G124" s="33"/>
    </row>
    <row r="125" ht="15.75" customHeight="1">
      <c r="A125" s="33"/>
      <c r="B125" s="33"/>
      <c r="C125" s="34"/>
      <c r="D125" s="34"/>
      <c r="F125" s="33"/>
      <c r="G125" s="33"/>
    </row>
    <row r="126" ht="15.75" customHeight="1">
      <c r="A126" s="33"/>
      <c r="B126" s="33"/>
      <c r="C126" s="34"/>
      <c r="D126" s="34"/>
      <c r="F126" s="33"/>
      <c r="G126" s="33"/>
    </row>
    <row r="127" ht="15.75" customHeight="1">
      <c r="A127" s="33"/>
      <c r="B127" s="33"/>
      <c r="C127" s="34"/>
      <c r="D127" s="34"/>
      <c r="F127" s="33"/>
      <c r="G127" s="33"/>
    </row>
    <row r="128" ht="15.75" customHeight="1">
      <c r="A128" s="33"/>
      <c r="B128" s="33"/>
      <c r="C128" s="34"/>
      <c r="D128" s="34"/>
      <c r="F128" s="33"/>
      <c r="G128" s="33"/>
    </row>
    <row r="129" ht="15.75" customHeight="1">
      <c r="A129" s="33"/>
      <c r="B129" s="33"/>
      <c r="C129" s="34"/>
      <c r="D129" s="34"/>
      <c r="F129" s="33"/>
      <c r="G129" s="33"/>
    </row>
    <row r="130" ht="15.75" customHeight="1">
      <c r="A130" s="33"/>
      <c r="B130" s="33"/>
      <c r="C130" s="34"/>
      <c r="D130" s="34"/>
      <c r="F130" s="33"/>
      <c r="G130" s="33"/>
    </row>
    <row r="131" ht="15.75" customHeight="1">
      <c r="A131" s="33"/>
      <c r="B131" s="33"/>
      <c r="C131" s="34"/>
      <c r="D131" s="34"/>
      <c r="F131" s="33"/>
      <c r="G131" s="33"/>
    </row>
    <row r="132" ht="15.75" customHeight="1">
      <c r="A132" s="33"/>
      <c r="B132" s="33"/>
      <c r="C132" s="34"/>
      <c r="D132" s="34"/>
      <c r="F132" s="33"/>
      <c r="G132" s="33"/>
    </row>
    <row r="133" ht="15.75" customHeight="1">
      <c r="A133" s="33"/>
      <c r="B133" s="33"/>
      <c r="C133" s="34"/>
      <c r="D133" s="34"/>
      <c r="F133" s="33"/>
      <c r="G133" s="33"/>
    </row>
    <row r="134" ht="15.75" customHeight="1">
      <c r="A134" s="33"/>
      <c r="B134" s="33"/>
      <c r="C134" s="34"/>
      <c r="D134" s="34"/>
      <c r="F134" s="33"/>
      <c r="G134" s="33"/>
    </row>
    <row r="135" ht="15.75" customHeight="1">
      <c r="A135" s="33"/>
      <c r="B135" s="33"/>
      <c r="C135" s="34"/>
      <c r="D135" s="34"/>
      <c r="F135" s="33"/>
      <c r="G135" s="33"/>
    </row>
    <row r="136" ht="15.75" customHeight="1">
      <c r="A136" s="33"/>
      <c r="B136" s="33"/>
      <c r="C136" s="34"/>
      <c r="D136" s="34"/>
      <c r="F136" s="33"/>
      <c r="G136" s="33"/>
    </row>
    <row r="137" ht="15.75" customHeight="1">
      <c r="A137" s="33"/>
      <c r="B137" s="33"/>
      <c r="C137" s="34"/>
      <c r="D137" s="34"/>
      <c r="F137" s="33"/>
      <c r="G137" s="33"/>
    </row>
    <row r="138" ht="15.75" customHeight="1">
      <c r="A138" s="33"/>
      <c r="B138" s="33"/>
      <c r="C138" s="34"/>
      <c r="D138" s="34"/>
      <c r="F138" s="33"/>
      <c r="G138" s="33"/>
    </row>
    <row r="139" ht="15.75" customHeight="1">
      <c r="A139" s="33"/>
      <c r="B139" s="33"/>
      <c r="C139" s="34"/>
      <c r="D139" s="34"/>
      <c r="F139" s="33"/>
      <c r="G139" s="33"/>
    </row>
    <row r="140" ht="15.75" customHeight="1">
      <c r="A140" s="33"/>
      <c r="B140" s="33"/>
      <c r="C140" s="34"/>
      <c r="D140" s="34"/>
      <c r="F140" s="33"/>
      <c r="G140" s="33"/>
    </row>
    <row r="141" ht="15.75" customHeight="1">
      <c r="A141" s="33"/>
      <c r="B141" s="33"/>
      <c r="C141" s="34"/>
      <c r="D141" s="34"/>
      <c r="F141" s="33"/>
      <c r="G141" s="33"/>
    </row>
    <row r="142" ht="15.75" customHeight="1">
      <c r="A142" s="33"/>
      <c r="B142" s="33"/>
      <c r="C142" s="34"/>
      <c r="D142" s="34"/>
      <c r="F142" s="33"/>
      <c r="G142" s="33"/>
    </row>
    <row r="143" ht="15.75" customHeight="1">
      <c r="A143" s="33"/>
      <c r="B143" s="33"/>
      <c r="C143" s="34"/>
      <c r="D143" s="34"/>
      <c r="F143" s="33"/>
      <c r="G143" s="33"/>
    </row>
    <row r="144" ht="15.75" customHeight="1">
      <c r="A144" s="33"/>
      <c r="B144" s="33"/>
      <c r="C144" s="34"/>
      <c r="D144" s="34"/>
      <c r="F144" s="33"/>
      <c r="G144" s="33"/>
    </row>
    <row r="145" ht="15.75" customHeight="1">
      <c r="A145" s="33"/>
      <c r="B145" s="33"/>
      <c r="C145" s="34"/>
      <c r="D145" s="34"/>
      <c r="F145" s="33"/>
      <c r="G145" s="33"/>
    </row>
    <row r="146" ht="15.75" customHeight="1">
      <c r="A146" s="33"/>
      <c r="B146" s="33"/>
      <c r="C146" s="34"/>
      <c r="D146" s="34"/>
      <c r="F146" s="33"/>
      <c r="G146" s="33"/>
    </row>
    <row r="147" ht="15.75" customHeight="1">
      <c r="A147" s="33"/>
      <c r="B147" s="33"/>
      <c r="C147" s="34"/>
      <c r="D147" s="34"/>
      <c r="F147" s="33"/>
      <c r="G147" s="33"/>
    </row>
    <row r="148" ht="15.75" customHeight="1">
      <c r="A148" s="33"/>
      <c r="B148" s="33"/>
      <c r="C148" s="34"/>
      <c r="D148" s="34"/>
      <c r="F148" s="33"/>
      <c r="G148" s="33"/>
    </row>
    <row r="149" ht="15.75" customHeight="1">
      <c r="A149" s="33"/>
      <c r="B149" s="33"/>
      <c r="C149" s="34"/>
      <c r="D149" s="34"/>
      <c r="F149" s="33"/>
      <c r="G149" s="33"/>
    </row>
    <row r="150" ht="15.75" customHeight="1">
      <c r="A150" s="33"/>
      <c r="B150" s="33"/>
      <c r="C150" s="34"/>
      <c r="D150" s="34"/>
      <c r="F150" s="33"/>
      <c r="G150" s="33"/>
    </row>
    <row r="151" ht="15.75" customHeight="1">
      <c r="A151" s="33"/>
      <c r="B151" s="33"/>
      <c r="C151" s="34"/>
      <c r="D151" s="34"/>
      <c r="F151" s="33"/>
      <c r="G151" s="33"/>
    </row>
    <row r="152" ht="15.75" customHeight="1">
      <c r="A152" s="33"/>
      <c r="B152" s="33"/>
      <c r="C152" s="34"/>
      <c r="D152" s="34"/>
      <c r="F152" s="33"/>
      <c r="G152" s="33"/>
    </row>
    <row r="153" ht="15.75" customHeight="1">
      <c r="A153" s="33"/>
      <c r="B153" s="33"/>
      <c r="C153" s="34"/>
      <c r="D153" s="34"/>
      <c r="F153" s="33"/>
      <c r="G153" s="33"/>
    </row>
    <row r="154" ht="15.75" customHeight="1">
      <c r="A154" s="33"/>
      <c r="B154" s="33"/>
      <c r="C154" s="34"/>
      <c r="D154" s="34"/>
      <c r="F154" s="33"/>
      <c r="G154" s="33"/>
    </row>
    <row r="155" ht="15.75" customHeight="1">
      <c r="A155" s="33"/>
      <c r="B155" s="33"/>
      <c r="C155" s="34"/>
      <c r="D155" s="34"/>
      <c r="F155" s="33"/>
      <c r="G155" s="33"/>
    </row>
    <row r="156" ht="15.75" customHeight="1">
      <c r="A156" s="33"/>
      <c r="B156" s="33"/>
      <c r="C156" s="34"/>
      <c r="D156" s="34"/>
      <c r="F156" s="33"/>
      <c r="G156" s="33"/>
    </row>
    <row r="157" ht="15.75" customHeight="1">
      <c r="A157" s="33"/>
      <c r="B157" s="33"/>
      <c r="C157" s="34"/>
      <c r="D157" s="34"/>
      <c r="F157" s="33"/>
      <c r="G157" s="33"/>
    </row>
    <row r="158" ht="15.75" customHeight="1">
      <c r="A158" s="33"/>
      <c r="B158" s="33"/>
      <c r="C158" s="34"/>
      <c r="D158" s="34"/>
      <c r="F158" s="33"/>
      <c r="G158" s="33"/>
    </row>
    <row r="159" ht="15.75" customHeight="1">
      <c r="A159" s="33"/>
      <c r="B159" s="33"/>
      <c r="C159" s="34"/>
      <c r="D159" s="34"/>
      <c r="F159" s="33"/>
      <c r="G159" s="33"/>
    </row>
    <row r="160" ht="15.75" customHeight="1">
      <c r="A160" s="33"/>
      <c r="B160" s="33"/>
      <c r="C160" s="34"/>
      <c r="D160" s="34"/>
      <c r="F160" s="33"/>
      <c r="G160" s="33"/>
    </row>
    <row r="161" ht="15.75" customHeight="1">
      <c r="A161" s="33"/>
      <c r="B161" s="33"/>
      <c r="C161" s="34"/>
      <c r="D161" s="34"/>
      <c r="F161" s="33"/>
      <c r="G161" s="33"/>
    </row>
    <row r="162" ht="15.75" customHeight="1">
      <c r="A162" s="33"/>
      <c r="B162" s="33"/>
      <c r="C162" s="34"/>
      <c r="D162" s="34"/>
      <c r="F162" s="33"/>
      <c r="G162" s="33"/>
    </row>
    <row r="163" ht="15.75" customHeight="1">
      <c r="A163" s="33"/>
      <c r="B163" s="33"/>
      <c r="C163" s="34"/>
      <c r="D163" s="34"/>
      <c r="F163" s="33"/>
      <c r="G163" s="33"/>
    </row>
    <row r="164" ht="15.75" customHeight="1">
      <c r="A164" s="33"/>
      <c r="B164" s="33"/>
      <c r="C164" s="34"/>
      <c r="D164" s="34"/>
      <c r="F164" s="33"/>
      <c r="G164" s="33"/>
    </row>
    <row r="165" ht="15.75" customHeight="1">
      <c r="A165" s="33"/>
      <c r="B165" s="33"/>
      <c r="C165" s="34"/>
      <c r="D165" s="34"/>
      <c r="F165" s="33"/>
      <c r="G165" s="33"/>
    </row>
    <row r="166" ht="15.75" customHeight="1">
      <c r="A166" s="33"/>
      <c r="B166" s="33"/>
      <c r="C166" s="34"/>
      <c r="D166" s="34"/>
      <c r="F166" s="33"/>
      <c r="G166" s="33"/>
    </row>
    <row r="167" ht="15.75" customHeight="1">
      <c r="A167" s="33"/>
      <c r="B167" s="33"/>
      <c r="C167" s="34"/>
      <c r="D167" s="34"/>
      <c r="F167" s="33"/>
      <c r="G167" s="33"/>
    </row>
    <row r="168" ht="15.75" customHeight="1">
      <c r="A168" s="33"/>
      <c r="B168" s="33"/>
      <c r="C168" s="34"/>
      <c r="D168" s="34"/>
      <c r="F168" s="33"/>
      <c r="G168" s="33"/>
    </row>
    <row r="169" ht="15.75" customHeight="1">
      <c r="A169" s="33"/>
      <c r="B169" s="33"/>
      <c r="C169" s="34"/>
      <c r="D169" s="34"/>
      <c r="F169" s="33"/>
      <c r="G169" s="33"/>
    </row>
    <row r="170" ht="15.75" customHeight="1">
      <c r="A170" s="33"/>
      <c r="B170" s="33"/>
      <c r="C170" s="34"/>
      <c r="D170" s="34"/>
      <c r="F170" s="33"/>
      <c r="G170" s="33"/>
    </row>
    <row r="171" ht="15.75" customHeight="1">
      <c r="A171" s="33"/>
      <c r="B171" s="33"/>
      <c r="C171" s="34"/>
      <c r="D171" s="34"/>
      <c r="F171" s="33"/>
      <c r="G171" s="33"/>
    </row>
    <row r="172" ht="15.75" customHeight="1">
      <c r="A172" s="33"/>
      <c r="B172" s="33"/>
      <c r="C172" s="34"/>
      <c r="D172" s="34"/>
      <c r="F172" s="33"/>
      <c r="G172" s="33"/>
    </row>
    <row r="173" ht="15.75" customHeight="1">
      <c r="A173" s="33"/>
      <c r="B173" s="33"/>
      <c r="C173" s="34"/>
      <c r="D173" s="34"/>
      <c r="F173" s="33"/>
      <c r="G173" s="33"/>
    </row>
    <row r="174" ht="15.75" customHeight="1">
      <c r="A174" s="33"/>
      <c r="B174" s="33"/>
      <c r="C174" s="34"/>
      <c r="D174" s="34"/>
      <c r="F174" s="33"/>
      <c r="G174" s="33"/>
    </row>
    <row r="175" ht="15.75" customHeight="1">
      <c r="A175" s="33"/>
      <c r="B175" s="33"/>
      <c r="C175" s="34"/>
      <c r="D175" s="34"/>
      <c r="F175" s="33"/>
      <c r="G175" s="33"/>
    </row>
    <row r="176" ht="15.75" customHeight="1">
      <c r="A176" s="33"/>
      <c r="B176" s="33"/>
      <c r="C176" s="34"/>
      <c r="D176" s="34"/>
      <c r="F176" s="33"/>
      <c r="G176" s="33"/>
    </row>
    <row r="177" ht="15.75" customHeight="1">
      <c r="A177" s="33"/>
      <c r="B177" s="33"/>
      <c r="C177" s="34"/>
      <c r="D177" s="34"/>
      <c r="F177" s="33"/>
      <c r="G177" s="33"/>
    </row>
    <row r="178" ht="15.75" customHeight="1">
      <c r="A178" s="33"/>
      <c r="B178" s="33"/>
      <c r="C178" s="34"/>
      <c r="D178" s="34"/>
      <c r="F178" s="33"/>
      <c r="G178" s="33"/>
    </row>
    <row r="179" ht="15.75" customHeight="1">
      <c r="A179" s="33"/>
      <c r="B179" s="33"/>
      <c r="C179" s="34"/>
      <c r="D179" s="34"/>
      <c r="F179" s="33"/>
      <c r="G179" s="33"/>
    </row>
    <row r="180" ht="15.75" customHeight="1">
      <c r="A180" s="33"/>
      <c r="B180" s="33"/>
      <c r="C180" s="34"/>
      <c r="D180" s="34"/>
      <c r="F180" s="33"/>
      <c r="G180" s="33"/>
    </row>
    <row r="181" ht="15.75" customHeight="1">
      <c r="A181" s="33"/>
      <c r="B181" s="33"/>
      <c r="C181" s="34"/>
      <c r="D181" s="34"/>
      <c r="F181" s="33"/>
      <c r="G181" s="33"/>
    </row>
    <row r="182" ht="15.75" customHeight="1">
      <c r="A182" s="33"/>
      <c r="B182" s="33"/>
      <c r="C182" s="34"/>
      <c r="D182" s="34"/>
      <c r="F182" s="33"/>
      <c r="G182" s="33"/>
    </row>
    <row r="183" ht="15.75" customHeight="1">
      <c r="A183" s="33"/>
      <c r="B183" s="33"/>
      <c r="C183" s="34"/>
      <c r="D183" s="34"/>
      <c r="F183" s="33"/>
      <c r="G183" s="33"/>
    </row>
    <row r="184" ht="15.75" customHeight="1">
      <c r="A184" s="33"/>
      <c r="B184" s="33"/>
      <c r="C184" s="34"/>
      <c r="D184" s="34"/>
      <c r="F184" s="33"/>
      <c r="G184" s="33"/>
    </row>
    <row r="185" ht="15.75" customHeight="1">
      <c r="A185" s="33"/>
      <c r="B185" s="33"/>
      <c r="C185" s="34"/>
      <c r="D185" s="34"/>
      <c r="F185" s="33"/>
      <c r="G185" s="33"/>
    </row>
    <row r="186" ht="15.75" customHeight="1">
      <c r="A186" s="33"/>
      <c r="B186" s="33"/>
      <c r="C186" s="34"/>
      <c r="D186" s="34"/>
      <c r="F186" s="33"/>
      <c r="G186" s="33"/>
    </row>
    <row r="187" ht="15.75" customHeight="1">
      <c r="A187" s="33"/>
      <c r="B187" s="33"/>
      <c r="C187" s="34"/>
      <c r="D187" s="34"/>
      <c r="F187" s="33"/>
      <c r="G187" s="33"/>
    </row>
    <row r="188" ht="15.75" customHeight="1">
      <c r="A188" s="33"/>
      <c r="B188" s="33"/>
      <c r="C188" s="34"/>
      <c r="D188" s="34"/>
      <c r="F188" s="33"/>
      <c r="G188" s="33"/>
    </row>
    <row r="189" ht="15.75" customHeight="1">
      <c r="A189" s="33"/>
      <c r="B189" s="33"/>
      <c r="C189" s="34"/>
      <c r="D189" s="34"/>
      <c r="F189" s="33"/>
      <c r="G189" s="33"/>
    </row>
    <row r="190" ht="15.75" customHeight="1">
      <c r="A190" s="33"/>
      <c r="B190" s="33"/>
      <c r="C190" s="34"/>
      <c r="D190" s="34"/>
      <c r="F190" s="33"/>
      <c r="G190" s="33"/>
    </row>
    <row r="191" ht="15.75" customHeight="1">
      <c r="A191" s="33"/>
      <c r="B191" s="33"/>
      <c r="C191" s="34"/>
      <c r="D191" s="34"/>
      <c r="F191" s="33"/>
      <c r="G191" s="33"/>
    </row>
    <row r="192" ht="15.75" customHeight="1">
      <c r="A192" s="33"/>
      <c r="B192" s="33"/>
      <c r="C192" s="34"/>
      <c r="D192" s="34"/>
      <c r="F192" s="33"/>
      <c r="G192" s="33"/>
    </row>
    <row r="193" ht="15.75" customHeight="1">
      <c r="A193" s="33"/>
      <c r="B193" s="33"/>
      <c r="C193" s="34"/>
      <c r="D193" s="34"/>
      <c r="F193" s="33"/>
      <c r="G193" s="33"/>
    </row>
    <row r="194" ht="15.75" customHeight="1">
      <c r="A194" s="33"/>
      <c r="B194" s="33"/>
      <c r="C194" s="34"/>
      <c r="D194" s="34"/>
      <c r="F194" s="33"/>
      <c r="G194" s="33"/>
    </row>
    <row r="195" ht="15.75" customHeight="1">
      <c r="A195" s="33"/>
      <c r="B195" s="33"/>
      <c r="C195" s="34"/>
      <c r="D195" s="34"/>
      <c r="F195" s="33"/>
      <c r="G195" s="33"/>
    </row>
    <row r="196" ht="15.75" customHeight="1">
      <c r="A196" s="33"/>
      <c r="B196" s="33"/>
      <c r="C196" s="34"/>
      <c r="D196" s="34"/>
      <c r="F196" s="33"/>
      <c r="G196" s="33"/>
    </row>
    <row r="197" ht="15.75" customHeight="1">
      <c r="A197" s="33"/>
      <c r="B197" s="33"/>
      <c r="C197" s="34"/>
      <c r="D197" s="34"/>
      <c r="F197" s="33"/>
      <c r="G197" s="33"/>
    </row>
    <row r="198" ht="15.75" customHeight="1">
      <c r="A198" s="33"/>
      <c r="B198" s="33"/>
      <c r="C198" s="34"/>
      <c r="D198" s="34"/>
      <c r="F198" s="33"/>
      <c r="G198" s="33"/>
    </row>
    <row r="199" ht="15.75" customHeight="1">
      <c r="A199" s="33"/>
      <c r="B199" s="33"/>
      <c r="C199" s="34"/>
      <c r="D199" s="34"/>
      <c r="F199" s="33"/>
      <c r="G199" s="33"/>
    </row>
    <row r="200" ht="15.75" customHeight="1">
      <c r="A200" s="33"/>
      <c r="B200" s="33"/>
      <c r="C200" s="34"/>
      <c r="D200" s="34"/>
      <c r="F200" s="33"/>
      <c r="G200" s="33"/>
    </row>
    <row r="201" ht="15.75" customHeight="1">
      <c r="A201" s="33"/>
      <c r="B201" s="33"/>
      <c r="C201" s="34"/>
      <c r="D201" s="34"/>
      <c r="F201" s="33"/>
      <c r="G201" s="33"/>
    </row>
    <row r="202" ht="15.75" customHeight="1">
      <c r="A202" s="33"/>
      <c r="B202" s="33"/>
      <c r="C202" s="34"/>
      <c r="D202" s="34"/>
      <c r="F202" s="33"/>
      <c r="G202" s="33"/>
    </row>
    <row r="203" ht="15.75" customHeight="1">
      <c r="A203" s="33"/>
      <c r="B203" s="33"/>
      <c r="C203" s="34"/>
      <c r="D203" s="34"/>
      <c r="F203" s="33"/>
      <c r="G203" s="33"/>
    </row>
    <row r="204" ht="15.75" customHeight="1">
      <c r="A204" s="33"/>
      <c r="B204" s="33"/>
      <c r="C204" s="34"/>
      <c r="D204" s="34"/>
      <c r="F204" s="33"/>
      <c r="G204" s="33"/>
    </row>
    <row r="205" ht="15.75" customHeight="1">
      <c r="A205" s="33"/>
      <c r="B205" s="33"/>
      <c r="C205" s="34"/>
      <c r="D205" s="34"/>
      <c r="F205" s="33"/>
      <c r="G205" s="33"/>
    </row>
    <row r="206" ht="15.75" customHeight="1">
      <c r="A206" s="33"/>
      <c r="B206" s="33"/>
      <c r="C206" s="34"/>
      <c r="D206" s="34"/>
      <c r="F206" s="33"/>
      <c r="G206" s="33"/>
    </row>
    <row r="207" ht="15.75" customHeight="1">
      <c r="A207" s="33"/>
      <c r="B207" s="33"/>
      <c r="C207" s="34"/>
      <c r="D207" s="34"/>
      <c r="F207" s="33"/>
      <c r="G207" s="33"/>
    </row>
    <row r="208" ht="15.75" customHeight="1">
      <c r="A208" s="33"/>
      <c r="B208" s="33"/>
      <c r="C208" s="34"/>
      <c r="D208" s="34"/>
      <c r="F208" s="33"/>
      <c r="G208" s="33"/>
    </row>
    <row r="209" ht="15.75" customHeight="1">
      <c r="A209" s="33"/>
      <c r="B209" s="33"/>
      <c r="C209" s="34"/>
      <c r="D209" s="34"/>
      <c r="F209" s="33"/>
      <c r="G209" s="33"/>
    </row>
    <row r="210" ht="15.75" customHeight="1">
      <c r="A210" s="33"/>
      <c r="B210" s="33"/>
      <c r="C210" s="34"/>
      <c r="D210" s="34"/>
      <c r="F210" s="33"/>
      <c r="G210" s="33"/>
    </row>
    <row r="211" ht="15.75" customHeight="1">
      <c r="A211" s="33"/>
      <c r="B211" s="33"/>
      <c r="C211" s="34"/>
      <c r="D211" s="34"/>
      <c r="F211" s="33"/>
      <c r="G211" s="33"/>
    </row>
    <row r="212" ht="15.75" customHeight="1">
      <c r="A212" s="33"/>
      <c r="B212" s="33"/>
      <c r="C212" s="34"/>
      <c r="D212" s="34"/>
      <c r="F212" s="33"/>
      <c r="G212" s="33"/>
    </row>
    <row r="213" ht="15.75" customHeight="1">
      <c r="A213" s="33"/>
      <c r="B213" s="33"/>
      <c r="C213" s="34"/>
      <c r="D213" s="34"/>
      <c r="F213" s="33"/>
      <c r="G213" s="33"/>
    </row>
    <row r="214" ht="15.75" customHeight="1">
      <c r="A214" s="33"/>
      <c r="B214" s="33"/>
      <c r="C214" s="34"/>
      <c r="D214" s="34"/>
      <c r="F214" s="33"/>
      <c r="G214" s="33"/>
    </row>
    <row r="215" ht="15.75" customHeight="1">
      <c r="A215" s="33"/>
      <c r="B215" s="33"/>
      <c r="C215" s="34"/>
      <c r="D215" s="34"/>
      <c r="F215" s="33"/>
      <c r="G215" s="33"/>
    </row>
    <row r="216" ht="15.75" customHeight="1">
      <c r="A216" s="33"/>
      <c r="B216" s="33"/>
      <c r="C216" s="34"/>
      <c r="D216" s="34"/>
      <c r="F216" s="33"/>
      <c r="G216" s="33"/>
    </row>
    <row r="217" ht="15.75" customHeight="1">
      <c r="A217" s="33"/>
      <c r="B217" s="33"/>
      <c r="C217" s="34"/>
      <c r="D217" s="34"/>
      <c r="F217" s="33"/>
      <c r="G217" s="33"/>
    </row>
    <row r="218" ht="15.75" customHeight="1">
      <c r="A218" s="33"/>
      <c r="B218" s="33"/>
      <c r="C218" s="34"/>
      <c r="D218" s="34"/>
      <c r="F218" s="33"/>
      <c r="G218" s="33"/>
    </row>
    <row r="219" ht="15.75" customHeight="1">
      <c r="A219" s="33"/>
      <c r="B219" s="33"/>
      <c r="C219" s="34"/>
      <c r="D219" s="34"/>
      <c r="F219" s="33"/>
      <c r="G219" s="33"/>
    </row>
    <row r="220" ht="15.75" customHeight="1">
      <c r="A220" s="33"/>
      <c r="B220" s="33"/>
      <c r="C220" s="34"/>
      <c r="D220" s="34"/>
      <c r="F220" s="33"/>
      <c r="G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44.0"/>
  </cols>
  <sheetData>
    <row r="1" ht="40.5" customHeight="1">
      <c r="A1" s="37" t="s">
        <v>467</v>
      </c>
      <c r="B1" s="37" t="s">
        <v>468</v>
      </c>
      <c r="C1" s="38" t="s">
        <v>469</v>
      </c>
      <c r="D1" s="38" t="s">
        <v>470</v>
      </c>
      <c r="E1" s="39" t="s">
        <v>471</v>
      </c>
      <c r="F1" s="39" t="s">
        <v>472</v>
      </c>
      <c r="G1" s="40" t="s">
        <v>473</v>
      </c>
      <c r="H1" s="40" t="s">
        <v>474</v>
      </c>
      <c r="I1" s="41" t="s">
        <v>475</v>
      </c>
      <c r="J1" s="41" t="s">
        <v>476</v>
      </c>
      <c r="K1" s="42" t="s">
        <v>477</v>
      </c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44.25" customHeight="1">
      <c r="A2" s="43">
        <v>5.0</v>
      </c>
      <c r="B2" s="2" t="s">
        <v>478</v>
      </c>
      <c r="C2" s="44">
        <v>8.0</v>
      </c>
      <c r="D2" s="44">
        <v>1.0</v>
      </c>
      <c r="E2" s="44">
        <v>1.0</v>
      </c>
      <c r="F2" s="44">
        <v>0.75</v>
      </c>
      <c r="G2" s="44">
        <v>0.75</v>
      </c>
      <c r="H2" s="44">
        <v>0.5</v>
      </c>
      <c r="I2" s="44">
        <v>0.5</v>
      </c>
      <c r="J2" s="44">
        <v>0.0</v>
      </c>
      <c r="K2" s="45" t="s">
        <v>479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/>
    <row r="5" ht="15.75" customHeight="1">
      <c r="E5" s="34"/>
    </row>
    <row r="6" ht="15.75" customHeight="1">
      <c r="E6" s="46"/>
    </row>
    <row r="7" ht="15.75" customHeight="1">
      <c r="E7" s="46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2026-03-17T20:45:34Z</dcterms:created>
  <dc:creator>Paolo</dc:creator>
</cp:coreProperties>
</file>