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>
    <definedName hidden="1" localSheetId="1" name="_xlnm._FilterDatabase">Datos_procesados!$A$1:$N$1</definedName>
  </definedNames>
  <calcPr/>
  <extLst>
    <ext uri="GoogleSheetsCustomDataVersion2">
      <go:sheetsCustomData xmlns:go="http://customooxmlschemas.google.com/" r:id="rId12" roundtripDataChecksum="xH90UZuXgXYXbDp4z/plGAdGtLTSYBhQ8qb5R6mqY9Q="/>
    </ext>
  </extLst>
</workbook>
</file>

<file path=xl/sharedStrings.xml><?xml version="1.0" encoding="utf-8"?>
<sst xmlns="http://schemas.openxmlformats.org/spreadsheetml/2006/main" count="1861" uniqueCount="425">
  <si>
    <t>Etiquetas de fila</t>
  </si>
  <si>
    <t>Departamento</t>
  </si>
  <si>
    <t>Municipio</t>
  </si>
  <si>
    <t>Sin bosque 2011</t>
  </si>
  <si>
    <t>Forest cover 2011</t>
  </si>
  <si>
    <t>Deforestación promedio 2012-2014</t>
  </si>
  <si>
    <t>Deforestación promedio 2022-2024</t>
  </si>
  <si>
    <t>Deforestation 2012</t>
  </si>
  <si>
    <t>Deforestation 2013</t>
  </si>
  <si>
    <t>Deforestation 2014</t>
  </si>
  <si>
    <t>Deforestation 2015</t>
  </si>
  <si>
    <t>Deforestation 2016</t>
  </si>
  <si>
    <t>Deforestation 2017</t>
  </si>
  <si>
    <t>Deforestation 2018</t>
  </si>
  <si>
    <t>Deforestation 2019</t>
  </si>
  <si>
    <t>Deforestation 2020</t>
  </si>
  <si>
    <t>Deforestation 2021</t>
  </si>
  <si>
    <t>Deforestation 2022</t>
  </si>
  <si>
    <t>Deforestation 2023</t>
  </si>
  <si>
    <t>Deforestation 2024</t>
  </si>
  <si>
    <t>Forest Loss 2012</t>
  </si>
  <si>
    <t>Forest Loss 2013</t>
  </si>
  <si>
    <t>Forest Loss 2014</t>
  </si>
  <si>
    <t>Forest Loss 2015</t>
  </si>
  <si>
    <t>Forest Loss 2016</t>
  </si>
  <si>
    <t>Forest Loss 2017</t>
  </si>
  <si>
    <t>Forest Loss 2018</t>
  </si>
  <si>
    <t>Forest Loss 2019</t>
  </si>
  <si>
    <t>Forest Loss 2020</t>
  </si>
  <si>
    <t>Forest Loss 2021</t>
  </si>
  <si>
    <t>Forest Loss 2022</t>
  </si>
  <si>
    <t>Forest Loss 2023</t>
  </si>
  <si>
    <t>Forest Loss 2024</t>
  </si>
  <si>
    <t>Tasa deforestación 2012</t>
  </si>
  <si>
    <t>Tasa deforestación 2013</t>
  </si>
  <si>
    <t>Tasa deforestación 2014</t>
  </si>
  <si>
    <t>Tasa deforestación 2015</t>
  </si>
  <si>
    <t>Tasa deforestación 2016</t>
  </si>
  <si>
    <t>Tasa deforestación 2017</t>
  </si>
  <si>
    <t>Tasa deforestación 2018</t>
  </si>
  <si>
    <t>Tasa deforestación 2019</t>
  </si>
  <si>
    <t>Tasa deforestación 2020</t>
  </si>
  <si>
    <t>Tasa deforestación 2021</t>
  </si>
  <si>
    <t>Tasa deforestación 2022</t>
  </si>
  <si>
    <t>Tasa deforestación 2023</t>
  </si>
  <si>
    <t>Tasa deforestación 2024</t>
  </si>
  <si>
    <t>Tasa de pérdida de bosque 2012</t>
  </si>
  <si>
    <t>Tasa de pérdida de bosque 2013</t>
  </si>
  <si>
    <t>Tasa de pérdida de bosque 2014</t>
  </si>
  <si>
    <t>Tasa de pérdida de bosque 2015</t>
  </si>
  <si>
    <t>Tasa de pérdida de bosque 2016</t>
  </si>
  <si>
    <t>Tasa de pérdida de bosque 2017</t>
  </si>
  <si>
    <t>Tasa de pérdida de bosque 2018</t>
  </si>
  <si>
    <t>Tasa de pérdida de bosque 2019</t>
  </si>
  <si>
    <t>Tasa de pérdida de bosque 2020</t>
  </si>
  <si>
    <t>Tasa de pérdida de bosque 2021</t>
  </si>
  <si>
    <t>Tasa de pérdida de bosque 2022</t>
  </si>
  <si>
    <t>Tasa de pérdida de bosque 2023</t>
  </si>
  <si>
    <t>Tasa de pérdida de bosque 2024</t>
  </si>
  <si>
    <t>Chuquisaca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</si>
  <si>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</si>
  <si>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</si>
  <si>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</si>
  <si>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</si>
  <si>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</si>
  <si>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</si>
  <si>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</si>
  <si>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</si>
  <si>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</si>
  <si>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</si>
  <si>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</si>
  <si>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</si>
  <si>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</si>
  <si>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</si>
  <si>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</si>
  <si>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</si>
  <si>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</si>
  <si>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</si>
  <si>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</si>
  <si>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</si>
  <si>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</si>
  <si>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</si>
  <si>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</si>
  <si>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</si>
  <si>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</si>
  <si>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</si>
  <si>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</si>
  <si>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Guarani Chaqueño de Huacaya)</t>
  </si>
  <si>
    <t>Macharetí</t>
  </si>
  <si>
    <t>La Paz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</si>
  <si>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</si>
  <si>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</si>
  <si>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</si>
  <si>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</si>
  <si>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</si>
  <si>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</si>
  <si>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</si>
  <si>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</si>
  <si>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</si>
  <si>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</si>
  <si>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</si>
  <si>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</si>
  <si>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</si>
  <si>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</si>
  <si>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</si>
  <si>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</si>
  <si>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</si>
  <si>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</si>
  <si>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</si>
  <si>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</si>
  <si>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</si>
  <si>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</si>
  <si>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</si>
  <si>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</si>
  <si>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</si>
  <si>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</si>
  <si>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</si>
  <si>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</si>
  <si>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</si>
  <si>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</si>
  <si>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</si>
  <si>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</si>
  <si>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</si>
  <si>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</si>
  <si>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</si>
  <si>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</si>
  <si>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</si>
  <si>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</si>
  <si>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</si>
  <si>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</si>
  <si>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</si>
  <si>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</si>
  <si>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</si>
  <si>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</si>
  <si>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</si>
  <si>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</si>
  <si>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</si>
  <si>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</si>
  <si>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</si>
  <si>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</si>
  <si>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</si>
  <si>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</si>
  <si>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</si>
  <si>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</si>
  <si>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</si>
  <si>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</si>
  <si>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</si>
  <si>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</si>
  <si>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</si>
  <si>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</si>
  <si>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</si>
  <si>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</si>
  <si>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</si>
  <si>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</si>
  <si>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</si>
  <si>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</si>
  <si>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</si>
  <si>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</si>
  <si>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</si>
  <si>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</si>
  <si>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</si>
  <si>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</si>
  <si>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</si>
  <si>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</si>
  <si>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</si>
  <si>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</si>
  <si>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</si>
  <si>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</si>
  <si>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</si>
  <si>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</si>
  <si>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</si>
  <si>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</si>
  <si>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</si>
  <si>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</si>
  <si>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</si>
  <si>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</si>
  <si>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</si>
  <si>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</si>
  <si>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</si>
  <si>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</si>
  <si>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</si>
  <si>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</si>
  <si>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</si>
  <si>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</si>
  <si>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</si>
  <si>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</si>
  <si>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</si>
  <si>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</si>
  <si>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</si>
  <si>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</si>
  <si>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</si>
  <si>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</si>
  <si>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</si>
  <si>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</si>
  <si>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</si>
  <si>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</si>
  <si>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</si>
  <si>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</si>
  <si>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</si>
  <si>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</si>
  <si>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</si>
  <si>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</si>
  <si>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</si>
  <si>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</si>
  <si>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</si>
  <si>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</si>
  <si>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</si>
  <si>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</si>
  <si>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</si>
  <si>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</si>
  <si>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</si>
  <si>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</si>
  <si>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</si>
  <si>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</si>
  <si>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</si>
  <si>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</si>
  <si>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</si>
  <si>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</si>
  <si>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</si>
  <si>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</si>
  <si>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</si>
  <si>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</si>
  <si>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</si>
  <si>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</si>
  <si>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</si>
  <si>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</si>
  <si>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</si>
  <si>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</si>
  <si>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</si>
  <si>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</si>
  <si>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</si>
  <si>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</si>
  <si>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</si>
  <si>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</si>
  <si>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</si>
  <si>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</si>
  <si>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</si>
  <si>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</si>
  <si>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</si>
  <si>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</si>
  <si>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</si>
  <si>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</si>
  <si>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</si>
  <si>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</si>
  <si>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</si>
  <si>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</si>
  <si>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</si>
  <si>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</si>
  <si>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</si>
  <si>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</si>
  <si>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</si>
  <si>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</si>
  <si>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</si>
  <si>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</si>
  <si>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</si>
  <si>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</si>
  <si>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</si>
  <si>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</si>
  <si>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</si>
  <si>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</si>
  <si>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</si>
  <si>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</si>
  <si>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</si>
  <si>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</si>
  <si>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</si>
  <si>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</si>
  <si>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</si>
  <si>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</si>
  <si>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</si>
  <si>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</si>
  <si>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</si>
  <si>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</si>
  <si>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</si>
  <si>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</si>
  <si>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</si>
  <si>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</si>
  <si>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</si>
  <si>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</si>
  <si>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Vitiche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</si>
  <si>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</si>
  <si>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</si>
  <si>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</si>
  <si>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</si>
  <si>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</si>
  <si>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</si>
  <si>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</si>
  <si>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</si>
  <si>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</si>
  <si>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</si>
  <si>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</si>
  <si>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</si>
  <si>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</si>
  <si>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</si>
  <si>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</si>
  <si>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</si>
  <si>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</si>
  <si>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</si>
  <si>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</si>
  <si>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</si>
  <si>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</si>
  <si>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</si>
  <si>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</si>
  <si>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</si>
  <si>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</si>
  <si>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</si>
  <si>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</si>
  <si>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</si>
  <si>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</si>
  <si>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</si>
  <si>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</si>
  <si>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</si>
  <si>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</si>
  <si>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</si>
  <si>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</si>
  <si>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</si>
  <si>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</si>
  <si>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</si>
  <si>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</si>
  <si>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</si>
  <si>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</si>
  <si>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</si>
  <si>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</si>
  <si>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</si>
  <si>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</si>
  <si>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</si>
  <si>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</si>
  <si>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</si>
  <si>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</si>
  <si>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</si>
  <si>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</si>
  <si>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</si>
  <si>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</si>
  <si>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</si>
  <si>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 (Autonomía Guarani Charagua Iyambae)</t>
  </si>
  <si>
    <t>Cabezas</t>
  </si>
  <si>
    <t>Cuevo</t>
  </si>
  <si>
    <t>Gutierrez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</si>
  <si>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</si>
  <si>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</si>
  <si>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</si>
  <si>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</si>
  <si>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</si>
  <si>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</si>
  <si>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</si>
  <si>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</si>
  <si>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</si>
  <si>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</si>
  <si>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</si>
  <si>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</si>
  <si>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</si>
  <si>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</si>
  <si>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</si>
  <si>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</si>
  <si>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</si>
  <si>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</si>
  <si>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</si>
  <si>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</si>
  <si>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</si>
  <si>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</si>
  <si>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</si>
  <si>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</si>
  <si>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</si>
  <si>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</si>
  <si>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</si>
  <si>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Ascensión de Guarayos</t>
  </si>
  <si>
    <t>Urubichá</t>
  </si>
  <si>
    <t>Beni</t>
  </si>
  <si>
    <t>Trinidad</t>
  </si>
  <si>
    <t>Riberalta</t>
  </si>
  <si>
    <t>Guayaramerín</t>
  </si>
  <si>
    <t>Reyes</t>
  </si>
  <si>
    <t>San Borja</t>
  </si>
  <si>
    <t>Santa Rosa</t>
  </si>
  <si>
    <t>Puerto Menor de 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</si>
  <si>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</si>
  <si>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</si>
  <si>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</si>
  <si>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</si>
  <si>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</si>
  <si>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</si>
  <si>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</si>
  <si>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</si>
  <si>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</si>
  <si>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</si>
  <si>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</si>
  <si>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</si>
  <si>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</si>
  <si>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</si>
  <si>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</si>
  <si>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</si>
  <si>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</si>
  <si>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</si>
  <si>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</si>
  <si>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</si>
  <si>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</si>
  <si>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</si>
  <si>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</si>
  <si>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</si>
  <si>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ID</t>
  </si>
  <si>
    <t>Forest Loss Promedio 2012-2014</t>
  </si>
  <si>
    <t>Forest Loss Promedio 2022-2024</t>
  </si>
  <si>
    <t>Tasa promedio de pérdida de bosque 2012-2014</t>
  </si>
  <si>
    <t>Tasa promedio de pérdida de bosque 2022-2024</t>
  </si>
  <si>
    <t>Potosi</t>
  </si>
  <si>
    <t>Bolivia</t>
  </si>
  <si>
    <t>Gran Chaco</t>
  </si>
  <si>
    <t>Promedio</t>
  </si>
  <si>
    <t>Desv. Est.</t>
  </si>
  <si>
    <t>Min</t>
  </si>
  <si>
    <t>Max</t>
  </si>
  <si>
    <t>Obs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</si>
  <si>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</si>
  <si>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</si>
  <si>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</si>
  <si>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</si>
  <si>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</si>
  <si>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</si>
  <si>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</si>
  <si>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</si>
  <si>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</si>
  <si>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</si>
  <si>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</si>
  <si>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</si>
  <si>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promedio de pérdida de bosque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</si>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</sst>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Calibri"/>
    </font>
    <font>
      <b/>
      <sz val="9.0"/>
      <color theme="1"/>
      <name val="Play"/>
    </font>
    <font>
      <sz val="11.0"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3">
    <border/>
    <border>
      <left/>
      <right/>
      <top/>
      <bottom style="thin">
        <color rgb="FF45B0E1"/>
      </bottom>
    </border>
    <border>
      <bottom style="thin">
        <color rgb="FF45B0E1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0" fillId="0" fontId="1" numFmtId="0" xfId="0" applyFont="1"/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1" numFmtId="0" xfId="0" applyAlignment="1" applyFont="1">
      <alignment horizontal="center" shrinkToFit="0" vertical="center" wrapText="1"/>
    </xf>
    <xf borderId="1" fillId="2" fontId="1" numFmtId="0" xfId="0" applyBorder="1" applyFont="1"/>
    <xf borderId="3" fillId="3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3" fillId="5" fontId="2" numFmtId="0" xfId="0" applyBorder="1" applyFill="1" applyFont="1"/>
    <xf borderId="0" fillId="0" fontId="2" numFmtId="165" xfId="0" applyFont="1" applyNumberFormat="1"/>
    <xf borderId="0" fillId="0" fontId="2" numFmtId="3" xfId="0" applyFont="1" applyNumberFormat="1"/>
    <xf borderId="3" fillId="6" fontId="2" numFmtId="0" xfId="0" applyBorder="1" applyFill="1" applyFont="1"/>
    <xf borderId="0" fillId="0" fontId="2" numFmtId="1" xfId="0" applyFont="1" applyNumberFormat="1"/>
    <xf borderId="4" fillId="0" fontId="2" numFmtId="0" xfId="0" applyBorder="1" applyFont="1"/>
    <xf borderId="4" fillId="0" fontId="2" numFmtId="2" xfId="0" applyBorder="1" applyFont="1" applyNumberFormat="1"/>
    <xf borderId="0" fillId="0" fontId="2" numFmtId="2" xfId="0" applyFont="1" applyNumberFormat="1"/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4" fillId="0" fontId="2" numFmtId="165" xfId="0" applyBorder="1" applyFont="1" applyNumberFormat="1"/>
    <xf borderId="9" fillId="0" fontId="2" numFmtId="165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165" xfId="0" applyBorder="1" applyFont="1" applyNumberFormat="1"/>
    <xf borderId="12" fillId="0" fontId="2" numFmtId="165" xfId="0" applyBorder="1" applyFont="1" applyNumberFormat="1"/>
    <xf borderId="4" fillId="0" fontId="1" numFmtId="0" xfId="0" applyAlignment="1" applyBorder="1" applyFont="1">
      <alignment horizontal="center" shrinkToFit="0" vertical="center" wrapText="1"/>
    </xf>
    <xf borderId="4" fillId="0" fontId="2" numFmtId="1" xfId="0" applyBorder="1" applyFont="1" applyNumberFormat="1"/>
    <xf borderId="4" fillId="0" fontId="2" numFmtId="3" xfId="0" applyBorder="1" applyFont="1" applyNumberFormat="1"/>
    <xf borderId="4" fillId="7" fontId="3" numFmtId="0" xfId="0" applyBorder="1" applyFill="1" applyFont="1"/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4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  <tableStyles count="1">
    <tableStyle count="3" pivot="0" name="Datos_originale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81775" cy="442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BG344" displayName="Table_1" name="Table_1" id="1">
  <tableColumns count="59">
    <tableColumn name="Etiquetas de fila" id="1"/>
    <tableColumn name="Departamento" id="2"/>
    <tableColumn name="Municipio" id="3"/>
    <tableColumn name="Sin bosque 2011" id="4"/>
    <tableColumn name="Forest cover 2011" id="5"/>
    <tableColumn name="Deforestación promedio 2012-2014" id="6"/>
    <tableColumn name="Deforestación promedio 2022-2024" id="7"/>
    <tableColumn name="Deforestation 2012" id="8"/>
    <tableColumn name="Deforestation 2013" id="9"/>
    <tableColumn name="Deforestation 2014" id="10"/>
    <tableColumn name="Deforestation 2015" id="11"/>
    <tableColumn name="Deforestation 2016" id="12"/>
    <tableColumn name="Deforestation 2017" id="13"/>
    <tableColumn name="Deforestation 2018" id="14"/>
    <tableColumn name="Deforestation 2019" id="15"/>
    <tableColumn name="Deforestation 2020" id="16"/>
    <tableColumn name="Deforestation 2021" id="17"/>
    <tableColumn name="Deforestation 2022" id="18"/>
    <tableColumn name="Deforestation 2023" id="19"/>
    <tableColumn name="Deforestation 2024" id="20"/>
    <tableColumn name="Forest Loss 2012" id="21"/>
    <tableColumn name="Forest Loss 2013" id="22"/>
    <tableColumn name="Forest Loss 2014" id="23"/>
    <tableColumn name="Forest Loss 2015" id="24"/>
    <tableColumn name="Forest Loss 2016" id="25"/>
    <tableColumn name="Forest Loss 2017" id="26"/>
    <tableColumn name="Forest Loss 2018" id="27"/>
    <tableColumn name="Forest Loss 2019" id="28"/>
    <tableColumn name="Forest Loss 2020" id="29"/>
    <tableColumn name="Forest Loss 2021" id="30"/>
    <tableColumn name="Forest Loss 2022" id="31"/>
    <tableColumn name="Forest Loss 2023" id="32"/>
    <tableColumn name="Forest Loss 2024" id="33"/>
    <tableColumn name="Tasa deforestación 2012" id="34"/>
    <tableColumn name="Tasa deforestación 2013" id="35"/>
    <tableColumn name="Tasa deforestación 2014" id="36"/>
    <tableColumn name="Tasa deforestación 2015" id="37"/>
    <tableColumn name="Tasa deforestación 2016" id="38"/>
    <tableColumn name="Tasa deforestación 2017" id="39"/>
    <tableColumn name="Tasa deforestación 2018" id="40"/>
    <tableColumn name="Tasa deforestación 2019" id="41"/>
    <tableColumn name="Tasa deforestación 2020" id="42"/>
    <tableColumn name="Tasa deforestación 2021" id="43"/>
    <tableColumn name="Tasa deforestación 2022" id="44"/>
    <tableColumn name="Tasa deforestación 2023" id="45"/>
    <tableColumn name="Tasa deforestación 2024" id="46"/>
    <tableColumn name="Tasa de pérdida de bosque 2012" id="47"/>
    <tableColumn name="Tasa de pérdida de bosque 2013" id="48"/>
    <tableColumn name="Tasa de pérdida de bosque 2014" id="49"/>
    <tableColumn name="Tasa de pérdida de bosque 2015" id="50"/>
    <tableColumn name="Tasa de pérdida de bosque 2016" id="51"/>
    <tableColumn name="Tasa de pérdida de bosque 2017" id="52"/>
    <tableColumn name="Tasa de pérdida de bosque 2018" id="53"/>
    <tableColumn name="Tasa de pérdida de bosque 2019" id="54"/>
    <tableColumn name="Tasa de pérdida de bosque 2020" id="55"/>
    <tableColumn name="Tasa de pérdida de bosque 2021" id="56"/>
    <tableColumn name="Tasa de pérdida de bosque 2022" id="57"/>
    <tableColumn name="Tasa de pérdida de bosque 2023" id="58"/>
    <tableColumn name="Tasa de pérdida de bosque 2024" id="59"/>
  </tableColumns>
  <tableStyleInfo name="Datos_origin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4.88"/>
    <col customWidth="1" min="3" max="4" width="18.0"/>
    <col customWidth="1" min="5" max="7" width="17.25"/>
    <col customWidth="1" min="8" max="20" width="18.38"/>
    <col customWidth="1" min="21" max="33" width="16.38"/>
    <col customWidth="1" min="34" max="34" width="12.0"/>
    <col customWidth="1" min="35" max="59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2">
        <v>10101.0</v>
      </c>
      <c r="B2" s="3" t="s">
        <v>59</v>
      </c>
      <c r="C2" s="4" t="s">
        <v>60</v>
      </c>
      <c r="D2" s="4">
        <f>IF(Datos_originales!$E2&lt;1000,"Bosque menor a 1000 ha",Datos_originales!$E2)</f>
        <v>17890.56</v>
      </c>
      <c r="E2" s="4">
        <v>17890.56</v>
      </c>
      <c r="F2" s="5">
        <f>AVERAGE(Datos_originales!$H58:$J58)</f>
        <v>51.45</v>
      </c>
      <c r="G2" s="5">
        <f>AVERAGE(Datos_originales!$R58:$T58)</f>
        <v>131.46</v>
      </c>
      <c r="H2" s="4">
        <v>0.72</v>
      </c>
      <c r="I2" s="4">
        <v>1.98</v>
      </c>
      <c r="J2" s="4">
        <v>2.79</v>
      </c>
      <c r="K2" s="4">
        <v>1.26</v>
      </c>
      <c r="L2" s="4">
        <v>3.15</v>
      </c>
      <c r="M2" s="4">
        <v>2.7</v>
      </c>
      <c r="N2" s="4">
        <v>1.08</v>
      </c>
      <c r="O2" s="4">
        <v>0.45</v>
      </c>
      <c r="P2" s="4">
        <v>1.8</v>
      </c>
      <c r="Q2" s="4">
        <v>0.72</v>
      </c>
      <c r="R2" s="4">
        <v>0.09</v>
      </c>
      <c r="S2" s="4">
        <v>28.8</v>
      </c>
      <c r="T2" s="4">
        <v>20.07</v>
      </c>
      <c r="U2" s="4">
        <v>34.56</v>
      </c>
      <c r="V2" s="4">
        <v>19.53</v>
      </c>
      <c r="W2" s="4">
        <v>233.73</v>
      </c>
      <c r="X2" s="4">
        <v>5.58</v>
      </c>
      <c r="Y2" s="4">
        <v>7.199999999999999</v>
      </c>
      <c r="Z2" s="4">
        <v>11.7</v>
      </c>
      <c r="AA2" s="4">
        <v>14.4</v>
      </c>
      <c r="AB2" s="4">
        <v>7.65</v>
      </c>
      <c r="AC2" s="4">
        <v>41.22</v>
      </c>
      <c r="AD2" s="4">
        <v>3.87</v>
      </c>
      <c r="AE2" s="4">
        <v>1.08</v>
      </c>
      <c r="AF2" s="4">
        <v>44.64</v>
      </c>
      <c r="AG2" s="4">
        <v>527.5799999999999</v>
      </c>
      <c r="AH2" s="6">
        <f>Datos_originales!$H58/Datos_originales!$E58</f>
        <v>0.0008730919595</v>
      </c>
      <c r="AI2" s="6">
        <f>Datos_originales!$I58/Datos_originales!$E58</f>
        <v>0.0008902114096</v>
      </c>
      <c r="AJ2" s="6">
        <f>Datos_originales!$J58/Datos_originales!$E58</f>
        <v>0.0009057745462</v>
      </c>
      <c r="AK2" s="6">
        <f>Datos_originales!$K58/Datos_originales!$E58</f>
        <v>0.0005135835056</v>
      </c>
      <c r="AL2" s="6">
        <f>Datos_originales!$L58/Datos_originales!$E58</f>
        <v>0.0006972285166</v>
      </c>
      <c r="AM2" s="6">
        <f>Datos_originales!$M58/Datos_originales!$E58</f>
        <v>0.0003361637491</v>
      </c>
      <c r="AN2" s="6">
        <f>Datos_originales!$N58/Datos_originales!$E58</f>
        <v>0.0008108394133</v>
      </c>
      <c r="AO2" s="6">
        <f>Datos_originales!$O58/Datos_originales!$E58</f>
        <v>0.0003875220997</v>
      </c>
      <c r="AP2" s="6">
        <f>Datos_originales!$P58/Datos_originales!$E58</f>
        <v>0.001238825668</v>
      </c>
      <c r="AQ2" s="6">
        <f>Datos_originales!$Q58/Datos_originales!$E58</f>
        <v>0.0001540750517</v>
      </c>
      <c r="AR2" s="6">
        <f>Datos_originales!$R58/Datos_originales!$E58</f>
        <v>0.000390634727</v>
      </c>
      <c r="AS2" s="6">
        <f>Datos_originales!$S58/Datos_originales!$E58</f>
        <v>0.003548395129</v>
      </c>
      <c r="AT2" s="6">
        <f>Datos_originales!$T58/Datos_originales!$E58</f>
        <v>0.002880736572</v>
      </c>
      <c r="AU2" s="6">
        <f>Datos_originales!$U58/Datos_originales!$E58</f>
        <v>0.005717896362</v>
      </c>
      <c r="AV2" s="6">
        <f>Datos_originales!$V58/Datos_originales!$E58</f>
        <v>0.002269105306</v>
      </c>
      <c r="AW2" s="6">
        <f>Datos_originales!$W58/Datos_originales!$E58</f>
        <v>0.003271371299</v>
      </c>
      <c r="AX2" s="6">
        <f>Datos_originales!$X58/Datos_originales!$E58</f>
        <v>0.001441146443</v>
      </c>
      <c r="AY2" s="6">
        <f>Datos_originales!$Y58/Datos_originales!$E58</f>
        <v>0.00118435469</v>
      </c>
      <c r="AZ2" s="6">
        <f>Datos_originales!$Z58/Datos_originales!$E58</f>
        <v>0.0005307029558</v>
      </c>
      <c r="BA2" s="6">
        <f>Datos_originales!$AA58/Datos_originales!$E58</f>
        <v>0.001257501432</v>
      </c>
      <c r="BB2" s="6">
        <f>Datos_originales!$AB58/Datos_originales!$E58</f>
        <v>0.003881446251</v>
      </c>
      <c r="BC2" s="6">
        <f>Datos_originales!$AC58/Datos_originales!$E58</f>
        <v>0.00181466172</v>
      </c>
      <c r="BD2" s="6">
        <f>Datos_originales!$AD58/Datos_originales!$E58</f>
        <v>0.0005898428746</v>
      </c>
      <c r="BE2" s="6">
        <f>Datos_originales!$AE58/Datos_originales!$E58</f>
        <v>0.0005664981698</v>
      </c>
      <c r="BF2" s="6">
        <f>Datos_originales!$AF58/Datos_originales!$E58</f>
        <v>0.004147575886</v>
      </c>
      <c r="BG2" s="6">
        <f>Datos_originales!$AG58/Datos_originales!$E58</f>
        <v>0.01637708857</v>
      </c>
    </row>
    <row r="3">
      <c r="A3" s="2">
        <v>10102.0</v>
      </c>
      <c r="B3" s="3" t="s">
        <v>59</v>
      </c>
      <c r="C3" s="4" t="s">
        <v>61</v>
      </c>
      <c r="D3" s="4">
        <f>IF(Datos_originales!$E3&lt;1000,"Bosque menor a 1000 ha",Datos_originales!$E3)</f>
        <v>1252.89</v>
      </c>
      <c r="E3" s="4">
        <v>1252.89</v>
      </c>
      <c r="F3" s="5">
        <f>AVERAGE(Datos_originales!$H128:$J128)</f>
        <v>0.03</v>
      </c>
      <c r="G3" s="5">
        <f>AVERAGE(Datos_originales!$R128:$T128)</f>
        <v>0.75</v>
      </c>
      <c r="H3" s="4">
        <v>1.26</v>
      </c>
      <c r="I3" s="4">
        <v>0.99</v>
      </c>
      <c r="J3" s="4">
        <v>1.35</v>
      </c>
      <c r="K3" s="4">
        <v>1.71</v>
      </c>
      <c r="L3" s="4">
        <v>1.62</v>
      </c>
      <c r="M3" s="4">
        <v>1.17</v>
      </c>
      <c r="N3" s="4">
        <v>0.45</v>
      </c>
      <c r="O3" s="4">
        <v>1.8</v>
      </c>
      <c r="P3" s="4">
        <v>0.81</v>
      </c>
      <c r="Q3" s="4">
        <v>0.63</v>
      </c>
      <c r="R3" s="4">
        <v>0.0</v>
      </c>
      <c r="S3" s="4">
        <v>2.07</v>
      </c>
      <c r="T3" s="4">
        <v>4.68</v>
      </c>
      <c r="U3" s="4">
        <v>3.69</v>
      </c>
      <c r="V3" s="4">
        <v>3.96</v>
      </c>
      <c r="W3" s="4">
        <v>24.03</v>
      </c>
      <c r="X3" s="4">
        <v>2.7</v>
      </c>
      <c r="Y3" s="4">
        <v>2.61</v>
      </c>
      <c r="Z3" s="4">
        <v>1.44</v>
      </c>
      <c r="AA3" s="4">
        <v>1.08</v>
      </c>
      <c r="AB3" s="4">
        <v>2.34</v>
      </c>
      <c r="AC3" s="4">
        <v>1.17</v>
      </c>
      <c r="AD3" s="4">
        <v>1.62</v>
      </c>
      <c r="AE3" s="4">
        <v>0.18</v>
      </c>
      <c r="AF3" s="4">
        <v>2.52</v>
      </c>
      <c r="AG3" s="4">
        <v>8.73</v>
      </c>
      <c r="AH3" s="6">
        <f>Datos_originales!$H128/Datos_originales!$E128</f>
        <v>0</v>
      </c>
      <c r="AI3" s="6">
        <f>Datos_originales!$I128/Datos_originales!$E128</f>
        <v>0.0006887052342</v>
      </c>
      <c r="AJ3" s="6">
        <f>Datos_originales!$J128/Datos_originales!$E128</f>
        <v>0</v>
      </c>
      <c r="AK3" s="6">
        <f>Datos_originales!$K128/Datos_originales!$E128</f>
        <v>0</v>
      </c>
      <c r="AL3" s="6">
        <f>Datos_originales!$L128/Datos_originales!$E128</f>
        <v>0</v>
      </c>
      <c r="AM3" s="6">
        <f>Datos_originales!$M128/Datos_originales!$E128</f>
        <v>0</v>
      </c>
      <c r="AN3" s="6">
        <f>Datos_originales!$N128/Datos_originales!$E128</f>
        <v>0</v>
      </c>
      <c r="AO3" s="6">
        <f>Datos_originales!$O128/Datos_originales!$E128</f>
        <v>0</v>
      </c>
      <c r="AP3" s="6">
        <f>Datos_originales!$P128/Datos_originales!$E128</f>
        <v>0</v>
      </c>
      <c r="AQ3" s="6">
        <f>Datos_originales!$Q128/Datos_originales!$E128</f>
        <v>0.006198347107</v>
      </c>
      <c r="AR3" s="6">
        <f>Datos_originales!$R128/Datos_originales!$E128</f>
        <v>0.006198347107</v>
      </c>
      <c r="AS3" s="6">
        <f>Datos_originales!$S128/Datos_originales!$E128</f>
        <v>0.01033057851</v>
      </c>
      <c r="AT3" s="6">
        <f>Datos_originales!$T128/Datos_originales!$E128</f>
        <v>0.0006887052342</v>
      </c>
      <c r="AU3" s="6">
        <f>Datos_originales!$U128/Datos_originales!$E128</f>
        <v>0.006198347107</v>
      </c>
      <c r="AV3" s="6">
        <f>Datos_originales!$V128/Datos_originales!$E128</f>
        <v>0.004820936639</v>
      </c>
      <c r="AW3" s="6">
        <f>Datos_originales!$W128/Datos_originales!$E128</f>
        <v>0.01377410468</v>
      </c>
      <c r="AX3" s="6">
        <f>Datos_originales!$X128/Datos_originales!$E128</f>
        <v>0.001377410468</v>
      </c>
      <c r="AY3" s="6">
        <f>Datos_originales!$Y128/Datos_originales!$E128</f>
        <v>0.005509641873</v>
      </c>
      <c r="AZ3" s="6">
        <f>Datos_originales!$Z128/Datos_originales!$E128</f>
        <v>0.03443526171</v>
      </c>
      <c r="BA3" s="6">
        <f>Datos_originales!$AA128/Datos_originales!$E128</f>
        <v>0.07438016529</v>
      </c>
      <c r="BB3" s="6">
        <f>Datos_originales!$AB128/Datos_originales!$E128</f>
        <v>0.03512396694</v>
      </c>
      <c r="BC3" s="6">
        <f>Datos_originales!$AC128/Datos_originales!$E128</f>
        <v>0.006198347107</v>
      </c>
      <c r="BD3" s="6">
        <f>Datos_originales!$AD128/Datos_originales!$E128</f>
        <v>0.007575757576</v>
      </c>
      <c r="BE3" s="6">
        <f>Datos_originales!$AE128/Datos_originales!$E128</f>
        <v>0.006887052342</v>
      </c>
      <c r="BF3" s="6">
        <f>Datos_originales!$AF128/Datos_originales!$E128</f>
        <v>0.07369146006</v>
      </c>
      <c r="BG3" s="6">
        <f>Datos_originales!$AG128/Datos_originales!$E128</f>
        <v>0.001377410468</v>
      </c>
    </row>
    <row r="4">
      <c r="A4" s="2">
        <v>10103.0</v>
      </c>
      <c r="B4" s="3" t="s">
        <v>59</v>
      </c>
      <c r="C4" s="4" t="s">
        <v>62</v>
      </c>
      <c r="D4" s="4">
        <f>IF(Datos_originales!$E4&lt;1000,"Bosque menor a 1000 ha",Datos_originales!$E4)</f>
        <v>26070.66</v>
      </c>
      <c r="E4" s="4">
        <v>26070.66</v>
      </c>
      <c r="F4" s="5">
        <f>AVERAGE(Datos_originales!$H229:$J229)</f>
        <v>0</v>
      </c>
      <c r="G4" s="5">
        <f>AVERAGE(Datos_originales!$R229:$T229)</f>
        <v>0</v>
      </c>
      <c r="H4" s="4">
        <v>0.45</v>
      </c>
      <c r="I4" s="4">
        <v>0.0</v>
      </c>
      <c r="J4" s="4">
        <v>0.09</v>
      </c>
      <c r="K4" s="4">
        <v>0.0</v>
      </c>
      <c r="L4" s="4">
        <v>1.44</v>
      </c>
      <c r="M4" s="4">
        <v>0.0</v>
      </c>
      <c r="N4" s="4">
        <v>0.18</v>
      </c>
      <c r="O4" s="4">
        <v>0.9</v>
      </c>
      <c r="P4" s="4">
        <v>0.54</v>
      </c>
      <c r="Q4" s="4">
        <v>0.0</v>
      </c>
      <c r="R4" s="4">
        <v>0.09</v>
      </c>
      <c r="S4" s="4">
        <v>7.109999999999999</v>
      </c>
      <c r="T4" s="4">
        <v>0.54</v>
      </c>
      <c r="U4" s="4">
        <v>53.46</v>
      </c>
      <c r="V4" s="4">
        <v>32.49</v>
      </c>
      <c r="W4" s="4">
        <v>270.0</v>
      </c>
      <c r="X4" s="4">
        <v>10.71</v>
      </c>
      <c r="Y4" s="4">
        <v>8.73</v>
      </c>
      <c r="Z4" s="4">
        <v>11.07</v>
      </c>
      <c r="AA4" s="4">
        <v>16.56</v>
      </c>
      <c r="AB4" s="4">
        <v>41.94</v>
      </c>
      <c r="AC4" s="4">
        <v>103.59</v>
      </c>
      <c r="AD4" s="4">
        <v>0.72</v>
      </c>
      <c r="AE4" s="4">
        <v>1.98</v>
      </c>
      <c r="AF4" s="4">
        <v>67.23</v>
      </c>
      <c r="AG4" s="4">
        <v>3.51</v>
      </c>
      <c r="AH4" s="6" t="str">
        <f>Datos_originales!$H229/Datos_originales!$E229</f>
        <v>#DIV/0!</v>
      </c>
      <c r="AI4" s="6" t="str">
        <f>Datos_originales!$I229/Datos_originales!$E229</f>
        <v>#DIV/0!</v>
      </c>
      <c r="AJ4" s="6" t="str">
        <f>Datos_originales!$J229/Datos_originales!$E229</f>
        <v>#DIV/0!</v>
      </c>
      <c r="AK4" s="6" t="str">
        <f>Datos_originales!$K229/Datos_originales!$E229</f>
        <v>#DIV/0!</v>
      </c>
      <c r="AL4" s="6" t="str">
        <f>Datos_originales!$L229/Datos_originales!$E229</f>
        <v>#DIV/0!</v>
      </c>
      <c r="AM4" s="6" t="str">
        <f>Datos_originales!$M229/Datos_originales!$E229</f>
        <v>#DIV/0!</v>
      </c>
      <c r="AN4" s="6" t="str">
        <f>Datos_originales!$N229/Datos_originales!$E229</f>
        <v>#DIV/0!</v>
      </c>
      <c r="AO4" s="6" t="str">
        <f>Datos_originales!$O229/Datos_originales!$E229</f>
        <v>#DIV/0!</v>
      </c>
      <c r="AP4" s="6" t="str">
        <f>Datos_originales!$P229/Datos_originales!$E229</f>
        <v>#DIV/0!</v>
      </c>
      <c r="AQ4" s="6" t="str">
        <f>Datos_originales!$Q229/Datos_originales!$E229</f>
        <v>#DIV/0!</v>
      </c>
      <c r="AR4" s="6" t="str">
        <f>Datos_originales!$R229/Datos_originales!$E229</f>
        <v>#DIV/0!</v>
      </c>
      <c r="AS4" s="6" t="str">
        <f>Datos_originales!$S229/Datos_originales!$E229</f>
        <v>#DIV/0!</v>
      </c>
      <c r="AT4" s="6" t="str">
        <f>Datos_originales!$T229/Datos_originales!$E229</f>
        <v>#DIV/0!</v>
      </c>
      <c r="AU4" s="6" t="str">
        <f>Datos_originales!$U229/Datos_originales!$E229</f>
        <v>#DIV/0!</v>
      </c>
      <c r="AV4" s="6" t="str">
        <f>Datos_originales!$V229/Datos_originales!$E229</f>
        <v>#DIV/0!</v>
      </c>
      <c r="AW4" s="6" t="str">
        <f>Datos_originales!$W229/Datos_originales!$E229</f>
        <v>#DIV/0!</v>
      </c>
      <c r="AX4" s="6" t="str">
        <f>Datos_originales!$X229/Datos_originales!$E229</f>
        <v>#DIV/0!</v>
      </c>
      <c r="AY4" s="6" t="str">
        <f>Datos_originales!$Y229/Datos_originales!$E229</f>
        <v>#DIV/0!</v>
      </c>
      <c r="AZ4" s="6" t="str">
        <f>Datos_originales!$Z229/Datos_originales!$E229</f>
        <v>#DIV/0!</v>
      </c>
      <c r="BA4" s="6" t="str">
        <f>Datos_originales!$AA229/Datos_originales!$E229</f>
        <v>#DIV/0!</v>
      </c>
      <c r="BB4" s="6" t="str">
        <f>Datos_originales!$AB229/Datos_originales!$E229</f>
        <v>#DIV/0!</v>
      </c>
      <c r="BC4" s="6" t="str">
        <f>Datos_originales!$AC229/Datos_originales!$E229</f>
        <v>#DIV/0!</v>
      </c>
      <c r="BD4" s="6" t="str">
        <f>Datos_originales!$AD229/Datos_originales!$E229</f>
        <v>#DIV/0!</v>
      </c>
      <c r="BE4" s="6" t="str">
        <f>Datos_originales!$AE229/Datos_originales!$E229</f>
        <v>#DIV/0!</v>
      </c>
      <c r="BF4" s="6" t="str">
        <f>Datos_originales!$AF229/Datos_originales!$E229</f>
        <v>#DIV/0!</v>
      </c>
      <c r="BG4" s="6" t="str">
        <f>Datos_originales!$AG229/Datos_originales!$E229</f>
        <v>#DIV/0!</v>
      </c>
    </row>
    <row r="5">
      <c r="A5" s="2">
        <v>10201.0</v>
      </c>
      <c r="B5" s="3" t="s">
        <v>59</v>
      </c>
      <c r="C5" s="4" t="s">
        <v>63</v>
      </c>
      <c r="D5" s="4">
        <f>IF(Datos_originales!$E5&lt;1000,"Bosque menor a 1000 ha",Datos_originales!$E5)</f>
        <v>93727.26</v>
      </c>
      <c r="E5" s="4">
        <v>93727.26</v>
      </c>
      <c r="F5" s="5">
        <f>AVERAGE(Datos_originales!$H178:$J178)</f>
        <v>0</v>
      </c>
      <c r="G5" s="5">
        <f>AVERAGE(Datos_originales!$R178:$T178)</f>
        <v>0</v>
      </c>
      <c r="H5" s="4">
        <v>24.84</v>
      </c>
      <c r="I5" s="4">
        <v>57.96</v>
      </c>
      <c r="J5" s="4">
        <v>103.59</v>
      </c>
      <c r="K5" s="4">
        <v>61.38</v>
      </c>
      <c r="L5" s="4">
        <v>77.22</v>
      </c>
      <c r="M5" s="4">
        <v>143.91</v>
      </c>
      <c r="N5" s="4">
        <v>105.66</v>
      </c>
      <c r="O5" s="4">
        <v>82.35</v>
      </c>
      <c r="P5" s="4">
        <v>128.79</v>
      </c>
      <c r="Q5" s="4">
        <v>47.25</v>
      </c>
      <c r="R5" s="4">
        <v>95.58</v>
      </c>
      <c r="S5" s="4">
        <v>512.64</v>
      </c>
      <c r="T5" s="4">
        <v>244.62</v>
      </c>
      <c r="U5" s="4">
        <v>43.74</v>
      </c>
      <c r="V5" s="4">
        <v>80.46000000000001</v>
      </c>
      <c r="W5" s="4">
        <v>544.41</v>
      </c>
      <c r="X5" s="4">
        <v>75.86999999999999</v>
      </c>
      <c r="Y5" s="4">
        <v>89.91</v>
      </c>
      <c r="Z5" s="4">
        <v>153.18</v>
      </c>
      <c r="AA5" s="4">
        <v>116.28</v>
      </c>
      <c r="AB5" s="4">
        <v>104.58</v>
      </c>
      <c r="AC5" s="4">
        <v>143.01</v>
      </c>
      <c r="AD5" s="4">
        <v>63.45</v>
      </c>
      <c r="AE5" s="4">
        <v>174.51</v>
      </c>
      <c r="AF5" s="4">
        <v>572.31</v>
      </c>
      <c r="AG5" s="4">
        <v>252.36</v>
      </c>
      <c r="AH5" s="6" t="str">
        <f>Datos_originales!$H178/Datos_originales!$E178</f>
        <v>#DIV/0!</v>
      </c>
      <c r="AI5" s="6" t="str">
        <f>Datos_originales!$I178/Datos_originales!$E178</f>
        <v>#DIV/0!</v>
      </c>
      <c r="AJ5" s="6" t="str">
        <f>Datos_originales!$J178/Datos_originales!$E178</f>
        <v>#DIV/0!</v>
      </c>
      <c r="AK5" s="6" t="str">
        <f>Datos_originales!$K178/Datos_originales!$E178</f>
        <v>#DIV/0!</v>
      </c>
      <c r="AL5" s="6" t="str">
        <f>Datos_originales!$L178/Datos_originales!$E178</f>
        <v>#DIV/0!</v>
      </c>
      <c r="AM5" s="6" t="str">
        <f>Datos_originales!$M178/Datos_originales!$E178</f>
        <v>#DIV/0!</v>
      </c>
      <c r="AN5" s="6" t="str">
        <f>Datos_originales!$N178/Datos_originales!$E178</f>
        <v>#DIV/0!</v>
      </c>
      <c r="AO5" s="6" t="str">
        <f>Datos_originales!$O178/Datos_originales!$E178</f>
        <v>#DIV/0!</v>
      </c>
      <c r="AP5" s="6" t="str">
        <f>Datos_originales!$P178/Datos_originales!$E178</f>
        <v>#DIV/0!</v>
      </c>
      <c r="AQ5" s="6" t="str">
        <f>Datos_originales!$Q178/Datos_originales!$E178</f>
        <v>#DIV/0!</v>
      </c>
      <c r="AR5" s="6" t="str">
        <f>Datos_originales!$R178/Datos_originales!$E178</f>
        <v>#DIV/0!</v>
      </c>
      <c r="AS5" s="6" t="str">
        <f>Datos_originales!$S178/Datos_originales!$E178</f>
        <v>#DIV/0!</v>
      </c>
      <c r="AT5" s="6" t="str">
        <f>Datos_originales!$T178/Datos_originales!$E178</f>
        <v>#DIV/0!</v>
      </c>
      <c r="AU5" s="6" t="str">
        <f>Datos_originales!$U178/Datos_originales!$E178</f>
        <v>#DIV/0!</v>
      </c>
      <c r="AV5" s="6" t="str">
        <f>Datos_originales!$V178/Datos_originales!$E178</f>
        <v>#DIV/0!</v>
      </c>
      <c r="AW5" s="6" t="str">
        <f>Datos_originales!$W178/Datos_originales!$E178</f>
        <v>#DIV/0!</v>
      </c>
      <c r="AX5" s="6" t="str">
        <f>Datos_originales!$X178/Datos_originales!$E178</f>
        <v>#DIV/0!</v>
      </c>
      <c r="AY5" s="6" t="str">
        <f>Datos_originales!$Y178/Datos_originales!$E178</f>
        <v>#DIV/0!</v>
      </c>
      <c r="AZ5" s="6" t="str">
        <f>Datos_originales!$Z178/Datos_originales!$E178</f>
        <v>#DIV/0!</v>
      </c>
      <c r="BA5" s="6" t="str">
        <f>Datos_originales!$AA178/Datos_originales!$E178</f>
        <v>#DIV/0!</v>
      </c>
      <c r="BB5" s="6" t="str">
        <f>Datos_originales!$AB178/Datos_originales!$E178</f>
        <v>#DIV/0!</v>
      </c>
      <c r="BC5" s="6" t="str">
        <f>Datos_originales!$AC178/Datos_originales!$E178</f>
        <v>#DIV/0!</v>
      </c>
      <c r="BD5" s="6" t="str">
        <f>Datos_originales!$AD178/Datos_originales!$E178</f>
        <v>#DIV/0!</v>
      </c>
      <c r="BE5" s="6" t="str">
        <f>Datos_originales!$AE178/Datos_originales!$E178</f>
        <v>#DIV/0!</v>
      </c>
      <c r="BF5" s="6" t="str">
        <f>Datos_originales!$AF178/Datos_originales!$E178</f>
        <v>#DIV/0!</v>
      </c>
      <c r="BG5" s="6" t="str">
        <f>Datos_originales!$AG178/Datos_originales!$E178</f>
        <v>#DIV/0!</v>
      </c>
    </row>
    <row r="6">
      <c r="A6" s="2">
        <v>10202.0</v>
      </c>
      <c r="B6" s="3" t="s">
        <v>59</v>
      </c>
      <c r="C6" s="4" t="s">
        <v>64</v>
      </c>
      <c r="D6" s="4">
        <f>IF(Datos_originales!$E6&lt;1000,"Bosque menor a 1000 ha",Datos_originales!$E6)</f>
        <v>39639.24</v>
      </c>
      <c r="E6" s="4">
        <v>39639.24</v>
      </c>
      <c r="F6" s="5">
        <f>AVERAGE(Datos_originales!$H208:$J208)</f>
        <v>0</v>
      </c>
      <c r="G6" s="5">
        <f>AVERAGE(Datos_originales!$R208:$T208)</f>
        <v>0</v>
      </c>
      <c r="H6" s="4">
        <v>6.75</v>
      </c>
      <c r="I6" s="4">
        <v>17.91</v>
      </c>
      <c r="J6" s="4">
        <v>21.33</v>
      </c>
      <c r="K6" s="4">
        <v>18.36</v>
      </c>
      <c r="L6" s="4">
        <v>12.06</v>
      </c>
      <c r="M6" s="4">
        <v>34.02</v>
      </c>
      <c r="N6" s="4">
        <v>23.31</v>
      </c>
      <c r="O6" s="4">
        <v>47.16</v>
      </c>
      <c r="P6" s="4">
        <v>38.52</v>
      </c>
      <c r="Q6" s="4">
        <v>23.94</v>
      </c>
      <c r="R6" s="4">
        <v>3.78</v>
      </c>
      <c r="S6" s="4">
        <v>130.59</v>
      </c>
      <c r="T6" s="4">
        <v>43.56</v>
      </c>
      <c r="U6" s="4">
        <v>20.52</v>
      </c>
      <c r="V6" s="4">
        <v>43.11</v>
      </c>
      <c r="W6" s="4">
        <v>417.69</v>
      </c>
      <c r="X6" s="4">
        <v>44.1</v>
      </c>
      <c r="Y6" s="4">
        <v>27.72</v>
      </c>
      <c r="Z6" s="4">
        <v>41.13</v>
      </c>
      <c r="AA6" s="4">
        <v>43.02</v>
      </c>
      <c r="AB6" s="4">
        <v>81.63</v>
      </c>
      <c r="AC6" s="4">
        <v>49.77</v>
      </c>
      <c r="AD6" s="4">
        <v>31.41</v>
      </c>
      <c r="AE6" s="4">
        <v>169.74</v>
      </c>
      <c r="AF6" s="4">
        <v>182.88</v>
      </c>
      <c r="AG6" s="4">
        <v>45.0</v>
      </c>
      <c r="AH6" s="6" t="str">
        <f>Datos_originales!$H208/Datos_originales!$E208</f>
        <v>#DIV/0!</v>
      </c>
      <c r="AI6" s="6" t="str">
        <f>Datos_originales!$I208/Datos_originales!$E208</f>
        <v>#DIV/0!</v>
      </c>
      <c r="AJ6" s="6" t="str">
        <f>Datos_originales!$J208/Datos_originales!$E208</f>
        <v>#DIV/0!</v>
      </c>
      <c r="AK6" s="6" t="str">
        <f>Datos_originales!$K208/Datos_originales!$E208</f>
        <v>#DIV/0!</v>
      </c>
      <c r="AL6" s="6" t="str">
        <f>Datos_originales!$L208/Datos_originales!$E208</f>
        <v>#DIV/0!</v>
      </c>
      <c r="AM6" s="6" t="str">
        <f>Datos_originales!$M208/Datos_originales!$E208</f>
        <v>#DIV/0!</v>
      </c>
      <c r="AN6" s="6" t="str">
        <f>Datos_originales!$N208/Datos_originales!$E208</f>
        <v>#DIV/0!</v>
      </c>
      <c r="AO6" s="6" t="str">
        <f>Datos_originales!$O208/Datos_originales!$E208</f>
        <v>#DIV/0!</v>
      </c>
      <c r="AP6" s="6" t="str">
        <f>Datos_originales!$P208/Datos_originales!$E208</f>
        <v>#DIV/0!</v>
      </c>
      <c r="AQ6" s="6" t="str">
        <f>Datos_originales!$Q208/Datos_originales!$E208</f>
        <v>#DIV/0!</v>
      </c>
      <c r="AR6" s="6" t="str">
        <f>Datos_originales!$R208/Datos_originales!$E208</f>
        <v>#DIV/0!</v>
      </c>
      <c r="AS6" s="6" t="str">
        <f>Datos_originales!$S208/Datos_originales!$E208</f>
        <v>#DIV/0!</v>
      </c>
      <c r="AT6" s="6" t="str">
        <f>Datos_originales!$T208/Datos_originales!$E208</f>
        <v>#DIV/0!</v>
      </c>
      <c r="AU6" s="6" t="str">
        <f>Datos_originales!$U208/Datos_originales!$E208</f>
        <v>#DIV/0!</v>
      </c>
      <c r="AV6" s="6" t="str">
        <f>Datos_originales!$V208/Datos_originales!$E208</f>
        <v>#DIV/0!</v>
      </c>
      <c r="AW6" s="6" t="str">
        <f>Datos_originales!$W208/Datos_originales!$E208</f>
        <v>#DIV/0!</v>
      </c>
      <c r="AX6" s="6" t="str">
        <f>Datos_originales!$X208/Datos_originales!$E208</f>
        <v>#DIV/0!</v>
      </c>
      <c r="AY6" s="6" t="str">
        <f>Datos_originales!$Y208/Datos_originales!$E208</f>
        <v>#DIV/0!</v>
      </c>
      <c r="AZ6" s="6" t="str">
        <f>Datos_originales!$Z208/Datos_originales!$E208</f>
        <v>#DIV/0!</v>
      </c>
      <c r="BA6" s="6" t="str">
        <f>Datos_originales!$AA208/Datos_originales!$E208</f>
        <v>#DIV/0!</v>
      </c>
      <c r="BB6" s="6" t="str">
        <f>Datos_originales!$AB208/Datos_originales!$E208</f>
        <v>#DIV/0!</v>
      </c>
      <c r="BC6" s="6" t="str">
        <f>Datos_originales!$AC208/Datos_originales!$E208</f>
        <v>#DIV/0!</v>
      </c>
      <c r="BD6" s="6" t="str">
        <f>Datos_originales!$AD208/Datos_originales!$E208</f>
        <v>#DIV/0!</v>
      </c>
      <c r="BE6" s="6" t="str">
        <f>Datos_originales!$AE208/Datos_originales!$E208</f>
        <v>#DIV/0!</v>
      </c>
      <c r="BF6" s="6" t="str">
        <f>Datos_originales!$AF208/Datos_originales!$E208</f>
        <v>#DIV/0!</v>
      </c>
      <c r="BG6" s="6" t="str">
        <f>Datos_originales!$AG208/Datos_originales!$E208</f>
        <v>#DIV/0!</v>
      </c>
    </row>
    <row r="7">
      <c r="A7" s="2">
        <v>10301.0</v>
      </c>
      <c r="B7" s="3" t="s">
        <v>59</v>
      </c>
      <c r="C7" s="4" t="s">
        <v>65</v>
      </c>
      <c r="D7" s="4">
        <f>IF(Datos_originales!$E7&lt;1000,"Bosque menor a 1000 ha",Datos_originales!$E7)</f>
        <v>9395.1</v>
      </c>
      <c r="E7" s="4">
        <v>9395.1</v>
      </c>
      <c r="F7" s="5">
        <f>AVERAGE(Datos_originales!$H221:$J221)</f>
        <v>0</v>
      </c>
      <c r="G7" s="5">
        <f>AVERAGE(Datos_originales!$R221:$T221)</f>
        <v>0</v>
      </c>
      <c r="H7" s="4">
        <v>0.09</v>
      </c>
      <c r="I7" s="4">
        <v>0.0</v>
      </c>
      <c r="J7" s="4">
        <v>0.09</v>
      </c>
      <c r="K7" s="4">
        <v>0.0</v>
      </c>
      <c r="L7" s="4">
        <v>0.18</v>
      </c>
      <c r="M7" s="4">
        <v>0.0</v>
      </c>
      <c r="N7" s="4">
        <v>0.18</v>
      </c>
      <c r="O7" s="4">
        <v>0.63</v>
      </c>
      <c r="P7" s="4">
        <v>0.63</v>
      </c>
      <c r="Q7" s="4">
        <v>0.0</v>
      </c>
      <c r="R7" s="4">
        <v>0.09</v>
      </c>
      <c r="S7" s="4">
        <v>10.53</v>
      </c>
      <c r="T7" s="4">
        <v>3.87</v>
      </c>
      <c r="U7" s="4">
        <v>8.73</v>
      </c>
      <c r="V7" s="4">
        <v>6.93</v>
      </c>
      <c r="W7" s="4">
        <v>143.28</v>
      </c>
      <c r="X7" s="4">
        <v>1.26</v>
      </c>
      <c r="Y7" s="4">
        <v>13.32</v>
      </c>
      <c r="Z7" s="4">
        <v>18.45</v>
      </c>
      <c r="AA7" s="4">
        <v>73.80000000000001</v>
      </c>
      <c r="AB7" s="4">
        <v>74.88</v>
      </c>
      <c r="AC7" s="4">
        <v>75.33</v>
      </c>
      <c r="AD7" s="4">
        <v>0.09</v>
      </c>
      <c r="AE7" s="4">
        <v>0.8099999999999999</v>
      </c>
      <c r="AF7" s="4">
        <v>39.15</v>
      </c>
      <c r="AG7" s="4">
        <v>4.32</v>
      </c>
      <c r="AH7" s="6">
        <f>Datos_originales!$H221/Datos_originales!$E221</f>
        <v>0</v>
      </c>
      <c r="AI7" s="6">
        <f>Datos_originales!$I221/Datos_originales!$E221</f>
        <v>0</v>
      </c>
      <c r="AJ7" s="6">
        <f>Datos_originales!$J221/Datos_originales!$E221</f>
        <v>0</v>
      </c>
      <c r="AK7" s="6">
        <f>Datos_originales!$K221/Datos_originales!$E221</f>
        <v>0</v>
      </c>
      <c r="AL7" s="6">
        <f>Datos_originales!$L221/Datos_originales!$E221</f>
        <v>0</v>
      </c>
      <c r="AM7" s="6">
        <f>Datos_originales!$M221/Datos_originales!$E221</f>
        <v>0</v>
      </c>
      <c r="AN7" s="6">
        <f>Datos_originales!$N221/Datos_originales!$E221</f>
        <v>0</v>
      </c>
      <c r="AO7" s="6">
        <f>Datos_originales!$O221/Datos_originales!$E221</f>
        <v>0</v>
      </c>
      <c r="AP7" s="6">
        <f>Datos_originales!$P221/Datos_originales!$E221</f>
        <v>0</v>
      </c>
      <c r="AQ7" s="6">
        <f>Datos_originales!$Q221/Datos_originales!$E221</f>
        <v>0</v>
      </c>
      <c r="AR7" s="6">
        <f>Datos_originales!$R221/Datos_originales!$E221</f>
        <v>0</v>
      </c>
      <c r="AS7" s="6">
        <f>Datos_originales!$S221/Datos_originales!$E221</f>
        <v>0</v>
      </c>
      <c r="AT7" s="6">
        <f>Datos_originales!$T221/Datos_originales!$E221</f>
        <v>0</v>
      </c>
      <c r="AU7" s="6">
        <f>Datos_originales!$U221/Datos_originales!$E221</f>
        <v>0.004474272931</v>
      </c>
      <c r="AV7" s="6">
        <f>Datos_originales!$V221/Datos_originales!$E221</f>
        <v>0</v>
      </c>
      <c r="AW7" s="6">
        <f>Datos_originales!$W221/Datos_originales!$E221</f>
        <v>0.02684563758</v>
      </c>
      <c r="AX7" s="6">
        <f>Datos_originales!$X221/Datos_originales!$E221</f>
        <v>0</v>
      </c>
      <c r="AY7" s="6">
        <f>Datos_originales!$Y221/Datos_originales!$E221</f>
        <v>0</v>
      </c>
      <c r="AZ7" s="6">
        <f>Datos_originales!$Z221/Datos_originales!$E221</f>
        <v>0</v>
      </c>
      <c r="BA7" s="6">
        <f>Datos_originales!$AA221/Datos_originales!$E221</f>
        <v>0</v>
      </c>
      <c r="BB7" s="6">
        <f>Datos_originales!$AB221/Datos_originales!$E221</f>
        <v>0</v>
      </c>
      <c r="BC7" s="6">
        <f>Datos_originales!$AC221/Datos_originales!$E221</f>
        <v>0.002237136465</v>
      </c>
      <c r="BD7" s="6">
        <f>Datos_originales!$AD221/Datos_originales!$E221</f>
        <v>0</v>
      </c>
      <c r="BE7" s="6">
        <f>Datos_originales!$AE221/Datos_originales!$E221</f>
        <v>0</v>
      </c>
      <c r="BF7" s="6">
        <f>Datos_originales!$AF221/Datos_originales!$E221</f>
        <v>0.006711409396</v>
      </c>
      <c r="BG7" s="6">
        <f>Datos_originales!$AG221/Datos_originales!$E221</f>
        <v>0</v>
      </c>
    </row>
    <row r="8">
      <c r="A8" s="2">
        <v>10302.0</v>
      </c>
      <c r="B8" s="3" t="s">
        <v>59</v>
      </c>
      <c r="C8" s="4" t="s">
        <v>66</v>
      </c>
      <c r="D8" s="4">
        <f>IF(Datos_originales!$E8&lt;1000,"Bosque menor a 1000 ha",Datos_originales!$E8)</f>
        <v>33133.32</v>
      </c>
      <c r="E8" s="4">
        <v>33133.32</v>
      </c>
      <c r="F8" s="5">
        <f>AVERAGE(Datos_originales!$H231:$J231)</f>
        <v>0.18</v>
      </c>
      <c r="G8" s="5">
        <f>AVERAGE(Datos_originales!$R231:$T231)</f>
        <v>0.48</v>
      </c>
      <c r="H8" s="4">
        <v>0.5399999999999999</v>
      </c>
      <c r="I8" s="4">
        <v>0.09</v>
      </c>
      <c r="J8" s="4">
        <v>0.45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14.31</v>
      </c>
      <c r="T8" s="4">
        <v>1.98</v>
      </c>
      <c r="U8" s="4">
        <v>61.38</v>
      </c>
      <c r="V8" s="4">
        <v>25.56</v>
      </c>
      <c r="W8" s="4">
        <v>319.5</v>
      </c>
      <c r="X8" s="4">
        <v>11.88</v>
      </c>
      <c r="Y8" s="4">
        <v>17.46</v>
      </c>
      <c r="Z8" s="4">
        <v>10.44</v>
      </c>
      <c r="AA8" s="4">
        <v>51.39</v>
      </c>
      <c r="AB8" s="4">
        <v>64.89</v>
      </c>
      <c r="AC8" s="4">
        <v>410.31</v>
      </c>
      <c r="AD8" s="4">
        <v>0.09</v>
      </c>
      <c r="AE8" s="4">
        <v>0.45</v>
      </c>
      <c r="AF8" s="4">
        <v>52.83</v>
      </c>
      <c r="AG8" s="4">
        <v>3.15</v>
      </c>
      <c r="AH8" s="6">
        <f>Datos_originales!$H231/Datos_originales!$E231</f>
        <v>0</v>
      </c>
      <c r="AI8" s="6">
        <f>Datos_originales!$I231/Datos_originales!$E231</f>
        <v>0</v>
      </c>
      <c r="AJ8" s="6">
        <f>Datos_originales!$J231/Datos_originales!$E231</f>
        <v>0.01284796574</v>
      </c>
      <c r="AK8" s="6">
        <f>Datos_originales!$K231/Datos_originales!$E231</f>
        <v>0.01713062099</v>
      </c>
      <c r="AL8" s="6">
        <f>Datos_originales!$L231/Datos_originales!$E231</f>
        <v>0.008565310493</v>
      </c>
      <c r="AM8" s="6">
        <f>Datos_originales!$M231/Datos_originales!$E231</f>
        <v>0.004282655246</v>
      </c>
      <c r="AN8" s="6">
        <f>Datos_originales!$N231/Datos_originales!$E231</f>
        <v>0.004282655246</v>
      </c>
      <c r="AO8" s="6">
        <f>Datos_originales!$O231/Datos_originales!$E231</f>
        <v>0.01070663812</v>
      </c>
      <c r="AP8" s="6">
        <f>Datos_originales!$P231/Datos_originales!$E231</f>
        <v>0.002141327623</v>
      </c>
      <c r="AQ8" s="6">
        <f>Datos_originales!$Q231/Datos_originales!$E231</f>
        <v>0.01070663812</v>
      </c>
      <c r="AR8" s="6">
        <f>Datos_originales!$R231/Datos_originales!$E231</f>
        <v>0</v>
      </c>
      <c r="AS8" s="6">
        <f>Datos_originales!$S231/Datos_originales!$E231</f>
        <v>0.002141327623</v>
      </c>
      <c r="AT8" s="6">
        <f>Datos_originales!$T231/Datos_originales!$E231</f>
        <v>0.03211991435</v>
      </c>
      <c r="AU8" s="6">
        <f>Datos_originales!$U231/Datos_originales!$E231</f>
        <v>0</v>
      </c>
      <c r="AV8" s="6">
        <f>Datos_originales!$V231/Datos_originales!$E231</f>
        <v>0.01498929336</v>
      </c>
      <c r="AW8" s="6">
        <f>Datos_originales!$W231/Datos_originales!$E231</f>
        <v>0.03854389722</v>
      </c>
      <c r="AX8" s="6">
        <f>Datos_originales!$X231/Datos_originales!$E231</f>
        <v>0.0278372591</v>
      </c>
      <c r="AY8" s="6">
        <f>Datos_originales!$Y231/Datos_originales!$E231</f>
        <v>0.0278372591</v>
      </c>
      <c r="AZ8" s="6">
        <f>Datos_originales!$Z231/Datos_originales!$E231</f>
        <v>0.006423982869</v>
      </c>
      <c r="BA8" s="6">
        <f>Datos_originales!$AA231/Datos_originales!$E231</f>
        <v>0.01284796574</v>
      </c>
      <c r="BB8" s="6">
        <f>Datos_originales!$AB231/Datos_originales!$E231</f>
        <v>0.01498929336</v>
      </c>
      <c r="BC8" s="6">
        <f>Datos_originales!$AC231/Datos_originales!$E231</f>
        <v>0.002141327623</v>
      </c>
      <c r="BD8" s="6">
        <f>Datos_originales!$AD231/Datos_originales!$E231</f>
        <v>0.03426124197</v>
      </c>
      <c r="BE8" s="6">
        <f>Datos_originales!$AE231/Datos_originales!$E231</f>
        <v>0.006423982869</v>
      </c>
      <c r="BF8" s="6">
        <f>Datos_originales!$AF231/Datos_originales!$E231</f>
        <v>0.004282655246</v>
      </c>
      <c r="BG8" s="6">
        <f>Datos_originales!$AG231/Datos_originales!$E231</f>
        <v>0.4796573876</v>
      </c>
    </row>
    <row r="9">
      <c r="A9" s="2">
        <v>10303.0</v>
      </c>
      <c r="B9" s="3" t="s">
        <v>59</v>
      </c>
      <c r="C9" s="4" t="s">
        <v>67</v>
      </c>
      <c r="D9" s="4">
        <f>IF(Datos_originales!$E9&lt;1000,"Bosque menor a 1000 ha",Datos_originales!$E9)</f>
        <v>30785.4</v>
      </c>
      <c r="E9" s="4">
        <v>30785.4</v>
      </c>
      <c r="F9" s="5">
        <f>AVERAGE(Datos_originales!$H206:$J206)</f>
        <v>0</v>
      </c>
      <c r="G9" s="5">
        <f>AVERAGE(Datos_originales!$R206:$T206)</f>
        <v>0</v>
      </c>
      <c r="H9" s="4">
        <v>0.72</v>
      </c>
      <c r="I9" s="4">
        <v>2.25</v>
      </c>
      <c r="J9" s="4">
        <v>1.17</v>
      </c>
      <c r="K9" s="4">
        <v>0.54</v>
      </c>
      <c r="L9" s="4">
        <v>2.16</v>
      </c>
      <c r="M9" s="4">
        <v>1.44</v>
      </c>
      <c r="N9" s="4">
        <v>1.89</v>
      </c>
      <c r="O9" s="4">
        <v>1.98</v>
      </c>
      <c r="P9" s="4">
        <v>1.08</v>
      </c>
      <c r="Q9" s="4">
        <v>0.0</v>
      </c>
      <c r="R9" s="4">
        <v>27.99</v>
      </c>
      <c r="S9" s="4">
        <v>38.07</v>
      </c>
      <c r="T9" s="4">
        <v>35.01</v>
      </c>
      <c r="U9" s="4">
        <v>16.74</v>
      </c>
      <c r="V9" s="4">
        <v>17.1</v>
      </c>
      <c r="W9" s="4">
        <v>283.59</v>
      </c>
      <c r="X9" s="4">
        <v>9.99</v>
      </c>
      <c r="Y9" s="4">
        <v>31.5</v>
      </c>
      <c r="Z9" s="4">
        <v>13.14</v>
      </c>
      <c r="AA9" s="4">
        <v>36.0</v>
      </c>
      <c r="AB9" s="4">
        <v>57.96</v>
      </c>
      <c r="AC9" s="4">
        <v>151.47</v>
      </c>
      <c r="AD9" s="4">
        <v>0.27</v>
      </c>
      <c r="AE9" s="4">
        <v>54.09</v>
      </c>
      <c r="AF9" s="4">
        <v>116.73</v>
      </c>
      <c r="AG9" s="4">
        <v>36.72</v>
      </c>
      <c r="AH9" s="6">
        <f>Datos_originales!$H206/Datos_originales!$E206</f>
        <v>0</v>
      </c>
      <c r="AI9" s="6">
        <f>Datos_originales!$I206/Datos_originales!$E206</f>
        <v>0</v>
      </c>
      <c r="AJ9" s="6">
        <f>Datos_originales!$J206/Datos_originales!$E206</f>
        <v>0</v>
      </c>
      <c r="AK9" s="6">
        <f>Datos_originales!$K206/Datos_originales!$E206</f>
        <v>0</v>
      </c>
      <c r="AL9" s="6">
        <f>Datos_originales!$L206/Datos_originales!$E206</f>
        <v>0</v>
      </c>
      <c r="AM9" s="6">
        <f>Datos_originales!$M206/Datos_originales!$E206</f>
        <v>0</v>
      </c>
      <c r="AN9" s="6">
        <f>Datos_originales!$N206/Datos_originales!$E206</f>
        <v>0</v>
      </c>
      <c r="AO9" s="6">
        <f>Datos_originales!$O206/Datos_originales!$E206</f>
        <v>0</v>
      </c>
      <c r="AP9" s="6">
        <f>Datos_originales!$P206/Datos_originales!$E206</f>
        <v>0</v>
      </c>
      <c r="AQ9" s="6">
        <f>Datos_originales!$Q206/Datos_originales!$E206</f>
        <v>0</v>
      </c>
      <c r="AR9" s="6">
        <f>Datos_originales!$R206/Datos_originales!$E206</f>
        <v>0</v>
      </c>
      <c r="AS9" s="6">
        <f>Datos_originales!$S206/Datos_originales!$E206</f>
        <v>0</v>
      </c>
      <c r="AT9" s="6">
        <f>Datos_originales!$T206/Datos_originales!$E206</f>
        <v>0</v>
      </c>
      <c r="AU9" s="6">
        <f>Datos_originales!$U206/Datos_originales!$E206</f>
        <v>0</v>
      </c>
      <c r="AV9" s="6">
        <f>Datos_originales!$V206/Datos_originales!$E206</f>
        <v>0.007092198582</v>
      </c>
      <c r="AW9" s="6">
        <f>Datos_originales!$W206/Datos_originales!$E206</f>
        <v>0.04255319149</v>
      </c>
      <c r="AX9" s="6">
        <f>Datos_originales!$X206/Datos_originales!$E206</f>
        <v>0.02127659574</v>
      </c>
      <c r="AY9" s="6">
        <f>Datos_originales!$Y206/Datos_originales!$E206</f>
        <v>0</v>
      </c>
      <c r="AZ9" s="6">
        <f>Datos_originales!$Z206/Datos_originales!$E206</f>
        <v>0.07092198582</v>
      </c>
      <c r="BA9" s="6">
        <f>Datos_originales!$AA206/Datos_originales!$E206</f>
        <v>0</v>
      </c>
      <c r="BB9" s="6">
        <f>Datos_originales!$AB206/Datos_originales!$E206</f>
        <v>0.09219858156</v>
      </c>
      <c r="BC9" s="6">
        <f>Datos_originales!$AC206/Datos_originales!$E206</f>
        <v>0</v>
      </c>
      <c r="BD9" s="6">
        <f>Datos_originales!$AD206/Datos_originales!$E206</f>
        <v>0</v>
      </c>
      <c r="BE9" s="6">
        <f>Datos_originales!$AE206/Datos_originales!$E206</f>
        <v>0</v>
      </c>
      <c r="BF9" s="6">
        <f>Datos_originales!$AF206/Datos_originales!$E206</f>
        <v>0.01418439716</v>
      </c>
      <c r="BG9" s="6">
        <f>Datos_originales!$AG206/Datos_originales!$E206</f>
        <v>0</v>
      </c>
    </row>
    <row r="10">
      <c r="A10" s="2">
        <v>10304.0</v>
      </c>
      <c r="B10" s="3" t="s">
        <v>59</v>
      </c>
      <c r="C10" s="4" t="s">
        <v>68</v>
      </c>
      <c r="D10" s="4">
        <f>IF(Datos_originales!$E10&lt;1000,"Bosque menor a 1000 ha",Datos_originales!$E10)</f>
        <v>2886.39</v>
      </c>
      <c r="E10" s="4">
        <v>2886.39</v>
      </c>
      <c r="F10" s="5">
        <f>AVERAGE(Datos_originales!$H216:$J216)</f>
        <v>0</v>
      </c>
      <c r="G10" s="5">
        <f>AVERAGE(Datos_originales!$R216:$T216)</f>
        <v>0</v>
      </c>
      <c r="H10" s="4">
        <v>0.8099999999999999</v>
      </c>
      <c r="I10" s="4">
        <v>1.89</v>
      </c>
      <c r="J10" s="4">
        <v>1.98</v>
      </c>
      <c r="K10" s="4">
        <v>1.26</v>
      </c>
      <c r="L10" s="4">
        <v>0.8999999999999999</v>
      </c>
      <c r="M10" s="4">
        <v>1.44</v>
      </c>
      <c r="N10" s="4">
        <v>2.07</v>
      </c>
      <c r="O10" s="4">
        <v>2.25</v>
      </c>
      <c r="P10" s="4">
        <v>0.36</v>
      </c>
      <c r="Q10" s="4">
        <v>1.71</v>
      </c>
      <c r="R10" s="4">
        <v>0.0</v>
      </c>
      <c r="S10" s="4">
        <v>1.35</v>
      </c>
      <c r="T10" s="4">
        <v>1.44</v>
      </c>
      <c r="U10" s="4">
        <v>4.86</v>
      </c>
      <c r="V10" s="4">
        <v>5.49</v>
      </c>
      <c r="W10" s="4">
        <v>50.58</v>
      </c>
      <c r="X10" s="4">
        <v>2.61</v>
      </c>
      <c r="Y10" s="4">
        <v>3.33</v>
      </c>
      <c r="Z10" s="4">
        <v>3.42</v>
      </c>
      <c r="AA10" s="4">
        <v>3.15</v>
      </c>
      <c r="AB10" s="4">
        <v>4.95</v>
      </c>
      <c r="AC10" s="4">
        <v>2.07</v>
      </c>
      <c r="AD10" s="4">
        <v>5.22</v>
      </c>
      <c r="AE10" s="4">
        <v>0.81</v>
      </c>
      <c r="AF10" s="4">
        <v>2.79</v>
      </c>
      <c r="AG10" s="4">
        <v>1.62</v>
      </c>
      <c r="AH10" s="6" t="str">
        <f>Datos_originales!$H216/Datos_originales!$E216</f>
        <v>#DIV/0!</v>
      </c>
      <c r="AI10" s="6" t="str">
        <f>Datos_originales!$I216/Datos_originales!$E216</f>
        <v>#DIV/0!</v>
      </c>
      <c r="AJ10" s="6" t="str">
        <f>Datos_originales!$J216/Datos_originales!$E216</f>
        <v>#DIV/0!</v>
      </c>
      <c r="AK10" s="6" t="str">
        <f>Datos_originales!$K216/Datos_originales!$E216</f>
        <v>#DIV/0!</v>
      </c>
      <c r="AL10" s="6" t="str">
        <f>Datos_originales!$L216/Datos_originales!$E216</f>
        <v>#DIV/0!</v>
      </c>
      <c r="AM10" s="6" t="str">
        <f>Datos_originales!$M216/Datos_originales!$E216</f>
        <v>#DIV/0!</v>
      </c>
      <c r="AN10" s="6" t="str">
        <f>Datos_originales!$N216/Datos_originales!$E216</f>
        <v>#DIV/0!</v>
      </c>
      <c r="AO10" s="6" t="str">
        <f>Datos_originales!$O216/Datos_originales!$E216</f>
        <v>#DIV/0!</v>
      </c>
      <c r="AP10" s="6" t="str">
        <f>Datos_originales!$P216/Datos_originales!$E216</f>
        <v>#DIV/0!</v>
      </c>
      <c r="AQ10" s="6" t="str">
        <f>Datos_originales!$Q216/Datos_originales!$E216</f>
        <v>#DIV/0!</v>
      </c>
      <c r="AR10" s="6" t="str">
        <f>Datos_originales!$R216/Datos_originales!$E216</f>
        <v>#DIV/0!</v>
      </c>
      <c r="AS10" s="6" t="str">
        <f>Datos_originales!$S216/Datos_originales!$E216</f>
        <v>#DIV/0!</v>
      </c>
      <c r="AT10" s="6" t="str">
        <f>Datos_originales!$T216/Datos_originales!$E216</f>
        <v>#DIV/0!</v>
      </c>
      <c r="AU10" s="6" t="str">
        <f>Datos_originales!$U216/Datos_originales!$E216</f>
        <v>#DIV/0!</v>
      </c>
      <c r="AV10" s="6" t="str">
        <f>Datos_originales!$V216/Datos_originales!$E216</f>
        <v>#DIV/0!</v>
      </c>
      <c r="AW10" s="6" t="str">
        <f>Datos_originales!$W216/Datos_originales!$E216</f>
        <v>#DIV/0!</v>
      </c>
      <c r="AX10" s="6" t="str">
        <f>Datos_originales!$X216/Datos_originales!$E216</f>
        <v>#DIV/0!</v>
      </c>
      <c r="AY10" s="6" t="str">
        <f>Datos_originales!$Y216/Datos_originales!$E216</f>
        <v>#DIV/0!</v>
      </c>
      <c r="AZ10" s="6" t="str">
        <f>Datos_originales!$Z216/Datos_originales!$E216</f>
        <v>#DIV/0!</v>
      </c>
      <c r="BA10" s="6" t="str">
        <f>Datos_originales!$AA216/Datos_originales!$E216</f>
        <v>#DIV/0!</v>
      </c>
      <c r="BB10" s="6" t="str">
        <f>Datos_originales!$AB216/Datos_originales!$E216</f>
        <v>#DIV/0!</v>
      </c>
      <c r="BC10" s="6" t="str">
        <f>Datos_originales!$AC216/Datos_originales!$E216</f>
        <v>#DIV/0!</v>
      </c>
      <c r="BD10" s="6" t="str">
        <f>Datos_originales!$AD216/Datos_originales!$E216</f>
        <v>#DIV/0!</v>
      </c>
      <c r="BE10" s="6" t="str">
        <f>Datos_originales!$AE216/Datos_originales!$E216</f>
        <v>#DIV/0!</v>
      </c>
      <c r="BF10" s="6" t="str">
        <f>Datos_originales!$AF216/Datos_originales!$E216</f>
        <v>#DIV/0!</v>
      </c>
      <c r="BG10" s="6" t="str">
        <f>Datos_originales!$AG216/Datos_originales!$E216</f>
        <v>#DIV/0!</v>
      </c>
    </row>
    <row r="11">
      <c r="A11" s="2">
        <v>10401.0</v>
      </c>
      <c r="B11" s="3" t="s">
        <v>59</v>
      </c>
      <c r="C11" s="4" t="s">
        <v>69</v>
      </c>
      <c r="D11" s="4">
        <f>IF(Datos_originales!$E11&lt;1000,"Bosque menor a 1000 ha",Datos_originales!$E11)</f>
        <v>117418.41</v>
      </c>
      <c r="E11" s="4">
        <v>117418.41</v>
      </c>
      <c r="F11" s="5">
        <f>AVERAGE(Datos_originales!$H185:$J185)</f>
        <v>0</v>
      </c>
      <c r="G11" s="5">
        <f>AVERAGE(Datos_originales!$R185:$T185)</f>
        <v>0</v>
      </c>
      <c r="H11" s="4">
        <v>212.49</v>
      </c>
      <c r="I11" s="4">
        <v>262.62</v>
      </c>
      <c r="J11" s="4">
        <v>149.58</v>
      </c>
      <c r="K11" s="4">
        <v>124.65</v>
      </c>
      <c r="L11" s="4">
        <v>183.42</v>
      </c>
      <c r="M11" s="4">
        <v>226.89</v>
      </c>
      <c r="N11" s="4">
        <v>379.71</v>
      </c>
      <c r="O11" s="4">
        <v>160.92</v>
      </c>
      <c r="P11" s="4">
        <v>446.94</v>
      </c>
      <c r="Q11" s="4">
        <v>225.09</v>
      </c>
      <c r="R11" s="4">
        <v>182.88</v>
      </c>
      <c r="S11" s="4">
        <v>1026.9</v>
      </c>
      <c r="T11" s="4">
        <v>285.84</v>
      </c>
      <c r="U11" s="4">
        <v>289.89</v>
      </c>
      <c r="V11" s="4">
        <v>340.65</v>
      </c>
      <c r="W11" s="4">
        <v>488.52</v>
      </c>
      <c r="X11" s="4">
        <v>158.04</v>
      </c>
      <c r="Y11" s="4">
        <v>224.91</v>
      </c>
      <c r="Z11" s="4">
        <v>274.5</v>
      </c>
      <c r="AA11" s="4">
        <v>434.7</v>
      </c>
      <c r="AB11" s="4">
        <v>251.64</v>
      </c>
      <c r="AC11" s="4">
        <v>518.22</v>
      </c>
      <c r="AD11" s="4">
        <v>333.99</v>
      </c>
      <c r="AE11" s="4">
        <v>247.32</v>
      </c>
      <c r="AF11" s="4">
        <v>1132.29</v>
      </c>
      <c r="AG11" s="4">
        <v>291.42</v>
      </c>
      <c r="AH11" s="6" t="str">
        <f>Datos_originales!$H185/Datos_originales!$E185</f>
        <v>#DIV/0!</v>
      </c>
      <c r="AI11" s="6" t="str">
        <f>Datos_originales!$I185/Datos_originales!$E185</f>
        <v>#DIV/0!</v>
      </c>
      <c r="AJ11" s="6" t="str">
        <f>Datos_originales!$J185/Datos_originales!$E185</f>
        <v>#DIV/0!</v>
      </c>
      <c r="AK11" s="6" t="str">
        <f>Datos_originales!$K185/Datos_originales!$E185</f>
        <v>#DIV/0!</v>
      </c>
      <c r="AL11" s="6" t="str">
        <f>Datos_originales!$L185/Datos_originales!$E185</f>
        <v>#DIV/0!</v>
      </c>
      <c r="AM11" s="6" t="str">
        <f>Datos_originales!$M185/Datos_originales!$E185</f>
        <v>#DIV/0!</v>
      </c>
      <c r="AN11" s="6" t="str">
        <f>Datos_originales!$N185/Datos_originales!$E185</f>
        <v>#DIV/0!</v>
      </c>
      <c r="AO11" s="6" t="str">
        <f>Datos_originales!$O185/Datos_originales!$E185</f>
        <v>#DIV/0!</v>
      </c>
      <c r="AP11" s="6" t="str">
        <f>Datos_originales!$P185/Datos_originales!$E185</f>
        <v>#DIV/0!</v>
      </c>
      <c r="AQ11" s="6" t="str">
        <f>Datos_originales!$Q185/Datos_originales!$E185</f>
        <v>#DIV/0!</v>
      </c>
      <c r="AR11" s="6" t="str">
        <f>Datos_originales!$R185/Datos_originales!$E185</f>
        <v>#DIV/0!</v>
      </c>
      <c r="AS11" s="6" t="str">
        <f>Datos_originales!$S185/Datos_originales!$E185</f>
        <v>#DIV/0!</v>
      </c>
      <c r="AT11" s="6" t="str">
        <f>Datos_originales!$T185/Datos_originales!$E185</f>
        <v>#DIV/0!</v>
      </c>
      <c r="AU11" s="6" t="str">
        <f>Datos_originales!$U185/Datos_originales!$E185</f>
        <v>#DIV/0!</v>
      </c>
      <c r="AV11" s="6" t="str">
        <f>Datos_originales!$V185/Datos_originales!$E185</f>
        <v>#DIV/0!</v>
      </c>
      <c r="AW11" s="6" t="str">
        <f>Datos_originales!$W185/Datos_originales!$E185</f>
        <v>#DIV/0!</v>
      </c>
      <c r="AX11" s="6" t="str">
        <f>Datos_originales!$X185/Datos_originales!$E185</f>
        <v>#DIV/0!</v>
      </c>
      <c r="AY11" s="6" t="str">
        <f>Datos_originales!$Y185/Datos_originales!$E185</f>
        <v>#DIV/0!</v>
      </c>
      <c r="AZ11" s="6" t="str">
        <f>Datos_originales!$Z185/Datos_originales!$E185</f>
        <v>#DIV/0!</v>
      </c>
      <c r="BA11" s="6" t="str">
        <f>Datos_originales!$AA185/Datos_originales!$E185</f>
        <v>#DIV/0!</v>
      </c>
      <c r="BB11" s="6" t="str">
        <f>Datos_originales!$AB185/Datos_originales!$E185</f>
        <v>#DIV/0!</v>
      </c>
      <c r="BC11" s="6" t="str">
        <f>Datos_originales!$AC185/Datos_originales!$E185</f>
        <v>#DIV/0!</v>
      </c>
      <c r="BD11" s="6" t="str">
        <f>Datos_originales!$AD185/Datos_originales!$E185</f>
        <v>#DIV/0!</v>
      </c>
      <c r="BE11" s="6" t="str">
        <f>Datos_originales!$AE185/Datos_originales!$E185</f>
        <v>#DIV/0!</v>
      </c>
      <c r="BF11" s="6" t="str">
        <f>Datos_originales!$AF185/Datos_originales!$E185</f>
        <v>#DIV/0!</v>
      </c>
      <c r="BG11" s="6" t="str">
        <f>Datos_originales!$AG185/Datos_originales!$E185</f>
        <v>#DIV/0!</v>
      </c>
    </row>
    <row r="12">
      <c r="A12" s="2">
        <v>10402.0</v>
      </c>
      <c r="B12" s="3" t="s">
        <v>59</v>
      </c>
      <c r="C12" s="4" t="s">
        <v>70</v>
      </c>
      <c r="D12" s="4">
        <f>IF(Datos_originales!$E12&lt;1000,"Bosque menor a 1000 ha",Datos_originales!$E12)</f>
        <v>22272.39</v>
      </c>
      <c r="E12" s="4">
        <v>22272.39</v>
      </c>
      <c r="F12" s="5">
        <f>AVERAGE(Datos_originales!$H213:$J213)</f>
        <v>0.06</v>
      </c>
      <c r="G12" s="5">
        <f>AVERAGE(Datos_originales!$R213:$T213)</f>
        <v>3.15</v>
      </c>
      <c r="H12" s="4">
        <v>2.97</v>
      </c>
      <c r="I12" s="4">
        <v>2.52</v>
      </c>
      <c r="J12" s="4">
        <v>2.52</v>
      </c>
      <c r="K12" s="4">
        <v>1.35</v>
      </c>
      <c r="L12" s="4">
        <v>3.69</v>
      </c>
      <c r="M12" s="4">
        <v>1.26</v>
      </c>
      <c r="N12" s="4">
        <v>3.87</v>
      </c>
      <c r="O12" s="4">
        <v>2.16</v>
      </c>
      <c r="P12" s="4">
        <v>4.859999999999999</v>
      </c>
      <c r="Q12" s="4">
        <v>0.09</v>
      </c>
      <c r="R12" s="4">
        <v>5.58</v>
      </c>
      <c r="S12" s="4">
        <v>43.11</v>
      </c>
      <c r="T12" s="4">
        <v>19.71</v>
      </c>
      <c r="U12" s="4">
        <v>16.56</v>
      </c>
      <c r="V12" s="4">
        <v>18.99</v>
      </c>
      <c r="W12" s="4">
        <v>294.66</v>
      </c>
      <c r="X12" s="4">
        <v>8.1</v>
      </c>
      <c r="Y12" s="4">
        <v>18.0</v>
      </c>
      <c r="Z12" s="4">
        <v>11.97</v>
      </c>
      <c r="AA12" s="4">
        <v>24.03</v>
      </c>
      <c r="AB12" s="4">
        <v>32.13</v>
      </c>
      <c r="AC12" s="4">
        <v>47.79</v>
      </c>
      <c r="AD12" s="4">
        <v>0.18</v>
      </c>
      <c r="AE12" s="4">
        <v>40.05</v>
      </c>
      <c r="AF12" s="4">
        <v>133.47</v>
      </c>
      <c r="AG12" s="4">
        <v>20.79</v>
      </c>
      <c r="AH12" s="6">
        <f>Datos_originales!$H213/Datos_originales!$E213</f>
        <v>0</v>
      </c>
      <c r="AI12" s="6">
        <f>Datos_originales!$I213/Datos_originales!$E213</f>
        <v>0.00001260430059</v>
      </c>
      <c r="AJ12" s="6">
        <f>Datos_originales!$J213/Datos_originales!$E213</f>
        <v>0.00001260430059</v>
      </c>
      <c r="AK12" s="6">
        <f>Datos_originales!$K213/Datos_originales!$E213</f>
        <v>0.00001260430059</v>
      </c>
      <c r="AL12" s="6">
        <f>Datos_originales!$L213/Datos_originales!$E213</f>
        <v>0.00001260430059</v>
      </c>
      <c r="AM12" s="6">
        <f>Datos_originales!$M213/Datos_originales!$E213</f>
        <v>0.00001260430059</v>
      </c>
      <c r="AN12" s="6">
        <f>Datos_originales!$N213/Datos_originales!$E213</f>
        <v>0</v>
      </c>
      <c r="AO12" s="6">
        <f>Datos_originales!$O213/Datos_originales!$E213</f>
        <v>0.00001260430059</v>
      </c>
      <c r="AP12" s="6">
        <f>Datos_originales!$P213/Datos_originales!$E213</f>
        <v>0</v>
      </c>
      <c r="AQ12" s="6">
        <f>Datos_originales!$Q213/Datos_originales!$E213</f>
        <v>0</v>
      </c>
      <c r="AR12" s="6">
        <f>Datos_originales!$R213/Datos_originales!$E213</f>
        <v>0.0003025032141</v>
      </c>
      <c r="AS12" s="6">
        <f>Datos_originales!$S213/Datos_originales!$E213</f>
        <v>0.0003151075147</v>
      </c>
      <c r="AT12" s="6">
        <f>Datos_originales!$T213/Datos_originales!$E213</f>
        <v>0.0007058408329</v>
      </c>
      <c r="AU12" s="6">
        <f>Datos_originales!$U213/Datos_originales!$E213</f>
        <v>0.002394817112</v>
      </c>
      <c r="AV12" s="6">
        <f>Datos_originales!$V213/Datos_originales!$E213</f>
        <v>0.001336055862</v>
      </c>
      <c r="AW12" s="6">
        <f>Datos_originales!$W213/Datos_originales!$E213</f>
        <v>0.01630996496</v>
      </c>
      <c r="AX12" s="6">
        <f>Datos_originales!$X213/Datos_originales!$E213</f>
        <v>0.0006176107288</v>
      </c>
      <c r="AY12" s="6">
        <f>Datos_originales!$Y213/Datos_originales!$E213</f>
        <v>0.0004411505206</v>
      </c>
      <c r="AZ12" s="6">
        <f>Datos_originales!$Z213/Datos_originales!$E213</f>
        <v>0.0004159419194</v>
      </c>
      <c r="BA12" s="6">
        <f>Datos_originales!$AA213/Datos_originales!$E213</f>
        <v>0.0006302150294</v>
      </c>
      <c r="BB12" s="6">
        <f>Datos_originales!$AB213/Datos_originales!$E213</f>
        <v>0.00194106229</v>
      </c>
      <c r="BC12" s="6">
        <f>Datos_originales!$AC213/Datos_originales!$E213</f>
        <v>0.007612997555</v>
      </c>
      <c r="BD12" s="6">
        <f>Datos_originales!$AD213/Datos_originales!$E213</f>
        <v>0.00008823010411</v>
      </c>
      <c r="BE12" s="6">
        <f>Datos_originales!$AE213/Datos_originales!$E213</f>
        <v>0.0005419849253</v>
      </c>
      <c r="BF12" s="6">
        <f>Datos_originales!$AF213/Datos_originales!$E213</f>
        <v>0.009465829741</v>
      </c>
      <c r="BG12" s="6">
        <f>Datos_originales!$AG213/Datos_originales!$E213</f>
        <v>0.007499558849</v>
      </c>
    </row>
    <row r="13">
      <c r="A13" s="2">
        <v>10403.0</v>
      </c>
      <c r="B13" s="3" t="s">
        <v>59</v>
      </c>
      <c r="C13" s="4" t="s">
        <v>71</v>
      </c>
      <c r="D13" s="4">
        <f>IF(Datos_originales!$E13&lt;1000,"Bosque menor a 1000 ha",Datos_originales!$E13)</f>
        <v>23945.58</v>
      </c>
      <c r="E13" s="4">
        <v>23945.58</v>
      </c>
      <c r="F13" s="5">
        <f>AVERAGE(Datos_originales!$H170:$J170)</f>
        <v>0</v>
      </c>
      <c r="G13" s="5">
        <f>AVERAGE(Datos_originales!$R170:$T170)</f>
        <v>0</v>
      </c>
      <c r="H13" s="4">
        <v>8.46</v>
      </c>
      <c r="I13" s="4">
        <v>14.85</v>
      </c>
      <c r="J13" s="4">
        <v>14.67</v>
      </c>
      <c r="K13" s="4">
        <v>5.58</v>
      </c>
      <c r="L13" s="4">
        <v>3.06</v>
      </c>
      <c r="M13" s="4">
        <v>4.14</v>
      </c>
      <c r="N13" s="4">
        <v>6.93</v>
      </c>
      <c r="O13" s="4">
        <v>6.390000000000001</v>
      </c>
      <c r="P13" s="4">
        <v>27.0</v>
      </c>
      <c r="Q13" s="4">
        <v>2.61</v>
      </c>
      <c r="R13" s="4">
        <v>2.25</v>
      </c>
      <c r="S13" s="4">
        <v>253.35</v>
      </c>
      <c r="T13" s="4">
        <v>67.05</v>
      </c>
      <c r="U13" s="4">
        <v>20.52</v>
      </c>
      <c r="V13" s="4">
        <v>55.08</v>
      </c>
      <c r="W13" s="4">
        <v>238.59</v>
      </c>
      <c r="X13" s="4">
        <v>15.75</v>
      </c>
      <c r="Y13" s="4">
        <v>8.91</v>
      </c>
      <c r="Z13" s="4">
        <v>12.51</v>
      </c>
      <c r="AA13" s="4">
        <v>14.76</v>
      </c>
      <c r="AB13" s="4">
        <v>26.55</v>
      </c>
      <c r="AC13" s="4">
        <v>45.9</v>
      </c>
      <c r="AD13" s="4">
        <v>2.61</v>
      </c>
      <c r="AE13" s="4">
        <v>114.03</v>
      </c>
      <c r="AF13" s="4">
        <v>448.29</v>
      </c>
      <c r="AG13" s="4">
        <v>82.53</v>
      </c>
      <c r="AH13" s="6">
        <f>Datos_originales!$H170/Datos_originales!$E170</f>
        <v>0</v>
      </c>
      <c r="AI13" s="6">
        <f>Datos_originales!$I170/Datos_originales!$E170</f>
        <v>0</v>
      </c>
      <c r="AJ13" s="6">
        <f>Datos_originales!$J170/Datos_originales!$E170</f>
        <v>0</v>
      </c>
      <c r="AK13" s="6">
        <f>Datos_originales!$K170/Datos_originales!$E170</f>
        <v>0</v>
      </c>
      <c r="AL13" s="6">
        <f>Datos_originales!$L170/Datos_originales!$E170</f>
        <v>0</v>
      </c>
      <c r="AM13" s="6">
        <f>Datos_originales!$M170/Datos_originales!$E170</f>
        <v>0</v>
      </c>
      <c r="AN13" s="6">
        <f>Datos_originales!$N170/Datos_originales!$E170</f>
        <v>0</v>
      </c>
      <c r="AO13" s="6">
        <f>Datos_originales!$O170/Datos_originales!$E170</f>
        <v>0</v>
      </c>
      <c r="AP13" s="6">
        <f>Datos_originales!$P170/Datos_originales!$E170</f>
        <v>0</v>
      </c>
      <c r="AQ13" s="6">
        <f>Datos_originales!$Q170/Datos_originales!$E170</f>
        <v>0</v>
      </c>
      <c r="AR13" s="6">
        <f>Datos_originales!$R170/Datos_originales!$E170</f>
        <v>0</v>
      </c>
      <c r="AS13" s="6">
        <f>Datos_originales!$S170/Datos_originales!$E170</f>
        <v>0</v>
      </c>
      <c r="AT13" s="6">
        <f>Datos_originales!$T170/Datos_originales!$E170</f>
        <v>0</v>
      </c>
      <c r="AU13" s="6">
        <f>Datos_originales!$U170/Datos_originales!$E170</f>
        <v>0</v>
      </c>
      <c r="AV13" s="6">
        <f>Datos_originales!$V170/Datos_originales!$E170</f>
        <v>0</v>
      </c>
      <c r="AW13" s="6">
        <f>Datos_originales!$W170/Datos_originales!$E170</f>
        <v>0</v>
      </c>
      <c r="AX13" s="6">
        <f>Datos_originales!$X170/Datos_originales!$E170</f>
        <v>0</v>
      </c>
      <c r="AY13" s="6">
        <f>Datos_originales!$Y170/Datos_originales!$E170</f>
        <v>0</v>
      </c>
      <c r="AZ13" s="6">
        <f>Datos_originales!$Z170/Datos_originales!$E170</f>
        <v>0</v>
      </c>
      <c r="BA13" s="6">
        <f>Datos_originales!$AA170/Datos_originales!$E170</f>
        <v>0</v>
      </c>
      <c r="BB13" s="6">
        <f>Datos_originales!$AB170/Datos_originales!$E170</f>
        <v>0</v>
      </c>
      <c r="BC13" s="6">
        <f>Datos_originales!$AC170/Datos_originales!$E170</f>
        <v>0</v>
      </c>
      <c r="BD13" s="6">
        <f>Datos_originales!$AD170/Datos_originales!$E170</f>
        <v>0</v>
      </c>
      <c r="BE13" s="6">
        <f>Datos_originales!$AE170/Datos_originales!$E170</f>
        <v>0</v>
      </c>
      <c r="BF13" s="6">
        <f>Datos_originales!$AF170/Datos_originales!$E170</f>
        <v>0</v>
      </c>
      <c r="BG13" s="6">
        <f>Datos_originales!$AG170/Datos_originales!$E170</f>
        <v>0.8333333333</v>
      </c>
    </row>
    <row r="14">
      <c r="A14" s="2">
        <v>10404.0</v>
      </c>
      <c r="B14" s="3" t="s">
        <v>59</v>
      </c>
      <c r="C14" s="4" t="s">
        <v>72</v>
      </c>
      <c r="D14" s="4">
        <f>IF(Datos_originales!$E14&lt;1000,"Bosque menor a 1000 ha",Datos_originales!$E14)</f>
        <v>8220.87</v>
      </c>
      <c r="E14" s="4">
        <v>8220.87</v>
      </c>
      <c r="F14" s="5">
        <f>AVERAGE(Datos_originales!$H198:$J198)</f>
        <v>0</v>
      </c>
      <c r="G14" s="5">
        <f>AVERAGE(Datos_originales!$R198:$T198)</f>
        <v>0</v>
      </c>
      <c r="H14" s="4">
        <v>1.17</v>
      </c>
      <c r="I14" s="4">
        <v>0.54</v>
      </c>
      <c r="J14" s="4">
        <v>2.07</v>
      </c>
      <c r="K14" s="4">
        <v>0.54</v>
      </c>
      <c r="L14" s="4">
        <v>0.18</v>
      </c>
      <c r="M14" s="4">
        <v>1.35</v>
      </c>
      <c r="N14" s="4">
        <v>0.09</v>
      </c>
      <c r="O14" s="4">
        <v>0.63</v>
      </c>
      <c r="P14" s="4">
        <v>1.53</v>
      </c>
      <c r="Q14" s="4">
        <v>1.17</v>
      </c>
      <c r="R14" s="4">
        <v>0.27</v>
      </c>
      <c r="S14" s="4">
        <v>35.01</v>
      </c>
      <c r="T14" s="4">
        <v>11.43</v>
      </c>
      <c r="U14" s="4">
        <v>3.6</v>
      </c>
      <c r="V14" s="4">
        <v>3.96</v>
      </c>
      <c r="W14" s="4">
        <v>79.38</v>
      </c>
      <c r="X14" s="4">
        <v>2.79</v>
      </c>
      <c r="Y14" s="4">
        <v>1.8</v>
      </c>
      <c r="Z14" s="4">
        <v>3.6</v>
      </c>
      <c r="AA14" s="4">
        <v>6.21</v>
      </c>
      <c r="AB14" s="4">
        <v>10.89</v>
      </c>
      <c r="AC14" s="4">
        <v>32.4</v>
      </c>
      <c r="AD14" s="4">
        <v>1.17</v>
      </c>
      <c r="AE14" s="4">
        <v>14.58</v>
      </c>
      <c r="AF14" s="4">
        <v>75.33000000000001</v>
      </c>
      <c r="AG14" s="4">
        <v>12.69</v>
      </c>
      <c r="AH14" s="6" t="str">
        <f>Datos_originales!$H198/Datos_originales!$E198</f>
        <v>#DIV/0!</v>
      </c>
      <c r="AI14" s="6" t="str">
        <f>Datos_originales!$I198/Datos_originales!$E198</f>
        <v>#DIV/0!</v>
      </c>
      <c r="AJ14" s="6" t="str">
        <f>Datos_originales!$J198/Datos_originales!$E198</f>
        <v>#DIV/0!</v>
      </c>
      <c r="AK14" s="6" t="str">
        <f>Datos_originales!$K198/Datos_originales!$E198</f>
        <v>#DIV/0!</v>
      </c>
      <c r="AL14" s="6" t="str">
        <f>Datos_originales!$L198/Datos_originales!$E198</f>
        <v>#DIV/0!</v>
      </c>
      <c r="AM14" s="6" t="str">
        <f>Datos_originales!$M198/Datos_originales!$E198</f>
        <v>#DIV/0!</v>
      </c>
      <c r="AN14" s="6" t="str">
        <f>Datos_originales!$N198/Datos_originales!$E198</f>
        <v>#DIV/0!</v>
      </c>
      <c r="AO14" s="6" t="str">
        <f>Datos_originales!$O198/Datos_originales!$E198</f>
        <v>#DIV/0!</v>
      </c>
      <c r="AP14" s="6" t="str">
        <f>Datos_originales!$P198/Datos_originales!$E198</f>
        <v>#DIV/0!</v>
      </c>
      <c r="AQ14" s="6" t="str">
        <f>Datos_originales!$Q198/Datos_originales!$E198</f>
        <v>#DIV/0!</v>
      </c>
      <c r="AR14" s="6" t="str">
        <f>Datos_originales!$R198/Datos_originales!$E198</f>
        <v>#DIV/0!</v>
      </c>
      <c r="AS14" s="6" t="str">
        <f>Datos_originales!$S198/Datos_originales!$E198</f>
        <v>#DIV/0!</v>
      </c>
      <c r="AT14" s="6" t="str">
        <f>Datos_originales!$T198/Datos_originales!$E198</f>
        <v>#DIV/0!</v>
      </c>
      <c r="AU14" s="6" t="str">
        <f>Datos_originales!$U198/Datos_originales!$E198</f>
        <v>#DIV/0!</v>
      </c>
      <c r="AV14" s="6" t="str">
        <f>Datos_originales!$V198/Datos_originales!$E198</f>
        <v>#DIV/0!</v>
      </c>
      <c r="AW14" s="6" t="str">
        <f>Datos_originales!$W198/Datos_originales!$E198</f>
        <v>#DIV/0!</v>
      </c>
      <c r="AX14" s="6" t="str">
        <f>Datos_originales!$X198/Datos_originales!$E198</f>
        <v>#DIV/0!</v>
      </c>
      <c r="AY14" s="6" t="str">
        <f>Datos_originales!$Y198/Datos_originales!$E198</f>
        <v>#DIV/0!</v>
      </c>
      <c r="AZ14" s="6" t="str">
        <f>Datos_originales!$Z198/Datos_originales!$E198</f>
        <v>#DIV/0!</v>
      </c>
      <c r="BA14" s="6" t="str">
        <f>Datos_originales!$AA198/Datos_originales!$E198</f>
        <v>#DIV/0!</v>
      </c>
      <c r="BB14" s="6" t="str">
        <f>Datos_originales!$AB198/Datos_originales!$E198</f>
        <v>#DIV/0!</v>
      </c>
      <c r="BC14" s="6" t="str">
        <f>Datos_originales!$AC198/Datos_originales!$E198</f>
        <v>#DIV/0!</v>
      </c>
      <c r="BD14" s="6" t="str">
        <f>Datos_originales!$AD198/Datos_originales!$E198</f>
        <v>#DIV/0!</v>
      </c>
      <c r="BE14" s="6" t="str">
        <f>Datos_originales!$AE198/Datos_originales!$E198</f>
        <v>#DIV/0!</v>
      </c>
      <c r="BF14" s="6" t="str">
        <f>Datos_originales!$AF198/Datos_originales!$E198</f>
        <v>#DIV/0!</v>
      </c>
      <c r="BG14" s="6" t="str">
        <f>Datos_originales!$AG198/Datos_originales!$E198</f>
        <v>#DIV/0!</v>
      </c>
    </row>
    <row r="15">
      <c r="A15" s="2">
        <v>10405.0</v>
      </c>
      <c r="B15" s="3" t="s">
        <v>59</v>
      </c>
      <c r="C15" s="4" t="s">
        <v>73</v>
      </c>
      <c r="D15" s="4">
        <f>IF(Datos_originales!$E15&lt;1000,"Bosque menor a 1000 ha",Datos_originales!$E15)</f>
        <v>50038.29</v>
      </c>
      <c r="E15" s="4">
        <v>50038.29</v>
      </c>
      <c r="F15" s="5">
        <f>AVERAGE(Datos_originales!$H193:$J193)</f>
        <v>0</v>
      </c>
      <c r="G15" s="5">
        <f>AVERAGE(Datos_originales!$R193:$T193)</f>
        <v>0</v>
      </c>
      <c r="H15" s="4">
        <v>25.74</v>
      </c>
      <c r="I15" s="4">
        <v>59.58</v>
      </c>
      <c r="J15" s="4">
        <v>52.83</v>
      </c>
      <c r="K15" s="4">
        <v>29.34</v>
      </c>
      <c r="L15" s="4">
        <v>35.19</v>
      </c>
      <c r="M15" s="4">
        <v>30.33</v>
      </c>
      <c r="N15" s="4">
        <v>59.04</v>
      </c>
      <c r="O15" s="4">
        <v>43.47</v>
      </c>
      <c r="P15" s="4">
        <v>58.86</v>
      </c>
      <c r="Q15" s="4">
        <v>37.26</v>
      </c>
      <c r="R15" s="4">
        <v>39.6</v>
      </c>
      <c r="S15" s="4">
        <v>309.06</v>
      </c>
      <c r="T15" s="4">
        <v>83.34</v>
      </c>
      <c r="U15" s="4">
        <v>55.8</v>
      </c>
      <c r="V15" s="4">
        <v>89.1</v>
      </c>
      <c r="W15" s="4">
        <v>444.15</v>
      </c>
      <c r="X15" s="4">
        <v>46.35</v>
      </c>
      <c r="Y15" s="4">
        <v>50.85</v>
      </c>
      <c r="Z15" s="4">
        <v>41.58</v>
      </c>
      <c r="AA15" s="4">
        <v>73.17</v>
      </c>
      <c r="AB15" s="4">
        <v>95.39999999999999</v>
      </c>
      <c r="AC15" s="4">
        <v>76.94999999999999</v>
      </c>
      <c r="AD15" s="4">
        <v>84.24</v>
      </c>
      <c r="AE15" s="4">
        <v>100.8</v>
      </c>
      <c r="AF15" s="4">
        <v>365.31</v>
      </c>
      <c r="AG15" s="4">
        <v>91.08</v>
      </c>
      <c r="AH15" s="6" t="str">
        <f>Datos_originales!$H193/Datos_originales!$E193</f>
        <v>#DIV/0!</v>
      </c>
      <c r="AI15" s="6" t="str">
        <f>Datos_originales!$I193/Datos_originales!$E193</f>
        <v>#DIV/0!</v>
      </c>
      <c r="AJ15" s="6" t="str">
        <f>Datos_originales!$J193/Datos_originales!$E193</f>
        <v>#DIV/0!</v>
      </c>
      <c r="AK15" s="6" t="str">
        <f>Datos_originales!$K193/Datos_originales!$E193</f>
        <v>#DIV/0!</v>
      </c>
      <c r="AL15" s="6" t="str">
        <f>Datos_originales!$L193/Datos_originales!$E193</f>
        <v>#DIV/0!</v>
      </c>
      <c r="AM15" s="6" t="str">
        <f>Datos_originales!$M193/Datos_originales!$E193</f>
        <v>#DIV/0!</v>
      </c>
      <c r="AN15" s="6" t="str">
        <f>Datos_originales!$N193/Datos_originales!$E193</f>
        <v>#DIV/0!</v>
      </c>
      <c r="AO15" s="6" t="str">
        <f>Datos_originales!$O193/Datos_originales!$E193</f>
        <v>#DIV/0!</v>
      </c>
      <c r="AP15" s="6" t="str">
        <f>Datos_originales!$P193/Datos_originales!$E193</f>
        <v>#DIV/0!</v>
      </c>
      <c r="AQ15" s="6" t="str">
        <f>Datos_originales!$Q193/Datos_originales!$E193</f>
        <v>#DIV/0!</v>
      </c>
      <c r="AR15" s="6" t="str">
        <f>Datos_originales!$R193/Datos_originales!$E193</f>
        <v>#DIV/0!</v>
      </c>
      <c r="AS15" s="6" t="str">
        <f>Datos_originales!$S193/Datos_originales!$E193</f>
        <v>#DIV/0!</v>
      </c>
      <c r="AT15" s="6" t="str">
        <f>Datos_originales!$T193/Datos_originales!$E193</f>
        <v>#DIV/0!</v>
      </c>
      <c r="AU15" s="6" t="str">
        <f>Datos_originales!$U193/Datos_originales!$E193</f>
        <v>#DIV/0!</v>
      </c>
      <c r="AV15" s="6" t="str">
        <f>Datos_originales!$V193/Datos_originales!$E193</f>
        <v>#DIV/0!</v>
      </c>
      <c r="AW15" s="6" t="str">
        <f>Datos_originales!$W193/Datos_originales!$E193</f>
        <v>#DIV/0!</v>
      </c>
      <c r="AX15" s="6" t="str">
        <f>Datos_originales!$X193/Datos_originales!$E193</f>
        <v>#DIV/0!</v>
      </c>
      <c r="AY15" s="6" t="str">
        <f>Datos_originales!$Y193/Datos_originales!$E193</f>
        <v>#DIV/0!</v>
      </c>
      <c r="AZ15" s="6" t="str">
        <f>Datos_originales!$Z193/Datos_originales!$E193</f>
        <v>#DIV/0!</v>
      </c>
      <c r="BA15" s="6" t="str">
        <f>Datos_originales!$AA193/Datos_originales!$E193</f>
        <v>#DIV/0!</v>
      </c>
      <c r="BB15" s="6" t="str">
        <f>Datos_originales!$AB193/Datos_originales!$E193</f>
        <v>#DIV/0!</v>
      </c>
      <c r="BC15" s="6" t="str">
        <f>Datos_originales!$AC193/Datos_originales!$E193</f>
        <v>#DIV/0!</v>
      </c>
      <c r="BD15" s="6" t="str">
        <f>Datos_originales!$AD193/Datos_originales!$E193</f>
        <v>#DIV/0!</v>
      </c>
      <c r="BE15" s="6" t="str">
        <f>Datos_originales!$AE193/Datos_originales!$E193</f>
        <v>#DIV/0!</v>
      </c>
      <c r="BF15" s="6" t="str">
        <f>Datos_originales!$AF193/Datos_originales!$E193</f>
        <v>#DIV/0!</v>
      </c>
      <c r="BG15" s="6" t="str">
        <f>Datos_originales!$AG193/Datos_originales!$E193</f>
        <v>#DIV/0!</v>
      </c>
    </row>
    <row r="16">
      <c r="A16" s="2">
        <v>10501.0</v>
      </c>
      <c r="B16" s="3" t="s">
        <v>59</v>
      </c>
      <c r="C16" s="4" t="s">
        <v>74</v>
      </c>
      <c r="D16" s="4">
        <f>IF(Datos_originales!$E16&lt;1000,"Bosque menor a 1000 ha",Datos_originales!$E16)</f>
        <v>290186.28</v>
      </c>
      <c r="E16" s="4">
        <v>290186.28</v>
      </c>
      <c r="F16" s="5">
        <f>AVERAGE(Datos_originales!$H122:$J122)</f>
        <v>18.09</v>
      </c>
      <c r="G16" s="5">
        <f>AVERAGE(Datos_originales!$R122:$T122)</f>
        <v>85.26</v>
      </c>
      <c r="H16" s="4">
        <v>901.0799999999999</v>
      </c>
      <c r="I16" s="4">
        <v>1518.39</v>
      </c>
      <c r="J16" s="4">
        <v>866.52</v>
      </c>
      <c r="K16" s="4">
        <v>439.47</v>
      </c>
      <c r="L16" s="4">
        <v>674.82</v>
      </c>
      <c r="M16" s="4">
        <v>867.0600000000001</v>
      </c>
      <c r="N16" s="4">
        <v>1329.03</v>
      </c>
      <c r="O16" s="4">
        <v>1273.77</v>
      </c>
      <c r="P16" s="4">
        <v>1099.17</v>
      </c>
      <c r="Q16" s="4">
        <v>976.4100000000001</v>
      </c>
      <c r="R16" s="4">
        <v>277.38</v>
      </c>
      <c r="S16" s="4">
        <v>2491.56</v>
      </c>
      <c r="T16" s="4">
        <v>2418.84</v>
      </c>
      <c r="U16" s="4">
        <v>1048.5</v>
      </c>
      <c r="V16" s="4">
        <v>1645.29</v>
      </c>
      <c r="W16" s="4">
        <v>1286.91</v>
      </c>
      <c r="X16" s="4">
        <v>506.34</v>
      </c>
      <c r="Y16" s="4">
        <v>759.6</v>
      </c>
      <c r="Z16" s="4">
        <v>938.79</v>
      </c>
      <c r="AA16" s="4">
        <v>1398.6</v>
      </c>
      <c r="AB16" s="4">
        <v>1420.65</v>
      </c>
      <c r="AC16" s="4">
        <v>1195.29</v>
      </c>
      <c r="AD16" s="4">
        <v>1184.04</v>
      </c>
      <c r="AE16" s="4">
        <v>334.17</v>
      </c>
      <c r="AF16" s="4">
        <v>2577.15</v>
      </c>
      <c r="AG16" s="4">
        <v>2427.39</v>
      </c>
      <c r="AH16" s="6">
        <f>Datos_originales!$H122/Datos_originales!$E122</f>
        <v>0.000639647627</v>
      </c>
      <c r="AI16" s="6">
        <f>Datos_originales!$I122/Datos_originales!$E122</f>
        <v>0.0007287124865</v>
      </c>
      <c r="AJ16" s="6">
        <f>Datos_originales!$J122/Datos_originales!$E122</f>
        <v>0.001072826716</v>
      </c>
      <c r="AK16" s="6">
        <f>Datos_originales!$K122/Datos_originales!$E122</f>
        <v>0.000558679573</v>
      </c>
      <c r="AL16" s="6">
        <f>Datos_originales!$L122/Datos_originales!$E122</f>
        <v>0.0006558412378</v>
      </c>
      <c r="AM16" s="6">
        <f>Datos_originales!$M122/Datos_originales!$E122</f>
        <v>0.0005870183919</v>
      </c>
      <c r="AN16" s="6">
        <f>Datos_originales!$N122/Datos_originales!$E122</f>
        <v>0.0005020019351</v>
      </c>
      <c r="AO16" s="6">
        <f>Datos_originales!$O122/Datos_originales!$E122</f>
        <v>0.0002833881892</v>
      </c>
      <c r="AP16" s="6">
        <f>Datos_originales!$P122/Datos_originales!$E122</f>
        <v>0.001951330103</v>
      </c>
      <c r="AQ16" s="6">
        <f>Datos_originales!$Q122/Datos_originales!$E122</f>
        <v>0.0001457424973</v>
      </c>
      <c r="AR16" s="6">
        <f>Datos_originales!$R122/Datos_originales!$E122</f>
        <v>0.0004210338811</v>
      </c>
      <c r="AS16" s="6">
        <f>Datos_originales!$S122/Datos_originales!$E122</f>
        <v>0.004072693119</v>
      </c>
      <c r="AT16" s="6">
        <f>Datos_originales!$T122/Datos_originales!$E122</f>
        <v>0.007011833481</v>
      </c>
      <c r="AU16" s="6">
        <f>Datos_originales!$U122/Datos_originales!$E122</f>
        <v>0.004959293311</v>
      </c>
      <c r="AV16" s="6">
        <f>Datos_originales!$V122/Datos_originales!$E122</f>
        <v>0.003198238135</v>
      </c>
      <c r="AW16" s="6">
        <f>Datos_originales!$W122/Datos_originales!$E122</f>
        <v>0.01114120424</v>
      </c>
      <c r="AX16" s="6">
        <f>Datos_originales!$X122/Datos_originales!$E122</f>
        <v>0.001429086154</v>
      </c>
      <c r="AY16" s="6">
        <f>Datos_originales!$Y122/Datos_originales!$E122</f>
        <v>0.001412892543</v>
      </c>
      <c r="AZ16" s="6">
        <f>Datos_originales!$Z122/Datos_originales!$E122</f>
        <v>0.001161891576</v>
      </c>
      <c r="BA16" s="6">
        <f>Datos_originales!$AA122/Datos_originales!$E122</f>
        <v>0.0010485363</v>
      </c>
      <c r="BB16" s="6">
        <f>Datos_originales!$AB122/Datos_originales!$E122</f>
        <v>0.0008501645676</v>
      </c>
      <c r="BC16" s="6">
        <f>Datos_originales!$AC122/Datos_originales!$E122</f>
        <v>0.002635510159</v>
      </c>
      <c r="BD16" s="6">
        <f>Datos_originales!$AD122/Datos_originales!$E122</f>
        <v>0.0007732449162</v>
      </c>
      <c r="BE16" s="6">
        <f>Datos_originales!$AE122/Datos_originales!$E122</f>
        <v>0.0007570513054</v>
      </c>
      <c r="BF16" s="6">
        <f>Datos_originales!$AF122/Datos_originales!$E122</f>
        <v>0.004999777338</v>
      </c>
      <c r="BG16" s="6">
        <f>Datos_originales!$AG122/Datos_originales!$E122</f>
        <v>0.02073996705</v>
      </c>
    </row>
    <row r="17">
      <c r="A17" s="2">
        <v>10502.0</v>
      </c>
      <c r="B17" s="3" t="s">
        <v>59</v>
      </c>
      <c r="C17" s="4" t="s">
        <v>75</v>
      </c>
      <c r="D17" s="4">
        <f>IF(Datos_originales!$E17&lt;1000,"Bosque menor a 1000 ha",Datos_originales!$E17)</f>
        <v>280002.24</v>
      </c>
      <c r="E17" s="4">
        <v>280002.24</v>
      </c>
      <c r="F17" s="5">
        <f>AVERAGE(Datos_originales!$H115:$J115)</f>
        <v>0</v>
      </c>
      <c r="G17" s="5">
        <f>AVERAGE(Datos_originales!$R115:$T115)</f>
        <v>0</v>
      </c>
      <c r="H17" s="4">
        <v>401.04</v>
      </c>
      <c r="I17" s="4">
        <v>518.85</v>
      </c>
      <c r="J17" s="4">
        <v>484.29</v>
      </c>
      <c r="K17" s="4">
        <v>236.97</v>
      </c>
      <c r="L17" s="4">
        <v>529.29</v>
      </c>
      <c r="M17" s="4">
        <v>634.6800000000001</v>
      </c>
      <c r="N17" s="4">
        <v>714.87</v>
      </c>
      <c r="O17" s="4">
        <v>692.01</v>
      </c>
      <c r="P17" s="4">
        <v>598.05</v>
      </c>
      <c r="Q17" s="4">
        <v>725.85</v>
      </c>
      <c r="R17" s="4">
        <v>546.21</v>
      </c>
      <c r="S17" s="4">
        <v>1872.18</v>
      </c>
      <c r="T17" s="4">
        <v>3090.33</v>
      </c>
      <c r="U17" s="4">
        <v>433.8</v>
      </c>
      <c r="V17" s="4">
        <v>544.77</v>
      </c>
      <c r="W17" s="4">
        <v>550.53</v>
      </c>
      <c r="X17" s="4">
        <v>259.02</v>
      </c>
      <c r="Y17" s="4">
        <v>539.28</v>
      </c>
      <c r="Z17" s="4">
        <v>647.01</v>
      </c>
      <c r="AA17" s="4">
        <v>736.74</v>
      </c>
      <c r="AB17" s="4">
        <v>740.61</v>
      </c>
      <c r="AC17" s="4">
        <v>616.05</v>
      </c>
      <c r="AD17" s="4">
        <v>764.55</v>
      </c>
      <c r="AE17" s="4">
        <v>572.04</v>
      </c>
      <c r="AF17" s="4">
        <v>1921.32</v>
      </c>
      <c r="AG17" s="4">
        <v>3200.31</v>
      </c>
      <c r="AH17" s="6" t="str">
        <f>Datos_originales!$H115/Datos_originales!$E115</f>
        <v>#DIV/0!</v>
      </c>
      <c r="AI17" s="6" t="str">
        <f>Datos_originales!$I115/Datos_originales!$E115</f>
        <v>#DIV/0!</v>
      </c>
      <c r="AJ17" s="6" t="str">
        <f>Datos_originales!$J115/Datos_originales!$E115</f>
        <v>#DIV/0!</v>
      </c>
      <c r="AK17" s="6" t="str">
        <f>Datos_originales!$K115/Datos_originales!$E115</f>
        <v>#DIV/0!</v>
      </c>
      <c r="AL17" s="6" t="str">
        <f>Datos_originales!$L115/Datos_originales!$E115</f>
        <v>#DIV/0!</v>
      </c>
      <c r="AM17" s="6" t="str">
        <f>Datos_originales!$M115/Datos_originales!$E115</f>
        <v>#DIV/0!</v>
      </c>
      <c r="AN17" s="6" t="str">
        <f>Datos_originales!$N115/Datos_originales!$E115</f>
        <v>#DIV/0!</v>
      </c>
      <c r="AO17" s="6" t="str">
        <f>Datos_originales!$O115/Datos_originales!$E115</f>
        <v>#DIV/0!</v>
      </c>
      <c r="AP17" s="6" t="str">
        <f>Datos_originales!$P115/Datos_originales!$E115</f>
        <v>#DIV/0!</v>
      </c>
      <c r="AQ17" s="6" t="str">
        <f>Datos_originales!$Q115/Datos_originales!$E115</f>
        <v>#DIV/0!</v>
      </c>
      <c r="AR17" s="6" t="str">
        <f>Datos_originales!$R115/Datos_originales!$E115</f>
        <v>#DIV/0!</v>
      </c>
      <c r="AS17" s="6" t="str">
        <f>Datos_originales!$S115/Datos_originales!$E115</f>
        <v>#DIV/0!</v>
      </c>
      <c r="AT17" s="6" t="str">
        <f>Datos_originales!$T115/Datos_originales!$E115</f>
        <v>#DIV/0!</v>
      </c>
      <c r="AU17" s="6" t="str">
        <f>Datos_originales!$U115/Datos_originales!$E115</f>
        <v>#DIV/0!</v>
      </c>
      <c r="AV17" s="6" t="str">
        <f>Datos_originales!$V115/Datos_originales!$E115</f>
        <v>#DIV/0!</v>
      </c>
      <c r="AW17" s="6" t="str">
        <f>Datos_originales!$W115/Datos_originales!$E115</f>
        <v>#DIV/0!</v>
      </c>
      <c r="AX17" s="6" t="str">
        <f>Datos_originales!$X115/Datos_originales!$E115</f>
        <v>#DIV/0!</v>
      </c>
      <c r="AY17" s="6" t="str">
        <f>Datos_originales!$Y115/Datos_originales!$E115</f>
        <v>#DIV/0!</v>
      </c>
      <c r="AZ17" s="6" t="str">
        <f>Datos_originales!$Z115/Datos_originales!$E115</f>
        <v>#DIV/0!</v>
      </c>
      <c r="BA17" s="6" t="str">
        <f>Datos_originales!$AA115/Datos_originales!$E115</f>
        <v>#DIV/0!</v>
      </c>
      <c r="BB17" s="6" t="str">
        <f>Datos_originales!$AB115/Datos_originales!$E115</f>
        <v>#DIV/0!</v>
      </c>
      <c r="BC17" s="6" t="str">
        <f>Datos_originales!$AC115/Datos_originales!$E115</f>
        <v>#DIV/0!</v>
      </c>
      <c r="BD17" s="6" t="str">
        <f>Datos_originales!$AD115/Datos_originales!$E115</f>
        <v>#DIV/0!</v>
      </c>
      <c r="BE17" s="6" t="str">
        <f>Datos_originales!$AE115/Datos_originales!$E115</f>
        <v>#DIV/0!</v>
      </c>
      <c r="BF17" s="6" t="str">
        <f>Datos_originales!$AF115/Datos_originales!$E115</f>
        <v>#DIV/0!</v>
      </c>
      <c r="BG17" s="6" t="str">
        <f>Datos_originales!$AG115/Datos_originales!$E115</f>
        <v>#DIV/0!</v>
      </c>
    </row>
    <row r="18">
      <c r="A18" s="2">
        <v>10601.0</v>
      </c>
      <c r="B18" s="3" t="s">
        <v>59</v>
      </c>
      <c r="C18" s="4" t="s">
        <v>76</v>
      </c>
      <c r="D18" s="4">
        <f>IF(Datos_originales!$E18&lt;1000,"Bosque menor a 1000 ha",Datos_originales!$E18)</f>
        <v>4594.5</v>
      </c>
      <c r="E18" s="4">
        <v>4594.5</v>
      </c>
      <c r="F18" s="5">
        <f>AVERAGE(Datos_originales!$H217:$J217)</f>
        <v>0.63</v>
      </c>
      <c r="G18" s="5">
        <f>AVERAGE(Datos_originales!$R217:$T217)</f>
        <v>5.19</v>
      </c>
      <c r="H18" s="4">
        <v>0.18</v>
      </c>
      <c r="I18" s="4">
        <v>1.71</v>
      </c>
      <c r="J18" s="4">
        <v>1.89</v>
      </c>
      <c r="K18" s="4">
        <v>1.08</v>
      </c>
      <c r="L18" s="4">
        <v>0.18</v>
      </c>
      <c r="M18" s="4">
        <v>1.08</v>
      </c>
      <c r="N18" s="4">
        <v>0.36</v>
      </c>
      <c r="O18" s="4">
        <v>0.8099999999999999</v>
      </c>
      <c r="P18" s="4">
        <v>3.78</v>
      </c>
      <c r="Q18" s="4">
        <v>0.27</v>
      </c>
      <c r="R18" s="4">
        <v>2.34</v>
      </c>
      <c r="S18" s="4">
        <v>7.2</v>
      </c>
      <c r="T18" s="4">
        <v>2.34</v>
      </c>
      <c r="U18" s="4">
        <v>9.99</v>
      </c>
      <c r="V18" s="4">
        <v>9.629999999999999</v>
      </c>
      <c r="W18" s="4">
        <v>75.42</v>
      </c>
      <c r="X18" s="4">
        <v>2.52</v>
      </c>
      <c r="Y18" s="4">
        <v>9.81</v>
      </c>
      <c r="Z18" s="4">
        <v>14.04</v>
      </c>
      <c r="AA18" s="4">
        <v>29.43</v>
      </c>
      <c r="AB18" s="4">
        <v>21.06</v>
      </c>
      <c r="AC18" s="4">
        <v>49.23</v>
      </c>
      <c r="AD18" s="4">
        <v>0.72</v>
      </c>
      <c r="AE18" s="4">
        <v>3.24</v>
      </c>
      <c r="AF18" s="4">
        <v>13.41</v>
      </c>
      <c r="AG18" s="4">
        <v>2.52</v>
      </c>
      <c r="AH18" s="6">
        <f>Datos_originales!$H217/Datos_originales!$E217</f>
        <v>0.00007178905504</v>
      </c>
      <c r="AI18" s="6">
        <f>Datos_originales!$I217/Datos_originales!$E217</f>
        <v>0.00006461014954</v>
      </c>
      <c r="AJ18" s="6">
        <f>Datos_originales!$J217/Datos_originales!$E217</f>
        <v>0.00001435781101</v>
      </c>
      <c r="AK18" s="6">
        <f>Datos_originales!$K217/Datos_originales!$E217</f>
        <v>0.00001435781101</v>
      </c>
      <c r="AL18" s="6">
        <f>Datos_originales!$L217/Datos_originales!$E217</f>
        <v>0.000007178905504</v>
      </c>
      <c r="AM18" s="6">
        <f>Datos_originales!$M217/Datos_originales!$E217</f>
        <v>0</v>
      </c>
      <c r="AN18" s="6">
        <f>Datos_originales!$N217/Datos_originales!$E217</f>
        <v>0.000007178905504</v>
      </c>
      <c r="AO18" s="6">
        <f>Datos_originales!$O217/Datos_originales!$E217</f>
        <v>0.00003589452752</v>
      </c>
      <c r="AP18" s="6">
        <f>Datos_originales!$P217/Datos_originales!$E217</f>
        <v>0.00002871562202</v>
      </c>
      <c r="AQ18" s="6">
        <f>Datos_originales!$Q217/Datos_originales!$E217</f>
        <v>0</v>
      </c>
      <c r="AR18" s="6">
        <f>Datos_originales!$R217/Datos_originales!$E217</f>
        <v>0.00003589452752</v>
      </c>
      <c r="AS18" s="6">
        <f>Datos_originales!$S217/Datos_originales!$E217</f>
        <v>0.001191698314</v>
      </c>
      <c r="AT18" s="6">
        <f>Datos_originales!$T217/Datos_originales!$E217</f>
        <v>0.00001435781101</v>
      </c>
      <c r="AU18" s="6">
        <f>Datos_originales!$U217/Datos_originales!$E217</f>
        <v>0.004989339325</v>
      </c>
      <c r="AV18" s="6">
        <f>Datos_originales!$V217/Datos_originales!$E217</f>
        <v>0.003646883996</v>
      </c>
      <c r="AW18" s="6">
        <f>Datos_originales!$W217/Datos_originales!$E217</f>
        <v>0.01573616086</v>
      </c>
      <c r="AX18" s="6">
        <f>Datos_originales!$X217/Datos_originales!$E217</f>
        <v>0.001809084187</v>
      </c>
      <c r="AY18" s="6">
        <f>Datos_originales!$Y217/Datos_originales!$E217</f>
        <v>0.001198877219</v>
      </c>
      <c r="AZ18" s="6">
        <f>Datos_originales!$Z217/Datos_originales!$E217</f>
        <v>0.001155803786</v>
      </c>
      <c r="BA18" s="6">
        <f>Datos_originales!$AA217/Datos_originales!$E217</f>
        <v>0.002397754438</v>
      </c>
      <c r="BB18" s="6">
        <f>Datos_originales!$AB217/Datos_originales!$E217</f>
        <v>0.004802687782</v>
      </c>
      <c r="BC18" s="6">
        <f>Datos_originales!$AC217/Datos_originales!$E217</f>
        <v>0.0160376749</v>
      </c>
      <c r="BD18" s="6">
        <f>Datos_originales!$AD217/Datos_originales!$E217</f>
        <v>0.00005743124403</v>
      </c>
      <c r="BE18" s="6">
        <f>Datos_originales!$AE217/Datos_originales!$E217</f>
        <v>0.0003302296532</v>
      </c>
      <c r="BF18" s="6">
        <f>Datos_originales!$AF217/Datos_originales!$E217</f>
        <v>0.008442392873</v>
      </c>
      <c r="BG18" s="6">
        <f>Datos_originales!$AG217/Datos_originales!$E217</f>
        <v>0.00007178905504</v>
      </c>
    </row>
    <row r="19">
      <c r="A19" s="2">
        <v>10602.0</v>
      </c>
      <c r="B19" s="3" t="s">
        <v>59</v>
      </c>
      <c r="C19" s="4" t="s">
        <v>77</v>
      </c>
      <c r="D19" s="4" t="str">
        <f>IF(Datos_originales!$E19&lt;1000,"Bosque menor a 1000 ha",Datos_originales!$E19)</f>
        <v>Bosque menor a 1000 ha</v>
      </c>
      <c r="E19" s="4">
        <v>694.26</v>
      </c>
      <c r="F19" s="5">
        <f>AVERAGE(Datos_originales!$H230:$J230)</f>
        <v>0.33</v>
      </c>
      <c r="G19" s="5">
        <f>AVERAGE(Datos_originales!$R230:$T230)</f>
        <v>0.99</v>
      </c>
      <c r="H19" s="4">
        <v>0.0</v>
      </c>
      <c r="I19" s="4">
        <v>0.18</v>
      </c>
      <c r="J19" s="4">
        <v>0.45</v>
      </c>
      <c r="K19" s="4">
        <v>0.09</v>
      </c>
      <c r="L19" s="4">
        <v>0.45</v>
      </c>
      <c r="M19" s="4">
        <v>0.18</v>
      </c>
      <c r="N19" s="4">
        <v>0.0</v>
      </c>
      <c r="O19" s="4">
        <v>0.0</v>
      </c>
      <c r="P19" s="4">
        <v>0.0</v>
      </c>
      <c r="Q19" s="4">
        <v>0.09</v>
      </c>
      <c r="R19" s="4">
        <v>0.0</v>
      </c>
      <c r="S19" s="4">
        <v>0.54</v>
      </c>
      <c r="T19" s="4">
        <v>0.09</v>
      </c>
      <c r="U19" s="4">
        <v>1.62</v>
      </c>
      <c r="V19" s="4">
        <v>1.44</v>
      </c>
      <c r="W19" s="4">
        <v>14.04</v>
      </c>
      <c r="X19" s="4">
        <v>0.72</v>
      </c>
      <c r="Y19" s="4">
        <v>0.8099999999999999</v>
      </c>
      <c r="Z19" s="4">
        <v>0.18</v>
      </c>
      <c r="AA19" s="4">
        <v>0.45</v>
      </c>
      <c r="AB19" s="4">
        <v>0.27</v>
      </c>
      <c r="AC19" s="4">
        <v>1.26</v>
      </c>
      <c r="AD19" s="4">
        <v>0.63</v>
      </c>
      <c r="AE19" s="4">
        <v>0.09</v>
      </c>
      <c r="AF19" s="4">
        <v>0.72</v>
      </c>
      <c r="AG19" s="4">
        <v>0.09</v>
      </c>
      <c r="AH19" s="6">
        <f>Datos_originales!$H230/Datos_originales!$E230</f>
        <v>0.008183306056</v>
      </c>
      <c r="AI19" s="6">
        <f>Datos_originales!$I230/Datos_originales!$E230</f>
        <v>0.006546644845</v>
      </c>
      <c r="AJ19" s="6">
        <f>Datos_originales!$J230/Datos_originales!$E230</f>
        <v>0.003273322422</v>
      </c>
      <c r="AK19" s="6">
        <f>Datos_originales!$K230/Datos_originales!$E230</f>
        <v>0</v>
      </c>
      <c r="AL19" s="6">
        <f>Datos_originales!$L230/Datos_originales!$E230</f>
        <v>0.009819967267</v>
      </c>
      <c r="AM19" s="6">
        <f>Datos_originales!$M230/Datos_originales!$E230</f>
        <v>0.001636661211</v>
      </c>
      <c r="AN19" s="6">
        <f>Datos_originales!$N230/Datos_originales!$E230</f>
        <v>0.006546644845</v>
      </c>
      <c r="AO19" s="6">
        <f>Datos_originales!$O230/Datos_originales!$E230</f>
        <v>0.001636661211</v>
      </c>
      <c r="AP19" s="6">
        <f>Datos_originales!$P230/Datos_originales!$E230</f>
        <v>0</v>
      </c>
      <c r="AQ19" s="6">
        <f>Datos_originales!$Q230/Datos_originales!$E230</f>
        <v>0</v>
      </c>
      <c r="AR19" s="6">
        <f>Datos_originales!$R230/Datos_originales!$E230</f>
        <v>0</v>
      </c>
      <c r="AS19" s="6">
        <f>Datos_originales!$S230/Datos_originales!$E230</f>
        <v>0.001636661211</v>
      </c>
      <c r="AT19" s="6">
        <f>Datos_originales!$T230/Datos_originales!$E230</f>
        <v>0.05237315876</v>
      </c>
      <c r="AU19" s="6">
        <f>Datos_originales!$U230/Datos_originales!$E230</f>
        <v>0.009819967267</v>
      </c>
      <c r="AV19" s="6">
        <f>Datos_originales!$V230/Datos_originales!$E230</f>
        <v>0.01800327332</v>
      </c>
      <c r="AW19" s="6">
        <f>Datos_originales!$W230/Datos_originales!$E230</f>
        <v>0.03273322422</v>
      </c>
      <c r="AX19" s="6">
        <f>Datos_originales!$X230/Datos_originales!$E230</f>
        <v>0</v>
      </c>
      <c r="AY19" s="6">
        <f>Datos_originales!$Y230/Datos_originales!$E230</f>
        <v>0.01636661211</v>
      </c>
      <c r="AZ19" s="6">
        <f>Datos_originales!$Z230/Datos_originales!$E230</f>
        <v>0.001636661211</v>
      </c>
      <c r="BA19" s="6">
        <f>Datos_originales!$AA230/Datos_originales!$E230</f>
        <v>0.006546644845</v>
      </c>
      <c r="BB19" s="6">
        <f>Datos_originales!$AB230/Datos_originales!$E230</f>
        <v>0.001636661211</v>
      </c>
      <c r="BC19" s="6">
        <f>Datos_originales!$AC230/Datos_originales!$E230</f>
        <v>0</v>
      </c>
      <c r="BD19" s="6">
        <f>Datos_originales!$AD230/Datos_originales!$E230</f>
        <v>0</v>
      </c>
      <c r="BE19" s="6">
        <f>Datos_originales!$AE230/Datos_originales!$E230</f>
        <v>0</v>
      </c>
      <c r="BF19" s="6">
        <f>Datos_originales!$AF230/Datos_originales!$E230</f>
        <v>0.01145662848</v>
      </c>
      <c r="BG19" s="6">
        <f>Datos_originales!$AG230/Datos_originales!$E230</f>
        <v>0.1227495908</v>
      </c>
    </row>
    <row r="20">
      <c r="A20" s="2">
        <v>10701.0</v>
      </c>
      <c r="B20" s="3" t="s">
        <v>59</v>
      </c>
      <c r="C20" s="4" t="s">
        <v>78</v>
      </c>
      <c r="D20" s="4" t="str">
        <f>IF(Datos_originales!$E20&lt;1000,"Bosque menor a 1000 ha",Datos_originales!$E20)</f>
        <v>Bosque menor a 1000 ha</v>
      </c>
      <c r="E20" s="4">
        <v>79.2</v>
      </c>
      <c r="F20" s="5">
        <f>AVERAGE(Datos_originales!$H7:$J7)</f>
        <v>0.06</v>
      </c>
      <c r="G20" s="5">
        <f>AVERAGE(Datos_originales!$R7:$T7)</f>
        <v>4.83</v>
      </c>
      <c r="H20" s="4">
        <v>1.89</v>
      </c>
      <c r="I20" s="4">
        <v>1.71</v>
      </c>
      <c r="J20" s="4">
        <v>0.9</v>
      </c>
      <c r="K20" s="4">
        <v>1.26</v>
      </c>
      <c r="L20" s="4">
        <v>2.07</v>
      </c>
      <c r="M20" s="4">
        <v>0.27</v>
      </c>
      <c r="N20" s="4">
        <v>0.54</v>
      </c>
      <c r="O20" s="4">
        <v>1.53</v>
      </c>
      <c r="P20" s="4">
        <v>0.27</v>
      </c>
      <c r="Q20" s="4">
        <v>0.99</v>
      </c>
      <c r="R20" s="4">
        <v>0.0</v>
      </c>
      <c r="S20" s="4">
        <v>1.35</v>
      </c>
      <c r="T20" s="4">
        <v>26.1</v>
      </c>
      <c r="U20" s="4">
        <v>2.79</v>
      </c>
      <c r="V20" s="4">
        <v>1.98</v>
      </c>
      <c r="W20" s="4">
        <v>1.53</v>
      </c>
      <c r="X20" s="4">
        <v>1.89</v>
      </c>
      <c r="Y20" s="4">
        <v>2.16</v>
      </c>
      <c r="Z20" s="4">
        <v>0.36</v>
      </c>
      <c r="AA20" s="4">
        <v>0.54</v>
      </c>
      <c r="AB20" s="4">
        <v>2.07</v>
      </c>
      <c r="AC20" s="4">
        <v>0.36</v>
      </c>
      <c r="AD20" s="4">
        <v>1.17</v>
      </c>
      <c r="AE20" s="4">
        <v>0.0</v>
      </c>
      <c r="AF20" s="4">
        <v>1.8</v>
      </c>
      <c r="AG20" s="4">
        <v>49.32</v>
      </c>
      <c r="AH20" s="6">
        <f>Datos_originales!$H7/Datos_originales!$E7</f>
        <v>0.000009579461634</v>
      </c>
      <c r="AI20" s="6">
        <f>Datos_originales!$I7/Datos_originales!$E7</f>
        <v>0</v>
      </c>
      <c r="AJ20" s="6">
        <f>Datos_originales!$J7/Datos_originales!$E7</f>
        <v>0.000009579461634</v>
      </c>
      <c r="AK20" s="6">
        <f>Datos_originales!$K7/Datos_originales!$E7</f>
        <v>0</v>
      </c>
      <c r="AL20" s="6">
        <f>Datos_originales!$L7/Datos_originales!$E7</f>
        <v>0.00001915892327</v>
      </c>
      <c r="AM20" s="6">
        <f>Datos_originales!$M7/Datos_originales!$E7</f>
        <v>0</v>
      </c>
      <c r="AN20" s="6">
        <f>Datos_originales!$N7/Datos_originales!$E7</f>
        <v>0.00001915892327</v>
      </c>
      <c r="AO20" s="6">
        <f>Datos_originales!$O7/Datos_originales!$E7</f>
        <v>0.00006705623144</v>
      </c>
      <c r="AP20" s="6">
        <f>Datos_originales!$P7/Datos_originales!$E7</f>
        <v>0.00006705623144</v>
      </c>
      <c r="AQ20" s="6">
        <f>Datos_originales!$Q7/Datos_originales!$E7</f>
        <v>0</v>
      </c>
      <c r="AR20" s="6">
        <f>Datos_originales!$R7/Datos_originales!$E7</f>
        <v>0.000009579461634</v>
      </c>
      <c r="AS20" s="6">
        <f>Datos_originales!$S7/Datos_originales!$E7</f>
        <v>0.001120797011</v>
      </c>
      <c r="AT20" s="6">
        <f>Datos_originales!$T7/Datos_originales!$E7</f>
        <v>0.0004119168503</v>
      </c>
      <c r="AU20" s="6">
        <f>Datos_originales!$U7/Datos_originales!$E7</f>
        <v>0.0009292077785</v>
      </c>
      <c r="AV20" s="6">
        <f>Datos_originales!$V7/Datos_originales!$E7</f>
        <v>0.0007376185458</v>
      </c>
      <c r="AW20" s="6">
        <f>Datos_originales!$W7/Datos_originales!$E7</f>
        <v>0.01525050292</v>
      </c>
      <c r="AX20" s="6">
        <f>Datos_originales!$X7/Datos_originales!$E7</f>
        <v>0.0001341124629</v>
      </c>
      <c r="AY20" s="6">
        <f>Datos_originales!$Y7/Datos_originales!$E7</f>
        <v>0.001417760322</v>
      </c>
      <c r="AZ20" s="6">
        <f>Datos_originales!$Z7/Datos_originales!$E7</f>
        <v>0.001963789635</v>
      </c>
      <c r="BA20" s="6">
        <f>Datos_originales!$AA7/Datos_originales!$E7</f>
        <v>0.00785515854</v>
      </c>
      <c r="BB20" s="6">
        <f>Datos_originales!$AB7/Datos_originales!$E7</f>
        <v>0.00797011208</v>
      </c>
      <c r="BC20" s="6">
        <f>Datos_originales!$AC7/Datos_originales!$E7</f>
        <v>0.008018009388</v>
      </c>
      <c r="BD20" s="6">
        <f>Datos_originales!$AD7/Datos_originales!$E7</f>
        <v>0.000009579461634</v>
      </c>
      <c r="BE20" s="6">
        <f>Datos_originales!$AE7/Datos_originales!$E7</f>
        <v>0.00008621515471</v>
      </c>
      <c r="BF20" s="6">
        <f>Datos_originales!$AF7/Datos_originales!$E7</f>
        <v>0.004167065811</v>
      </c>
      <c r="BG20" s="6">
        <f>Datos_originales!$AG7/Datos_originales!$E7</f>
        <v>0.0004598141584</v>
      </c>
    </row>
    <row r="21" ht="15.75" customHeight="1">
      <c r="A21" s="2">
        <v>10702.0</v>
      </c>
      <c r="B21" s="3" t="s">
        <v>59</v>
      </c>
      <c r="C21" s="4" t="s">
        <v>79</v>
      </c>
      <c r="D21" s="4">
        <f>IF(Datos_originales!$E21&lt;1000,"Bosque menor a 1000 ha",Datos_originales!$E21)</f>
        <v>40473.81</v>
      </c>
      <c r="E21" s="4">
        <v>40473.81</v>
      </c>
      <c r="F21" s="5">
        <f>AVERAGE(Datos_originales!$H76:$J76)</f>
        <v>0.42</v>
      </c>
      <c r="G21" s="5">
        <f>AVERAGE(Datos_originales!$R76:$T76)</f>
        <v>30.3</v>
      </c>
      <c r="H21" s="4">
        <v>26.28</v>
      </c>
      <c r="I21" s="4">
        <v>39.33</v>
      </c>
      <c r="J21" s="4">
        <v>64.62</v>
      </c>
      <c r="K21" s="4">
        <v>46.98</v>
      </c>
      <c r="L21" s="4">
        <v>45.18</v>
      </c>
      <c r="M21" s="4">
        <v>85.77</v>
      </c>
      <c r="N21" s="4">
        <v>89.01</v>
      </c>
      <c r="O21" s="4">
        <v>68.58</v>
      </c>
      <c r="P21" s="4">
        <v>30.15</v>
      </c>
      <c r="Q21" s="4">
        <v>10.44</v>
      </c>
      <c r="R21" s="4">
        <v>9.63</v>
      </c>
      <c r="S21" s="4">
        <v>10.26</v>
      </c>
      <c r="T21" s="4">
        <v>39.6</v>
      </c>
      <c r="U21" s="4">
        <v>33.03</v>
      </c>
      <c r="V21" s="4">
        <v>51.93</v>
      </c>
      <c r="W21" s="4">
        <v>279.0</v>
      </c>
      <c r="X21" s="4">
        <v>54.72</v>
      </c>
      <c r="Y21" s="4">
        <v>51.39</v>
      </c>
      <c r="Z21" s="4">
        <v>92.88</v>
      </c>
      <c r="AA21" s="4">
        <v>97.64999999999999</v>
      </c>
      <c r="AB21" s="4">
        <v>80.82</v>
      </c>
      <c r="AC21" s="4">
        <v>36.9</v>
      </c>
      <c r="AD21" s="4">
        <v>28.35</v>
      </c>
      <c r="AE21" s="4">
        <v>11.34</v>
      </c>
      <c r="AF21" s="4">
        <v>13.59</v>
      </c>
      <c r="AG21" s="4">
        <v>829.44</v>
      </c>
      <c r="AH21" s="6">
        <f>Datos_originales!$H76/Datos_originales!$E76</f>
        <v>0.0007483429549</v>
      </c>
      <c r="AI21" s="6">
        <f>Datos_originales!$I76/Datos_originales!$E76</f>
        <v>0.0003207184092</v>
      </c>
      <c r="AJ21" s="6">
        <f>Datos_originales!$J76/Datos_originales!$E76</f>
        <v>0.0004276245456</v>
      </c>
      <c r="AK21" s="6">
        <f>Datos_originales!$K76/Datos_originales!$E76</f>
        <v>0</v>
      </c>
      <c r="AL21" s="6">
        <f>Datos_originales!$L76/Datos_originales!$E76</f>
        <v>0.0002138122728</v>
      </c>
      <c r="AM21" s="6">
        <f>Datos_originales!$M76/Datos_originales!$E76</f>
        <v>0.0002138122728</v>
      </c>
      <c r="AN21" s="6">
        <f>Datos_originales!$N76/Datos_originales!$E76</f>
        <v>0</v>
      </c>
      <c r="AO21" s="6">
        <f>Datos_originales!$O76/Datos_originales!$E76</f>
        <v>0.001603592046</v>
      </c>
      <c r="AP21" s="6">
        <f>Datos_originales!$P76/Datos_originales!$E76</f>
        <v>0.001069061364</v>
      </c>
      <c r="AQ21" s="6">
        <f>Datos_originales!$Q76/Datos_originales!$E76</f>
        <v>0.004383151593</v>
      </c>
      <c r="AR21" s="6">
        <f>Datos_originales!$R76/Datos_originales!$E76</f>
        <v>0.01186658114</v>
      </c>
      <c r="AS21" s="6">
        <f>Datos_originales!$S76/Datos_originales!$E76</f>
        <v>0.0786829164</v>
      </c>
      <c r="AT21" s="6">
        <f>Datos_originales!$T76/Datos_originales!$E76</f>
        <v>0.01742570024</v>
      </c>
      <c r="AU21" s="6">
        <f>Datos_originales!$U76/Datos_originales!$E76</f>
        <v>0.004596963866</v>
      </c>
      <c r="AV21" s="6">
        <f>Datos_originales!$V76/Datos_originales!$E76</f>
        <v>0.003634808638</v>
      </c>
      <c r="AW21" s="6">
        <f>Datos_originales!$W76/Datos_originales!$E76</f>
        <v>0.02127432115</v>
      </c>
      <c r="AX21" s="6">
        <f>Datos_originales!$X76/Datos_originales!$E76</f>
        <v>0.001069061364</v>
      </c>
      <c r="AY21" s="6">
        <f>Datos_originales!$Y76/Datos_originales!$E76</f>
        <v>0.002245028865</v>
      </c>
      <c r="AZ21" s="6">
        <f>Datos_originales!$Z76/Datos_originales!$E76</f>
        <v>0.0008552490913</v>
      </c>
      <c r="BA21" s="6">
        <f>Datos_originales!$AA76/Datos_originales!$E76</f>
        <v>0.001175967501</v>
      </c>
      <c r="BB21" s="6">
        <f>Datos_originales!$AB76/Datos_originales!$E76</f>
        <v>0.00299337182</v>
      </c>
      <c r="BC21" s="6">
        <f>Datos_originales!$AC76/Datos_originales!$E76</f>
        <v>0.004062433184</v>
      </c>
      <c r="BD21" s="6">
        <f>Datos_originales!$AD76/Datos_originales!$E76</f>
        <v>0.004810776139</v>
      </c>
      <c r="BE21" s="6">
        <f>Datos_originales!$AE76/Datos_originales!$E76</f>
        <v>0.01186658114</v>
      </c>
      <c r="BF21" s="6">
        <f>Datos_originales!$AF76/Datos_originales!$E76</f>
        <v>0.08680778277</v>
      </c>
      <c r="BG21" s="6">
        <f>Datos_originales!$AG76/Datos_originales!$E76</f>
        <v>0.01785332478</v>
      </c>
    </row>
    <row r="22" ht="15.75" customHeight="1">
      <c r="A22" s="2">
        <v>10703.0</v>
      </c>
      <c r="B22" s="3" t="s">
        <v>59</v>
      </c>
      <c r="C22" s="4" t="s">
        <v>80</v>
      </c>
      <c r="D22" s="4">
        <f>IF(Datos_originales!$E22&lt;1000,"Bosque menor a 1000 ha",Datos_originales!$E22)</f>
        <v>53681.22</v>
      </c>
      <c r="E22" s="4">
        <v>53681.22</v>
      </c>
      <c r="F22" s="5">
        <f>AVERAGE(Datos_originales!$H121:$J121)</f>
        <v>0.39</v>
      </c>
      <c r="G22" s="5">
        <f>AVERAGE(Datos_originales!$R121:$T121)</f>
        <v>17.79</v>
      </c>
      <c r="H22" s="4">
        <v>35.91</v>
      </c>
      <c r="I22" s="4">
        <v>105.3</v>
      </c>
      <c r="J22" s="4">
        <v>77.49000000000001</v>
      </c>
      <c r="K22" s="4">
        <v>32.04</v>
      </c>
      <c r="L22" s="4">
        <v>96.66</v>
      </c>
      <c r="M22" s="4">
        <v>100.62</v>
      </c>
      <c r="N22" s="4">
        <v>95.67</v>
      </c>
      <c r="O22" s="4">
        <v>97.2</v>
      </c>
      <c r="P22" s="4">
        <v>136.98</v>
      </c>
      <c r="Q22" s="4">
        <v>34.56</v>
      </c>
      <c r="R22" s="4">
        <v>196.2</v>
      </c>
      <c r="S22" s="4">
        <v>648.36</v>
      </c>
      <c r="T22" s="4">
        <v>412.56</v>
      </c>
      <c r="U22" s="4">
        <v>64.53</v>
      </c>
      <c r="V22" s="4">
        <v>166.86</v>
      </c>
      <c r="W22" s="4">
        <v>259.2</v>
      </c>
      <c r="X22" s="4">
        <v>41.13</v>
      </c>
      <c r="Y22" s="4">
        <v>121.59</v>
      </c>
      <c r="Z22" s="4">
        <v>114.21</v>
      </c>
      <c r="AA22" s="4">
        <v>107.55</v>
      </c>
      <c r="AB22" s="4">
        <v>116.01</v>
      </c>
      <c r="AC22" s="4">
        <v>148.14</v>
      </c>
      <c r="AD22" s="4">
        <v>85.59</v>
      </c>
      <c r="AE22" s="4">
        <v>198.18</v>
      </c>
      <c r="AF22" s="4">
        <v>669.24</v>
      </c>
      <c r="AG22" s="4">
        <v>457.65</v>
      </c>
      <c r="AH22" s="6">
        <f>Datos_originales!$H121/Datos_originales!$E121</f>
        <v>0.00004829018261</v>
      </c>
      <c r="AI22" s="6">
        <f>Datos_originales!$I121/Datos_originales!$E121</f>
        <v>0.00002069579255</v>
      </c>
      <c r="AJ22" s="6">
        <f>Datos_originales!$J121/Datos_originales!$E121</f>
        <v>0.00002069579255</v>
      </c>
      <c r="AK22" s="6">
        <f>Datos_originales!$K121/Datos_originales!$E121</f>
        <v>0.00001379719503</v>
      </c>
      <c r="AL22" s="6">
        <f>Datos_originales!$L121/Datos_originales!$E121</f>
        <v>0.00002759439006</v>
      </c>
      <c r="AM22" s="6">
        <f>Datos_originales!$M121/Datos_originales!$E121</f>
        <v>0.000006898597515</v>
      </c>
      <c r="AN22" s="6">
        <f>Datos_originales!$N121/Datos_originales!$E121</f>
        <v>0.00002069579255</v>
      </c>
      <c r="AO22" s="6">
        <f>Datos_originales!$O121/Datos_originales!$E121</f>
        <v>0.00004829018261</v>
      </c>
      <c r="AP22" s="6">
        <f>Datos_originales!$P121/Datos_originales!$E121</f>
        <v>0.00004139158509</v>
      </c>
      <c r="AQ22" s="6">
        <f>Datos_originales!$Q121/Datos_originales!$E121</f>
        <v>0.0002483495105</v>
      </c>
      <c r="AR22" s="6">
        <f>Datos_originales!$R121/Datos_originales!$E121</f>
        <v>0.001828128342</v>
      </c>
      <c r="AS22" s="6">
        <f>Datos_originales!$S121/Datos_originales!$E121</f>
        <v>0.00100029664</v>
      </c>
      <c r="AT22" s="6">
        <f>Datos_originales!$T121/Datos_originales!$E121</f>
        <v>0.001262443345</v>
      </c>
      <c r="AU22" s="6">
        <f>Datos_originales!$U121/Datos_originales!$E121</f>
        <v>0.0004208144484</v>
      </c>
      <c r="AV22" s="6">
        <f>Datos_originales!$V121/Datos_originales!$E121</f>
        <v>0.0008485274944</v>
      </c>
      <c r="AW22" s="6">
        <f>Datos_originales!$W121/Datos_originales!$E121</f>
        <v>0.01134129431</v>
      </c>
      <c r="AX22" s="6">
        <f>Datos_originales!$X121/Datos_originales!$E121</f>
        <v>0.0005311920087</v>
      </c>
      <c r="AY22" s="6">
        <f>Datos_originales!$Y121/Datos_originales!$E121</f>
        <v>0.0002690453031</v>
      </c>
      <c r="AZ22" s="6">
        <f>Datos_originales!$Z121/Datos_originales!$E121</f>
        <v>0.0003518284733</v>
      </c>
      <c r="BA22" s="6">
        <f>Datos_originales!$AA121/Datos_originales!$E121</f>
        <v>0.0004070172534</v>
      </c>
      <c r="BB22" s="6">
        <f>Datos_originales!$AB121/Datos_originales!$E121</f>
        <v>0.0003587270708</v>
      </c>
      <c r="BC22" s="6">
        <f>Datos_originales!$AC121/Datos_originales!$E121</f>
        <v>0.0003932200584</v>
      </c>
      <c r="BD22" s="6">
        <f>Datos_originales!$AD121/Datos_originales!$E121</f>
        <v>0.0002621467056</v>
      </c>
      <c r="BE22" s="6">
        <f>Datos_originales!$AE121/Datos_originales!$E121</f>
        <v>0.002117869437</v>
      </c>
      <c r="BF22" s="6">
        <f>Datos_originales!$AF121/Datos_originales!$E121</f>
        <v>0.003000889919</v>
      </c>
      <c r="BG22" s="6">
        <f>Datos_originales!$AG121/Datos_originales!$E121</f>
        <v>0.001386618101</v>
      </c>
    </row>
    <row r="23" ht="15.75" customHeight="1">
      <c r="A23" s="2">
        <v>10704.0</v>
      </c>
      <c r="B23" s="3" t="s">
        <v>59</v>
      </c>
      <c r="C23" s="4" t="s">
        <v>81</v>
      </c>
      <c r="D23" s="4">
        <f>IF(Datos_originales!$E23&lt;1000,"Bosque menor a 1000 ha",Datos_originales!$E23)</f>
        <v>10740.24</v>
      </c>
      <c r="E23" s="4">
        <v>10740.24</v>
      </c>
      <c r="F23" s="5">
        <f>AVERAGE(Datos_originales!$H171:$J171)</f>
        <v>0</v>
      </c>
      <c r="G23" s="5">
        <f>AVERAGE(Datos_originales!$R171:$T171)</f>
        <v>0</v>
      </c>
      <c r="H23" s="4">
        <v>4.32</v>
      </c>
      <c r="I23" s="4">
        <v>9.719999999999999</v>
      </c>
      <c r="J23" s="4">
        <v>27.36</v>
      </c>
      <c r="K23" s="4">
        <v>13.14</v>
      </c>
      <c r="L23" s="4">
        <v>9.9</v>
      </c>
      <c r="M23" s="4">
        <v>25.02</v>
      </c>
      <c r="N23" s="4">
        <v>16.65</v>
      </c>
      <c r="O23" s="4">
        <v>27.99</v>
      </c>
      <c r="P23" s="4">
        <v>4.59</v>
      </c>
      <c r="Q23" s="4">
        <v>2.7</v>
      </c>
      <c r="R23" s="4">
        <v>1.17</v>
      </c>
      <c r="S23" s="4">
        <v>3.96</v>
      </c>
      <c r="T23" s="4">
        <v>14.31</v>
      </c>
      <c r="U23" s="4">
        <v>8.1</v>
      </c>
      <c r="V23" s="4">
        <v>14.13</v>
      </c>
      <c r="W23" s="4">
        <v>106.2</v>
      </c>
      <c r="X23" s="4">
        <v>15.57</v>
      </c>
      <c r="Y23" s="4">
        <v>12.42</v>
      </c>
      <c r="Z23" s="4">
        <v>29.79</v>
      </c>
      <c r="AA23" s="4">
        <v>20.34</v>
      </c>
      <c r="AB23" s="4">
        <v>32.85</v>
      </c>
      <c r="AC23" s="4">
        <v>8.280000000000001</v>
      </c>
      <c r="AD23" s="4">
        <v>13.05</v>
      </c>
      <c r="AE23" s="4">
        <v>1.62</v>
      </c>
      <c r="AF23" s="4">
        <v>5.94</v>
      </c>
      <c r="AG23" s="4">
        <v>36.54</v>
      </c>
      <c r="AH23" s="6" t="str">
        <f>Datos_originales!$H171/Datos_originales!$E171</f>
        <v>#DIV/0!</v>
      </c>
      <c r="AI23" s="6" t="str">
        <f>Datos_originales!$I171/Datos_originales!$E171</f>
        <v>#DIV/0!</v>
      </c>
      <c r="AJ23" s="6" t="str">
        <f>Datos_originales!$J171/Datos_originales!$E171</f>
        <v>#DIV/0!</v>
      </c>
      <c r="AK23" s="6" t="str">
        <f>Datos_originales!$K171/Datos_originales!$E171</f>
        <v>#DIV/0!</v>
      </c>
      <c r="AL23" s="6" t="str">
        <f>Datos_originales!$L171/Datos_originales!$E171</f>
        <v>#DIV/0!</v>
      </c>
      <c r="AM23" s="6" t="str">
        <f>Datos_originales!$M171/Datos_originales!$E171</f>
        <v>#DIV/0!</v>
      </c>
      <c r="AN23" s="6" t="str">
        <f>Datos_originales!$N171/Datos_originales!$E171</f>
        <v>#DIV/0!</v>
      </c>
      <c r="AO23" s="6" t="str">
        <f>Datos_originales!$O171/Datos_originales!$E171</f>
        <v>#DIV/0!</v>
      </c>
      <c r="AP23" s="6" t="str">
        <f>Datos_originales!$P171/Datos_originales!$E171</f>
        <v>#DIV/0!</v>
      </c>
      <c r="AQ23" s="6" t="str">
        <f>Datos_originales!$Q171/Datos_originales!$E171</f>
        <v>#DIV/0!</v>
      </c>
      <c r="AR23" s="6" t="str">
        <f>Datos_originales!$R171/Datos_originales!$E171</f>
        <v>#DIV/0!</v>
      </c>
      <c r="AS23" s="6" t="str">
        <f>Datos_originales!$S171/Datos_originales!$E171</f>
        <v>#DIV/0!</v>
      </c>
      <c r="AT23" s="6" t="str">
        <f>Datos_originales!$T171/Datos_originales!$E171</f>
        <v>#DIV/0!</v>
      </c>
      <c r="AU23" s="6" t="str">
        <f>Datos_originales!$U171/Datos_originales!$E171</f>
        <v>#DIV/0!</v>
      </c>
      <c r="AV23" s="6" t="str">
        <f>Datos_originales!$V171/Datos_originales!$E171</f>
        <v>#DIV/0!</v>
      </c>
      <c r="AW23" s="6" t="str">
        <f>Datos_originales!$W171/Datos_originales!$E171</f>
        <v>#DIV/0!</v>
      </c>
      <c r="AX23" s="6" t="str">
        <f>Datos_originales!$X171/Datos_originales!$E171</f>
        <v>#DIV/0!</v>
      </c>
      <c r="AY23" s="6" t="str">
        <f>Datos_originales!$Y171/Datos_originales!$E171</f>
        <v>#DIV/0!</v>
      </c>
      <c r="AZ23" s="6" t="str">
        <f>Datos_originales!$Z171/Datos_originales!$E171</f>
        <v>#DIV/0!</v>
      </c>
      <c r="BA23" s="6" t="str">
        <f>Datos_originales!$AA171/Datos_originales!$E171</f>
        <v>#DIV/0!</v>
      </c>
      <c r="BB23" s="6" t="str">
        <f>Datos_originales!$AB171/Datos_originales!$E171</f>
        <v>#DIV/0!</v>
      </c>
      <c r="BC23" s="6" t="str">
        <f>Datos_originales!$AC171/Datos_originales!$E171</f>
        <v>#DIV/0!</v>
      </c>
      <c r="BD23" s="6" t="str">
        <f>Datos_originales!$AD171/Datos_originales!$E171</f>
        <v>#DIV/0!</v>
      </c>
      <c r="BE23" s="6" t="str">
        <f>Datos_originales!$AE171/Datos_originales!$E171</f>
        <v>#DIV/0!</v>
      </c>
      <c r="BF23" s="6" t="str">
        <f>Datos_originales!$AF171/Datos_originales!$E171</f>
        <v>#DIV/0!</v>
      </c>
      <c r="BG23" s="6" t="str">
        <f>Datos_originales!$AG171/Datos_originales!$E171</f>
        <v>#DIV/0!</v>
      </c>
    </row>
    <row r="24" ht="15.75" customHeight="1">
      <c r="A24" s="2">
        <v>10801.0</v>
      </c>
      <c r="B24" s="3" t="s">
        <v>59</v>
      </c>
      <c r="C24" s="4" t="s">
        <v>82</v>
      </c>
      <c r="D24" s="4">
        <f>IF(Datos_originales!$E24&lt;1000,"Bosque menor a 1000 ha",Datos_originales!$E24)</f>
        <v>99479.16</v>
      </c>
      <c r="E24" s="4">
        <v>99479.15999999999</v>
      </c>
      <c r="F24" s="5">
        <f>AVERAGE(Datos_originales!$H160:$J160)</f>
        <v>0.03</v>
      </c>
      <c r="G24" s="5">
        <f>AVERAGE(Datos_originales!$R160:$T160)</f>
        <v>3.81</v>
      </c>
      <c r="H24" s="4">
        <v>69.03</v>
      </c>
      <c r="I24" s="4">
        <v>94.86</v>
      </c>
      <c r="J24" s="4">
        <v>138.24</v>
      </c>
      <c r="K24" s="4">
        <v>91.53</v>
      </c>
      <c r="L24" s="4">
        <v>44.91</v>
      </c>
      <c r="M24" s="4">
        <v>81.99</v>
      </c>
      <c r="N24" s="4">
        <v>156.87</v>
      </c>
      <c r="O24" s="4">
        <v>136.62</v>
      </c>
      <c r="P24" s="4">
        <v>160.83</v>
      </c>
      <c r="Q24" s="4">
        <v>118.44</v>
      </c>
      <c r="R24" s="4">
        <v>169.02</v>
      </c>
      <c r="S24" s="4">
        <v>789.21</v>
      </c>
      <c r="T24" s="4">
        <v>402.48</v>
      </c>
      <c r="U24" s="4">
        <v>236.88</v>
      </c>
      <c r="V24" s="4">
        <v>295.38</v>
      </c>
      <c r="W24" s="4">
        <v>1181.88</v>
      </c>
      <c r="X24" s="4">
        <v>145.62</v>
      </c>
      <c r="Y24" s="4">
        <v>80.01</v>
      </c>
      <c r="Z24" s="4">
        <v>110.07</v>
      </c>
      <c r="AA24" s="4">
        <v>198.54</v>
      </c>
      <c r="AB24" s="4">
        <v>235.53</v>
      </c>
      <c r="AC24" s="4">
        <v>223.56</v>
      </c>
      <c r="AD24" s="4">
        <v>187.02</v>
      </c>
      <c r="AE24" s="4">
        <v>319.23</v>
      </c>
      <c r="AF24" s="4">
        <v>1032.75</v>
      </c>
      <c r="AG24" s="4">
        <v>414.54</v>
      </c>
      <c r="AH24" s="6">
        <f>Datos_originales!$H160/Datos_originales!$E160</f>
        <v>0</v>
      </c>
      <c r="AI24" s="6">
        <f>Datos_originales!$I160/Datos_originales!$E160</f>
        <v>0</v>
      </c>
      <c r="AJ24" s="6">
        <f>Datos_originales!$J160/Datos_originales!$E160</f>
        <v>0.0001879345988</v>
      </c>
      <c r="AK24" s="6">
        <f>Datos_originales!$K160/Datos_originales!$E160</f>
        <v>0.0001879345988</v>
      </c>
      <c r="AL24" s="6">
        <f>Datos_originales!$L160/Datos_originales!$E160</f>
        <v>0.0001879345988</v>
      </c>
      <c r="AM24" s="6">
        <f>Datos_originales!$M160/Datos_originales!$E160</f>
        <v>0</v>
      </c>
      <c r="AN24" s="6">
        <f>Datos_originales!$N160/Datos_originales!$E160</f>
        <v>0.001879345988</v>
      </c>
      <c r="AO24" s="6">
        <f>Datos_originales!$O160/Datos_originales!$E160</f>
        <v>0.0005638037963</v>
      </c>
      <c r="AP24" s="6">
        <f>Datos_originales!$P160/Datos_originales!$E160</f>
        <v>0.0009396729938</v>
      </c>
      <c r="AQ24" s="6">
        <f>Datos_originales!$Q160/Datos_originales!$E160</f>
        <v>0.00601390716</v>
      </c>
      <c r="AR24" s="6">
        <f>Datos_originales!$R160/Datos_originales!$E160</f>
        <v>0.002819018981</v>
      </c>
      <c r="AS24" s="6">
        <f>Datos_originales!$S160/Datos_originales!$E160</f>
        <v>0.02104867506</v>
      </c>
      <c r="AT24" s="6">
        <f>Datos_originales!$T160/Datos_originales!$E160</f>
        <v>0</v>
      </c>
      <c r="AU24" s="6">
        <f>Datos_originales!$U160/Datos_originales!$E160</f>
        <v>0.00601390716</v>
      </c>
      <c r="AV24" s="6">
        <f>Datos_originales!$V160/Datos_originales!$E160</f>
        <v>0.005074234167</v>
      </c>
      <c r="AW24" s="6">
        <f>Datos_originales!$W160/Datos_originales!$E160</f>
        <v>0.02029693667</v>
      </c>
      <c r="AX24" s="6">
        <f>Datos_originales!$X160/Datos_originales!$E160</f>
        <v>0.007705318549</v>
      </c>
      <c r="AY24" s="6">
        <f>Datos_originales!$Y160/Datos_originales!$E160</f>
        <v>0.008081187747</v>
      </c>
      <c r="AZ24" s="6">
        <f>Datos_originales!$Z160/Datos_originales!$E160</f>
        <v>0.04284908852</v>
      </c>
      <c r="BA24" s="6">
        <f>Datos_originales!$AA160/Datos_originales!$E160</f>
        <v>0.04811125728</v>
      </c>
      <c r="BB24" s="6">
        <f>Datos_originales!$AB160/Datos_originales!$E160</f>
        <v>0.04134561173</v>
      </c>
      <c r="BC24" s="6">
        <f>Datos_originales!$AC160/Datos_originales!$E160</f>
        <v>0.009396729938</v>
      </c>
      <c r="BD24" s="6">
        <f>Datos_originales!$AD160/Datos_originales!$E160</f>
        <v>0.006389776358</v>
      </c>
      <c r="BE24" s="6">
        <f>Datos_originales!$AE160/Datos_originales!$E160</f>
        <v>0.00300695358</v>
      </c>
      <c r="BF24" s="6">
        <f>Datos_originales!$AF160/Datos_originales!$E160</f>
        <v>0.08250328886</v>
      </c>
      <c r="BG24" s="6">
        <f>Datos_originales!$AG160/Datos_originales!$E160</f>
        <v>0</v>
      </c>
    </row>
    <row r="25" ht="15.75" customHeight="1">
      <c r="A25" s="2">
        <v>10901.0</v>
      </c>
      <c r="B25" s="3" t="s">
        <v>59</v>
      </c>
      <c r="C25" s="4" t="s">
        <v>83</v>
      </c>
      <c r="D25" s="4" t="str">
        <f>IF(Datos_originales!$E25&lt;1000,"Bosque menor a 1000 ha",Datos_originales!$E25)</f>
        <v>Bosque menor a 1000 ha</v>
      </c>
      <c r="E25" s="4">
        <v>120.96</v>
      </c>
      <c r="F25" s="5">
        <f>AVERAGE(Datos_originales!$H10:$J10)</f>
        <v>1.56</v>
      </c>
      <c r="G25" s="5">
        <f>AVERAGE(Datos_originales!$R10:$T10)</f>
        <v>0.93</v>
      </c>
      <c r="H25" s="4">
        <v>1.26</v>
      </c>
      <c r="I25" s="4">
        <v>4.32</v>
      </c>
      <c r="J25" s="4">
        <v>2.88</v>
      </c>
      <c r="K25" s="4">
        <v>1.71</v>
      </c>
      <c r="L25" s="4">
        <v>3.69</v>
      </c>
      <c r="M25" s="4">
        <v>1.26</v>
      </c>
      <c r="N25" s="4">
        <v>1.26</v>
      </c>
      <c r="O25" s="4">
        <v>2.34</v>
      </c>
      <c r="P25" s="4">
        <v>1.17</v>
      </c>
      <c r="Q25" s="4">
        <v>0.8999999999999999</v>
      </c>
      <c r="R25" s="4">
        <v>0.09</v>
      </c>
      <c r="S25" s="4">
        <v>3.96</v>
      </c>
      <c r="T25" s="4">
        <v>37.44</v>
      </c>
      <c r="U25" s="4">
        <v>1.53</v>
      </c>
      <c r="V25" s="4">
        <v>5.4</v>
      </c>
      <c r="W25" s="4">
        <v>4.59</v>
      </c>
      <c r="X25" s="4">
        <v>1.89</v>
      </c>
      <c r="Y25" s="4">
        <v>4.32</v>
      </c>
      <c r="Z25" s="4">
        <v>1.62</v>
      </c>
      <c r="AA25" s="4">
        <v>1.53</v>
      </c>
      <c r="AB25" s="4">
        <v>2.79</v>
      </c>
      <c r="AC25" s="4">
        <v>1.17</v>
      </c>
      <c r="AD25" s="4">
        <v>1.17</v>
      </c>
      <c r="AE25" s="4">
        <v>0.18</v>
      </c>
      <c r="AF25" s="4">
        <v>3.96</v>
      </c>
      <c r="AG25" s="4">
        <v>58.59</v>
      </c>
      <c r="AH25" s="6">
        <f>Datos_originales!$H10/Datos_originales!$E10</f>
        <v>0.000280627358</v>
      </c>
      <c r="AI25" s="6">
        <f>Datos_originales!$I10/Datos_originales!$E10</f>
        <v>0.0006547971688</v>
      </c>
      <c r="AJ25" s="6">
        <f>Datos_originales!$J10/Datos_originales!$E10</f>
        <v>0.0006859779863</v>
      </c>
      <c r="AK25" s="6">
        <f>Datos_originales!$K10/Datos_originales!$E10</f>
        <v>0.0004365314459</v>
      </c>
      <c r="AL25" s="6">
        <f>Datos_originales!$L10/Datos_originales!$E10</f>
        <v>0.0003118081756</v>
      </c>
      <c r="AM25" s="6">
        <f>Datos_originales!$M10/Datos_originales!$E10</f>
        <v>0.000498893081</v>
      </c>
      <c r="AN25" s="6">
        <f>Datos_originales!$N10/Datos_originales!$E10</f>
        <v>0.0007171588039</v>
      </c>
      <c r="AO25" s="6">
        <f>Datos_originales!$O10/Datos_originales!$E10</f>
        <v>0.000779520439</v>
      </c>
      <c r="AP25" s="6">
        <f>Datos_originales!$P10/Datos_originales!$E10</f>
        <v>0.0001247232702</v>
      </c>
      <c r="AQ25" s="6">
        <f>Datos_originales!$Q10/Datos_originales!$E10</f>
        <v>0.0005924355337</v>
      </c>
      <c r="AR25" s="6">
        <f>Datos_originales!$R10/Datos_originales!$E10</f>
        <v>0</v>
      </c>
      <c r="AS25" s="6">
        <f>Datos_originales!$S10/Datos_originales!$E10</f>
        <v>0.0004677122634</v>
      </c>
      <c r="AT25" s="6">
        <f>Datos_originales!$T10/Datos_originales!$E10</f>
        <v>0.000498893081</v>
      </c>
      <c r="AU25" s="6">
        <f>Datos_originales!$U10/Datos_originales!$E10</f>
        <v>0.001683764148</v>
      </c>
      <c r="AV25" s="6">
        <f>Datos_originales!$V10/Datos_originales!$E10</f>
        <v>0.001902029871</v>
      </c>
      <c r="AW25" s="6">
        <f>Datos_originales!$W10/Datos_originales!$E10</f>
        <v>0.01752361947</v>
      </c>
      <c r="AX25" s="6">
        <f>Datos_originales!$X10/Datos_originales!$E10</f>
        <v>0.0009042437093</v>
      </c>
      <c r="AY25" s="6">
        <f>Datos_originales!$Y10/Datos_originales!$E10</f>
        <v>0.00115369025</v>
      </c>
      <c r="AZ25" s="6">
        <f>Datos_originales!$Z10/Datos_originales!$E10</f>
        <v>0.001184871067</v>
      </c>
      <c r="BA25" s="6">
        <f>Datos_originales!$AA10/Datos_originales!$E10</f>
        <v>0.001091328615</v>
      </c>
      <c r="BB25" s="6">
        <f>Datos_originales!$AB10/Datos_originales!$E10</f>
        <v>0.001714944966</v>
      </c>
      <c r="BC25" s="6">
        <f>Datos_originales!$AC10/Datos_originales!$E10</f>
        <v>0.0007171588039</v>
      </c>
      <c r="BD25" s="6">
        <f>Datos_originales!$AD10/Datos_originales!$E10</f>
        <v>0.001808487419</v>
      </c>
      <c r="BE25" s="6">
        <f>Datos_originales!$AE10/Datos_originales!$E10</f>
        <v>0.000280627358</v>
      </c>
      <c r="BF25" s="6">
        <f>Datos_originales!$AF10/Datos_originales!$E10</f>
        <v>0.0009666053444</v>
      </c>
      <c r="BG25" s="6">
        <f>Datos_originales!$AG10/Datos_originales!$E10</f>
        <v>0.0005612547161</v>
      </c>
    </row>
    <row r="26" ht="15.75" customHeight="1">
      <c r="A26" s="2">
        <v>10902.0</v>
      </c>
      <c r="B26" s="3" t="s">
        <v>59</v>
      </c>
      <c r="C26" s="4" t="s">
        <v>84</v>
      </c>
      <c r="D26" s="4">
        <f>IF(Datos_originales!$E26&lt;1000,"Bosque menor a 1000 ha",Datos_originales!$E26)</f>
        <v>232980.57</v>
      </c>
      <c r="E26" s="4">
        <v>232980.57</v>
      </c>
      <c r="F26" s="5">
        <f>AVERAGE(Datos_originales!$H156:$J156)</f>
        <v>0.03</v>
      </c>
      <c r="G26" s="5">
        <f>AVERAGE(Datos_originales!$R156:$T156)</f>
        <v>1.77</v>
      </c>
      <c r="H26" s="4">
        <v>419.76</v>
      </c>
      <c r="I26" s="4">
        <v>561.42</v>
      </c>
      <c r="J26" s="4">
        <v>504.63</v>
      </c>
      <c r="K26" s="4">
        <v>246.51</v>
      </c>
      <c r="L26" s="4">
        <v>385.83</v>
      </c>
      <c r="M26" s="4">
        <v>660.51</v>
      </c>
      <c r="N26" s="4">
        <v>330.75</v>
      </c>
      <c r="O26" s="4">
        <v>913.1399999999999</v>
      </c>
      <c r="P26" s="4">
        <v>634.7700000000001</v>
      </c>
      <c r="Q26" s="4">
        <v>499.86</v>
      </c>
      <c r="R26" s="4">
        <v>280.44</v>
      </c>
      <c r="S26" s="4">
        <v>2403.36</v>
      </c>
      <c r="T26" s="4">
        <v>858.78</v>
      </c>
      <c r="U26" s="4">
        <v>460.53</v>
      </c>
      <c r="V26" s="4">
        <v>597.87</v>
      </c>
      <c r="W26" s="4">
        <v>826.83</v>
      </c>
      <c r="X26" s="4">
        <v>296.01</v>
      </c>
      <c r="Y26" s="4">
        <v>420.48</v>
      </c>
      <c r="Z26" s="4">
        <v>690.03</v>
      </c>
      <c r="AA26" s="4">
        <v>360.72</v>
      </c>
      <c r="AB26" s="4">
        <v>942.3899999999999</v>
      </c>
      <c r="AC26" s="4">
        <v>654.57</v>
      </c>
      <c r="AD26" s="4">
        <v>536.67</v>
      </c>
      <c r="AE26" s="4">
        <v>283.68</v>
      </c>
      <c r="AF26" s="4">
        <v>2493.63</v>
      </c>
      <c r="AG26" s="4">
        <v>1014.93</v>
      </c>
      <c r="AH26" s="6">
        <f>Datos_originales!$H156/Datos_originales!$E156</f>
        <v>0</v>
      </c>
      <c r="AI26" s="6">
        <f>Datos_originales!$I156/Datos_originales!$E156</f>
        <v>0</v>
      </c>
      <c r="AJ26" s="6">
        <f>Datos_originales!$J156/Datos_originales!$E156</f>
        <v>0.0001307873398</v>
      </c>
      <c r="AK26" s="6">
        <f>Datos_originales!$K156/Datos_originales!$E156</f>
        <v>0</v>
      </c>
      <c r="AL26" s="6">
        <f>Datos_originales!$L156/Datos_originales!$E156</f>
        <v>0.0001307873398</v>
      </c>
      <c r="AM26" s="6">
        <f>Datos_originales!$M156/Datos_originales!$E156</f>
        <v>0</v>
      </c>
      <c r="AN26" s="6">
        <f>Datos_originales!$N156/Datos_originales!$E156</f>
        <v>0.0001307873398</v>
      </c>
      <c r="AO26" s="6">
        <f>Datos_originales!$O156/Datos_originales!$E156</f>
        <v>0</v>
      </c>
      <c r="AP26" s="6">
        <f>Datos_originales!$P156/Datos_originales!$E156</f>
        <v>0</v>
      </c>
      <c r="AQ26" s="6">
        <f>Datos_originales!$Q156/Datos_originales!$E156</f>
        <v>0.0006539366989</v>
      </c>
      <c r="AR26" s="6">
        <f>Datos_originales!$R156/Datos_originales!$E156</f>
        <v>0.002484959456</v>
      </c>
      <c r="AS26" s="6">
        <f>Datos_originales!$S156/Datos_originales!$E156</f>
        <v>0.004969918912</v>
      </c>
      <c r="AT26" s="6">
        <f>Datos_originales!$T156/Datos_originales!$E156</f>
        <v>0.0002615746796</v>
      </c>
      <c r="AU26" s="6">
        <f>Datos_originales!$U156/Datos_originales!$E156</f>
        <v>0.001831022757</v>
      </c>
      <c r="AV26" s="6">
        <f>Datos_originales!$V156/Datos_originales!$E156</f>
        <v>0.003531258174</v>
      </c>
      <c r="AW26" s="6">
        <f>Datos_originales!$W156/Datos_originales!$E156</f>
        <v>0.01948731363</v>
      </c>
      <c r="AX26" s="6">
        <f>Datos_originales!$X156/Datos_originales!$E156</f>
        <v>0.007585665708</v>
      </c>
      <c r="AY26" s="6">
        <f>Datos_originales!$Y156/Datos_originales!$E156</f>
        <v>0.004839131572</v>
      </c>
      <c r="AZ26" s="6">
        <f>Datos_originales!$Z156/Datos_originales!$E156</f>
        <v>0.01739471619</v>
      </c>
      <c r="BA26" s="6">
        <f>Datos_originales!$AA156/Datos_originales!$E156</f>
        <v>0.03478943238</v>
      </c>
      <c r="BB26" s="6">
        <f>Datos_originales!$AB156/Datos_originales!$E156</f>
        <v>0.03557415642</v>
      </c>
      <c r="BC26" s="6">
        <f>Datos_originales!$AC156/Datos_originales!$E156</f>
        <v>0.01517133142</v>
      </c>
      <c r="BD26" s="6">
        <f>Datos_originales!$AD156/Datos_originales!$E156</f>
        <v>0.002092597437</v>
      </c>
      <c r="BE26" s="6">
        <f>Datos_originales!$AE156/Datos_originales!$E156</f>
        <v>0.003531258174</v>
      </c>
      <c r="BF26" s="6">
        <f>Datos_originales!$AF156/Datos_originales!$E156</f>
        <v>0.04159037405</v>
      </c>
      <c r="BG26" s="6">
        <f>Datos_originales!$AG156/Datos_originales!$E156</f>
        <v>0.0002615746796</v>
      </c>
    </row>
    <row r="27" ht="15.75" customHeight="1">
      <c r="A27" s="2">
        <v>10903.0</v>
      </c>
      <c r="B27" s="3" t="s">
        <v>59</v>
      </c>
      <c r="C27" s="4" t="s">
        <v>85</v>
      </c>
      <c r="D27" s="4" t="str">
        <f>IF(Datos_originales!$E27&lt;1000,"Bosque menor a 1000 ha",Datos_originales!$E27)</f>
        <v>Bosque menor a 1000 ha</v>
      </c>
      <c r="E27" s="4">
        <v>83.52</v>
      </c>
      <c r="F27" s="5">
        <f>AVERAGE(Datos_originales!$H12:$J12)</f>
        <v>2.67</v>
      </c>
      <c r="G27" s="5">
        <f>AVERAGE(Datos_originales!$R12:$T12)</f>
        <v>22.8</v>
      </c>
      <c r="H27" s="4">
        <v>0.99</v>
      </c>
      <c r="I27" s="4">
        <v>4.32</v>
      </c>
      <c r="J27" s="4">
        <v>3.51</v>
      </c>
      <c r="K27" s="4">
        <v>1.44</v>
      </c>
      <c r="L27" s="4">
        <v>1.8</v>
      </c>
      <c r="M27" s="4">
        <v>2.52</v>
      </c>
      <c r="N27" s="4">
        <v>2.25</v>
      </c>
      <c r="O27" s="4">
        <v>1.98</v>
      </c>
      <c r="P27" s="4">
        <v>0.99</v>
      </c>
      <c r="Q27" s="4">
        <v>0.9</v>
      </c>
      <c r="R27" s="4">
        <v>0.0</v>
      </c>
      <c r="S27" s="4">
        <v>2.16</v>
      </c>
      <c r="T27" s="4">
        <v>20.79</v>
      </c>
      <c r="U27" s="4">
        <v>1.08</v>
      </c>
      <c r="V27" s="4">
        <v>4.95</v>
      </c>
      <c r="W27" s="4">
        <v>5.13</v>
      </c>
      <c r="X27" s="4">
        <v>1.98</v>
      </c>
      <c r="Y27" s="4">
        <v>1.89</v>
      </c>
      <c r="Z27" s="4">
        <v>2.7</v>
      </c>
      <c r="AA27" s="4">
        <v>2.61</v>
      </c>
      <c r="AB27" s="4">
        <v>2.43</v>
      </c>
      <c r="AC27" s="4">
        <v>0.99</v>
      </c>
      <c r="AD27" s="4">
        <v>0.99</v>
      </c>
      <c r="AE27" s="4">
        <v>0.0</v>
      </c>
      <c r="AF27" s="4">
        <v>2.16</v>
      </c>
      <c r="AG27" s="4">
        <v>35.73</v>
      </c>
      <c r="AH27" s="6">
        <f>Datos_originales!$H12/Datos_originales!$E12</f>
        <v>0.0001333489581</v>
      </c>
      <c r="AI27" s="6">
        <f>Datos_originales!$I12/Datos_originales!$E12</f>
        <v>0.0001131445705</v>
      </c>
      <c r="AJ27" s="6">
        <f>Datos_originales!$J12/Datos_originales!$E12</f>
        <v>0.0001131445705</v>
      </c>
      <c r="AK27" s="6">
        <f>Datos_originales!$K12/Datos_originales!$E12</f>
        <v>0.00006061316275</v>
      </c>
      <c r="AL27" s="6">
        <f>Datos_originales!$L12/Datos_originales!$E12</f>
        <v>0.0001656759782</v>
      </c>
      <c r="AM27" s="6">
        <f>Datos_originales!$M12/Datos_originales!$E12</f>
        <v>0.00005657228524</v>
      </c>
      <c r="AN27" s="6">
        <f>Datos_originales!$N12/Datos_originales!$E12</f>
        <v>0.0001737577332</v>
      </c>
      <c r="AO27" s="6">
        <f>Datos_originales!$O12/Datos_originales!$E12</f>
        <v>0.00009698106041</v>
      </c>
      <c r="AP27" s="6">
        <f>Datos_originales!$P12/Datos_originales!$E12</f>
        <v>0.0002182073859</v>
      </c>
      <c r="AQ27" s="6">
        <f>Datos_originales!$Q12/Datos_originales!$E12</f>
        <v>0.000004040877517</v>
      </c>
      <c r="AR27" s="6">
        <f>Datos_originales!$R12/Datos_originales!$E12</f>
        <v>0.0002505344061</v>
      </c>
      <c r="AS27" s="6">
        <f>Datos_originales!$S12/Datos_originales!$E12</f>
        <v>0.001935580331</v>
      </c>
      <c r="AT27" s="6">
        <f>Datos_originales!$T12/Datos_originales!$E12</f>
        <v>0.0008849521762</v>
      </c>
      <c r="AU27" s="6">
        <f>Datos_originales!$U12/Datos_originales!$E12</f>
        <v>0.0007435214631</v>
      </c>
      <c r="AV27" s="6">
        <f>Datos_originales!$V12/Datos_originales!$E12</f>
        <v>0.0008526251561</v>
      </c>
      <c r="AW27" s="6">
        <f>Datos_originales!$W12/Datos_originales!$E12</f>
        <v>0.01322983299</v>
      </c>
      <c r="AX27" s="6">
        <f>Datos_originales!$X12/Datos_originales!$E12</f>
        <v>0.0003636789765</v>
      </c>
      <c r="AY27" s="6">
        <f>Datos_originales!$Y12/Datos_originales!$E12</f>
        <v>0.0008081755034</v>
      </c>
      <c r="AZ27" s="6">
        <f>Datos_originales!$Z12/Datos_originales!$E12</f>
        <v>0.0005374367098</v>
      </c>
      <c r="BA27" s="6">
        <f>Datos_originales!$AA12/Datos_originales!$E12</f>
        <v>0.001078914297</v>
      </c>
      <c r="BB27" s="6">
        <f>Datos_originales!$AB12/Datos_originales!$E12</f>
        <v>0.001442593274</v>
      </c>
      <c r="BC27" s="6">
        <f>Datos_originales!$AC12/Datos_originales!$E12</f>
        <v>0.002145705962</v>
      </c>
      <c r="BD27" s="6">
        <f>Datos_originales!$AD12/Datos_originales!$E12</f>
        <v>0.000008081755034</v>
      </c>
      <c r="BE27" s="6">
        <f>Datos_originales!$AE12/Datos_originales!$E12</f>
        <v>0.001798190495</v>
      </c>
      <c r="BF27" s="6">
        <f>Datos_originales!$AF12/Datos_originales!$E12</f>
        <v>0.005992621358</v>
      </c>
      <c r="BG27" s="6">
        <f>Datos_originales!$AG12/Datos_originales!$E12</f>
        <v>0.0009334427064</v>
      </c>
    </row>
    <row r="28" ht="15.75" customHeight="1">
      <c r="A28" s="2">
        <v>11001.0</v>
      </c>
      <c r="B28" s="3" t="s">
        <v>59</v>
      </c>
      <c r="C28" s="4" t="s">
        <v>86</v>
      </c>
      <c r="D28" s="4">
        <f>IF(Datos_originales!$E28&lt;1000,"Bosque menor a 1000 ha",Datos_originales!$E28)</f>
        <v>345973.68</v>
      </c>
      <c r="E28" s="4">
        <v>345973.68</v>
      </c>
      <c r="F28" s="5">
        <f>AVERAGE(Datos_originales!$H172:$J172)</f>
        <v>0</v>
      </c>
      <c r="G28" s="5">
        <f>AVERAGE(Datos_originales!$R172:$T172)</f>
        <v>0</v>
      </c>
      <c r="H28" s="4">
        <v>605.16</v>
      </c>
      <c r="I28" s="4">
        <v>1157.58</v>
      </c>
      <c r="J28" s="4">
        <v>688.3199999999999</v>
      </c>
      <c r="K28" s="4">
        <v>385.92</v>
      </c>
      <c r="L28" s="4">
        <v>561.78</v>
      </c>
      <c r="M28" s="4">
        <v>597.96</v>
      </c>
      <c r="N28" s="4">
        <v>1020.15</v>
      </c>
      <c r="O28" s="4">
        <v>670.5</v>
      </c>
      <c r="P28" s="4">
        <v>685.1700000000001</v>
      </c>
      <c r="Q28" s="4">
        <v>1112.76</v>
      </c>
      <c r="R28" s="4">
        <v>338.58</v>
      </c>
      <c r="S28" s="4">
        <v>2304.18</v>
      </c>
      <c r="T28" s="4">
        <v>925.11</v>
      </c>
      <c r="U28" s="4">
        <v>677.97</v>
      </c>
      <c r="V28" s="4">
        <v>1210.5</v>
      </c>
      <c r="W28" s="4">
        <v>1082.52</v>
      </c>
      <c r="X28" s="4">
        <v>438.48</v>
      </c>
      <c r="Y28" s="4">
        <v>616.77</v>
      </c>
      <c r="Z28" s="4">
        <v>649.8</v>
      </c>
      <c r="AA28" s="4">
        <v>1066.86</v>
      </c>
      <c r="AB28" s="4">
        <v>1153.44</v>
      </c>
      <c r="AC28" s="4">
        <v>750.6</v>
      </c>
      <c r="AD28" s="4">
        <v>1230.39</v>
      </c>
      <c r="AE28" s="4">
        <v>412.11</v>
      </c>
      <c r="AF28" s="4">
        <v>2467.17</v>
      </c>
      <c r="AG28" s="4">
        <v>1100.43</v>
      </c>
      <c r="AH28" s="6" t="str">
        <f>Datos_originales!$H172/Datos_originales!$E172</f>
        <v>#DIV/0!</v>
      </c>
      <c r="AI28" s="6" t="str">
        <f>Datos_originales!$I172/Datos_originales!$E172</f>
        <v>#DIV/0!</v>
      </c>
      <c r="AJ28" s="6" t="str">
        <f>Datos_originales!$J172/Datos_originales!$E172</f>
        <v>#DIV/0!</v>
      </c>
      <c r="AK28" s="6" t="str">
        <f>Datos_originales!$K172/Datos_originales!$E172</f>
        <v>#DIV/0!</v>
      </c>
      <c r="AL28" s="6" t="str">
        <f>Datos_originales!$L172/Datos_originales!$E172</f>
        <v>#DIV/0!</v>
      </c>
      <c r="AM28" s="6" t="str">
        <f>Datos_originales!$M172/Datos_originales!$E172</f>
        <v>#DIV/0!</v>
      </c>
      <c r="AN28" s="6" t="str">
        <f>Datos_originales!$N172/Datos_originales!$E172</f>
        <v>#DIV/0!</v>
      </c>
      <c r="AO28" s="6" t="str">
        <f>Datos_originales!$O172/Datos_originales!$E172</f>
        <v>#DIV/0!</v>
      </c>
      <c r="AP28" s="6" t="str">
        <f>Datos_originales!$P172/Datos_originales!$E172</f>
        <v>#DIV/0!</v>
      </c>
      <c r="AQ28" s="6" t="str">
        <f>Datos_originales!$Q172/Datos_originales!$E172</f>
        <v>#DIV/0!</v>
      </c>
      <c r="AR28" s="6" t="str">
        <f>Datos_originales!$R172/Datos_originales!$E172</f>
        <v>#DIV/0!</v>
      </c>
      <c r="AS28" s="6" t="str">
        <f>Datos_originales!$S172/Datos_originales!$E172</f>
        <v>#DIV/0!</v>
      </c>
      <c r="AT28" s="6" t="str">
        <f>Datos_originales!$T172/Datos_originales!$E172</f>
        <v>#DIV/0!</v>
      </c>
      <c r="AU28" s="6" t="str">
        <f>Datos_originales!$U172/Datos_originales!$E172</f>
        <v>#DIV/0!</v>
      </c>
      <c r="AV28" s="6" t="str">
        <f>Datos_originales!$V172/Datos_originales!$E172</f>
        <v>#DIV/0!</v>
      </c>
      <c r="AW28" s="6" t="str">
        <f>Datos_originales!$W172/Datos_originales!$E172</f>
        <v>#DIV/0!</v>
      </c>
      <c r="AX28" s="6" t="str">
        <f>Datos_originales!$X172/Datos_originales!$E172</f>
        <v>#DIV/0!</v>
      </c>
      <c r="AY28" s="6" t="str">
        <f>Datos_originales!$Y172/Datos_originales!$E172</f>
        <v>#DIV/0!</v>
      </c>
      <c r="AZ28" s="6" t="str">
        <f>Datos_originales!$Z172/Datos_originales!$E172</f>
        <v>#DIV/0!</v>
      </c>
      <c r="BA28" s="6" t="str">
        <f>Datos_originales!$AA172/Datos_originales!$E172</f>
        <v>#DIV/0!</v>
      </c>
      <c r="BB28" s="6" t="str">
        <f>Datos_originales!$AB172/Datos_originales!$E172</f>
        <v>#DIV/0!</v>
      </c>
      <c r="BC28" s="6" t="str">
        <f>Datos_originales!$AC172/Datos_originales!$E172</f>
        <v>#DIV/0!</v>
      </c>
      <c r="BD28" s="6" t="str">
        <f>Datos_originales!$AD172/Datos_originales!$E172</f>
        <v>#DIV/0!</v>
      </c>
      <c r="BE28" s="6" t="str">
        <f>Datos_originales!$AE172/Datos_originales!$E172</f>
        <v>#DIV/0!</v>
      </c>
      <c r="BF28" s="6" t="str">
        <f>Datos_originales!$AF172/Datos_originales!$E172</f>
        <v>#DIV/0!</v>
      </c>
      <c r="BG28" s="6" t="str">
        <f>Datos_originales!$AG172/Datos_originales!$E172</f>
        <v>#DIV/0!</v>
      </c>
    </row>
    <row r="29" ht="15.75" customHeight="1">
      <c r="A29" s="2">
        <v>11002.0</v>
      </c>
      <c r="B29" s="3" t="s">
        <v>59</v>
      </c>
      <c r="C29" s="4" t="s">
        <v>87</v>
      </c>
      <c r="D29" s="4">
        <f>IF(Datos_originales!$E29&lt;1000,"Bosque menor a 1000 ha",Datos_originales!$E29)</f>
        <v>121391.55</v>
      </c>
      <c r="E29" s="4">
        <v>121391.55</v>
      </c>
      <c r="F29" s="5">
        <f>AVERAGE(Datos_originales!$H188:$J188)</f>
        <v>0</v>
      </c>
      <c r="G29" s="5">
        <f>AVERAGE(Datos_originales!$R188:$T188)</f>
        <v>0</v>
      </c>
      <c r="H29" s="4">
        <v>36.63</v>
      </c>
      <c r="I29" s="4">
        <v>79.74</v>
      </c>
      <c r="J29" s="4">
        <v>58.41</v>
      </c>
      <c r="K29" s="4">
        <v>28.35</v>
      </c>
      <c r="L29" s="4">
        <v>77.49</v>
      </c>
      <c r="M29" s="4">
        <v>112.86</v>
      </c>
      <c r="N29" s="4">
        <v>159.48</v>
      </c>
      <c r="O29" s="4">
        <v>49.05</v>
      </c>
      <c r="P29" s="4">
        <v>72.0</v>
      </c>
      <c r="Q29" s="4">
        <v>291.42</v>
      </c>
      <c r="R29" s="4">
        <v>63.72</v>
      </c>
      <c r="S29" s="4">
        <v>65.97</v>
      </c>
      <c r="T29" s="4">
        <v>231.66</v>
      </c>
      <c r="U29" s="4">
        <v>67.5</v>
      </c>
      <c r="V29" s="4">
        <v>98.01</v>
      </c>
      <c r="W29" s="4">
        <v>118.44</v>
      </c>
      <c r="X29" s="4">
        <v>42.3</v>
      </c>
      <c r="Y29" s="4">
        <v>101.88</v>
      </c>
      <c r="Z29" s="4">
        <v>132.75</v>
      </c>
      <c r="AA29" s="4">
        <v>169.02</v>
      </c>
      <c r="AB29" s="4">
        <v>61.38</v>
      </c>
      <c r="AC29" s="4">
        <v>87.21000000000001</v>
      </c>
      <c r="AD29" s="4">
        <v>366.48</v>
      </c>
      <c r="AE29" s="4">
        <v>82.62</v>
      </c>
      <c r="AF29" s="4">
        <v>168.12</v>
      </c>
      <c r="AG29" s="4">
        <v>277.38</v>
      </c>
      <c r="AH29" s="6" t="str">
        <f>Datos_originales!$H188/Datos_originales!$E188</f>
        <v>#DIV/0!</v>
      </c>
      <c r="AI29" s="6" t="str">
        <f>Datos_originales!$I188/Datos_originales!$E188</f>
        <v>#DIV/0!</v>
      </c>
      <c r="AJ29" s="6" t="str">
        <f>Datos_originales!$J188/Datos_originales!$E188</f>
        <v>#DIV/0!</v>
      </c>
      <c r="AK29" s="6" t="str">
        <f>Datos_originales!$K188/Datos_originales!$E188</f>
        <v>#DIV/0!</v>
      </c>
      <c r="AL29" s="6" t="str">
        <f>Datos_originales!$L188/Datos_originales!$E188</f>
        <v>#DIV/0!</v>
      </c>
      <c r="AM29" s="6" t="str">
        <f>Datos_originales!$M188/Datos_originales!$E188</f>
        <v>#DIV/0!</v>
      </c>
      <c r="AN29" s="6" t="str">
        <f>Datos_originales!$N188/Datos_originales!$E188</f>
        <v>#DIV/0!</v>
      </c>
      <c r="AO29" s="6" t="str">
        <f>Datos_originales!$O188/Datos_originales!$E188</f>
        <v>#DIV/0!</v>
      </c>
      <c r="AP29" s="6" t="str">
        <f>Datos_originales!$P188/Datos_originales!$E188</f>
        <v>#DIV/0!</v>
      </c>
      <c r="AQ29" s="6" t="str">
        <f>Datos_originales!$Q188/Datos_originales!$E188</f>
        <v>#DIV/0!</v>
      </c>
      <c r="AR29" s="6" t="str">
        <f>Datos_originales!$R188/Datos_originales!$E188</f>
        <v>#DIV/0!</v>
      </c>
      <c r="AS29" s="6" t="str">
        <f>Datos_originales!$S188/Datos_originales!$E188</f>
        <v>#DIV/0!</v>
      </c>
      <c r="AT29" s="6" t="str">
        <f>Datos_originales!$T188/Datos_originales!$E188</f>
        <v>#DIV/0!</v>
      </c>
      <c r="AU29" s="6" t="str">
        <f>Datos_originales!$U188/Datos_originales!$E188</f>
        <v>#DIV/0!</v>
      </c>
      <c r="AV29" s="6" t="str">
        <f>Datos_originales!$V188/Datos_originales!$E188</f>
        <v>#DIV/0!</v>
      </c>
      <c r="AW29" s="6" t="str">
        <f>Datos_originales!$W188/Datos_originales!$E188</f>
        <v>#DIV/0!</v>
      </c>
      <c r="AX29" s="6" t="str">
        <f>Datos_originales!$X188/Datos_originales!$E188</f>
        <v>#DIV/0!</v>
      </c>
      <c r="AY29" s="6" t="str">
        <f>Datos_originales!$Y188/Datos_originales!$E188</f>
        <v>#DIV/0!</v>
      </c>
      <c r="AZ29" s="6" t="str">
        <f>Datos_originales!$Z188/Datos_originales!$E188</f>
        <v>#DIV/0!</v>
      </c>
      <c r="BA29" s="6" t="str">
        <f>Datos_originales!$AA188/Datos_originales!$E188</f>
        <v>#DIV/0!</v>
      </c>
      <c r="BB29" s="6" t="str">
        <f>Datos_originales!$AB188/Datos_originales!$E188</f>
        <v>#DIV/0!</v>
      </c>
      <c r="BC29" s="6" t="str">
        <f>Datos_originales!$AC188/Datos_originales!$E188</f>
        <v>#DIV/0!</v>
      </c>
      <c r="BD29" s="6" t="str">
        <f>Datos_originales!$AD188/Datos_originales!$E188</f>
        <v>#DIV/0!</v>
      </c>
      <c r="BE29" s="6" t="str">
        <f>Datos_originales!$AE188/Datos_originales!$E188</f>
        <v>#DIV/0!</v>
      </c>
      <c r="BF29" s="6" t="str">
        <f>Datos_originales!$AF188/Datos_originales!$E188</f>
        <v>#DIV/0!</v>
      </c>
      <c r="BG29" s="6" t="str">
        <f>Datos_originales!$AG188/Datos_originales!$E188</f>
        <v>#DIV/0!</v>
      </c>
    </row>
    <row r="30" ht="15.75" customHeight="1">
      <c r="A30" s="2">
        <v>11003.0</v>
      </c>
      <c r="B30" s="3" t="s">
        <v>59</v>
      </c>
      <c r="C30" s="4" t="s">
        <v>88</v>
      </c>
      <c r="D30" s="4">
        <f>IF(Datos_originales!$E30&lt;1000,"Bosque menor a 1000 ha",Datos_originales!$E30)</f>
        <v>765965.88</v>
      </c>
      <c r="E30" s="4">
        <v>765965.88</v>
      </c>
      <c r="F30" s="5">
        <f>AVERAGE(Datos_originales!$H167:$J167)</f>
        <v>0</v>
      </c>
      <c r="G30" s="5">
        <f>AVERAGE(Datos_originales!$R167:$T167)</f>
        <v>0</v>
      </c>
      <c r="H30" s="4">
        <v>672.66</v>
      </c>
      <c r="I30" s="4">
        <v>876.06</v>
      </c>
      <c r="J30" s="4">
        <v>577.35</v>
      </c>
      <c r="K30" s="4">
        <v>750.87</v>
      </c>
      <c r="L30" s="4">
        <v>496.71</v>
      </c>
      <c r="M30" s="4">
        <v>1276.2</v>
      </c>
      <c r="N30" s="4">
        <v>520.83</v>
      </c>
      <c r="O30" s="4">
        <v>3744.9</v>
      </c>
      <c r="P30" s="4">
        <v>4122.09</v>
      </c>
      <c r="Q30" s="4">
        <v>4566.06</v>
      </c>
      <c r="R30" s="4">
        <v>4370.940000000001</v>
      </c>
      <c r="S30" s="4">
        <v>3645.36</v>
      </c>
      <c r="T30" s="4">
        <v>2776.5</v>
      </c>
      <c r="U30" s="4">
        <v>781.38</v>
      </c>
      <c r="V30" s="4">
        <v>929.52</v>
      </c>
      <c r="W30" s="4">
        <v>790.92</v>
      </c>
      <c r="X30" s="4">
        <v>792.27</v>
      </c>
      <c r="Y30" s="4">
        <v>545.22</v>
      </c>
      <c r="Z30" s="4">
        <v>1319.94</v>
      </c>
      <c r="AA30" s="4">
        <v>550.89</v>
      </c>
      <c r="AB30" s="4">
        <v>3801.78</v>
      </c>
      <c r="AC30" s="4">
        <v>4168.44</v>
      </c>
      <c r="AD30" s="4">
        <v>5362.65</v>
      </c>
      <c r="AE30" s="4">
        <v>4392.45</v>
      </c>
      <c r="AF30" s="4">
        <v>9302.22</v>
      </c>
      <c r="AG30" s="4">
        <v>2811.6</v>
      </c>
      <c r="AH30" s="6" t="str">
        <f>Datos_originales!$H167/Datos_originales!$E167</f>
        <v>#DIV/0!</v>
      </c>
      <c r="AI30" s="6" t="str">
        <f>Datos_originales!$I167/Datos_originales!$E167</f>
        <v>#DIV/0!</v>
      </c>
      <c r="AJ30" s="6" t="str">
        <f>Datos_originales!$J167/Datos_originales!$E167</f>
        <v>#DIV/0!</v>
      </c>
      <c r="AK30" s="6" t="str">
        <f>Datos_originales!$K167/Datos_originales!$E167</f>
        <v>#DIV/0!</v>
      </c>
      <c r="AL30" s="6" t="str">
        <f>Datos_originales!$L167/Datos_originales!$E167</f>
        <v>#DIV/0!</v>
      </c>
      <c r="AM30" s="6" t="str">
        <f>Datos_originales!$M167/Datos_originales!$E167</f>
        <v>#DIV/0!</v>
      </c>
      <c r="AN30" s="6" t="str">
        <f>Datos_originales!$N167/Datos_originales!$E167</f>
        <v>#DIV/0!</v>
      </c>
      <c r="AO30" s="6" t="str">
        <f>Datos_originales!$O167/Datos_originales!$E167</f>
        <v>#DIV/0!</v>
      </c>
      <c r="AP30" s="6" t="str">
        <f>Datos_originales!$P167/Datos_originales!$E167</f>
        <v>#DIV/0!</v>
      </c>
      <c r="AQ30" s="6" t="str">
        <f>Datos_originales!$Q167/Datos_originales!$E167</f>
        <v>#DIV/0!</v>
      </c>
      <c r="AR30" s="6" t="str">
        <f>Datos_originales!$R167/Datos_originales!$E167</f>
        <v>#DIV/0!</v>
      </c>
      <c r="AS30" s="6" t="str">
        <f>Datos_originales!$S167/Datos_originales!$E167</f>
        <v>#DIV/0!</v>
      </c>
      <c r="AT30" s="6" t="str">
        <f>Datos_originales!$T167/Datos_originales!$E167</f>
        <v>#DIV/0!</v>
      </c>
      <c r="AU30" s="6" t="str">
        <f>Datos_originales!$U167/Datos_originales!$E167</f>
        <v>#DIV/0!</v>
      </c>
      <c r="AV30" s="6" t="str">
        <f>Datos_originales!$V167/Datos_originales!$E167</f>
        <v>#DIV/0!</v>
      </c>
      <c r="AW30" s="6" t="str">
        <f>Datos_originales!$W167/Datos_originales!$E167</f>
        <v>#DIV/0!</v>
      </c>
      <c r="AX30" s="6" t="str">
        <f>Datos_originales!$X167/Datos_originales!$E167</f>
        <v>#DIV/0!</v>
      </c>
      <c r="AY30" s="6" t="str">
        <f>Datos_originales!$Y167/Datos_originales!$E167</f>
        <v>#DIV/0!</v>
      </c>
      <c r="AZ30" s="6" t="str">
        <f>Datos_originales!$Z167/Datos_originales!$E167</f>
        <v>#DIV/0!</v>
      </c>
      <c r="BA30" s="6" t="str">
        <f>Datos_originales!$AA167/Datos_originales!$E167</f>
        <v>#DIV/0!</v>
      </c>
      <c r="BB30" s="6" t="str">
        <f>Datos_originales!$AB167/Datos_originales!$E167</f>
        <v>#DIV/0!</v>
      </c>
      <c r="BC30" s="6" t="str">
        <f>Datos_originales!$AC167/Datos_originales!$E167</f>
        <v>#DIV/0!</v>
      </c>
      <c r="BD30" s="6" t="str">
        <f>Datos_originales!$AD167/Datos_originales!$E167</f>
        <v>#DIV/0!</v>
      </c>
      <c r="BE30" s="6" t="str">
        <f>Datos_originales!$AE167/Datos_originales!$E167</f>
        <v>#DIV/0!</v>
      </c>
      <c r="BF30" s="6" t="str">
        <f>Datos_originales!$AF167/Datos_originales!$E167</f>
        <v>#DIV/0!</v>
      </c>
      <c r="BG30" s="6" t="str">
        <f>Datos_originales!$AG167/Datos_originales!$E167</f>
        <v>#DIV/0!</v>
      </c>
    </row>
    <row r="31" ht="15.75" customHeight="1">
      <c r="A31" s="2">
        <v>20101.0</v>
      </c>
      <c r="B31" s="3" t="s">
        <v>89</v>
      </c>
      <c r="C31" s="4" t="s">
        <v>90</v>
      </c>
      <c r="D31" s="4">
        <f>IF(Datos_originales!$E31&lt;1000,"Bosque menor a 1000 ha",Datos_originales!$E31)</f>
        <v>88330.41</v>
      </c>
      <c r="E31" s="4">
        <v>88330.41</v>
      </c>
      <c r="F31" s="5">
        <f>AVERAGE(Datos_originales!$H139:$J139)</f>
        <v>7.32</v>
      </c>
      <c r="G31" s="5">
        <f>AVERAGE(Datos_originales!$R139:$T139)</f>
        <v>97.35</v>
      </c>
      <c r="H31" s="4">
        <v>20.52</v>
      </c>
      <c r="I31" s="4">
        <v>25.47</v>
      </c>
      <c r="J31" s="4">
        <v>30.33</v>
      </c>
      <c r="K31" s="4">
        <v>22.68</v>
      </c>
      <c r="L31" s="4">
        <v>35.01</v>
      </c>
      <c r="M31" s="4">
        <v>14.31</v>
      </c>
      <c r="N31" s="4">
        <v>53.1</v>
      </c>
      <c r="O31" s="4">
        <v>39.06</v>
      </c>
      <c r="P31" s="4">
        <v>82.8</v>
      </c>
      <c r="Q31" s="4">
        <v>42.57</v>
      </c>
      <c r="R31" s="4">
        <v>31.14</v>
      </c>
      <c r="S31" s="4">
        <v>404.37</v>
      </c>
      <c r="T31" s="4">
        <v>137.43</v>
      </c>
      <c r="U31" s="4">
        <v>110.61</v>
      </c>
      <c r="V31" s="4">
        <v>76.68</v>
      </c>
      <c r="W31" s="4">
        <v>101.16</v>
      </c>
      <c r="X31" s="4">
        <v>39.51000000000001</v>
      </c>
      <c r="Y31" s="4">
        <v>47.61</v>
      </c>
      <c r="Z31" s="4">
        <v>18.72</v>
      </c>
      <c r="AA31" s="4">
        <v>78.21000000000001</v>
      </c>
      <c r="AB31" s="4">
        <v>53.01</v>
      </c>
      <c r="AC31" s="4">
        <v>94.59</v>
      </c>
      <c r="AD31" s="4">
        <v>53.19</v>
      </c>
      <c r="AE31" s="4">
        <v>34.38</v>
      </c>
      <c r="AF31" s="4">
        <v>447.66</v>
      </c>
      <c r="AG31" s="4">
        <v>512.64</v>
      </c>
      <c r="AH31" s="6">
        <f>Datos_originales!$H139/Datos_originales!$E139</f>
        <v>0.003958104981</v>
      </c>
      <c r="AI31" s="6">
        <f>Datos_originales!$I139/Datos_originales!$E139</f>
        <v>0.00590671051</v>
      </c>
      <c r="AJ31" s="6">
        <f>Datos_originales!$J139/Datos_originales!$E139</f>
        <v>0.004993301668</v>
      </c>
      <c r="AK31" s="6">
        <f>Datos_originales!$K139/Datos_originales!$E139</f>
        <v>0.01266593594</v>
      </c>
      <c r="AL31" s="6">
        <f>Datos_originales!$L139/Datos_originales!$E139</f>
        <v>0.009925709414</v>
      </c>
      <c r="AM31" s="6">
        <f>Datos_originales!$M139/Datos_originales!$E139</f>
        <v>0.02417488735</v>
      </c>
      <c r="AN31" s="6">
        <f>Datos_originales!$N139/Datos_originales!$E139</f>
        <v>0.02082572159</v>
      </c>
      <c r="AO31" s="6">
        <f>Datos_originales!$O139/Datos_originales!$E139</f>
        <v>0.00371452929</v>
      </c>
      <c r="AP31" s="6">
        <f>Datos_originales!$P139/Datos_originales!$E139</f>
        <v>0.008464255267</v>
      </c>
      <c r="AQ31" s="6">
        <f>Datos_originales!$Q139/Datos_originales!$E139</f>
        <v>0.01680672269</v>
      </c>
      <c r="AR31" s="6">
        <f>Datos_originales!$R139/Datos_originales!$E139</f>
        <v>0.1036414566</v>
      </c>
      <c r="AS31" s="6">
        <f>Datos_originales!$S139/Datos_originales!$E139</f>
        <v>0.09341127755</v>
      </c>
      <c r="AT31" s="6">
        <f>Datos_originales!$T139/Datos_originales!$E139</f>
        <v>0.0005480453051</v>
      </c>
      <c r="AU31" s="6">
        <f>Datos_originales!$U139/Datos_originales!$E139</f>
        <v>0.005054195591</v>
      </c>
      <c r="AV31" s="6">
        <f>Datos_originales!$V139/Datos_originales!$E139</f>
        <v>0.006576543661</v>
      </c>
      <c r="AW31" s="6">
        <f>Datos_originales!$W139/Datos_originales!$E139</f>
        <v>0.01491901108</v>
      </c>
      <c r="AX31" s="6">
        <f>Datos_originales!$X139/Datos_originales!$E139</f>
        <v>0.01382292047</v>
      </c>
      <c r="AY31" s="6">
        <f>Datos_originales!$Y139/Datos_originales!$E139</f>
        <v>0.01090001218</v>
      </c>
      <c r="AZ31" s="6">
        <f>Datos_originales!$Z139/Datos_originales!$E139</f>
        <v>0.03178662769</v>
      </c>
      <c r="BA31" s="6">
        <f>Datos_originales!$AA139/Datos_originales!$E139</f>
        <v>0.02387041773</v>
      </c>
      <c r="BB31" s="6">
        <f>Datos_originales!$AB139/Datos_originales!$E139</f>
        <v>0.01187431494</v>
      </c>
      <c r="BC31" s="6">
        <f>Datos_originales!$AC139/Datos_originales!$E139</f>
        <v>0.01424917793</v>
      </c>
      <c r="BD31" s="6">
        <f>Datos_originales!$AD139/Datos_originales!$E139</f>
        <v>0.01686761661</v>
      </c>
      <c r="BE31" s="6">
        <f>Datos_originales!$AE139/Datos_originales!$E139</f>
        <v>0.1043721837</v>
      </c>
      <c r="BF31" s="6">
        <f>Datos_originales!$AF139/Datos_originales!$E139</f>
        <v>0.1011448057</v>
      </c>
      <c r="BG31" s="6">
        <f>Datos_originales!$AG139/Datos_originales!$E139</f>
        <v>0.001217878456</v>
      </c>
    </row>
    <row r="32" ht="15.75" customHeight="1">
      <c r="A32" s="2">
        <v>20102.0</v>
      </c>
      <c r="B32" s="3" t="s">
        <v>89</v>
      </c>
      <c r="C32" s="4" t="s">
        <v>91</v>
      </c>
      <c r="D32" s="4">
        <f>IF(Datos_originales!$E32&lt;1000,"Bosque menor a 1000 ha",Datos_originales!$E32)</f>
        <v>1751.13</v>
      </c>
      <c r="E32" s="4">
        <v>1751.13</v>
      </c>
      <c r="F32" s="5">
        <f>AVERAGE(Datos_originales!$H30:$J30)</f>
        <v>708.69</v>
      </c>
      <c r="G32" s="5">
        <f>AVERAGE(Datos_originales!$R30:$T30)</f>
        <v>3597.6</v>
      </c>
      <c r="H32" s="4">
        <v>1.62</v>
      </c>
      <c r="I32" s="4">
        <v>5.4</v>
      </c>
      <c r="J32" s="4">
        <v>7.65</v>
      </c>
      <c r="K32" s="4">
        <v>2.61</v>
      </c>
      <c r="L32" s="4">
        <v>1.71</v>
      </c>
      <c r="M32" s="4">
        <v>1.17</v>
      </c>
      <c r="N32" s="4">
        <v>3.51</v>
      </c>
      <c r="O32" s="4">
        <v>21.33</v>
      </c>
      <c r="P32" s="4">
        <v>19.26</v>
      </c>
      <c r="Q32" s="4">
        <v>2.79</v>
      </c>
      <c r="R32" s="4">
        <v>23.13</v>
      </c>
      <c r="S32" s="4">
        <v>135.99</v>
      </c>
      <c r="T32" s="4">
        <v>128.43</v>
      </c>
      <c r="U32" s="4">
        <v>5.67</v>
      </c>
      <c r="V32" s="4">
        <v>23.76</v>
      </c>
      <c r="W32" s="4">
        <v>53.55</v>
      </c>
      <c r="X32" s="4">
        <v>17.73</v>
      </c>
      <c r="Y32" s="4">
        <v>8.55</v>
      </c>
      <c r="Z32" s="4">
        <v>17.37</v>
      </c>
      <c r="AA32" s="4">
        <v>21.33</v>
      </c>
      <c r="AB32" s="4">
        <v>120.78</v>
      </c>
      <c r="AC32" s="4">
        <v>133.92</v>
      </c>
      <c r="AD32" s="4">
        <v>3.51</v>
      </c>
      <c r="AE32" s="4">
        <v>23.13</v>
      </c>
      <c r="AF32" s="4">
        <v>152.19</v>
      </c>
      <c r="AG32" s="4">
        <v>132.57</v>
      </c>
      <c r="AH32" s="6">
        <f>Datos_originales!$H30/Datos_originales!$E30</f>
        <v>0.0008781853312</v>
      </c>
      <c r="AI32" s="6">
        <f>Datos_originales!$I30/Datos_originales!$E30</f>
        <v>0.001143732408</v>
      </c>
      <c r="AJ32" s="6">
        <f>Datos_originales!$J30/Datos_originales!$E30</f>
        <v>0.0007537542012</v>
      </c>
      <c r="AK32" s="6">
        <f>Datos_originales!$K30/Datos_originales!$E30</f>
        <v>0.000980291707</v>
      </c>
      <c r="AL32" s="6">
        <f>Datos_originales!$L30/Datos_originales!$E30</f>
        <v>0.0006484753603</v>
      </c>
      <c r="AM32" s="6">
        <f>Datos_originales!$M30/Datos_originales!$E30</f>
        <v>0.001666131656</v>
      </c>
      <c r="AN32" s="6">
        <f>Datos_originales!$N30/Datos_originales!$E30</f>
        <v>0.0006799650136</v>
      </c>
      <c r="AO32" s="6">
        <f>Datos_originales!$O30/Datos_originales!$E30</f>
        <v>0.004889121171</v>
      </c>
      <c r="AP32" s="6">
        <f>Datos_originales!$P30/Datos_originales!$E30</f>
        <v>0.005381558249</v>
      </c>
      <c r="AQ32" s="6">
        <f>Datos_originales!$Q30/Datos_originales!$E30</f>
        <v>0.005961179367</v>
      </c>
      <c r="AR32" s="6">
        <f>Datos_originales!$R30/Datos_originales!$E30</f>
        <v>0.005706442172</v>
      </c>
      <c r="AS32" s="6">
        <f>Datos_originales!$S30/Datos_originales!$E30</f>
        <v>0.004759167602</v>
      </c>
      <c r="AT32" s="6">
        <f>Datos_originales!$T30/Datos_originales!$E30</f>
        <v>0.003624835091</v>
      </c>
      <c r="AU32" s="6">
        <f>Datos_originales!$U30/Datos_originales!$E30</f>
        <v>0.001020123768</v>
      </c>
      <c r="AV32" s="6">
        <f>Datos_originales!$V30/Datos_originales!$E30</f>
        <v>0.001213526639</v>
      </c>
      <c r="AW32" s="6">
        <f>Datos_originales!$W30/Datos_originales!$E30</f>
        <v>0.001032578631</v>
      </c>
      <c r="AX32" s="6">
        <f>Datos_originales!$X30/Datos_originales!$E30</f>
        <v>0.001034341112</v>
      </c>
      <c r="AY32" s="6">
        <f>Datos_originales!$Y30/Datos_originales!$E30</f>
        <v>0.000711807163</v>
      </c>
      <c r="AZ32" s="6">
        <f>Datos_originales!$Z30/Datos_originales!$E30</f>
        <v>0.001723236027</v>
      </c>
      <c r="BA32" s="6">
        <f>Datos_originales!$AA30/Datos_originales!$E30</f>
        <v>0.0007192095815</v>
      </c>
      <c r="BB32" s="6">
        <f>Datos_originales!$AB30/Datos_originales!$E30</f>
        <v>0.004963380353</v>
      </c>
      <c r="BC32" s="6">
        <f>Datos_originales!$AC30/Datos_originales!$E30</f>
        <v>0.005442070083</v>
      </c>
      <c r="BD32" s="6">
        <f>Datos_originales!$AD30/Datos_originales!$E30</f>
        <v>0.007001160417</v>
      </c>
      <c r="BE32" s="6">
        <f>Datos_originales!$AE30/Datos_originales!$E30</f>
        <v>0.005734524363</v>
      </c>
      <c r="BF32" s="6">
        <f>Datos_originales!$AF30/Datos_originales!$E30</f>
        <v>0.01214443129</v>
      </c>
      <c r="BG32" s="6">
        <f>Datos_originales!$AG30/Datos_originales!$E30</f>
        <v>0.003670659586</v>
      </c>
    </row>
    <row r="33" ht="15.75" customHeight="1">
      <c r="A33" s="2">
        <v>20103.0</v>
      </c>
      <c r="B33" s="3" t="s">
        <v>89</v>
      </c>
      <c r="C33" s="4" t="s">
        <v>92</v>
      </c>
      <c r="D33" s="4" t="str">
        <f>IF(Datos_originales!$E33&lt;1000,"Bosque menor a 1000 ha",Datos_originales!$E33)</f>
        <v>Bosque menor a 1000 ha</v>
      </c>
      <c r="E33" s="4">
        <v>90.09</v>
      </c>
      <c r="F33" s="5">
        <f>AVERAGE(Datos_originales!$H27:$J27)</f>
        <v>2.94</v>
      </c>
      <c r="G33" s="5">
        <f>AVERAGE(Datos_originales!$R27:$T27)</f>
        <v>7.65</v>
      </c>
      <c r="H33" s="4">
        <v>1.53</v>
      </c>
      <c r="I33" s="4">
        <v>0.9</v>
      </c>
      <c r="J33" s="4">
        <v>1.53</v>
      </c>
      <c r="K33" s="4">
        <v>1.71</v>
      </c>
      <c r="L33" s="4">
        <v>1.26</v>
      </c>
      <c r="M33" s="4">
        <v>0.72</v>
      </c>
      <c r="N33" s="4">
        <v>0.45</v>
      </c>
      <c r="O33" s="4">
        <v>1.53</v>
      </c>
      <c r="P33" s="4">
        <v>1.44</v>
      </c>
      <c r="Q33" s="4">
        <v>8.1</v>
      </c>
      <c r="R33" s="4">
        <v>10.44</v>
      </c>
      <c r="S33" s="4">
        <v>11.16</v>
      </c>
      <c r="T33" s="4">
        <v>7.290000000000001</v>
      </c>
      <c r="U33" s="4">
        <v>2.43</v>
      </c>
      <c r="V33" s="4">
        <v>1.53</v>
      </c>
      <c r="W33" s="4">
        <v>3.51</v>
      </c>
      <c r="X33" s="4">
        <v>2.07</v>
      </c>
      <c r="Y33" s="4">
        <v>1.35</v>
      </c>
      <c r="Z33" s="4">
        <v>0.72</v>
      </c>
      <c r="AA33" s="4">
        <v>0.9</v>
      </c>
      <c r="AB33" s="4">
        <v>6.48</v>
      </c>
      <c r="AC33" s="4">
        <v>1.98</v>
      </c>
      <c r="AD33" s="4">
        <v>8.1</v>
      </c>
      <c r="AE33" s="4">
        <v>10.44</v>
      </c>
      <c r="AF33" s="4">
        <v>12.96</v>
      </c>
      <c r="AG33" s="4">
        <v>7.470000000000001</v>
      </c>
      <c r="AH33" s="6">
        <f>Datos_originales!$H27/Datos_originales!$E27</f>
        <v>0.01185344828</v>
      </c>
      <c r="AI33" s="6">
        <f>Datos_originales!$I27/Datos_originales!$E27</f>
        <v>0.05172413793</v>
      </c>
      <c r="AJ33" s="6">
        <f>Datos_originales!$J27/Datos_originales!$E27</f>
        <v>0.04202586207</v>
      </c>
      <c r="AK33" s="6">
        <f>Datos_originales!$K27/Datos_originales!$E27</f>
        <v>0.01724137931</v>
      </c>
      <c r="AL33" s="6">
        <f>Datos_originales!$L27/Datos_originales!$E27</f>
        <v>0.02155172414</v>
      </c>
      <c r="AM33" s="6">
        <f>Datos_originales!$M27/Datos_originales!$E27</f>
        <v>0.03017241379</v>
      </c>
      <c r="AN33" s="6">
        <f>Datos_originales!$N27/Datos_originales!$E27</f>
        <v>0.02693965517</v>
      </c>
      <c r="AO33" s="6">
        <f>Datos_originales!$O27/Datos_originales!$E27</f>
        <v>0.02370689655</v>
      </c>
      <c r="AP33" s="6">
        <f>Datos_originales!$P27/Datos_originales!$E27</f>
        <v>0.01185344828</v>
      </c>
      <c r="AQ33" s="6">
        <f>Datos_originales!$Q27/Datos_originales!$E27</f>
        <v>0.01077586207</v>
      </c>
      <c r="AR33" s="6">
        <f>Datos_originales!$R27/Datos_originales!$E27</f>
        <v>0</v>
      </c>
      <c r="AS33" s="6">
        <f>Datos_originales!$S27/Datos_originales!$E27</f>
        <v>0.02586206897</v>
      </c>
      <c r="AT33" s="6">
        <f>Datos_originales!$T27/Datos_originales!$E27</f>
        <v>0.2489224138</v>
      </c>
      <c r="AU33" s="6">
        <f>Datos_originales!$U27/Datos_originales!$E27</f>
        <v>0.01293103448</v>
      </c>
      <c r="AV33" s="6">
        <f>Datos_originales!$V27/Datos_originales!$E27</f>
        <v>0.05926724138</v>
      </c>
      <c r="AW33" s="6">
        <f>Datos_originales!$W27/Datos_originales!$E27</f>
        <v>0.06142241379</v>
      </c>
      <c r="AX33" s="6">
        <f>Datos_originales!$X27/Datos_originales!$E27</f>
        <v>0.02370689655</v>
      </c>
      <c r="AY33" s="6">
        <f>Datos_originales!$Y27/Datos_originales!$E27</f>
        <v>0.02262931034</v>
      </c>
      <c r="AZ33" s="6">
        <f>Datos_originales!$Z27/Datos_originales!$E27</f>
        <v>0.03232758621</v>
      </c>
      <c r="BA33" s="6">
        <f>Datos_originales!$AA27/Datos_originales!$E27</f>
        <v>0.03125</v>
      </c>
      <c r="BB33" s="6">
        <f>Datos_originales!$AB27/Datos_originales!$E27</f>
        <v>0.02909482759</v>
      </c>
      <c r="BC33" s="6">
        <f>Datos_originales!$AC27/Datos_originales!$E27</f>
        <v>0.01185344828</v>
      </c>
      <c r="BD33" s="6">
        <f>Datos_originales!$AD27/Datos_originales!$E27</f>
        <v>0.01185344828</v>
      </c>
      <c r="BE33" s="6">
        <f>Datos_originales!$AE27/Datos_originales!$E27</f>
        <v>0</v>
      </c>
      <c r="BF33" s="6">
        <f>Datos_originales!$AF27/Datos_originales!$E27</f>
        <v>0.02586206897</v>
      </c>
      <c r="BG33" s="6">
        <f>Datos_originales!$AG27/Datos_originales!$E27</f>
        <v>0.4278017241</v>
      </c>
    </row>
    <row r="34" ht="15.75" customHeight="1">
      <c r="A34" s="2">
        <v>20104.0</v>
      </c>
      <c r="B34" s="3" t="s">
        <v>89</v>
      </c>
      <c r="C34" s="4" t="s">
        <v>93</v>
      </c>
      <c r="D34" s="4" t="str">
        <f>IF(Datos_originales!$E34&lt;1000,"Bosque menor a 1000 ha",Datos_originales!$E34)</f>
        <v>Bosque menor a 1000 ha</v>
      </c>
      <c r="E34" s="4">
        <v>12.24</v>
      </c>
      <c r="F34" s="5">
        <f>AVERAGE(Datos_originales!$H331:$J331)</f>
        <v>559.5</v>
      </c>
      <c r="G34" s="5">
        <f>AVERAGE(Datos_originales!$R331:$T331)</f>
        <v>481.59</v>
      </c>
      <c r="H34" s="4">
        <v>0.0</v>
      </c>
      <c r="I34" s="4">
        <v>0.09</v>
      </c>
      <c r="J34" s="4">
        <v>0.0</v>
      </c>
      <c r="K34" s="4">
        <v>0.0</v>
      </c>
      <c r="L34" s="4">
        <v>0.0</v>
      </c>
      <c r="M34" s="4">
        <v>0.0</v>
      </c>
      <c r="N34" s="4">
        <v>0.09</v>
      </c>
      <c r="O34" s="4">
        <v>0.27</v>
      </c>
      <c r="P34" s="4">
        <v>0.09</v>
      </c>
      <c r="Q34" s="4">
        <v>0.0</v>
      </c>
      <c r="R34" s="4">
        <v>0.0</v>
      </c>
      <c r="S34" s="4">
        <v>0.81</v>
      </c>
      <c r="T34" s="4">
        <v>0.0</v>
      </c>
      <c r="U34" s="4">
        <v>0.0</v>
      </c>
      <c r="V34" s="4">
        <v>0.27</v>
      </c>
      <c r="W34" s="4">
        <v>0.63</v>
      </c>
      <c r="X34" s="4">
        <v>0.0</v>
      </c>
      <c r="Y34" s="4">
        <v>0.0</v>
      </c>
      <c r="Z34" s="4">
        <v>0.18</v>
      </c>
      <c r="AA34" s="4">
        <v>0.09</v>
      </c>
      <c r="AB34" s="4">
        <v>2.52</v>
      </c>
      <c r="AC34" s="4">
        <v>0.36</v>
      </c>
      <c r="AD34" s="4">
        <v>0.0</v>
      </c>
      <c r="AE34" s="4">
        <v>0.0</v>
      </c>
      <c r="AF34" s="4">
        <v>1.08</v>
      </c>
      <c r="AG34" s="4">
        <v>0.0</v>
      </c>
      <c r="AH34" s="6">
        <f>Datos_originales!$H331/Datos_originales!$E331</f>
        <v>0.007699558001</v>
      </c>
      <c r="AI34" s="6">
        <f>Datos_originales!$I331/Datos_originales!$E331</f>
        <v>0.006650469807</v>
      </c>
      <c r="AJ34" s="6">
        <f>Datos_originales!$J331/Datos_originales!$E331</f>
        <v>0.007486461962</v>
      </c>
      <c r="AK34" s="6">
        <f>Datos_originales!$K331/Datos_originales!$E331</f>
        <v>0.007541492258</v>
      </c>
      <c r="AL34" s="6">
        <f>Datos_originales!$L331/Datos_originales!$E331</f>
        <v>0.005631823903</v>
      </c>
      <c r="AM34" s="6">
        <f>Datos_originales!$M331/Datos_originales!$E331</f>
        <v>0.007415039663</v>
      </c>
      <c r="AN34" s="6">
        <f>Datos_originales!$N331/Datos_originales!$E331</f>
        <v>0.00651582121</v>
      </c>
      <c r="AO34" s="6">
        <f>Datos_originales!$O331/Datos_originales!$E331</f>
        <v>0.005250124404</v>
      </c>
      <c r="AP34" s="6">
        <f>Datos_originales!$P331/Datos_originales!$E331</f>
        <v>0.006886982993</v>
      </c>
      <c r="AQ34" s="6">
        <f>Datos_originales!$Q331/Datos_originales!$E331</f>
        <v>0.009495653192</v>
      </c>
      <c r="AR34" s="6">
        <f>Datos_originales!$R331/Datos_originales!$E331</f>
        <v>0.001109972778</v>
      </c>
      <c r="AS34" s="6">
        <f>Datos_originales!$S331/Datos_originales!$E331</f>
        <v>0.008153850657</v>
      </c>
      <c r="AT34" s="6">
        <f>Datos_originales!$T331/Datos_originales!$E331</f>
        <v>0.00953194977</v>
      </c>
      <c r="AU34" s="6">
        <f>Datos_originales!$U331/Datos_originales!$E331</f>
        <v>0.008981646811</v>
      </c>
      <c r="AV34" s="6">
        <f>Datos_originales!$V331/Datos_originales!$E331</f>
        <v>0.007725316863</v>
      </c>
      <c r="AW34" s="6">
        <f>Datos_originales!$W331/Datos_originales!$E331</f>
        <v>0.008619851887</v>
      </c>
      <c r="AX34" s="6">
        <f>Datos_originales!$X331/Datos_originales!$E331</f>
        <v>0.009153762843</v>
      </c>
      <c r="AY34" s="6">
        <f>Datos_originales!$Y331/Datos_originales!$E331</f>
        <v>0.006127096566</v>
      </c>
      <c r="AZ34" s="6">
        <f>Datos_originales!$Z331/Datos_originales!$E331</f>
        <v>0.007573105406</v>
      </c>
      <c r="BA34" s="6">
        <f>Datos_originales!$AA331/Datos_originales!$E331</f>
        <v>0.007020460732</v>
      </c>
      <c r="BB34" s="6">
        <f>Datos_originales!$AB331/Datos_originales!$E331</f>
        <v>0.005545180458</v>
      </c>
      <c r="BC34" s="6">
        <f>Datos_originales!$AC331/Datos_originales!$E331</f>
        <v>0.007489974534</v>
      </c>
      <c r="BD34" s="6">
        <f>Datos_originales!$AD331/Datos_originales!$E331</f>
        <v>0.009875010977</v>
      </c>
      <c r="BE34" s="6">
        <f>Datos_originales!$AE331/Datos_originales!$E331</f>
        <v>0.001225887656</v>
      </c>
      <c r="BF34" s="6">
        <f>Datos_originales!$AF331/Datos_originales!$E331</f>
        <v>0.009178350847</v>
      </c>
      <c r="BG34" s="6">
        <f>Datos_originales!$AG331/Datos_originales!$E331</f>
        <v>0.01014430817</v>
      </c>
    </row>
    <row r="35" ht="15.75" customHeight="1">
      <c r="A35" s="2">
        <v>20105.0</v>
      </c>
      <c r="B35" s="3" t="s">
        <v>89</v>
      </c>
      <c r="C35" s="4" t="s">
        <v>94</v>
      </c>
      <c r="D35" s="4" t="str">
        <f>IF(Datos_originales!$E35&lt;1000,"Bosque menor a 1000 ha",Datos_originales!$E35)</f>
        <v>Bosque menor a 1000 ha</v>
      </c>
      <c r="E35" s="4">
        <v>0.0</v>
      </c>
      <c r="F35" s="5">
        <f>AVERAGE(Datos_originales!$H234:$J234)</f>
        <v>0</v>
      </c>
      <c r="G35" s="5">
        <f>AVERAGE(Datos_originales!$R234:$T234)</f>
        <v>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6">
        <v>0.0</v>
      </c>
      <c r="AI35" s="6">
        <v>0.0</v>
      </c>
      <c r="AJ35" s="6">
        <v>0.0</v>
      </c>
      <c r="AK35" s="6">
        <v>0.0</v>
      </c>
      <c r="AL35" s="6">
        <v>0.0</v>
      </c>
      <c r="AM35" s="6">
        <v>0.0</v>
      </c>
      <c r="AN35" s="6">
        <v>0.0</v>
      </c>
      <c r="AO35" s="6">
        <v>0.0</v>
      </c>
      <c r="AP35" s="6">
        <v>0.0</v>
      </c>
      <c r="AQ35" s="6">
        <v>0.0</v>
      </c>
      <c r="AR35" s="6">
        <v>0.0</v>
      </c>
      <c r="AS35" s="6">
        <v>0.0</v>
      </c>
      <c r="AT35" s="6">
        <v>0.0</v>
      </c>
      <c r="AU35" s="6">
        <v>0.0</v>
      </c>
      <c r="AV35" s="6">
        <v>0.0</v>
      </c>
      <c r="AW35" s="6">
        <v>0.0</v>
      </c>
      <c r="AX35" s="6">
        <v>0.0</v>
      </c>
      <c r="AY35" s="6">
        <v>0.0</v>
      </c>
      <c r="AZ35" s="6">
        <v>0.0</v>
      </c>
      <c r="BA35" s="6">
        <v>0.0</v>
      </c>
      <c r="BB35" s="6">
        <v>0.0</v>
      </c>
      <c r="BC35" s="6">
        <v>0.0</v>
      </c>
      <c r="BD35" s="6">
        <v>0.0</v>
      </c>
      <c r="BE35" s="6">
        <v>0.0</v>
      </c>
      <c r="BF35" s="6">
        <v>0.0</v>
      </c>
      <c r="BG35" s="6">
        <v>0.0</v>
      </c>
    </row>
    <row r="36" ht="15.75" customHeight="1">
      <c r="A36" s="2">
        <v>20201.0</v>
      </c>
      <c r="B36" s="3" t="s">
        <v>89</v>
      </c>
      <c r="C36" s="4" t="s">
        <v>95</v>
      </c>
      <c r="D36" s="4" t="str">
        <f>IF(Datos_originales!$E36&lt;1000,"Bosque menor a 1000 ha",Datos_originales!$E36)</f>
        <v>Bosque menor a 1000 ha</v>
      </c>
      <c r="E36" s="4">
        <v>0.45</v>
      </c>
      <c r="F36" s="5">
        <f>AVERAGE(Datos_originales!$H318:$J318)</f>
        <v>941.91</v>
      </c>
      <c r="G36" s="5">
        <f>AVERAGE(Datos_originales!$R318:$T318)</f>
        <v>620.64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6">
        <f>Datos_originales!$H318/Datos_originales!$E318</f>
        <v>0.002208180318</v>
      </c>
      <c r="AI36" s="6">
        <f>Datos_originales!$I318/Datos_originales!$E318</f>
        <v>0.001678090169</v>
      </c>
      <c r="AJ36" s="6">
        <f>Datos_originales!$J318/Datos_originales!$E318</f>
        <v>0.002337828395</v>
      </c>
      <c r="AK36" s="6">
        <f>Datos_originales!$K318/Datos_originales!$E318</f>
        <v>0.00108932138</v>
      </c>
      <c r="AL36" s="6">
        <f>Datos_originales!$L318/Datos_originales!$E318</f>
        <v>0.001812495973</v>
      </c>
      <c r="AM36" s="6">
        <f>Datos_originales!$M318/Datos_originales!$E318</f>
        <v>0.001204498035</v>
      </c>
      <c r="AN36" s="6">
        <f>Datos_originales!$N318/Datos_originales!$E318</f>
        <v>0.001146414111</v>
      </c>
      <c r="AO36" s="6">
        <f>Datos_originales!$O318/Datos_originales!$E318</f>
        <v>0.004131491696</v>
      </c>
      <c r="AP36" s="6">
        <f>Datos_originales!$P318/Datos_originales!$E318</f>
        <v>0.001755799719</v>
      </c>
      <c r="AQ36" s="6">
        <f>Datos_originales!$Q318/Datos_originales!$E318</f>
        <v>0.001016369556</v>
      </c>
      <c r="AR36" s="6">
        <f>Datos_originales!$R318/Datos_originales!$E318</f>
        <v>0.0006321830536</v>
      </c>
      <c r="AS36" s="6">
        <f>Datos_originales!$S318/Datos_originales!$E318</f>
        <v>0.001111722347</v>
      </c>
      <c r="AT36" s="6">
        <f>Datos_originales!$T318/Datos_originales!$E318</f>
        <v>0.002357255782</v>
      </c>
      <c r="AU36" s="6">
        <f>Datos_originales!$U318/Datos_originales!$E318</f>
        <v>0.02638655545</v>
      </c>
      <c r="AV36" s="6">
        <f>Datos_originales!$V318/Datos_originales!$E318</f>
        <v>0.0103228812</v>
      </c>
      <c r="AW36" s="6">
        <f>Datos_originales!$W318/Datos_originales!$E318</f>
        <v>0.01810592882</v>
      </c>
      <c r="AX36" s="6">
        <f>Datos_originales!$X318/Datos_originales!$E318</f>
        <v>0.007722188356</v>
      </c>
      <c r="AY36" s="6">
        <f>Datos_originales!$Y318/Datos_originales!$E318</f>
        <v>0.008464592099</v>
      </c>
      <c r="AZ36" s="6">
        <f>Datos_originales!$Z318/Datos_originales!$E318</f>
        <v>0.004298408639</v>
      </c>
      <c r="BA36" s="6">
        <f>Datos_originales!$AA318/Datos_originales!$E318</f>
        <v>0.003609925809</v>
      </c>
      <c r="BB36" s="6">
        <f>Datos_originales!$AB318/Datos_originales!$E318</f>
        <v>0.01268449823</v>
      </c>
      <c r="BC36" s="6">
        <f>Datos_originales!$AC318/Datos_originales!$E318</f>
        <v>0.007187538718</v>
      </c>
      <c r="BD36" s="6">
        <f>Datos_originales!$AD318/Datos_originales!$E318</f>
        <v>0.002841751042</v>
      </c>
      <c r="BE36" s="6">
        <f>Datos_originales!$AE318/Datos_originales!$E318</f>
        <v>0.005267399158</v>
      </c>
      <c r="BF36" s="6">
        <f>Datos_originales!$AF318/Datos_originales!$E318</f>
        <v>0.003250915615</v>
      </c>
      <c r="BG36" s="6">
        <f>Datos_originales!$AG318/Datos_originales!$E318</f>
        <v>0.01605911477</v>
      </c>
    </row>
    <row r="37" ht="15.75" customHeight="1">
      <c r="A37" s="2">
        <v>20202.0</v>
      </c>
      <c r="B37" s="3" t="s">
        <v>89</v>
      </c>
      <c r="C37" s="4" t="s">
        <v>96</v>
      </c>
      <c r="D37" s="4" t="str">
        <f>IF(Datos_originales!$E37&lt;1000,"Bosque menor a 1000 ha",Datos_originales!$E37)</f>
        <v>Bosque menor a 1000 ha</v>
      </c>
      <c r="E37" s="4">
        <v>3.69</v>
      </c>
      <c r="F37" s="5">
        <f>AVERAGE(Datos_originales!$H323:$J323)</f>
        <v>201.39</v>
      </c>
      <c r="G37" s="5">
        <f>AVERAGE(Datos_originales!$R323:$T323)</f>
        <v>237.99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6">
        <f>Datos_originales!$H323/Datos_originales!$E323</f>
        <v>0.0009306070346</v>
      </c>
      <c r="AI37" s="6">
        <f>Datos_originales!$I323/Datos_originales!$E323</f>
        <v>0.0005076963304</v>
      </c>
      <c r="AJ37" s="6">
        <f>Datos_originales!$J323/Datos_originales!$E323</f>
        <v>0.0008383602731</v>
      </c>
      <c r="AK37" s="6">
        <f>Datos_originales!$K323/Datos_originales!$E323</f>
        <v>0.0004686949423</v>
      </c>
      <c r="AL37" s="6">
        <f>Datos_originales!$L323/Datos_originales!$E323</f>
        <v>0.0003961184462</v>
      </c>
      <c r="AM37" s="6">
        <f>Datos_originales!$M323/Datos_originales!$E323</f>
        <v>0.0002614788716</v>
      </c>
      <c r="AN37" s="6">
        <f>Datos_originales!$N323/Datos_originales!$E323</f>
        <v>0.0002957322646</v>
      </c>
      <c r="AO37" s="6">
        <f>Datos_originales!$O323/Datos_originales!$E323</f>
        <v>0.0004781909325</v>
      </c>
      <c r="AP37" s="6">
        <f>Datos_originales!$P323/Datos_originales!$E323</f>
        <v>0.0004164669965</v>
      </c>
      <c r="AQ37" s="6">
        <f>Datos_originales!$Q323/Datos_originales!$E323</f>
        <v>0.0008305599955</v>
      </c>
      <c r="AR37" s="6">
        <f>Datos_originales!$R323/Datos_originales!$E323</f>
        <v>0.0003991707287</v>
      </c>
      <c r="AS37" s="6">
        <f>Datos_originales!$S323/Datos_originales!$E323</f>
        <v>0.0007532355043</v>
      </c>
      <c r="AT37" s="6">
        <f>Datos_originales!$T323/Datos_originales!$E323</f>
        <v>0.001538011262</v>
      </c>
      <c r="AU37" s="6">
        <f>Datos_originales!$U323/Datos_originales!$E323</f>
        <v>0.01820754368</v>
      </c>
      <c r="AV37" s="6">
        <f>Datos_originales!$V323/Datos_originales!$E323</f>
        <v>0.008141794125</v>
      </c>
      <c r="AW37" s="6">
        <f>Datos_originales!$W323/Datos_originales!$E323</f>
        <v>0.01728846749</v>
      </c>
      <c r="AX37" s="6">
        <f>Datos_originales!$X323/Datos_originales!$E323</f>
        <v>0.006570546898</v>
      </c>
      <c r="AY37" s="6">
        <f>Datos_originales!$Y323/Datos_originales!$E323</f>
        <v>0.00415585226</v>
      </c>
      <c r="AZ37" s="6">
        <f>Datos_originales!$Z323/Datos_originales!$E323</f>
        <v>0.004997603958</v>
      </c>
      <c r="BA37" s="6">
        <f>Datos_originales!$AA323/Datos_originales!$E323</f>
        <v>0.002612414718</v>
      </c>
      <c r="BB37" s="6">
        <f>Datos_originales!$AB323/Datos_originales!$E323</f>
        <v>0.003440600716</v>
      </c>
      <c r="BC37" s="6">
        <f>Datos_originales!$AC323/Datos_originales!$E323</f>
        <v>0.003505716077</v>
      </c>
      <c r="BD37" s="6">
        <f>Datos_originales!$AD323/Datos_originales!$E323</f>
        <v>0.001873762342</v>
      </c>
      <c r="BE37" s="6">
        <f>Datos_originales!$AE323/Datos_originales!$E323</f>
        <v>0.002113875236</v>
      </c>
      <c r="BF37" s="6">
        <f>Datos_originales!$AF323/Datos_originales!$E323</f>
        <v>0.003741759261</v>
      </c>
      <c r="BG37" s="6">
        <f>Datos_originales!$AG323/Datos_originales!$E323</f>
        <v>0.02921305712</v>
      </c>
    </row>
    <row r="38" ht="15.75" customHeight="1">
      <c r="A38" s="2">
        <v>20203.0</v>
      </c>
      <c r="B38" s="3" t="s">
        <v>89</v>
      </c>
      <c r="C38" s="4" t="s">
        <v>97</v>
      </c>
      <c r="D38" s="4" t="str">
        <f>IF(Datos_originales!$E38&lt;1000,"Bosque menor a 1000 ha",Datos_originales!$E38)</f>
        <v>Bosque menor a 1000 ha</v>
      </c>
      <c r="E38" s="4">
        <v>0.0</v>
      </c>
      <c r="F38" s="5">
        <f>AVERAGE(Datos_originales!$H235:$J235)</f>
        <v>0</v>
      </c>
      <c r="G38" s="5">
        <f>AVERAGE(Datos_originales!$R235:$T235)</f>
        <v>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4">
        <v>0.0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6">
        <v>0.0</v>
      </c>
      <c r="AN38" s="6">
        <v>0.0</v>
      </c>
      <c r="AO38" s="6">
        <v>0.0</v>
      </c>
      <c r="AP38" s="6">
        <v>0.0</v>
      </c>
      <c r="AQ38" s="6">
        <v>0.0</v>
      </c>
      <c r="AR38" s="6">
        <v>0.0</v>
      </c>
      <c r="AS38" s="6">
        <v>0.0</v>
      </c>
      <c r="AT38" s="6">
        <v>0.0</v>
      </c>
      <c r="AU38" s="6">
        <v>0.0</v>
      </c>
      <c r="AV38" s="6">
        <v>0.0</v>
      </c>
      <c r="AW38" s="6">
        <v>0.0</v>
      </c>
      <c r="AX38" s="6">
        <v>0.0</v>
      </c>
      <c r="AY38" s="6">
        <v>0.0</v>
      </c>
      <c r="AZ38" s="6">
        <v>0.0</v>
      </c>
      <c r="BA38" s="6">
        <v>0.0</v>
      </c>
      <c r="BB38" s="6">
        <v>0.0</v>
      </c>
      <c r="BC38" s="6">
        <v>0.0</v>
      </c>
      <c r="BD38" s="6">
        <v>0.0</v>
      </c>
      <c r="BE38" s="6">
        <v>0.0</v>
      </c>
      <c r="BF38" s="6">
        <v>0.0</v>
      </c>
      <c r="BG38" s="6">
        <v>0.0</v>
      </c>
    </row>
    <row r="39" ht="15.75" customHeight="1">
      <c r="A39" s="2">
        <v>20204.0</v>
      </c>
      <c r="B39" s="3" t="s">
        <v>89</v>
      </c>
      <c r="C39" s="4" t="s">
        <v>98</v>
      </c>
      <c r="D39" s="4" t="str">
        <f>IF(Datos_originales!$E39&lt;1000,"Bosque menor a 1000 ha",Datos_originales!$E39)</f>
        <v>Bosque menor a 1000 ha</v>
      </c>
      <c r="E39" s="4">
        <v>0.0</v>
      </c>
      <c r="F39" s="5">
        <f>AVERAGE(Datos_originales!$H236:$J236)</f>
        <v>0</v>
      </c>
      <c r="G39" s="5">
        <f>AVERAGE(Datos_originales!$R236:$T236)</f>
        <v>0.12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6">
        <v>0.0</v>
      </c>
      <c r="AI39" s="6">
        <v>0.0</v>
      </c>
      <c r="AJ39" s="6">
        <v>0.0</v>
      </c>
      <c r="AK39" s="6">
        <v>0.0</v>
      </c>
      <c r="AL39" s="6">
        <v>0.0</v>
      </c>
      <c r="AM39" s="6">
        <v>0.0</v>
      </c>
      <c r="AN39" s="6">
        <v>0.0</v>
      </c>
      <c r="AO39" s="6">
        <v>0.0</v>
      </c>
      <c r="AP39" s="6">
        <v>0.0</v>
      </c>
      <c r="AQ39" s="6">
        <v>0.0</v>
      </c>
      <c r="AR39" s="6">
        <v>0.0</v>
      </c>
      <c r="AS39" s="6">
        <v>0.0</v>
      </c>
      <c r="AT39" s="6">
        <v>0.0</v>
      </c>
      <c r="AU39" s="6">
        <v>0.0</v>
      </c>
      <c r="AV39" s="6">
        <v>0.0</v>
      </c>
      <c r="AW39" s="6">
        <v>0.0</v>
      </c>
      <c r="AX39" s="6">
        <v>0.0</v>
      </c>
      <c r="AY39" s="6">
        <v>0.0</v>
      </c>
      <c r="AZ39" s="6">
        <v>0.0</v>
      </c>
      <c r="BA39" s="6">
        <v>0.0</v>
      </c>
      <c r="BB39" s="6">
        <v>0.0</v>
      </c>
      <c r="BC39" s="6">
        <v>0.0</v>
      </c>
      <c r="BD39" s="6">
        <v>0.0</v>
      </c>
      <c r="BE39" s="6">
        <v>0.0</v>
      </c>
      <c r="BF39" s="6">
        <v>0.0</v>
      </c>
      <c r="BG39" s="6">
        <v>0.0</v>
      </c>
    </row>
    <row r="40" ht="15.75" customHeight="1">
      <c r="A40" s="2">
        <v>20205.0</v>
      </c>
      <c r="B40" s="3" t="s">
        <v>89</v>
      </c>
      <c r="C40" s="4" t="s">
        <v>99</v>
      </c>
      <c r="D40" s="4" t="str">
        <f>IF(Datos_originales!$E40&lt;1000,"Bosque menor a 1000 ha",Datos_originales!$E40)</f>
        <v>Bosque menor a 1000 ha</v>
      </c>
      <c r="E40" s="4">
        <v>0.0</v>
      </c>
      <c r="F40" s="5">
        <f>AVERAGE(Datos_originales!$H237:$J237)</f>
        <v>0</v>
      </c>
      <c r="G40" s="5">
        <f>AVERAGE(Datos_originales!$R237:$T237)</f>
        <v>0.03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6">
        <v>0.0</v>
      </c>
      <c r="AI40" s="6">
        <v>0.0</v>
      </c>
      <c r="AJ40" s="6">
        <v>0.0</v>
      </c>
      <c r="AK40" s="6">
        <v>0.0</v>
      </c>
      <c r="AL40" s="6">
        <v>0.0</v>
      </c>
      <c r="AM40" s="6">
        <v>0.0</v>
      </c>
      <c r="AN40" s="6">
        <v>0.0</v>
      </c>
      <c r="AO40" s="6">
        <v>0.0</v>
      </c>
      <c r="AP40" s="6">
        <v>0.0</v>
      </c>
      <c r="AQ40" s="6">
        <v>0.0</v>
      </c>
      <c r="AR40" s="6">
        <v>0.0</v>
      </c>
      <c r="AS40" s="6">
        <v>0.0</v>
      </c>
      <c r="AT40" s="6">
        <v>0.0</v>
      </c>
      <c r="AU40" s="6">
        <v>0.0</v>
      </c>
      <c r="AV40" s="6">
        <v>0.0</v>
      </c>
      <c r="AW40" s="6">
        <v>0.0</v>
      </c>
      <c r="AX40" s="6">
        <v>0.0</v>
      </c>
      <c r="AY40" s="6">
        <v>0.0</v>
      </c>
      <c r="AZ40" s="6">
        <v>0.0</v>
      </c>
      <c r="BA40" s="6">
        <v>0.0</v>
      </c>
      <c r="BB40" s="6">
        <v>0.0</v>
      </c>
      <c r="BC40" s="6">
        <v>0.0</v>
      </c>
      <c r="BD40" s="6">
        <v>0.0</v>
      </c>
      <c r="BE40" s="6">
        <v>0.0</v>
      </c>
      <c r="BF40" s="6">
        <v>0.0</v>
      </c>
      <c r="BG40" s="6">
        <v>0.0</v>
      </c>
    </row>
    <row r="41" ht="15.75" customHeight="1">
      <c r="A41" s="2">
        <v>20206.0</v>
      </c>
      <c r="B41" s="3" t="s">
        <v>89</v>
      </c>
      <c r="C41" s="4" t="s">
        <v>100</v>
      </c>
      <c r="D41" s="4" t="str">
        <f>IF(Datos_originales!$E41&lt;1000,"Bosque menor a 1000 ha",Datos_originales!$E41)</f>
        <v>Bosque menor a 1000 ha</v>
      </c>
      <c r="E41" s="4">
        <v>0.0</v>
      </c>
      <c r="F41" s="5">
        <f>AVERAGE(Datos_originales!$H238:$J238)</f>
        <v>0</v>
      </c>
      <c r="G41" s="5">
        <f>AVERAGE(Datos_originales!$R238:$T238)</f>
        <v>0.3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  <c r="AG41" s="4">
        <v>0.0</v>
      </c>
      <c r="AH41" s="6">
        <v>0.0</v>
      </c>
      <c r="AI41" s="6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6">
        <v>0.0</v>
      </c>
      <c r="AP41" s="6">
        <v>0.0</v>
      </c>
      <c r="AQ41" s="6">
        <v>0.0</v>
      </c>
      <c r="AR41" s="6">
        <v>0.0</v>
      </c>
      <c r="AS41" s="6">
        <v>0.0</v>
      </c>
      <c r="AT41" s="6">
        <v>0.0</v>
      </c>
      <c r="AU41" s="6">
        <v>0.0</v>
      </c>
      <c r="AV41" s="6">
        <v>0.0</v>
      </c>
      <c r="AW41" s="6">
        <v>0.0</v>
      </c>
      <c r="AX41" s="6">
        <v>0.0</v>
      </c>
      <c r="AY41" s="6">
        <v>0.0</v>
      </c>
      <c r="AZ41" s="6">
        <v>0.0</v>
      </c>
      <c r="BA41" s="6">
        <v>0.0</v>
      </c>
      <c r="BB41" s="6">
        <v>0.0</v>
      </c>
      <c r="BC41" s="6">
        <v>0.0</v>
      </c>
      <c r="BD41" s="6">
        <v>0.0</v>
      </c>
      <c r="BE41" s="6">
        <v>0.0</v>
      </c>
      <c r="BF41" s="6">
        <v>0.0</v>
      </c>
      <c r="BG41" s="6">
        <v>0.0</v>
      </c>
    </row>
    <row r="42" ht="15.75" customHeight="1">
      <c r="A42" s="2">
        <v>20301.0</v>
      </c>
      <c r="B42" s="3" t="s">
        <v>89</v>
      </c>
      <c r="C42" s="4" t="s">
        <v>101</v>
      </c>
      <c r="D42" s="4" t="str">
        <f>IF(Datos_originales!$E42&lt;1000,"Bosque menor a 1000 ha",Datos_originales!$E42)</f>
        <v>Bosque menor a 1000 ha</v>
      </c>
      <c r="E42" s="4">
        <v>0.0</v>
      </c>
      <c r="F42" s="5">
        <f>AVERAGE(Datos_originales!$H239:$J239)</f>
        <v>0</v>
      </c>
      <c r="G42" s="5">
        <f>AVERAGE(Datos_originales!$R239:$T239)</f>
        <v>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  <c r="AG42" s="4">
        <v>0.0</v>
      </c>
      <c r="AH42" s="6">
        <v>0.0</v>
      </c>
      <c r="AI42" s="6">
        <v>0.0</v>
      </c>
      <c r="AJ42" s="6">
        <v>0.0</v>
      </c>
      <c r="AK42" s="6">
        <v>0.0</v>
      </c>
      <c r="AL42" s="6">
        <v>0.0</v>
      </c>
      <c r="AM42" s="6">
        <v>0.0</v>
      </c>
      <c r="AN42" s="6">
        <v>0.0</v>
      </c>
      <c r="AO42" s="6">
        <v>0.0</v>
      </c>
      <c r="AP42" s="6">
        <v>0.0</v>
      </c>
      <c r="AQ42" s="6">
        <v>0.0</v>
      </c>
      <c r="AR42" s="6">
        <v>0.0</v>
      </c>
      <c r="AS42" s="6">
        <v>0.0</v>
      </c>
      <c r="AT42" s="6">
        <v>0.0</v>
      </c>
      <c r="AU42" s="6">
        <v>0.0</v>
      </c>
      <c r="AV42" s="6">
        <v>0.0</v>
      </c>
      <c r="AW42" s="6">
        <v>0.0</v>
      </c>
      <c r="AX42" s="6">
        <v>0.0</v>
      </c>
      <c r="AY42" s="6">
        <v>0.0</v>
      </c>
      <c r="AZ42" s="6">
        <v>0.0</v>
      </c>
      <c r="BA42" s="6">
        <v>0.0</v>
      </c>
      <c r="BB42" s="6">
        <v>0.0</v>
      </c>
      <c r="BC42" s="6">
        <v>0.0</v>
      </c>
      <c r="BD42" s="6">
        <v>0.0</v>
      </c>
      <c r="BE42" s="6">
        <v>0.0</v>
      </c>
      <c r="BF42" s="6">
        <v>0.0</v>
      </c>
      <c r="BG42" s="6">
        <v>0.0</v>
      </c>
    </row>
    <row r="43" ht="15.75" customHeight="1">
      <c r="A43" s="2">
        <v>20302.0</v>
      </c>
      <c r="B43" s="3" t="s">
        <v>89</v>
      </c>
      <c r="C43" s="4" t="s">
        <v>102</v>
      </c>
      <c r="D43" s="4" t="str">
        <f>IF(Datos_originales!$E43&lt;1000,"Bosque menor a 1000 ha",Datos_originales!$E43)</f>
        <v>Bosque menor a 1000 ha</v>
      </c>
      <c r="E43" s="4">
        <v>0.0</v>
      </c>
      <c r="F43" s="5">
        <f>AVERAGE(Datos_originales!$H240:$J240)</f>
        <v>0</v>
      </c>
      <c r="G43" s="5">
        <f>AVERAGE(Datos_originales!$R240:$T240)</f>
        <v>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6">
        <v>0.0</v>
      </c>
      <c r="AI43" s="6">
        <v>0.0</v>
      </c>
      <c r="AJ43" s="6">
        <v>0.0</v>
      </c>
      <c r="AK43" s="6">
        <v>0.0</v>
      </c>
      <c r="AL43" s="6">
        <v>0.0</v>
      </c>
      <c r="AM43" s="6">
        <v>0.0</v>
      </c>
      <c r="AN43" s="6">
        <v>0.0</v>
      </c>
      <c r="AO43" s="6">
        <v>0.0</v>
      </c>
      <c r="AP43" s="6">
        <v>0.0</v>
      </c>
      <c r="AQ43" s="6">
        <v>0.0</v>
      </c>
      <c r="AR43" s="6">
        <v>0.0</v>
      </c>
      <c r="AS43" s="6">
        <v>0.0</v>
      </c>
      <c r="AT43" s="6">
        <v>0.0</v>
      </c>
      <c r="AU43" s="6">
        <v>0.0</v>
      </c>
      <c r="AV43" s="6">
        <v>0.0</v>
      </c>
      <c r="AW43" s="6">
        <v>0.0</v>
      </c>
      <c r="AX43" s="6">
        <v>0.0</v>
      </c>
      <c r="AY43" s="6">
        <v>0.0</v>
      </c>
      <c r="AZ43" s="6">
        <v>0.0</v>
      </c>
      <c r="BA43" s="6">
        <v>0.0</v>
      </c>
      <c r="BB43" s="6">
        <v>0.0</v>
      </c>
      <c r="BC43" s="6">
        <v>0.0</v>
      </c>
      <c r="BD43" s="6">
        <v>0.0</v>
      </c>
      <c r="BE43" s="6">
        <v>0.0</v>
      </c>
      <c r="BF43" s="6">
        <v>0.0</v>
      </c>
      <c r="BG43" s="6">
        <v>0.0</v>
      </c>
    </row>
    <row r="44" ht="15.75" customHeight="1">
      <c r="A44" s="2">
        <v>20303.0</v>
      </c>
      <c r="B44" s="3" t="s">
        <v>89</v>
      </c>
      <c r="C44" s="4" t="s">
        <v>103</v>
      </c>
      <c r="D44" s="4" t="str">
        <f>IF(Datos_originales!$E44&lt;1000,"Bosque menor a 1000 ha",Datos_originales!$E44)</f>
        <v>Bosque menor a 1000 ha</v>
      </c>
      <c r="E44" s="4">
        <v>10.44</v>
      </c>
      <c r="F44" s="5">
        <f>AVERAGE(Datos_originales!$H330:$J330)</f>
        <v>419.97</v>
      </c>
      <c r="G44" s="5">
        <f>AVERAGE(Datos_originales!$R330:$T330)</f>
        <v>417.15</v>
      </c>
      <c r="H44" s="4">
        <v>0.0</v>
      </c>
      <c r="I44" s="4">
        <v>0.0</v>
      </c>
      <c r="J44" s="4">
        <v>1.89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8.55</v>
      </c>
      <c r="V44" s="4">
        <v>0.0</v>
      </c>
      <c r="W44" s="4">
        <v>1.89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6">
        <f>Datos_originales!$H330/Datos_originales!$E330</f>
        <v>0.01998461235</v>
      </c>
      <c r="AI44" s="6">
        <f>Datos_originales!$I330/Datos_originales!$E330</f>
        <v>0.01751021655</v>
      </c>
      <c r="AJ44" s="6">
        <f>Datos_originales!$J330/Datos_originales!$E330</f>
        <v>0.01662871304</v>
      </c>
      <c r="AK44" s="6">
        <f>Datos_originales!$K330/Datos_originales!$E330</f>
        <v>0.01517887175</v>
      </c>
      <c r="AL44" s="6">
        <f>Datos_originales!$L330/Datos_originales!$E330</f>
        <v>0.01880154186</v>
      </c>
      <c r="AM44" s="6">
        <f>Datos_originales!$M330/Datos_originales!$E330</f>
        <v>0.01923456112</v>
      </c>
      <c r="AN44" s="6">
        <f>Datos_originales!$N330/Datos_originales!$E330</f>
        <v>0.01899872027</v>
      </c>
      <c r="AO44" s="6">
        <f>Datos_originales!$O330/Datos_originales!$E330</f>
        <v>0.01050071719</v>
      </c>
      <c r="AP44" s="6">
        <f>Datos_originales!$P330/Datos_originales!$E330</f>
        <v>0.01176497879</v>
      </c>
      <c r="AQ44" s="6">
        <f>Datos_originales!$Q330/Datos_originales!$E330</f>
        <v>0.01785431221</v>
      </c>
      <c r="AR44" s="6">
        <f>Datos_originales!$R330/Datos_originales!$E330</f>
        <v>0.001778471983</v>
      </c>
      <c r="AS44" s="6">
        <f>Datos_originales!$S330/Datos_originales!$E330</f>
        <v>0.02836662813</v>
      </c>
      <c r="AT44" s="6">
        <f>Datos_originales!$T330/Datos_originales!$E330</f>
        <v>0.02361501494</v>
      </c>
      <c r="AU44" s="6">
        <f>Datos_originales!$U330/Datos_originales!$E330</f>
        <v>0.02121021152</v>
      </c>
      <c r="AV44" s="6">
        <f>Datos_originales!$V330/Datos_originales!$E330</f>
        <v>0.01855023603</v>
      </c>
      <c r="AW44" s="6">
        <f>Datos_originales!$W330/Datos_originales!$E330</f>
        <v>0.01761073888</v>
      </c>
      <c r="AX44" s="6">
        <f>Datos_originales!$X330/Datos_originales!$E330</f>
        <v>0.01845357995</v>
      </c>
      <c r="AY44" s="6">
        <f>Datos_originales!$Y330/Datos_originales!$E330</f>
        <v>0.01976423647</v>
      </c>
      <c r="AZ44" s="6">
        <f>Datos_originales!$Z330/Datos_originales!$E330</f>
        <v>0.01982996261</v>
      </c>
      <c r="BA44" s="6">
        <f>Datos_originales!$AA330/Datos_originales!$E330</f>
        <v>0.0191881662</v>
      </c>
      <c r="BB44" s="6">
        <f>Datos_originales!$AB330/Datos_originales!$E330</f>
        <v>0.01135129075</v>
      </c>
      <c r="BC44" s="6">
        <f>Datos_originales!$AC330/Datos_originales!$E330</f>
        <v>0.01214387065</v>
      </c>
      <c r="BD44" s="6">
        <f>Datos_originales!$AD330/Datos_originales!$E330</f>
        <v>0.01793936957</v>
      </c>
      <c r="BE44" s="6">
        <f>Datos_originales!$AE330/Datos_originales!$E330</f>
        <v>0.001790070714</v>
      </c>
      <c r="BF44" s="6">
        <f>Datos_originales!$AF330/Datos_originales!$E330</f>
        <v>0.02912441185</v>
      </c>
      <c r="BG44" s="6">
        <f>Datos_originales!$AG330/Datos_originales!$E330</f>
        <v>0.02399004056</v>
      </c>
    </row>
    <row r="45" ht="15.75" customHeight="1">
      <c r="A45" s="2">
        <v>20304.0</v>
      </c>
      <c r="B45" s="3" t="s">
        <v>89</v>
      </c>
      <c r="C45" s="4" t="s">
        <v>104</v>
      </c>
      <c r="D45" s="4" t="str">
        <f>IF(Datos_originales!$E45&lt;1000,"Bosque menor a 1000 ha",Datos_originales!$E45)</f>
        <v>Bosque menor a 1000 ha</v>
      </c>
      <c r="E45" s="4">
        <v>0.0</v>
      </c>
      <c r="F45" s="5">
        <f>AVERAGE(Datos_originales!$H241:$J241)</f>
        <v>0.96</v>
      </c>
      <c r="G45" s="5">
        <f>AVERAGE(Datos_originales!$R241:$T241)</f>
        <v>4.2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  <c r="AH45" s="6">
        <v>0.0</v>
      </c>
      <c r="AI45" s="6">
        <v>0.0</v>
      </c>
      <c r="AJ45" s="6">
        <v>0.0</v>
      </c>
      <c r="AK45" s="6">
        <v>0.0</v>
      </c>
      <c r="AL45" s="6">
        <v>0.0</v>
      </c>
      <c r="AM45" s="6">
        <v>0.0</v>
      </c>
      <c r="AN45" s="6">
        <v>0.0</v>
      </c>
      <c r="AO45" s="6">
        <v>0.0</v>
      </c>
      <c r="AP45" s="6">
        <v>0.0</v>
      </c>
      <c r="AQ45" s="6">
        <v>0.0</v>
      </c>
      <c r="AR45" s="6">
        <v>0.0</v>
      </c>
      <c r="AS45" s="6">
        <v>0.0</v>
      </c>
      <c r="AT45" s="6">
        <v>0.0</v>
      </c>
      <c r="AU45" s="6">
        <v>0.0</v>
      </c>
      <c r="AV45" s="6">
        <v>0.0</v>
      </c>
      <c r="AW45" s="6">
        <v>0.0</v>
      </c>
      <c r="AX45" s="6">
        <v>0.0</v>
      </c>
      <c r="AY45" s="6">
        <v>0.0</v>
      </c>
      <c r="AZ45" s="6">
        <v>0.0</v>
      </c>
      <c r="BA45" s="6">
        <v>0.0</v>
      </c>
      <c r="BB45" s="6">
        <v>0.0</v>
      </c>
      <c r="BC45" s="6">
        <v>0.0</v>
      </c>
      <c r="BD45" s="6">
        <v>0.0</v>
      </c>
      <c r="BE45" s="6">
        <v>0.0</v>
      </c>
      <c r="BF45" s="6">
        <v>0.0</v>
      </c>
      <c r="BG45" s="6">
        <v>0.0</v>
      </c>
    </row>
    <row r="46" ht="15.75" customHeight="1">
      <c r="A46" s="2">
        <v>20305.0</v>
      </c>
      <c r="B46" s="3" t="s">
        <v>89</v>
      </c>
      <c r="C46" s="4" t="s">
        <v>105</v>
      </c>
      <c r="D46" s="4" t="str">
        <f>IF(Datos_originales!$E46&lt;1000,"Bosque menor a 1000 ha",Datos_originales!$E46)</f>
        <v>Bosque menor a 1000 ha</v>
      </c>
      <c r="E46" s="4">
        <v>0.0</v>
      </c>
      <c r="F46" s="5">
        <f>AVERAGE(Datos_originales!$H242:$J242)</f>
        <v>0</v>
      </c>
      <c r="G46" s="5">
        <f>AVERAGE(Datos_originales!$R242:$T242)</f>
        <v>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</row>
    <row r="47" ht="15.75" customHeight="1">
      <c r="A47" s="2">
        <v>20306.0</v>
      </c>
      <c r="B47" s="3" t="s">
        <v>89</v>
      </c>
      <c r="C47" s="4" t="s">
        <v>106</v>
      </c>
      <c r="D47" s="4" t="str">
        <f>IF(Datos_originales!$E47&lt;1000,"Bosque menor a 1000 ha",Datos_originales!$E47)</f>
        <v>Bosque menor a 1000 ha</v>
      </c>
      <c r="E47" s="4">
        <v>0.0</v>
      </c>
      <c r="F47" s="5">
        <f>AVERAGE(Datos_originales!$H243:$J243)</f>
        <v>49.77</v>
      </c>
      <c r="G47" s="5">
        <f>AVERAGE(Datos_originales!$R243:$T243)</f>
        <v>306.78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  <c r="AG47" s="4">
        <v>0.0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</row>
    <row r="48" ht="15.75" customHeight="1">
      <c r="A48" s="2">
        <v>20307.0</v>
      </c>
      <c r="B48" s="3" t="s">
        <v>89</v>
      </c>
      <c r="C48" s="4" t="s">
        <v>107</v>
      </c>
      <c r="D48" s="4" t="str">
        <f>IF(Datos_originales!$E48&lt;1000,"Bosque menor a 1000 ha",Datos_originales!$E48)</f>
        <v>Bosque menor a 1000 ha</v>
      </c>
      <c r="E48" s="4">
        <v>0.0</v>
      </c>
      <c r="F48" s="5">
        <f>AVERAGE(Datos_originales!$H244:$J244)</f>
        <v>531.12</v>
      </c>
      <c r="G48" s="5">
        <f>AVERAGE(Datos_originales!$R244:$T244)</f>
        <v>887.52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  <c r="AG48" s="4">
        <v>0.0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0.0</v>
      </c>
      <c r="AN48" s="6">
        <v>0.0</v>
      </c>
      <c r="AO48" s="6">
        <v>0.0</v>
      </c>
      <c r="AP48" s="6">
        <v>0.0</v>
      </c>
      <c r="AQ48" s="6">
        <v>0.0</v>
      </c>
      <c r="AR48" s="6">
        <v>0.0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</row>
    <row r="49" ht="15.75" customHeight="1">
      <c r="A49" s="2">
        <v>20308.0</v>
      </c>
      <c r="B49" s="3" t="s">
        <v>89</v>
      </c>
      <c r="C49" s="4" t="s">
        <v>108</v>
      </c>
      <c r="D49" s="4" t="str">
        <f>IF(Datos_originales!$E49&lt;1000,"Bosque menor a 1000 ha",Datos_originales!$E49)</f>
        <v>Bosque menor a 1000 ha</v>
      </c>
      <c r="E49" s="4">
        <v>0.0</v>
      </c>
      <c r="F49" s="5">
        <f>AVERAGE(Datos_originales!$H245:$J245)</f>
        <v>217.71</v>
      </c>
      <c r="G49" s="5">
        <f>AVERAGE(Datos_originales!$R245:$T245)</f>
        <v>364.59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  <c r="AG49" s="4">
        <v>0.0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0.0</v>
      </c>
      <c r="AP49" s="6">
        <v>0.0</v>
      </c>
      <c r="AQ49" s="6">
        <v>0.0</v>
      </c>
      <c r="AR49" s="6">
        <v>0.0</v>
      </c>
      <c r="AS49" s="6">
        <v>0.0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</row>
    <row r="50" ht="15.75" customHeight="1">
      <c r="A50" s="2">
        <v>20401.0</v>
      </c>
      <c r="B50" s="3" t="s">
        <v>89</v>
      </c>
      <c r="C50" s="4" t="s">
        <v>109</v>
      </c>
      <c r="D50" s="4" t="str">
        <f>IF(Datos_originales!$E50&lt;1000,"Bosque menor a 1000 ha",Datos_originales!$E50)</f>
        <v>Bosque menor a 1000 ha</v>
      </c>
      <c r="E50" s="4">
        <v>0.0</v>
      </c>
      <c r="F50" s="5">
        <f>AVERAGE(Datos_originales!$H246:$J246)</f>
        <v>4233.15</v>
      </c>
      <c r="G50" s="5">
        <f>AVERAGE(Datos_originales!$R246:$T246)</f>
        <v>7191.99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6">
        <v>0.0</v>
      </c>
      <c r="AI50" s="6">
        <v>0.0</v>
      </c>
      <c r="AJ50" s="6">
        <v>0.0</v>
      </c>
      <c r="AK50" s="6">
        <v>0.0</v>
      </c>
      <c r="AL50" s="6">
        <v>0.0</v>
      </c>
      <c r="AM50" s="6">
        <v>0.0</v>
      </c>
      <c r="AN50" s="6">
        <v>0.0</v>
      </c>
      <c r="AO50" s="6">
        <v>0.0</v>
      </c>
      <c r="AP50" s="6">
        <v>0.0</v>
      </c>
      <c r="AQ50" s="6">
        <v>0.0</v>
      </c>
      <c r="AR50" s="6">
        <v>0.0</v>
      </c>
      <c r="AS50" s="6">
        <v>0.0</v>
      </c>
      <c r="AT50" s="6">
        <v>0.0</v>
      </c>
      <c r="AU50" s="6">
        <v>0.0</v>
      </c>
      <c r="AV50" s="6">
        <v>0.0</v>
      </c>
      <c r="AW50" s="6">
        <v>0.0</v>
      </c>
      <c r="AX50" s="6">
        <v>0.0</v>
      </c>
      <c r="AY50" s="6">
        <v>0.0</v>
      </c>
      <c r="AZ50" s="6">
        <v>0.0</v>
      </c>
      <c r="BA50" s="6">
        <v>0.0</v>
      </c>
      <c r="BB50" s="6">
        <v>0.0</v>
      </c>
      <c r="BC50" s="6">
        <v>0.0</v>
      </c>
      <c r="BD50" s="6">
        <v>0.0</v>
      </c>
      <c r="BE50" s="6">
        <v>0.0</v>
      </c>
      <c r="BF50" s="6">
        <v>0.0</v>
      </c>
      <c r="BG50" s="6">
        <v>0.0</v>
      </c>
    </row>
    <row r="51" ht="15.75" customHeight="1">
      <c r="A51" s="2">
        <v>20402.0</v>
      </c>
      <c r="B51" s="3" t="s">
        <v>89</v>
      </c>
      <c r="C51" s="4" t="s">
        <v>110</v>
      </c>
      <c r="D51" s="4">
        <f>IF(Datos_originales!$E51&lt;1000,"Bosque menor a 1000 ha",Datos_originales!$E51)</f>
        <v>3005.1</v>
      </c>
      <c r="E51" s="4">
        <v>3005.1</v>
      </c>
      <c r="F51" s="5">
        <f>AVERAGE(Datos_originales!$H99:$J99)</f>
        <v>0</v>
      </c>
      <c r="G51" s="5">
        <f>AVERAGE(Datos_originales!$R99:$T99)</f>
        <v>0</v>
      </c>
      <c r="H51" s="4">
        <v>1.08</v>
      </c>
      <c r="I51" s="4">
        <v>3.24</v>
      </c>
      <c r="J51" s="4">
        <v>6.390000000000001</v>
      </c>
      <c r="K51" s="4">
        <v>1.8</v>
      </c>
      <c r="L51" s="4">
        <v>1.26</v>
      </c>
      <c r="M51" s="4">
        <v>2.97</v>
      </c>
      <c r="N51" s="4">
        <v>1.26</v>
      </c>
      <c r="O51" s="4">
        <v>2.07</v>
      </c>
      <c r="P51" s="4">
        <v>5.31</v>
      </c>
      <c r="Q51" s="4">
        <v>0.63</v>
      </c>
      <c r="R51" s="4">
        <v>0.36</v>
      </c>
      <c r="S51" s="4">
        <v>14.13</v>
      </c>
      <c r="T51" s="4">
        <v>5.4</v>
      </c>
      <c r="U51" s="4">
        <v>22.95</v>
      </c>
      <c r="V51" s="4">
        <v>20.7</v>
      </c>
      <c r="W51" s="4">
        <v>56.16</v>
      </c>
      <c r="X51" s="4">
        <v>14.4</v>
      </c>
      <c r="Y51" s="4">
        <v>6.48</v>
      </c>
      <c r="Z51" s="4">
        <v>14.49</v>
      </c>
      <c r="AA51" s="4">
        <v>6.84</v>
      </c>
      <c r="AB51" s="4">
        <v>19.89</v>
      </c>
      <c r="AC51" s="4">
        <v>11.88</v>
      </c>
      <c r="AD51" s="4">
        <v>1.62</v>
      </c>
      <c r="AE51" s="4">
        <v>0.72</v>
      </c>
      <c r="AF51" s="4">
        <v>15.84</v>
      </c>
      <c r="AG51" s="4">
        <v>44.09999999999999</v>
      </c>
      <c r="AH51" s="6" t="str">
        <f>Datos_originales!$H99/Datos_originales!$E99</f>
        <v>#DIV/0!</v>
      </c>
      <c r="AI51" s="6" t="str">
        <f>Datos_originales!$I99/Datos_originales!$E99</f>
        <v>#DIV/0!</v>
      </c>
      <c r="AJ51" s="6" t="str">
        <f>Datos_originales!$J99/Datos_originales!$E99</f>
        <v>#DIV/0!</v>
      </c>
      <c r="AK51" s="6" t="str">
        <f>Datos_originales!$K99/Datos_originales!$E99</f>
        <v>#DIV/0!</v>
      </c>
      <c r="AL51" s="6" t="str">
        <f>Datos_originales!$L99/Datos_originales!$E99</f>
        <v>#DIV/0!</v>
      </c>
      <c r="AM51" s="6" t="str">
        <f>Datos_originales!$M99/Datos_originales!$E99</f>
        <v>#DIV/0!</v>
      </c>
      <c r="AN51" s="6" t="str">
        <f>Datos_originales!$N99/Datos_originales!$E99</f>
        <v>#DIV/0!</v>
      </c>
      <c r="AO51" s="6" t="str">
        <f>Datos_originales!$O99/Datos_originales!$E99</f>
        <v>#DIV/0!</v>
      </c>
      <c r="AP51" s="6" t="str">
        <f>Datos_originales!$P99/Datos_originales!$E99</f>
        <v>#DIV/0!</v>
      </c>
      <c r="AQ51" s="6" t="str">
        <f>Datos_originales!$Q99/Datos_originales!$E99</f>
        <v>#DIV/0!</v>
      </c>
      <c r="AR51" s="6" t="str">
        <f>Datos_originales!$R99/Datos_originales!$E99</f>
        <v>#DIV/0!</v>
      </c>
      <c r="AS51" s="6" t="str">
        <f>Datos_originales!$S99/Datos_originales!$E99</f>
        <v>#DIV/0!</v>
      </c>
      <c r="AT51" s="6" t="str">
        <f>Datos_originales!$T99/Datos_originales!$E99</f>
        <v>#DIV/0!</v>
      </c>
      <c r="AU51" s="6" t="str">
        <f>Datos_originales!$U99/Datos_originales!$E99</f>
        <v>#DIV/0!</v>
      </c>
      <c r="AV51" s="6" t="str">
        <f>Datos_originales!$V99/Datos_originales!$E99</f>
        <v>#DIV/0!</v>
      </c>
      <c r="AW51" s="6" t="str">
        <f>Datos_originales!$W99/Datos_originales!$E99</f>
        <v>#DIV/0!</v>
      </c>
      <c r="AX51" s="6" t="str">
        <f>Datos_originales!$X99/Datos_originales!$E99</f>
        <v>#DIV/0!</v>
      </c>
      <c r="AY51" s="6" t="str">
        <f>Datos_originales!$Y99/Datos_originales!$E99</f>
        <v>#DIV/0!</v>
      </c>
      <c r="AZ51" s="6" t="str">
        <f>Datos_originales!$Z99/Datos_originales!$E99</f>
        <v>#DIV/0!</v>
      </c>
      <c r="BA51" s="6" t="str">
        <f>Datos_originales!$AA99/Datos_originales!$E99</f>
        <v>#DIV/0!</v>
      </c>
      <c r="BB51" s="6" t="str">
        <f>Datos_originales!$AB99/Datos_originales!$E99</f>
        <v>#DIV/0!</v>
      </c>
      <c r="BC51" s="6" t="str">
        <f>Datos_originales!$AC99/Datos_originales!$E99</f>
        <v>#DIV/0!</v>
      </c>
      <c r="BD51" s="6" t="str">
        <f>Datos_originales!$AD99/Datos_originales!$E99</f>
        <v>#DIV/0!</v>
      </c>
      <c r="BE51" s="6" t="str">
        <f>Datos_originales!$AE99/Datos_originales!$E99</f>
        <v>#DIV/0!</v>
      </c>
      <c r="BF51" s="6" t="str">
        <f>Datos_originales!$AF99/Datos_originales!$E99</f>
        <v>#DIV/0!</v>
      </c>
      <c r="BG51" s="6" t="str">
        <f>Datos_originales!$AG99/Datos_originales!$E99</f>
        <v>#DIV/0!</v>
      </c>
    </row>
    <row r="52" ht="15.75" customHeight="1">
      <c r="A52" s="2">
        <v>20403.0</v>
      </c>
      <c r="B52" s="3" t="s">
        <v>89</v>
      </c>
      <c r="C52" s="4" t="s">
        <v>111</v>
      </c>
      <c r="D52" s="4" t="str">
        <f>IF(Datos_originales!$E52&lt;1000,"Bosque menor a 1000 ha",Datos_originales!$E52)</f>
        <v>Bosque menor a 1000 ha</v>
      </c>
      <c r="E52" s="4">
        <v>170.64</v>
      </c>
      <c r="F52" s="5">
        <f>AVERAGE(Datos_originales!$H28:$J28)</f>
        <v>817.02</v>
      </c>
      <c r="G52" s="5">
        <f>AVERAGE(Datos_originales!$R28:$T28)</f>
        <v>1189.29</v>
      </c>
      <c r="H52" s="4">
        <v>0.0</v>
      </c>
      <c r="I52" s="4">
        <v>0.0</v>
      </c>
      <c r="J52" s="4">
        <v>0.18</v>
      </c>
      <c r="K52" s="4">
        <v>0.0</v>
      </c>
      <c r="L52" s="4">
        <v>0.0</v>
      </c>
      <c r="M52" s="4">
        <v>0.0</v>
      </c>
      <c r="N52" s="4">
        <v>0.0</v>
      </c>
      <c r="O52" s="4">
        <v>0.63</v>
      </c>
      <c r="P52" s="4">
        <v>0.18</v>
      </c>
      <c r="Q52" s="4">
        <v>0.0</v>
      </c>
      <c r="R52" s="4">
        <v>0.0</v>
      </c>
      <c r="S52" s="4">
        <v>0.18</v>
      </c>
      <c r="T52" s="4">
        <v>2.43</v>
      </c>
      <c r="U52" s="4">
        <v>2.88</v>
      </c>
      <c r="V52" s="4">
        <v>0.81</v>
      </c>
      <c r="W52" s="4">
        <v>5.58</v>
      </c>
      <c r="X52" s="4">
        <v>0.72</v>
      </c>
      <c r="Y52" s="4">
        <v>0.0</v>
      </c>
      <c r="Z52" s="4">
        <v>1.71</v>
      </c>
      <c r="AA52" s="4">
        <v>0.36</v>
      </c>
      <c r="AB52" s="4">
        <v>6.029999999999999</v>
      </c>
      <c r="AC52" s="4">
        <v>0.27</v>
      </c>
      <c r="AD52" s="4">
        <v>0.36</v>
      </c>
      <c r="AE52" s="4">
        <v>0.45</v>
      </c>
      <c r="AF52" s="4">
        <v>0.18</v>
      </c>
      <c r="AG52" s="4">
        <v>14.13</v>
      </c>
      <c r="AH52" s="6">
        <f>Datos_originales!$H28/Datos_originales!$E28</f>
        <v>0.001749150398</v>
      </c>
      <c r="AI52" s="6">
        <f>Datos_originales!$I28/Datos_originales!$E28</f>
        <v>0.003345861454</v>
      </c>
      <c r="AJ52" s="6">
        <f>Datos_originales!$J28/Datos_originales!$E28</f>
        <v>0.001989515503</v>
      </c>
      <c r="AK52" s="6">
        <f>Datos_originales!$K28/Datos_originales!$E28</f>
        <v>0.001115460575</v>
      </c>
      <c r="AL52" s="6">
        <f>Datos_originales!$L28/Datos_originales!$E28</f>
        <v>0.001623765137</v>
      </c>
      <c r="AM52" s="6">
        <f>Datos_originales!$M28/Datos_originales!$E28</f>
        <v>0.001728339566</v>
      </c>
      <c r="AN52" s="6">
        <f>Datos_originales!$N28/Datos_originales!$E28</f>
        <v>0.002948634705</v>
      </c>
      <c r="AO52" s="6">
        <f>Datos_originales!$O28/Datos_originales!$E28</f>
        <v>0.001938008695</v>
      </c>
      <c r="AP52" s="6">
        <f>Datos_originales!$P28/Datos_originales!$E28</f>
        <v>0.001980410764</v>
      </c>
      <c r="AQ52" s="6">
        <f>Datos_originales!$Q28/Datos_originales!$E28</f>
        <v>0.003216314027</v>
      </c>
      <c r="AR52" s="6">
        <f>Datos_originales!$R28/Datos_originales!$E28</f>
        <v>0.000978629357</v>
      </c>
      <c r="AS52" s="6">
        <f>Datos_originales!$S28/Datos_originales!$E28</f>
        <v>0.00665998639</v>
      </c>
      <c r="AT52" s="6">
        <f>Datos_originales!$T28/Datos_originales!$E28</f>
        <v>0.002673931728</v>
      </c>
      <c r="AU52" s="6">
        <f>Datos_originales!$U28/Datos_originales!$E28</f>
        <v>0.001959599933</v>
      </c>
      <c r="AV52" s="6">
        <f>Datos_originales!$V28/Datos_originales!$E28</f>
        <v>0.003498821066</v>
      </c>
      <c r="AW52" s="6">
        <f>Datos_originales!$W28/Datos_originales!$E28</f>
        <v>0.003128908534</v>
      </c>
      <c r="AX52" s="6">
        <f>Datos_originales!$X28/Datos_originales!$E28</f>
        <v>0.001267379646</v>
      </c>
      <c r="AY52" s="6">
        <f>Datos_originales!$Y28/Datos_originales!$E28</f>
        <v>0.001782707864</v>
      </c>
      <c r="AZ52" s="6">
        <f>Datos_originales!$Z28/Datos_originales!$E28</f>
        <v>0.001878177554</v>
      </c>
      <c r="BA52" s="6">
        <f>Datos_originales!$AA28/Datos_originales!$E28</f>
        <v>0.003083644976</v>
      </c>
      <c r="BB52" s="6">
        <f>Datos_originales!$AB28/Datos_originales!$E28</f>
        <v>0.003333895226</v>
      </c>
      <c r="BC52" s="6">
        <f>Datos_originales!$AC28/Datos_originales!$E28</f>
        <v>0.002169529197</v>
      </c>
      <c r="BD52" s="6">
        <f>Datos_originales!$AD28/Datos_originales!$E28</f>
        <v>0.003556310989</v>
      </c>
      <c r="BE52" s="6">
        <f>Datos_originales!$AE28/Datos_originales!$E28</f>
        <v>0.001191159975</v>
      </c>
      <c r="BF52" s="6">
        <f>Datos_originales!$AF28/Datos_originales!$E28</f>
        <v>0.007131091591</v>
      </c>
      <c r="BG52" s="6">
        <f>Datos_originales!$AG28/Datos_originales!$E28</f>
        <v>0.003180675478</v>
      </c>
    </row>
    <row r="53" ht="15.75" customHeight="1">
      <c r="A53" s="2">
        <v>20404.0</v>
      </c>
      <c r="B53" s="3" t="s">
        <v>89</v>
      </c>
      <c r="C53" s="4" t="s">
        <v>112</v>
      </c>
      <c r="D53" s="4" t="str">
        <f>IF(Datos_originales!$E53&lt;1000,"Bosque menor a 1000 ha",Datos_originales!$E53)</f>
        <v>Bosque menor a 1000 ha</v>
      </c>
      <c r="E53" s="4">
        <v>0.0</v>
      </c>
      <c r="F53" s="5">
        <f>AVERAGE(Datos_originales!$H247:$J247)</f>
        <v>1214.64</v>
      </c>
      <c r="G53" s="5">
        <f>AVERAGE(Datos_originales!$R247:$T247)</f>
        <v>1459.11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>
        <v>0.0</v>
      </c>
      <c r="AS53" s="6">
        <v>0.0</v>
      </c>
      <c r="AT53" s="6">
        <v>0.0</v>
      </c>
      <c r="AU53" s="6">
        <v>0.0</v>
      </c>
      <c r="AV53" s="6">
        <v>0.0</v>
      </c>
      <c r="AW53" s="6">
        <v>0.0</v>
      </c>
      <c r="AX53" s="6">
        <v>0.0</v>
      </c>
      <c r="AY53" s="6">
        <v>0.0</v>
      </c>
      <c r="AZ53" s="6">
        <v>0.0</v>
      </c>
      <c r="BA53" s="6">
        <v>0.0</v>
      </c>
      <c r="BB53" s="6">
        <v>0.0</v>
      </c>
      <c r="BC53" s="6">
        <v>0.0</v>
      </c>
      <c r="BD53" s="6">
        <v>0.0</v>
      </c>
      <c r="BE53" s="6">
        <v>0.0</v>
      </c>
      <c r="BF53" s="6">
        <v>0.0</v>
      </c>
      <c r="BG53" s="6">
        <v>0.0</v>
      </c>
    </row>
    <row r="54" ht="15.75" customHeight="1">
      <c r="A54" s="2">
        <v>20405.0</v>
      </c>
      <c r="B54" s="3" t="s">
        <v>89</v>
      </c>
      <c r="C54" s="4" t="s">
        <v>113</v>
      </c>
      <c r="D54" s="4" t="str">
        <f>IF(Datos_originales!$E54&lt;1000,"Bosque menor a 1000 ha",Datos_originales!$E54)</f>
        <v>Bosque menor a 1000 ha</v>
      </c>
      <c r="E54" s="4">
        <v>0.0</v>
      </c>
      <c r="F54" s="5">
        <f>AVERAGE(Datos_originales!$H248:$J248)</f>
        <v>2523.6</v>
      </c>
      <c r="G54" s="5">
        <f>AVERAGE(Datos_originales!$R248:$T248)</f>
        <v>4266.75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6">
        <v>0.0</v>
      </c>
      <c r="AI54" s="6">
        <v>0.0</v>
      </c>
      <c r="AJ54" s="6">
        <v>0.0</v>
      </c>
      <c r="AK54" s="6">
        <v>0.0</v>
      </c>
      <c r="AL54" s="6">
        <v>0.0</v>
      </c>
      <c r="AM54" s="6">
        <v>0.0</v>
      </c>
      <c r="AN54" s="6">
        <v>0.0</v>
      </c>
      <c r="AO54" s="6">
        <v>0.0</v>
      </c>
      <c r="AP54" s="6">
        <v>0.0</v>
      </c>
      <c r="AQ54" s="6">
        <v>0.0</v>
      </c>
      <c r="AR54" s="6">
        <v>0.0</v>
      </c>
      <c r="AS54" s="6">
        <v>0.0</v>
      </c>
      <c r="AT54" s="6">
        <v>0.0</v>
      </c>
      <c r="AU54" s="6">
        <v>0.0</v>
      </c>
      <c r="AV54" s="6">
        <v>0.0</v>
      </c>
      <c r="AW54" s="6">
        <v>0.0</v>
      </c>
      <c r="AX54" s="6">
        <v>0.0</v>
      </c>
      <c r="AY54" s="6">
        <v>0.0</v>
      </c>
      <c r="AZ54" s="6">
        <v>0.0</v>
      </c>
      <c r="BA54" s="6">
        <v>0.0</v>
      </c>
      <c r="BB54" s="6">
        <v>0.0</v>
      </c>
      <c r="BC54" s="6">
        <v>0.0</v>
      </c>
      <c r="BD54" s="6">
        <v>0.0</v>
      </c>
      <c r="BE54" s="6">
        <v>0.0</v>
      </c>
      <c r="BF54" s="6">
        <v>0.0</v>
      </c>
      <c r="BG54" s="6">
        <v>0.0</v>
      </c>
    </row>
    <row r="55" ht="15.75" customHeight="1">
      <c r="A55" s="2">
        <v>20501.0</v>
      </c>
      <c r="B55" s="3" t="s">
        <v>89</v>
      </c>
      <c r="C55" s="4" t="s">
        <v>114</v>
      </c>
      <c r="D55" s="4">
        <f>IF(Datos_originales!$E55&lt;1000,"Bosque menor a 1000 ha",Datos_originales!$E55)</f>
        <v>5788.62</v>
      </c>
      <c r="E55" s="4">
        <v>5788.62</v>
      </c>
      <c r="F55" s="5">
        <f>AVERAGE(Datos_originales!$H63:$J63)</f>
        <v>75.78</v>
      </c>
      <c r="G55" s="5">
        <f>AVERAGE(Datos_originales!$R63:$T63)</f>
        <v>233.46</v>
      </c>
      <c r="H55" s="4">
        <v>2.16</v>
      </c>
      <c r="I55" s="4">
        <v>7.02</v>
      </c>
      <c r="J55" s="4">
        <v>8.100000000000001</v>
      </c>
      <c r="K55" s="4">
        <v>10.71</v>
      </c>
      <c r="L55" s="4">
        <v>10.89</v>
      </c>
      <c r="M55" s="4">
        <v>8.46</v>
      </c>
      <c r="N55" s="4">
        <v>5.76</v>
      </c>
      <c r="O55" s="4">
        <v>2.52</v>
      </c>
      <c r="P55" s="4">
        <v>21.96</v>
      </c>
      <c r="Q55" s="4">
        <v>1.62</v>
      </c>
      <c r="R55" s="4">
        <v>4.140000000000001</v>
      </c>
      <c r="S55" s="4">
        <v>34.29</v>
      </c>
      <c r="T55" s="4">
        <v>39.87</v>
      </c>
      <c r="U55" s="4">
        <v>23.49</v>
      </c>
      <c r="V55" s="4">
        <v>25.38</v>
      </c>
      <c r="W55" s="4">
        <v>49.5</v>
      </c>
      <c r="X55" s="4">
        <v>17.73</v>
      </c>
      <c r="Y55" s="4">
        <v>13.68</v>
      </c>
      <c r="Z55" s="4">
        <v>14.76</v>
      </c>
      <c r="AA55" s="4">
        <v>9.72</v>
      </c>
      <c r="AB55" s="4">
        <v>12.69</v>
      </c>
      <c r="AC55" s="4">
        <v>29.88</v>
      </c>
      <c r="AD55" s="4">
        <v>6.21</v>
      </c>
      <c r="AE55" s="4">
        <v>6.75</v>
      </c>
      <c r="AF55" s="4">
        <v>35.46</v>
      </c>
      <c r="AG55" s="4">
        <v>156.78</v>
      </c>
      <c r="AH55" s="6">
        <f>Datos_originales!$H63/Datos_originales!$E63</f>
        <v>0.002318257005</v>
      </c>
      <c r="AI55" s="6">
        <f>Datos_originales!$I63/Datos_originales!$E63</f>
        <v>0.003755158644</v>
      </c>
      <c r="AJ55" s="6">
        <f>Datos_originales!$J63/Datos_originales!$E63</f>
        <v>0.004477786503</v>
      </c>
      <c r="AK55" s="6">
        <f>Datos_originales!$K63/Datos_originales!$E63</f>
        <v>0.002948989992</v>
      </c>
      <c r="AL55" s="6">
        <f>Datos_originales!$L63/Datos_originales!$E63</f>
        <v>0.003262267965</v>
      </c>
      <c r="AM55" s="6">
        <f>Datos_originales!$M63/Datos_originales!$E63</f>
        <v>0.0009774272777</v>
      </c>
      <c r="AN55" s="6">
        <f>Datos_originales!$N63/Datos_originales!$E63</f>
        <v>0.003608962256</v>
      </c>
      <c r="AO55" s="6">
        <f>Datos_originales!$O63/Datos_originales!$E63</f>
        <v>0.002539640106</v>
      </c>
      <c r="AP55" s="6">
        <f>Datos_originales!$P63/Datos_originales!$E63</f>
        <v>0.004494494662</v>
      </c>
      <c r="AQ55" s="6">
        <f>Datos_originales!$Q63/Datos_originales!$E63</f>
        <v>0.001984093833</v>
      </c>
      <c r="AR55" s="6">
        <f>Datos_originales!$R63/Datos_originales!$E63</f>
        <v>0.001144508864</v>
      </c>
      <c r="AS55" s="6">
        <f>Datos_originales!$S63/Datos_originales!$E63</f>
        <v>0.02615244524</v>
      </c>
      <c r="AT55" s="6">
        <f>Datos_originales!$T63/Datos_originales!$E63</f>
        <v>0.005208768442</v>
      </c>
      <c r="AU55" s="6">
        <f>Datos_originales!$U63/Datos_originales!$E63</f>
        <v>0.003253913886</v>
      </c>
      <c r="AV55" s="6">
        <f>Datos_originales!$V63/Datos_originales!$E63</f>
        <v>0.004657399208</v>
      </c>
      <c r="AW55" s="6">
        <f>Datos_originales!$W63/Datos_originales!$E63</f>
        <v>0.005664065763</v>
      </c>
      <c r="AX55" s="6">
        <f>Datos_originales!$X63/Datos_originales!$E63</f>
        <v>0.00332492356</v>
      </c>
      <c r="AY55" s="6">
        <f>Datos_originales!$Y63/Datos_originales!$E63</f>
        <v>0.003466942908</v>
      </c>
      <c r="AZ55" s="6">
        <f>Datos_originales!$Z63/Datos_originales!$E63</f>
        <v>0.001177925181</v>
      </c>
      <c r="BA55" s="6">
        <f>Datos_originales!$AA63/Datos_originales!$E63</f>
        <v>0.003838699437</v>
      </c>
      <c r="BB55" s="6">
        <f>Datos_originales!$AB63/Datos_originales!$E63</f>
        <v>0.002656597216</v>
      </c>
      <c r="BC55" s="6">
        <f>Datos_originales!$AC63/Datos_originales!$E63</f>
        <v>0.004594743613</v>
      </c>
      <c r="BD55" s="6">
        <f>Datos_originales!$AD63/Datos_originales!$E63</f>
        <v>0.002113582062</v>
      </c>
      <c r="BE55" s="6">
        <f>Datos_originales!$AE63/Datos_originales!$E63</f>
        <v>0.001207164458</v>
      </c>
      <c r="BF55" s="6">
        <f>Datos_originales!$AF63/Datos_originales!$E63</f>
        <v>0.02773972031</v>
      </c>
      <c r="BG55" s="6">
        <f>Datos_originales!$AG63/Datos_originales!$E63</f>
        <v>0.006315683948</v>
      </c>
    </row>
    <row r="56" ht="15.75" customHeight="1">
      <c r="A56" s="2">
        <v>20502.0</v>
      </c>
      <c r="B56" s="3" t="s">
        <v>89</v>
      </c>
      <c r="C56" s="4" t="s">
        <v>115</v>
      </c>
      <c r="D56" s="4">
        <f>IF(Datos_originales!$E56&lt;1000,"Bosque menor a 1000 ha",Datos_originales!$E56)</f>
        <v>34456.23</v>
      </c>
      <c r="E56" s="4">
        <v>34456.23</v>
      </c>
      <c r="F56" s="5">
        <f>AVERAGE(Datos_originales!$H96:$J96)</f>
        <v>0</v>
      </c>
      <c r="G56" s="5">
        <f>AVERAGE(Datos_originales!$R96:$T96)</f>
        <v>0</v>
      </c>
      <c r="H56" s="4">
        <v>37.17</v>
      </c>
      <c r="I56" s="4">
        <v>34.56</v>
      </c>
      <c r="J56" s="4">
        <v>40.14</v>
      </c>
      <c r="K56" s="4">
        <v>37.89</v>
      </c>
      <c r="L56" s="4">
        <v>33.3</v>
      </c>
      <c r="M56" s="4">
        <v>54.81</v>
      </c>
      <c r="N56" s="4">
        <v>72.9</v>
      </c>
      <c r="O56" s="4">
        <v>68.76</v>
      </c>
      <c r="P56" s="4">
        <v>100.89</v>
      </c>
      <c r="Q56" s="4">
        <v>20.97</v>
      </c>
      <c r="R56" s="4">
        <v>23.22</v>
      </c>
      <c r="S56" s="4">
        <v>144.9</v>
      </c>
      <c r="T56" s="4">
        <v>91.08000000000001</v>
      </c>
      <c r="U56" s="4">
        <v>107.19</v>
      </c>
      <c r="V56" s="4">
        <v>74.97</v>
      </c>
      <c r="W56" s="4">
        <v>132.3</v>
      </c>
      <c r="X56" s="4">
        <v>75.69</v>
      </c>
      <c r="Y56" s="4">
        <v>49.41</v>
      </c>
      <c r="Z56" s="4">
        <v>62.37</v>
      </c>
      <c r="AA56" s="4">
        <v>83.43</v>
      </c>
      <c r="AB56" s="4">
        <v>88.74</v>
      </c>
      <c r="AC56" s="4">
        <v>123.12</v>
      </c>
      <c r="AD56" s="4">
        <v>24.48</v>
      </c>
      <c r="AE56" s="4">
        <v>24.3</v>
      </c>
      <c r="AF56" s="4">
        <v>160.65</v>
      </c>
      <c r="AG56" s="4">
        <v>542.7</v>
      </c>
      <c r="AH56" s="6" t="str">
        <f>Datos_originales!$H96/Datos_originales!$E96</f>
        <v>#DIV/0!</v>
      </c>
      <c r="AI56" s="6" t="str">
        <f>Datos_originales!$I96/Datos_originales!$E96</f>
        <v>#DIV/0!</v>
      </c>
      <c r="AJ56" s="6" t="str">
        <f>Datos_originales!$J96/Datos_originales!$E96</f>
        <v>#DIV/0!</v>
      </c>
      <c r="AK56" s="6" t="str">
        <f>Datos_originales!$K96/Datos_originales!$E96</f>
        <v>#DIV/0!</v>
      </c>
      <c r="AL56" s="6" t="str">
        <f>Datos_originales!$L96/Datos_originales!$E96</f>
        <v>#DIV/0!</v>
      </c>
      <c r="AM56" s="6" t="str">
        <f>Datos_originales!$M96/Datos_originales!$E96</f>
        <v>#DIV/0!</v>
      </c>
      <c r="AN56" s="6" t="str">
        <f>Datos_originales!$N96/Datos_originales!$E96</f>
        <v>#DIV/0!</v>
      </c>
      <c r="AO56" s="6" t="str">
        <f>Datos_originales!$O96/Datos_originales!$E96</f>
        <v>#DIV/0!</v>
      </c>
      <c r="AP56" s="6" t="str">
        <f>Datos_originales!$P96/Datos_originales!$E96</f>
        <v>#DIV/0!</v>
      </c>
      <c r="AQ56" s="6" t="str">
        <f>Datos_originales!$Q96/Datos_originales!$E96</f>
        <v>#DIV/0!</v>
      </c>
      <c r="AR56" s="6" t="str">
        <f>Datos_originales!$R96/Datos_originales!$E96</f>
        <v>#DIV/0!</v>
      </c>
      <c r="AS56" s="6" t="str">
        <f>Datos_originales!$S96/Datos_originales!$E96</f>
        <v>#DIV/0!</v>
      </c>
      <c r="AT56" s="6" t="str">
        <f>Datos_originales!$T96/Datos_originales!$E96</f>
        <v>#DIV/0!</v>
      </c>
      <c r="AU56" s="6" t="str">
        <f>Datos_originales!$U96/Datos_originales!$E96</f>
        <v>#DIV/0!</v>
      </c>
      <c r="AV56" s="6" t="str">
        <f>Datos_originales!$V96/Datos_originales!$E96</f>
        <v>#DIV/0!</v>
      </c>
      <c r="AW56" s="6" t="str">
        <f>Datos_originales!$W96/Datos_originales!$E96</f>
        <v>#DIV/0!</v>
      </c>
      <c r="AX56" s="6" t="str">
        <f>Datos_originales!$X96/Datos_originales!$E96</f>
        <v>#DIV/0!</v>
      </c>
      <c r="AY56" s="6" t="str">
        <f>Datos_originales!$Y96/Datos_originales!$E96</f>
        <v>#DIV/0!</v>
      </c>
      <c r="AZ56" s="6" t="str">
        <f>Datos_originales!$Z96/Datos_originales!$E96</f>
        <v>#DIV/0!</v>
      </c>
      <c r="BA56" s="6" t="str">
        <f>Datos_originales!$AA96/Datos_originales!$E96</f>
        <v>#DIV/0!</v>
      </c>
      <c r="BB56" s="6" t="str">
        <f>Datos_originales!$AB96/Datos_originales!$E96</f>
        <v>#DIV/0!</v>
      </c>
      <c r="BC56" s="6" t="str">
        <f>Datos_originales!$AC96/Datos_originales!$E96</f>
        <v>#DIV/0!</v>
      </c>
      <c r="BD56" s="6" t="str">
        <f>Datos_originales!$AD96/Datos_originales!$E96</f>
        <v>#DIV/0!</v>
      </c>
      <c r="BE56" s="6" t="str">
        <f>Datos_originales!$AE96/Datos_originales!$E96</f>
        <v>#DIV/0!</v>
      </c>
      <c r="BF56" s="6" t="str">
        <f>Datos_originales!$AF96/Datos_originales!$E96</f>
        <v>#DIV/0!</v>
      </c>
      <c r="BG56" s="6" t="str">
        <f>Datos_originales!$AG96/Datos_originales!$E96</f>
        <v>#DIV/0!</v>
      </c>
    </row>
    <row r="57" ht="15.75" customHeight="1">
      <c r="A57" s="2">
        <v>20503.0</v>
      </c>
      <c r="B57" s="3" t="s">
        <v>89</v>
      </c>
      <c r="C57" s="4" t="s">
        <v>116</v>
      </c>
      <c r="D57" s="4">
        <f>IF(Datos_originales!$E57&lt;1000,"Bosque menor a 1000 ha",Datos_originales!$E57)</f>
        <v>5304.06</v>
      </c>
      <c r="E57" s="4">
        <v>5304.06</v>
      </c>
      <c r="F57" s="5">
        <f>AVERAGE(Datos_originales!$H53:$J53)</f>
        <v>0</v>
      </c>
      <c r="G57" s="5">
        <f>AVERAGE(Datos_originales!$R53:$T53)</f>
        <v>0</v>
      </c>
      <c r="H57" s="4">
        <v>5.85</v>
      </c>
      <c r="I57" s="4">
        <v>5.04</v>
      </c>
      <c r="J57" s="4">
        <v>3.69</v>
      </c>
      <c r="K57" s="4">
        <v>3.6</v>
      </c>
      <c r="L57" s="4">
        <v>4.77</v>
      </c>
      <c r="M57" s="4">
        <v>5.94</v>
      </c>
      <c r="N57" s="4">
        <v>5.13</v>
      </c>
      <c r="O57" s="4">
        <v>2.16</v>
      </c>
      <c r="P57" s="4">
        <v>2.88</v>
      </c>
      <c r="Q57" s="4">
        <v>0.27</v>
      </c>
      <c r="R57" s="4">
        <v>1.17</v>
      </c>
      <c r="S57" s="4">
        <v>12.87</v>
      </c>
      <c r="T57" s="4">
        <v>31.41</v>
      </c>
      <c r="U57" s="4">
        <v>83.07</v>
      </c>
      <c r="V57" s="4">
        <v>34.2</v>
      </c>
      <c r="W57" s="4">
        <v>46.34999999999999</v>
      </c>
      <c r="X57" s="4">
        <v>22.23</v>
      </c>
      <c r="Y57" s="4">
        <v>13.77</v>
      </c>
      <c r="Z57" s="4">
        <v>8.73</v>
      </c>
      <c r="AA57" s="4">
        <v>11.61</v>
      </c>
      <c r="AB57" s="4">
        <v>7.92</v>
      </c>
      <c r="AC57" s="4">
        <v>10.53</v>
      </c>
      <c r="AD57" s="4">
        <v>1.98</v>
      </c>
      <c r="AE57" s="4">
        <v>2.43</v>
      </c>
      <c r="AF57" s="4">
        <v>15.03</v>
      </c>
      <c r="AG57" s="4">
        <v>181.8</v>
      </c>
      <c r="AH57" s="6" t="str">
        <f>Datos_originales!$H53/Datos_originales!$E53</f>
        <v>#DIV/0!</v>
      </c>
      <c r="AI57" s="6" t="str">
        <f>Datos_originales!$I53/Datos_originales!$E53</f>
        <v>#DIV/0!</v>
      </c>
      <c r="AJ57" s="6" t="str">
        <f>Datos_originales!$J53/Datos_originales!$E53</f>
        <v>#DIV/0!</v>
      </c>
      <c r="AK57" s="6" t="str">
        <f>Datos_originales!$K53/Datos_originales!$E53</f>
        <v>#DIV/0!</v>
      </c>
      <c r="AL57" s="6" t="str">
        <f>Datos_originales!$L53/Datos_originales!$E53</f>
        <v>#DIV/0!</v>
      </c>
      <c r="AM57" s="6" t="str">
        <f>Datos_originales!$M53/Datos_originales!$E53</f>
        <v>#DIV/0!</v>
      </c>
      <c r="AN57" s="6" t="str">
        <f>Datos_originales!$N53/Datos_originales!$E53</f>
        <v>#DIV/0!</v>
      </c>
      <c r="AO57" s="6" t="str">
        <f>Datos_originales!$O53/Datos_originales!$E53</f>
        <v>#DIV/0!</v>
      </c>
      <c r="AP57" s="6" t="str">
        <f>Datos_originales!$P53/Datos_originales!$E53</f>
        <v>#DIV/0!</v>
      </c>
      <c r="AQ57" s="6" t="str">
        <f>Datos_originales!$Q53/Datos_originales!$E53</f>
        <v>#DIV/0!</v>
      </c>
      <c r="AR57" s="6" t="str">
        <f>Datos_originales!$R53/Datos_originales!$E53</f>
        <v>#DIV/0!</v>
      </c>
      <c r="AS57" s="6" t="str">
        <f>Datos_originales!$S53/Datos_originales!$E53</f>
        <v>#DIV/0!</v>
      </c>
      <c r="AT57" s="6" t="str">
        <f>Datos_originales!$T53/Datos_originales!$E53</f>
        <v>#DIV/0!</v>
      </c>
      <c r="AU57" s="6" t="str">
        <f>Datos_originales!$U53/Datos_originales!$E53</f>
        <v>#DIV/0!</v>
      </c>
      <c r="AV57" s="6" t="str">
        <f>Datos_originales!$V53/Datos_originales!$E53</f>
        <v>#DIV/0!</v>
      </c>
      <c r="AW57" s="6" t="str">
        <f>Datos_originales!$W53/Datos_originales!$E53</f>
        <v>#DIV/0!</v>
      </c>
      <c r="AX57" s="6" t="str">
        <f>Datos_originales!$X53/Datos_originales!$E53</f>
        <v>#DIV/0!</v>
      </c>
      <c r="AY57" s="6" t="str">
        <f>Datos_originales!$Y53/Datos_originales!$E53</f>
        <v>#DIV/0!</v>
      </c>
      <c r="AZ57" s="6" t="str">
        <f>Datos_originales!$Z53/Datos_originales!$E53</f>
        <v>#DIV/0!</v>
      </c>
      <c r="BA57" s="6" t="str">
        <f>Datos_originales!$AA53/Datos_originales!$E53</f>
        <v>#DIV/0!</v>
      </c>
      <c r="BB57" s="6" t="str">
        <f>Datos_originales!$AB53/Datos_originales!$E53</f>
        <v>#DIV/0!</v>
      </c>
      <c r="BC57" s="6" t="str">
        <f>Datos_originales!$AC53/Datos_originales!$E53</f>
        <v>#DIV/0!</v>
      </c>
      <c r="BD57" s="6" t="str">
        <f>Datos_originales!$AD53/Datos_originales!$E53</f>
        <v>#DIV/0!</v>
      </c>
      <c r="BE57" s="6" t="str">
        <f>Datos_originales!$AE53/Datos_originales!$E53</f>
        <v>#DIV/0!</v>
      </c>
      <c r="BF57" s="6" t="str">
        <f>Datos_originales!$AF53/Datos_originales!$E53</f>
        <v>#DIV/0!</v>
      </c>
      <c r="BG57" s="6" t="str">
        <f>Datos_originales!$AG53/Datos_originales!$E53</f>
        <v>#DIV/0!</v>
      </c>
    </row>
    <row r="58" ht="15.75" customHeight="1">
      <c r="A58" s="2">
        <v>20601.0</v>
      </c>
      <c r="B58" s="3" t="s">
        <v>89</v>
      </c>
      <c r="C58" s="4" t="s">
        <v>117</v>
      </c>
      <c r="D58" s="4">
        <f>IF(Datos_originales!$E58&lt;1000,"Bosque menor a 1000 ha",Datos_originales!$E58)</f>
        <v>57828.96</v>
      </c>
      <c r="E58" s="4">
        <v>57828.96</v>
      </c>
      <c r="F58" s="5">
        <f>AVERAGE(Datos_originales!$H92:$J92)</f>
        <v>0</v>
      </c>
      <c r="G58" s="5">
        <f>AVERAGE(Datos_originales!$R92:$T92)</f>
        <v>0</v>
      </c>
      <c r="H58" s="4">
        <v>50.48999999999999</v>
      </c>
      <c r="I58" s="4">
        <v>51.48</v>
      </c>
      <c r="J58" s="4">
        <v>52.38</v>
      </c>
      <c r="K58" s="4">
        <v>29.7</v>
      </c>
      <c r="L58" s="4">
        <v>40.32</v>
      </c>
      <c r="M58" s="4">
        <v>19.44</v>
      </c>
      <c r="N58" s="4">
        <v>46.89</v>
      </c>
      <c r="O58" s="4">
        <v>22.41</v>
      </c>
      <c r="P58" s="4">
        <v>71.64</v>
      </c>
      <c r="Q58" s="4">
        <v>8.91</v>
      </c>
      <c r="R58" s="4">
        <v>22.59</v>
      </c>
      <c r="S58" s="4">
        <v>205.2</v>
      </c>
      <c r="T58" s="4">
        <v>166.59</v>
      </c>
      <c r="U58" s="4">
        <v>330.66</v>
      </c>
      <c r="V58" s="4">
        <v>131.22</v>
      </c>
      <c r="W58" s="4">
        <v>189.18</v>
      </c>
      <c r="X58" s="4">
        <v>83.34</v>
      </c>
      <c r="Y58" s="4">
        <v>68.49</v>
      </c>
      <c r="Z58" s="4">
        <v>30.69</v>
      </c>
      <c r="AA58" s="4">
        <v>72.72</v>
      </c>
      <c r="AB58" s="4">
        <v>224.46</v>
      </c>
      <c r="AC58" s="4">
        <v>104.94</v>
      </c>
      <c r="AD58" s="4">
        <v>34.11</v>
      </c>
      <c r="AE58" s="4">
        <v>32.76</v>
      </c>
      <c r="AF58" s="4">
        <v>239.85</v>
      </c>
      <c r="AG58" s="4">
        <v>947.0699999999999</v>
      </c>
      <c r="AH58" s="6" t="str">
        <f>Datos_originales!$H92/Datos_originales!$E92</f>
        <v>#DIV/0!</v>
      </c>
      <c r="AI58" s="6" t="str">
        <f>Datos_originales!$I92/Datos_originales!$E92</f>
        <v>#DIV/0!</v>
      </c>
      <c r="AJ58" s="6" t="str">
        <f>Datos_originales!$J92/Datos_originales!$E92</f>
        <v>#DIV/0!</v>
      </c>
      <c r="AK58" s="6" t="str">
        <f>Datos_originales!$K92/Datos_originales!$E92</f>
        <v>#DIV/0!</v>
      </c>
      <c r="AL58" s="6" t="str">
        <f>Datos_originales!$L92/Datos_originales!$E92</f>
        <v>#DIV/0!</v>
      </c>
      <c r="AM58" s="6" t="str">
        <f>Datos_originales!$M92/Datos_originales!$E92</f>
        <v>#DIV/0!</v>
      </c>
      <c r="AN58" s="6" t="str">
        <f>Datos_originales!$N92/Datos_originales!$E92</f>
        <v>#DIV/0!</v>
      </c>
      <c r="AO58" s="6" t="str">
        <f>Datos_originales!$O92/Datos_originales!$E92</f>
        <v>#DIV/0!</v>
      </c>
      <c r="AP58" s="6" t="str">
        <f>Datos_originales!$P92/Datos_originales!$E92</f>
        <v>#DIV/0!</v>
      </c>
      <c r="AQ58" s="6" t="str">
        <f>Datos_originales!$Q92/Datos_originales!$E92</f>
        <v>#DIV/0!</v>
      </c>
      <c r="AR58" s="6" t="str">
        <f>Datos_originales!$R92/Datos_originales!$E92</f>
        <v>#DIV/0!</v>
      </c>
      <c r="AS58" s="6" t="str">
        <f>Datos_originales!$S92/Datos_originales!$E92</f>
        <v>#DIV/0!</v>
      </c>
      <c r="AT58" s="6" t="str">
        <f>Datos_originales!$T92/Datos_originales!$E92</f>
        <v>#DIV/0!</v>
      </c>
      <c r="AU58" s="6" t="str">
        <f>Datos_originales!$U92/Datos_originales!$E92</f>
        <v>#DIV/0!</v>
      </c>
      <c r="AV58" s="6" t="str">
        <f>Datos_originales!$V92/Datos_originales!$E92</f>
        <v>#DIV/0!</v>
      </c>
      <c r="AW58" s="6" t="str">
        <f>Datos_originales!$W92/Datos_originales!$E92</f>
        <v>#DIV/0!</v>
      </c>
      <c r="AX58" s="6" t="str">
        <f>Datos_originales!$X92/Datos_originales!$E92</f>
        <v>#DIV/0!</v>
      </c>
      <c r="AY58" s="6" t="str">
        <f>Datos_originales!$Y92/Datos_originales!$E92</f>
        <v>#DIV/0!</v>
      </c>
      <c r="AZ58" s="6" t="str">
        <f>Datos_originales!$Z92/Datos_originales!$E92</f>
        <v>#DIV/0!</v>
      </c>
      <c r="BA58" s="6" t="str">
        <f>Datos_originales!$AA92/Datos_originales!$E92</f>
        <v>#DIV/0!</v>
      </c>
      <c r="BB58" s="6" t="str">
        <f>Datos_originales!$AB92/Datos_originales!$E92</f>
        <v>#DIV/0!</v>
      </c>
      <c r="BC58" s="6" t="str">
        <f>Datos_originales!$AC92/Datos_originales!$E92</f>
        <v>#DIV/0!</v>
      </c>
      <c r="BD58" s="6" t="str">
        <f>Datos_originales!$AD92/Datos_originales!$E92</f>
        <v>#DIV/0!</v>
      </c>
      <c r="BE58" s="6" t="str">
        <f>Datos_originales!$AE92/Datos_originales!$E92</f>
        <v>#DIV/0!</v>
      </c>
      <c r="BF58" s="6" t="str">
        <f>Datos_originales!$AF92/Datos_originales!$E92</f>
        <v>#DIV/0!</v>
      </c>
      <c r="BG58" s="6" t="str">
        <f>Datos_originales!$AG92/Datos_originales!$E92</f>
        <v>#DIV/0!</v>
      </c>
    </row>
    <row r="59" ht="15.75" customHeight="1">
      <c r="A59" s="2">
        <v>20602.0</v>
      </c>
      <c r="B59" s="3" t="s">
        <v>89</v>
      </c>
      <c r="C59" s="4" t="s">
        <v>118</v>
      </c>
      <c r="D59" s="4">
        <f>IF(Datos_originales!$E59&lt;1000,"Bosque menor a 1000 ha",Datos_originales!$E59)</f>
        <v>267264.18</v>
      </c>
      <c r="E59" s="4">
        <v>267264.18</v>
      </c>
      <c r="F59" s="5">
        <f>AVERAGE(Datos_originales!$H123:$J123)</f>
        <v>2.97</v>
      </c>
      <c r="G59" s="5">
        <f>AVERAGE(Datos_originales!$R123:$T123)</f>
        <v>28.35</v>
      </c>
      <c r="H59" s="4">
        <v>233.1</v>
      </c>
      <c r="I59" s="4">
        <v>491.67</v>
      </c>
      <c r="J59" s="4">
        <v>653.3100000000001</v>
      </c>
      <c r="K59" s="4">
        <v>440.55</v>
      </c>
      <c r="L59" s="4">
        <v>534.51</v>
      </c>
      <c r="M59" s="4">
        <v>376.92</v>
      </c>
      <c r="N59" s="4">
        <v>464.4</v>
      </c>
      <c r="O59" s="4">
        <v>405.54</v>
      </c>
      <c r="P59" s="4">
        <v>792.27</v>
      </c>
      <c r="Q59" s="4">
        <v>529.56</v>
      </c>
      <c r="R59" s="4">
        <v>240.21</v>
      </c>
      <c r="S59" s="4">
        <v>4695.75</v>
      </c>
      <c r="T59" s="4">
        <v>1124.28</v>
      </c>
      <c r="U59" s="4">
        <v>402.93</v>
      </c>
      <c r="V59" s="4">
        <v>574.2</v>
      </c>
      <c r="W59" s="4">
        <v>795.06</v>
      </c>
      <c r="X59" s="4">
        <v>509.85</v>
      </c>
      <c r="Y59" s="4">
        <v>575.0999999999999</v>
      </c>
      <c r="Z59" s="4">
        <v>399.42</v>
      </c>
      <c r="AA59" s="4">
        <v>510.48</v>
      </c>
      <c r="AB59" s="4">
        <v>558.1800000000001</v>
      </c>
      <c r="AC59" s="4">
        <v>865.71</v>
      </c>
      <c r="AD59" s="4">
        <v>642.42</v>
      </c>
      <c r="AE59" s="4">
        <v>255.69</v>
      </c>
      <c r="AF59" s="4">
        <v>4809.06</v>
      </c>
      <c r="AG59" s="4">
        <v>2025.63</v>
      </c>
      <c r="AH59" s="6">
        <f>Datos_originales!$H123/Datos_originales!$E123</f>
        <v>0.0002372747302</v>
      </c>
      <c r="AI59" s="6">
        <f>Datos_originales!$I123/Datos_originales!$E123</f>
        <v>0.0003050675103</v>
      </c>
      <c r="AJ59" s="6">
        <f>Datos_originales!$J123/Datos_originales!$E123</f>
        <v>0.0005762386306</v>
      </c>
      <c r="AK59" s="6">
        <f>Datos_originales!$K123/Datos_originales!$E123</f>
        <v>0.0003276651037</v>
      </c>
      <c r="AL59" s="6">
        <f>Datos_originales!$L123/Datos_originales!$E123</f>
        <v>0.0002259759336</v>
      </c>
      <c r="AM59" s="6">
        <f>Datos_originales!$M123/Datos_originales!$E123</f>
        <v>0.0002485735269</v>
      </c>
      <c r="AN59" s="6">
        <f>Datos_originales!$N123/Datos_originales!$E123</f>
        <v>0.0001581831535</v>
      </c>
      <c r="AO59" s="6">
        <f>Datos_originales!$O123/Datos_originales!$E123</f>
        <v>0.0001016891701</v>
      </c>
      <c r="AP59" s="6">
        <f>Datos_originales!$P123/Datos_originales!$E123</f>
        <v>0.001141178464</v>
      </c>
      <c r="AQ59" s="6">
        <f>Datos_originales!$Q123/Datos_originales!$E123</f>
        <v>0.00004519518671</v>
      </c>
      <c r="AR59" s="6">
        <f>Datos_originales!$R123/Datos_originales!$E123</f>
        <v>0.0001355855601</v>
      </c>
      <c r="AS59" s="6">
        <f>Datos_originales!$S123/Datos_originales!$E123</f>
        <v>0.002203265352</v>
      </c>
      <c r="AT59" s="6">
        <f>Datos_originales!$T123/Datos_originales!$E123</f>
        <v>0.008338511948</v>
      </c>
      <c r="AU59" s="6">
        <f>Datos_originales!$U123/Datos_originales!$E123</f>
        <v>0.00649680809</v>
      </c>
      <c r="AV59" s="6">
        <f>Datos_originales!$V123/Datos_originales!$E123</f>
        <v>0.002338850912</v>
      </c>
      <c r="AW59" s="6">
        <f>Datos_originales!$W123/Datos_originales!$E123</f>
        <v>0.01236088357</v>
      </c>
      <c r="AX59" s="6">
        <f>Datos_originales!$X123/Datos_originales!$E123</f>
        <v>0.001999887012</v>
      </c>
      <c r="AY59" s="6">
        <f>Datos_originales!$Y123/Datos_originales!$E123</f>
        <v>0.001468843568</v>
      </c>
      <c r="AZ59" s="6">
        <f>Datos_originales!$Z123/Datos_originales!$E123</f>
        <v>0.0008926049376</v>
      </c>
      <c r="BA59" s="6">
        <f>Datos_originales!$AA123/Datos_originales!$E123</f>
        <v>0.0005875374273</v>
      </c>
      <c r="BB59" s="6">
        <f>Datos_originales!$AB123/Datos_originales!$E123</f>
        <v>0.0008926049376</v>
      </c>
      <c r="BC59" s="6">
        <f>Datos_originales!$AC123/Datos_originales!$E123</f>
        <v>0.002948985933</v>
      </c>
      <c r="BD59" s="6">
        <f>Datos_originales!$AD123/Datos_originales!$E123</f>
        <v>0.0007344217841</v>
      </c>
      <c r="BE59" s="6">
        <f>Datos_originales!$AE123/Datos_originales!$E123</f>
        <v>0.0003954578837</v>
      </c>
      <c r="BF59" s="6">
        <f>Datos_originales!$AF123/Datos_originales!$E123</f>
        <v>0.00282469917</v>
      </c>
      <c r="BG59" s="6">
        <f>Datos_originales!$AG123/Datos_originales!$E123</f>
        <v>0.01925314954</v>
      </c>
    </row>
    <row r="60" ht="15.75" customHeight="1">
      <c r="A60" s="2">
        <v>20603.0</v>
      </c>
      <c r="B60" s="3" t="s">
        <v>89</v>
      </c>
      <c r="C60" s="4" t="s">
        <v>119</v>
      </c>
      <c r="D60" s="4">
        <f>IF(Datos_originales!$E60&lt;1000,"Bosque menor a 1000 ha",Datos_originales!$E60)</f>
        <v>53398.08</v>
      </c>
      <c r="E60" s="4">
        <v>53398.08</v>
      </c>
      <c r="F60" s="5">
        <f>AVERAGE(Datos_originales!$H102:$J102)</f>
        <v>108.24</v>
      </c>
      <c r="G60" s="5">
        <f>AVERAGE(Datos_originales!$R102:$T102)</f>
        <v>753.15</v>
      </c>
      <c r="H60" s="4">
        <v>45.27</v>
      </c>
      <c r="I60" s="4">
        <v>49.86</v>
      </c>
      <c r="J60" s="4">
        <v>44.55</v>
      </c>
      <c r="K60" s="4">
        <v>36.54</v>
      </c>
      <c r="L60" s="4">
        <v>25.74</v>
      </c>
      <c r="M60" s="4">
        <v>14.22</v>
      </c>
      <c r="N60" s="4">
        <v>59.67</v>
      </c>
      <c r="O60" s="4">
        <v>32.76</v>
      </c>
      <c r="P60" s="4">
        <v>83.61</v>
      </c>
      <c r="Q60" s="4">
        <v>62.28</v>
      </c>
      <c r="R60" s="4">
        <v>22.95</v>
      </c>
      <c r="S60" s="4">
        <v>396.99</v>
      </c>
      <c r="T60" s="4">
        <v>339.9299999999999</v>
      </c>
      <c r="U60" s="4">
        <v>206.55</v>
      </c>
      <c r="V60" s="4">
        <v>108.54</v>
      </c>
      <c r="W60" s="4">
        <v>147.06</v>
      </c>
      <c r="X60" s="4">
        <v>60.93000000000001</v>
      </c>
      <c r="Y60" s="4">
        <v>43.02</v>
      </c>
      <c r="Z60" s="4">
        <v>30.78</v>
      </c>
      <c r="AA60" s="4">
        <v>85.22999999999999</v>
      </c>
      <c r="AB60" s="4">
        <v>66.15</v>
      </c>
      <c r="AC60" s="4">
        <v>104.31</v>
      </c>
      <c r="AD60" s="4">
        <v>104.67</v>
      </c>
      <c r="AE60" s="4">
        <v>33.3</v>
      </c>
      <c r="AF60" s="4">
        <v>456.39</v>
      </c>
      <c r="AG60" s="4">
        <v>736.74</v>
      </c>
      <c r="AH60" s="6">
        <f>Datos_originales!$H102/Datos_originales!$E102</f>
        <v>0.0009134262554</v>
      </c>
      <c r="AI60" s="6">
        <f>Datos_originales!$I102/Datos_originales!$E102</f>
        <v>0.0009032462262</v>
      </c>
      <c r="AJ60" s="6">
        <f>Datos_originales!$J102/Datos_originales!$E102</f>
        <v>0.001522377092</v>
      </c>
      <c r="AK60" s="6">
        <f>Datos_originales!$K102/Datos_originales!$E102</f>
        <v>0.001593637297</v>
      </c>
      <c r="AL60" s="6">
        <f>Datos_originales!$L102/Datos_originales!$E102</f>
        <v>0.001450191431</v>
      </c>
      <c r="AM60" s="6">
        <f>Datos_originales!$M102/Datos_originales!$E102</f>
        <v>0.001135535983</v>
      </c>
      <c r="AN60" s="6">
        <f>Datos_originales!$N102/Datos_originales!$E102</f>
        <v>0.002792104369</v>
      </c>
      <c r="AO60" s="6">
        <f>Datos_originales!$O102/Datos_originales!$E102</f>
        <v>0.002065620468</v>
      </c>
      <c r="AP60" s="6">
        <f>Datos_originales!$P102/Datos_originales!$E102</f>
        <v>0.002686602249</v>
      </c>
      <c r="AQ60" s="6">
        <f>Datos_originales!$Q102/Datos_originales!$E102</f>
        <v>0.000348897364</v>
      </c>
      <c r="AR60" s="6">
        <f>Datos_originales!$R102/Datos_originales!$E102</f>
        <v>0.001578829981</v>
      </c>
      <c r="AS60" s="6">
        <f>Datos_originales!$S102/Datos_originales!$E102</f>
        <v>0.02010925948</v>
      </c>
      <c r="AT60" s="6">
        <f>Datos_originales!$T102/Datos_originales!$E102</f>
        <v>0.001545513522</v>
      </c>
      <c r="AU60" s="6">
        <f>Datos_originales!$U102/Datos_originales!$E102</f>
        <v>0.001218827131</v>
      </c>
      <c r="AV60" s="6">
        <f>Datos_originales!$V102/Datos_originales!$E102</f>
        <v>0.001052244835</v>
      </c>
      <c r="AW60" s="6">
        <f>Datos_originales!$W102/Datos_originales!$E102</f>
        <v>0.001980478406</v>
      </c>
      <c r="AX60" s="6">
        <f>Datos_originales!$X102/Datos_originales!$E102</f>
        <v>0.001713946733</v>
      </c>
      <c r="AY60" s="6">
        <f>Datos_originales!$Y102/Datos_originales!$E102</f>
        <v>0.00152330255</v>
      </c>
      <c r="AZ60" s="6">
        <f>Datos_originales!$Z102/Datos_originales!$E102</f>
        <v>0.001177181557</v>
      </c>
      <c r="BA60" s="6">
        <f>Datos_originales!$AA102/Datos_originales!$E102</f>
        <v>0.002887426461</v>
      </c>
      <c r="BB60" s="6">
        <f>Datos_originales!$AB102/Datos_originales!$E102</f>
        <v>0.002139657044</v>
      </c>
      <c r="BC60" s="6">
        <f>Datos_originales!$AC102/Datos_originales!$E102</f>
        <v>0.002762489739</v>
      </c>
      <c r="BD60" s="6">
        <f>Datos_originales!$AD102/Datos_originales!$E102</f>
        <v>0.0004803122863</v>
      </c>
      <c r="BE60" s="6">
        <f>Datos_originales!$AE102/Datos_originales!$E102</f>
        <v>0.001595488211</v>
      </c>
      <c r="BF60" s="6">
        <f>Datos_originales!$AF102/Datos_originales!$E102</f>
        <v>0.02032581646</v>
      </c>
      <c r="BG60" s="6">
        <f>Datos_originales!$AG102/Datos_originales!$E102</f>
        <v>0.003927640353</v>
      </c>
    </row>
    <row r="61" ht="15.75" customHeight="1">
      <c r="A61" s="2">
        <v>20604.0</v>
      </c>
      <c r="B61" s="3" t="s">
        <v>89</v>
      </c>
      <c r="C61" s="4" t="s">
        <v>120</v>
      </c>
      <c r="D61" s="4" t="str">
        <f>IF(Datos_originales!$E61&lt;1000,"Bosque menor a 1000 ha",Datos_originales!$E61)</f>
        <v>Bosque menor a 1000 ha</v>
      </c>
      <c r="E61" s="4">
        <v>958.5</v>
      </c>
      <c r="F61" s="5">
        <f>AVERAGE(Datos_originales!$H32:$J32)</f>
        <v>4.89</v>
      </c>
      <c r="G61" s="5">
        <f>AVERAGE(Datos_originales!$R32:$T32)</f>
        <v>95.85</v>
      </c>
      <c r="H61" s="4">
        <v>2.88</v>
      </c>
      <c r="I61" s="4">
        <v>0.9</v>
      </c>
      <c r="J61" s="4">
        <v>0.72</v>
      </c>
      <c r="K61" s="4">
        <v>0.8099999999999999</v>
      </c>
      <c r="L61" s="4">
        <v>0.54</v>
      </c>
      <c r="M61" s="4">
        <v>0.81</v>
      </c>
      <c r="N61" s="4">
        <v>2.52</v>
      </c>
      <c r="O61" s="4">
        <v>1.62</v>
      </c>
      <c r="P61" s="4">
        <v>8.19</v>
      </c>
      <c r="Q61" s="4">
        <v>0.0</v>
      </c>
      <c r="R61" s="4">
        <v>0.27</v>
      </c>
      <c r="S61" s="4">
        <v>3.6</v>
      </c>
      <c r="T61" s="4">
        <v>24.3</v>
      </c>
      <c r="U61" s="4">
        <v>10.71</v>
      </c>
      <c r="V61" s="4">
        <v>5.85</v>
      </c>
      <c r="W61" s="4">
        <v>12.69</v>
      </c>
      <c r="X61" s="4">
        <v>1.98</v>
      </c>
      <c r="Y61" s="4">
        <v>1.35</v>
      </c>
      <c r="Z61" s="4">
        <v>1.62</v>
      </c>
      <c r="AA61" s="4">
        <v>3.6</v>
      </c>
      <c r="AB61" s="4">
        <v>2.52</v>
      </c>
      <c r="AC61" s="4">
        <v>8.82</v>
      </c>
      <c r="AD61" s="4">
        <v>0.18</v>
      </c>
      <c r="AE61" s="4">
        <v>0.27</v>
      </c>
      <c r="AF61" s="4">
        <v>5.4</v>
      </c>
      <c r="AG61" s="4">
        <v>59.94</v>
      </c>
      <c r="AH61" s="6">
        <f>Datos_originales!$H32/Datos_originales!$E32</f>
        <v>0.0009251169245</v>
      </c>
      <c r="AI61" s="6">
        <f>Datos_originales!$I32/Datos_originales!$E32</f>
        <v>0.003083723082</v>
      </c>
      <c r="AJ61" s="6">
        <f>Datos_originales!$J32/Datos_originales!$E32</f>
        <v>0.004368607699</v>
      </c>
      <c r="AK61" s="6">
        <f>Datos_originales!$K32/Datos_originales!$E32</f>
        <v>0.001490466156</v>
      </c>
      <c r="AL61" s="6">
        <f>Datos_originales!$L32/Datos_originales!$E32</f>
        <v>0.0009765123092</v>
      </c>
      <c r="AM61" s="6">
        <f>Datos_originales!$M32/Datos_originales!$E32</f>
        <v>0.000668140001</v>
      </c>
      <c r="AN61" s="6">
        <f>Datos_originales!$N32/Datos_originales!$E32</f>
        <v>0.002004420003</v>
      </c>
      <c r="AO61" s="6">
        <f>Datos_originales!$O32/Datos_originales!$E32</f>
        <v>0.01218070617</v>
      </c>
      <c r="AP61" s="6">
        <f>Datos_originales!$P32/Datos_originales!$E32</f>
        <v>0.01099861232</v>
      </c>
      <c r="AQ61" s="6">
        <f>Datos_originales!$Q32/Datos_originales!$E32</f>
        <v>0.001593256926</v>
      </c>
      <c r="AR61" s="6">
        <f>Datos_originales!$R32/Datos_originales!$E32</f>
        <v>0.01320861387</v>
      </c>
      <c r="AS61" s="6">
        <f>Datos_originales!$S32/Datos_originales!$E32</f>
        <v>0.07765842627</v>
      </c>
      <c r="AT61" s="6">
        <f>Datos_originales!$T32/Datos_originales!$E32</f>
        <v>0.07334121396</v>
      </c>
      <c r="AU61" s="6">
        <f>Datos_originales!$U32/Datos_originales!$E32</f>
        <v>0.003237909236</v>
      </c>
      <c r="AV61" s="6">
        <f>Datos_originales!$V32/Datos_originales!$E32</f>
        <v>0.01356838156</v>
      </c>
      <c r="AW61" s="6">
        <f>Datos_originales!$W32/Datos_originales!$E32</f>
        <v>0.03058025389</v>
      </c>
      <c r="AX61" s="6">
        <f>Datos_originales!$X32/Datos_originales!$E32</f>
        <v>0.01012489078</v>
      </c>
      <c r="AY61" s="6">
        <f>Datos_originales!$Y32/Datos_originales!$E32</f>
        <v>0.004882561546</v>
      </c>
      <c r="AZ61" s="6">
        <f>Datos_originales!$Z32/Datos_originales!$E32</f>
        <v>0.009919309246</v>
      </c>
      <c r="BA61" s="6">
        <f>Datos_originales!$AA32/Datos_originales!$E32</f>
        <v>0.01218070617</v>
      </c>
      <c r="BB61" s="6">
        <f>Datos_originales!$AB32/Datos_originales!$E32</f>
        <v>0.06897260626</v>
      </c>
      <c r="BC61" s="6">
        <f>Datos_originales!$AC32/Datos_originales!$E32</f>
        <v>0.07647633243</v>
      </c>
      <c r="BD61" s="6">
        <f>Datos_originales!$AD32/Datos_originales!$E32</f>
        <v>0.002004420003</v>
      </c>
      <c r="BE61" s="6">
        <f>Datos_originales!$AE32/Datos_originales!$E32</f>
        <v>0.01320861387</v>
      </c>
      <c r="BF61" s="6">
        <f>Datos_originales!$AF32/Datos_originales!$E32</f>
        <v>0.08690959552</v>
      </c>
      <c r="BG61" s="6">
        <f>Datos_originales!$AG32/Datos_originales!$E32</f>
        <v>0.07570540165</v>
      </c>
    </row>
    <row r="62" ht="15.75" customHeight="1">
      <c r="A62" s="2">
        <v>20605.0</v>
      </c>
      <c r="B62" s="3" t="s">
        <v>89</v>
      </c>
      <c r="C62" s="4" t="s">
        <v>121</v>
      </c>
      <c r="D62" s="4" t="str">
        <f>IF(Datos_originales!$E62&lt;1000,"Bosque menor a 1000 ha",Datos_originales!$E62)</f>
        <v>Bosque menor a 1000 ha</v>
      </c>
      <c r="E62" s="4">
        <v>367.56</v>
      </c>
      <c r="F62" s="5">
        <f>AVERAGE(Datos_originales!$H155:$J155)</f>
        <v>0.18</v>
      </c>
      <c r="G62" s="5">
        <f>AVERAGE(Datos_originales!$R155:$T155)</f>
        <v>2.1</v>
      </c>
      <c r="H62" s="4">
        <v>0.18</v>
      </c>
      <c r="I62" s="4">
        <v>0.27</v>
      </c>
      <c r="J62" s="4">
        <v>0.81</v>
      </c>
      <c r="K62" s="4">
        <v>0.36</v>
      </c>
      <c r="L62" s="4">
        <v>1.26</v>
      </c>
      <c r="M62" s="4">
        <v>0.09</v>
      </c>
      <c r="N62" s="4">
        <v>0.09</v>
      </c>
      <c r="O62" s="4">
        <v>0.18</v>
      </c>
      <c r="P62" s="4">
        <v>0.81</v>
      </c>
      <c r="Q62" s="4">
        <v>0.0</v>
      </c>
      <c r="R62" s="4">
        <v>0.0</v>
      </c>
      <c r="S62" s="4">
        <v>0.18</v>
      </c>
      <c r="T62" s="4">
        <v>1.53</v>
      </c>
      <c r="U62" s="4">
        <v>3.51</v>
      </c>
      <c r="V62" s="4">
        <v>2.79</v>
      </c>
      <c r="W62" s="4">
        <v>6.48</v>
      </c>
      <c r="X62" s="4">
        <v>0.81</v>
      </c>
      <c r="Y62" s="4">
        <v>1.71</v>
      </c>
      <c r="Z62" s="4">
        <v>0.18</v>
      </c>
      <c r="AA62" s="4">
        <v>0.36</v>
      </c>
      <c r="AB62" s="4">
        <v>1.71</v>
      </c>
      <c r="AC62" s="4">
        <v>0.99</v>
      </c>
      <c r="AD62" s="4">
        <v>0.0</v>
      </c>
      <c r="AE62" s="4">
        <v>0.0</v>
      </c>
      <c r="AF62" s="4">
        <v>0.18</v>
      </c>
      <c r="AG62" s="4">
        <v>1.62</v>
      </c>
      <c r="AH62" s="6">
        <f>Datos_originales!$H155/Datos_originales!$E155</f>
        <v>0.00007518090405</v>
      </c>
      <c r="AI62" s="6">
        <f>Datos_originales!$I155/Datos_originales!$E155</f>
        <v>0</v>
      </c>
      <c r="AJ62" s="6">
        <f>Datos_originales!$J155/Datos_originales!$E155</f>
        <v>0.00003759045203</v>
      </c>
      <c r="AK62" s="6">
        <f>Datos_originales!$K155/Datos_originales!$E155</f>
        <v>0</v>
      </c>
      <c r="AL62" s="6">
        <f>Datos_originales!$L155/Datos_originales!$E155</f>
        <v>0</v>
      </c>
      <c r="AM62" s="6">
        <f>Datos_originales!$M155/Datos_originales!$E155</f>
        <v>0</v>
      </c>
      <c r="AN62" s="6">
        <f>Datos_originales!$N155/Datos_originales!$E155</f>
        <v>0</v>
      </c>
      <c r="AO62" s="6">
        <f>Datos_originales!$O155/Datos_originales!$E155</f>
        <v>0</v>
      </c>
      <c r="AP62" s="6">
        <f>Datos_originales!$P155/Datos_originales!$E155</f>
        <v>0.0001691570341</v>
      </c>
      <c r="AQ62" s="6">
        <f>Datos_originales!$Q155/Datos_originales!$E155</f>
        <v>0.0002631331642</v>
      </c>
      <c r="AR62" s="6">
        <f>Datos_originales!$R155/Datos_originales!$E155</f>
        <v>0.0005638567804</v>
      </c>
      <c r="AS62" s="6">
        <f>Datos_originales!$S155/Datos_originales!$E155</f>
        <v>0.0007142185885</v>
      </c>
      <c r="AT62" s="6">
        <f>Datos_originales!$T155/Datos_originales!$E155</f>
        <v>0.00003759045203</v>
      </c>
      <c r="AU62" s="6">
        <f>Datos_originales!$U155/Datos_originales!$E155</f>
        <v>0.00240578893</v>
      </c>
      <c r="AV62" s="6">
        <f>Datos_originales!$V155/Datos_originales!$E155</f>
        <v>0.003702659524</v>
      </c>
      <c r="AW62" s="6">
        <f>Datos_originales!$W155/Datos_originales!$E155</f>
        <v>0.01637064186</v>
      </c>
      <c r="AX62" s="6">
        <f>Datos_originales!$X155/Datos_originales!$E155</f>
        <v>0.004999530119</v>
      </c>
      <c r="AY62" s="6">
        <f>Datos_originales!$Y155/Datos_originales!$E155</f>
        <v>0.001597594211</v>
      </c>
      <c r="AZ62" s="6">
        <f>Datos_originales!$Z155/Datos_originales!$E155</f>
        <v>0.009078094164</v>
      </c>
      <c r="BA62" s="6">
        <f>Datos_originales!$AA155/Datos_originales!$E155</f>
        <v>0.006164834132</v>
      </c>
      <c r="BB62" s="6">
        <f>Datos_originales!$AB155/Datos_originales!$E155</f>
        <v>0.03037308524</v>
      </c>
      <c r="BC62" s="6">
        <f>Datos_originales!$AC155/Datos_originales!$E155</f>
        <v>0.03135043699</v>
      </c>
      <c r="BD62" s="6">
        <f>Datos_originales!$AD155/Datos_originales!$E155</f>
        <v>0.0005074711023</v>
      </c>
      <c r="BE62" s="6">
        <f>Datos_originales!$AE155/Datos_originales!$E155</f>
        <v>0.001184099239</v>
      </c>
      <c r="BF62" s="6">
        <f>Datos_originales!$AF155/Datos_originales!$E155</f>
        <v>0.006521943426</v>
      </c>
      <c r="BG62" s="6">
        <f>Datos_originales!$AG155/Datos_originales!$E155</f>
        <v>0.00007518090405</v>
      </c>
    </row>
    <row r="63" ht="15.75" customHeight="1">
      <c r="A63" s="2">
        <v>20606.0</v>
      </c>
      <c r="B63" s="3" t="s">
        <v>89</v>
      </c>
      <c r="C63" s="4" t="s">
        <v>122</v>
      </c>
      <c r="D63" s="4">
        <f>IF(Datos_originales!$E63&lt;1000,"Bosque menor a 1000 ha",Datos_originales!$E63)</f>
        <v>21546.36</v>
      </c>
      <c r="E63" s="4">
        <v>21546.36</v>
      </c>
      <c r="F63" s="5">
        <f>AVERAGE(Datos_originales!$H134:$J134)</f>
        <v>0.27</v>
      </c>
      <c r="G63" s="5">
        <f>AVERAGE(Datos_originales!$R134:$T134)</f>
        <v>4.59</v>
      </c>
      <c r="H63" s="4">
        <v>49.95</v>
      </c>
      <c r="I63" s="4">
        <v>80.91</v>
      </c>
      <c r="J63" s="4">
        <v>96.48</v>
      </c>
      <c r="K63" s="4">
        <v>63.54</v>
      </c>
      <c r="L63" s="4">
        <v>70.28999999999999</v>
      </c>
      <c r="M63" s="4">
        <v>21.06</v>
      </c>
      <c r="N63" s="4">
        <v>77.75999999999999</v>
      </c>
      <c r="O63" s="4">
        <v>54.72</v>
      </c>
      <c r="P63" s="4">
        <v>96.84</v>
      </c>
      <c r="Q63" s="4">
        <v>42.75</v>
      </c>
      <c r="R63" s="4">
        <v>24.66</v>
      </c>
      <c r="S63" s="4">
        <v>563.49</v>
      </c>
      <c r="T63" s="4">
        <v>112.23</v>
      </c>
      <c r="U63" s="4">
        <v>70.11</v>
      </c>
      <c r="V63" s="4">
        <v>100.35</v>
      </c>
      <c r="W63" s="4">
        <v>122.04</v>
      </c>
      <c r="X63" s="4">
        <v>71.64</v>
      </c>
      <c r="Y63" s="4">
        <v>74.7</v>
      </c>
      <c r="Z63" s="4">
        <v>25.38</v>
      </c>
      <c r="AA63" s="4">
        <v>82.71</v>
      </c>
      <c r="AB63" s="4">
        <v>57.23999999999999</v>
      </c>
      <c r="AC63" s="4">
        <v>99.0</v>
      </c>
      <c r="AD63" s="4">
        <v>45.54000000000001</v>
      </c>
      <c r="AE63" s="4">
        <v>26.01</v>
      </c>
      <c r="AF63" s="4">
        <v>597.69</v>
      </c>
      <c r="AG63" s="4">
        <v>136.08</v>
      </c>
      <c r="AH63" s="6">
        <f>Datos_originales!$H134/Datos_originales!$E134</f>
        <v>0.0004994648591</v>
      </c>
      <c r="AI63" s="6">
        <f>Datos_originales!$I134/Datos_originales!$E134</f>
        <v>0.00007135212273</v>
      </c>
      <c r="AJ63" s="6">
        <f>Datos_originales!$J134/Datos_originales!$E134</f>
        <v>0.00007135212273</v>
      </c>
      <c r="AK63" s="6">
        <f>Datos_originales!$K134/Datos_originales!$E134</f>
        <v>0</v>
      </c>
      <c r="AL63" s="6">
        <f>Datos_originales!$L134/Datos_originales!$E134</f>
        <v>0.00007135212273</v>
      </c>
      <c r="AM63" s="6">
        <f>Datos_originales!$M134/Datos_originales!$E134</f>
        <v>0.0002140563682</v>
      </c>
      <c r="AN63" s="6">
        <f>Datos_originales!$N134/Datos_originales!$E134</f>
        <v>0</v>
      </c>
      <c r="AO63" s="6">
        <f>Datos_originales!$O134/Datos_originales!$E134</f>
        <v>0</v>
      </c>
      <c r="AP63" s="6">
        <f>Datos_originales!$P134/Datos_originales!$E134</f>
        <v>0.002283267927</v>
      </c>
      <c r="AQ63" s="6">
        <f>Datos_originales!$Q134/Datos_originales!$E134</f>
        <v>0.002497324295</v>
      </c>
      <c r="AR63" s="6">
        <f>Datos_originales!$R134/Datos_originales!$E134</f>
        <v>0.007563325009</v>
      </c>
      <c r="AS63" s="6">
        <f>Datos_originales!$S134/Datos_originales!$E134</f>
        <v>0.003282197645</v>
      </c>
      <c r="AT63" s="6">
        <f>Datos_originales!$T134/Datos_originales!$E134</f>
        <v>0.00007135212273</v>
      </c>
      <c r="AU63" s="6">
        <f>Datos_originales!$U134/Datos_originales!$E134</f>
        <v>0.0005708169818</v>
      </c>
      <c r="AV63" s="6">
        <f>Datos_originales!$V134/Datos_originales!$E134</f>
        <v>0.0009275775954</v>
      </c>
      <c r="AW63" s="6">
        <f>Datos_originales!$W134/Datos_originales!$E134</f>
        <v>0.02404566536</v>
      </c>
      <c r="AX63" s="6">
        <f>Datos_originales!$X134/Datos_originales!$E134</f>
        <v>0.001926507314</v>
      </c>
      <c r="AY63" s="6">
        <f>Datos_originales!$Y134/Datos_originales!$E134</f>
        <v>0.003282197645</v>
      </c>
      <c r="AZ63" s="6">
        <f>Datos_originales!$Z134/Datos_originales!$E134</f>
        <v>0.00549411345</v>
      </c>
      <c r="BA63" s="6">
        <f>Datos_originales!$AA134/Datos_originales!$E134</f>
        <v>0.004566535854</v>
      </c>
      <c r="BB63" s="6">
        <f>Datos_originales!$AB134/Datos_originales!$E134</f>
        <v>0.006136282554</v>
      </c>
      <c r="BC63" s="6">
        <f>Datos_originales!$AC134/Datos_originales!$E134</f>
        <v>0.006064930432</v>
      </c>
      <c r="BD63" s="6">
        <f>Datos_originales!$AD134/Datos_originales!$E134</f>
        <v>0.002640028541</v>
      </c>
      <c r="BE63" s="6">
        <f>Datos_originales!$AE134/Datos_originales!$E134</f>
        <v>0.0078487335</v>
      </c>
      <c r="BF63" s="6">
        <f>Datos_originales!$AF134/Datos_originales!$E134</f>
        <v>0.005280057082</v>
      </c>
      <c r="BG63" s="6">
        <f>Datos_originales!$AG134/Datos_originales!$E134</f>
        <v>0.0001427042455</v>
      </c>
    </row>
    <row r="64" ht="15.75" customHeight="1">
      <c r="A64" s="2">
        <v>20607.0</v>
      </c>
      <c r="B64" s="3" t="s">
        <v>89</v>
      </c>
      <c r="C64" s="4" t="s">
        <v>123</v>
      </c>
      <c r="D64" s="4">
        <f>IF(Datos_originales!$E64&lt;1000,"Bosque menor a 1000 ha",Datos_originales!$E64)</f>
        <v>137183.94</v>
      </c>
      <c r="E64" s="4">
        <v>137183.94</v>
      </c>
      <c r="F64" s="5">
        <f>AVERAGE(Datos_originales!$H95:$J95)</f>
        <v>0</v>
      </c>
      <c r="G64" s="5">
        <f>AVERAGE(Datos_originales!$R95:$T95)</f>
        <v>0</v>
      </c>
      <c r="H64" s="4">
        <v>317.34</v>
      </c>
      <c r="I64" s="4">
        <v>345.6</v>
      </c>
      <c r="J64" s="4">
        <v>478.8</v>
      </c>
      <c r="K64" s="4">
        <v>325.08</v>
      </c>
      <c r="L64" s="4">
        <v>304.74</v>
      </c>
      <c r="M64" s="4">
        <v>145.44</v>
      </c>
      <c r="N64" s="4">
        <v>615.0600000000001</v>
      </c>
      <c r="O64" s="4">
        <v>561.24</v>
      </c>
      <c r="P64" s="4">
        <v>1147.41</v>
      </c>
      <c r="Q64" s="4">
        <v>603.09</v>
      </c>
      <c r="R64" s="4">
        <v>130.14</v>
      </c>
      <c r="S64" s="4">
        <v>2861.64</v>
      </c>
      <c r="T64" s="4">
        <v>1140.93</v>
      </c>
      <c r="U64" s="4">
        <v>388.8</v>
      </c>
      <c r="V64" s="4">
        <v>410.58</v>
      </c>
      <c r="W64" s="4">
        <v>581.31</v>
      </c>
      <c r="X64" s="4">
        <v>359.46</v>
      </c>
      <c r="Y64" s="4">
        <v>336.33</v>
      </c>
      <c r="Z64" s="4">
        <v>179.37</v>
      </c>
      <c r="AA64" s="4">
        <v>687.96</v>
      </c>
      <c r="AB64" s="4">
        <v>633.96</v>
      </c>
      <c r="AC64" s="4">
        <v>1225.53</v>
      </c>
      <c r="AD64" s="4">
        <v>732.3299999999999</v>
      </c>
      <c r="AE64" s="4">
        <v>150.48</v>
      </c>
      <c r="AF64" s="4">
        <v>2974.68</v>
      </c>
      <c r="AG64" s="4">
        <v>2165.04</v>
      </c>
      <c r="AH64" s="6">
        <f>Datos_originales!$H95/Datos_originales!$E95</f>
        <v>0</v>
      </c>
      <c r="AI64" s="6">
        <f>Datos_originales!$I95/Datos_originales!$E95</f>
        <v>0</v>
      </c>
      <c r="AJ64" s="6">
        <f>Datos_originales!$J95/Datos_originales!$E95</f>
        <v>0</v>
      </c>
      <c r="AK64" s="6">
        <f>Datos_originales!$K95/Datos_originales!$E95</f>
        <v>0</v>
      </c>
      <c r="AL64" s="6">
        <f>Datos_originales!$L95/Datos_originales!$E95</f>
        <v>0</v>
      </c>
      <c r="AM64" s="6">
        <f>Datos_originales!$M95/Datos_originales!$E95</f>
        <v>0</v>
      </c>
      <c r="AN64" s="6">
        <f>Datos_originales!$N95/Datos_originales!$E95</f>
        <v>0</v>
      </c>
      <c r="AO64" s="6">
        <f>Datos_originales!$O95/Datos_originales!$E95</f>
        <v>0</v>
      </c>
      <c r="AP64" s="6">
        <f>Datos_originales!$P95/Datos_originales!$E95</f>
        <v>0</v>
      </c>
      <c r="AQ64" s="6">
        <f>Datos_originales!$Q95/Datos_originales!$E95</f>
        <v>0</v>
      </c>
      <c r="AR64" s="6">
        <f>Datos_originales!$R95/Datos_originales!$E95</f>
        <v>0</v>
      </c>
      <c r="AS64" s="6">
        <f>Datos_originales!$S95/Datos_originales!$E95</f>
        <v>0</v>
      </c>
      <c r="AT64" s="6">
        <f>Datos_originales!$T95/Datos_originales!$E95</f>
        <v>0</v>
      </c>
      <c r="AU64" s="6">
        <f>Datos_originales!$U95/Datos_originales!$E95</f>
        <v>0</v>
      </c>
      <c r="AV64" s="6">
        <f>Datos_originales!$V95/Datos_originales!$E95</f>
        <v>0</v>
      </c>
      <c r="AW64" s="6">
        <f>Datos_originales!$W95/Datos_originales!$E95</f>
        <v>0.01851851852</v>
      </c>
      <c r="AX64" s="6">
        <f>Datos_originales!$X95/Datos_originales!$E95</f>
        <v>0</v>
      </c>
      <c r="AY64" s="6">
        <f>Datos_originales!$Y95/Datos_originales!$E95</f>
        <v>0</v>
      </c>
      <c r="AZ64" s="6">
        <f>Datos_originales!$Z95/Datos_originales!$E95</f>
        <v>0</v>
      </c>
      <c r="BA64" s="6">
        <f>Datos_originales!$AA95/Datos_originales!$E95</f>
        <v>0</v>
      </c>
      <c r="BB64" s="6">
        <f>Datos_originales!$AB95/Datos_originales!$E95</f>
        <v>0</v>
      </c>
      <c r="BC64" s="6">
        <f>Datos_originales!$AC95/Datos_originales!$E95</f>
        <v>0</v>
      </c>
      <c r="BD64" s="6">
        <f>Datos_originales!$AD95/Datos_originales!$E95</f>
        <v>0</v>
      </c>
      <c r="BE64" s="6">
        <f>Datos_originales!$AE95/Datos_originales!$E95</f>
        <v>0</v>
      </c>
      <c r="BF64" s="6">
        <f>Datos_originales!$AF95/Datos_originales!$E95</f>
        <v>0</v>
      </c>
      <c r="BG64" s="6">
        <f>Datos_originales!$AG95/Datos_originales!$E95</f>
        <v>0</v>
      </c>
    </row>
    <row r="65" ht="15.75" customHeight="1">
      <c r="A65" s="2">
        <v>20608.0</v>
      </c>
      <c r="B65" s="3" t="s">
        <v>89</v>
      </c>
      <c r="C65" s="4" t="s">
        <v>124</v>
      </c>
      <c r="D65" s="4">
        <f>IF(Datos_originales!$E65&lt;1000,"Bosque menor a 1000 ha",Datos_originales!$E65)</f>
        <v>122949.99</v>
      </c>
      <c r="E65" s="4">
        <v>122949.99</v>
      </c>
      <c r="F65" s="5">
        <f>AVERAGE(Datos_originales!$H105:$J105)</f>
        <v>841.44</v>
      </c>
      <c r="G65" s="5">
        <f>AVERAGE(Datos_originales!$R105:$T105)</f>
        <v>1654.11</v>
      </c>
      <c r="H65" s="4">
        <v>584.8199999999999</v>
      </c>
      <c r="I65" s="4">
        <v>603.45</v>
      </c>
      <c r="J65" s="4">
        <v>872.82</v>
      </c>
      <c r="K65" s="4">
        <v>607.59</v>
      </c>
      <c r="L65" s="4">
        <v>693.63</v>
      </c>
      <c r="M65" s="4">
        <v>550.53</v>
      </c>
      <c r="N65" s="4">
        <v>644.6700000000001</v>
      </c>
      <c r="O65" s="4">
        <v>646.8299999999999</v>
      </c>
      <c r="P65" s="4">
        <v>787.95</v>
      </c>
      <c r="Q65" s="4">
        <v>954.7199999999999</v>
      </c>
      <c r="R65" s="4">
        <v>802.26</v>
      </c>
      <c r="S65" s="4">
        <v>3733.56</v>
      </c>
      <c r="T65" s="4">
        <v>1133.64</v>
      </c>
      <c r="U65" s="4">
        <v>733.5</v>
      </c>
      <c r="V65" s="4">
        <v>740.0699999999999</v>
      </c>
      <c r="W65" s="4">
        <v>1042.29</v>
      </c>
      <c r="X65" s="4">
        <v>712.26</v>
      </c>
      <c r="Y65" s="4">
        <v>777.4200000000001</v>
      </c>
      <c r="Z65" s="4">
        <v>603.0</v>
      </c>
      <c r="AA65" s="4">
        <v>721.89</v>
      </c>
      <c r="AB65" s="4">
        <v>777.96</v>
      </c>
      <c r="AC65" s="4">
        <v>844.11</v>
      </c>
      <c r="AD65" s="4">
        <v>1078.38</v>
      </c>
      <c r="AE65" s="4">
        <v>813.78</v>
      </c>
      <c r="AF65" s="4">
        <v>3823.29</v>
      </c>
      <c r="AG65" s="4">
        <v>1659.06</v>
      </c>
      <c r="AH65" s="6">
        <f>Datos_originales!$H105/Datos_originales!$E105</f>
        <v>0.001916778779</v>
      </c>
      <c r="AI65" s="6">
        <f>Datos_originales!$I105/Datos_originales!$E105</f>
        <v>0.002302716512</v>
      </c>
      <c r="AJ65" s="6">
        <f>Datos_originales!$J105/Datos_originales!$E105</f>
        <v>0.005309361708</v>
      </c>
      <c r="AK65" s="6">
        <f>Datos_originales!$K105/Datos_originales!$E105</f>
        <v>0.001887221928</v>
      </c>
      <c r="AL65" s="6">
        <f>Datos_originales!$L105/Datos_originales!$E105</f>
        <v>0.007345047359</v>
      </c>
      <c r="AM65" s="6">
        <f>Datos_originales!$M105/Datos_originales!$E105</f>
        <v>0.00381555166</v>
      </c>
      <c r="AN65" s="6">
        <f>Datos_originales!$N105/Datos_originales!$E105</f>
        <v>0.004135920747</v>
      </c>
      <c r="AO65" s="6">
        <f>Datos_originales!$O105/Datos_originales!$E105</f>
        <v>0.003034503377</v>
      </c>
      <c r="AP65" s="6">
        <f>Datos_originales!$P105/Datos_originales!$E105</f>
        <v>0.004611887969</v>
      </c>
      <c r="AQ65" s="6">
        <f>Datos_originales!$Q105/Datos_originales!$E105</f>
        <v>0.001914060907</v>
      </c>
      <c r="AR65" s="6">
        <f>Datos_originales!$R105/Datos_originales!$E105</f>
        <v>0.0009913435797</v>
      </c>
      <c r="AS65" s="6">
        <f>Datos_originales!$S105/Datos_originales!$E105</f>
        <v>0.01435375814</v>
      </c>
      <c r="AT65" s="6">
        <f>Datos_originales!$T105/Datos_originales!$E105</f>
        <v>0.003386807452</v>
      </c>
      <c r="AU65" s="6">
        <f>Datos_originales!$U105/Datos_originales!$E105</f>
        <v>0.008272520962</v>
      </c>
      <c r="AV65" s="6">
        <f>Datos_originales!$V105/Datos_originales!$E105</f>
        <v>0.006610882357</v>
      </c>
      <c r="AW65" s="6">
        <f>Datos_originales!$W105/Datos_originales!$E105</f>
        <v>0.0147400356</v>
      </c>
      <c r="AX65" s="6">
        <f>Datos_originales!$X105/Datos_originales!$E105</f>
        <v>0.007988843138</v>
      </c>
      <c r="AY65" s="6">
        <f>Datos_originales!$Y105/Datos_originales!$E105</f>
        <v>0.009617187819</v>
      </c>
      <c r="AZ65" s="6">
        <f>Datos_originales!$Z105/Datos_originales!$E105</f>
        <v>0.00552441328</v>
      </c>
      <c r="BA65" s="6">
        <f>Datos_originales!$AA105/Datos_originales!$E105</f>
        <v>0.005652492968</v>
      </c>
      <c r="BB65" s="6">
        <f>Datos_originales!$AB105/Datos_originales!$E105</f>
        <v>0.004631932271</v>
      </c>
      <c r="BC65" s="6">
        <f>Datos_originales!$AC105/Datos_originales!$E105</f>
        <v>0.005956554826</v>
      </c>
      <c r="BD65" s="6">
        <f>Datos_originales!$AD105/Datos_originales!$E105</f>
        <v>0.004454930898</v>
      </c>
      <c r="BE65" s="6">
        <f>Datos_originales!$AE105/Datos_originales!$E105</f>
        <v>0.002793292293</v>
      </c>
      <c r="BF65" s="6">
        <f>Datos_originales!$AF105/Datos_originales!$E105</f>
        <v>0.01537126123</v>
      </c>
      <c r="BG65" s="6">
        <f>Datos_originales!$AG105/Datos_originales!$E105</f>
        <v>0.004516083004</v>
      </c>
    </row>
    <row r="66" ht="15.75" customHeight="1">
      <c r="A66" s="2">
        <v>20701.0</v>
      </c>
      <c r="B66" s="3" t="s">
        <v>89</v>
      </c>
      <c r="C66" s="4" t="s">
        <v>125</v>
      </c>
      <c r="D66" s="4">
        <f>IF(Datos_originales!$E66&lt;1000,"Bosque menor a 1000 ha",Datos_originales!$E66)</f>
        <v>1253903.31</v>
      </c>
      <c r="E66" s="4">
        <v>1253903.31</v>
      </c>
      <c r="F66" s="5">
        <f>AVERAGE(Datos_originales!$H161:$J161)</f>
        <v>0</v>
      </c>
      <c r="G66" s="5">
        <f>AVERAGE(Datos_originales!$R161:$T161)</f>
        <v>0</v>
      </c>
      <c r="H66" s="4">
        <v>281.52</v>
      </c>
      <c r="I66" s="4">
        <v>365.58</v>
      </c>
      <c r="J66" s="4">
        <v>513.36</v>
      </c>
      <c r="K66" s="4">
        <v>428.76</v>
      </c>
      <c r="L66" s="4">
        <v>567.54</v>
      </c>
      <c r="M66" s="4">
        <v>324.72</v>
      </c>
      <c r="N66" s="4">
        <v>440.55</v>
      </c>
      <c r="O66" s="4">
        <v>489.6899999999999</v>
      </c>
      <c r="P66" s="4">
        <v>1187.01</v>
      </c>
      <c r="Q66" s="4">
        <v>803.52</v>
      </c>
      <c r="R66" s="4">
        <v>440.82</v>
      </c>
      <c r="S66" s="4">
        <v>840.87</v>
      </c>
      <c r="T66" s="4">
        <v>3662.01</v>
      </c>
      <c r="U66" s="4">
        <v>2612.7</v>
      </c>
      <c r="V66" s="4">
        <v>2975.4</v>
      </c>
      <c r="W66" s="4">
        <v>5211.18</v>
      </c>
      <c r="X66" s="4">
        <v>3059.28</v>
      </c>
      <c r="Y66" s="4">
        <v>2124.81</v>
      </c>
      <c r="Z66" s="4">
        <v>1600.38</v>
      </c>
      <c r="AA66" s="4">
        <v>2030.76</v>
      </c>
      <c r="AB66" s="4">
        <v>2216.16</v>
      </c>
      <c r="AC66" s="4">
        <v>2698.56</v>
      </c>
      <c r="AD66" s="4">
        <v>5406.48</v>
      </c>
      <c r="AE66" s="4">
        <v>1316.7</v>
      </c>
      <c r="AF66" s="4">
        <v>1349.28</v>
      </c>
      <c r="AG66" s="4">
        <v>5048.73</v>
      </c>
      <c r="AH66" s="6">
        <f>Datos_originales!$H161/Datos_originales!$E161</f>
        <v>0</v>
      </c>
      <c r="AI66" s="6">
        <f>Datos_originales!$I161/Datos_originales!$E161</f>
        <v>0</v>
      </c>
      <c r="AJ66" s="6">
        <f>Datos_originales!$J161/Datos_originales!$E161</f>
        <v>0</v>
      </c>
      <c r="AK66" s="6">
        <f>Datos_originales!$K161/Datos_originales!$E161</f>
        <v>0</v>
      </c>
      <c r="AL66" s="6">
        <f>Datos_originales!$L161/Datos_originales!$E161</f>
        <v>0</v>
      </c>
      <c r="AM66" s="6">
        <f>Datos_originales!$M161/Datos_originales!$E161</f>
        <v>0</v>
      </c>
      <c r="AN66" s="6">
        <f>Datos_originales!$N161/Datos_originales!$E161</f>
        <v>0</v>
      </c>
      <c r="AO66" s="6">
        <f>Datos_originales!$O161/Datos_originales!$E161</f>
        <v>0</v>
      </c>
      <c r="AP66" s="6">
        <f>Datos_originales!$P161/Datos_originales!$E161</f>
        <v>0</v>
      </c>
      <c r="AQ66" s="6">
        <f>Datos_originales!$Q161/Datos_originales!$E161</f>
        <v>0</v>
      </c>
      <c r="AR66" s="6">
        <f>Datos_originales!$R161/Datos_originales!$E161</f>
        <v>0</v>
      </c>
      <c r="AS66" s="6">
        <f>Datos_originales!$S161/Datos_originales!$E161</f>
        <v>0</v>
      </c>
      <c r="AT66" s="6">
        <f>Datos_originales!$T161/Datos_originales!$E161</f>
        <v>0</v>
      </c>
      <c r="AU66" s="6">
        <f>Datos_originales!$U161/Datos_originales!$E161</f>
        <v>0</v>
      </c>
      <c r="AV66" s="6">
        <f>Datos_originales!$V161/Datos_originales!$E161</f>
        <v>0</v>
      </c>
      <c r="AW66" s="6">
        <f>Datos_originales!$W161/Datos_originales!$E161</f>
        <v>0</v>
      </c>
      <c r="AX66" s="6">
        <f>Datos_originales!$X161/Datos_originales!$E161</f>
        <v>0</v>
      </c>
      <c r="AY66" s="6">
        <f>Datos_originales!$Y161/Datos_originales!$E161</f>
        <v>0</v>
      </c>
      <c r="AZ66" s="6">
        <f>Datos_originales!$Z161/Datos_originales!$E161</f>
        <v>0</v>
      </c>
      <c r="BA66" s="6">
        <f>Datos_originales!$AA161/Datos_originales!$E161</f>
        <v>0</v>
      </c>
      <c r="BB66" s="6">
        <f>Datos_originales!$AB161/Datos_originales!$E161</f>
        <v>0</v>
      </c>
      <c r="BC66" s="6">
        <f>Datos_originales!$AC161/Datos_originales!$E161</f>
        <v>0</v>
      </c>
      <c r="BD66" s="6">
        <f>Datos_originales!$AD161/Datos_originales!$E161</f>
        <v>0</v>
      </c>
      <c r="BE66" s="6">
        <f>Datos_originales!$AE161/Datos_originales!$E161</f>
        <v>0</v>
      </c>
      <c r="BF66" s="6">
        <f>Datos_originales!$AF161/Datos_originales!$E161</f>
        <v>0</v>
      </c>
      <c r="BG66" s="6">
        <f>Datos_originales!$AG161/Datos_originales!$E161</f>
        <v>0</v>
      </c>
    </row>
    <row r="67" ht="15.75" customHeight="1">
      <c r="A67" s="2">
        <v>20702.0</v>
      </c>
      <c r="B67" s="3" t="s">
        <v>89</v>
      </c>
      <c r="C67" s="4" t="s">
        <v>126</v>
      </c>
      <c r="D67" s="4">
        <f>IF(Datos_originales!$E67&lt;1000,"Bosque menor a 1000 ha",Datos_originales!$E67)</f>
        <v>56334.15</v>
      </c>
      <c r="E67" s="4">
        <v>56334.15</v>
      </c>
      <c r="F67" s="5">
        <f>AVERAGE(Datos_originales!$H196:$J196)</f>
        <v>0</v>
      </c>
      <c r="G67" s="5">
        <f>AVERAGE(Datos_originales!$R196:$T196)</f>
        <v>0.03</v>
      </c>
      <c r="H67" s="4">
        <v>0.72</v>
      </c>
      <c r="I67" s="4">
        <v>0.8999999999999999</v>
      </c>
      <c r="J67" s="4">
        <v>0.72</v>
      </c>
      <c r="K67" s="4">
        <v>2.25</v>
      </c>
      <c r="L67" s="4">
        <v>0.36</v>
      </c>
      <c r="M67" s="4">
        <v>0.36</v>
      </c>
      <c r="N67" s="4">
        <v>1.62</v>
      </c>
      <c r="O67" s="4">
        <v>0.63</v>
      </c>
      <c r="P67" s="4">
        <v>1.98</v>
      </c>
      <c r="Q67" s="4">
        <v>0.36</v>
      </c>
      <c r="R67" s="4">
        <v>12.06</v>
      </c>
      <c r="S67" s="4">
        <v>62.1</v>
      </c>
      <c r="T67" s="4">
        <v>83.16</v>
      </c>
      <c r="U67" s="4">
        <v>331.65</v>
      </c>
      <c r="V67" s="4">
        <v>457.47</v>
      </c>
      <c r="W67" s="4">
        <v>302.67</v>
      </c>
      <c r="X67" s="4">
        <v>271.71</v>
      </c>
      <c r="Y67" s="4">
        <v>176.58</v>
      </c>
      <c r="Z67" s="4">
        <v>179.1</v>
      </c>
      <c r="AA67" s="4">
        <v>241.11</v>
      </c>
      <c r="AB67" s="4">
        <v>285.75</v>
      </c>
      <c r="AC67" s="4">
        <v>167.49</v>
      </c>
      <c r="AD67" s="4">
        <v>298.62</v>
      </c>
      <c r="AE67" s="4">
        <v>118.8</v>
      </c>
      <c r="AF67" s="4">
        <v>79.56</v>
      </c>
      <c r="AG67" s="4">
        <v>90.63000000000001</v>
      </c>
      <c r="AH67" s="6">
        <f>Datos_originales!$H196/Datos_originales!$E196</f>
        <v>0</v>
      </c>
      <c r="AI67" s="6">
        <f>Datos_originales!$I196/Datos_originales!$E196</f>
        <v>0</v>
      </c>
      <c r="AJ67" s="6">
        <f>Datos_originales!$J196/Datos_originales!$E196</f>
        <v>0</v>
      </c>
      <c r="AK67" s="6">
        <f>Datos_originales!$K196/Datos_originales!$E196</f>
        <v>0.02083333333</v>
      </c>
      <c r="AL67" s="6">
        <f>Datos_originales!$L196/Datos_originales!$E196</f>
        <v>0</v>
      </c>
      <c r="AM67" s="6">
        <f>Datos_originales!$M196/Datos_originales!$E196</f>
        <v>0</v>
      </c>
      <c r="AN67" s="6">
        <f>Datos_originales!$N196/Datos_originales!$E196</f>
        <v>0</v>
      </c>
      <c r="AO67" s="6">
        <f>Datos_originales!$O196/Datos_originales!$E196</f>
        <v>0</v>
      </c>
      <c r="AP67" s="6">
        <f>Datos_originales!$P196/Datos_originales!$E196</f>
        <v>0.04166666667</v>
      </c>
      <c r="AQ67" s="6">
        <f>Datos_originales!$Q196/Datos_originales!$E196</f>
        <v>0</v>
      </c>
      <c r="AR67" s="6">
        <f>Datos_originales!$R196/Datos_originales!$E196</f>
        <v>0</v>
      </c>
      <c r="AS67" s="6">
        <f>Datos_originales!$S196/Datos_originales!$E196</f>
        <v>0</v>
      </c>
      <c r="AT67" s="6">
        <f>Datos_originales!$T196/Datos_originales!$E196</f>
        <v>0.02083333333</v>
      </c>
      <c r="AU67" s="6">
        <f>Datos_originales!$U196/Datos_originales!$E196</f>
        <v>0.02083333333</v>
      </c>
      <c r="AV67" s="6">
        <f>Datos_originales!$V196/Datos_originales!$E196</f>
        <v>0</v>
      </c>
      <c r="AW67" s="6">
        <f>Datos_originales!$W196/Datos_originales!$E196</f>
        <v>0.02083333333</v>
      </c>
      <c r="AX67" s="6">
        <f>Datos_originales!$X196/Datos_originales!$E196</f>
        <v>0.02083333333</v>
      </c>
      <c r="AY67" s="6">
        <f>Datos_originales!$Y196/Datos_originales!$E196</f>
        <v>0</v>
      </c>
      <c r="AZ67" s="6">
        <f>Datos_originales!$Z196/Datos_originales!$E196</f>
        <v>0</v>
      </c>
      <c r="BA67" s="6">
        <f>Datos_originales!$AA196/Datos_originales!$E196</f>
        <v>0</v>
      </c>
      <c r="BB67" s="6">
        <f>Datos_originales!$AB196/Datos_originales!$E196</f>
        <v>0.02083333333</v>
      </c>
      <c r="BC67" s="6">
        <f>Datos_originales!$AC196/Datos_originales!$E196</f>
        <v>0.08333333333</v>
      </c>
      <c r="BD67" s="6">
        <f>Datos_originales!$AD196/Datos_originales!$E196</f>
        <v>0</v>
      </c>
      <c r="BE67" s="6">
        <f>Datos_originales!$AE196/Datos_originales!$E196</f>
        <v>0</v>
      </c>
      <c r="BF67" s="6">
        <f>Datos_originales!$AF196/Datos_originales!$E196</f>
        <v>0</v>
      </c>
      <c r="BG67" s="6">
        <f>Datos_originales!$AG196/Datos_originales!$E196</f>
        <v>0.7083333333</v>
      </c>
    </row>
    <row r="68" ht="15.75" customHeight="1">
      <c r="A68" s="2">
        <v>20801.0</v>
      </c>
      <c r="B68" s="3" t="s">
        <v>89</v>
      </c>
      <c r="C68" s="4" t="s">
        <v>127</v>
      </c>
      <c r="D68" s="4" t="str">
        <f>IF(Datos_originales!$E68&lt;1000,"Bosque menor a 1000 ha",Datos_originales!$E68)</f>
        <v>Bosque menor a 1000 ha</v>
      </c>
      <c r="E68" s="4">
        <v>0.0</v>
      </c>
      <c r="F68" s="5">
        <f>AVERAGE(Datos_originales!$H249:$J249)</f>
        <v>21.21</v>
      </c>
      <c r="G68" s="5">
        <f>AVERAGE(Datos_originales!$R249:$T249)</f>
        <v>148.68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0.0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6">
        <v>0.0</v>
      </c>
      <c r="AV68" s="6">
        <v>0.0</v>
      </c>
      <c r="AW68" s="6">
        <v>0.0</v>
      </c>
      <c r="AX68" s="6">
        <v>0.0</v>
      </c>
      <c r="AY68" s="6">
        <v>0.0</v>
      </c>
      <c r="AZ68" s="6">
        <v>0.0</v>
      </c>
      <c r="BA68" s="6">
        <v>0.0</v>
      </c>
      <c r="BB68" s="6">
        <v>0.0</v>
      </c>
      <c r="BC68" s="6">
        <v>0.0</v>
      </c>
      <c r="BD68" s="6">
        <v>0.0</v>
      </c>
      <c r="BE68" s="6">
        <v>0.0</v>
      </c>
      <c r="BF68" s="6">
        <v>0.0</v>
      </c>
      <c r="BG68" s="6">
        <v>0.0</v>
      </c>
    </row>
    <row r="69" ht="15.75" customHeight="1">
      <c r="A69" s="2">
        <v>20802.0</v>
      </c>
      <c r="B69" s="3" t="s">
        <v>89</v>
      </c>
      <c r="C69" s="4" t="s">
        <v>128</v>
      </c>
      <c r="D69" s="4" t="str">
        <f>IF(Datos_originales!$E69&lt;1000,"Bosque menor a 1000 ha",Datos_originales!$E69)</f>
        <v>Bosque menor a 1000 ha</v>
      </c>
      <c r="E69" s="4">
        <v>0.0</v>
      </c>
      <c r="F69" s="5">
        <f>AVERAGE(Datos_originales!$H250:$J250)</f>
        <v>0.09</v>
      </c>
      <c r="G69" s="5">
        <f>AVERAGE(Datos_originales!$R250:$T250)</f>
        <v>0.48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  <c r="AG69" s="4">
        <v>0.0</v>
      </c>
      <c r="AH69" s="6">
        <v>0.0</v>
      </c>
      <c r="AI69" s="6">
        <v>0.0</v>
      </c>
      <c r="AJ69" s="6">
        <v>0.0</v>
      </c>
      <c r="AK69" s="6">
        <v>0.0</v>
      </c>
      <c r="AL69" s="6">
        <v>0.0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6">
        <v>0.0</v>
      </c>
      <c r="AT69" s="6">
        <v>0.0</v>
      </c>
      <c r="AU69" s="6">
        <v>0.0</v>
      </c>
      <c r="AV69" s="6">
        <v>0.0</v>
      </c>
      <c r="AW69" s="6">
        <v>0.0</v>
      </c>
      <c r="AX69" s="6">
        <v>0.0</v>
      </c>
      <c r="AY69" s="6">
        <v>0.0</v>
      </c>
      <c r="AZ69" s="6">
        <v>0.0</v>
      </c>
      <c r="BA69" s="6">
        <v>0.0</v>
      </c>
      <c r="BB69" s="6">
        <v>0.0</v>
      </c>
      <c r="BC69" s="6">
        <v>0.0</v>
      </c>
      <c r="BD69" s="6">
        <v>0.0</v>
      </c>
      <c r="BE69" s="6">
        <v>0.0</v>
      </c>
      <c r="BF69" s="6">
        <v>0.0</v>
      </c>
      <c r="BG69" s="6">
        <v>0.0</v>
      </c>
    </row>
    <row r="70" ht="15.75" customHeight="1">
      <c r="A70" s="2">
        <v>20803.0</v>
      </c>
      <c r="B70" s="3" t="s">
        <v>89</v>
      </c>
      <c r="C70" s="4" t="s">
        <v>129</v>
      </c>
      <c r="D70" s="4" t="str">
        <f>IF(Datos_originales!$E70&lt;1000,"Bosque menor a 1000 ha",Datos_originales!$E70)</f>
        <v>Bosque menor a 1000 ha</v>
      </c>
      <c r="E70" s="4">
        <v>0.0</v>
      </c>
      <c r="F70" s="5">
        <f>AVERAGE(Datos_originales!$H251:$J251)</f>
        <v>42.9</v>
      </c>
      <c r="G70" s="5">
        <f>AVERAGE(Datos_originales!$R251:$T251)</f>
        <v>200.01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0.0</v>
      </c>
      <c r="AF70" s="4">
        <v>0.0</v>
      </c>
      <c r="AG70" s="4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>
        <v>0.0</v>
      </c>
      <c r="AS70" s="6">
        <v>0.0</v>
      </c>
      <c r="AT70" s="6">
        <v>0.0</v>
      </c>
      <c r="AU70" s="6">
        <v>0.0</v>
      </c>
      <c r="AV70" s="6">
        <v>0.0</v>
      </c>
      <c r="AW70" s="6">
        <v>0.0</v>
      </c>
      <c r="AX70" s="6">
        <v>0.0</v>
      </c>
      <c r="AY70" s="6">
        <v>0.0</v>
      </c>
      <c r="AZ70" s="6">
        <v>0.0</v>
      </c>
      <c r="BA70" s="6">
        <v>0.0</v>
      </c>
      <c r="BB70" s="6">
        <v>0.0</v>
      </c>
      <c r="BC70" s="6">
        <v>0.0</v>
      </c>
      <c r="BD70" s="6">
        <v>0.0</v>
      </c>
      <c r="BE70" s="6">
        <v>0.0</v>
      </c>
      <c r="BF70" s="6">
        <v>0.0</v>
      </c>
      <c r="BG70" s="6">
        <v>0.0</v>
      </c>
    </row>
    <row r="71" ht="15.75" customHeight="1">
      <c r="A71" s="2">
        <v>20804.0</v>
      </c>
      <c r="B71" s="3" t="s">
        <v>89</v>
      </c>
      <c r="C71" s="4" t="s">
        <v>130</v>
      </c>
      <c r="D71" s="4" t="str">
        <f>IF(Datos_originales!$E71&lt;1000,"Bosque menor a 1000 ha",Datos_originales!$E71)</f>
        <v>Bosque menor a 1000 ha</v>
      </c>
      <c r="E71" s="4">
        <v>0.0</v>
      </c>
      <c r="F71" s="5">
        <f>AVERAGE(Datos_originales!$H252:$J252)</f>
        <v>2.22</v>
      </c>
      <c r="G71" s="5">
        <f>AVERAGE(Datos_originales!$R252:$T252)</f>
        <v>4.38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>
        <v>0.0</v>
      </c>
      <c r="AS71" s="6">
        <v>0.0</v>
      </c>
      <c r="AT71" s="6">
        <v>0.0</v>
      </c>
      <c r="AU71" s="6">
        <v>0.0</v>
      </c>
      <c r="AV71" s="6">
        <v>0.0</v>
      </c>
      <c r="AW71" s="6">
        <v>0.0</v>
      </c>
      <c r="AX71" s="6">
        <v>0.0</v>
      </c>
      <c r="AY71" s="6">
        <v>0.0</v>
      </c>
      <c r="AZ71" s="6">
        <v>0.0</v>
      </c>
      <c r="BA71" s="6">
        <v>0.0</v>
      </c>
      <c r="BB71" s="6">
        <v>0.0</v>
      </c>
      <c r="BC71" s="6">
        <v>0.0</v>
      </c>
      <c r="BD71" s="6">
        <v>0.0</v>
      </c>
      <c r="BE71" s="6">
        <v>0.0</v>
      </c>
      <c r="BF71" s="6">
        <v>0.0</v>
      </c>
      <c r="BG71" s="6">
        <v>0.0</v>
      </c>
    </row>
    <row r="72" ht="15.75" customHeight="1">
      <c r="A72" s="2">
        <v>20805.0</v>
      </c>
      <c r="B72" s="3" t="s">
        <v>89</v>
      </c>
      <c r="C72" s="4" t="s">
        <v>131</v>
      </c>
      <c r="D72" s="4" t="str">
        <f>IF(Datos_originales!$E72&lt;1000,"Bosque menor a 1000 ha",Datos_originales!$E72)</f>
        <v>Bosque menor a 1000 ha</v>
      </c>
      <c r="E72" s="4">
        <v>0.0</v>
      </c>
      <c r="F72" s="5">
        <f>AVERAGE(Datos_originales!$H253:$J253)</f>
        <v>515.16</v>
      </c>
      <c r="G72" s="5">
        <f>AVERAGE(Datos_originales!$R253:$T253)</f>
        <v>3029.52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0.0</v>
      </c>
      <c r="AM72" s="6">
        <v>0.0</v>
      </c>
      <c r="AN72" s="6">
        <v>0.0</v>
      </c>
      <c r="AO72" s="6">
        <v>0.0</v>
      </c>
      <c r="AP72" s="6">
        <v>0.0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0.0</v>
      </c>
      <c r="AW72" s="6">
        <v>0.0</v>
      </c>
      <c r="AX72" s="6">
        <v>0.0</v>
      </c>
      <c r="AY72" s="6">
        <v>0.0</v>
      </c>
      <c r="AZ72" s="6">
        <v>0.0</v>
      </c>
      <c r="BA72" s="6">
        <v>0.0</v>
      </c>
      <c r="BB72" s="6">
        <v>0.0</v>
      </c>
      <c r="BC72" s="6">
        <v>0.0</v>
      </c>
      <c r="BD72" s="6">
        <v>0.0</v>
      </c>
      <c r="BE72" s="6">
        <v>0.0</v>
      </c>
      <c r="BF72" s="6">
        <v>0.0</v>
      </c>
      <c r="BG72" s="6">
        <v>0.0</v>
      </c>
    </row>
    <row r="73" ht="15.75" customHeight="1">
      <c r="A73" s="2">
        <v>20806.0</v>
      </c>
      <c r="B73" s="3" t="s">
        <v>89</v>
      </c>
      <c r="C73" s="4" t="s">
        <v>132</v>
      </c>
      <c r="D73" s="4" t="str">
        <f>IF(Datos_originales!$E73&lt;1000,"Bosque menor a 1000 ha",Datos_originales!$E73)</f>
        <v>Bosque menor a 1000 ha</v>
      </c>
      <c r="E73" s="4">
        <v>0.0</v>
      </c>
      <c r="F73" s="5">
        <f>AVERAGE(Datos_originales!$H254:$J254)</f>
        <v>1715.61</v>
      </c>
      <c r="G73" s="5">
        <f>AVERAGE(Datos_originales!$R254:$T254)</f>
        <v>864.81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0.0</v>
      </c>
      <c r="AO73" s="6">
        <v>0.0</v>
      </c>
      <c r="AP73" s="6">
        <v>0.0</v>
      </c>
      <c r="AQ73" s="6">
        <v>0.0</v>
      </c>
      <c r="AR73" s="6">
        <v>0.0</v>
      </c>
      <c r="AS73" s="6">
        <v>0.0</v>
      </c>
      <c r="AT73" s="6">
        <v>0.0</v>
      </c>
      <c r="AU73" s="6">
        <v>0.0</v>
      </c>
      <c r="AV73" s="6">
        <v>0.0</v>
      </c>
      <c r="AW73" s="6">
        <v>0.0</v>
      </c>
      <c r="AX73" s="6">
        <v>0.0</v>
      </c>
      <c r="AY73" s="6">
        <v>0.0</v>
      </c>
      <c r="AZ73" s="6">
        <v>0.0</v>
      </c>
      <c r="BA73" s="6">
        <v>0.0</v>
      </c>
      <c r="BB73" s="6">
        <v>0.0</v>
      </c>
      <c r="BC73" s="6">
        <v>0.0</v>
      </c>
      <c r="BD73" s="6">
        <v>0.0</v>
      </c>
      <c r="BE73" s="6">
        <v>0.0</v>
      </c>
      <c r="BF73" s="6">
        <v>0.0</v>
      </c>
      <c r="BG73" s="6">
        <v>0.0</v>
      </c>
    </row>
    <row r="74" ht="15.75" customHeight="1">
      <c r="A74" s="2">
        <v>20807.0</v>
      </c>
      <c r="B74" s="3" t="s">
        <v>89</v>
      </c>
      <c r="C74" s="4" t="s">
        <v>133</v>
      </c>
      <c r="D74" s="4" t="str">
        <f>IF(Datos_originales!$E74&lt;1000,"Bosque menor a 1000 ha",Datos_originales!$E74)</f>
        <v>Bosque menor a 1000 ha</v>
      </c>
      <c r="E74" s="4">
        <v>0.0</v>
      </c>
      <c r="F74" s="5">
        <f>AVERAGE(Datos_originales!$H255:$J255)</f>
        <v>611.7</v>
      </c>
      <c r="G74" s="5">
        <f>AVERAGE(Datos_originales!$R255:$T255)</f>
        <v>489.27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  <c r="AG74" s="4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0.0</v>
      </c>
      <c r="AW74" s="6">
        <v>0.0</v>
      </c>
      <c r="AX74" s="6">
        <v>0.0</v>
      </c>
      <c r="AY74" s="6">
        <v>0.0</v>
      </c>
      <c r="AZ74" s="6">
        <v>0.0</v>
      </c>
      <c r="BA74" s="6">
        <v>0.0</v>
      </c>
      <c r="BB74" s="6">
        <v>0.0</v>
      </c>
      <c r="BC74" s="6">
        <v>0.0</v>
      </c>
      <c r="BD74" s="6">
        <v>0.0</v>
      </c>
      <c r="BE74" s="6">
        <v>0.0</v>
      </c>
      <c r="BF74" s="6">
        <v>0.0</v>
      </c>
      <c r="BG74" s="6">
        <v>0.0</v>
      </c>
    </row>
    <row r="75" ht="15.75" customHeight="1">
      <c r="A75" s="2">
        <v>20901.0</v>
      </c>
      <c r="B75" s="3" t="s">
        <v>89</v>
      </c>
      <c r="C75" s="4" t="s">
        <v>134</v>
      </c>
      <c r="D75" s="4" t="str">
        <f>IF(Datos_originales!$E75&lt;1000,"Bosque menor a 1000 ha",Datos_originales!$E75)</f>
        <v>Bosque menor a 1000 ha</v>
      </c>
      <c r="E75" s="4">
        <v>468.09</v>
      </c>
      <c r="F75" s="5">
        <f>AVERAGE(Datos_originales!$H74:$J74)</f>
        <v>0</v>
      </c>
      <c r="G75" s="5">
        <f>AVERAGE(Datos_originales!$R74:$T74)</f>
        <v>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0.09</v>
      </c>
      <c r="O75" s="4">
        <v>0.0</v>
      </c>
      <c r="P75" s="4">
        <v>0.0</v>
      </c>
      <c r="Q75" s="4">
        <v>0.9</v>
      </c>
      <c r="R75" s="4">
        <v>2.88</v>
      </c>
      <c r="S75" s="4">
        <v>13.77</v>
      </c>
      <c r="T75" s="4">
        <v>9.45</v>
      </c>
      <c r="U75" s="4">
        <v>0.54</v>
      </c>
      <c r="V75" s="4">
        <v>0.81</v>
      </c>
      <c r="W75" s="4">
        <v>8.46</v>
      </c>
      <c r="X75" s="4">
        <v>0.54</v>
      </c>
      <c r="Y75" s="4">
        <v>0.45</v>
      </c>
      <c r="Z75" s="4">
        <v>0.63</v>
      </c>
      <c r="AA75" s="4">
        <v>1.08</v>
      </c>
      <c r="AB75" s="4">
        <v>2.52</v>
      </c>
      <c r="AC75" s="4">
        <v>15.12</v>
      </c>
      <c r="AD75" s="4">
        <v>0.9</v>
      </c>
      <c r="AE75" s="4">
        <v>2.88</v>
      </c>
      <c r="AF75" s="4">
        <v>17.37</v>
      </c>
      <c r="AG75" s="4">
        <v>9.719999999999999</v>
      </c>
      <c r="AH75" s="6" t="str">
        <f>Datos_originales!$H74/Datos_originales!$E74</f>
        <v>#DIV/0!</v>
      </c>
      <c r="AI75" s="6" t="str">
        <f>Datos_originales!$I74/Datos_originales!$E74</f>
        <v>#DIV/0!</v>
      </c>
      <c r="AJ75" s="6" t="str">
        <f>Datos_originales!$J74/Datos_originales!$E74</f>
        <v>#DIV/0!</v>
      </c>
      <c r="AK75" s="6" t="str">
        <f>Datos_originales!$K74/Datos_originales!$E74</f>
        <v>#DIV/0!</v>
      </c>
      <c r="AL75" s="6" t="str">
        <f>Datos_originales!$L74/Datos_originales!$E74</f>
        <v>#DIV/0!</v>
      </c>
      <c r="AM75" s="6" t="str">
        <f>Datos_originales!$M74/Datos_originales!$E74</f>
        <v>#DIV/0!</v>
      </c>
      <c r="AN75" s="6" t="str">
        <f>Datos_originales!$N74/Datos_originales!$E74</f>
        <v>#DIV/0!</v>
      </c>
      <c r="AO75" s="6" t="str">
        <f>Datos_originales!$O74/Datos_originales!$E74</f>
        <v>#DIV/0!</v>
      </c>
      <c r="AP75" s="6" t="str">
        <f>Datos_originales!$P74/Datos_originales!$E74</f>
        <v>#DIV/0!</v>
      </c>
      <c r="AQ75" s="6" t="str">
        <f>Datos_originales!$Q74/Datos_originales!$E74</f>
        <v>#DIV/0!</v>
      </c>
      <c r="AR75" s="6" t="str">
        <f>Datos_originales!$R74/Datos_originales!$E74</f>
        <v>#DIV/0!</v>
      </c>
      <c r="AS75" s="6" t="str">
        <f>Datos_originales!$S74/Datos_originales!$E74</f>
        <v>#DIV/0!</v>
      </c>
      <c r="AT75" s="6" t="str">
        <f>Datos_originales!$T74/Datos_originales!$E74</f>
        <v>#DIV/0!</v>
      </c>
      <c r="AU75" s="6" t="str">
        <f>Datos_originales!$U74/Datos_originales!$E74</f>
        <v>#DIV/0!</v>
      </c>
      <c r="AV75" s="6" t="str">
        <f>Datos_originales!$V74/Datos_originales!$E74</f>
        <v>#DIV/0!</v>
      </c>
      <c r="AW75" s="6" t="str">
        <f>Datos_originales!$W74/Datos_originales!$E74</f>
        <v>#DIV/0!</v>
      </c>
      <c r="AX75" s="6" t="str">
        <f>Datos_originales!$X74/Datos_originales!$E74</f>
        <v>#DIV/0!</v>
      </c>
      <c r="AY75" s="6" t="str">
        <f>Datos_originales!$Y74/Datos_originales!$E74</f>
        <v>#DIV/0!</v>
      </c>
      <c r="AZ75" s="6" t="str">
        <f>Datos_originales!$Z74/Datos_originales!$E74</f>
        <v>#DIV/0!</v>
      </c>
      <c r="BA75" s="6" t="str">
        <f>Datos_originales!$AA74/Datos_originales!$E74</f>
        <v>#DIV/0!</v>
      </c>
      <c r="BB75" s="6" t="str">
        <f>Datos_originales!$AB74/Datos_originales!$E74</f>
        <v>#DIV/0!</v>
      </c>
      <c r="BC75" s="6" t="str">
        <f>Datos_originales!$AC74/Datos_originales!$E74</f>
        <v>#DIV/0!</v>
      </c>
      <c r="BD75" s="6" t="str">
        <f>Datos_originales!$AD74/Datos_originales!$E74</f>
        <v>#DIV/0!</v>
      </c>
      <c r="BE75" s="6" t="str">
        <f>Datos_originales!$AE74/Datos_originales!$E74</f>
        <v>#DIV/0!</v>
      </c>
      <c r="BF75" s="6" t="str">
        <f>Datos_originales!$AF74/Datos_originales!$E74</f>
        <v>#DIV/0!</v>
      </c>
      <c r="BG75" s="6" t="str">
        <f>Datos_originales!$AG74/Datos_originales!$E74</f>
        <v>#DIV/0!</v>
      </c>
    </row>
    <row r="76" ht="15.75" customHeight="1">
      <c r="A76" s="2">
        <v>20902.0</v>
      </c>
      <c r="B76" s="3" t="s">
        <v>89</v>
      </c>
      <c r="C76" s="4" t="s">
        <v>135</v>
      </c>
      <c r="D76" s="4" t="str">
        <f>IF(Datos_originales!$E76&lt;1000,"Bosque menor a 1000 ha",Datos_originales!$E76)</f>
        <v>Bosque menor a 1000 ha</v>
      </c>
      <c r="E76" s="4">
        <v>841.86</v>
      </c>
      <c r="F76" s="5">
        <f>AVERAGE(Datos_originales!$H86:$J86)</f>
        <v>46.02</v>
      </c>
      <c r="G76" s="5">
        <f>AVERAGE(Datos_originales!$R86:$T86)</f>
        <v>427.98</v>
      </c>
      <c r="H76" s="4">
        <v>0.63</v>
      </c>
      <c r="I76" s="4">
        <v>0.27</v>
      </c>
      <c r="J76" s="4">
        <v>0.36</v>
      </c>
      <c r="K76" s="4">
        <v>0.0</v>
      </c>
      <c r="L76" s="4">
        <v>0.18</v>
      </c>
      <c r="M76" s="4">
        <v>0.18</v>
      </c>
      <c r="N76" s="4">
        <v>0.0</v>
      </c>
      <c r="O76" s="4">
        <v>1.35</v>
      </c>
      <c r="P76" s="4">
        <v>0.9</v>
      </c>
      <c r="Q76" s="4">
        <v>3.69</v>
      </c>
      <c r="R76" s="4">
        <v>9.99</v>
      </c>
      <c r="S76" s="4">
        <v>66.24000000000001</v>
      </c>
      <c r="T76" s="4">
        <v>14.67</v>
      </c>
      <c r="U76" s="4">
        <v>3.87</v>
      </c>
      <c r="V76" s="4">
        <v>3.06</v>
      </c>
      <c r="W76" s="4">
        <v>17.91</v>
      </c>
      <c r="X76" s="4">
        <v>0.9</v>
      </c>
      <c r="Y76" s="4">
        <v>1.89</v>
      </c>
      <c r="Z76" s="4">
        <v>0.72</v>
      </c>
      <c r="AA76" s="4">
        <v>0.99</v>
      </c>
      <c r="AB76" s="4">
        <v>2.52</v>
      </c>
      <c r="AC76" s="4">
        <v>3.42</v>
      </c>
      <c r="AD76" s="4">
        <v>4.05</v>
      </c>
      <c r="AE76" s="4">
        <v>9.99</v>
      </c>
      <c r="AF76" s="4">
        <v>73.08</v>
      </c>
      <c r="AG76" s="4">
        <v>15.03</v>
      </c>
      <c r="AH76" s="6">
        <f>Datos_originales!$H86/Datos_originales!$E86</f>
        <v>0.001955377525</v>
      </c>
      <c r="AI76" s="6">
        <f>Datos_originales!$I86/Datos_originales!$E86</f>
        <v>0.001599422879</v>
      </c>
      <c r="AJ76" s="6">
        <f>Datos_originales!$J86/Datos_originales!$E86</f>
        <v>0.003725658635</v>
      </c>
      <c r="AK76" s="6">
        <f>Datos_originales!$K86/Datos_originales!$E86</f>
        <v>0.002752715934</v>
      </c>
      <c r="AL76" s="6">
        <f>Datos_originales!$L86/Datos_originales!$E86</f>
        <v>0.002031314517</v>
      </c>
      <c r="AM76" s="6">
        <f>Datos_originales!$M86/Datos_originales!$E86</f>
        <v>0.001442802834</v>
      </c>
      <c r="AN76" s="6">
        <f>Datos_originales!$N86/Datos_originales!$E86</f>
        <v>0.001950631464</v>
      </c>
      <c r="AO76" s="6">
        <f>Datos_originales!$O86/Datos_originales!$E86</f>
        <v>0.001532978011</v>
      </c>
      <c r="AP76" s="6">
        <f>Datos_originales!$P86/Datos_originales!$E86</f>
        <v>0.003877532617</v>
      </c>
      <c r="AQ76" s="6">
        <f>Datos_originales!$Q86/Datos_originales!$E86</f>
        <v>0.001143800931</v>
      </c>
      <c r="AR76" s="6">
        <f>Datos_originales!$R86/Datos_originales!$E86</f>
        <v>0.0008163226563</v>
      </c>
      <c r="AS76" s="6">
        <f>Datos_originales!$S86/Datos_originales!$E86</f>
        <v>0.05710936351</v>
      </c>
      <c r="AT76" s="6">
        <f>Datos_originales!$T86/Datos_originales!$E86</f>
        <v>0.009781633689</v>
      </c>
      <c r="AU76" s="6">
        <f>Datos_originales!$U86/Datos_originales!$E86</f>
        <v>0.002809668677</v>
      </c>
      <c r="AV76" s="6">
        <f>Datos_originales!$V86/Datos_originales!$E86</f>
        <v>0.002002838145</v>
      </c>
      <c r="AW76" s="6">
        <f>Datos_originales!$W86/Datos_originales!$E86</f>
        <v>0.005818671957</v>
      </c>
      <c r="AX76" s="6">
        <f>Datos_originales!$X86/Datos_originales!$E86</f>
        <v>0.003127654828</v>
      </c>
      <c r="AY76" s="6">
        <f>Datos_originales!$Y86/Datos_originales!$E86</f>
        <v>0.00233031642</v>
      </c>
      <c r="AZ76" s="6">
        <f>Datos_originales!$Z86/Datos_originales!$E86</f>
        <v>0.001556708321</v>
      </c>
      <c r="BA76" s="6">
        <f>Datos_originales!$AA86/Datos_originales!$E86</f>
        <v>0.002102505446</v>
      </c>
      <c r="BB76" s="6">
        <f>Datos_originales!$AB86/Datos_originales!$E86</f>
        <v>0.001665867746</v>
      </c>
      <c r="BC76" s="6">
        <f>Datos_originales!$AC86/Datos_originales!$E86</f>
        <v>0.003948723547</v>
      </c>
      <c r="BD76" s="6">
        <f>Datos_originales!$AD86/Datos_originales!$E86</f>
        <v>0.001371611905</v>
      </c>
      <c r="BE76" s="6">
        <f>Datos_originales!$AE86/Datos_originales!$E86</f>
        <v>0.0008922596476</v>
      </c>
      <c r="BF76" s="6">
        <f>Datos_originales!$AF86/Datos_originales!$E86</f>
        <v>0.05770736731</v>
      </c>
      <c r="BG76" s="6">
        <f>Datos_originales!$AG86/Datos_originales!$E86</f>
        <v>0.01273368423</v>
      </c>
    </row>
    <row r="77" ht="15.75" customHeight="1">
      <c r="A77" s="2">
        <v>20903.0</v>
      </c>
      <c r="B77" s="3" t="s">
        <v>89</v>
      </c>
      <c r="C77" s="4" t="s">
        <v>136</v>
      </c>
      <c r="D77" s="4" t="str">
        <f>IF(Datos_originales!$E77&lt;1000,"Bosque menor a 1000 ha",Datos_originales!$E77)</f>
        <v>Bosque menor a 1000 ha</v>
      </c>
      <c r="E77" s="4">
        <v>8.19</v>
      </c>
      <c r="F77" s="5">
        <f>AVERAGE(Datos_originales!$H328:$J328)</f>
        <v>54.18</v>
      </c>
      <c r="G77" s="5">
        <f>AVERAGE(Datos_originales!$R328:$T328)</f>
        <v>325.44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0.27</v>
      </c>
      <c r="T77" s="4">
        <v>0.0</v>
      </c>
      <c r="U77" s="4">
        <v>0.0</v>
      </c>
      <c r="V77" s="4">
        <v>0.0</v>
      </c>
      <c r="W77" s="4">
        <v>0.09</v>
      </c>
      <c r="X77" s="4">
        <v>0.0</v>
      </c>
      <c r="Y77" s="4">
        <v>0.0</v>
      </c>
      <c r="Z77" s="4">
        <v>0.18</v>
      </c>
      <c r="AA77" s="4">
        <v>0.18</v>
      </c>
      <c r="AB77" s="4">
        <v>0.27</v>
      </c>
      <c r="AC77" s="4">
        <v>1.17</v>
      </c>
      <c r="AD77" s="4">
        <v>0.0</v>
      </c>
      <c r="AE77" s="4">
        <v>0.0</v>
      </c>
      <c r="AF77" s="4">
        <v>0.27</v>
      </c>
      <c r="AG77" s="4">
        <v>0.0</v>
      </c>
      <c r="AH77" s="6">
        <f>Datos_originales!$H328/Datos_originales!$E328</f>
        <v>0.0004870795933</v>
      </c>
      <c r="AI77" s="6">
        <f>Datos_originales!$I328/Datos_originales!$E328</f>
        <v>0.0005111233312</v>
      </c>
      <c r="AJ77" s="6">
        <f>Datos_originales!$J328/Datos_originales!$E328</f>
        <v>0.0004025387085</v>
      </c>
      <c r="AK77" s="6">
        <f>Datos_originales!$K328/Datos_originales!$E328</f>
        <v>0.0002334569388</v>
      </c>
      <c r="AL77" s="6">
        <f>Datos_originales!$L328/Datos_originales!$E328</f>
        <v>0.00008376528038</v>
      </c>
      <c r="AM77" s="6">
        <f>Datos_originales!$M328/Datos_originales!$E328</f>
        <v>0.0002474178189</v>
      </c>
      <c r="AN77" s="6">
        <f>Datos_originales!$N328/Datos_originales!$E328</f>
        <v>0.000297832108</v>
      </c>
      <c r="AO77" s="6">
        <f>Datos_originales!$O328/Datos_originales!$E328</f>
        <v>0.0002117400143</v>
      </c>
      <c r="AP77" s="6">
        <f>Datos_originales!$P328/Datos_originales!$E328</f>
        <v>0.0001861450675</v>
      </c>
      <c r="AQ77" s="6">
        <f>Datos_originales!$Q328/Datos_originales!$E328</f>
        <v>0.0005095721223</v>
      </c>
      <c r="AR77" s="6">
        <f>Datos_originales!$R328/Datos_originales!$E328</f>
        <v>0.001603174394</v>
      </c>
      <c r="AS77" s="6">
        <f>Datos_originales!$S328/Datos_originales!$E328</f>
        <v>0.001641954616</v>
      </c>
      <c r="AT77" s="6">
        <f>Datos_originales!$T328/Datos_originales!$E328</f>
        <v>0.005168628041</v>
      </c>
      <c r="AU77" s="6">
        <f>Datos_originales!$U328/Datos_originales!$E328</f>
        <v>0.04606469937</v>
      </c>
      <c r="AV77" s="6">
        <f>Datos_originales!$V328/Datos_originales!$E328</f>
        <v>0.01826005552</v>
      </c>
      <c r="AW77" s="6">
        <f>Datos_originales!$W328/Datos_originales!$E328</f>
        <v>0.0123282327</v>
      </c>
      <c r="AX77" s="6">
        <f>Datos_originales!$X328/Datos_originales!$E328</f>
        <v>0.009242102602</v>
      </c>
      <c r="AY77" s="6">
        <f>Datos_originales!$Y328/Datos_originales!$E328</f>
        <v>0.005535488945</v>
      </c>
      <c r="AZ77" s="6">
        <f>Datos_originales!$Z328/Datos_originales!$E328</f>
        <v>0.005888388969</v>
      </c>
      <c r="BA77" s="6">
        <f>Datos_originales!$AA328/Datos_originales!$E328</f>
        <v>0.01036517784</v>
      </c>
      <c r="BB77" s="6">
        <f>Datos_originales!$AB328/Datos_originales!$E328</f>
        <v>0.007435719842</v>
      </c>
      <c r="BC77" s="6">
        <f>Datos_originales!$AC328/Datos_originales!$E328</f>
        <v>0.009325092278</v>
      </c>
      <c r="BD77" s="6">
        <f>Datos_originales!$AD328/Datos_originales!$E328</f>
        <v>0.002398944557</v>
      </c>
      <c r="BE77" s="6">
        <f>Datos_originales!$AE328/Datos_originales!$E328</f>
        <v>0.002963584596</v>
      </c>
      <c r="BF77" s="6">
        <f>Datos_originales!$AF328/Datos_originales!$E328</f>
        <v>0.005307461237</v>
      </c>
      <c r="BG77" s="6">
        <f>Datos_originales!$AG328/Datos_originales!$E328</f>
        <v>0.04426762387</v>
      </c>
    </row>
    <row r="78" ht="15.75" customHeight="1">
      <c r="A78" s="2">
        <v>20904.0</v>
      </c>
      <c r="B78" s="3" t="s">
        <v>89</v>
      </c>
      <c r="C78" s="4" t="s">
        <v>137</v>
      </c>
      <c r="D78" s="4" t="str">
        <f>IF(Datos_originales!$E78&lt;1000,"Bosque menor a 1000 ha",Datos_originales!$E78)</f>
        <v>Bosque menor a 1000 ha</v>
      </c>
      <c r="E78" s="4">
        <v>222.03</v>
      </c>
      <c r="F78" s="5">
        <f>AVERAGE(Datos_originales!$H89:$J89)</f>
        <v>1558.62</v>
      </c>
      <c r="G78" s="5">
        <f>AVERAGE(Datos_originales!$R89:$T89)</f>
        <v>2859.99</v>
      </c>
      <c r="H78" s="4">
        <v>0.09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0.09</v>
      </c>
      <c r="O78" s="4">
        <v>0.45</v>
      </c>
      <c r="P78" s="4">
        <v>0.72</v>
      </c>
      <c r="Q78" s="4">
        <v>0.27</v>
      </c>
      <c r="R78" s="4">
        <v>0.0</v>
      </c>
      <c r="S78" s="4">
        <v>10.53</v>
      </c>
      <c r="T78" s="4">
        <v>3.78</v>
      </c>
      <c r="U78" s="4">
        <v>1.44</v>
      </c>
      <c r="V78" s="4">
        <v>0.18</v>
      </c>
      <c r="W78" s="4">
        <v>2.34</v>
      </c>
      <c r="X78" s="4">
        <v>0.27</v>
      </c>
      <c r="Y78" s="4">
        <v>0.09</v>
      </c>
      <c r="Z78" s="4">
        <v>1.08</v>
      </c>
      <c r="AA78" s="4">
        <v>1.26</v>
      </c>
      <c r="AB78" s="4">
        <v>5.94</v>
      </c>
      <c r="AC78" s="4">
        <v>8.73</v>
      </c>
      <c r="AD78" s="4">
        <v>0.27</v>
      </c>
      <c r="AE78" s="4">
        <v>0.0</v>
      </c>
      <c r="AF78" s="4">
        <v>11.97</v>
      </c>
      <c r="AG78" s="4">
        <v>3.78</v>
      </c>
      <c r="AH78" s="6">
        <f>Datos_originales!$H89/Datos_originales!$E89</f>
        <v>0.003199359507</v>
      </c>
      <c r="AI78" s="6">
        <f>Datos_originales!$I89/Datos_originales!$E89</f>
        <v>0.004659138397</v>
      </c>
      <c r="AJ78" s="6">
        <f>Datos_originales!$J89/Datos_originales!$E89</f>
        <v>0.005576639814</v>
      </c>
      <c r="AK78" s="6">
        <f>Datos_originales!$K89/Datos_originales!$E89</f>
        <v>0.004972040515</v>
      </c>
      <c r="AL78" s="6">
        <f>Datos_originales!$L89/Datos_originales!$E89</f>
        <v>0.004946439432</v>
      </c>
      <c r="AM78" s="6">
        <f>Datos_originales!$M89/Datos_originales!$E89</f>
        <v>0.002719921056</v>
      </c>
      <c r="AN78" s="6">
        <f>Datos_originales!$N89/Datos_originales!$E89</f>
        <v>0.004823088763</v>
      </c>
      <c r="AO78" s="6">
        <f>Datos_originales!$O89/Datos_originales!$E89</f>
        <v>0.005205553418</v>
      </c>
      <c r="AP78" s="6">
        <f>Datos_originales!$P89/Datos_originales!$E89</f>
        <v>0.006819455995</v>
      </c>
      <c r="AQ78" s="6">
        <f>Datos_originales!$Q89/Datos_originales!$E89</f>
        <v>0.005559831023</v>
      </c>
      <c r="AR78" s="6">
        <f>Datos_originales!$R89/Datos_originales!$E89</f>
        <v>0.002393313308</v>
      </c>
      <c r="AS78" s="6">
        <f>Datos_originales!$S89/Datos_originales!$E89</f>
        <v>0.01276692361</v>
      </c>
      <c r="AT78" s="6">
        <f>Datos_originales!$T89/Datos_originales!$E89</f>
        <v>0.009492571031</v>
      </c>
      <c r="AU78" s="6">
        <f>Datos_originales!$U89/Datos_originales!$E89</f>
        <v>0.004061004018</v>
      </c>
      <c r="AV78" s="6">
        <f>Datos_originales!$V89/Datos_originales!$E89</f>
        <v>0.005217707467</v>
      </c>
      <c r="AW78" s="6">
        <f>Datos_originales!$W89/Datos_originales!$E89</f>
        <v>0.007764110075</v>
      </c>
      <c r="AX78" s="6">
        <f>Datos_originales!$X89/Datos_originales!$E89</f>
        <v>0.006229338116</v>
      </c>
      <c r="AY78" s="6">
        <f>Datos_originales!$Y89/Datos_originales!$E89</f>
        <v>0.005468804952</v>
      </c>
      <c r="AZ78" s="6">
        <f>Datos_originales!$Z89/Datos_originales!$E89</f>
        <v>0.002980069428</v>
      </c>
      <c r="BA78" s="6">
        <f>Datos_originales!$AA89/Datos_originales!$E89</f>
        <v>0.005105476459</v>
      </c>
      <c r="BB78" s="6">
        <f>Datos_originales!$AB89/Datos_originales!$E89</f>
        <v>0.005638444447</v>
      </c>
      <c r="BC78" s="6">
        <f>Datos_originales!$AC89/Datos_originales!$E89</f>
        <v>0.007073915238</v>
      </c>
      <c r="BD78" s="6">
        <f>Datos_originales!$AD89/Datos_originales!$E89</f>
        <v>0.006034614732</v>
      </c>
      <c r="BE78" s="6">
        <f>Datos_originales!$AE89/Datos_originales!$E89</f>
        <v>0.002489769911</v>
      </c>
      <c r="BF78" s="6">
        <f>Datos_originales!$AF89/Datos_originales!$E89</f>
        <v>0.01305681061</v>
      </c>
      <c r="BG78" s="6">
        <f>Datos_originales!$AG89/Datos_originales!$E89</f>
        <v>0.01322567432</v>
      </c>
    </row>
    <row r="79" ht="15.75" customHeight="1">
      <c r="A79" s="2">
        <v>20905.0</v>
      </c>
      <c r="B79" s="3" t="s">
        <v>89</v>
      </c>
      <c r="C79" s="4" t="s">
        <v>138</v>
      </c>
      <c r="D79" s="4">
        <f>IF(Datos_originales!$E79&lt;1000,"Bosque menor a 1000 ha",Datos_originales!$E79)</f>
        <v>4399.29</v>
      </c>
      <c r="E79" s="4">
        <v>4399.29</v>
      </c>
      <c r="F79" s="5">
        <f>AVERAGE(Datos_originales!$H48:$J48)</f>
        <v>0</v>
      </c>
      <c r="G79" s="5">
        <f>AVERAGE(Datos_originales!$R48:$T48)</f>
        <v>0</v>
      </c>
      <c r="H79" s="4">
        <v>9.09</v>
      </c>
      <c r="I79" s="4">
        <v>11.16</v>
      </c>
      <c r="J79" s="4">
        <v>10.98</v>
      </c>
      <c r="K79" s="4">
        <v>6.84</v>
      </c>
      <c r="L79" s="4">
        <v>5.130000000000001</v>
      </c>
      <c r="M79" s="4">
        <v>6.66</v>
      </c>
      <c r="N79" s="4">
        <v>10.89</v>
      </c>
      <c r="O79" s="4">
        <v>35.55</v>
      </c>
      <c r="P79" s="4">
        <v>20.16</v>
      </c>
      <c r="Q79" s="4">
        <v>13.86</v>
      </c>
      <c r="R79" s="4">
        <v>18.9</v>
      </c>
      <c r="S79" s="4">
        <v>237.42</v>
      </c>
      <c r="T79" s="4">
        <v>45.54</v>
      </c>
      <c r="U79" s="4">
        <v>57.87</v>
      </c>
      <c r="V79" s="4">
        <v>85.05</v>
      </c>
      <c r="W79" s="4">
        <v>86.66999999999999</v>
      </c>
      <c r="X79" s="4">
        <v>42.66</v>
      </c>
      <c r="Y79" s="4">
        <v>17.46</v>
      </c>
      <c r="Z79" s="4">
        <v>19.89</v>
      </c>
      <c r="AA79" s="4">
        <v>41.76</v>
      </c>
      <c r="AB79" s="4">
        <v>114.75</v>
      </c>
      <c r="AC79" s="4">
        <v>91.89</v>
      </c>
      <c r="AD79" s="4">
        <v>26.19</v>
      </c>
      <c r="AE79" s="4">
        <v>19.44</v>
      </c>
      <c r="AF79" s="4">
        <v>257.85</v>
      </c>
      <c r="AG79" s="4">
        <v>170.82</v>
      </c>
      <c r="AH79" s="6" t="str">
        <f>Datos_originales!$H48/Datos_originales!$E48</f>
        <v>#DIV/0!</v>
      </c>
      <c r="AI79" s="6" t="str">
        <f>Datos_originales!$I48/Datos_originales!$E48</f>
        <v>#DIV/0!</v>
      </c>
      <c r="AJ79" s="6" t="str">
        <f>Datos_originales!$J48/Datos_originales!$E48</f>
        <v>#DIV/0!</v>
      </c>
      <c r="AK79" s="6" t="str">
        <f>Datos_originales!$K48/Datos_originales!$E48</f>
        <v>#DIV/0!</v>
      </c>
      <c r="AL79" s="6" t="str">
        <f>Datos_originales!$L48/Datos_originales!$E48</f>
        <v>#DIV/0!</v>
      </c>
      <c r="AM79" s="6" t="str">
        <f>Datos_originales!$M48/Datos_originales!$E48</f>
        <v>#DIV/0!</v>
      </c>
      <c r="AN79" s="6" t="str">
        <f>Datos_originales!$N48/Datos_originales!$E48</f>
        <v>#DIV/0!</v>
      </c>
      <c r="AO79" s="6" t="str">
        <f>Datos_originales!$O48/Datos_originales!$E48</f>
        <v>#DIV/0!</v>
      </c>
      <c r="AP79" s="6" t="str">
        <f>Datos_originales!$P48/Datos_originales!$E48</f>
        <v>#DIV/0!</v>
      </c>
      <c r="AQ79" s="6" t="str">
        <f>Datos_originales!$Q48/Datos_originales!$E48</f>
        <v>#DIV/0!</v>
      </c>
      <c r="AR79" s="6" t="str">
        <f>Datos_originales!$R48/Datos_originales!$E48</f>
        <v>#DIV/0!</v>
      </c>
      <c r="AS79" s="6" t="str">
        <f>Datos_originales!$S48/Datos_originales!$E48</f>
        <v>#DIV/0!</v>
      </c>
      <c r="AT79" s="6" t="str">
        <f>Datos_originales!$T48/Datos_originales!$E48</f>
        <v>#DIV/0!</v>
      </c>
      <c r="AU79" s="6" t="str">
        <f>Datos_originales!$U48/Datos_originales!$E48</f>
        <v>#DIV/0!</v>
      </c>
      <c r="AV79" s="6" t="str">
        <f>Datos_originales!$V48/Datos_originales!$E48</f>
        <v>#DIV/0!</v>
      </c>
      <c r="AW79" s="6" t="str">
        <f>Datos_originales!$W48/Datos_originales!$E48</f>
        <v>#DIV/0!</v>
      </c>
      <c r="AX79" s="6" t="str">
        <f>Datos_originales!$X48/Datos_originales!$E48</f>
        <v>#DIV/0!</v>
      </c>
      <c r="AY79" s="6" t="str">
        <f>Datos_originales!$Y48/Datos_originales!$E48</f>
        <v>#DIV/0!</v>
      </c>
      <c r="AZ79" s="6" t="str">
        <f>Datos_originales!$Z48/Datos_originales!$E48</f>
        <v>#DIV/0!</v>
      </c>
      <c r="BA79" s="6" t="str">
        <f>Datos_originales!$AA48/Datos_originales!$E48</f>
        <v>#DIV/0!</v>
      </c>
      <c r="BB79" s="6" t="str">
        <f>Datos_originales!$AB48/Datos_originales!$E48</f>
        <v>#DIV/0!</v>
      </c>
      <c r="BC79" s="6" t="str">
        <f>Datos_originales!$AC48/Datos_originales!$E48</f>
        <v>#DIV/0!</v>
      </c>
      <c r="BD79" s="6" t="str">
        <f>Datos_originales!$AD48/Datos_originales!$E48</f>
        <v>#DIV/0!</v>
      </c>
      <c r="BE79" s="6" t="str">
        <f>Datos_originales!$AE48/Datos_originales!$E48</f>
        <v>#DIV/0!</v>
      </c>
      <c r="BF79" s="6" t="str">
        <f>Datos_originales!$AF48/Datos_originales!$E48</f>
        <v>#DIV/0!</v>
      </c>
      <c r="BG79" s="6" t="str">
        <f>Datos_originales!$AG48/Datos_originales!$E48</f>
        <v>#DIV/0!</v>
      </c>
    </row>
    <row r="80" ht="15.75" customHeight="1">
      <c r="A80" s="2">
        <v>21001.0</v>
      </c>
      <c r="B80" s="3" t="s">
        <v>89</v>
      </c>
      <c r="C80" s="4" t="s">
        <v>139</v>
      </c>
      <c r="D80" s="4">
        <f>IF(Datos_originales!$E80&lt;1000,"Bosque menor a 1000 ha",Datos_originales!$E80)</f>
        <v>174734.82</v>
      </c>
      <c r="E80" s="4">
        <v>174734.82</v>
      </c>
      <c r="F80" s="5">
        <f>AVERAGE(Datos_originales!$H66:$J66)</f>
        <v>386.82</v>
      </c>
      <c r="G80" s="5">
        <f>AVERAGE(Datos_originales!$R66:$T66)</f>
        <v>1647.9</v>
      </c>
      <c r="H80" s="4">
        <v>64.35</v>
      </c>
      <c r="I80" s="4">
        <v>85.5</v>
      </c>
      <c r="J80" s="4">
        <v>117.72</v>
      </c>
      <c r="K80" s="4">
        <v>96.11999999999999</v>
      </c>
      <c r="L80" s="4">
        <v>123.03</v>
      </c>
      <c r="M80" s="4">
        <v>94.95</v>
      </c>
      <c r="N80" s="4">
        <v>103.05</v>
      </c>
      <c r="O80" s="4">
        <v>113.04</v>
      </c>
      <c r="P80" s="4">
        <v>165.87</v>
      </c>
      <c r="Q80" s="4">
        <v>148.59</v>
      </c>
      <c r="R80" s="4">
        <v>191.88</v>
      </c>
      <c r="S80" s="4">
        <v>640.71</v>
      </c>
      <c r="T80" s="4">
        <v>1968.66</v>
      </c>
      <c r="U80" s="4">
        <v>301.05</v>
      </c>
      <c r="V80" s="4">
        <v>299.97</v>
      </c>
      <c r="W80" s="4">
        <v>621.99</v>
      </c>
      <c r="X80" s="4">
        <v>155.97</v>
      </c>
      <c r="Y80" s="4">
        <v>197.28</v>
      </c>
      <c r="Z80" s="4">
        <v>151.65</v>
      </c>
      <c r="AA80" s="4">
        <v>162.45</v>
      </c>
      <c r="AB80" s="4">
        <v>156.6</v>
      </c>
      <c r="AC80" s="4">
        <v>223.11</v>
      </c>
      <c r="AD80" s="4">
        <v>209.88</v>
      </c>
      <c r="AE80" s="4">
        <v>211.68</v>
      </c>
      <c r="AF80" s="4">
        <v>762.5699999999999</v>
      </c>
      <c r="AG80" s="4">
        <v>4410.18</v>
      </c>
      <c r="AH80" s="6">
        <f>Datos_originales!$H66/Datos_originales!$E66</f>
        <v>0.0002245149189</v>
      </c>
      <c r="AI80" s="6">
        <f>Datos_originales!$I66/Datos_originales!$E66</f>
        <v>0.0002915535808</v>
      </c>
      <c r="AJ80" s="6">
        <f>Datos_originales!$J66/Datos_originales!$E66</f>
        <v>0.0004094095581</v>
      </c>
      <c r="AK80" s="6">
        <f>Datos_originales!$K66/Datos_originales!$E66</f>
        <v>0.000341940241</v>
      </c>
      <c r="AL80" s="6">
        <f>Datos_originales!$L66/Datos_originales!$E66</f>
        <v>0.0004526186313</v>
      </c>
      <c r="AM80" s="6">
        <f>Datos_originales!$M66/Datos_originales!$E66</f>
        <v>0.0002589673362</v>
      </c>
      <c r="AN80" s="6">
        <f>Datos_originales!$N66/Datos_originales!$E66</f>
        <v>0.0003513428799</v>
      </c>
      <c r="AO80" s="6">
        <f>Datos_originales!$O66/Datos_originales!$E66</f>
        <v>0.0003905325045</v>
      </c>
      <c r="AP80" s="6">
        <f>Datos_originales!$P66/Datos_originales!$E66</f>
        <v>0.0009466519392</v>
      </c>
      <c r="AQ80" s="6">
        <f>Datos_originales!$Q66/Datos_originales!$E66</f>
        <v>0.0006408149604</v>
      </c>
      <c r="AR80" s="6">
        <f>Datos_originales!$R66/Datos_originales!$E66</f>
        <v>0.0003515582075</v>
      </c>
      <c r="AS80" s="6">
        <f>Datos_originales!$S66/Datos_originales!$E66</f>
        <v>0.0006706019462</v>
      </c>
      <c r="AT80" s="6">
        <f>Datos_originales!$T66/Datos_originales!$E66</f>
        <v>0.002920488343</v>
      </c>
      <c r="AU80" s="6">
        <f>Datos_originales!$U66/Datos_originales!$E66</f>
        <v>0.002083653484</v>
      </c>
      <c r="AV80" s="6">
        <f>Datos_originales!$V66/Datos_originales!$E66</f>
        <v>0.002372910237</v>
      </c>
      <c r="AW80" s="6">
        <f>Datos_originales!$W66/Datos_originales!$E66</f>
        <v>0.00415596638</v>
      </c>
      <c r="AX80" s="6">
        <f>Datos_originales!$X66/Datos_originales!$E66</f>
        <v>0.002439805347</v>
      </c>
      <c r="AY80" s="6">
        <f>Datos_originales!$Y66/Datos_originales!$E66</f>
        <v>0.001694556497</v>
      </c>
      <c r="AZ80" s="6">
        <f>Datos_originales!$Z66/Datos_originales!$E66</f>
        <v>0.001276318507</v>
      </c>
      <c r="BA80" s="6">
        <f>Datos_originales!$AA66/Datos_originales!$E66</f>
        <v>0.001619550713</v>
      </c>
      <c r="BB80" s="6">
        <f>Datos_originales!$AB66/Datos_originales!$E66</f>
        <v>0.001767409004</v>
      </c>
      <c r="BC80" s="6">
        <f>Datos_originales!$AC66/Datos_originales!$E66</f>
        <v>0.002152127663</v>
      </c>
      <c r="BD80" s="6">
        <f>Datos_originales!$AD66/Datos_originales!$E66</f>
        <v>0.004311720016</v>
      </c>
      <c r="BE80" s="6">
        <f>Datos_originales!$AE66/Datos_originales!$E66</f>
        <v>0.001050080967</v>
      </c>
      <c r="BF80" s="6">
        <f>Datos_originales!$AF66/Datos_originales!$E66</f>
        <v>0.001076063831</v>
      </c>
      <c r="BG80" s="6">
        <f>Datos_originales!$AG66/Datos_originales!$E66</f>
        <v>0.004026410936</v>
      </c>
    </row>
    <row r="81" ht="15.75" customHeight="1">
      <c r="A81" s="2">
        <v>21002.0</v>
      </c>
      <c r="B81" s="3" t="s">
        <v>89</v>
      </c>
      <c r="C81" s="4" t="s">
        <v>140</v>
      </c>
      <c r="D81" s="4">
        <f>IF(Datos_originales!$E81&lt;1000,"Bosque menor a 1000 ha",Datos_originales!$E81)</f>
        <v>23813.64</v>
      </c>
      <c r="E81" s="4">
        <v>23813.64</v>
      </c>
      <c r="F81" s="5">
        <f>AVERAGE(Datos_originales!$H64:$J64)</f>
        <v>380.58</v>
      </c>
      <c r="G81" s="5">
        <f>AVERAGE(Datos_originales!$R64:$T64)</f>
        <v>1377.57</v>
      </c>
      <c r="H81" s="4">
        <v>16.29</v>
      </c>
      <c r="I81" s="4">
        <v>17.19</v>
      </c>
      <c r="J81" s="4">
        <v>19.62</v>
      </c>
      <c r="K81" s="4">
        <v>10.89</v>
      </c>
      <c r="L81" s="4">
        <v>12.15</v>
      </c>
      <c r="M81" s="4">
        <v>11.97</v>
      </c>
      <c r="N81" s="4">
        <v>14.76</v>
      </c>
      <c r="O81" s="4">
        <v>14.22</v>
      </c>
      <c r="P81" s="4">
        <v>11.34</v>
      </c>
      <c r="Q81" s="4">
        <v>33.84</v>
      </c>
      <c r="R81" s="4">
        <v>24.03</v>
      </c>
      <c r="S81" s="4">
        <v>199.26</v>
      </c>
      <c r="T81" s="4">
        <v>148.77</v>
      </c>
      <c r="U81" s="4">
        <v>102.87</v>
      </c>
      <c r="V81" s="4">
        <v>95.76</v>
      </c>
      <c r="W81" s="4">
        <v>163.71</v>
      </c>
      <c r="X81" s="4">
        <v>32.13</v>
      </c>
      <c r="Y81" s="4">
        <v>25.65</v>
      </c>
      <c r="Z81" s="4">
        <v>21.78</v>
      </c>
      <c r="AA81" s="4">
        <v>23.94</v>
      </c>
      <c r="AB81" s="4">
        <v>28.62</v>
      </c>
      <c r="AC81" s="4">
        <v>39.78</v>
      </c>
      <c r="AD81" s="4">
        <v>43.11</v>
      </c>
      <c r="AE81" s="4">
        <v>30.78</v>
      </c>
      <c r="AF81" s="4">
        <v>223.02</v>
      </c>
      <c r="AG81" s="4">
        <v>633.33</v>
      </c>
      <c r="AH81" s="6">
        <f>Datos_originales!$H64/Datos_originales!$E64</f>
        <v>0.002313244539</v>
      </c>
      <c r="AI81" s="6">
        <f>Datos_originales!$I64/Datos_originales!$E64</f>
        <v>0.002519245329</v>
      </c>
      <c r="AJ81" s="6">
        <f>Datos_originales!$J64/Datos_originales!$E64</f>
        <v>0.003490204466</v>
      </c>
      <c r="AK81" s="6">
        <f>Datos_originales!$K64/Datos_originales!$E64</f>
        <v>0.002369665137</v>
      </c>
      <c r="AL81" s="6">
        <f>Datos_originales!$L64/Datos_originales!$E64</f>
        <v>0.002221397053</v>
      </c>
      <c r="AM81" s="6">
        <f>Datos_originales!$M64/Datos_originales!$E64</f>
        <v>0.001060182409</v>
      </c>
      <c r="AN81" s="6">
        <f>Datos_originales!$N64/Datos_originales!$E64</f>
        <v>0.004483469421</v>
      </c>
      <c r="AO81" s="6">
        <f>Datos_originales!$O64/Datos_originales!$E64</f>
        <v>0.004091149445</v>
      </c>
      <c r="AP81" s="6">
        <f>Datos_originales!$P64/Datos_originales!$E64</f>
        <v>0.008364025702</v>
      </c>
      <c r="AQ81" s="6">
        <f>Datos_originales!$Q64/Datos_originales!$E64</f>
        <v>0.004396214309</v>
      </c>
      <c r="AR81" s="6">
        <f>Datos_originales!$R64/Datos_originales!$E64</f>
        <v>0.000948653319</v>
      </c>
      <c r="AS81" s="6">
        <f>Datos_originales!$S64/Datos_originales!$E64</f>
        <v>0.02085987616</v>
      </c>
      <c r="AT81" s="6">
        <f>Datos_originales!$T64/Datos_originales!$E64</f>
        <v>0.008316789852</v>
      </c>
      <c r="AU81" s="6">
        <f>Datos_originales!$U64/Datos_originales!$E64</f>
        <v>0.002834150995</v>
      </c>
      <c r="AV81" s="6">
        <f>Datos_originales!$V64/Datos_originales!$E64</f>
        <v>0.002992915935</v>
      </c>
      <c r="AW81" s="6">
        <f>Datos_originales!$W64/Datos_originales!$E64</f>
        <v>0.004237449369</v>
      </c>
      <c r="AX81" s="6">
        <f>Datos_originales!$X64/Datos_originales!$E64</f>
        <v>0.002620277563</v>
      </c>
      <c r="AY81" s="6">
        <f>Datos_originales!$Y64/Datos_originales!$E64</f>
        <v>0.002451671821</v>
      </c>
      <c r="AZ81" s="6">
        <f>Datos_originales!$Z64/Datos_originales!$E64</f>
        <v>0.001307514568</v>
      </c>
      <c r="BA81" s="6">
        <f>Datos_originales!$AA64/Datos_originales!$E64</f>
        <v>0.005014872732</v>
      </c>
      <c r="BB81" s="6">
        <f>Datos_originales!$AB64/Datos_originales!$E64</f>
        <v>0.00462124065</v>
      </c>
      <c r="BC81" s="6">
        <f>Datos_originales!$AC64/Datos_originales!$E64</f>
        <v>0.008933480114</v>
      </c>
      <c r="BD81" s="6">
        <f>Datos_originales!$AD64/Datos_originales!$E64</f>
        <v>0.005338307093</v>
      </c>
      <c r="BE81" s="6">
        <f>Datos_originales!$AE64/Datos_originales!$E64</f>
        <v>0.001096921403</v>
      </c>
      <c r="BF81" s="6">
        <f>Datos_originales!$AF64/Datos_originales!$E64</f>
        <v>0.02168387932</v>
      </c>
      <c r="BG81" s="6">
        <f>Datos_originales!$AG64/Datos_originales!$E64</f>
        <v>0.0157820223</v>
      </c>
    </row>
    <row r="82" ht="15.75" customHeight="1">
      <c r="A82" s="2">
        <v>21003.0</v>
      </c>
      <c r="B82" s="3" t="s">
        <v>89</v>
      </c>
      <c r="C82" s="4" t="s">
        <v>141</v>
      </c>
      <c r="D82" s="4">
        <f>IF(Datos_originales!$E82&lt;1000,"Bosque menor a 1000 ha",Datos_originales!$E82)</f>
        <v>46961.19</v>
      </c>
      <c r="E82" s="4">
        <v>46961.19</v>
      </c>
      <c r="F82" s="5">
        <f>AVERAGE(Datos_originales!$H61:$J61)</f>
        <v>1.5</v>
      </c>
      <c r="G82" s="5">
        <f>AVERAGE(Datos_originales!$R61:$T61)</f>
        <v>9.39</v>
      </c>
      <c r="H82" s="4">
        <v>47.61</v>
      </c>
      <c r="I82" s="4">
        <v>81.72</v>
      </c>
      <c r="J82" s="4">
        <v>125.55</v>
      </c>
      <c r="K82" s="4">
        <v>68.67000000000002</v>
      </c>
      <c r="L82" s="4">
        <v>67.32</v>
      </c>
      <c r="M82" s="4">
        <v>46.8</v>
      </c>
      <c r="N82" s="4">
        <v>50.76</v>
      </c>
      <c r="O82" s="4">
        <v>60.12</v>
      </c>
      <c r="P82" s="4">
        <v>59.49</v>
      </c>
      <c r="Q82" s="4">
        <v>103.23</v>
      </c>
      <c r="R82" s="4">
        <v>149.49</v>
      </c>
      <c r="S82" s="4">
        <v>379.08</v>
      </c>
      <c r="T82" s="4">
        <v>830.34</v>
      </c>
      <c r="U82" s="4">
        <v>107.19</v>
      </c>
      <c r="V82" s="4">
        <v>146.61</v>
      </c>
      <c r="W82" s="4">
        <v>266.04</v>
      </c>
      <c r="X82" s="4">
        <v>90.36</v>
      </c>
      <c r="Y82" s="4">
        <v>82.62</v>
      </c>
      <c r="Z82" s="4">
        <v>55.17</v>
      </c>
      <c r="AA82" s="4">
        <v>57.33</v>
      </c>
      <c r="AB82" s="4">
        <v>81.27</v>
      </c>
      <c r="AC82" s="4">
        <v>74.43</v>
      </c>
      <c r="AD82" s="4">
        <v>112.86</v>
      </c>
      <c r="AE82" s="4">
        <v>158.04</v>
      </c>
      <c r="AF82" s="4">
        <v>408.15</v>
      </c>
      <c r="AG82" s="4">
        <v>1329.66</v>
      </c>
      <c r="AH82" s="6">
        <f>Datos_originales!$H61/Datos_originales!$E61</f>
        <v>0.003004694836</v>
      </c>
      <c r="AI82" s="6">
        <f>Datos_originales!$I61/Datos_originales!$E61</f>
        <v>0.0009389671362</v>
      </c>
      <c r="AJ82" s="6">
        <f>Datos_originales!$J61/Datos_originales!$E61</f>
        <v>0.0007511737089</v>
      </c>
      <c r="AK82" s="6">
        <f>Datos_originales!$K61/Datos_originales!$E61</f>
        <v>0.0008450704225</v>
      </c>
      <c r="AL82" s="6">
        <f>Datos_originales!$L61/Datos_originales!$E61</f>
        <v>0.0005633802817</v>
      </c>
      <c r="AM82" s="6">
        <f>Datos_originales!$M61/Datos_originales!$E61</f>
        <v>0.0008450704225</v>
      </c>
      <c r="AN82" s="6">
        <f>Datos_originales!$N61/Datos_originales!$E61</f>
        <v>0.002629107981</v>
      </c>
      <c r="AO82" s="6">
        <f>Datos_originales!$O61/Datos_originales!$E61</f>
        <v>0.001690140845</v>
      </c>
      <c r="AP82" s="6">
        <f>Datos_originales!$P61/Datos_originales!$E61</f>
        <v>0.008544600939</v>
      </c>
      <c r="AQ82" s="6">
        <f>Datos_originales!$Q61/Datos_originales!$E61</f>
        <v>0</v>
      </c>
      <c r="AR82" s="6">
        <f>Datos_originales!$R61/Datos_originales!$E61</f>
        <v>0.0002816901408</v>
      </c>
      <c r="AS82" s="6">
        <f>Datos_originales!$S61/Datos_originales!$E61</f>
        <v>0.003755868545</v>
      </c>
      <c r="AT82" s="6">
        <f>Datos_originales!$T61/Datos_originales!$E61</f>
        <v>0.02535211268</v>
      </c>
      <c r="AU82" s="6">
        <f>Datos_originales!$U61/Datos_originales!$E61</f>
        <v>0.01117370892</v>
      </c>
      <c r="AV82" s="6">
        <f>Datos_originales!$V61/Datos_originales!$E61</f>
        <v>0.006103286385</v>
      </c>
      <c r="AW82" s="6">
        <f>Datos_originales!$W61/Datos_originales!$E61</f>
        <v>0.01323943662</v>
      </c>
      <c r="AX82" s="6">
        <f>Datos_originales!$X61/Datos_originales!$E61</f>
        <v>0.0020657277</v>
      </c>
      <c r="AY82" s="6">
        <f>Datos_originales!$Y61/Datos_originales!$E61</f>
        <v>0.001408450704</v>
      </c>
      <c r="AZ82" s="6">
        <f>Datos_originales!$Z61/Datos_originales!$E61</f>
        <v>0.001690140845</v>
      </c>
      <c r="BA82" s="6">
        <f>Datos_originales!$AA61/Datos_originales!$E61</f>
        <v>0.003755868545</v>
      </c>
      <c r="BB82" s="6">
        <f>Datos_originales!$AB61/Datos_originales!$E61</f>
        <v>0.002629107981</v>
      </c>
      <c r="BC82" s="6">
        <f>Datos_originales!$AC61/Datos_originales!$E61</f>
        <v>0.009201877934</v>
      </c>
      <c r="BD82" s="6">
        <f>Datos_originales!$AD61/Datos_originales!$E61</f>
        <v>0.0001877934272</v>
      </c>
      <c r="BE82" s="6">
        <f>Datos_originales!$AE61/Datos_originales!$E61</f>
        <v>0.0002816901408</v>
      </c>
      <c r="BF82" s="6">
        <f>Datos_originales!$AF61/Datos_originales!$E61</f>
        <v>0.005633802817</v>
      </c>
      <c r="BG82" s="6">
        <f>Datos_originales!$AG61/Datos_originales!$E61</f>
        <v>0.06253521127</v>
      </c>
    </row>
    <row r="83" ht="15.75" customHeight="1">
      <c r="A83" s="2">
        <v>21004.0</v>
      </c>
      <c r="B83" s="3" t="s">
        <v>89</v>
      </c>
      <c r="C83" s="4" t="s">
        <v>142</v>
      </c>
      <c r="D83" s="4" t="str">
        <f>IF(Datos_originales!$E83&lt;1000,"Bosque menor a 1000 ha",Datos_originales!$E83)</f>
        <v>Bosque menor a 1000 ha</v>
      </c>
      <c r="E83" s="4">
        <v>366.03</v>
      </c>
      <c r="F83" s="5">
        <f>AVERAGE(Datos_originales!$H54:$J54)</f>
        <v>0</v>
      </c>
      <c r="G83" s="5">
        <f>AVERAGE(Datos_originales!$R54:$T54)</f>
        <v>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0.45</v>
      </c>
      <c r="Q83" s="4">
        <v>0.0</v>
      </c>
      <c r="R83" s="4">
        <v>0.09</v>
      </c>
      <c r="S83" s="4">
        <v>0.36</v>
      </c>
      <c r="T83" s="4">
        <v>1.62</v>
      </c>
      <c r="U83" s="4">
        <v>9.99</v>
      </c>
      <c r="V83" s="4">
        <v>4.319999999999999</v>
      </c>
      <c r="W83" s="4">
        <v>6.93</v>
      </c>
      <c r="X83" s="4">
        <v>0.72</v>
      </c>
      <c r="Y83" s="4">
        <v>0.81</v>
      </c>
      <c r="Z83" s="4">
        <v>1.26</v>
      </c>
      <c r="AA83" s="4">
        <v>1.17</v>
      </c>
      <c r="AB83" s="4">
        <v>0.36</v>
      </c>
      <c r="AC83" s="4">
        <v>1.08</v>
      </c>
      <c r="AD83" s="4">
        <v>0.27</v>
      </c>
      <c r="AE83" s="4">
        <v>0.36</v>
      </c>
      <c r="AF83" s="4">
        <v>0.9</v>
      </c>
      <c r="AG83" s="4">
        <v>12.51</v>
      </c>
      <c r="AH83" s="6" t="str">
        <f>Datos_originales!$H54/Datos_originales!$E54</f>
        <v>#DIV/0!</v>
      </c>
      <c r="AI83" s="6" t="str">
        <f>Datos_originales!$I54/Datos_originales!$E54</f>
        <v>#DIV/0!</v>
      </c>
      <c r="AJ83" s="6" t="str">
        <f>Datos_originales!$J54/Datos_originales!$E54</f>
        <v>#DIV/0!</v>
      </c>
      <c r="AK83" s="6" t="str">
        <f>Datos_originales!$K54/Datos_originales!$E54</f>
        <v>#DIV/0!</v>
      </c>
      <c r="AL83" s="6" t="str">
        <f>Datos_originales!$L54/Datos_originales!$E54</f>
        <v>#DIV/0!</v>
      </c>
      <c r="AM83" s="6" t="str">
        <f>Datos_originales!$M54/Datos_originales!$E54</f>
        <v>#DIV/0!</v>
      </c>
      <c r="AN83" s="6" t="str">
        <f>Datos_originales!$N54/Datos_originales!$E54</f>
        <v>#DIV/0!</v>
      </c>
      <c r="AO83" s="6" t="str">
        <f>Datos_originales!$O54/Datos_originales!$E54</f>
        <v>#DIV/0!</v>
      </c>
      <c r="AP83" s="6" t="str">
        <f>Datos_originales!$P54/Datos_originales!$E54</f>
        <v>#DIV/0!</v>
      </c>
      <c r="AQ83" s="6" t="str">
        <f>Datos_originales!$Q54/Datos_originales!$E54</f>
        <v>#DIV/0!</v>
      </c>
      <c r="AR83" s="6" t="str">
        <f>Datos_originales!$R54/Datos_originales!$E54</f>
        <v>#DIV/0!</v>
      </c>
      <c r="AS83" s="6" t="str">
        <f>Datos_originales!$S54/Datos_originales!$E54</f>
        <v>#DIV/0!</v>
      </c>
      <c r="AT83" s="6" t="str">
        <f>Datos_originales!$T54/Datos_originales!$E54</f>
        <v>#DIV/0!</v>
      </c>
      <c r="AU83" s="6" t="str">
        <f>Datos_originales!$U54/Datos_originales!$E54</f>
        <v>#DIV/0!</v>
      </c>
      <c r="AV83" s="6" t="str">
        <f>Datos_originales!$V54/Datos_originales!$E54</f>
        <v>#DIV/0!</v>
      </c>
      <c r="AW83" s="6" t="str">
        <f>Datos_originales!$W54/Datos_originales!$E54</f>
        <v>#DIV/0!</v>
      </c>
      <c r="AX83" s="6" t="str">
        <f>Datos_originales!$X54/Datos_originales!$E54</f>
        <v>#DIV/0!</v>
      </c>
      <c r="AY83" s="6" t="str">
        <f>Datos_originales!$Y54/Datos_originales!$E54</f>
        <v>#DIV/0!</v>
      </c>
      <c r="AZ83" s="6" t="str">
        <f>Datos_originales!$Z54/Datos_originales!$E54</f>
        <v>#DIV/0!</v>
      </c>
      <c r="BA83" s="6" t="str">
        <f>Datos_originales!$AA54/Datos_originales!$E54</f>
        <v>#DIV/0!</v>
      </c>
      <c r="BB83" s="6" t="str">
        <f>Datos_originales!$AB54/Datos_originales!$E54</f>
        <v>#DIV/0!</v>
      </c>
      <c r="BC83" s="6" t="str">
        <f>Datos_originales!$AC54/Datos_originales!$E54</f>
        <v>#DIV/0!</v>
      </c>
      <c r="BD83" s="6" t="str">
        <f>Datos_originales!$AD54/Datos_originales!$E54</f>
        <v>#DIV/0!</v>
      </c>
      <c r="BE83" s="6" t="str">
        <f>Datos_originales!$AE54/Datos_originales!$E54</f>
        <v>#DIV/0!</v>
      </c>
      <c r="BF83" s="6" t="str">
        <f>Datos_originales!$AF54/Datos_originales!$E54</f>
        <v>#DIV/0!</v>
      </c>
      <c r="BG83" s="6" t="str">
        <f>Datos_originales!$AG54/Datos_originales!$E54</f>
        <v>#DIV/0!</v>
      </c>
    </row>
    <row r="84" ht="15.75" customHeight="1">
      <c r="A84" s="2">
        <v>21005.0</v>
      </c>
      <c r="B84" s="3" t="s">
        <v>89</v>
      </c>
      <c r="C84" s="4" t="s">
        <v>143</v>
      </c>
      <c r="D84" s="4">
        <f>IF(Datos_originales!$E84&lt;1000,"Bosque menor a 1000 ha",Datos_originales!$E84)</f>
        <v>1748.52</v>
      </c>
      <c r="E84" s="4">
        <v>1748.52</v>
      </c>
      <c r="F84" s="5">
        <f>AVERAGE(Datos_originales!$H25:$J25)</f>
        <v>2.82</v>
      </c>
      <c r="G84" s="5">
        <f>AVERAGE(Datos_originales!$R25:$T25)</f>
        <v>13.83</v>
      </c>
      <c r="H84" s="4">
        <v>0.27</v>
      </c>
      <c r="I84" s="4">
        <v>0.18</v>
      </c>
      <c r="J84" s="4">
        <v>0.45</v>
      </c>
      <c r="K84" s="4">
        <v>0.27</v>
      </c>
      <c r="L84" s="4">
        <v>0.18</v>
      </c>
      <c r="M84" s="4">
        <v>0.0</v>
      </c>
      <c r="N84" s="4">
        <v>0.0</v>
      </c>
      <c r="O84" s="4">
        <v>0.09</v>
      </c>
      <c r="P84" s="4">
        <v>0.09</v>
      </c>
      <c r="Q84" s="4">
        <v>0.0</v>
      </c>
      <c r="R84" s="4">
        <v>0.0</v>
      </c>
      <c r="S84" s="4">
        <v>8.82</v>
      </c>
      <c r="T84" s="4">
        <v>41.22</v>
      </c>
      <c r="U84" s="4">
        <v>14.94</v>
      </c>
      <c r="V84" s="4">
        <v>9.63</v>
      </c>
      <c r="W84" s="4">
        <v>18.09</v>
      </c>
      <c r="X84" s="4">
        <v>5.040000000000001</v>
      </c>
      <c r="Y84" s="4">
        <v>4.32</v>
      </c>
      <c r="Z84" s="4">
        <v>2.34</v>
      </c>
      <c r="AA84" s="4">
        <v>3.24</v>
      </c>
      <c r="AB84" s="4">
        <v>4.14</v>
      </c>
      <c r="AC84" s="4">
        <v>5.85</v>
      </c>
      <c r="AD84" s="4">
        <v>4.77</v>
      </c>
      <c r="AE84" s="4">
        <v>3.78</v>
      </c>
      <c r="AF84" s="4">
        <v>11.97</v>
      </c>
      <c r="AG84" s="4">
        <v>152.82</v>
      </c>
      <c r="AH84" s="6">
        <f>Datos_originales!$H25/Datos_originales!$E25</f>
        <v>0.01041666667</v>
      </c>
      <c r="AI84" s="6">
        <f>Datos_originales!$I25/Datos_originales!$E25</f>
        <v>0.03571428571</v>
      </c>
      <c r="AJ84" s="6">
        <f>Datos_originales!$J25/Datos_originales!$E25</f>
        <v>0.02380952381</v>
      </c>
      <c r="AK84" s="6">
        <f>Datos_originales!$K25/Datos_originales!$E25</f>
        <v>0.01413690476</v>
      </c>
      <c r="AL84" s="6">
        <f>Datos_originales!$L25/Datos_originales!$E25</f>
        <v>0.03050595238</v>
      </c>
      <c r="AM84" s="6">
        <f>Datos_originales!$M25/Datos_originales!$E25</f>
        <v>0.01041666667</v>
      </c>
      <c r="AN84" s="6">
        <f>Datos_originales!$N25/Datos_originales!$E25</f>
        <v>0.01041666667</v>
      </c>
      <c r="AO84" s="6">
        <f>Datos_originales!$O25/Datos_originales!$E25</f>
        <v>0.0193452381</v>
      </c>
      <c r="AP84" s="6">
        <f>Datos_originales!$P25/Datos_originales!$E25</f>
        <v>0.009672619048</v>
      </c>
      <c r="AQ84" s="6">
        <f>Datos_originales!$Q25/Datos_originales!$E25</f>
        <v>0.00744047619</v>
      </c>
      <c r="AR84" s="6">
        <f>Datos_originales!$R25/Datos_originales!$E25</f>
        <v>0.000744047619</v>
      </c>
      <c r="AS84" s="6">
        <f>Datos_originales!$S25/Datos_originales!$E25</f>
        <v>0.03273809524</v>
      </c>
      <c r="AT84" s="6">
        <f>Datos_originales!$T25/Datos_originales!$E25</f>
        <v>0.3095238095</v>
      </c>
      <c r="AU84" s="6">
        <f>Datos_originales!$U25/Datos_originales!$E25</f>
        <v>0.01264880952</v>
      </c>
      <c r="AV84" s="6">
        <f>Datos_originales!$V25/Datos_originales!$E25</f>
        <v>0.04464285714</v>
      </c>
      <c r="AW84" s="6">
        <f>Datos_originales!$W25/Datos_originales!$E25</f>
        <v>0.03794642857</v>
      </c>
      <c r="AX84" s="6">
        <f>Datos_originales!$X25/Datos_originales!$E25</f>
        <v>0.015625</v>
      </c>
      <c r="AY84" s="6">
        <f>Datos_originales!$Y25/Datos_originales!$E25</f>
        <v>0.03571428571</v>
      </c>
      <c r="AZ84" s="6">
        <f>Datos_originales!$Z25/Datos_originales!$E25</f>
        <v>0.01339285714</v>
      </c>
      <c r="BA84" s="6">
        <f>Datos_originales!$AA25/Datos_originales!$E25</f>
        <v>0.01264880952</v>
      </c>
      <c r="BB84" s="6">
        <f>Datos_originales!$AB25/Datos_originales!$E25</f>
        <v>0.02306547619</v>
      </c>
      <c r="BC84" s="6">
        <f>Datos_originales!$AC25/Datos_originales!$E25</f>
        <v>0.009672619048</v>
      </c>
      <c r="BD84" s="6">
        <f>Datos_originales!$AD25/Datos_originales!$E25</f>
        <v>0.009672619048</v>
      </c>
      <c r="BE84" s="6">
        <f>Datos_originales!$AE25/Datos_originales!$E25</f>
        <v>0.001488095238</v>
      </c>
      <c r="BF84" s="6">
        <f>Datos_originales!$AF25/Datos_originales!$E25</f>
        <v>0.03273809524</v>
      </c>
      <c r="BG84" s="6">
        <f>Datos_originales!$AG25/Datos_originales!$E25</f>
        <v>0.484375</v>
      </c>
    </row>
    <row r="85" ht="15.75" customHeight="1">
      <c r="A85" s="2">
        <v>21006.0</v>
      </c>
      <c r="B85" s="3" t="s">
        <v>89</v>
      </c>
      <c r="C85" s="4" t="s">
        <v>144</v>
      </c>
      <c r="D85" s="4">
        <f>IF(Datos_originales!$E85&lt;1000,"Bosque menor a 1000 ha",Datos_originales!$E85)</f>
        <v>13737.87</v>
      </c>
      <c r="E85" s="4">
        <v>13737.87</v>
      </c>
      <c r="F85" s="5">
        <f>AVERAGE(Datos_originales!$H81:$J81)</f>
        <v>17.7</v>
      </c>
      <c r="G85" s="5">
        <f>AVERAGE(Datos_originales!$R81:$T81)</f>
        <v>124.02</v>
      </c>
      <c r="H85" s="4">
        <v>10.35</v>
      </c>
      <c r="I85" s="4">
        <v>11.34</v>
      </c>
      <c r="J85" s="4">
        <v>14.4</v>
      </c>
      <c r="K85" s="4">
        <v>8.1</v>
      </c>
      <c r="L85" s="4">
        <v>12.96</v>
      </c>
      <c r="M85" s="4">
        <v>10.17</v>
      </c>
      <c r="N85" s="4">
        <v>7.29</v>
      </c>
      <c r="O85" s="4">
        <v>9.45</v>
      </c>
      <c r="P85" s="4">
        <v>5.13</v>
      </c>
      <c r="Q85" s="4">
        <v>7.470000000000001</v>
      </c>
      <c r="R85" s="4">
        <v>6.029999999999999</v>
      </c>
      <c r="S85" s="4">
        <v>51.21</v>
      </c>
      <c r="T85" s="4">
        <v>151.2</v>
      </c>
      <c r="U85" s="4">
        <v>17.19</v>
      </c>
      <c r="V85" s="4">
        <v>21.78</v>
      </c>
      <c r="W85" s="4">
        <v>46.98</v>
      </c>
      <c r="X85" s="4">
        <v>10.08</v>
      </c>
      <c r="Y85" s="4">
        <v>17.73</v>
      </c>
      <c r="Z85" s="4">
        <v>11.88</v>
      </c>
      <c r="AA85" s="4">
        <v>8.64</v>
      </c>
      <c r="AB85" s="4">
        <v>11.7</v>
      </c>
      <c r="AC85" s="4">
        <v>9.18</v>
      </c>
      <c r="AD85" s="4">
        <v>9.899999999999999</v>
      </c>
      <c r="AE85" s="4">
        <v>6.75</v>
      </c>
      <c r="AF85" s="4">
        <v>56.25</v>
      </c>
      <c r="AG85" s="4">
        <v>261.63</v>
      </c>
      <c r="AH85" s="6">
        <f>Datos_originales!$H81/Datos_originales!$E81</f>
        <v>0.0006840617394</v>
      </c>
      <c r="AI85" s="6">
        <f>Datos_originales!$I81/Datos_originales!$E81</f>
        <v>0.0007218552057</v>
      </c>
      <c r="AJ85" s="6">
        <f>Datos_originales!$J81/Datos_originales!$E81</f>
        <v>0.0008238975646</v>
      </c>
      <c r="AK85" s="6">
        <f>Datos_originales!$K81/Datos_originales!$E81</f>
        <v>0.0004573009418</v>
      </c>
      <c r="AL85" s="6">
        <f>Datos_originales!$L81/Datos_originales!$E81</f>
        <v>0.0005102117946</v>
      </c>
      <c r="AM85" s="6">
        <f>Datos_originales!$M81/Datos_originales!$E81</f>
        <v>0.0005026531013</v>
      </c>
      <c r="AN85" s="6">
        <f>Datos_originales!$N81/Datos_originales!$E81</f>
        <v>0.0006198128468</v>
      </c>
      <c r="AO85" s="6">
        <f>Datos_originales!$O81/Datos_originales!$E81</f>
        <v>0.000597136767</v>
      </c>
      <c r="AP85" s="6">
        <f>Datos_originales!$P81/Datos_originales!$E81</f>
        <v>0.0004761976749</v>
      </c>
      <c r="AQ85" s="6">
        <f>Datos_originales!$Q81/Datos_originales!$E81</f>
        <v>0.001421034332</v>
      </c>
      <c r="AR85" s="6">
        <f>Datos_originales!$R81/Datos_originales!$E81</f>
        <v>0.001009085549</v>
      </c>
      <c r="AS85" s="6">
        <f>Datos_originales!$S81/Datos_originales!$E81</f>
        <v>0.008367473431</v>
      </c>
      <c r="AT85" s="6">
        <f>Datos_originales!$T81/Datos_originales!$E81</f>
        <v>0.006247259974</v>
      </c>
      <c r="AU85" s="6">
        <f>Datos_originales!$U81/Datos_originales!$E81</f>
        <v>0.004319793194</v>
      </c>
      <c r="AV85" s="6">
        <f>Datos_originales!$V81/Datos_originales!$E81</f>
        <v>0.004021224811</v>
      </c>
      <c r="AW85" s="6">
        <f>Datos_originales!$W81/Datos_originales!$E81</f>
        <v>0.006874631514</v>
      </c>
      <c r="AX85" s="6">
        <f>Datos_originales!$X81/Datos_originales!$E81</f>
        <v>0.001349226746</v>
      </c>
      <c r="AY85" s="6">
        <f>Datos_originales!$Y81/Datos_originales!$E81</f>
        <v>0.001077113789</v>
      </c>
      <c r="AZ85" s="6">
        <f>Datos_originales!$Z81/Datos_originales!$E81</f>
        <v>0.0009146018836</v>
      </c>
      <c r="BA85" s="6">
        <f>Datos_originales!$AA81/Datos_originales!$E81</f>
        <v>0.001005306203</v>
      </c>
      <c r="BB85" s="6">
        <f>Datos_originales!$AB81/Datos_originales!$E81</f>
        <v>0.001201832227</v>
      </c>
      <c r="BC85" s="6">
        <f>Datos_originales!$AC81/Datos_originales!$E81</f>
        <v>0.001670471209</v>
      </c>
      <c r="BD85" s="6">
        <f>Datos_originales!$AD81/Datos_originales!$E81</f>
        <v>0.001810307034</v>
      </c>
      <c r="BE85" s="6">
        <f>Datos_originales!$AE81/Datos_originales!$E81</f>
        <v>0.001292536546</v>
      </c>
      <c r="BF85" s="6">
        <f>Datos_originales!$AF81/Datos_originales!$E81</f>
        <v>0.009365220941</v>
      </c>
      <c r="BG85" s="6">
        <f>Datos_originales!$AG81/Datos_originales!$E81</f>
        <v>0.02659526221</v>
      </c>
    </row>
    <row r="86" ht="15.75" customHeight="1">
      <c r="A86" s="2">
        <v>21101.0</v>
      </c>
      <c r="B86" s="3" t="s">
        <v>89</v>
      </c>
      <c r="C86" s="4" t="s">
        <v>145</v>
      </c>
      <c r="D86" s="4">
        <f>IF(Datos_originales!$E86&lt;1000,"Bosque menor a 1000 ha",Datos_originales!$E86)</f>
        <v>18963.09</v>
      </c>
      <c r="E86" s="4">
        <v>18963.09</v>
      </c>
      <c r="F86" s="5">
        <f>AVERAGE(Datos_originales!$H108:$J108)</f>
        <v>0</v>
      </c>
      <c r="G86" s="5">
        <f>AVERAGE(Datos_originales!$R108:$T108)</f>
        <v>0</v>
      </c>
      <c r="H86" s="4">
        <v>37.08</v>
      </c>
      <c r="I86" s="4">
        <v>30.33</v>
      </c>
      <c r="J86" s="4">
        <v>70.65</v>
      </c>
      <c r="K86" s="4">
        <v>52.2</v>
      </c>
      <c r="L86" s="4">
        <v>38.52</v>
      </c>
      <c r="M86" s="4">
        <v>27.36</v>
      </c>
      <c r="N86" s="4">
        <v>36.99</v>
      </c>
      <c r="O86" s="4">
        <v>29.07</v>
      </c>
      <c r="P86" s="4">
        <v>73.53</v>
      </c>
      <c r="Q86" s="4">
        <v>21.69</v>
      </c>
      <c r="R86" s="4">
        <v>15.48</v>
      </c>
      <c r="S86" s="4">
        <v>1082.97</v>
      </c>
      <c r="T86" s="4">
        <v>185.49</v>
      </c>
      <c r="U86" s="4">
        <v>53.28</v>
      </c>
      <c r="V86" s="4">
        <v>37.98</v>
      </c>
      <c r="W86" s="4">
        <v>110.34</v>
      </c>
      <c r="X86" s="4">
        <v>59.31</v>
      </c>
      <c r="Y86" s="4">
        <v>44.19</v>
      </c>
      <c r="Z86" s="4">
        <v>29.52</v>
      </c>
      <c r="AA86" s="4">
        <v>39.87</v>
      </c>
      <c r="AB86" s="4">
        <v>31.59</v>
      </c>
      <c r="AC86" s="4">
        <v>74.88</v>
      </c>
      <c r="AD86" s="4">
        <v>26.01</v>
      </c>
      <c r="AE86" s="4">
        <v>16.92</v>
      </c>
      <c r="AF86" s="4">
        <v>1094.31</v>
      </c>
      <c r="AG86" s="4">
        <v>241.47</v>
      </c>
      <c r="AH86" s="6" t="str">
        <f>Datos_originales!$H108/Datos_originales!$E108</f>
        <v>#DIV/0!</v>
      </c>
      <c r="AI86" s="6" t="str">
        <f>Datos_originales!$I108/Datos_originales!$E108</f>
        <v>#DIV/0!</v>
      </c>
      <c r="AJ86" s="6" t="str">
        <f>Datos_originales!$J108/Datos_originales!$E108</f>
        <v>#DIV/0!</v>
      </c>
      <c r="AK86" s="6" t="str">
        <f>Datos_originales!$K108/Datos_originales!$E108</f>
        <v>#DIV/0!</v>
      </c>
      <c r="AL86" s="6" t="str">
        <f>Datos_originales!$L108/Datos_originales!$E108</f>
        <v>#DIV/0!</v>
      </c>
      <c r="AM86" s="6" t="str">
        <f>Datos_originales!$M108/Datos_originales!$E108</f>
        <v>#DIV/0!</v>
      </c>
      <c r="AN86" s="6" t="str">
        <f>Datos_originales!$N108/Datos_originales!$E108</f>
        <v>#DIV/0!</v>
      </c>
      <c r="AO86" s="6" t="str">
        <f>Datos_originales!$O108/Datos_originales!$E108</f>
        <v>#DIV/0!</v>
      </c>
      <c r="AP86" s="6" t="str">
        <f>Datos_originales!$P108/Datos_originales!$E108</f>
        <v>#DIV/0!</v>
      </c>
      <c r="AQ86" s="6" t="str">
        <f>Datos_originales!$Q108/Datos_originales!$E108</f>
        <v>#DIV/0!</v>
      </c>
      <c r="AR86" s="6" t="str">
        <f>Datos_originales!$R108/Datos_originales!$E108</f>
        <v>#DIV/0!</v>
      </c>
      <c r="AS86" s="6" t="str">
        <f>Datos_originales!$S108/Datos_originales!$E108</f>
        <v>#DIV/0!</v>
      </c>
      <c r="AT86" s="6" t="str">
        <f>Datos_originales!$T108/Datos_originales!$E108</f>
        <v>#DIV/0!</v>
      </c>
      <c r="AU86" s="6" t="str">
        <f>Datos_originales!$U108/Datos_originales!$E108</f>
        <v>#DIV/0!</v>
      </c>
      <c r="AV86" s="6" t="str">
        <f>Datos_originales!$V108/Datos_originales!$E108</f>
        <v>#DIV/0!</v>
      </c>
      <c r="AW86" s="6" t="str">
        <f>Datos_originales!$W108/Datos_originales!$E108</f>
        <v>#DIV/0!</v>
      </c>
      <c r="AX86" s="6" t="str">
        <f>Datos_originales!$X108/Datos_originales!$E108</f>
        <v>#DIV/0!</v>
      </c>
      <c r="AY86" s="6" t="str">
        <f>Datos_originales!$Y108/Datos_originales!$E108</f>
        <v>#DIV/0!</v>
      </c>
      <c r="AZ86" s="6" t="str">
        <f>Datos_originales!$Z108/Datos_originales!$E108</f>
        <v>#DIV/0!</v>
      </c>
      <c r="BA86" s="6" t="str">
        <f>Datos_originales!$AA108/Datos_originales!$E108</f>
        <v>#DIV/0!</v>
      </c>
      <c r="BB86" s="6" t="str">
        <f>Datos_originales!$AB108/Datos_originales!$E108</f>
        <v>#DIV/0!</v>
      </c>
      <c r="BC86" s="6" t="str">
        <f>Datos_originales!$AC108/Datos_originales!$E108</f>
        <v>#DIV/0!</v>
      </c>
      <c r="BD86" s="6" t="str">
        <f>Datos_originales!$AD108/Datos_originales!$E108</f>
        <v>#DIV/0!</v>
      </c>
      <c r="BE86" s="6" t="str">
        <f>Datos_originales!$AE108/Datos_originales!$E108</f>
        <v>#DIV/0!</v>
      </c>
      <c r="BF86" s="6" t="str">
        <f>Datos_originales!$AF108/Datos_originales!$E108</f>
        <v>#DIV/0!</v>
      </c>
      <c r="BG86" s="6" t="str">
        <f>Datos_originales!$AG108/Datos_originales!$E108</f>
        <v>#DIV/0!</v>
      </c>
    </row>
    <row r="87" ht="15.75" customHeight="1">
      <c r="A87" s="2">
        <v>21102.0</v>
      </c>
      <c r="B87" s="3" t="s">
        <v>89</v>
      </c>
      <c r="C87" s="4" t="s">
        <v>146</v>
      </c>
      <c r="D87" s="4">
        <f>IF(Datos_originales!$E87&lt;1000,"Bosque menor a 1000 ha",Datos_originales!$E87)</f>
        <v>75065.94</v>
      </c>
      <c r="E87" s="4">
        <v>75065.94</v>
      </c>
      <c r="F87" s="5">
        <f>AVERAGE(Datos_originales!$H59:$J59)</f>
        <v>459.36</v>
      </c>
      <c r="G87" s="5">
        <f>AVERAGE(Datos_originales!$R59:$T59)</f>
        <v>2020.08</v>
      </c>
      <c r="H87" s="4">
        <v>44.28</v>
      </c>
      <c r="I87" s="4">
        <v>75.06</v>
      </c>
      <c r="J87" s="4">
        <v>103.14</v>
      </c>
      <c r="K87" s="4">
        <v>60.12</v>
      </c>
      <c r="L87" s="4">
        <v>51.93000000000001</v>
      </c>
      <c r="M87" s="4">
        <v>52.83</v>
      </c>
      <c r="N87" s="4">
        <v>59.22</v>
      </c>
      <c r="O87" s="4">
        <v>29.52</v>
      </c>
      <c r="P87" s="4">
        <v>51.93</v>
      </c>
      <c r="Q87" s="4">
        <v>36.99</v>
      </c>
      <c r="R87" s="4">
        <v>74.34</v>
      </c>
      <c r="S87" s="4">
        <v>909.27</v>
      </c>
      <c r="T87" s="4">
        <v>1444.41</v>
      </c>
      <c r="U87" s="4">
        <v>170.19</v>
      </c>
      <c r="V87" s="4">
        <v>200.97</v>
      </c>
      <c r="W87" s="4">
        <v>316.89</v>
      </c>
      <c r="X87" s="4">
        <v>112.23</v>
      </c>
      <c r="Y87" s="4">
        <v>74.07</v>
      </c>
      <c r="Z87" s="4">
        <v>65.43</v>
      </c>
      <c r="AA87" s="4">
        <v>75.69</v>
      </c>
      <c r="AB87" s="4">
        <v>42.84</v>
      </c>
      <c r="AC87" s="4">
        <v>67.14</v>
      </c>
      <c r="AD87" s="4">
        <v>60.39</v>
      </c>
      <c r="AE87" s="4">
        <v>82.62</v>
      </c>
      <c r="AF87" s="4">
        <v>972.99</v>
      </c>
      <c r="AG87" s="4">
        <v>2210.13</v>
      </c>
      <c r="AH87" s="6">
        <f>Datos_originales!$H59/Datos_originales!$E59</f>
        <v>0.0008721707488</v>
      </c>
      <c r="AI87" s="6">
        <f>Datos_originales!$I59/Datos_originales!$E59</f>
        <v>0.001839640464</v>
      </c>
      <c r="AJ87" s="6">
        <f>Datos_originales!$J59/Datos_originales!$E59</f>
        <v>0.002444435315</v>
      </c>
      <c r="AK87" s="6">
        <f>Datos_originales!$K59/Datos_originales!$E59</f>
        <v>0.001648369041</v>
      </c>
      <c r="AL87" s="6">
        <f>Datos_originales!$L59/Datos_originales!$E59</f>
        <v>0.001999931304</v>
      </c>
      <c r="AM87" s="6">
        <f>Datos_originales!$M59/Datos_originales!$E59</f>
        <v>0.001410289998</v>
      </c>
      <c r="AN87" s="6">
        <f>Datos_originales!$N59/Datos_originales!$E59</f>
        <v>0.001737606588</v>
      </c>
      <c r="AO87" s="6">
        <f>Datos_originales!$O59/Datos_originales!$E59</f>
        <v>0.001517375056</v>
      </c>
      <c r="AP87" s="6">
        <f>Datos_originales!$P59/Datos_originales!$E59</f>
        <v>0.00296437031</v>
      </c>
      <c r="AQ87" s="6">
        <f>Datos_originales!$Q59/Datos_originales!$E59</f>
        <v>0.001981410303</v>
      </c>
      <c r="AR87" s="6">
        <f>Datos_originales!$R59/Datos_originales!$E59</f>
        <v>0.0008987736404</v>
      </c>
      <c r="AS87" s="6">
        <f>Datos_originales!$S59/Datos_originales!$E59</f>
        <v>0.01756969452</v>
      </c>
      <c r="AT87" s="6">
        <f>Datos_originales!$T59/Datos_originales!$E59</f>
        <v>0.004206624322</v>
      </c>
      <c r="AU87" s="6">
        <f>Datos_originales!$U59/Datos_originales!$E59</f>
        <v>0.001507609437</v>
      </c>
      <c r="AV87" s="6">
        <f>Datos_originales!$V59/Datos_originales!$E59</f>
        <v>0.002148436053</v>
      </c>
      <c r="AW87" s="6">
        <f>Datos_originales!$W59/Datos_originales!$E59</f>
        <v>0.002974809419</v>
      </c>
      <c r="AX87" s="6">
        <f>Datos_originales!$X59/Datos_originales!$E59</f>
        <v>0.001907663047</v>
      </c>
      <c r="AY87" s="6">
        <f>Datos_originales!$Y59/Datos_originales!$E59</f>
        <v>0.002151803508</v>
      </c>
      <c r="AZ87" s="6">
        <f>Datos_originales!$Z59/Datos_originales!$E59</f>
        <v>0.001494476364</v>
      </c>
      <c r="BA87" s="6">
        <f>Datos_originales!$AA59/Datos_originales!$E59</f>
        <v>0.001910020265</v>
      </c>
      <c r="BB87" s="6">
        <f>Datos_originales!$AB59/Datos_originales!$E59</f>
        <v>0.002088495361</v>
      </c>
      <c r="BC87" s="6">
        <f>Datos_originales!$AC59/Datos_originales!$E59</f>
        <v>0.003239154607</v>
      </c>
      <c r="BD87" s="6">
        <f>Datos_originales!$AD59/Datos_originales!$E59</f>
        <v>0.002403689114</v>
      </c>
      <c r="BE87" s="6">
        <f>Datos_originales!$AE59/Datos_originales!$E59</f>
        <v>0.00095669386</v>
      </c>
      <c r="BF87" s="6">
        <f>Datos_originales!$AF59/Datos_originales!$E59</f>
        <v>0.01799365706</v>
      </c>
      <c r="BG87" s="6">
        <f>Datos_originales!$AG59/Datos_originales!$E59</f>
        <v>0.007579130133</v>
      </c>
    </row>
    <row r="88" ht="15.75" customHeight="1">
      <c r="A88" s="2">
        <v>21103.0</v>
      </c>
      <c r="B88" s="3" t="s">
        <v>89</v>
      </c>
      <c r="C88" s="4" t="s">
        <v>147</v>
      </c>
      <c r="D88" s="4">
        <f>IF(Datos_originales!$E88&lt;1000,"Bosque menor a 1000 ha",Datos_originales!$E88)</f>
        <v>21799.26</v>
      </c>
      <c r="E88" s="4">
        <v>21799.26</v>
      </c>
      <c r="F88" s="5">
        <f>AVERAGE(Datos_originales!$H100:$J100)</f>
        <v>0</v>
      </c>
      <c r="G88" s="5">
        <f>AVERAGE(Datos_originales!$R100:$T100)</f>
        <v>0</v>
      </c>
      <c r="H88" s="4">
        <v>8.19</v>
      </c>
      <c r="I88" s="4">
        <v>2.34</v>
      </c>
      <c r="J88" s="4">
        <v>12.42</v>
      </c>
      <c r="K88" s="4">
        <v>9.36</v>
      </c>
      <c r="L88" s="4">
        <v>14.76</v>
      </c>
      <c r="M88" s="4">
        <v>4.86</v>
      </c>
      <c r="N88" s="4">
        <v>12.33</v>
      </c>
      <c r="O88" s="4">
        <v>6.93</v>
      </c>
      <c r="P88" s="4">
        <v>39.69</v>
      </c>
      <c r="Q88" s="4">
        <v>6.12</v>
      </c>
      <c r="R88" s="4">
        <v>4.77</v>
      </c>
      <c r="S88" s="4">
        <v>189.99</v>
      </c>
      <c r="T88" s="4">
        <v>42.39</v>
      </c>
      <c r="U88" s="4">
        <v>78.75</v>
      </c>
      <c r="V88" s="4">
        <v>29.34</v>
      </c>
      <c r="W88" s="4">
        <v>91.98</v>
      </c>
      <c r="X88" s="4">
        <v>25.38</v>
      </c>
      <c r="Y88" s="4">
        <v>23.31</v>
      </c>
      <c r="Z88" s="4">
        <v>13.95</v>
      </c>
      <c r="AA88" s="4">
        <v>46.35</v>
      </c>
      <c r="AB88" s="4">
        <v>25.47</v>
      </c>
      <c r="AC88" s="4">
        <v>52.92</v>
      </c>
      <c r="AD88" s="4">
        <v>13.86</v>
      </c>
      <c r="AE88" s="4">
        <v>6.119999999999999</v>
      </c>
      <c r="AF88" s="4">
        <v>210.6</v>
      </c>
      <c r="AG88" s="4">
        <v>319.5</v>
      </c>
      <c r="AH88" s="6" t="str">
        <f>Datos_originales!$H100/Datos_originales!$E100</f>
        <v>#DIV/0!</v>
      </c>
      <c r="AI88" s="6" t="str">
        <f>Datos_originales!$I100/Datos_originales!$E100</f>
        <v>#DIV/0!</v>
      </c>
      <c r="AJ88" s="6" t="str">
        <f>Datos_originales!$J100/Datos_originales!$E100</f>
        <v>#DIV/0!</v>
      </c>
      <c r="AK88" s="6" t="str">
        <f>Datos_originales!$K100/Datos_originales!$E100</f>
        <v>#DIV/0!</v>
      </c>
      <c r="AL88" s="6" t="str">
        <f>Datos_originales!$L100/Datos_originales!$E100</f>
        <v>#DIV/0!</v>
      </c>
      <c r="AM88" s="6" t="str">
        <f>Datos_originales!$M100/Datos_originales!$E100</f>
        <v>#DIV/0!</v>
      </c>
      <c r="AN88" s="6" t="str">
        <f>Datos_originales!$N100/Datos_originales!$E100</f>
        <v>#DIV/0!</v>
      </c>
      <c r="AO88" s="6" t="str">
        <f>Datos_originales!$O100/Datos_originales!$E100</f>
        <v>#DIV/0!</v>
      </c>
      <c r="AP88" s="6" t="str">
        <f>Datos_originales!$P100/Datos_originales!$E100</f>
        <v>#DIV/0!</v>
      </c>
      <c r="AQ88" s="6" t="str">
        <f>Datos_originales!$Q100/Datos_originales!$E100</f>
        <v>#DIV/0!</v>
      </c>
      <c r="AR88" s="6" t="str">
        <f>Datos_originales!$R100/Datos_originales!$E100</f>
        <v>#DIV/0!</v>
      </c>
      <c r="AS88" s="6" t="str">
        <f>Datos_originales!$S100/Datos_originales!$E100</f>
        <v>#DIV/0!</v>
      </c>
      <c r="AT88" s="6" t="str">
        <f>Datos_originales!$T100/Datos_originales!$E100</f>
        <v>#DIV/0!</v>
      </c>
      <c r="AU88" s="6" t="str">
        <f>Datos_originales!$U100/Datos_originales!$E100</f>
        <v>#DIV/0!</v>
      </c>
      <c r="AV88" s="6" t="str">
        <f>Datos_originales!$V100/Datos_originales!$E100</f>
        <v>#DIV/0!</v>
      </c>
      <c r="AW88" s="6" t="str">
        <f>Datos_originales!$W100/Datos_originales!$E100</f>
        <v>#DIV/0!</v>
      </c>
      <c r="AX88" s="6" t="str">
        <f>Datos_originales!$X100/Datos_originales!$E100</f>
        <v>#DIV/0!</v>
      </c>
      <c r="AY88" s="6" t="str">
        <f>Datos_originales!$Y100/Datos_originales!$E100</f>
        <v>#DIV/0!</v>
      </c>
      <c r="AZ88" s="6" t="str">
        <f>Datos_originales!$Z100/Datos_originales!$E100</f>
        <v>#DIV/0!</v>
      </c>
      <c r="BA88" s="6" t="str">
        <f>Datos_originales!$AA100/Datos_originales!$E100</f>
        <v>#DIV/0!</v>
      </c>
      <c r="BB88" s="6" t="str">
        <f>Datos_originales!$AB100/Datos_originales!$E100</f>
        <v>#DIV/0!</v>
      </c>
      <c r="BC88" s="6" t="str">
        <f>Datos_originales!$AC100/Datos_originales!$E100</f>
        <v>#DIV/0!</v>
      </c>
      <c r="BD88" s="6" t="str">
        <f>Datos_originales!$AD100/Datos_originales!$E100</f>
        <v>#DIV/0!</v>
      </c>
      <c r="BE88" s="6" t="str">
        <f>Datos_originales!$AE100/Datos_originales!$E100</f>
        <v>#DIV/0!</v>
      </c>
      <c r="BF88" s="6" t="str">
        <f>Datos_originales!$AF100/Datos_originales!$E100</f>
        <v>#DIV/0!</v>
      </c>
      <c r="BG88" s="6" t="str">
        <f>Datos_originales!$AG100/Datos_originales!$E100</f>
        <v>#DIV/0!</v>
      </c>
    </row>
    <row r="89" ht="15.75" customHeight="1">
      <c r="A89" s="2">
        <v>21104.0</v>
      </c>
      <c r="B89" s="3" t="s">
        <v>89</v>
      </c>
      <c r="C89" s="4" t="s">
        <v>148</v>
      </c>
      <c r="D89" s="4">
        <f>IF(Datos_originales!$E89&lt;1000,"Bosque menor a 1000 ha",Datos_originales!$E89)</f>
        <v>348032.16</v>
      </c>
      <c r="E89" s="4">
        <v>348032.16</v>
      </c>
      <c r="F89" s="5">
        <f>AVERAGE(Datos_originales!$H107:$J107)</f>
        <v>0.42</v>
      </c>
      <c r="G89" s="5">
        <f>AVERAGE(Datos_originales!$R107:$T107)</f>
        <v>7.08</v>
      </c>
      <c r="H89" s="4">
        <v>1113.48</v>
      </c>
      <c r="I89" s="4">
        <v>1621.53</v>
      </c>
      <c r="J89" s="4">
        <v>1940.85</v>
      </c>
      <c r="K89" s="4">
        <v>1730.43</v>
      </c>
      <c r="L89" s="4">
        <v>1721.52</v>
      </c>
      <c r="M89" s="4">
        <v>946.62</v>
      </c>
      <c r="N89" s="4">
        <v>1678.59</v>
      </c>
      <c r="O89" s="4">
        <v>1811.7</v>
      </c>
      <c r="P89" s="4">
        <v>2373.39</v>
      </c>
      <c r="Q89" s="4">
        <v>1935.0</v>
      </c>
      <c r="R89" s="4">
        <v>832.95</v>
      </c>
      <c r="S89" s="4">
        <v>4443.3</v>
      </c>
      <c r="T89" s="4">
        <v>3303.72</v>
      </c>
      <c r="U89" s="4">
        <v>1413.36</v>
      </c>
      <c r="V89" s="4">
        <v>1815.93</v>
      </c>
      <c r="W89" s="4">
        <v>2702.16</v>
      </c>
      <c r="X89" s="4">
        <v>2168.01</v>
      </c>
      <c r="Y89" s="4">
        <v>1903.32</v>
      </c>
      <c r="Z89" s="4">
        <v>1037.16</v>
      </c>
      <c r="AA89" s="4">
        <v>1776.87</v>
      </c>
      <c r="AB89" s="4">
        <v>1962.36</v>
      </c>
      <c r="AC89" s="4">
        <v>2461.95</v>
      </c>
      <c r="AD89" s="4">
        <v>2100.24</v>
      </c>
      <c r="AE89" s="4">
        <v>866.52</v>
      </c>
      <c r="AF89" s="4">
        <v>4544.19</v>
      </c>
      <c r="AG89" s="4">
        <v>4602.96</v>
      </c>
      <c r="AH89" s="6">
        <f>Datos_originales!$H107/Datos_originales!$E107</f>
        <v>0</v>
      </c>
      <c r="AI89" s="6">
        <f>Datos_originales!$I107/Datos_originales!$E107</f>
        <v>0.0001153209066</v>
      </c>
      <c r="AJ89" s="6">
        <f>Datos_originales!$J107/Datos_originales!$E107</f>
        <v>0.00003145115635</v>
      </c>
      <c r="AK89" s="6">
        <f>Datos_originales!$K107/Datos_originales!$E107</f>
        <v>0</v>
      </c>
      <c r="AL89" s="6">
        <f>Datos_originales!$L107/Datos_originales!$E107</f>
        <v>0</v>
      </c>
      <c r="AM89" s="6">
        <f>Datos_originales!$M107/Datos_originales!$E107</f>
        <v>0</v>
      </c>
      <c r="AN89" s="6">
        <f>Datos_originales!$N107/Datos_originales!$E107</f>
        <v>0</v>
      </c>
      <c r="AO89" s="6">
        <f>Datos_originales!$O107/Datos_originales!$E107</f>
        <v>0</v>
      </c>
      <c r="AP89" s="6">
        <f>Datos_originales!$P107/Datos_originales!$E107</f>
        <v>0.00001048371878</v>
      </c>
      <c r="AQ89" s="6">
        <f>Datos_originales!$Q107/Datos_originales!$E107</f>
        <v>0</v>
      </c>
      <c r="AR89" s="6">
        <f>Datos_originales!$R107/Datos_originales!$E107</f>
        <v>0.00005241859392</v>
      </c>
      <c r="AS89" s="6">
        <f>Datos_originales!$S107/Datos_originales!$E107</f>
        <v>0.001666911287</v>
      </c>
      <c r="AT89" s="6">
        <f>Datos_originales!$T107/Datos_originales!$E107</f>
        <v>0.0007548277525</v>
      </c>
      <c r="AU89" s="6">
        <f>Datos_originales!$U107/Datos_originales!$E107</f>
        <v>0.00974985847</v>
      </c>
      <c r="AV89" s="6">
        <f>Datos_originales!$V107/Datos_originales!$E107</f>
        <v>0.0113853186</v>
      </c>
      <c r="AW89" s="6">
        <f>Datos_originales!$W107/Datos_originales!$E107</f>
        <v>0.006709580022</v>
      </c>
      <c r="AX89" s="6">
        <f>Datos_originales!$X107/Datos_originales!$E107</f>
        <v>0.005409598893</v>
      </c>
      <c r="AY89" s="6">
        <f>Datos_originales!$Y107/Datos_originales!$E107</f>
        <v>0.003291887698</v>
      </c>
      <c r="AZ89" s="6">
        <f>Datos_originales!$Z107/Datos_originales!$E107</f>
        <v>0.005042668735</v>
      </c>
      <c r="BA89" s="6">
        <f>Datos_originales!$AA107/Datos_originales!$E107</f>
        <v>0.0056926593</v>
      </c>
      <c r="BB89" s="6">
        <f>Datos_originales!$AB107/Datos_originales!$E107</f>
        <v>0.005189440798</v>
      </c>
      <c r="BC89" s="6">
        <f>Datos_originales!$AC107/Datos_originales!$E107</f>
        <v>0.002767701759</v>
      </c>
      <c r="BD89" s="6">
        <f>Datos_originales!$AD107/Datos_originales!$E107</f>
        <v>0.007464407775</v>
      </c>
      <c r="BE89" s="6">
        <f>Datos_originales!$AE107/Datos_originales!$E107</f>
        <v>0.001740297318</v>
      </c>
      <c r="BF89" s="6">
        <f>Datos_originales!$AF107/Datos_originales!$E107</f>
        <v>0.001771748475</v>
      </c>
      <c r="BG89" s="6">
        <f>Datos_originales!$AG107/Datos_originales!$E107</f>
        <v>0.001803199631</v>
      </c>
    </row>
    <row r="90" ht="15.75" customHeight="1">
      <c r="A90" s="2">
        <v>21105.0</v>
      </c>
      <c r="B90" s="3" t="s">
        <v>89</v>
      </c>
      <c r="C90" s="4" t="s">
        <v>149</v>
      </c>
      <c r="D90" s="4">
        <f>IF(Datos_originales!$E90&lt;1000,"Bosque menor a 1000 ha",Datos_originales!$E90)</f>
        <v>263953.26</v>
      </c>
      <c r="E90" s="4">
        <v>263953.26</v>
      </c>
      <c r="F90" s="5">
        <f>AVERAGE(Datos_originales!$H117:$J117)</f>
        <v>782.7</v>
      </c>
      <c r="G90" s="5">
        <f>AVERAGE(Datos_originales!$R117:$T117)</f>
        <v>1688.64</v>
      </c>
      <c r="H90" s="4">
        <v>340.2</v>
      </c>
      <c r="I90" s="4">
        <v>757.26</v>
      </c>
      <c r="J90" s="4">
        <v>832.23</v>
      </c>
      <c r="K90" s="4">
        <v>628.02</v>
      </c>
      <c r="L90" s="4">
        <v>728.37</v>
      </c>
      <c r="M90" s="4">
        <v>448.29</v>
      </c>
      <c r="N90" s="4">
        <v>430.83</v>
      </c>
      <c r="O90" s="4">
        <v>674.91</v>
      </c>
      <c r="P90" s="4">
        <v>1060.65</v>
      </c>
      <c r="Q90" s="4">
        <v>1088.64</v>
      </c>
      <c r="R90" s="4">
        <v>222.12</v>
      </c>
      <c r="S90" s="4">
        <v>4654.17</v>
      </c>
      <c r="T90" s="4">
        <v>2504.52</v>
      </c>
      <c r="U90" s="4">
        <v>414.45</v>
      </c>
      <c r="V90" s="4">
        <v>841.59</v>
      </c>
      <c r="W90" s="4">
        <v>948.87</v>
      </c>
      <c r="X90" s="4">
        <v>666.27</v>
      </c>
      <c r="Y90" s="4">
        <v>756.63</v>
      </c>
      <c r="Z90" s="4">
        <v>464.4</v>
      </c>
      <c r="AA90" s="4">
        <v>453.87</v>
      </c>
      <c r="AB90" s="4">
        <v>745.47</v>
      </c>
      <c r="AC90" s="4">
        <v>1090.35</v>
      </c>
      <c r="AD90" s="4">
        <v>1110.51</v>
      </c>
      <c r="AE90" s="4">
        <v>233.82</v>
      </c>
      <c r="AF90" s="4">
        <v>4739.04</v>
      </c>
      <c r="AG90" s="4">
        <v>2920.14</v>
      </c>
      <c r="AH90" s="6">
        <f>Datos_originales!$H117/Datos_originales!$E117</f>
        <v>0.006145766192</v>
      </c>
      <c r="AI90" s="6">
        <f>Datos_originales!$I117/Datos_originales!$E117</f>
        <v>0.009156580487</v>
      </c>
      <c r="AJ90" s="6">
        <f>Datos_originales!$J117/Datos_originales!$E117</f>
        <v>0.00961111509</v>
      </c>
      <c r="AK90" s="6">
        <f>Datos_originales!$K117/Datos_originales!$E117</f>
        <v>0.007508415097</v>
      </c>
      <c r="AL90" s="6">
        <f>Datos_originales!$L117/Datos_originales!$E117</f>
        <v>0.005883167419</v>
      </c>
      <c r="AM90" s="6">
        <f>Datos_originales!$M117/Datos_originales!$E117</f>
        <v>0.002654634868</v>
      </c>
      <c r="AN90" s="6">
        <f>Datos_originales!$N117/Datos_originales!$E117</f>
        <v>0.008611329943</v>
      </c>
      <c r="AO90" s="6">
        <f>Datos_originales!$O117/Datos_originales!$E117</f>
        <v>0.00845186087</v>
      </c>
      <c r="AP90" s="6">
        <f>Datos_originales!$P117/Datos_originales!$E117</f>
        <v>0.0107694144</v>
      </c>
      <c r="AQ90" s="6">
        <f>Datos_originales!$Q117/Datos_originales!$E117</f>
        <v>0.006898231039</v>
      </c>
      <c r="AR90" s="6">
        <f>Datos_originales!$R117/Datos_originales!$E117</f>
        <v>0.004004870014</v>
      </c>
      <c r="AS90" s="6">
        <f>Datos_originales!$S117/Datos_originales!$E117</f>
        <v>0.02456683139</v>
      </c>
      <c r="AT90" s="6">
        <f>Datos_originales!$T117/Datos_originales!$E117</f>
        <v>0.02517797035</v>
      </c>
      <c r="AU90" s="6">
        <f>Datos_originales!$U117/Datos_originales!$E117</f>
        <v>0.006614624364</v>
      </c>
      <c r="AV90" s="6">
        <f>Datos_originales!$V117/Datos_originales!$E117</f>
        <v>0.0093657046</v>
      </c>
      <c r="AW90" s="6">
        <f>Datos_originales!$W117/Datos_originales!$E117</f>
        <v>0.01062044928</v>
      </c>
      <c r="AX90" s="6">
        <f>Datos_originales!$X117/Datos_originales!$E117</f>
        <v>0.007593401609</v>
      </c>
      <c r="AY90" s="6">
        <f>Datos_originales!$Y117/Datos_originales!$E117</f>
        <v>0.005947146029</v>
      </c>
      <c r="AZ90" s="6">
        <f>Datos_originales!$Z117/Datos_originales!$E117</f>
        <v>0.002696650672</v>
      </c>
      <c r="BA90" s="6">
        <f>Datos_originales!$AA117/Datos_originales!$E117</f>
        <v>0.008707775311</v>
      </c>
      <c r="BB90" s="6">
        <f>Datos_originales!$AB117/Datos_originales!$E117</f>
        <v>0.008719234166</v>
      </c>
      <c r="BC90" s="6">
        <f>Datos_originales!$AC117/Datos_originales!$E117</f>
        <v>0.01086013034</v>
      </c>
      <c r="BD90" s="6">
        <f>Datos_originales!$AD117/Datos_originales!$E117</f>
        <v>0.007012819595</v>
      </c>
      <c r="BE90" s="6">
        <f>Datos_originales!$AE117/Datos_originales!$E117</f>
        <v>0.004065029005</v>
      </c>
      <c r="BF90" s="6">
        <f>Datos_originales!$AF117/Datos_originales!$E117</f>
        <v>0.02474921817</v>
      </c>
      <c r="BG90" s="6">
        <f>Datos_originales!$AG117/Datos_originales!$E117</f>
        <v>0.02603642961</v>
      </c>
    </row>
    <row r="91" ht="15.75" customHeight="1">
      <c r="A91" s="2">
        <v>21201.0</v>
      </c>
      <c r="B91" s="3" t="s">
        <v>89</v>
      </c>
      <c r="C91" s="4" t="s">
        <v>150</v>
      </c>
      <c r="D91" s="4" t="str">
        <f>IF(Datos_originales!$E91&lt;1000,"Bosque menor a 1000 ha",Datos_originales!$E91)</f>
        <v>Bosque menor a 1000 ha</v>
      </c>
      <c r="E91" s="4">
        <v>0.9</v>
      </c>
      <c r="F91" s="5">
        <f>AVERAGE(Datos_originales!$H320:$J320)</f>
        <v>501.63</v>
      </c>
      <c r="G91" s="5">
        <f>AVERAGE(Datos_originales!$R320:$T320)</f>
        <v>1214.58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0.09</v>
      </c>
      <c r="X91" s="4">
        <v>0.09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0.0</v>
      </c>
      <c r="AG91" s="4">
        <v>0.0</v>
      </c>
      <c r="AH91" s="6">
        <f>Datos_originales!$H320/Datos_originales!$E320</f>
        <v>0.0003829532433</v>
      </c>
      <c r="AI91" s="6">
        <f>Datos_originales!$I320/Datos_originales!$E320</f>
        <v>0.0005591684444</v>
      </c>
      <c r="AJ91" s="6">
        <f>Datos_originales!$J320/Datos_originales!$E320</f>
        <v>0.0004523385</v>
      </c>
      <c r="AK91" s="6">
        <f>Datos_originales!$K320/Datos_originales!$E320</f>
        <v>0.0003969637279</v>
      </c>
      <c r="AL91" s="6">
        <f>Datos_originales!$L320/Datos_originales!$E320</f>
        <v>0.0004068878211</v>
      </c>
      <c r="AM91" s="6">
        <f>Datos_originales!$M320/Datos_originales!$E320</f>
        <v>0.0007995983661</v>
      </c>
      <c r="AN91" s="6">
        <f>Datos_originales!$N320/Datos_originales!$E320</f>
        <v>0.0003444244109</v>
      </c>
      <c r="AO91" s="6">
        <f>Datos_originales!$O320/Datos_originales!$E320</f>
        <v>0.0004932858089</v>
      </c>
      <c r="AP91" s="6">
        <f>Datos_originales!$P320/Datos_originales!$E320</f>
        <v>0.000828953667</v>
      </c>
      <c r="AQ91" s="6">
        <f>Datos_originales!$Q320/Datos_originales!$E320</f>
        <v>0.0009431224366</v>
      </c>
      <c r="AR91" s="6">
        <f>Datos_originales!$R320/Datos_originales!$E320</f>
        <v>0.0004795255116</v>
      </c>
      <c r="AS91" s="6">
        <f>Datos_originales!$S320/Datos_originales!$E320</f>
        <v>0.00167150084</v>
      </c>
      <c r="AT91" s="6">
        <f>Datos_originales!$T320/Datos_originales!$E320</f>
        <v>0.001225333625</v>
      </c>
      <c r="AU91" s="6">
        <f>Datos_originales!$U320/Datos_originales!$E320</f>
        <v>0.009685414585</v>
      </c>
      <c r="AV91" s="6">
        <f>Datos_originales!$V320/Datos_originales!$E320</f>
        <v>0.005279200602</v>
      </c>
      <c r="AW91" s="6">
        <f>Datos_originales!$W320/Datos_originales!$E320</f>
        <v>0.006672910228</v>
      </c>
      <c r="AX91" s="6">
        <f>Datos_originales!$X320/Datos_originales!$E320</f>
        <v>0.003930774863</v>
      </c>
      <c r="AY91" s="6">
        <f>Datos_originales!$Y320/Datos_originales!$E320</f>
        <v>0.001868398185</v>
      </c>
      <c r="AZ91" s="6">
        <f>Datos_originales!$Z320/Datos_originales!$E320</f>
        <v>0.002495951137</v>
      </c>
      <c r="BA91" s="6">
        <f>Datos_originales!$AA320/Datos_originales!$E320</f>
        <v>0.002640058977</v>
      </c>
      <c r="BB91" s="6">
        <f>Datos_originales!$AB320/Datos_originales!$E320</f>
        <v>0.002161617611</v>
      </c>
      <c r="BC91" s="6">
        <f>Datos_originales!$AC320/Datos_originales!$E320</f>
        <v>0.001877571716</v>
      </c>
      <c r="BD91" s="6">
        <f>Datos_originales!$AD320/Datos_originales!$E320</f>
        <v>0.002005917762</v>
      </c>
      <c r="BE91" s="6">
        <f>Datos_originales!$AE320/Datos_originales!$E320</f>
        <v>0.003021094119</v>
      </c>
      <c r="BF91" s="6">
        <f>Datos_originales!$AF320/Datos_originales!$E320</f>
        <v>0.00454923768</v>
      </c>
      <c r="BG91" s="6">
        <f>Datos_originales!$AG320/Datos_originales!$E320</f>
        <v>0.01157541227</v>
      </c>
    </row>
    <row r="92" ht="15.75" customHeight="1">
      <c r="A92" s="2">
        <v>21202.0</v>
      </c>
      <c r="B92" s="3" t="s">
        <v>89</v>
      </c>
      <c r="C92" s="4" t="s">
        <v>151</v>
      </c>
      <c r="D92" s="4" t="str">
        <f>IF(Datos_originales!$E92&lt;1000,"Bosque menor a 1000 ha",Datos_originales!$E92)</f>
        <v>Bosque menor a 1000 ha</v>
      </c>
      <c r="E92" s="4">
        <v>0.0</v>
      </c>
      <c r="F92" s="5">
        <f>AVERAGE(Datos_originales!$H256:$J256)</f>
        <v>1596.33</v>
      </c>
      <c r="G92" s="5">
        <f>AVERAGE(Datos_originales!$R256:$T256)</f>
        <v>975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  <c r="AG92" s="4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0.0</v>
      </c>
      <c r="AM92" s="6">
        <v>0.0</v>
      </c>
      <c r="AN92" s="6">
        <v>0.0</v>
      </c>
      <c r="AO92" s="6">
        <v>0.0</v>
      </c>
      <c r="AP92" s="6">
        <v>0.0</v>
      </c>
      <c r="AQ92" s="6">
        <v>0.0</v>
      </c>
      <c r="AR92" s="6">
        <v>0.0</v>
      </c>
      <c r="AS92" s="6">
        <v>0.0</v>
      </c>
      <c r="AT92" s="6">
        <v>0.0</v>
      </c>
      <c r="AU92" s="6">
        <v>0.0</v>
      </c>
      <c r="AV92" s="6">
        <v>0.0</v>
      </c>
      <c r="AW92" s="6">
        <v>0.0</v>
      </c>
      <c r="AX92" s="6">
        <v>0.0</v>
      </c>
      <c r="AY92" s="6">
        <v>0.0</v>
      </c>
      <c r="AZ92" s="6">
        <v>0.0</v>
      </c>
      <c r="BA92" s="6">
        <v>0.0</v>
      </c>
      <c r="BB92" s="6">
        <v>0.0</v>
      </c>
      <c r="BC92" s="6">
        <v>0.0</v>
      </c>
      <c r="BD92" s="6">
        <v>0.0</v>
      </c>
      <c r="BE92" s="6">
        <v>0.0</v>
      </c>
      <c r="BF92" s="6">
        <v>0.0</v>
      </c>
      <c r="BG92" s="6">
        <v>0.0</v>
      </c>
    </row>
    <row r="93" ht="15.75" customHeight="1">
      <c r="A93" s="2">
        <v>21203.0</v>
      </c>
      <c r="B93" s="3" t="s">
        <v>89</v>
      </c>
      <c r="C93" s="4" t="s">
        <v>152</v>
      </c>
      <c r="D93" s="4" t="str">
        <f>IF(Datos_originales!$E93&lt;1000,"Bosque menor a 1000 ha",Datos_originales!$E93)</f>
        <v>Bosque menor a 1000 ha</v>
      </c>
      <c r="E93" s="4">
        <v>7.38</v>
      </c>
      <c r="F93" s="5">
        <f>AVERAGE(Datos_originales!$H327:$J327)</f>
        <v>224.82</v>
      </c>
      <c r="G93" s="5">
        <f>AVERAGE(Datos_originales!$R327:$T327)</f>
        <v>1121.28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0.54</v>
      </c>
      <c r="T93" s="4">
        <v>0.0</v>
      </c>
      <c r="U93" s="4">
        <v>0.0</v>
      </c>
      <c r="V93" s="4">
        <v>0.0</v>
      </c>
      <c r="W93" s="4">
        <v>0.36</v>
      </c>
      <c r="X93" s="4">
        <v>0.0</v>
      </c>
      <c r="Y93" s="4">
        <v>0.0</v>
      </c>
      <c r="Z93" s="4">
        <v>0.0</v>
      </c>
      <c r="AA93" s="4">
        <v>0.18</v>
      </c>
      <c r="AB93" s="4">
        <v>0.0</v>
      </c>
      <c r="AC93" s="4">
        <v>0.0</v>
      </c>
      <c r="AD93" s="4">
        <v>0.0</v>
      </c>
      <c r="AE93" s="4">
        <v>0.09</v>
      </c>
      <c r="AF93" s="4">
        <v>0.54</v>
      </c>
      <c r="AG93" s="4">
        <v>0.0</v>
      </c>
      <c r="AH93" s="6">
        <f>Datos_originales!$H327/Datos_originales!$E327</f>
        <v>0.000241163625</v>
      </c>
      <c r="AI93" s="6">
        <f>Datos_originales!$I327/Datos_originales!$E327</f>
        <v>0.0001222517055</v>
      </c>
      <c r="AJ93" s="6">
        <f>Datos_originales!$J327/Datos_originales!$E327</f>
        <v>0.0002186394861</v>
      </c>
      <c r="AK93" s="6">
        <f>Datos_originales!$K327/Datos_originales!$E327</f>
        <v>0.0001633388417</v>
      </c>
      <c r="AL93" s="6">
        <f>Datos_originales!$L327/Datos_originales!$E327</f>
        <v>0.00011883425</v>
      </c>
      <c r="AM93" s="6">
        <f>Datos_originales!$M327/Datos_originales!$E327</f>
        <v>0.0002389112111</v>
      </c>
      <c r="AN93" s="6">
        <f>Datos_originales!$N327/Datos_originales!$E327</f>
        <v>0.0002655518305</v>
      </c>
      <c r="AO93" s="6">
        <f>Datos_originales!$O327/Datos_originales!$E327</f>
        <v>0.0003307941639</v>
      </c>
      <c r="AP93" s="6">
        <f>Datos_originales!$P327/Datos_originales!$E327</f>
        <v>0.0003775511694</v>
      </c>
      <c r="AQ93" s="6">
        <f>Datos_originales!$Q327/Datos_originales!$E327</f>
        <v>0.0003486581361</v>
      </c>
      <c r="AR93" s="6">
        <f>Datos_originales!$R327/Datos_originales!$E327</f>
        <v>0.0006849668305</v>
      </c>
      <c r="AS93" s="6">
        <f>Datos_originales!$S327/Datos_originales!$E327</f>
        <v>0.0009402662944</v>
      </c>
      <c r="AT93" s="6">
        <f>Datos_originales!$T327/Datos_originales!$E327</f>
        <v>0.00127774003</v>
      </c>
      <c r="AU93" s="6">
        <f>Datos_originales!$U327/Datos_originales!$E327</f>
        <v>0.007126326866</v>
      </c>
      <c r="AV93" s="6">
        <f>Datos_originales!$V327/Datos_originales!$E327</f>
        <v>0.002720449961</v>
      </c>
      <c r="AW93" s="6">
        <f>Datos_originales!$W327/Datos_originales!$E327</f>
        <v>0.002361927805</v>
      </c>
      <c r="AX93" s="6">
        <f>Datos_originales!$X327/Datos_originales!$E327</f>
        <v>0.001201080289</v>
      </c>
      <c r="AY93" s="6">
        <f>Datos_originales!$Y327/Datos_originales!$E327</f>
        <v>0.001410710119</v>
      </c>
      <c r="AZ93" s="6">
        <f>Datos_originales!$Z327/Datos_originales!$E327</f>
        <v>0.003655667741</v>
      </c>
      <c r="BA93" s="6">
        <f>Datos_originales!$AA327/Datos_originales!$E327</f>
        <v>0.001004421255</v>
      </c>
      <c r="BB93" s="6">
        <f>Datos_originales!$AB327/Datos_originales!$E327</f>
        <v>0.001782203072</v>
      </c>
      <c r="BC93" s="6">
        <f>Datos_originales!$AC327/Datos_originales!$E327</f>
        <v>0.001916959558</v>
      </c>
      <c r="BD93" s="6">
        <f>Datos_originales!$AD327/Datos_originales!$E327</f>
        <v>0.0005519190722</v>
      </c>
      <c r="BE93" s="6">
        <f>Datos_originales!$AE327/Datos_originales!$E327</f>
        <v>0.001738086828</v>
      </c>
      <c r="BF93" s="6">
        <f>Datos_originales!$AF327/Datos_originales!$E327</f>
        <v>0.001897464528</v>
      </c>
      <c r="BG93" s="6">
        <f>Datos_originales!$AG327/Datos_originales!$E327</f>
        <v>0.01759640098</v>
      </c>
    </row>
    <row r="94" ht="15.75" customHeight="1">
      <c r="A94" s="2">
        <v>21204.0</v>
      </c>
      <c r="B94" s="3" t="s">
        <v>89</v>
      </c>
      <c r="C94" s="4" t="s">
        <v>153</v>
      </c>
      <c r="D94" s="4" t="str">
        <f>IF(Datos_originales!$E94&lt;1000,"Bosque menor a 1000 ha",Datos_originales!$E94)</f>
        <v>Bosque menor a 1000 ha</v>
      </c>
      <c r="E94" s="4">
        <v>0.0</v>
      </c>
      <c r="F94" s="5">
        <f>AVERAGE(Datos_originales!$H257:$J257)</f>
        <v>1785.15</v>
      </c>
      <c r="G94" s="5">
        <f>AVERAGE(Datos_originales!$R257:$T257)</f>
        <v>1275.81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0.0</v>
      </c>
      <c r="AG94" s="4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0.0</v>
      </c>
      <c r="AP94" s="6">
        <v>0.0</v>
      </c>
      <c r="AQ94" s="6">
        <v>0.0</v>
      </c>
      <c r="AR94" s="6">
        <v>0.0</v>
      </c>
      <c r="AS94" s="6">
        <v>0.0</v>
      </c>
      <c r="AT94" s="6">
        <v>0.0</v>
      </c>
      <c r="AU94" s="6">
        <v>0.0</v>
      </c>
      <c r="AV94" s="6">
        <v>0.0</v>
      </c>
      <c r="AW94" s="6">
        <v>0.0</v>
      </c>
      <c r="AX94" s="6">
        <v>0.0</v>
      </c>
      <c r="AY94" s="6">
        <v>0.0</v>
      </c>
      <c r="AZ94" s="6">
        <v>0.0</v>
      </c>
      <c r="BA94" s="6">
        <v>0.0</v>
      </c>
      <c r="BB94" s="6">
        <v>0.0</v>
      </c>
      <c r="BC94" s="6">
        <v>0.0</v>
      </c>
      <c r="BD94" s="6">
        <v>0.0</v>
      </c>
      <c r="BE94" s="6">
        <v>0.0</v>
      </c>
      <c r="BF94" s="6">
        <v>0.0</v>
      </c>
      <c r="BG94" s="6">
        <v>0.0</v>
      </c>
    </row>
    <row r="95" ht="15.75" customHeight="1">
      <c r="A95" s="2">
        <v>21301.0</v>
      </c>
      <c r="B95" s="3" t="s">
        <v>89</v>
      </c>
      <c r="C95" s="4" t="s">
        <v>154</v>
      </c>
      <c r="D95" s="4" t="str">
        <f>IF(Datos_originales!$E95&lt;1000,"Bosque menor a 1000 ha",Datos_originales!$E95)</f>
        <v>Bosque menor a 1000 ha</v>
      </c>
      <c r="E95" s="4">
        <v>4.86</v>
      </c>
      <c r="F95" s="5">
        <f>AVERAGE(Datos_originales!$H324:$J324)</f>
        <v>149.46</v>
      </c>
      <c r="G95" s="5">
        <f>AVERAGE(Datos_originales!$R324:$T324)</f>
        <v>220.56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0.09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  <c r="AG95" s="4">
        <v>0.0</v>
      </c>
      <c r="AH95" s="6">
        <f>Datos_originales!$H324/Datos_originales!$E324</f>
        <v>0.001878925873</v>
      </c>
      <c r="AI95" s="6">
        <f>Datos_originales!$I324/Datos_originales!$E324</f>
        <v>0.001732064722</v>
      </c>
      <c r="AJ95" s="6">
        <f>Datos_originales!$J324/Datos_originales!$E324</f>
        <v>0.00197421746</v>
      </c>
      <c r="AK95" s="6">
        <f>Datos_originales!$K324/Datos_originales!$E324</f>
        <v>0.0008273551876</v>
      </c>
      <c r="AL95" s="6">
        <f>Datos_originales!$L324/Datos_originales!$E324</f>
        <v>0.0008811669071</v>
      </c>
      <c r="AM95" s="6">
        <f>Datos_originales!$M324/Datos_originales!$E324</f>
        <v>0.0009775795713</v>
      </c>
      <c r="AN95" s="6">
        <f>Datos_originales!$N324/Datos_originales!$E324</f>
        <v>0.0004966373281</v>
      </c>
      <c r="AO95" s="6">
        <f>Datos_originales!$O324/Datos_originales!$E324</f>
        <v>0.0007174895936</v>
      </c>
      <c r="AP95" s="6">
        <f>Datos_originales!$P324/Datos_originales!$E324</f>
        <v>0.000789238553</v>
      </c>
      <c r="AQ95" s="6">
        <f>Datos_originales!$Q324/Datos_originales!$E324</f>
        <v>0.0007455165308</v>
      </c>
      <c r="AR95" s="6">
        <f>Datos_originales!$R324/Datos_originales!$E324</f>
        <v>0.0002152468781</v>
      </c>
      <c r="AS95" s="6">
        <f>Datos_originales!$S324/Datos_originales!$E324</f>
        <v>0.004776911185</v>
      </c>
      <c r="AT95" s="6">
        <f>Datos_originales!$T324/Datos_originales!$E324</f>
        <v>0.003250003644</v>
      </c>
      <c r="AU95" s="6">
        <f>Datos_originales!$U324/Datos_originales!$E324</f>
        <v>0.03298546299</v>
      </c>
      <c r="AV95" s="6">
        <f>Datos_originales!$V324/Datos_originales!$E324</f>
        <v>0.01251010371</v>
      </c>
      <c r="AW95" s="6">
        <f>Datos_originales!$W324/Datos_originales!$E324</f>
        <v>0.01768836064</v>
      </c>
      <c r="AX95" s="6">
        <f>Datos_originales!$X324/Datos_originales!$E324</f>
        <v>0.007287003685</v>
      </c>
      <c r="AY95" s="6">
        <f>Datos_originales!$Y324/Datos_originales!$E324</f>
        <v>0.004085206374</v>
      </c>
      <c r="AZ95" s="6">
        <f>Datos_originales!$Z324/Datos_originales!$E324</f>
        <v>0.01274440891</v>
      </c>
      <c r="BA95" s="6">
        <f>Datos_originales!$AA324/Datos_originales!$E324</f>
        <v>0.003094173872</v>
      </c>
      <c r="BB95" s="6">
        <f>Datos_originales!$AB324/Datos_originales!$E324</f>
        <v>0.004463009488</v>
      </c>
      <c r="BC95" s="6">
        <f>Datos_originales!$AC324/Datos_originales!$E324</f>
        <v>0.003641259688</v>
      </c>
      <c r="BD95" s="6">
        <f>Datos_originales!$AD324/Datos_originales!$E324</f>
        <v>0.003024667068</v>
      </c>
      <c r="BE95" s="6">
        <f>Datos_originales!$AE324/Datos_originales!$E324</f>
        <v>0.002517940043</v>
      </c>
      <c r="BF95" s="6">
        <f>Datos_originales!$AF324/Datos_originales!$E324</f>
        <v>0.01042265742</v>
      </c>
      <c r="BG95" s="6">
        <f>Datos_originales!$AG324/Datos_originales!$E324</f>
        <v>0.08387677565</v>
      </c>
    </row>
    <row r="96" ht="15.75" customHeight="1">
      <c r="A96" s="2">
        <v>21302.0</v>
      </c>
      <c r="B96" s="3" t="s">
        <v>89</v>
      </c>
      <c r="C96" s="4" t="s">
        <v>155</v>
      </c>
      <c r="D96" s="4" t="str">
        <f>IF(Datos_originales!$E96&lt;1000,"Bosque menor a 1000 ha",Datos_originales!$E96)</f>
        <v>Bosque menor a 1000 ha</v>
      </c>
      <c r="E96" s="4">
        <v>0.0</v>
      </c>
      <c r="F96" s="5">
        <f>AVERAGE(Datos_originales!$H258:$J258)</f>
        <v>1300.14</v>
      </c>
      <c r="G96" s="5">
        <f>AVERAGE(Datos_originales!$R258:$T258)</f>
        <v>1074.21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  <c r="AG96" s="4">
        <v>0.0</v>
      </c>
      <c r="AH96" s="6">
        <v>0.0</v>
      </c>
      <c r="AI96" s="6">
        <v>0.0</v>
      </c>
      <c r="AJ96" s="6">
        <v>0.0</v>
      </c>
      <c r="AK96" s="6">
        <v>0.0</v>
      </c>
      <c r="AL96" s="6">
        <v>0.0</v>
      </c>
      <c r="AM96" s="6">
        <v>0.0</v>
      </c>
      <c r="AN96" s="6">
        <v>0.0</v>
      </c>
      <c r="AO96" s="6">
        <v>0.0</v>
      </c>
      <c r="AP96" s="6">
        <v>0.0</v>
      </c>
      <c r="AQ96" s="6">
        <v>0.0</v>
      </c>
      <c r="AR96" s="6">
        <v>0.0</v>
      </c>
      <c r="AS96" s="6">
        <v>0.0</v>
      </c>
      <c r="AT96" s="6">
        <v>0.0</v>
      </c>
      <c r="AU96" s="6">
        <v>0.0</v>
      </c>
      <c r="AV96" s="6">
        <v>0.0</v>
      </c>
      <c r="AW96" s="6">
        <v>0.0</v>
      </c>
      <c r="AX96" s="6">
        <v>0.0</v>
      </c>
      <c r="AY96" s="6">
        <v>0.0</v>
      </c>
      <c r="AZ96" s="6">
        <v>0.0</v>
      </c>
      <c r="BA96" s="6">
        <v>0.0</v>
      </c>
      <c r="BB96" s="6">
        <v>0.0</v>
      </c>
      <c r="BC96" s="6">
        <v>0.0</v>
      </c>
      <c r="BD96" s="6">
        <v>0.0</v>
      </c>
      <c r="BE96" s="6">
        <v>0.0</v>
      </c>
      <c r="BF96" s="6">
        <v>0.0</v>
      </c>
      <c r="BG96" s="6">
        <v>0.0</v>
      </c>
    </row>
    <row r="97" ht="15.75" customHeight="1">
      <c r="A97" s="2">
        <v>21303.0</v>
      </c>
      <c r="B97" s="3" t="s">
        <v>89</v>
      </c>
      <c r="C97" s="4" t="s">
        <v>156</v>
      </c>
      <c r="D97" s="4" t="str">
        <f>IF(Datos_originales!$E97&lt;1000,"Bosque menor a 1000 ha",Datos_originales!$E97)</f>
        <v>Bosque menor a 1000 ha</v>
      </c>
      <c r="E97" s="4">
        <v>6.39</v>
      </c>
      <c r="F97" s="5">
        <f>AVERAGE(Datos_originales!$H326:$J326)</f>
        <v>286.26</v>
      </c>
      <c r="G97" s="5">
        <f>AVERAGE(Datos_originales!$R326:$T326)</f>
        <v>502.35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0.45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0.0</v>
      </c>
      <c r="AG97" s="4">
        <v>0.0</v>
      </c>
      <c r="AH97" s="6">
        <f>Datos_originales!$H326/Datos_originales!$E326</f>
        <v>0.0002932636109</v>
      </c>
      <c r="AI97" s="6">
        <f>Datos_originales!$I326/Datos_originales!$E326</f>
        <v>0.0002719031628</v>
      </c>
      <c r="AJ97" s="6">
        <f>Datos_originales!$J326/Datos_originales!$E326</f>
        <v>0.0005609182868</v>
      </c>
      <c r="AK97" s="6">
        <f>Datos_originales!$K326/Datos_originales!$E326</f>
        <v>0.000390506756</v>
      </c>
      <c r="AL97" s="6">
        <f>Datos_originales!$L326/Datos_originales!$E326</f>
        <v>0.0002854747183</v>
      </c>
      <c r="AM97" s="6">
        <f>Datos_originales!$M326/Datos_originales!$E326</f>
        <v>0.0004766566296</v>
      </c>
      <c r="AN97" s="6">
        <f>Datos_originales!$N326/Datos_originales!$E326</f>
        <v>0.0001888216408</v>
      </c>
      <c r="AO97" s="6">
        <f>Datos_originales!$O326/Datos_originales!$E326</f>
        <v>0.0002668285812</v>
      </c>
      <c r="AP97" s="6">
        <f>Datos_originales!$P326/Datos_originales!$E326</f>
        <v>0.000469103764</v>
      </c>
      <c r="AQ97" s="6">
        <f>Datos_originales!$Q326/Datos_originales!$E326</f>
        <v>0.0008086286769</v>
      </c>
      <c r="AR97" s="6">
        <f>Datos_originales!$R326/Datos_originales!$E326</f>
        <v>0.0003434193593</v>
      </c>
      <c r="AS97" s="6">
        <f>Datos_originales!$S326/Datos_originales!$E326</f>
        <v>0.0009749097344</v>
      </c>
      <c r="AT97" s="6">
        <f>Datos_originales!$T326/Datos_originales!$E326</f>
        <v>0.0006578073913</v>
      </c>
      <c r="AU97" s="6">
        <f>Datos_originales!$U326/Datos_originales!$E326</f>
        <v>0.009472237613</v>
      </c>
      <c r="AV97" s="6">
        <f>Datos_originales!$V326/Datos_originales!$E326</f>
        <v>0.00323392464</v>
      </c>
      <c r="AW97" s="6">
        <f>Datos_originales!$W326/Datos_originales!$E326</f>
        <v>0.004102032134</v>
      </c>
      <c r="AX97" s="6">
        <f>Datos_originales!$X326/Datos_originales!$E326</f>
        <v>0.002207324982</v>
      </c>
      <c r="AY97" s="6">
        <f>Datos_originales!$Y326/Datos_originales!$E326</f>
        <v>0.002580365736</v>
      </c>
      <c r="AZ97" s="6">
        <f>Datos_originales!$Z326/Datos_originales!$E326</f>
        <v>0.003686978565</v>
      </c>
      <c r="BA97" s="6">
        <f>Datos_originales!$AA326/Datos_originales!$E326</f>
        <v>0.00162917672</v>
      </c>
      <c r="BB97" s="6">
        <f>Datos_originales!$AB326/Datos_originales!$E326</f>
        <v>0.002726230453</v>
      </c>
      <c r="BC97" s="6">
        <f>Datos_originales!$AC326/Datos_originales!$E326</f>
        <v>0.002116454567</v>
      </c>
      <c r="BD97" s="6">
        <f>Datos_originales!$AD326/Datos_originales!$E326</f>
        <v>0.001168805957</v>
      </c>
      <c r="BE97" s="6">
        <f>Datos_originales!$AE326/Datos_originales!$E326</f>
        <v>0.001402944792</v>
      </c>
      <c r="BF97" s="6">
        <f>Datos_originales!$AF326/Datos_originales!$E326</f>
        <v>0.002861946008</v>
      </c>
      <c r="BG97" s="6">
        <f>Datos_originales!$AG326/Datos_originales!$E326</f>
        <v>0.02177573772</v>
      </c>
    </row>
    <row r="98" ht="15.75" customHeight="1">
      <c r="A98" s="2">
        <v>21304.0</v>
      </c>
      <c r="B98" s="3" t="s">
        <v>89</v>
      </c>
      <c r="C98" s="4" t="s">
        <v>157</v>
      </c>
      <c r="D98" s="4" t="str">
        <f>IF(Datos_originales!$E98&lt;1000,"Bosque menor a 1000 ha",Datos_originales!$E98)</f>
        <v>Bosque menor a 1000 ha</v>
      </c>
      <c r="E98" s="4">
        <v>16.11</v>
      </c>
      <c r="F98" s="5">
        <f>AVERAGE(Datos_originales!$H116:$J116)</f>
        <v>444.51</v>
      </c>
      <c r="G98" s="5">
        <f>AVERAGE(Datos_originales!$R116:$T116)</f>
        <v>2364.51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0.18</v>
      </c>
      <c r="O98" s="4">
        <v>0.0</v>
      </c>
      <c r="P98" s="4">
        <v>0.63</v>
      </c>
      <c r="Q98" s="4">
        <v>0.0</v>
      </c>
      <c r="R98" s="4">
        <v>0.0</v>
      </c>
      <c r="S98" s="4">
        <v>4.86</v>
      </c>
      <c r="T98" s="4">
        <v>0.18</v>
      </c>
      <c r="U98" s="4">
        <v>0.09</v>
      </c>
      <c r="V98" s="4">
        <v>0.18</v>
      </c>
      <c r="W98" s="4">
        <v>0.27</v>
      </c>
      <c r="X98" s="4">
        <v>0.0</v>
      </c>
      <c r="Y98" s="4">
        <v>0.0</v>
      </c>
      <c r="Z98" s="4">
        <v>0.0</v>
      </c>
      <c r="AA98" s="4">
        <v>0.18</v>
      </c>
      <c r="AB98" s="4">
        <v>0.18</v>
      </c>
      <c r="AC98" s="4">
        <v>0.9</v>
      </c>
      <c r="AD98" s="4">
        <v>0.0</v>
      </c>
      <c r="AE98" s="4">
        <v>0.0</v>
      </c>
      <c r="AF98" s="4">
        <v>5.67</v>
      </c>
      <c r="AG98" s="4">
        <v>0.18</v>
      </c>
      <c r="AH98" s="6">
        <f>Datos_originales!$H116/Datos_originales!$E116</f>
        <v>0.002605869837</v>
      </c>
      <c r="AI98" s="6">
        <f>Datos_originales!$I116/Datos_originales!$E116</f>
        <v>0.002546587573</v>
      </c>
      <c r="AJ98" s="6">
        <f>Datos_originales!$J116/Datos_originales!$E116</f>
        <v>0.004292545861</v>
      </c>
      <c r="AK98" s="6">
        <f>Datos_originales!$K116/Datos_originales!$E116</f>
        <v>0.003185943602</v>
      </c>
      <c r="AL98" s="6">
        <f>Datos_originales!$L116/Datos_originales!$E116</f>
        <v>0.003489366802</v>
      </c>
      <c r="AM98" s="6">
        <f>Datos_originales!$M116/Datos_originales!$E116</f>
        <v>0.001757432275</v>
      </c>
      <c r="AN98" s="6">
        <f>Datos_originales!$N116/Datos_originales!$E116</f>
        <v>0.005146082972</v>
      </c>
      <c r="AO98" s="6">
        <f>Datos_originales!$O116/Datos_originales!$E116</f>
        <v>0.006275633205</v>
      </c>
      <c r="AP98" s="6">
        <f>Datos_originales!$P116/Datos_originales!$E116</f>
        <v>0.009681494882</v>
      </c>
      <c r="AQ98" s="6">
        <f>Datos_originales!$Q116/Datos_originales!$E116</f>
        <v>0.006941124425</v>
      </c>
      <c r="AR98" s="6">
        <f>Datos_originales!$R116/Datos_originales!$E116</f>
        <v>0.0004066890792</v>
      </c>
      <c r="AS98" s="6">
        <f>Datos_originales!$S116/Datos_originales!$E116</f>
        <v>0.04530886059</v>
      </c>
      <c r="AT98" s="6">
        <f>Datos_originales!$T116/Datos_originales!$E116</f>
        <v>0.004525850254</v>
      </c>
      <c r="AU98" s="6">
        <f>Datos_originales!$U116/Datos_originales!$E116</f>
        <v>0.0027410079</v>
      </c>
      <c r="AV98" s="6">
        <f>Datos_originales!$V116/Datos_originales!$E116</f>
        <v>0.002737183238</v>
      </c>
      <c r="AW98" s="6">
        <f>Datos_originales!$W116/Datos_originales!$E116</f>
        <v>0.00465270155</v>
      </c>
      <c r="AX98" s="6">
        <f>Datos_originales!$X116/Datos_originales!$E116</f>
        <v>0.003331280765</v>
      </c>
      <c r="AY98" s="6">
        <f>Datos_originales!$Y116/Datos_originales!$E116</f>
        <v>0.003571597039</v>
      </c>
      <c r="AZ98" s="6">
        <f>Datos_originales!$Z116/Datos_originales!$E116</f>
        <v>0.001795678897</v>
      </c>
      <c r="BA98" s="6">
        <f>Datos_originales!$AA116/Datos_originales!$E116</f>
        <v>0.005184329594</v>
      </c>
      <c r="BB98" s="6">
        <f>Datos_originales!$AB116/Datos_originales!$E116</f>
        <v>0.00638336119</v>
      </c>
      <c r="BC98" s="6">
        <f>Datos_originales!$AC116/Datos_originales!$E116</f>
        <v>0.009768824669</v>
      </c>
      <c r="BD98" s="6">
        <f>Datos_originales!$AD116/Datos_originales!$E116</f>
        <v>0.007106859787</v>
      </c>
      <c r="BE98" s="6">
        <f>Datos_originales!$AE116/Datos_originales!$E116</f>
        <v>0.0004194379531</v>
      </c>
      <c r="BF98" s="6">
        <f>Datos_originales!$AF116/Datos_originales!$E116</f>
        <v>0.04553770288</v>
      </c>
      <c r="BG98" s="6">
        <f>Datos_originales!$AG116/Datos_originales!$E116</f>
        <v>0.005525361972</v>
      </c>
    </row>
    <row r="99" ht="15.75" customHeight="1">
      <c r="A99" s="2">
        <v>21305.0</v>
      </c>
      <c r="B99" s="3" t="s">
        <v>89</v>
      </c>
      <c r="C99" s="4" t="s">
        <v>158</v>
      </c>
      <c r="D99" s="4" t="str">
        <f>IF(Datos_originales!$E99&lt;1000,"Bosque menor a 1000 ha",Datos_originales!$E99)</f>
        <v>Bosque menor a 1000 ha</v>
      </c>
      <c r="E99" s="4">
        <v>0.0</v>
      </c>
      <c r="F99" s="5">
        <f>AVERAGE(Datos_originales!$H259:$J259)</f>
        <v>939.12</v>
      </c>
      <c r="G99" s="5">
        <f>AVERAGE(Datos_originales!$R259:$T259)</f>
        <v>506.52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6">
        <v>0.0</v>
      </c>
      <c r="AI99" s="6">
        <v>0.0</v>
      </c>
      <c r="AJ99" s="6">
        <v>0.0</v>
      </c>
      <c r="AK99" s="6">
        <v>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6">
        <v>0.0</v>
      </c>
      <c r="AT99" s="6">
        <v>0.0</v>
      </c>
      <c r="AU99" s="6">
        <v>0.0</v>
      </c>
      <c r="AV99" s="6">
        <v>0.0</v>
      </c>
      <c r="AW99" s="6">
        <v>0.0</v>
      </c>
      <c r="AX99" s="6">
        <v>0.0</v>
      </c>
      <c r="AY99" s="6">
        <v>0.0</v>
      </c>
      <c r="AZ99" s="6">
        <v>0.0</v>
      </c>
      <c r="BA99" s="6">
        <v>0.0</v>
      </c>
      <c r="BB99" s="6">
        <v>0.0</v>
      </c>
      <c r="BC99" s="6">
        <v>0.0</v>
      </c>
      <c r="BD99" s="6">
        <v>0.0</v>
      </c>
      <c r="BE99" s="6">
        <v>0.0</v>
      </c>
      <c r="BF99" s="6">
        <v>0.0</v>
      </c>
      <c r="BG99" s="6">
        <v>0.0</v>
      </c>
    </row>
    <row r="100" ht="15.75" customHeight="1">
      <c r="A100" s="2">
        <v>21306.0</v>
      </c>
      <c r="B100" s="3" t="s">
        <v>89</v>
      </c>
      <c r="C100" s="4" t="s">
        <v>159</v>
      </c>
      <c r="D100" s="4" t="str">
        <f>IF(Datos_originales!$E100&lt;1000,"Bosque menor a 1000 ha",Datos_originales!$E100)</f>
        <v>Bosque menor a 1000 ha</v>
      </c>
      <c r="E100" s="4">
        <v>0.0</v>
      </c>
      <c r="F100" s="5">
        <f>AVERAGE(Datos_originales!$H260:$J260)</f>
        <v>771.9</v>
      </c>
      <c r="G100" s="5">
        <f>AVERAGE(Datos_originales!$R260:$T260)</f>
        <v>437.79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  <c r="AG100" s="4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6">
        <v>0.0</v>
      </c>
      <c r="AP100" s="6">
        <v>0.0</v>
      </c>
      <c r="AQ100" s="6">
        <v>0.0</v>
      </c>
      <c r="AR100" s="6">
        <v>0.0</v>
      </c>
      <c r="AS100" s="6">
        <v>0.0</v>
      </c>
      <c r="AT100" s="6">
        <v>0.0</v>
      </c>
      <c r="AU100" s="6">
        <v>0.0</v>
      </c>
      <c r="AV100" s="6">
        <v>0.0</v>
      </c>
      <c r="AW100" s="6">
        <v>0.0</v>
      </c>
      <c r="AX100" s="6">
        <v>0.0</v>
      </c>
      <c r="AY100" s="6">
        <v>0.0</v>
      </c>
      <c r="AZ100" s="6">
        <v>0.0</v>
      </c>
      <c r="BA100" s="6">
        <v>0.0</v>
      </c>
      <c r="BB100" s="6">
        <v>0.0</v>
      </c>
      <c r="BC100" s="6">
        <v>0.0</v>
      </c>
      <c r="BD100" s="6">
        <v>0.0</v>
      </c>
      <c r="BE100" s="6">
        <v>0.0</v>
      </c>
      <c r="BF100" s="6">
        <v>0.0</v>
      </c>
      <c r="BG100" s="6">
        <v>0.0</v>
      </c>
    </row>
    <row r="101" ht="15.75" customHeight="1">
      <c r="A101" s="2">
        <v>21307.0</v>
      </c>
      <c r="B101" s="3" t="s">
        <v>89</v>
      </c>
      <c r="C101" s="4" t="s">
        <v>160</v>
      </c>
      <c r="D101" s="4" t="str">
        <f>IF(Datos_originales!$E101&lt;1000,"Bosque menor a 1000 ha",Datos_originales!$E101)</f>
        <v>Bosque menor a 1000 ha</v>
      </c>
      <c r="E101" s="4">
        <v>0.0</v>
      </c>
      <c r="F101" s="5">
        <f>AVERAGE(Datos_originales!$H261:$J261)</f>
        <v>10830.84</v>
      </c>
      <c r="G101" s="5">
        <f>AVERAGE(Datos_originales!$R261:$T261)</f>
        <v>48144.72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0.0</v>
      </c>
      <c r="AG101" s="4">
        <v>0.0</v>
      </c>
      <c r="AH101" s="6">
        <v>0.0</v>
      </c>
      <c r="AI101" s="6">
        <v>0.0</v>
      </c>
      <c r="AJ101" s="6">
        <v>0.0</v>
      </c>
      <c r="AK101" s="6">
        <v>0.0</v>
      </c>
      <c r="AL101" s="6">
        <v>0.0</v>
      </c>
      <c r="AM101" s="6">
        <v>0.0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6">
        <v>0.0</v>
      </c>
      <c r="AT101" s="6">
        <v>0.0</v>
      </c>
      <c r="AU101" s="6">
        <v>0.0</v>
      </c>
      <c r="AV101" s="6">
        <v>0.0</v>
      </c>
      <c r="AW101" s="6">
        <v>0.0</v>
      </c>
      <c r="AX101" s="6">
        <v>0.0</v>
      </c>
      <c r="AY101" s="6">
        <v>0.0</v>
      </c>
      <c r="AZ101" s="6">
        <v>0.0</v>
      </c>
      <c r="BA101" s="6">
        <v>0.0</v>
      </c>
      <c r="BB101" s="6">
        <v>0.0</v>
      </c>
      <c r="BC101" s="6">
        <v>0.0</v>
      </c>
      <c r="BD101" s="6">
        <v>0.0</v>
      </c>
      <c r="BE101" s="6">
        <v>0.0</v>
      </c>
      <c r="BF101" s="6">
        <v>0.0</v>
      </c>
      <c r="BG101" s="6">
        <v>0.0</v>
      </c>
    </row>
    <row r="102" ht="15.75" customHeight="1">
      <c r="A102" s="2">
        <v>21401.0</v>
      </c>
      <c r="B102" s="3" t="s">
        <v>89</v>
      </c>
      <c r="C102" s="4" t="s">
        <v>161</v>
      </c>
      <c r="D102" s="4">
        <f>IF(Datos_originales!$E102&lt;1000,"Bosque menor a 1000 ha",Datos_originales!$E102)</f>
        <v>97249.23</v>
      </c>
      <c r="E102" s="4">
        <v>97249.23000000001</v>
      </c>
      <c r="F102" s="5">
        <f>AVERAGE(Datos_originales!$H164:$J164)</f>
        <v>23.46</v>
      </c>
      <c r="G102" s="5">
        <f>AVERAGE(Datos_originales!$R164:$T164)</f>
        <v>165.9</v>
      </c>
      <c r="H102" s="4">
        <v>88.83</v>
      </c>
      <c r="I102" s="4">
        <v>87.84</v>
      </c>
      <c r="J102" s="4">
        <v>148.05</v>
      </c>
      <c r="K102" s="4">
        <v>154.98</v>
      </c>
      <c r="L102" s="4">
        <v>141.03</v>
      </c>
      <c r="M102" s="4">
        <v>110.43</v>
      </c>
      <c r="N102" s="4">
        <v>271.53</v>
      </c>
      <c r="O102" s="4">
        <v>200.88</v>
      </c>
      <c r="P102" s="4">
        <v>261.27</v>
      </c>
      <c r="Q102" s="4">
        <v>33.93</v>
      </c>
      <c r="R102" s="4">
        <v>153.54</v>
      </c>
      <c r="S102" s="4">
        <v>1955.61</v>
      </c>
      <c r="T102" s="4">
        <v>150.3</v>
      </c>
      <c r="U102" s="4">
        <v>118.53</v>
      </c>
      <c r="V102" s="4">
        <v>102.33</v>
      </c>
      <c r="W102" s="4">
        <v>192.6</v>
      </c>
      <c r="X102" s="4">
        <v>166.68</v>
      </c>
      <c r="Y102" s="4">
        <v>148.14</v>
      </c>
      <c r="Z102" s="4">
        <v>114.48</v>
      </c>
      <c r="AA102" s="4">
        <v>280.8</v>
      </c>
      <c r="AB102" s="4">
        <v>208.08</v>
      </c>
      <c r="AC102" s="4">
        <v>268.65</v>
      </c>
      <c r="AD102" s="4">
        <v>46.71</v>
      </c>
      <c r="AE102" s="4">
        <v>155.16</v>
      </c>
      <c r="AF102" s="4">
        <v>1976.67</v>
      </c>
      <c r="AG102" s="4">
        <v>381.96</v>
      </c>
      <c r="AH102" s="6">
        <f>Datos_originales!$H164/Datos_originales!$E164</f>
        <v>0.0002085496859</v>
      </c>
      <c r="AI102" s="6">
        <f>Datos_originales!$I164/Datos_originales!$E164</f>
        <v>0.0002025911234</v>
      </c>
      <c r="AJ102" s="6">
        <f>Datos_originales!$J164/Datos_originales!$E164</f>
        <v>0.0002545157391</v>
      </c>
      <c r="AK102" s="6">
        <f>Datos_originales!$K164/Datos_originales!$E164</f>
        <v>0.000266432864</v>
      </c>
      <c r="AL102" s="6">
        <f>Datos_originales!$L164/Datos_originales!$E164</f>
        <v>0.0006648053253</v>
      </c>
      <c r="AM102" s="6">
        <f>Datos_originales!$M164/Datos_originales!$E164</f>
        <v>0.0004494458537</v>
      </c>
      <c r="AN102" s="6">
        <f>Datos_originales!$N164/Datos_originales!$E164</f>
        <v>0.0003864553363</v>
      </c>
      <c r="AO102" s="6">
        <f>Datos_originales!$O164/Datos_originales!$E164</f>
        <v>0.0002034423467</v>
      </c>
      <c r="AP102" s="6">
        <f>Datos_originales!$P164/Datos_originales!$E164</f>
        <v>0.0002987793459</v>
      </c>
      <c r="AQ102" s="6">
        <f>Datos_originales!$Q164/Datos_originales!$E164</f>
        <v>0.0002528132927</v>
      </c>
      <c r="AR102" s="6">
        <f>Datos_originales!$R164/Datos_originales!$E164</f>
        <v>0.0004758337731</v>
      </c>
      <c r="AS102" s="6">
        <f>Datos_originales!$S164/Datos_originales!$E164</f>
        <v>0.003302746046</v>
      </c>
      <c r="AT102" s="6">
        <f>Datos_originales!$T164/Datos_originales!$E164</f>
        <v>0.0009286845197</v>
      </c>
      <c r="AU102" s="6">
        <f>Datos_originales!$U164/Datos_originales!$E164</f>
        <v>0.004963482524</v>
      </c>
      <c r="AV102" s="6">
        <f>Datos_originales!$V164/Datos_originales!$E164</f>
        <v>0.002641345614</v>
      </c>
      <c r="AW102" s="6">
        <f>Datos_originales!$W164/Datos_originales!$E164</f>
        <v>0.002663477417</v>
      </c>
      <c r="AX102" s="6">
        <f>Datos_originales!$X164/Datos_originales!$E164</f>
        <v>0.00336743901</v>
      </c>
      <c r="AY102" s="6">
        <f>Datos_originales!$Y164/Datos_originales!$E164</f>
        <v>0.00311547694</v>
      </c>
      <c r="AZ102" s="6">
        <f>Datos_originales!$Z164/Datos_originales!$E164</f>
        <v>0.004812816017</v>
      </c>
      <c r="BA102" s="6">
        <f>Datos_originales!$AA164/Datos_originales!$E164</f>
        <v>0.004399121538</v>
      </c>
      <c r="BB102" s="6">
        <f>Datos_originales!$AB164/Datos_originales!$E164</f>
        <v>0.003475544357</v>
      </c>
      <c r="BC102" s="6">
        <f>Datos_originales!$AC164/Datos_originales!$E164</f>
        <v>0.001574762934</v>
      </c>
      <c r="BD102" s="6">
        <f>Datos_originales!$AD164/Datos_originales!$E164</f>
        <v>0.001210439401</v>
      </c>
      <c r="BE102" s="6">
        <f>Datos_originales!$AE164/Datos_originales!$E164</f>
        <v>0.001380684043</v>
      </c>
      <c r="BF102" s="6">
        <f>Datos_originales!$AF164/Datos_originales!$E164</f>
        <v>0.007193687329</v>
      </c>
      <c r="BG102" s="6">
        <f>Datos_originales!$AG164/Datos_originales!$E164</f>
        <v>0.001094673045</v>
      </c>
    </row>
    <row r="103" ht="15.75" customHeight="1">
      <c r="A103" s="2">
        <v>21402.0</v>
      </c>
      <c r="B103" s="3" t="s">
        <v>89</v>
      </c>
      <c r="C103" s="4" t="s">
        <v>162</v>
      </c>
      <c r="D103" s="4">
        <f>IF(Datos_originales!$E103&lt;1000,"Bosque menor a 1000 ha",Datos_originales!$E103)</f>
        <v>59270.67</v>
      </c>
      <c r="E103" s="4">
        <v>59270.67</v>
      </c>
      <c r="F103" s="5">
        <f>AVERAGE(Datos_originales!$H180:$J180)</f>
        <v>0</v>
      </c>
      <c r="G103" s="5">
        <f>AVERAGE(Datos_originales!$R180:$T180)</f>
        <v>0</v>
      </c>
      <c r="H103" s="4">
        <v>67.86</v>
      </c>
      <c r="I103" s="4">
        <v>36.72</v>
      </c>
      <c r="J103" s="4">
        <v>123.12</v>
      </c>
      <c r="K103" s="4">
        <v>97.02000000000001</v>
      </c>
      <c r="L103" s="4">
        <v>54.98999999999999</v>
      </c>
      <c r="M103" s="4">
        <v>26.46</v>
      </c>
      <c r="N103" s="4">
        <v>66.24000000000001</v>
      </c>
      <c r="O103" s="4">
        <v>55.17</v>
      </c>
      <c r="P103" s="4">
        <v>96.39</v>
      </c>
      <c r="Q103" s="4">
        <v>53.64</v>
      </c>
      <c r="R103" s="4">
        <v>45.90000000000001</v>
      </c>
      <c r="S103" s="4">
        <v>1124.19</v>
      </c>
      <c r="T103" s="4">
        <v>90.27000000000001</v>
      </c>
      <c r="U103" s="4">
        <v>78.21</v>
      </c>
      <c r="V103" s="4">
        <v>41.58</v>
      </c>
      <c r="W103" s="4">
        <v>149.85</v>
      </c>
      <c r="X103" s="4">
        <v>101.43</v>
      </c>
      <c r="Y103" s="4">
        <v>58.86</v>
      </c>
      <c r="Z103" s="4">
        <v>28.53</v>
      </c>
      <c r="AA103" s="4">
        <v>69.3</v>
      </c>
      <c r="AB103" s="4">
        <v>58.59</v>
      </c>
      <c r="AC103" s="4">
        <v>99.72</v>
      </c>
      <c r="AD103" s="4">
        <v>60.84</v>
      </c>
      <c r="AE103" s="4">
        <v>46.53</v>
      </c>
      <c r="AF103" s="4">
        <v>1142.19</v>
      </c>
      <c r="AG103" s="4">
        <v>155.79</v>
      </c>
      <c r="AH103" s="6" t="str">
        <f>Datos_originales!$H180/Datos_originales!$E180</f>
        <v>#DIV/0!</v>
      </c>
      <c r="AI103" s="6" t="str">
        <f>Datos_originales!$I180/Datos_originales!$E180</f>
        <v>#DIV/0!</v>
      </c>
      <c r="AJ103" s="6" t="str">
        <f>Datos_originales!$J180/Datos_originales!$E180</f>
        <v>#DIV/0!</v>
      </c>
      <c r="AK103" s="6" t="str">
        <f>Datos_originales!$K180/Datos_originales!$E180</f>
        <v>#DIV/0!</v>
      </c>
      <c r="AL103" s="6" t="str">
        <f>Datos_originales!$L180/Datos_originales!$E180</f>
        <v>#DIV/0!</v>
      </c>
      <c r="AM103" s="6" t="str">
        <f>Datos_originales!$M180/Datos_originales!$E180</f>
        <v>#DIV/0!</v>
      </c>
      <c r="AN103" s="6" t="str">
        <f>Datos_originales!$N180/Datos_originales!$E180</f>
        <v>#DIV/0!</v>
      </c>
      <c r="AO103" s="6" t="str">
        <f>Datos_originales!$O180/Datos_originales!$E180</f>
        <v>#DIV/0!</v>
      </c>
      <c r="AP103" s="6" t="str">
        <f>Datos_originales!$P180/Datos_originales!$E180</f>
        <v>#DIV/0!</v>
      </c>
      <c r="AQ103" s="6" t="str">
        <f>Datos_originales!$Q180/Datos_originales!$E180</f>
        <v>#DIV/0!</v>
      </c>
      <c r="AR103" s="6" t="str">
        <f>Datos_originales!$R180/Datos_originales!$E180</f>
        <v>#DIV/0!</v>
      </c>
      <c r="AS103" s="6" t="str">
        <f>Datos_originales!$S180/Datos_originales!$E180</f>
        <v>#DIV/0!</v>
      </c>
      <c r="AT103" s="6" t="str">
        <f>Datos_originales!$T180/Datos_originales!$E180</f>
        <v>#DIV/0!</v>
      </c>
      <c r="AU103" s="6" t="str">
        <f>Datos_originales!$U180/Datos_originales!$E180</f>
        <v>#DIV/0!</v>
      </c>
      <c r="AV103" s="6" t="str">
        <f>Datos_originales!$V180/Datos_originales!$E180</f>
        <v>#DIV/0!</v>
      </c>
      <c r="AW103" s="6" t="str">
        <f>Datos_originales!$W180/Datos_originales!$E180</f>
        <v>#DIV/0!</v>
      </c>
      <c r="AX103" s="6" t="str">
        <f>Datos_originales!$X180/Datos_originales!$E180</f>
        <v>#DIV/0!</v>
      </c>
      <c r="AY103" s="6" t="str">
        <f>Datos_originales!$Y180/Datos_originales!$E180</f>
        <v>#DIV/0!</v>
      </c>
      <c r="AZ103" s="6" t="str">
        <f>Datos_originales!$Z180/Datos_originales!$E180</f>
        <v>#DIV/0!</v>
      </c>
      <c r="BA103" s="6" t="str">
        <f>Datos_originales!$AA180/Datos_originales!$E180</f>
        <v>#DIV/0!</v>
      </c>
      <c r="BB103" s="6" t="str">
        <f>Datos_originales!$AB180/Datos_originales!$E180</f>
        <v>#DIV/0!</v>
      </c>
      <c r="BC103" s="6" t="str">
        <f>Datos_originales!$AC180/Datos_originales!$E180</f>
        <v>#DIV/0!</v>
      </c>
      <c r="BD103" s="6" t="str">
        <f>Datos_originales!$AD180/Datos_originales!$E180</f>
        <v>#DIV/0!</v>
      </c>
      <c r="BE103" s="6" t="str">
        <f>Datos_originales!$AE180/Datos_originales!$E180</f>
        <v>#DIV/0!</v>
      </c>
      <c r="BF103" s="6" t="str">
        <f>Datos_originales!$AF180/Datos_originales!$E180</f>
        <v>#DIV/0!</v>
      </c>
      <c r="BG103" s="6" t="str">
        <f>Datos_originales!$AG180/Datos_originales!$E180</f>
        <v>#DIV/0!</v>
      </c>
    </row>
    <row r="104" ht="15.75" customHeight="1">
      <c r="A104" s="2">
        <v>21501.0</v>
      </c>
      <c r="B104" s="3" t="s">
        <v>89</v>
      </c>
      <c r="C104" s="4" t="s">
        <v>163</v>
      </c>
      <c r="D104" s="4">
        <f>IF(Datos_originales!$E104&lt;1000,"Bosque menor a 1000 ha",Datos_originales!$E104)</f>
        <v>2770533.45</v>
      </c>
      <c r="E104" s="4">
        <v>2770533.45</v>
      </c>
      <c r="F104" s="5">
        <f>AVERAGE(Datos_originales!$H135:$J135)</f>
        <v>0</v>
      </c>
      <c r="G104" s="5">
        <f>AVERAGE(Datos_originales!$R135:$T135)</f>
        <v>0.39</v>
      </c>
      <c r="H104" s="4">
        <v>772.38</v>
      </c>
      <c r="I104" s="4">
        <v>834.3900000000001</v>
      </c>
      <c r="J104" s="4">
        <v>1075.41</v>
      </c>
      <c r="K104" s="4">
        <v>664.02</v>
      </c>
      <c r="L104" s="4">
        <v>1160.1</v>
      </c>
      <c r="M104" s="4">
        <v>1170.09</v>
      </c>
      <c r="N104" s="4">
        <v>1206.0</v>
      </c>
      <c r="O104" s="4">
        <v>1431.72</v>
      </c>
      <c r="P104" s="4">
        <v>1347.57</v>
      </c>
      <c r="Q104" s="4">
        <v>1335.24</v>
      </c>
      <c r="R104" s="4">
        <v>759.96</v>
      </c>
      <c r="S104" s="4">
        <v>2917.53</v>
      </c>
      <c r="T104" s="4">
        <v>1721.97</v>
      </c>
      <c r="U104" s="4">
        <v>7678.89</v>
      </c>
      <c r="V104" s="4">
        <v>5774.940000000001</v>
      </c>
      <c r="W104" s="4">
        <v>8716.23</v>
      </c>
      <c r="X104" s="4">
        <v>4817.16</v>
      </c>
      <c r="Y104" s="4">
        <v>3561.3</v>
      </c>
      <c r="Z104" s="4">
        <v>2920.5</v>
      </c>
      <c r="AA104" s="4">
        <v>3102.12</v>
      </c>
      <c r="AB104" s="4">
        <v>3711.96</v>
      </c>
      <c r="AC104" s="4">
        <v>3370.95</v>
      </c>
      <c r="AD104" s="4">
        <v>4314.51</v>
      </c>
      <c r="AE104" s="4">
        <v>2827.44</v>
      </c>
      <c r="AF104" s="4">
        <v>5534.37</v>
      </c>
      <c r="AG104" s="4">
        <v>16877.97</v>
      </c>
      <c r="AH104" s="6">
        <f>Datos_originales!$H135/Datos_originales!$E135</f>
        <v>0</v>
      </c>
      <c r="AI104" s="6">
        <f>Datos_originales!$I135/Datos_originales!$E135</f>
        <v>0</v>
      </c>
      <c r="AJ104" s="6">
        <f>Datos_originales!$J135/Datos_originales!$E135</f>
        <v>0</v>
      </c>
      <c r="AK104" s="6">
        <f>Datos_originales!$K135/Datos_originales!$E135</f>
        <v>0</v>
      </c>
      <c r="AL104" s="6">
        <f>Datos_originales!$L135/Datos_originales!$E135</f>
        <v>0</v>
      </c>
      <c r="AM104" s="6">
        <f>Datos_originales!$M135/Datos_originales!$E135</f>
        <v>0</v>
      </c>
      <c r="AN104" s="6">
        <f>Datos_originales!$N135/Datos_originales!$E135</f>
        <v>0</v>
      </c>
      <c r="AO104" s="6">
        <f>Datos_originales!$O135/Datos_originales!$E135</f>
        <v>0</v>
      </c>
      <c r="AP104" s="6">
        <f>Datos_originales!$P135/Datos_originales!$E135</f>
        <v>0.006396588486</v>
      </c>
      <c r="AQ104" s="6">
        <f>Datos_originales!$Q135/Datos_originales!$E135</f>
        <v>0</v>
      </c>
      <c r="AR104" s="6">
        <f>Datos_originales!$R135/Datos_originales!$E135</f>
        <v>0</v>
      </c>
      <c r="AS104" s="6">
        <f>Datos_originales!$S135/Datos_originales!$E135</f>
        <v>0.01279317697</v>
      </c>
      <c r="AT104" s="6">
        <f>Datos_originales!$T135/Datos_originales!$E135</f>
        <v>0.001066098081</v>
      </c>
      <c r="AU104" s="6">
        <f>Datos_originales!$U135/Datos_originales!$E135</f>
        <v>0</v>
      </c>
      <c r="AV104" s="6">
        <f>Datos_originales!$V135/Datos_originales!$E135</f>
        <v>0.002132196162</v>
      </c>
      <c r="AW104" s="6">
        <f>Datos_originales!$W135/Datos_originales!$E135</f>
        <v>0.01918976546</v>
      </c>
      <c r="AX104" s="6">
        <f>Datos_originales!$X135/Datos_originales!$E135</f>
        <v>0</v>
      </c>
      <c r="AY104" s="6">
        <f>Datos_originales!$Y135/Datos_originales!$E135</f>
        <v>0</v>
      </c>
      <c r="AZ104" s="6">
        <f>Datos_originales!$Z135/Datos_originales!$E135</f>
        <v>0.04371002132</v>
      </c>
      <c r="BA104" s="6">
        <f>Datos_originales!$AA135/Datos_originales!$E135</f>
        <v>0.006396588486</v>
      </c>
      <c r="BB104" s="6">
        <f>Datos_originales!$AB135/Datos_originales!$E135</f>
        <v>0.005330490405</v>
      </c>
      <c r="BC104" s="6">
        <f>Datos_originales!$AC135/Datos_originales!$E135</f>
        <v>0.009594882729</v>
      </c>
      <c r="BD104" s="6">
        <f>Datos_originales!$AD135/Datos_originales!$E135</f>
        <v>0.001066098081</v>
      </c>
      <c r="BE104" s="6">
        <f>Datos_originales!$AE135/Datos_originales!$E135</f>
        <v>0.001066098081</v>
      </c>
      <c r="BF104" s="6">
        <f>Datos_originales!$AF135/Datos_originales!$E135</f>
        <v>0.01385927505</v>
      </c>
      <c r="BG104" s="6">
        <f>Datos_originales!$AG135/Datos_originales!$E135</f>
        <v>0.001066098081</v>
      </c>
    </row>
    <row r="105" ht="15.75" customHeight="1">
      <c r="A105" s="2">
        <v>21502.0</v>
      </c>
      <c r="B105" s="3" t="s">
        <v>89</v>
      </c>
      <c r="C105" s="4" t="s">
        <v>164</v>
      </c>
      <c r="D105" s="4">
        <f>IF(Datos_originales!$E105&lt;1000,"Bosque menor a 1000 ha",Datos_originales!$E105)</f>
        <v>264913.2</v>
      </c>
      <c r="E105" s="4">
        <v>264913.2</v>
      </c>
      <c r="F105" s="5">
        <f>AVERAGE(Datos_originales!$H151:$J151)</f>
        <v>808.68</v>
      </c>
      <c r="G105" s="5">
        <f>AVERAGE(Datos_originales!$R151:$T151)</f>
        <v>1281.51</v>
      </c>
      <c r="H105" s="4">
        <v>507.78</v>
      </c>
      <c r="I105" s="4">
        <v>610.02</v>
      </c>
      <c r="J105" s="4">
        <v>1406.52</v>
      </c>
      <c r="K105" s="4">
        <v>499.95</v>
      </c>
      <c r="L105" s="4">
        <v>1945.8</v>
      </c>
      <c r="M105" s="4">
        <v>1010.79</v>
      </c>
      <c r="N105" s="4">
        <v>1095.66</v>
      </c>
      <c r="O105" s="4">
        <v>803.88</v>
      </c>
      <c r="P105" s="4">
        <v>1221.75</v>
      </c>
      <c r="Q105" s="4">
        <v>507.06</v>
      </c>
      <c r="R105" s="4">
        <v>262.62</v>
      </c>
      <c r="S105" s="4">
        <v>3802.5</v>
      </c>
      <c r="T105" s="4">
        <v>897.21</v>
      </c>
      <c r="U105" s="4">
        <v>2191.5</v>
      </c>
      <c r="V105" s="4">
        <v>1751.31</v>
      </c>
      <c r="W105" s="4">
        <v>3904.83</v>
      </c>
      <c r="X105" s="4">
        <v>2116.35</v>
      </c>
      <c r="Y105" s="4">
        <v>2547.72</v>
      </c>
      <c r="Z105" s="4">
        <v>1463.49</v>
      </c>
      <c r="AA105" s="4">
        <v>1497.42</v>
      </c>
      <c r="AB105" s="4">
        <v>1227.06</v>
      </c>
      <c r="AC105" s="4">
        <v>1577.97</v>
      </c>
      <c r="AD105" s="4">
        <v>1180.17</v>
      </c>
      <c r="AE105" s="4">
        <v>739.98</v>
      </c>
      <c r="AF105" s="4">
        <v>4072.05</v>
      </c>
      <c r="AG105" s="4">
        <v>1196.37</v>
      </c>
      <c r="AH105" s="6">
        <f>Datos_originales!$H151/Datos_originales!$E151</f>
        <v>0.002642489546</v>
      </c>
      <c r="AI105" s="6">
        <f>Datos_originales!$I151/Datos_originales!$E151</f>
        <v>0.004307244923</v>
      </c>
      <c r="AJ105" s="6">
        <f>Datos_originales!$J151/Datos_originales!$E151</f>
        <v>0.004763955417</v>
      </c>
      <c r="AK105" s="6">
        <f>Datos_originales!$K151/Datos_originales!$E151</f>
        <v>0.003214789946</v>
      </c>
      <c r="AL105" s="6">
        <f>Datos_originales!$L151/Datos_originales!$E151</f>
        <v>0.003027934082</v>
      </c>
      <c r="AM105" s="6">
        <f>Datos_originales!$M151/Datos_originales!$E151</f>
        <v>0.003222177271</v>
      </c>
      <c r="AN105" s="6">
        <f>Datos_originales!$N151/Datos_originales!$E151</f>
        <v>0.003233910081</v>
      </c>
      <c r="AO105" s="6">
        <f>Datos_originales!$O151/Datos_originales!$E151</f>
        <v>0.003177853322</v>
      </c>
      <c r="AP105" s="6">
        <f>Datos_originales!$P151/Datos_originales!$E151</f>
        <v>0.006414370693</v>
      </c>
      <c r="AQ105" s="6">
        <f>Datos_originales!$Q151/Datos_originales!$E151</f>
        <v>0.008690970386</v>
      </c>
      <c r="AR105" s="6">
        <f>Datos_originales!$R151/Datos_originales!$E151</f>
        <v>0.0009942470122</v>
      </c>
      <c r="AS105" s="6">
        <f>Datos_originales!$S151/Datos_originales!$E151</f>
        <v>0.0097873363</v>
      </c>
      <c r="AT105" s="6">
        <f>Datos_originales!$T151/Datos_originales!$E151</f>
        <v>0.007781025787</v>
      </c>
      <c r="AU105" s="6">
        <f>Datos_originales!$U151/Datos_originales!$E151</f>
        <v>0.01619649241</v>
      </c>
      <c r="AV105" s="6">
        <f>Datos_originales!$V151/Datos_originales!$E151</f>
        <v>0.0140280953</v>
      </c>
      <c r="AW105" s="6">
        <f>Datos_originales!$W151/Datos_originales!$E151</f>
        <v>0.01529958427</v>
      </c>
      <c r="AX105" s="6">
        <f>Datos_originales!$X151/Datos_originales!$E151</f>
        <v>0.01589752303</v>
      </c>
      <c r="AY105" s="6">
        <f>Datos_originales!$Y151/Datos_originales!$E151</f>
        <v>0.006634252244</v>
      </c>
      <c r="AZ105" s="6">
        <f>Datos_originales!$Z151/Datos_originales!$E151</f>
        <v>0.006172327168</v>
      </c>
      <c r="BA105" s="6">
        <f>Datos_originales!$AA151/Datos_originales!$E151</f>
        <v>0.008855664275</v>
      </c>
      <c r="BB105" s="6">
        <f>Datos_originales!$AB151/Datos_originales!$E151</f>
        <v>0.007460328979</v>
      </c>
      <c r="BC105" s="6">
        <f>Datos_originales!$AC151/Datos_originales!$E151</f>
        <v>0.009393200793</v>
      </c>
      <c r="BD105" s="6">
        <f>Datos_originales!$AD151/Datos_originales!$E151</f>
        <v>0.01098582112</v>
      </c>
      <c r="BE105" s="6">
        <f>Datos_originales!$AE151/Datos_originales!$E151</f>
        <v>0.002730268347</v>
      </c>
      <c r="BF105" s="6">
        <f>Datos_originales!$AF151/Datos_originales!$E151</f>
        <v>0.01294693858</v>
      </c>
      <c r="BG105" s="6">
        <f>Datos_originales!$AG151/Datos_originales!$E151</f>
        <v>0.02293329811</v>
      </c>
    </row>
    <row r="106" ht="15.75" customHeight="1">
      <c r="A106" s="2">
        <v>21601.0</v>
      </c>
      <c r="B106" s="3" t="s">
        <v>89</v>
      </c>
      <c r="C106" s="4" t="s">
        <v>165</v>
      </c>
      <c r="D106" s="4">
        <f>IF(Datos_originales!$E106&lt;1000,"Bosque menor a 1000 ha",Datos_originales!$E106)</f>
        <v>140944.05</v>
      </c>
      <c r="E106" s="4">
        <v>140944.05</v>
      </c>
      <c r="F106" s="5">
        <f>AVERAGE(Datos_originales!$H131:$J131)</f>
        <v>0</v>
      </c>
      <c r="G106" s="5">
        <f>AVERAGE(Datos_originales!$R131:$T131)</f>
        <v>0.36</v>
      </c>
      <c r="H106" s="4">
        <v>20.79</v>
      </c>
      <c r="I106" s="4">
        <v>16.2</v>
      </c>
      <c r="J106" s="4">
        <v>22.86</v>
      </c>
      <c r="K106" s="4">
        <v>21.78</v>
      </c>
      <c r="L106" s="4">
        <v>15.66</v>
      </c>
      <c r="M106" s="4">
        <v>11.79</v>
      </c>
      <c r="N106" s="4">
        <v>34.74</v>
      </c>
      <c r="O106" s="4">
        <v>26.82</v>
      </c>
      <c r="P106" s="4">
        <v>100.71</v>
      </c>
      <c r="Q106" s="4">
        <v>69.48</v>
      </c>
      <c r="R106" s="4">
        <v>19.62</v>
      </c>
      <c r="S106" s="4">
        <v>66.15</v>
      </c>
      <c r="T106" s="4">
        <v>440.37</v>
      </c>
      <c r="U106" s="4">
        <v>387.72</v>
      </c>
      <c r="V106" s="4">
        <v>390.69</v>
      </c>
      <c r="W106" s="4">
        <v>562.86</v>
      </c>
      <c r="X106" s="4">
        <v>331.74</v>
      </c>
      <c r="Y106" s="4">
        <v>163.53</v>
      </c>
      <c r="Z106" s="4">
        <v>161.46</v>
      </c>
      <c r="AA106" s="4">
        <v>217.08</v>
      </c>
      <c r="AB106" s="4">
        <v>251.28</v>
      </c>
      <c r="AC106" s="4">
        <v>242.91</v>
      </c>
      <c r="AD106" s="4">
        <v>498.6899999999999</v>
      </c>
      <c r="AE106" s="4">
        <v>75.87</v>
      </c>
      <c r="AF106" s="4">
        <v>162.0</v>
      </c>
      <c r="AG106" s="4">
        <v>969.39</v>
      </c>
      <c r="AH106" s="6">
        <f>Datos_originales!$H131/Datos_originales!$E131</f>
        <v>0</v>
      </c>
      <c r="AI106" s="6">
        <f>Datos_originales!$I131/Datos_originales!$E131</f>
        <v>0</v>
      </c>
      <c r="AJ106" s="6">
        <f>Datos_originales!$J131/Datos_originales!$E131</f>
        <v>0</v>
      </c>
      <c r="AK106" s="6">
        <f>Datos_originales!$K131/Datos_originales!$E131</f>
        <v>0</v>
      </c>
      <c r="AL106" s="6">
        <f>Datos_originales!$L131/Datos_originales!$E131</f>
        <v>0</v>
      </c>
      <c r="AM106" s="6">
        <f>Datos_originales!$M131/Datos_originales!$E131</f>
        <v>0.003345498783</v>
      </c>
      <c r="AN106" s="6">
        <f>Datos_originales!$N131/Datos_originales!$E131</f>
        <v>0.000304136253</v>
      </c>
      <c r="AO106" s="6">
        <f>Datos_originales!$O131/Datos_originales!$E131</f>
        <v>0</v>
      </c>
      <c r="AP106" s="6">
        <f>Datos_originales!$P131/Datos_originales!$E131</f>
        <v>0</v>
      </c>
      <c r="AQ106" s="6">
        <f>Datos_originales!$Q131/Datos_originales!$E131</f>
        <v>0</v>
      </c>
      <c r="AR106" s="6">
        <f>Datos_originales!$R131/Datos_originales!$E131</f>
        <v>0</v>
      </c>
      <c r="AS106" s="6">
        <f>Datos_originales!$S131/Datos_originales!$E131</f>
        <v>0.003649635036</v>
      </c>
      <c r="AT106" s="6">
        <f>Datos_originales!$T131/Datos_originales!$E131</f>
        <v>0</v>
      </c>
      <c r="AU106" s="6">
        <f>Datos_originales!$U131/Datos_originales!$E131</f>
        <v>0.002128953771</v>
      </c>
      <c r="AV106" s="6">
        <f>Datos_originales!$V131/Datos_originales!$E131</f>
        <v>0.000304136253</v>
      </c>
      <c r="AW106" s="6">
        <f>Datos_originales!$W131/Datos_originales!$E131</f>
        <v>0.02585158151</v>
      </c>
      <c r="AX106" s="6">
        <f>Datos_originales!$X131/Datos_originales!$E131</f>
        <v>0.0009124087591</v>
      </c>
      <c r="AY106" s="6">
        <f>Datos_originales!$Y131/Datos_originales!$E131</f>
        <v>0.009124087591</v>
      </c>
      <c r="AZ106" s="6">
        <f>Datos_originales!$Z131/Datos_originales!$E131</f>
        <v>0.02645985401</v>
      </c>
      <c r="BA106" s="6">
        <f>Datos_originales!$AA131/Datos_originales!$E131</f>
        <v>0.02159367397</v>
      </c>
      <c r="BB106" s="6">
        <f>Datos_originales!$AB131/Datos_originales!$E131</f>
        <v>0.02858880779</v>
      </c>
      <c r="BC106" s="6">
        <f>Datos_originales!$AC131/Datos_originales!$E131</f>
        <v>0.01855231144</v>
      </c>
      <c r="BD106" s="6">
        <f>Datos_originales!$AD131/Datos_originales!$E131</f>
        <v>0</v>
      </c>
      <c r="BE106" s="6">
        <f>Datos_originales!$AE131/Datos_originales!$E131</f>
        <v>0</v>
      </c>
      <c r="BF106" s="6">
        <f>Datos_originales!$AF131/Datos_originales!$E131</f>
        <v>0.007299270073</v>
      </c>
      <c r="BG106" s="6">
        <f>Datos_originales!$AG131/Datos_originales!$E131</f>
        <v>0</v>
      </c>
    </row>
    <row r="107" ht="15.75" customHeight="1">
      <c r="A107" s="2">
        <v>21602.0</v>
      </c>
      <c r="B107" s="3" t="s">
        <v>89</v>
      </c>
      <c r="C107" s="4" t="s">
        <v>166</v>
      </c>
      <c r="D107" s="4">
        <f>IF(Datos_originales!$E107&lt;1000,"Bosque menor a 1000 ha",Datos_originales!$E107)</f>
        <v>8584.74</v>
      </c>
      <c r="E107" s="4">
        <v>8584.74</v>
      </c>
      <c r="F107" s="5">
        <f>AVERAGE(Datos_originales!$H194:$J194)</f>
        <v>0</v>
      </c>
      <c r="G107" s="5">
        <f>AVERAGE(Datos_originales!$R194:$T194)</f>
        <v>0</v>
      </c>
      <c r="H107" s="4">
        <v>0.0</v>
      </c>
      <c r="I107" s="4">
        <v>0.99</v>
      </c>
      <c r="J107" s="4">
        <v>0.27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0.09</v>
      </c>
      <c r="Q107" s="4">
        <v>0.0</v>
      </c>
      <c r="R107" s="4">
        <v>0.45</v>
      </c>
      <c r="S107" s="4">
        <v>14.31</v>
      </c>
      <c r="T107" s="4">
        <v>6.48</v>
      </c>
      <c r="U107" s="4">
        <v>83.7</v>
      </c>
      <c r="V107" s="4">
        <v>97.74</v>
      </c>
      <c r="W107" s="4">
        <v>57.6</v>
      </c>
      <c r="X107" s="4">
        <v>46.44</v>
      </c>
      <c r="Y107" s="4">
        <v>28.26</v>
      </c>
      <c r="Z107" s="4">
        <v>43.29</v>
      </c>
      <c r="AA107" s="4">
        <v>48.87</v>
      </c>
      <c r="AB107" s="4">
        <v>44.55</v>
      </c>
      <c r="AC107" s="4">
        <v>23.76</v>
      </c>
      <c r="AD107" s="4">
        <v>64.08</v>
      </c>
      <c r="AE107" s="4">
        <v>14.94</v>
      </c>
      <c r="AF107" s="4">
        <v>15.21</v>
      </c>
      <c r="AG107" s="4">
        <v>15.48</v>
      </c>
      <c r="AH107" s="6" t="str">
        <f>Datos_originales!$H194/Datos_originales!$E194</f>
        <v>#DIV/0!</v>
      </c>
      <c r="AI107" s="6" t="str">
        <f>Datos_originales!$I194/Datos_originales!$E194</f>
        <v>#DIV/0!</v>
      </c>
      <c r="AJ107" s="6" t="str">
        <f>Datos_originales!$J194/Datos_originales!$E194</f>
        <v>#DIV/0!</v>
      </c>
      <c r="AK107" s="6" t="str">
        <f>Datos_originales!$K194/Datos_originales!$E194</f>
        <v>#DIV/0!</v>
      </c>
      <c r="AL107" s="6" t="str">
        <f>Datos_originales!$L194/Datos_originales!$E194</f>
        <v>#DIV/0!</v>
      </c>
      <c r="AM107" s="6" t="str">
        <f>Datos_originales!$M194/Datos_originales!$E194</f>
        <v>#DIV/0!</v>
      </c>
      <c r="AN107" s="6" t="str">
        <f>Datos_originales!$N194/Datos_originales!$E194</f>
        <v>#DIV/0!</v>
      </c>
      <c r="AO107" s="6" t="str">
        <f>Datos_originales!$O194/Datos_originales!$E194</f>
        <v>#DIV/0!</v>
      </c>
      <c r="AP107" s="6" t="str">
        <f>Datos_originales!$P194/Datos_originales!$E194</f>
        <v>#DIV/0!</v>
      </c>
      <c r="AQ107" s="6" t="str">
        <f>Datos_originales!$Q194/Datos_originales!$E194</f>
        <v>#DIV/0!</v>
      </c>
      <c r="AR107" s="6" t="str">
        <f>Datos_originales!$R194/Datos_originales!$E194</f>
        <v>#DIV/0!</v>
      </c>
      <c r="AS107" s="6" t="str">
        <f>Datos_originales!$S194/Datos_originales!$E194</f>
        <v>#DIV/0!</v>
      </c>
      <c r="AT107" s="6" t="str">
        <f>Datos_originales!$T194/Datos_originales!$E194</f>
        <v>#DIV/0!</v>
      </c>
      <c r="AU107" s="6" t="str">
        <f>Datos_originales!$U194/Datos_originales!$E194</f>
        <v>#DIV/0!</v>
      </c>
      <c r="AV107" s="6" t="str">
        <f>Datos_originales!$V194/Datos_originales!$E194</f>
        <v>#DIV/0!</v>
      </c>
      <c r="AW107" s="6" t="str">
        <f>Datos_originales!$W194/Datos_originales!$E194</f>
        <v>#DIV/0!</v>
      </c>
      <c r="AX107" s="6" t="str">
        <f>Datos_originales!$X194/Datos_originales!$E194</f>
        <v>#DIV/0!</v>
      </c>
      <c r="AY107" s="6" t="str">
        <f>Datos_originales!$Y194/Datos_originales!$E194</f>
        <v>#DIV/0!</v>
      </c>
      <c r="AZ107" s="6" t="str">
        <f>Datos_originales!$Z194/Datos_originales!$E194</f>
        <v>#DIV/0!</v>
      </c>
      <c r="BA107" s="6" t="str">
        <f>Datos_originales!$AA194/Datos_originales!$E194</f>
        <v>#DIV/0!</v>
      </c>
      <c r="BB107" s="6" t="str">
        <f>Datos_originales!$AB194/Datos_originales!$E194</f>
        <v>#DIV/0!</v>
      </c>
      <c r="BC107" s="6" t="str">
        <f>Datos_originales!$AC194/Datos_originales!$E194</f>
        <v>#DIV/0!</v>
      </c>
      <c r="BD107" s="6" t="str">
        <f>Datos_originales!$AD194/Datos_originales!$E194</f>
        <v>#DIV/0!</v>
      </c>
      <c r="BE107" s="6" t="str">
        <f>Datos_originales!$AE194/Datos_originales!$E194</f>
        <v>#DIV/0!</v>
      </c>
      <c r="BF107" s="6" t="str">
        <f>Datos_originales!$AF194/Datos_originales!$E194</f>
        <v>#DIV/0!</v>
      </c>
      <c r="BG107" s="6" t="str">
        <f>Datos_originales!$AG194/Datos_originales!$E194</f>
        <v>#DIV/0!</v>
      </c>
    </row>
    <row r="108" ht="15.75" customHeight="1">
      <c r="A108" s="2">
        <v>21701.0</v>
      </c>
      <c r="B108" s="3" t="s">
        <v>89</v>
      </c>
      <c r="C108" s="4" t="s">
        <v>167</v>
      </c>
      <c r="D108" s="4" t="str">
        <f>IF(Datos_originales!$E108&lt;1000,"Bosque menor a 1000 ha",Datos_originales!$E108)</f>
        <v>Bosque menor a 1000 ha</v>
      </c>
      <c r="E108" s="4">
        <v>0.0</v>
      </c>
      <c r="F108" s="5">
        <f>AVERAGE(Datos_originales!$H262:$J262)</f>
        <v>2026.32</v>
      </c>
      <c r="G108" s="5">
        <f>AVERAGE(Datos_originales!$R262:$T262)</f>
        <v>16352.67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  <c r="AG108" s="4">
        <v>0.0</v>
      </c>
      <c r="AH108" s="6">
        <v>0.0</v>
      </c>
      <c r="AI108" s="6">
        <v>0.0</v>
      </c>
      <c r="AJ108" s="6">
        <v>0.0</v>
      </c>
      <c r="AK108" s="6">
        <v>0.0</v>
      </c>
      <c r="AL108" s="6">
        <v>0.0</v>
      </c>
      <c r="AM108" s="6">
        <v>0.0</v>
      </c>
      <c r="AN108" s="6">
        <v>0.0</v>
      </c>
      <c r="AO108" s="6">
        <v>0.0</v>
      </c>
      <c r="AP108" s="6">
        <v>0.0</v>
      </c>
      <c r="AQ108" s="6">
        <v>0.0</v>
      </c>
      <c r="AR108" s="6">
        <v>0.0</v>
      </c>
      <c r="AS108" s="6">
        <v>0.0</v>
      </c>
      <c r="AT108" s="6">
        <v>0.0</v>
      </c>
      <c r="AU108" s="6">
        <v>0.0</v>
      </c>
      <c r="AV108" s="6">
        <v>0.0</v>
      </c>
      <c r="AW108" s="6">
        <v>0.0</v>
      </c>
      <c r="AX108" s="6">
        <v>0.0</v>
      </c>
      <c r="AY108" s="6">
        <v>0.0</v>
      </c>
      <c r="AZ108" s="6">
        <v>0.0</v>
      </c>
      <c r="BA108" s="6">
        <v>0.0</v>
      </c>
      <c r="BB108" s="6">
        <v>0.0</v>
      </c>
      <c r="BC108" s="6">
        <v>0.0</v>
      </c>
      <c r="BD108" s="6">
        <v>0.0</v>
      </c>
      <c r="BE108" s="6">
        <v>0.0</v>
      </c>
      <c r="BF108" s="6">
        <v>0.0</v>
      </c>
      <c r="BG108" s="6">
        <v>0.0</v>
      </c>
    </row>
    <row r="109" ht="15.75" customHeight="1">
      <c r="A109" s="2">
        <v>21702.0</v>
      </c>
      <c r="B109" s="3" t="s">
        <v>89</v>
      </c>
      <c r="C109" s="4" t="s">
        <v>168</v>
      </c>
      <c r="D109" s="4" t="str">
        <f>IF(Datos_originales!$E109&lt;1000,"Bosque menor a 1000 ha",Datos_originales!$E109)</f>
        <v>Bosque menor a 1000 ha</v>
      </c>
      <c r="E109" s="4">
        <v>0.0</v>
      </c>
      <c r="F109" s="5">
        <f>AVERAGE(Datos_originales!$H263:$J263)</f>
        <v>1575.03</v>
      </c>
      <c r="G109" s="5">
        <f>AVERAGE(Datos_originales!$R263:$T263)</f>
        <v>11620.8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0.0</v>
      </c>
      <c r="AF109" s="4">
        <v>0.0</v>
      </c>
      <c r="AG109" s="4">
        <v>0.0</v>
      </c>
      <c r="AH109" s="6">
        <v>0.0</v>
      </c>
      <c r="AI109" s="6">
        <v>0.0</v>
      </c>
      <c r="AJ109" s="6">
        <v>0.0</v>
      </c>
      <c r="AK109" s="6">
        <v>0.0</v>
      </c>
      <c r="AL109" s="6">
        <v>0.0</v>
      </c>
      <c r="AM109" s="6">
        <v>0.0</v>
      </c>
      <c r="AN109" s="6">
        <v>0.0</v>
      </c>
      <c r="AO109" s="6">
        <v>0.0</v>
      </c>
      <c r="AP109" s="6">
        <v>0.0</v>
      </c>
      <c r="AQ109" s="6">
        <v>0.0</v>
      </c>
      <c r="AR109" s="6">
        <v>0.0</v>
      </c>
      <c r="AS109" s="6">
        <v>0.0</v>
      </c>
      <c r="AT109" s="6">
        <v>0.0</v>
      </c>
      <c r="AU109" s="6">
        <v>0.0</v>
      </c>
      <c r="AV109" s="6">
        <v>0.0</v>
      </c>
      <c r="AW109" s="6">
        <v>0.0</v>
      </c>
      <c r="AX109" s="6">
        <v>0.0</v>
      </c>
      <c r="AY109" s="6">
        <v>0.0</v>
      </c>
      <c r="AZ109" s="6">
        <v>0.0</v>
      </c>
      <c r="BA109" s="6">
        <v>0.0</v>
      </c>
      <c r="BB109" s="6">
        <v>0.0</v>
      </c>
      <c r="BC109" s="6">
        <v>0.0</v>
      </c>
      <c r="BD109" s="6">
        <v>0.0</v>
      </c>
      <c r="BE109" s="6">
        <v>0.0</v>
      </c>
      <c r="BF109" s="6">
        <v>0.0</v>
      </c>
      <c r="BG109" s="6">
        <v>0.0</v>
      </c>
    </row>
    <row r="110" ht="15.75" customHeight="1">
      <c r="A110" s="2">
        <v>21703.0</v>
      </c>
      <c r="B110" s="3" t="s">
        <v>89</v>
      </c>
      <c r="C110" s="4" t="s">
        <v>169</v>
      </c>
      <c r="D110" s="4" t="str">
        <f>IF(Datos_originales!$E110&lt;1000,"Bosque menor a 1000 ha",Datos_originales!$E110)</f>
        <v>Bosque menor a 1000 ha</v>
      </c>
      <c r="E110" s="4">
        <v>0.0</v>
      </c>
      <c r="F110" s="5">
        <f>AVERAGE(Datos_originales!$H264:$J264)</f>
        <v>1836.57</v>
      </c>
      <c r="G110" s="5">
        <f>AVERAGE(Datos_originales!$R264:$T264)</f>
        <v>1728.54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  <c r="AG110" s="4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0.0</v>
      </c>
      <c r="AM110" s="6">
        <v>0.0</v>
      </c>
      <c r="AN110" s="6">
        <v>0.0</v>
      </c>
      <c r="AO110" s="6">
        <v>0.0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6">
        <v>0.0</v>
      </c>
      <c r="AV110" s="6">
        <v>0.0</v>
      </c>
      <c r="AW110" s="6">
        <v>0.0</v>
      </c>
      <c r="AX110" s="6">
        <v>0.0</v>
      </c>
      <c r="AY110" s="6">
        <v>0.0</v>
      </c>
      <c r="AZ110" s="6">
        <v>0.0</v>
      </c>
      <c r="BA110" s="6">
        <v>0.0</v>
      </c>
      <c r="BB110" s="6">
        <v>0.0</v>
      </c>
      <c r="BC110" s="6">
        <v>0.0</v>
      </c>
      <c r="BD110" s="6">
        <v>0.0</v>
      </c>
      <c r="BE110" s="6">
        <v>0.0</v>
      </c>
      <c r="BF110" s="6">
        <v>0.0</v>
      </c>
      <c r="BG110" s="6">
        <v>0.0</v>
      </c>
    </row>
    <row r="111" ht="15.75" customHeight="1">
      <c r="A111" s="2">
        <v>21801.0</v>
      </c>
      <c r="B111" s="3" t="s">
        <v>89</v>
      </c>
      <c r="C111" s="4" t="s">
        <v>170</v>
      </c>
      <c r="D111" s="4" t="str">
        <f>IF(Datos_originales!$E111&lt;1000,"Bosque menor a 1000 ha",Datos_originales!$E111)</f>
        <v>Bosque menor a 1000 ha</v>
      </c>
      <c r="E111" s="4">
        <v>0.0</v>
      </c>
      <c r="F111" s="5">
        <f>AVERAGE(Datos_originales!$H265:$J265)</f>
        <v>1203.48</v>
      </c>
      <c r="G111" s="5">
        <f>AVERAGE(Datos_originales!$R265:$T265)</f>
        <v>1209.75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  <c r="AD111" s="4">
        <v>0.0</v>
      </c>
      <c r="AE111" s="4">
        <v>0.0</v>
      </c>
      <c r="AF111" s="4">
        <v>0.0</v>
      </c>
      <c r="AG111" s="4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0.0</v>
      </c>
      <c r="AO111" s="6">
        <v>0.0</v>
      </c>
      <c r="AP111" s="6">
        <v>0.0</v>
      </c>
      <c r="AQ111" s="6">
        <v>0.0</v>
      </c>
      <c r="AR111" s="6">
        <v>0.0</v>
      </c>
      <c r="AS111" s="6">
        <v>0.0</v>
      </c>
      <c r="AT111" s="6">
        <v>0.0</v>
      </c>
      <c r="AU111" s="6">
        <v>0.0</v>
      </c>
      <c r="AV111" s="6">
        <v>0.0</v>
      </c>
      <c r="AW111" s="6">
        <v>0.0</v>
      </c>
      <c r="AX111" s="6">
        <v>0.0</v>
      </c>
      <c r="AY111" s="6">
        <v>0.0</v>
      </c>
      <c r="AZ111" s="6">
        <v>0.0</v>
      </c>
      <c r="BA111" s="6">
        <v>0.0</v>
      </c>
      <c r="BB111" s="6">
        <v>0.0</v>
      </c>
      <c r="BC111" s="6">
        <v>0.0</v>
      </c>
      <c r="BD111" s="6">
        <v>0.0</v>
      </c>
      <c r="BE111" s="6">
        <v>0.0</v>
      </c>
      <c r="BF111" s="6">
        <v>0.0</v>
      </c>
      <c r="BG111" s="6">
        <v>0.0</v>
      </c>
    </row>
    <row r="112" ht="15.75" customHeight="1">
      <c r="A112" s="2">
        <v>21802.0</v>
      </c>
      <c r="B112" s="3" t="s">
        <v>89</v>
      </c>
      <c r="C112" s="4" t="s">
        <v>171</v>
      </c>
      <c r="D112" s="4" t="str">
        <f>IF(Datos_originales!$E112&lt;1000,"Bosque menor a 1000 ha",Datos_originales!$E112)</f>
        <v>Bosque menor a 1000 ha</v>
      </c>
      <c r="E112" s="4">
        <v>0.0</v>
      </c>
      <c r="F112" s="5">
        <f>AVERAGE(Datos_originales!$H266:$J266)</f>
        <v>6238.92</v>
      </c>
      <c r="G112" s="5">
        <f>AVERAGE(Datos_originales!$R266:$T266)</f>
        <v>6589.44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0.0</v>
      </c>
      <c r="AG112" s="4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0.0</v>
      </c>
      <c r="AR112" s="6">
        <v>0.0</v>
      </c>
      <c r="AS112" s="6">
        <v>0.0</v>
      </c>
      <c r="AT112" s="6">
        <v>0.0</v>
      </c>
      <c r="AU112" s="6">
        <v>0.0</v>
      </c>
      <c r="AV112" s="6">
        <v>0.0</v>
      </c>
      <c r="AW112" s="6">
        <v>0.0</v>
      </c>
      <c r="AX112" s="6">
        <v>0.0</v>
      </c>
      <c r="AY112" s="6">
        <v>0.0</v>
      </c>
      <c r="AZ112" s="6">
        <v>0.0</v>
      </c>
      <c r="BA112" s="6">
        <v>0.0</v>
      </c>
      <c r="BB112" s="6">
        <v>0.0</v>
      </c>
      <c r="BC112" s="6">
        <v>0.0</v>
      </c>
      <c r="BD112" s="6">
        <v>0.0</v>
      </c>
      <c r="BE112" s="6">
        <v>0.0</v>
      </c>
      <c r="BF112" s="6">
        <v>0.0</v>
      </c>
      <c r="BG112" s="6">
        <v>0.0</v>
      </c>
    </row>
    <row r="113" ht="15.75" customHeight="1">
      <c r="A113" s="2">
        <v>21803.0</v>
      </c>
      <c r="B113" s="3" t="s">
        <v>89</v>
      </c>
      <c r="C113" s="4" t="s">
        <v>172</v>
      </c>
      <c r="D113" s="4" t="str">
        <f>IF(Datos_originales!$E113&lt;1000,"Bosque menor a 1000 ha",Datos_originales!$E113)</f>
        <v>Bosque menor a 1000 ha</v>
      </c>
      <c r="E113" s="4">
        <v>0.0</v>
      </c>
      <c r="F113" s="5">
        <f>AVERAGE(Datos_originales!$H267:$J267)</f>
        <v>1518.9</v>
      </c>
      <c r="G113" s="5">
        <f>AVERAGE(Datos_originales!$R267:$T267)</f>
        <v>1453.77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  <c r="AF113" s="4">
        <v>0.0</v>
      </c>
      <c r="AG113" s="4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0.0</v>
      </c>
      <c r="AM113" s="6">
        <v>0.0</v>
      </c>
      <c r="AN113" s="6">
        <v>0.0</v>
      </c>
      <c r="AO113" s="6">
        <v>0.0</v>
      </c>
      <c r="AP113" s="6">
        <v>0.0</v>
      </c>
      <c r="AQ113" s="6">
        <v>0.0</v>
      </c>
      <c r="AR113" s="6">
        <v>0.0</v>
      </c>
      <c r="AS113" s="6">
        <v>0.0</v>
      </c>
      <c r="AT113" s="6">
        <v>0.0</v>
      </c>
      <c r="AU113" s="6">
        <v>0.0</v>
      </c>
      <c r="AV113" s="6">
        <v>0.0</v>
      </c>
      <c r="AW113" s="6">
        <v>0.0</v>
      </c>
      <c r="AX113" s="6">
        <v>0.0</v>
      </c>
      <c r="AY113" s="6">
        <v>0.0</v>
      </c>
      <c r="AZ113" s="6">
        <v>0.0</v>
      </c>
      <c r="BA113" s="6">
        <v>0.0</v>
      </c>
      <c r="BB113" s="6">
        <v>0.0</v>
      </c>
      <c r="BC113" s="6">
        <v>0.0</v>
      </c>
      <c r="BD113" s="6">
        <v>0.0</v>
      </c>
      <c r="BE113" s="6">
        <v>0.0</v>
      </c>
      <c r="BF113" s="6">
        <v>0.0</v>
      </c>
      <c r="BG113" s="6">
        <v>0.0</v>
      </c>
    </row>
    <row r="114" ht="15.75" customHeight="1">
      <c r="A114" s="2">
        <v>21901.0</v>
      </c>
      <c r="B114" s="3" t="s">
        <v>89</v>
      </c>
      <c r="C114" s="4" t="s">
        <v>173</v>
      </c>
      <c r="D114" s="4" t="str">
        <f>IF(Datos_originales!$E114&lt;1000,"Bosque menor a 1000 ha",Datos_originales!$E114)</f>
        <v>Bosque menor a 1000 ha</v>
      </c>
      <c r="E114" s="4">
        <v>0.0</v>
      </c>
      <c r="F114" s="5">
        <f>AVERAGE(Datos_originales!$H268:$J268)</f>
        <v>6662.67</v>
      </c>
      <c r="G114" s="5">
        <f>AVERAGE(Datos_originales!$R268:$T268)</f>
        <v>22728.27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0.0</v>
      </c>
      <c r="AB114" s="4">
        <v>0.0</v>
      </c>
      <c r="AC114" s="4">
        <v>0.0</v>
      </c>
      <c r="AD114" s="4">
        <v>0.0</v>
      </c>
      <c r="AE114" s="4">
        <v>0.0</v>
      </c>
      <c r="AF114" s="4">
        <v>0.0</v>
      </c>
      <c r="AG114" s="4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0.0</v>
      </c>
      <c r="AR114" s="6">
        <v>0.0</v>
      </c>
      <c r="AS114" s="6">
        <v>0.0</v>
      </c>
      <c r="AT114" s="6">
        <v>0.0</v>
      </c>
      <c r="AU114" s="6">
        <v>0.0</v>
      </c>
      <c r="AV114" s="6">
        <v>0.0</v>
      </c>
      <c r="AW114" s="6">
        <v>0.0</v>
      </c>
      <c r="AX114" s="6">
        <v>0.0</v>
      </c>
      <c r="AY114" s="6">
        <v>0.0</v>
      </c>
      <c r="AZ114" s="6">
        <v>0.0</v>
      </c>
      <c r="BA114" s="6">
        <v>0.0</v>
      </c>
      <c r="BB114" s="6">
        <v>0.0</v>
      </c>
      <c r="BC114" s="6">
        <v>0.0</v>
      </c>
      <c r="BD114" s="6">
        <v>0.0</v>
      </c>
      <c r="BE114" s="6">
        <v>0.0</v>
      </c>
      <c r="BF114" s="6">
        <v>0.0</v>
      </c>
      <c r="BG114" s="6">
        <v>0.0</v>
      </c>
    </row>
    <row r="115" ht="15.75" customHeight="1">
      <c r="A115" s="2">
        <v>21902.0</v>
      </c>
      <c r="B115" s="3" t="s">
        <v>89</v>
      </c>
      <c r="C115" s="4" t="s">
        <v>174</v>
      </c>
      <c r="D115" s="4" t="str">
        <f>IF(Datos_originales!$E115&lt;1000,"Bosque menor a 1000 ha",Datos_originales!$E115)</f>
        <v>Bosque menor a 1000 ha</v>
      </c>
      <c r="E115" s="4">
        <v>0.0</v>
      </c>
      <c r="F115" s="5">
        <f>AVERAGE(Datos_originales!$H269:$J269)</f>
        <v>24522.84</v>
      </c>
      <c r="G115" s="5">
        <f>AVERAGE(Datos_originales!$R269:$T269)</f>
        <v>17504.4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0.0</v>
      </c>
      <c r="AD115" s="4">
        <v>0.0</v>
      </c>
      <c r="AE115" s="4">
        <v>0.0</v>
      </c>
      <c r="AF115" s="4">
        <v>0.0</v>
      </c>
      <c r="AG115" s="4">
        <v>0.0</v>
      </c>
      <c r="AH115" s="6">
        <v>0.0</v>
      </c>
      <c r="AI115" s="6">
        <v>0.0</v>
      </c>
      <c r="AJ115" s="6">
        <v>0.0</v>
      </c>
      <c r="AK115" s="6">
        <v>0.0</v>
      </c>
      <c r="AL115" s="6">
        <v>0.0</v>
      </c>
      <c r="AM115" s="6">
        <v>0.0</v>
      </c>
      <c r="AN115" s="6">
        <v>0.0</v>
      </c>
      <c r="AO115" s="6">
        <v>0.0</v>
      </c>
      <c r="AP115" s="6">
        <v>0.0</v>
      </c>
      <c r="AQ115" s="6">
        <v>0.0</v>
      </c>
      <c r="AR115" s="6">
        <v>0.0</v>
      </c>
      <c r="AS115" s="6">
        <v>0.0</v>
      </c>
      <c r="AT115" s="6">
        <v>0.0</v>
      </c>
      <c r="AU115" s="6">
        <v>0.0</v>
      </c>
      <c r="AV115" s="6">
        <v>0.0</v>
      </c>
      <c r="AW115" s="6">
        <v>0.0</v>
      </c>
      <c r="AX115" s="6">
        <v>0.0</v>
      </c>
      <c r="AY115" s="6">
        <v>0.0</v>
      </c>
      <c r="AZ115" s="6">
        <v>0.0</v>
      </c>
      <c r="BA115" s="6">
        <v>0.0</v>
      </c>
      <c r="BB115" s="6">
        <v>0.0</v>
      </c>
      <c r="BC115" s="6">
        <v>0.0</v>
      </c>
      <c r="BD115" s="6">
        <v>0.0</v>
      </c>
      <c r="BE115" s="6">
        <v>0.0</v>
      </c>
      <c r="BF115" s="6">
        <v>0.0</v>
      </c>
      <c r="BG115" s="6">
        <v>0.0</v>
      </c>
    </row>
    <row r="116" ht="15.75" customHeight="1">
      <c r="A116" s="2">
        <v>22001.0</v>
      </c>
      <c r="B116" s="3" t="s">
        <v>89</v>
      </c>
      <c r="C116" s="4" t="s">
        <v>175</v>
      </c>
      <c r="D116" s="4">
        <f>IF(Datos_originales!$E116&lt;1000,"Bosque menor a 1000 ha",Datos_originales!$E116)</f>
        <v>141188.94</v>
      </c>
      <c r="E116" s="4">
        <v>141188.94</v>
      </c>
      <c r="F116" s="5">
        <f>AVERAGE(Datos_originales!$H141:$J141)</f>
        <v>8.49</v>
      </c>
      <c r="G116" s="5">
        <f>AVERAGE(Datos_originales!$R141:$T141)</f>
        <v>133.74</v>
      </c>
      <c r="H116" s="4">
        <v>367.92</v>
      </c>
      <c r="I116" s="4">
        <v>359.55</v>
      </c>
      <c r="J116" s="4">
        <v>606.06</v>
      </c>
      <c r="K116" s="4">
        <v>449.8200000000001</v>
      </c>
      <c r="L116" s="4">
        <v>492.66</v>
      </c>
      <c r="M116" s="4">
        <v>248.13</v>
      </c>
      <c r="N116" s="4">
        <v>726.57</v>
      </c>
      <c r="O116" s="4">
        <v>886.05</v>
      </c>
      <c r="P116" s="4">
        <v>1366.92</v>
      </c>
      <c r="Q116" s="4">
        <v>980.01</v>
      </c>
      <c r="R116" s="4">
        <v>57.42</v>
      </c>
      <c r="S116" s="4">
        <v>6397.110000000001</v>
      </c>
      <c r="T116" s="4">
        <v>639.0</v>
      </c>
      <c r="U116" s="4">
        <v>387.0</v>
      </c>
      <c r="V116" s="4">
        <v>386.46</v>
      </c>
      <c r="W116" s="4">
        <v>656.91</v>
      </c>
      <c r="X116" s="4">
        <v>470.34</v>
      </c>
      <c r="Y116" s="4">
        <v>504.27</v>
      </c>
      <c r="Z116" s="4">
        <v>253.53</v>
      </c>
      <c r="AA116" s="4">
        <v>731.97</v>
      </c>
      <c r="AB116" s="4">
        <v>901.26</v>
      </c>
      <c r="AC116" s="4">
        <v>1379.25</v>
      </c>
      <c r="AD116" s="4">
        <v>1003.41</v>
      </c>
      <c r="AE116" s="4">
        <v>59.22</v>
      </c>
      <c r="AF116" s="4">
        <v>6429.42</v>
      </c>
      <c r="AG116" s="4">
        <v>780.12</v>
      </c>
      <c r="AH116" s="6">
        <f>Datos_originales!$H141/Datos_originales!$E141</f>
        <v>0.003843582888</v>
      </c>
      <c r="AI116" s="6">
        <f>Datos_originales!$I141/Datos_originales!$E141</f>
        <v>0.008021390374</v>
      </c>
      <c r="AJ116" s="6">
        <f>Datos_originales!$J141/Datos_originales!$E141</f>
        <v>0.01178141711</v>
      </c>
      <c r="AK116" s="6">
        <f>Datos_originales!$K141/Datos_originales!$E141</f>
        <v>0.0169618984</v>
      </c>
      <c r="AL116" s="6">
        <f>Datos_originales!$L141/Datos_originales!$E141</f>
        <v>0.01453877005</v>
      </c>
      <c r="AM116" s="6">
        <f>Datos_originales!$M141/Datos_originales!$E141</f>
        <v>0.02239304813</v>
      </c>
      <c r="AN116" s="6">
        <f>Datos_originales!$N141/Datos_originales!$E141</f>
        <v>0.03308823529</v>
      </c>
      <c r="AO116" s="6">
        <f>Datos_originales!$O141/Datos_originales!$E141</f>
        <v>0.007185828877</v>
      </c>
      <c r="AP116" s="6">
        <f>Datos_originales!$P141/Datos_originales!$E141</f>
        <v>0.01111296791</v>
      </c>
      <c r="AQ116" s="6">
        <f>Datos_originales!$Q141/Datos_originales!$E141</f>
        <v>0.02055481283</v>
      </c>
      <c r="AR116" s="6">
        <f>Datos_originales!$R141/Datos_originales!$E141</f>
        <v>0.1661931818</v>
      </c>
      <c r="AS116" s="6">
        <f>Datos_originales!$S141/Datos_originales!$E141</f>
        <v>0.2028743316</v>
      </c>
      <c r="AT116" s="6">
        <f>Datos_originales!$T141/Datos_originales!$E141</f>
        <v>0.003425802139</v>
      </c>
      <c r="AU116" s="6">
        <f>Datos_originales!$U141/Datos_originales!$E141</f>
        <v>0.004094251337</v>
      </c>
      <c r="AV116" s="6">
        <f>Datos_originales!$V141/Datos_originales!$E141</f>
        <v>0.008773395722</v>
      </c>
      <c r="AW116" s="6">
        <f>Datos_originales!$W141/Datos_originales!$E141</f>
        <v>0.01971925134</v>
      </c>
      <c r="AX116" s="6">
        <f>Datos_originales!$X141/Datos_originales!$E141</f>
        <v>0.01854946524</v>
      </c>
      <c r="AY116" s="6">
        <f>Datos_originales!$Y141/Datos_originales!$E141</f>
        <v>0.01721256684</v>
      </c>
      <c r="AZ116" s="6">
        <f>Datos_originales!$Z141/Datos_originales!$E141</f>
        <v>0.02531751337</v>
      </c>
      <c r="BA116" s="6">
        <f>Datos_originales!$AA141/Datos_originales!$E141</f>
        <v>0.03693181818</v>
      </c>
      <c r="BB116" s="6">
        <f>Datos_originales!$AB141/Datos_originales!$E141</f>
        <v>0.01052807487</v>
      </c>
      <c r="BC116" s="6">
        <f>Datos_originales!$AC141/Datos_originales!$E141</f>
        <v>0.0141209893</v>
      </c>
      <c r="BD116" s="6">
        <f>Datos_originales!$AD141/Datos_originales!$E141</f>
        <v>0.02072192513</v>
      </c>
      <c r="BE116" s="6">
        <f>Datos_originales!$AE141/Datos_originales!$E141</f>
        <v>0.1669451872</v>
      </c>
      <c r="BF116" s="6">
        <f>Datos_originales!$AF141/Datos_originales!$E141</f>
        <v>0.2090574866</v>
      </c>
      <c r="BG116" s="6">
        <f>Datos_originales!$AG141/Datos_originales!$E141</f>
        <v>0.003509358289</v>
      </c>
    </row>
    <row r="117" ht="15.75" customHeight="1">
      <c r="A117" s="2">
        <v>22002.0</v>
      </c>
      <c r="B117" s="3" t="s">
        <v>89</v>
      </c>
      <c r="C117" s="4" t="s">
        <v>176</v>
      </c>
      <c r="D117" s="4">
        <f>IF(Datos_originales!$E117&lt;1000,"Bosque menor a 1000 ha",Datos_originales!$E117)</f>
        <v>94250.25</v>
      </c>
      <c r="E117" s="4">
        <v>94250.25</v>
      </c>
      <c r="F117" s="5">
        <f>AVERAGE(Datos_originales!$H65:$J65)</f>
        <v>687.03</v>
      </c>
      <c r="G117" s="5">
        <f>AVERAGE(Datos_originales!$R65:$T65)</f>
        <v>1889.82</v>
      </c>
      <c r="H117" s="4">
        <v>579.24</v>
      </c>
      <c r="I117" s="4">
        <v>863.01</v>
      </c>
      <c r="J117" s="4">
        <v>905.85</v>
      </c>
      <c r="K117" s="4">
        <v>707.67</v>
      </c>
      <c r="L117" s="4">
        <v>554.49</v>
      </c>
      <c r="M117" s="4">
        <v>250.2</v>
      </c>
      <c r="N117" s="4">
        <v>811.62</v>
      </c>
      <c r="O117" s="4">
        <v>796.5899999999999</v>
      </c>
      <c r="P117" s="4">
        <v>1015.02</v>
      </c>
      <c r="Q117" s="4">
        <v>650.16</v>
      </c>
      <c r="R117" s="4">
        <v>377.46</v>
      </c>
      <c r="S117" s="4">
        <v>2315.43</v>
      </c>
      <c r="T117" s="4">
        <v>2373.03</v>
      </c>
      <c r="U117" s="4">
        <v>623.43</v>
      </c>
      <c r="V117" s="4">
        <v>882.72</v>
      </c>
      <c r="W117" s="4">
        <v>1000.98</v>
      </c>
      <c r="X117" s="4">
        <v>715.6800000000001</v>
      </c>
      <c r="Y117" s="4">
        <v>560.52</v>
      </c>
      <c r="Z117" s="4">
        <v>254.16</v>
      </c>
      <c r="AA117" s="4">
        <v>820.71</v>
      </c>
      <c r="AB117" s="4">
        <v>821.79</v>
      </c>
      <c r="AC117" s="4">
        <v>1023.57</v>
      </c>
      <c r="AD117" s="4">
        <v>660.96</v>
      </c>
      <c r="AE117" s="4">
        <v>383.13</v>
      </c>
      <c r="AF117" s="4">
        <v>2332.62</v>
      </c>
      <c r="AG117" s="4">
        <v>2453.94</v>
      </c>
      <c r="AH117" s="6">
        <f>Datos_originales!$H65/Datos_originales!$E65</f>
        <v>0.004756568097</v>
      </c>
      <c r="AI117" s="6">
        <f>Datos_originales!$I65/Datos_originales!$E65</f>
        <v>0.00490809312</v>
      </c>
      <c r="AJ117" s="6">
        <f>Datos_originales!$J65/Datos_originales!$E65</f>
        <v>0.007098983904</v>
      </c>
      <c r="AK117" s="6">
        <f>Datos_originales!$K65/Datos_originales!$E65</f>
        <v>0.004941765347</v>
      </c>
      <c r="AL117" s="6">
        <f>Datos_originales!$L65/Datos_originales!$E65</f>
        <v>0.005641562069</v>
      </c>
      <c r="AM117" s="6">
        <f>Datos_originales!$M65/Datos_originales!$E65</f>
        <v>0.004477674215</v>
      </c>
      <c r="AN117" s="6">
        <f>Datos_originales!$N65/Datos_originales!$E65</f>
        <v>0.005243351382</v>
      </c>
      <c r="AO117" s="6">
        <f>Datos_originales!$O65/Datos_originales!$E65</f>
        <v>0.005260919501</v>
      </c>
      <c r="AP117" s="6">
        <f>Datos_originales!$P65/Datos_originales!$E65</f>
        <v>0.006408703246</v>
      </c>
      <c r="AQ117" s="6">
        <f>Datos_originales!$Q65/Datos_originales!$E65</f>
        <v>0.007765108399</v>
      </c>
      <c r="AR117" s="6">
        <f>Datos_originales!$R65/Datos_originales!$E65</f>
        <v>0.006525092031</v>
      </c>
      <c r="AS117" s="6">
        <f>Datos_originales!$S65/Datos_originales!$E65</f>
        <v>0.03036649291</v>
      </c>
      <c r="AT117" s="6">
        <f>Datos_originales!$T65/Datos_originales!$E65</f>
        <v>0.009220334219</v>
      </c>
      <c r="AU117" s="6">
        <f>Datos_originales!$U65/Datos_originales!$E65</f>
        <v>0.005965840257</v>
      </c>
      <c r="AV117" s="6">
        <f>Datos_originales!$V65/Datos_originales!$E65</f>
        <v>0.006019276618</v>
      </c>
      <c r="AW117" s="6">
        <f>Datos_originales!$W65/Datos_originales!$E65</f>
        <v>0.008477349205</v>
      </c>
      <c r="AX117" s="6">
        <f>Datos_originales!$X65/Datos_originales!$E65</f>
        <v>0.005793087092</v>
      </c>
      <c r="AY117" s="6">
        <f>Datos_originales!$Y65/Datos_originales!$E65</f>
        <v>0.006323058668</v>
      </c>
      <c r="AZ117" s="6">
        <f>Datos_originales!$Z65/Datos_originales!$E65</f>
        <v>0.004904433095</v>
      </c>
      <c r="BA117" s="6">
        <f>Datos_originales!$AA65/Datos_originales!$E65</f>
        <v>0.00587141162</v>
      </c>
      <c r="BB117" s="6">
        <f>Datos_originales!$AB65/Datos_originales!$E65</f>
        <v>0.006327450698</v>
      </c>
      <c r="BC117" s="6">
        <f>Datos_originales!$AC65/Datos_originales!$E65</f>
        <v>0.006865474328</v>
      </c>
      <c r="BD117" s="6">
        <f>Datos_originales!$AD65/Datos_originales!$E65</f>
        <v>0.008770883186</v>
      </c>
      <c r="BE117" s="6">
        <f>Datos_originales!$AE65/Datos_originales!$E65</f>
        <v>0.006618788664</v>
      </c>
      <c r="BF117" s="6">
        <f>Datos_originales!$AF65/Datos_originales!$E65</f>
        <v>0.03109630184</v>
      </c>
      <c r="BG117" s="6">
        <f>Datos_originales!$AG65/Datos_originales!$E65</f>
        <v>0.01349377906</v>
      </c>
    </row>
    <row r="118" ht="15.75" customHeight="1">
      <c r="A118" s="2">
        <v>30101.0</v>
      </c>
      <c r="B118" s="3" t="s">
        <v>177</v>
      </c>
      <c r="C118" s="4" t="s">
        <v>177</v>
      </c>
      <c r="D118" s="4">
        <f>IF(Datos_originales!$E118&lt;1000,"Bosque menor a 1000 ha",Datos_originales!$E118)</f>
        <v>1554.48</v>
      </c>
      <c r="E118" s="4">
        <v>1554.48</v>
      </c>
      <c r="F118" s="5">
        <f>AVERAGE(Datos_originales!$H150:$J150)</f>
        <v>0.72</v>
      </c>
      <c r="G118" s="5">
        <f>AVERAGE(Datos_originales!$R150:$T150)</f>
        <v>47.61</v>
      </c>
      <c r="H118" s="4">
        <v>5.85</v>
      </c>
      <c r="I118" s="4">
        <v>5.489999999999999</v>
      </c>
      <c r="J118" s="4">
        <v>3.69</v>
      </c>
      <c r="K118" s="4">
        <v>15.39</v>
      </c>
      <c r="L118" s="4">
        <v>18.99</v>
      </c>
      <c r="M118" s="4">
        <v>17.82</v>
      </c>
      <c r="N118" s="4">
        <v>172.8</v>
      </c>
      <c r="O118" s="4">
        <v>43.74</v>
      </c>
      <c r="P118" s="4">
        <v>30.51</v>
      </c>
      <c r="Q118" s="4">
        <v>41.94</v>
      </c>
      <c r="R118" s="4">
        <v>75.69</v>
      </c>
      <c r="S118" s="4">
        <v>88.02000000000001</v>
      </c>
      <c r="T118" s="4">
        <v>6.48</v>
      </c>
      <c r="U118" s="4">
        <v>11.07</v>
      </c>
      <c r="V118" s="4">
        <v>15.75</v>
      </c>
      <c r="W118" s="4">
        <v>10.26</v>
      </c>
      <c r="X118" s="4">
        <v>20.7</v>
      </c>
      <c r="Y118" s="4">
        <v>25.11</v>
      </c>
      <c r="Z118" s="4">
        <v>28.89</v>
      </c>
      <c r="AA118" s="4">
        <v>190.98</v>
      </c>
      <c r="AB118" s="4">
        <v>104.31</v>
      </c>
      <c r="AC118" s="4">
        <v>109.53</v>
      </c>
      <c r="AD118" s="4">
        <v>42.75</v>
      </c>
      <c r="AE118" s="4">
        <v>76.32</v>
      </c>
      <c r="AF118" s="4">
        <v>99.99000000000001</v>
      </c>
      <c r="AG118" s="4">
        <v>7.380000000000001</v>
      </c>
      <c r="AH118" s="6">
        <f>Datos_originales!$H150/Datos_originales!$E150</f>
        <v>0.00007129552888</v>
      </c>
      <c r="AI118" s="6">
        <f>Datos_originales!$I150/Datos_originales!$E150</f>
        <v>0.00006238358777</v>
      </c>
      <c r="AJ118" s="6">
        <f>Datos_originales!$J150/Datos_originales!$E150</f>
        <v>0.00008020746999</v>
      </c>
      <c r="AK118" s="6">
        <f>Datos_originales!$K150/Datos_originales!$E150</f>
        <v>0.00002673582333</v>
      </c>
      <c r="AL118" s="6">
        <f>Datos_originales!$L150/Datos_originales!$E150</f>
        <v>0.00007129552888</v>
      </c>
      <c r="AM118" s="6">
        <f>Datos_originales!$M150/Datos_originales!$E150</f>
        <v>0.0003653895855</v>
      </c>
      <c r="AN118" s="6">
        <f>Datos_originales!$N150/Datos_originales!$E150</f>
        <v>0.0002227985277</v>
      </c>
      <c r="AO118" s="6">
        <f>Datos_originales!$O150/Datos_originales!$E150</f>
        <v>0.00002673582333</v>
      </c>
      <c r="AP118" s="6">
        <f>Datos_originales!$P150/Datos_originales!$E150</f>
        <v>0.00016041494</v>
      </c>
      <c r="AQ118" s="6">
        <f>Datos_originales!$Q150/Datos_originales!$E150</f>
        <v>0.0004634209377</v>
      </c>
      <c r="AR118" s="6">
        <f>Datos_originales!$R150/Datos_originales!$E150</f>
        <v>0.001800212104</v>
      </c>
      <c r="AS118" s="6">
        <f>Datos_originales!$S150/Datos_originales!$E150</f>
        <v>0.01084583233</v>
      </c>
      <c r="AT118" s="6">
        <f>Datos_originales!$T150/Datos_originales!$E150</f>
        <v>0.001497206106</v>
      </c>
      <c r="AU118" s="6">
        <f>Datos_originales!$U150/Datos_originales!$E150</f>
        <v>0.002272544983</v>
      </c>
      <c r="AV118" s="6">
        <f>Datos_originales!$V150/Datos_originales!$E150</f>
        <v>0.001889331515</v>
      </c>
      <c r="AW118" s="6">
        <f>Datos_originales!$W150/Datos_originales!$E150</f>
        <v>0.01662077017</v>
      </c>
      <c r="AX118" s="6">
        <f>Datos_originales!$X150/Datos_originales!$E150</f>
        <v>0.002031922573</v>
      </c>
      <c r="AY118" s="6">
        <f>Datos_originales!$Y150/Datos_originales!$E150</f>
        <v>0.0009624896399</v>
      </c>
      <c r="AZ118" s="6">
        <f>Datos_originales!$Z150/Datos_originales!$E150</f>
        <v>0.00304788386</v>
      </c>
      <c r="BA118" s="6">
        <f>Datos_originales!$AA150/Datos_originales!$E150</f>
        <v>0.00618488713</v>
      </c>
      <c r="BB118" s="6">
        <f>Datos_originales!$AB150/Datos_originales!$E150</f>
        <v>0.007325615592</v>
      </c>
      <c r="BC118" s="6">
        <f>Datos_originales!$AC150/Datos_originales!$E150</f>
        <v>0.002958764448</v>
      </c>
      <c r="BD118" s="6">
        <f>Datos_originales!$AD150/Datos_originales!$E150</f>
        <v>0.0005525403488</v>
      </c>
      <c r="BE118" s="6">
        <f>Datos_originales!$AE150/Datos_originales!$E150</f>
        <v>0.003199386858</v>
      </c>
      <c r="BF118" s="6">
        <f>Datos_originales!$AF150/Datos_originales!$E150</f>
        <v>0.03188692529</v>
      </c>
      <c r="BG118" s="6">
        <f>Datos_originales!$AG150/Datos_originales!$E150</f>
        <v>0.001773476281</v>
      </c>
    </row>
    <row r="119" ht="15.75" customHeight="1">
      <c r="A119" s="2">
        <v>30201.0</v>
      </c>
      <c r="B119" s="3" t="s">
        <v>177</v>
      </c>
      <c r="C119" s="4" t="s">
        <v>178</v>
      </c>
      <c r="D119" s="4">
        <f>IF(Datos_originales!$E119&lt;1000,"Bosque menor a 1000 ha",Datos_originales!$E119)</f>
        <v>64407.96</v>
      </c>
      <c r="E119" s="4">
        <v>64407.96</v>
      </c>
      <c r="F119" s="5">
        <f>AVERAGE(Datos_originales!$H224:$J224)</f>
        <v>0</v>
      </c>
      <c r="G119" s="5">
        <f>AVERAGE(Datos_originales!$R224:$T224)</f>
        <v>0</v>
      </c>
      <c r="H119" s="4">
        <v>6.57</v>
      </c>
      <c r="I119" s="4">
        <v>0.18</v>
      </c>
      <c r="J119" s="4">
        <v>0.99</v>
      </c>
      <c r="K119" s="4">
        <v>0.36</v>
      </c>
      <c r="L119" s="4">
        <v>0.63</v>
      </c>
      <c r="M119" s="4">
        <v>0.45</v>
      </c>
      <c r="N119" s="4">
        <v>0.0</v>
      </c>
      <c r="O119" s="4">
        <v>0.36</v>
      </c>
      <c r="P119" s="4">
        <v>0.18</v>
      </c>
      <c r="Q119" s="4">
        <v>0.09</v>
      </c>
      <c r="R119" s="4">
        <v>0.09</v>
      </c>
      <c r="S119" s="4">
        <v>23.13</v>
      </c>
      <c r="T119" s="4">
        <v>5.76</v>
      </c>
      <c r="U119" s="4">
        <v>65.61</v>
      </c>
      <c r="V119" s="4">
        <v>54.9</v>
      </c>
      <c r="W119" s="4">
        <v>726.3</v>
      </c>
      <c r="X119" s="4">
        <v>49.5</v>
      </c>
      <c r="Y119" s="4">
        <v>54.54</v>
      </c>
      <c r="Z119" s="4">
        <v>48.51</v>
      </c>
      <c r="AA119" s="4">
        <v>126.81</v>
      </c>
      <c r="AB119" s="4">
        <v>112.14</v>
      </c>
      <c r="AC119" s="4">
        <v>315.18</v>
      </c>
      <c r="AD119" s="4">
        <v>1.71</v>
      </c>
      <c r="AE119" s="4">
        <v>1.8</v>
      </c>
      <c r="AF119" s="4">
        <v>46.71</v>
      </c>
      <c r="AG119" s="4">
        <v>14.94</v>
      </c>
      <c r="AH119" s="6">
        <f>Datos_originales!$H224/Datos_originales!$E224</f>
        <v>0</v>
      </c>
      <c r="AI119" s="6">
        <f>Datos_originales!$I224/Datos_originales!$E224</f>
        <v>0</v>
      </c>
      <c r="AJ119" s="6">
        <f>Datos_originales!$J224/Datos_originales!$E224</f>
        <v>0</v>
      </c>
      <c r="AK119" s="6">
        <f>Datos_originales!$K224/Datos_originales!$E224</f>
        <v>0</v>
      </c>
      <c r="AL119" s="6">
        <f>Datos_originales!$L224/Datos_originales!$E224</f>
        <v>0</v>
      </c>
      <c r="AM119" s="6">
        <f>Datos_originales!$M224/Datos_originales!$E224</f>
        <v>0</v>
      </c>
      <c r="AN119" s="6">
        <f>Datos_originales!$N224/Datos_originales!$E224</f>
        <v>0</v>
      </c>
      <c r="AO119" s="6">
        <f>Datos_originales!$O224/Datos_originales!$E224</f>
        <v>0</v>
      </c>
      <c r="AP119" s="6">
        <f>Datos_originales!$P224/Datos_originales!$E224</f>
        <v>0</v>
      </c>
      <c r="AQ119" s="6">
        <f>Datos_originales!$Q224/Datos_originales!$E224</f>
        <v>0</v>
      </c>
      <c r="AR119" s="6">
        <f>Datos_originales!$R224/Datos_originales!$E224</f>
        <v>0</v>
      </c>
      <c r="AS119" s="6">
        <f>Datos_originales!$S224/Datos_originales!$E224</f>
        <v>0</v>
      </c>
      <c r="AT119" s="6">
        <f>Datos_originales!$T224/Datos_originales!$E224</f>
        <v>0</v>
      </c>
      <c r="AU119" s="6">
        <f>Datos_originales!$U224/Datos_originales!$E224</f>
        <v>1</v>
      </c>
      <c r="AV119" s="6">
        <f>Datos_originales!$V224/Datos_originales!$E224</f>
        <v>0</v>
      </c>
      <c r="AW119" s="6">
        <f>Datos_originales!$W224/Datos_originales!$E224</f>
        <v>0</v>
      </c>
      <c r="AX119" s="6">
        <f>Datos_originales!$X224/Datos_originales!$E224</f>
        <v>0</v>
      </c>
      <c r="AY119" s="6">
        <f>Datos_originales!$Y224/Datos_originales!$E224</f>
        <v>0</v>
      </c>
      <c r="AZ119" s="6">
        <f>Datos_originales!$Z224/Datos_originales!$E224</f>
        <v>0</v>
      </c>
      <c r="BA119" s="6">
        <f>Datos_originales!$AA224/Datos_originales!$E224</f>
        <v>0</v>
      </c>
      <c r="BB119" s="6">
        <f>Datos_originales!$AB224/Datos_originales!$E224</f>
        <v>0</v>
      </c>
      <c r="BC119" s="6">
        <f>Datos_originales!$AC224/Datos_originales!$E224</f>
        <v>0</v>
      </c>
      <c r="BD119" s="6">
        <f>Datos_originales!$AD224/Datos_originales!$E224</f>
        <v>0</v>
      </c>
      <c r="BE119" s="6">
        <f>Datos_originales!$AE224/Datos_originales!$E224</f>
        <v>0</v>
      </c>
      <c r="BF119" s="6">
        <f>Datos_originales!$AF224/Datos_originales!$E224</f>
        <v>0</v>
      </c>
      <c r="BG119" s="6">
        <f>Datos_originales!$AG224/Datos_originales!$E224</f>
        <v>0</v>
      </c>
    </row>
    <row r="120" ht="15.75" customHeight="1">
      <c r="A120" s="2">
        <v>30202.0</v>
      </c>
      <c r="B120" s="3" t="s">
        <v>177</v>
      </c>
      <c r="C120" s="4" t="s">
        <v>179</v>
      </c>
      <c r="D120" s="4">
        <f>IF(Datos_originales!$E120&lt;1000,"Bosque menor a 1000 ha",Datos_originales!$E120)</f>
        <v>73071.45</v>
      </c>
      <c r="E120" s="4">
        <v>73071.45</v>
      </c>
      <c r="F120" s="5">
        <f>AVERAGE(Datos_originales!$H191:$J191)</f>
        <v>0</v>
      </c>
      <c r="G120" s="5">
        <f>AVERAGE(Datos_originales!$R191:$T191)</f>
        <v>0</v>
      </c>
      <c r="H120" s="4">
        <v>16.47</v>
      </c>
      <c r="I120" s="4">
        <v>11.61</v>
      </c>
      <c r="J120" s="4">
        <v>31.68</v>
      </c>
      <c r="K120" s="4">
        <v>10.62</v>
      </c>
      <c r="L120" s="4">
        <v>10.53</v>
      </c>
      <c r="M120" s="4">
        <v>5.4</v>
      </c>
      <c r="N120" s="4">
        <v>12.78</v>
      </c>
      <c r="O120" s="4">
        <v>9.09</v>
      </c>
      <c r="P120" s="4">
        <v>15.21</v>
      </c>
      <c r="Q120" s="4">
        <v>2.25</v>
      </c>
      <c r="R120" s="4">
        <v>17.46</v>
      </c>
      <c r="S120" s="4">
        <v>108.54</v>
      </c>
      <c r="T120" s="4">
        <v>113.58</v>
      </c>
      <c r="U120" s="4">
        <v>106.2</v>
      </c>
      <c r="V120" s="4">
        <v>161.28</v>
      </c>
      <c r="W120" s="4">
        <v>1041.3</v>
      </c>
      <c r="X120" s="4">
        <v>98.1</v>
      </c>
      <c r="Y120" s="4">
        <v>81.36</v>
      </c>
      <c r="Z120" s="4">
        <v>81.72</v>
      </c>
      <c r="AA120" s="4">
        <v>66.87</v>
      </c>
      <c r="AB120" s="4">
        <v>218.79</v>
      </c>
      <c r="AC120" s="4">
        <v>244.26</v>
      </c>
      <c r="AD120" s="4">
        <v>3.06</v>
      </c>
      <c r="AE120" s="4">
        <v>43.83</v>
      </c>
      <c r="AF120" s="4">
        <v>282.24</v>
      </c>
      <c r="AG120" s="4">
        <v>142.74</v>
      </c>
      <c r="AH120" s="6" t="str">
        <f>Datos_originales!$H191/Datos_originales!$E191</f>
        <v>#DIV/0!</v>
      </c>
      <c r="AI120" s="6" t="str">
        <f>Datos_originales!$I191/Datos_originales!$E191</f>
        <v>#DIV/0!</v>
      </c>
      <c r="AJ120" s="6" t="str">
        <f>Datos_originales!$J191/Datos_originales!$E191</f>
        <v>#DIV/0!</v>
      </c>
      <c r="AK120" s="6" t="str">
        <f>Datos_originales!$K191/Datos_originales!$E191</f>
        <v>#DIV/0!</v>
      </c>
      <c r="AL120" s="6" t="str">
        <f>Datos_originales!$L191/Datos_originales!$E191</f>
        <v>#DIV/0!</v>
      </c>
      <c r="AM120" s="6" t="str">
        <f>Datos_originales!$M191/Datos_originales!$E191</f>
        <v>#DIV/0!</v>
      </c>
      <c r="AN120" s="6" t="str">
        <f>Datos_originales!$N191/Datos_originales!$E191</f>
        <v>#DIV/0!</v>
      </c>
      <c r="AO120" s="6" t="str">
        <f>Datos_originales!$O191/Datos_originales!$E191</f>
        <v>#DIV/0!</v>
      </c>
      <c r="AP120" s="6" t="str">
        <f>Datos_originales!$P191/Datos_originales!$E191</f>
        <v>#DIV/0!</v>
      </c>
      <c r="AQ120" s="6" t="str">
        <f>Datos_originales!$Q191/Datos_originales!$E191</f>
        <v>#DIV/0!</v>
      </c>
      <c r="AR120" s="6" t="str">
        <f>Datos_originales!$R191/Datos_originales!$E191</f>
        <v>#DIV/0!</v>
      </c>
      <c r="AS120" s="6" t="str">
        <f>Datos_originales!$S191/Datos_originales!$E191</f>
        <v>#DIV/0!</v>
      </c>
      <c r="AT120" s="6" t="str">
        <f>Datos_originales!$T191/Datos_originales!$E191</f>
        <v>#DIV/0!</v>
      </c>
      <c r="AU120" s="6" t="str">
        <f>Datos_originales!$U191/Datos_originales!$E191</f>
        <v>#DIV/0!</v>
      </c>
      <c r="AV120" s="6" t="str">
        <f>Datos_originales!$V191/Datos_originales!$E191</f>
        <v>#DIV/0!</v>
      </c>
      <c r="AW120" s="6" t="str">
        <f>Datos_originales!$W191/Datos_originales!$E191</f>
        <v>#DIV/0!</v>
      </c>
      <c r="AX120" s="6" t="str">
        <f>Datos_originales!$X191/Datos_originales!$E191</f>
        <v>#DIV/0!</v>
      </c>
      <c r="AY120" s="6" t="str">
        <f>Datos_originales!$Y191/Datos_originales!$E191</f>
        <v>#DIV/0!</v>
      </c>
      <c r="AZ120" s="6" t="str">
        <f>Datos_originales!$Z191/Datos_originales!$E191</f>
        <v>#DIV/0!</v>
      </c>
      <c r="BA120" s="6" t="str">
        <f>Datos_originales!$AA191/Datos_originales!$E191</f>
        <v>#DIV/0!</v>
      </c>
      <c r="BB120" s="6" t="str">
        <f>Datos_originales!$AB191/Datos_originales!$E191</f>
        <v>#DIV/0!</v>
      </c>
      <c r="BC120" s="6" t="str">
        <f>Datos_originales!$AC191/Datos_originales!$E191</f>
        <v>#DIV/0!</v>
      </c>
      <c r="BD120" s="6" t="str">
        <f>Datos_originales!$AD191/Datos_originales!$E191</f>
        <v>#DIV/0!</v>
      </c>
      <c r="BE120" s="6" t="str">
        <f>Datos_originales!$AE191/Datos_originales!$E191</f>
        <v>#DIV/0!</v>
      </c>
      <c r="BF120" s="6" t="str">
        <f>Datos_originales!$AF191/Datos_originales!$E191</f>
        <v>#DIV/0!</v>
      </c>
      <c r="BG120" s="6" t="str">
        <f>Datos_originales!$AG191/Datos_originales!$E191</f>
        <v>#DIV/0!</v>
      </c>
    </row>
    <row r="121" ht="15.75" customHeight="1">
      <c r="A121" s="2">
        <v>30203.0</v>
      </c>
      <c r="B121" s="3" t="s">
        <v>177</v>
      </c>
      <c r="C121" s="4" t="s">
        <v>180</v>
      </c>
      <c r="D121" s="4">
        <f>IF(Datos_originales!$E121&lt;1000,"Bosque menor a 1000 ha",Datos_originales!$E121)</f>
        <v>13046.13</v>
      </c>
      <c r="E121" s="4">
        <v>13046.13</v>
      </c>
      <c r="F121" s="5">
        <f>AVERAGE(Datos_originales!$H202:$J202)</f>
        <v>0</v>
      </c>
      <c r="G121" s="5">
        <f>AVERAGE(Datos_originales!$R202:$T202)</f>
        <v>0.48</v>
      </c>
      <c r="H121" s="4">
        <v>0.63</v>
      </c>
      <c r="I121" s="4">
        <v>0.27</v>
      </c>
      <c r="J121" s="4">
        <v>0.27</v>
      </c>
      <c r="K121" s="4">
        <v>0.18</v>
      </c>
      <c r="L121" s="4">
        <v>0.36</v>
      </c>
      <c r="M121" s="4">
        <v>0.09</v>
      </c>
      <c r="N121" s="4">
        <v>0.27</v>
      </c>
      <c r="O121" s="4">
        <v>0.63</v>
      </c>
      <c r="P121" s="4">
        <v>0.54</v>
      </c>
      <c r="Q121" s="4">
        <v>3.24</v>
      </c>
      <c r="R121" s="4">
        <v>23.85</v>
      </c>
      <c r="S121" s="4">
        <v>13.05</v>
      </c>
      <c r="T121" s="4">
        <v>16.47</v>
      </c>
      <c r="U121" s="4">
        <v>5.49</v>
      </c>
      <c r="V121" s="4">
        <v>11.07</v>
      </c>
      <c r="W121" s="4">
        <v>147.96</v>
      </c>
      <c r="X121" s="4">
        <v>6.93</v>
      </c>
      <c r="Y121" s="4">
        <v>3.51</v>
      </c>
      <c r="Z121" s="4">
        <v>4.59</v>
      </c>
      <c r="AA121" s="4">
        <v>5.31</v>
      </c>
      <c r="AB121" s="4">
        <v>4.68</v>
      </c>
      <c r="AC121" s="4">
        <v>5.13</v>
      </c>
      <c r="AD121" s="4">
        <v>3.42</v>
      </c>
      <c r="AE121" s="4">
        <v>27.63</v>
      </c>
      <c r="AF121" s="4">
        <v>39.15</v>
      </c>
      <c r="AG121" s="4">
        <v>18.09</v>
      </c>
      <c r="AH121" s="6">
        <f>Datos_originales!$H202/Datos_originales!$E202</f>
        <v>0</v>
      </c>
      <c r="AI121" s="6">
        <f>Datos_originales!$I202/Datos_originales!$E202</f>
        <v>0</v>
      </c>
      <c r="AJ121" s="6">
        <f>Datos_originales!$J202/Datos_originales!$E202</f>
        <v>0</v>
      </c>
      <c r="AK121" s="6">
        <f>Datos_originales!$K202/Datos_originales!$E202</f>
        <v>0</v>
      </c>
      <c r="AL121" s="6">
        <f>Datos_originales!$L202/Datos_originales!$E202</f>
        <v>0</v>
      </c>
      <c r="AM121" s="6">
        <f>Datos_originales!$M202/Datos_originales!$E202</f>
        <v>0</v>
      </c>
      <c r="AN121" s="6">
        <f>Datos_originales!$N202/Datos_originales!$E202</f>
        <v>0</v>
      </c>
      <c r="AO121" s="6">
        <f>Datos_originales!$O202/Datos_originales!$E202</f>
        <v>0</v>
      </c>
      <c r="AP121" s="6">
        <f>Datos_originales!$P202/Datos_originales!$E202</f>
        <v>0</v>
      </c>
      <c r="AQ121" s="6">
        <f>Datos_originales!$Q202/Datos_originales!$E202</f>
        <v>0</v>
      </c>
      <c r="AR121" s="6">
        <f>Datos_originales!$R202/Datos_originales!$E202</f>
        <v>0</v>
      </c>
      <c r="AS121" s="6">
        <f>Datos_originales!$S202/Datos_originales!$E202</f>
        <v>0</v>
      </c>
      <c r="AT121" s="6">
        <f>Datos_originales!$T202/Datos_originales!$E202</f>
        <v>0.4444444444</v>
      </c>
      <c r="AU121" s="6">
        <f>Datos_originales!$U202/Datos_originales!$E202</f>
        <v>0</v>
      </c>
      <c r="AV121" s="6">
        <f>Datos_originales!$V202/Datos_originales!$E202</f>
        <v>0</v>
      </c>
      <c r="AW121" s="6">
        <f>Datos_originales!$W202/Datos_originales!$E202</f>
        <v>0</v>
      </c>
      <c r="AX121" s="6">
        <f>Datos_originales!$X202/Datos_originales!$E202</f>
        <v>0</v>
      </c>
      <c r="AY121" s="6">
        <f>Datos_originales!$Y202/Datos_originales!$E202</f>
        <v>0</v>
      </c>
      <c r="AZ121" s="6">
        <f>Datos_originales!$Z202/Datos_originales!$E202</f>
        <v>0</v>
      </c>
      <c r="BA121" s="6">
        <f>Datos_originales!$AA202/Datos_originales!$E202</f>
        <v>0</v>
      </c>
      <c r="BB121" s="6">
        <f>Datos_originales!$AB202/Datos_originales!$E202</f>
        <v>0</v>
      </c>
      <c r="BC121" s="6">
        <f>Datos_originales!$AC202/Datos_originales!$E202</f>
        <v>0</v>
      </c>
      <c r="BD121" s="6">
        <f>Datos_originales!$AD202/Datos_originales!$E202</f>
        <v>0</v>
      </c>
      <c r="BE121" s="6">
        <f>Datos_originales!$AE202/Datos_originales!$E202</f>
        <v>0</v>
      </c>
      <c r="BF121" s="6">
        <f>Datos_originales!$AF202/Datos_originales!$E202</f>
        <v>0.02777777778</v>
      </c>
      <c r="BG121" s="6">
        <f>Datos_originales!$AG202/Datos_originales!$E202</f>
        <v>0.9722222222</v>
      </c>
    </row>
    <row r="122" ht="15.75" customHeight="1">
      <c r="A122" s="2">
        <v>30301.0</v>
      </c>
      <c r="B122" s="3" t="s">
        <v>177</v>
      </c>
      <c r="C122" s="4" t="s">
        <v>181</v>
      </c>
      <c r="D122" s="4">
        <f>IF(Datos_originales!$E122&lt;1000,"Bosque menor a 1000 ha",Datos_originales!$E122)</f>
        <v>22230.99</v>
      </c>
      <c r="E122" s="4">
        <v>22230.99</v>
      </c>
      <c r="F122" s="5">
        <f>AVERAGE(Datos_originales!$H75:$J75)</f>
        <v>0</v>
      </c>
      <c r="G122" s="5">
        <f>AVERAGE(Datos_originales!$R75:$T75)</f>
        <v>8.7</v>
      </c>
      <c r="H122" s="4">
        <v>14.22</v>
      </c>
      <c r="I122" s="4">
        <v>16.2</v>
      </c>
      <c r="J122" s="4">
        <v>23.85</v>
      </c>
      <c r="K122" s="4">
        <v>12.42</v>
      </c>
      <c r="L122" s="4">
        <v>14.58</v>
      </c>
      <c r="M122" s="4">
        <v>13.05</v>
      </c>
      <c r="N122" s="4">
        <v>11.16</v>
      </c>
      <c r="O122" s="4">
        <v>6.300000000000001</v>
      </c>
      <c r="P122" s="4">
        <v>43.38</v>
      </c>
      <c r="Q122" s="4">
        <v>3.24</v>
      </c>
      <c r="R122" s="4">
        <v>9.36</v>
      </c>
      <c r="S122" s="4">
        <v>90.53999999999999</v>
      </c>
      <c r="T122" s="4">
        <v>155.88</v>
      </c>
      <c r="U122" s="4">
        <v>110.25</v>
      </c>
      <c r="V122" s="4">
        <v>71.1</v>
      </c>
      <c r="W122" s="4">
        <v>247.68</v>
      </c>
      <c r="X122" s="4">
        <v>31.77</v>
      </c>
      <c r="Y122" s="4">
        <v>31.41</v>
      </c>
      <c r="Z122" s="4">
        <v>25.83</v>
      </c>
      <c r="AA122" s="4">
        <v>23.31</v>
      </c>
      <c r="AB122" s="4">
        <v>18.9</v>
      </c>
      <c r="AC122" s="4">
        <v>58.59</v>
      </c>
      <c r="AD122" s="4">
        <v>17.19</v>
      </c>
      <c r="AE122" s="4">
        <v>16.83</v>
      </c>
      <c r="AF122" s="4">
        <v>111.15</v>
      </c>
      <c r="AG122" s="4">
        <v>461.07</v>
      </c>
      <c r="AH122" s="6">
        <f>Datos_originales!$H75/Datos_originales!$E75</f>
        <v>0</v>
      </c>
      <c r="AI122" s="6">
        <f>Datos_originales!$I75/Datos_originales!$E75</f>
        <v>0</v>
      </c>
      <c r="AJ122" s="6">
        <f>Datos_originales!$J75/Datos_originales!$E75</f>
        <v>0</v>
      </c>
      <c r="AK122" s="6">
        <f>Datos_originales!$K75/Datos_originales!$E75</f>
        <v>0</v>
      </c>
      <c r="AL122" s="6">
        <f>Datos_originales!$L75/Datos_originales!$E75</f>
        <v>0</v>
      </c>
      <c r="AM122" s="6">
        <f>Datos_originales!$M75/Datos_originales!$E75</f>
        <v>0</v>
      </c>
      <c r="AN122" s="6">
        <f>Datos_originales!$N75/Datos_originales!$E75</f>
        <v>0.0001922707172</v>
      </c>
      <c r="AO122" s="6">
        <f>Datos_originales!$O75/Datos_originales!$E75</f>
        <v>0</v>
      </c>
      <c r="AP122" s="6">
        <f>Datos_originales!$P75/Datos_originales!$E75</f>
        <v>0</v>
      </c>
      <c r="AQ122" s="6">
        <f>Datos_originales!$Q75/Datos_originales!$E75</f>
        <v>0.001922707172</v>
      </c>
      <c r="AR122" s="6">
        <f>Datos_originales!$R75/Datos_originales!$E75</f>
        <v>0.006152662949</v>
      </c>
      <c r="AS122" s="6">
        <f>Datos_originales!$S75/Datos_originales!$E75</f>
        <v>0.02941741973</v>
      </c>
      <c r="AT122" s="6">
        <f>Datos_originales!$T75/Datos_originales!$E75</f>
        <v>0.0201884253</v>
      </c>
      <c r="AU122" s="6">
        <f>Datos_originales!$U75/Datos_originales!$E75</f>
        <v>0.001153624303</v>
      </c>
      <c r="AV122" s="6">
        <f>Datos_originales!$V75/Datos_originales!$E75</f>
        <v>0.001730436455</v>
      </c>
      <c r="AW122" s="6">
        <f>Datos_originales!$W75/Datos_originales!$E75</f>
        <v>0.01807344741</v>
      </c>
      <c r="AX122" s="6">
        <f>Datos_originales!$X75/Datos_originales!$E75</f>
        <v>0.001153624303</v>
      </c>
      <c r="AY122" s="6">
        <f>Datos_originales!$Y75/Datos_originales!$E75</f>
        <v>0.0009613535858</v>
      </c>
      <c r="AZ122" s="6">
        <f>Datos_originales!$Z75/Datos_originales!$E75</f>
        <v>0.00134589502</v>
      </c>
      <c r="BA122" s="6">
        <f>Datos_originales!$AA75/Datos_originales!$E75</f>
        <v>0.002307248606</v>
      </c>
      <c r="BB122" s="6">
        <f>Datos_originales!$AB75/Datos_originales!$E75</f>
        <v>0.005383580081</v>
      </c>
      <c r="BC122" s="6">
        <f>Datos_originales!$AC75/Datos_originales!$E75</f>
        <v>0.03230148048</v>
      </c>
      <c r="BD122" s="6">
        <f>Datos_originales!$AD75/Datos_originales!$E75</f>
        <v>0.001922707172</v>
      </c>
      <c r="BE122" s="6">
        <f>Datos_originales!$AE75/Datos_originales!$E75</f>
        <v>0.006152662949</v>
      </c>
      <c r="BF122" s="6">
        <f>Datos_originales!$AF75/Datos_originales!$E75</f>
        <v>0.03710824841</v>
      </c>
      <c r="BG122" s="6">
        <f>Datos_originales!$AG75/Datos_originales!$E75</f>
        <v>0.02076523745</v>
      </c>
    </row>
    <row r="123" ht="15.75" customHeight="1">
      <c r="A123" s="2">
        <v>30302.0</v>
      </c>
      <c r="B123" s="3" t="s">
        <v>177</v>
      </c>
      <c r="C123" s="4" t="s">
        <v>182</v>
      </c>
      <c r="D123" s="4">
        <f>IF(Datos_originales!$E123&lt;1000,"Bosque menor a 1000 ha",Datos_originales!$E123)</f>
        <v>7965.45</v>
      </c>
      <c r="E123" s="4">
        <v>7965.449999999999</v>
      </c>
      <c r="F123" s="5">
        <f>AVERAGE(Datos_originales!$H80:$J80)</f>
        <v>89.19</v>
      </c>
      <c r="G123" s="5">
        <f>AVERAGE(Datos_originales!$R80:$T80)</f>
        <v>933.75</v>
      </c>
      <c r="H123" s="4">
        <v>1.89</v>
      </c>
      <c r="I123" s="4">
        <v>2.43</v>
      </c>
      <c r="J123" s="4">
        <v>4.59</v>
      </c>
      <c r="K123" s="4">
        <v>2.61</v>
      </c>
      <c r="L123" s="4">
        <v>1.8</v>
      </c>
      <c r="M123" s="4">
        <v>1.98</v>
      </c>
      <c r="N123" s="4">
        <v>1.26</v>
      </c>
      <c r="O123" s="4">
        <v>0.81</v>
      </c>
      <c r="P123" s="4">
        <v>9.09</v>
      </c>
      <c r="Q123" s="4">
        <v>0.36</v>
      </c>
      <c r="R123" s="4">
        <v>1.08</v>
      </c>
      <c r="S123" s="4">
        <v>17.55</v>
      </c>
      <c r="T123" s="4">
        <v>66.42</v>
      </c>
      <c r="U123" s="4">
        <v>51.75</v>
      </c>
      <c r="V123" s="4">
        <v>18.63</v>
      </c>
      <c r="W123" s="4">
        <v>98.46</v>
      </c>
      <c r="X123" s="4">
        <v>15.93</v>
      </c>
      <c r="Y123" s="4">
        <v>11.7</v>
      </c>
      <c r="Z123" s="4">
        <v>7.109999999999999</v>
      </c>
      <c r="AA123" s="4">
        <v>4.68</v>
      </c>
      <c r="AB123" s="4">
        <v>7.109999999999999</v>
      </c>
      <c r="AC123" s="4">
        <v>23.49</v>
      </c>
      <c r="AD123" s="4">
        <v>5.85</v>
      </c>
      <c r="AE123" s="4">
        <v>3.15</v>
      </c>
      <c r="AF123" s="4">
        <v>22.5</v>
      </c>
      <c r="AG123" s="4">
        <v>153.36</v>
      </c>
      <c r="AH123" s="6">
        <f>Datos_originales!$H80/Datos_originales!$E80</f>
        <v>0.000368272334</v>
      </c>
      <c r="AI123" s="6">
        <f>Datos_originales!$I80/Datos_originales!$E80</f>
        <v>0.0004893128914</v>
      </c>
      <c r="AJ123" s="6">
        <f>Datos_originales!$J80/Datos_originales!$E80</f>
        <v>0.0006737065915</v>
      </c>
      <c r="AK123" s="6">
        <f>Datos_originales!$K80/Datos_originales!$E80</f>
        <v>0.0005500907032</v>
      </c>
      <c r="AL123" s="6">
        <f>Datos_originales!$L80/Datos_originales!$E80</f>
        <v>0.0007040954974</v>
      </c>
      <c r="AM123" s="6">
        <f>Datos_originales!$M80/Datos_originales!$E80</f>
        <v>0.0005433948425</v>
      </c>
      <c r="AN123" s="6">
        <f>Datos_originales!$N80/Datos_originales!$E80</f>
        <v>0.0005897508007</v>
      </c>
      <c r="AO123" s="6">
        <f>Datos_originales!$O80/Datos_originales!$E80</f>
        <v>0.000646923149</v>
      </c>
      <c r="AP123" s="6">
        <f>Datos_originales!$P80/Datos_originales!$E80</f>
        <v>0.0009492670093</v>
      </c>
      <c r="AQ123" s="6">
        <f>Datos_originales!$Q80/Datos_originales!$E80</f>
        <v>0.0008503742986</v>
      </c>
      <c r="AR123" s="6">
        <f>Datos_originales!$R80/Datos_originales!$E80</f>
        <v>0.001098121142</v>
      </c>
      <c r="AS123" s="6">
        <f>Datos_originales!$S80/Datos_originales!$E80</f>
        <v>0.003666756288</v>
      </c>
      <c r="AT123" s="6">
        <f>Datos_originales!$T80/Datos_originales!$E80</f>
        <v>0.01126655809</v>
      </c>
      <c r="AU123" s="6">
        <f>Datos_originales!$U80/Datos_originales!$E80</f>
        <v>0.001722896444</v>
      </c>
      <c r="AV123" s="6">
        <f>Datos_originales!$V80/Datos_originales!$E80</f>
        <v>0.001716715649</v>
      </c>
      <c r="AW123" s="6">
        <f>Datos_originales!$W80/Datos_originales!$E80</f>
        <v>0.003559622518</v>
      </c>
      <c r="AX123" s="6">
        <f>Datos_originales!$X80/Datos_originales!$E80</f>
        <v>0.0008926097271</v>
      </c>
      <c r="AY123" s="6">
        <f>Datos_originales!$Y80/Datos_originales!$E80</f>
        <v>0.001129025114</v>
      </c>
      <c r="AZ123" s="6">
        <f>Datos_originales!$Z80/Datos_originales!$E80</f>
        <v>0.0008678865495</v>
      </c>
      <c r="BA123" s="6">
        <f>Datos_originales!$AA80/Datos_originales!$E80</f>
        <v>0.0009296944936</v>
      </c>
      <c r="BB123" s="6">
        <f>Datos_originales!$AB80/Datos_originales!$E80</f>
        <v>0.0008962151905</v>
      </c>
      <c r="BC123" s="6">
        <f>Datos_originales!$AC80/Datos_originales!$E80</f>
        <v>0.001276849113</v>
      </c>
      <c r="BD123" s="6">
        <f>Datos_originales!$AD80/Datos_originales!$E80</f>
        <v>0.001201134382</v>
      </c>
      <c r="BE123" s="6">
        <f>Datos_originales!$AE80/Datos_originales!$E80</f>
        <v>0.001211435706</v>
      </c>
      <c r="BF123" s="6">
        <f>Datos_originales!$AF80/Datos_originales!$E80</f>
        <v>0.004364155925</v>
      </c>
      <c r="BG123" s="6">
        <f>Datos_originales!$AG80/Datos_originales!$E80</f>
        <v>0.025239274</v>
      </c>
    </row>
    <row r="124" ht="15.75" customHeight="1">
      <c r="A124" s="2">
        <v>30303.0</v>
      </c>
      <c r="B124" s="3" t="s">
        <v>177</v>
      </c>
      <c r="C124" s="4" t="s">
        <v>183</v>
      </c>
      <c r="D124" s="4">
        <f>IF(Datos_originales!$E124&lt;1000,"Bosque menor a 1000 ha",Datos_originales!$E124)</f>
        <v>527519.88</v>
      </c>
      <c r="E124" s="4">
        <v>527519.88</v>
      </c>
      <c r="F124" s="5">
        <f>AVERAGE(Datos_originales!$H159:$J159)</f>
        <v>0</v>
      </c>
      <c r="G124" s="5">
        <f>AVERAGE(Datos_originales!$R159:$T159)</f>
        <v>0.03</v>
      </c>
      <c r="H124" s="4">
        <v>151.38</v>
      </c>
      <c r="I124" s="4">
        <v>184.23</v>
      </c>
      <c r="J124" s="4">
        <v>290.34</v>
      </c>
      <c r="K124" s="4">
        <v>226.26</v>
      </c>
      <c r="L124" s="4">
        <v>354.33</v>
      </c>
      <c r="M124" s="4">
        <v>319.77</v>
      </c>
      <c r="N124" s="4">
        <v>241.74</v>
      </c>
      <c r="O124" s="4">
        <v>346.41</v>
      </c>
      <c r="P124" s="4">
        <v>689.94</v>
      </c>
      <c r="Q124" s="4">
        <v>421.2</v>
      </c>
      <c r="R124" s="4">
        <v>473.22</v>
      </c>
      <c r="S124" s="4">
        <v>1855.89</v>
      </c>
      <c r="T124" s="4">
        <v>1408.95</v>
      </c>
      <c r="U124" s="4">
        <v>661.86</v>
      </c>
      <c r="V124" s="4">
        <v>600.66</v>
      </c>
      <c r="W124" s="4">
        <v>970.38</v>
      </c>
      <c r="X124" s="4">
        <v>563.31</v>
      </c>
      <c r="Y124" s="4">
        <v>638.73</v>
      </c>
      <c r="Z124" s="4">
        <v>506.2500000000001</v>
      </c>
      <c r="AA124" s="4">
        <v>492.5700000000001</v>
      </c>
      <c r="AB124" s="4">
        <v>559.98</v>
      </c>
      <c r="AC124" s="4">
        <v>1095.84</v>
      </c>
      <c r="AD124" s="4">
        <v>565.92</v>
      </c>
      <c r="AE124" s="4">
        <v>609.57</v>
      </c>
      <c r="AF124" s="4">
        <v>2108.07</v>
      </c>
      <c r="AG124" s="4">
        <v>2199.33</v>
      </c>
      <c r="AH124" s="6">
        <f>Datos_originales!$H159/Datos_originales!$E159</f>
        <v>0</v>
      </c>
      <c r="AI124" s="6">
        <f>Datos_originales!$I159/Datos_originales!$E159</f>
        <v>0</v>
      </c>
      <c r="AJ124" s="6">
        <f>Datos_originales!$J159/Datos_originales!$E159</f>
        <v>0</v>
      </c>
      <c r="AK124" s="6">
        <f>Datos_originales!$K159/Datos_originales!$E159</f>
        <v>0</v>
      </c>
      <c r="AL124" s="6">
        <f>Datos_originales!$L159/Datos_originales!$E159</f>
        <v>0</v>
      </c>
      <c r="AM124" s="6">
        <f>Datos_originales!$M159/Datos_originales!$E159</f>
        <v>0</v>
      </c>
      <c r="AN124" s="6">
        <f>Datos_originales!$N159/Datos_originales!$E159</f>
        <v>0</v>
      </c>
      <c r="AO124" s="6">
        <f>Datos_originales!$O159/Datos_originales!$E159</f>
        <v>0</v>
      </c>
      <c r="AP124" s="6">
        <f>Datos_originales!$P159/Datos_originales!$E159</f>
        <v>0</v>
      </c>
      <c r="AQ124" s="6">
        <f>Datos_originales!$Q159/Datos_originales!$E159</f>
        <v>0</v>
      </c>
      <c r="AR124" s="6">
        <f>Datos_originales!$R159/Datos_originales!$E159</f>
        <v>0</v>
      </c>
      <c r="AS124" s="6">
        <f>Datos_originales!$S159/Datos_originales!$E159</f>
        <v>0.03225806452</v>
      </c>
      <c r="AT124" s="6">
        <f>Datos_originales!$T159/Datos_originales!$E159</f>
        <v>0</v>
      </c>
      <c r="AU124" s="6">
        <f>Datos_originales!$U159/Datos_originales!$E159</f>
        <v>0</v>
      </c>
      <c r="AV124" s="6">
        <f>Datos_originales!$V159/Datos_originales!$E159</f>
        <v>0</v>
      </c>
      <c r="AW124" s="6">
        <f>Datos_originales!$W159/Datos_originales!$E159</f>
        <v>0</v>
      </c>
      <c r="AX124" s="6">
        <f>Datos_originales!$X159/Datos_originales!$E159</f>
        <v>0</v>
      </c>
      <c r="AY124" s="6">
        <f>Datos_originales!$Y159/Datos_originales!$E159</f>
        <v>0</v>
      </c>
      <c r="AZ124" s="6">
        <f>Datos_originales!$Z159/Datos_originales!$E159</f>
        <v>0</v>
      </c>
      <c r="BA124" s="6">
        <f>Datos_originales!$AA159/Datos_originales!$E159</f>
        <v>0</v>
      </c>
      <c r="BB124" s="6">
        <f>Datos_originales!$AB159/Datos_originales!$E159</f>
        <v>0</v>
      </c>
      <c r="BC124" s="6">
        <f>Datos_originales!$AC159/Datos_originales!$E159</f>
        <v>0</v>
      </c>
      <c r="BD124" s="6">
        <f>Datos_originales!$AD159/Datos_originales!$E159</f>
        <v>0</v>
      </c>
      <c r="BE124" s="6">
        <f>Datos_originales!$AE159/Datos_originales!$E159</f>
        <v>0</v>
      </c>
      <c r="BF124" s="6">
        <f>Datos_originales!$AF159/Datos_originales!$E159</f>
        <v>0.4516129032</v>
      </c>
      <c r="BG124" s="6">
        <f>Datos_originales!$AG159/Datos_originales!$E159</f>
        <v>0</v>
      </c>
    </row>
    <row r="125" ht="15.75" customHeight="1">
      <c r="A125" s="2">
        <v>30401.0</v>
      </c>
      <c r="B125" s="3" t="s">
        <v>177</v>
      </c>
      <c r="C125" s="4" t="s">
        <v>184</v>
      </c>
      <c r="D125" s="4" t="str">
        <f>IF(Datos_originales!$E125&lt;1000,"Bosque menor a 1000 ha",Datos_originales!$E125)</f>
        <v>Bosque menor a 1000 ha</v>
      </c>
      <c r="E125" s="4">
        <v>496.98</v>
      </c>
      <c r="F125" s="5">
        <f>AVERAGE(Datos_originales!$H227:$J227)</f>
        <v>0</v>
      </c>
      <c r="G125" s="5">
        <f>AVERAGE(Datos_originales!$R227:$T227)</f>
        <v>0</v>
      </c>
      <c r="H125" s="4">
        <v>0.09</v>
      </c>
      <c r="I125" s="4">
        <v>0.0</v>
      </c>
      <c r="J125" s="4">
        <v>0.0</v>
      </c>
      <c r="K125" s="4">
        <v>0.63</v>
      </c>
      <c r="L125" s="4">
        <v>0.0</v>
      </c>
      <c r="M125" s="4">
        <v>0.09</v>
      </c>
      <c r="N125" s="4">
        <v>0.0</v>
      </c>
      <c r="O125" s="4">
        <v>0.0</v>
      </c>
      <c r="P125" s="4">
        <v>0.18</v>
      </c>
      <c r="Q125" s="4">
        <v>0.54</v>
      </c>
      <c r="R125" s="4">
        <v>0.63</v>
      </c>
      <c r="S125" s="4">
        <v>1.26</v>
      </c>
      <c r="T125" s="4">
        <v>0.09</v>
      </c>
      <c r="U125" s="4">
        <v>0.81</v>
      </c>
      <c r="V125" s="4">
        <v>0.72</v>
      </c>
      <c r="W125" s="4">
        <v>11.52</v>
      </c>
      <c r="X125" s="4">
        <v>4.41</v>
      </c>
      <c r="Y125" s="4">
        <v>2.16</v>
      </c>
      <c r="Z125" s="4">
        <v>21.51</v>
      </c>
      <c r="AA125" s="4">
        <v>15.21</v>
      </c>
      <c r="AB125" s="4">
        <v>31.95</v>
      </c>
      <c r="AC125" s="4">
        <v>12.78</v>
      </c>
      <c r="AD125" s="4">
        <v>0.54</v>
      </c>
      <c r="AE125" s="4">
        <v>0.9</v>
      </c>
      <c r="AF125" s="4">
        <v>3.33</v>
      </c>
      <c r="AG125" s="4">
        <v>0.09</v>
      </c>
      <c r="AH125" s="6" t="str">
        <f>Datos_originales!$H227/Datos_originales!$E227</f>
        <v>#DIV/0!</v>
      </c>
      <c r="AI125" s="6" t="str">
        <f>Datos_originales!$I227/Datos_originales!$E227</f>
        <v>#DIV/0!</v>
      </c>
      <c r="AJ125" s="6" t="str">
        <f>Datos_originales!$J227/Datos_originales!$E227</f>
        <v>#DIV/0!</v>
      </c>
      <c r="AK125" s="6" t="str">
        <f>Datos_originales!$K227/Datos_originales!$E227</f>
        <v>#DIV/0!</v>
      </c>
      <c r="AL125" s="6" t="str">
        <f>Datos_originales!$L227/Datos_originales!$E227</f>
        <v>#DIV/0!</v>
      </c>
      <c r="AM125" s="6" t="str">
        <f>Datos_originales!$M227/Datos_originales!$E227</f>
        <v>#DIV/0!</v>
      </c>
      <c r="AN125" s="6" t="str">
        <f>Datos_originales!$N227/Datos_originales!$E227</f>
        <v>#DIV/0!</v>
      </c>
      <c r="AO125" s="6" t="str">
        <f>Datos_originales!$O227/Datos_originales!$E227</f>
        <v>#DIV/0!</v>
      </c>
      <c r="AP125" s="6" t="str">
        <f>Datos_originales!$P227/Datos_originales!$E227</f>
        <v>#DIV/0!</v>
      </c>
      <c r="AQ125" s="6" t="str">
        <f>Datos_originales!$Q227/Datos_originales!$E227</f>
        <v>#DIV/0!</v>
      </c>
      <c r="AR125" s="6" t="str">
        <f>Datos_originales!$R227/Datos_originales!$E227</f>
        <v>#DIV/0!</v>
      </c>
      <c r="AS125" s="6" t="str">
        <f>Datos_originales!$S227/Datos_originales!$E227</f>
        <v>#DIV/0!</v>
      </c>
      <c r="AT125" s="6" t="str">
        <f>Datos_originales!$T227/Datos_originales!$E227</f>
        <v>#DIV/0!</v>
      </c>
      <c r="AU125" s="6" t="str">
        <f>Datos_originales!$U227/Datos_originales!$E227</f>
        <v>#DIV/0!</v>
      </c>
      <c r="AV125" s="6" t="str">
        <f>Datos_originales!$V227/Datos_originales!$E227</f>
        <v>#DIV/0!</v>
      </c>
      <c r="AW125" s="6" t="str">
        <f>Datos_originales!$W227/Datos_originales!$E227</f>
        <v>#DIV/0!</v>
      </c>
      <c r="AX125" s="6" t="str">
        <f>Datos_originales!$X227/Datos_originales!$E227</f>
        <v>#DIV/0!</v>
      </c>
      <c r="AY125" s="6" t="str">
        <f>Datos_originales!$Y227/Datos_originales!$E227</f>
        <v>#DIV/0!</v>
      </c>
      <c r="AZ125" s="6" t="str">
        <f>Datos_originales!$Z227/Datos_originales!$E227</f>
        <v>#DIV/0!</v>
      </c>
      <c r="BA125" s="6" t="str">
        <f>Datos_originales!$AA227/Datos_originales!$E227</f>
        <v>#DIV/0!</v>
      </c>
      <c r="BB125" s="6" t="str">
        <f>Datos_originales!$AB227/Datos_originales!$E227</f>
        <v>#DIV/0!</v>
      </c>
      <c r="BC125" s="6" t="str">
        <f>Datos_originales!$AC227/Datos_originales!$E227</f>
        <v>#DIV/0!</v>
      </c>
      <c r="BD125" s="6" t="str">
        <f>Datos_originales!$AD227/Datos_originales!$E227</f>
        <v>#DIV/0!</v>
      </c>
      <c r="BE125" s="6" t="str">
        <f>Datos_originales!$AE227/Datos_originales!$E227</f>
        <v>#DIV/0!</v>
      </c>
      <c r="BF125" s="6" t="str">
        <f>Datos_originales!$AF227/Datos_originales!$E227</f>
        <v>#DIV/0!</v>
      </c>
      <c r="BG125" s="6" t="str">
        <f>Datos_originales!$AG227/Datos_originales!$E227</f>
        <v>#DIV/0!</v>
      </c>
    </row>
    <row r="126" ht="15.75" customHeight="1">
      <c r="A126" s="2">
        <v>30402.0</v>
      </c>
      <c r="B126" s="3" t="s">
        <v>177</v>
      </c>
      <c r="C126" s="4" t="s">
        <v>185</v>
      </c>
      <c r="D126" s="4">
        <f>IF(Datos_originales!$E126&lt;1000,"Bosque menor a 1000 ha",Datos_originales!$E126)</f>
        <v>1961.55</v>
      </c>
      <c r="E126" s="4">
        <v>1961.55</v>
      </c>
      <c r="F126" s="5">
        <f>AVERAGE(Datos_originales!$H226:$J226)</f>
        <v>0</v>
      </c>
      <c r="G126" s="5">
        <f>AVERAGE(Datos_originales!$R226:$T226)</f>
        <v>0</v>
      </c>
      <c r="H126" s="4">
        <v>0.09</v>
      </c>
      <c r="I126" s="4">
        <v>0.0</v>
      </c>
      <c r="J126" s="4">
        <v>0.18</v>
      </c>
      <c r="K126" s="4">
        <v>0.09</v>
      </c>
      <c r="L126" s="4">
        <v>0.09</v>
      </c>
      <c r="M126" s="4">
        <v>0.09</v>
      </c>
      <c r="N126" s="4">
        <v>0.0</v>
      </c>
      <c r="O126" s="4">
        <v>0.0</v>
      </c>
      <c r="P126" s="4">
        <v>1.08</v>
      </c>
      <c r="Q126" s="4">
        <v>0.9</v>
      </c>
      <c r="R126" s="4">
        <v>0.36</v>
      </c>
      <c r="S126" s="4">
        <v>7.02</v>
      </c>
      <c r="T126" s="4">
        <v>0.0</v>
      </c>
      <c r="U126" s="4">
        <v>4.949999999999999</v>
      </c>
      <c r="V126" s="4">
        <v>3.6</v>
      </c>
      <c r="W126" s="4">
        <v>46.44</v>
      </c>
      <c r="X126" s="4">
        <v>18.0</v>
      </c>
      <c r="Y126" s="4">
        <v>8.01</v>
      </c>
      <c r="Z126" s="4">
        <v>22.23</v>
      </c>
      <c r="AA126" s="4">
        <v>12.6</v>
      </c>
      <c r="AB126" s="4">
        <v>55.71</v>
      </c>
      <c r="AC126" s="4">
        <v>55.44</v>
      </c>
      <c r="AD126" s="4">
        <v>1.35</v>
      </c>
      <c r="AE126" s="4">
        <v>0.63</v>
      </c>
      <c r="AF126" s="4">
        <v>13.59</v>
      </c>
      <c r="AG126" s="4">
        <v>0.36</v>
      </c>
      <c r="AH126" s="6" t="str">
        <f>Datos_originales!$H226/Datos_originales!$E226</f>
        <v>#DIV/0!</v>
      </c>
      <c r="AI126" s="6" t="str">
        <f>Datos_originales!$I226/Datos_originales!$E226</f>
        <v>#DIV/0!</v>
      </c>
      <c r="AJ126" s="6" t="str">
        <f>Datos_originales!$J226/Datos_originales!$E226</f>
        <v>#DIV/0!</v>
      </c>
      <c r="AK126" s="6" t="str">
        <f>Datos_originales!$K226/Datos_originales!$E226</f>
        <v>#DIV/0!</v>
      </c>
      <c r="AL126" s="6" t="str">
        <f>Datos_originales!$L226/Datos_originales!$E226</f>
        <v>#DIV/0!</v>
      </c>
      <c r="AM126" s="6" t="str">
        <f>Datos_originales!$M226/Datos_originales!$E226</f>
        <v>#DIV/0!</v>
      </c>
      <c r="AN126" s="6" t="str">
        <f>Datos_originales!$N226/Datos_originales!$E226</f>
        <v>#DIV/0!</v>
      </c>
      <c r="AO126" s="6" t="str">
        <f>Datos_originales!$O226/Datos_originales!$E226</f>
        <v>#DIV/0!</v>
      </c>
      <c r="AP126" s="6" t="str">
        <f>Datos_originales!$P226/Datos_originales!$E226</f>
        <v>#DIV/0!</v>
      </c>
      <c r="AQ126" s="6" t="str">
        <f>Datos_originales!$Q226/Datos_originales!$E226</f>
        <v>#DIV/0!</v>
      </c>
      <c r="AR126" s="6" t="str">
        <f>Datos_originales!$R226/Datos_originales!$E226</f>
        <v>#DIV/0!</v>
      </c>
      <c r="AS126" s="6" t="str">
        <f>Datos_originales!$S226/Datos_originales!$E226</f>
        <v>#DIV/0!</v>
      </c>
      <c r="AT126" s="6" t="str">
        <f>Datos_originales!$T226/Datos_originales!$E226</f>
        <v>#DIV/0!</v>
      </c>
      <c r="AU126" s="6" t="str">
        <f>Datos_originales!$U226/Datos_originales!$E226</f>
        <v>#DIV/0!</v>
      </c>
      <c r="AV126" s="6" t="str">
        <f>Datos_originales!$V226/Datos_originales!$E226</f>
        <v>#DIV/0!</v>
      </c>
      <c r="AW126" s="6" t="str">
        <f>Datos_originales!$W226/Datos_originales!$E226</f>
        <v>#DIV/0!</v>
      </c>
      <c r="AX126" s="6" t="str">
        <f>Datos_originales!$X226/Datos_originales!$E226</f>
        <v>#DIV/0!</v>
      </c>
      <c r="AY126" s="6" t="str">
        <f>Datos_originales!$Y226/Datos_originales!$E226</f>
        <v>#DIV/0!</v>
      </c>
      <c r="AZ126" s="6" t="str">
        <f>Datos_originales!$Z226/Datos_originales!$E226</f>
        <v>#DIV/0!</v>
      </c>
      <c r="BA126" s="6" t="str">
        <f>Datos_originales!$AA226/Datos_originales!$E226</f>
        <v>#DIV/0!</v>
      </c>
      <c r="BB126" s="6" t="str">
        <f>Datos_originales!$AB226/Datos_originales!$E226</f>
        <v>#DIV/0!</v>
      </c>
      <c r="BC126" s="6" t="str">
        <f>Datos_originales!$AC226/Datos_originales!$E226</f>
        <v>#DIV/0!</v>
      </c>
      <c r="BD126" s="6" t="str">
        <f>Datos_originales!$AD226/Datos_originales!$E226</f>
        <v>#DIV/0!</v>
      </c>
      <c r="BE126" s="6" t="str">
        <f>Datos_originales!$AE226/Datos_originales!$E226</f>
        <v>#DIV/0!</v>
      </c>
      <c r="BF126" s="6" t="str">
        <f>Datos_originales!$AF226/Datos_originales!$E226</f>
        <v>#DIV/0!</v>
      </c>
      <c r="BG126" s="6" t="str">
        <f>Datos_originales!$AG226/Datos_originales!$E226</f>
        <v>#DIV/0!</v>
      </c>
    </row>
    <row r="127" ht="15.75" customHeight="1">
      <c r="A127" s="2">
        <v>30403.0</v>
      </c>
      <c r="B127" s="3" t="s">
        <v>177</v>
      </c>
      <c r="C127" s="4" t="s">
        <v>186</v>
      </c>
      <c r="D127" s="4" t="str">
        <f>IF(Datos_originales!$E127&lt;1000,"Bosque menor a 1000 ha",Datos_originales!$E127)</f>
        <v>Bosque menor a 1000 ha</v>
      </c>
      <c r="E127" s="4">
        <v>73.44</v>
      </c>
      <c r="F127" s="5">
        <f>AVERAGE(Datos_originales!$H166:$J166)</f>
        <v>0</v>
      </c>
      <c r="G127" s="5">
        <f>AVERAGE(Datos_originales!$R166:$T166)</f>
        <v>0</v>
      </c>
      <c r="H127" s="4">
        <v>0.0</v>
      </c>
      <c r="I127" s="4">
        <v>0.09</v>
      </c>
      <c r="J127" s="4">
        <v>0.0</v>
      </c>
      <c r="K127" s="4">
        <v>0.09</v>
      </c>
      <c r="L127" s="4">
        <v>0.09</v>
      </c>
      <c r="M127" s="4">
        <v>0.18</v>
      </c>
      <c r="N127" s="4">
        <v>0.54</v>
      </c>
      <c r="O127" s="4">
        <v>0.0</v>
      </c>
      <c r="P127" s="4">
        <v>1.8</v>
      </c>
      <c r="Q127" s="4">
        <v>4.95</v>
      </c>
      <c r="R127" s="4">
        <v>2.97</v>
      </c>
      <c r="S127" s="4">
        <v>10.26</v>
      </c>
      <c r="T127" s="4">
        <v>0.27</v>
      </c>
      <c r="U127" s="4">
        <v>0.0</v>
      </c>
      <c r="V127" s="4">
        <v>0.09</v>
      </c>
      <c r="W127" s="4">
        <v>2.88</v>
      </c>
      <c r="X127" s="4">
        <v>0.45</v>
      </c>
      <c r="Y127" s="4">
        <v>0.09</v>
      </c>
      <c r="Z127" s="4">
        <v>0.36</v>
      </c>
      <c r="AA127" s="4">
        <v>1.17</v>
      </c>
      <c r="AB127" s="4">
        <v>0.54</v>
      </c>
      <c r="AC127" s="4">
        <v>1.89</v>
      </c>
      <c r="AD127" s="4">
        <v>5.04</v>
      </c>
      <c r="AE127" s="4">
        <v>2.97</v>
      </c>
      <c r="AF127" s="4">
        <v>10.62</v>
      </c>
      <c r="AG127" s="4">
        <v>0.27</v>
      </c>
      <c r="AH127" s="6" t="str">
        <f>Datos_originales!$H166/Datos_originales!$E166</f>
        <v>#DIV/0!</v>
      </c>
      <c r="AI127" s="6" t="str">
        <f>Datos_originales!$I166/Datos_originales!$E166</f>
        <v>#DIV/0!</v>
      </c>
      <c r="AJ127" s="6" t="str">
        <f>Datos_originales!$J166/Datos_originales!$E166</f>
        <v>#DIV/0!</v>
      </c>
      <c r="AK127" s="6" t="str">
        <f>Datos_originales!$K166/Datos_originales!$E166</f>
        <v>#DIV/0!</v>
      </c>
      <c r="AL127" s="6" t="str">
        <f>Datos_originales!$L166/Datos_originales!$E166</f>
        <v>#DIV/0!</v>
      </c>
      <c r="AM127" s="6" t="str">
        <f>Datos_originales!$M166/Datos_originales!$E166</f>
        <v>#DIV/0!</v>
      </c>
      <c r="AN127" s="6" t="str">
        <f>Datos_originales!$N166/Datos_originales!$E166</f>
        <v>#DIV/0!</v>
      </c>
      <c r="AO127" s="6" t="str">
        <f>Datos_originales!$O166/Datos_originales!$E166</f>
        <v>#DIV/0!</v>
      </c>
      <c r="AP127" s="6" t="str">
        <f>Datos_originales!$P166/Datos_originales!$E166</f>
        <v>#DIV/0!</v>
      </c>
      <c r="AQ127" s="6" t="str">
        <f>Datos_originales!$Q166/Datos_originales!$E166</f>
        <v>#DIV/0!</v>
      </c>
      <c r="AR127" s="6" t="str">
        <f>Datos_originales!$R166/Datos_originales!$E166</f>
        <v>#DIV/0!</v>
      </c>
      <c r="AS127" s="6" t="str">
        <f>Datos_originales!$S166/Datos_originales!$E166</f>
        <v>#DIV/0!</v>
      </c>
      <c r="AT127" s="6" t="str">
        <f>Datos_originales!$T166/Datos_originales!$E166</f>
        <v>#DIV/0!</v>
      </c>
      <c r="AU127" s="6" t="str">
        <f>Datos_originales!$U166/Datos_originales!$E166</f>
        <v>#DIV/0!</v>
      </c>
      <c r="AV127" s="6" t="str">
        <f>Datos_originales!$V166/Datos_originales!$E166</f>
        <v>#DIV/0!</v>
      </c>
      <c r="AW127" s="6" t="str">
        <f>Datos_originales!$W166/Datos_originales!$E166</f>
        <v>#DIV/0!</v>
      </c>
      <c r="AX127" s="6" t="str">
        <f>Datos_originales!$X166/Datos_originales!$E166</f>
        <v>#DIV/0!</v>
      </c>
      <c r="AY127" s="6" t="str">
        <f>Datos_originales!$Y166/Datos_originales!$E166</f>
        <v>#DIV/0!</v>
      </c>
      <c r="AZ127" s="6" t="str">
        <f>Datos_originales!$Z166/Datos_originales!$E166</f>
        <v>#DIV/0!</v>
      </c>
      <c r="BA127" s="6" t="str">
        <f>Datos_originales!$AA166/Datos_originales!$E166</f>
        <v>#DIV/0!</v>
      </c>
      <c r="BB127" s="6" t="str">
        <f>Datos_originales!$AB166/Datos_originales!$E166</f>
        <v>#DIV/0!</v>
      </c>
      <c r="BC127" s="6" t="str">
        <f>Datos_originales!$AC166/Datos_originales!$E166</f>
        <v>#DIV/0!</v>
      </c>
      <c r="BD127" s="6" t="str">
        <f>Datos_originales!$AD166/Datos_originales!$E166</f>
        <v>#DIV/0!</v>
      </c>
      <c r="BE127" s="6" t="str">
        <f>Datos_originales!$AE166/Datos_originales!$E166</f>
        <v>#DIV/0!</v>
      </c>
      <c r="BF127" s="6" t="str">
        <f>Datos_originales!$AF166/Datos_originales!$E166</f>
        <v>#DIV/0!</v>
      </c>
      <c r="BG127" s="6" t="str">
        <f>Datos_originales!$AG166/Datos_originales!$E166</f>
        <v>#DIV/0!</v>
      </c>
    </row>
    <row r="128" ht="15.75" customHeight="1">
      <c r="A128" s="2">
        <v>30404.0</v>
      </c>
      <c r="B128" s="3" t="s">
        <v>177</v>
      </c>
      <c r="C128" s="4" t="s">
        <v>187</v>
      </c>
      <c r="D128" s="4" t="str">
        <f>IF(Datos_originales!$E128&lt;1000,"Bosque menor a 1000 ha",Datos_originales!$E128)</f>
        <v>Bosque menor a 1000 ha</v>
      </c>
      <c r="E128" s="4">
        <v>130.68</v>
      </c>
      <c r="F128" s="5">
        <f>AVERAGE(Datos_originales!$H203:$J203)</f>
        <v>0</v>
      </c>
      <c r="G128" s="5">
        <f>AVERAGE(Datos_originales!$R203:$T203)</f>
        <v>0</v>
      </c>
      <c r="H128" s="4">
        <v>0.0</v>
      </c>
      <c r="I128" s="4">
        <v>0.09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0.81</v>
      </c>
      <c r="R128" s="4">
        <v>0.81</v>
      </c>
      <c r="S128" s="4">
        <v>1.35</v>
      </c>
      <c r="T128" s="4">
        <v>0.09</v>
      </c>
      <c r="U128" s="4">
        <v>0.81</v>
      </c>
      <c r="V128" s="4">
        <v>0.63</v>
      </c>
      <c r="W128" s="4">
        <v>1.8</v>
      </c>
      <c r="X128" s="4">
        <v>0.18</v>
      </c>
      <c r="Y128" s="4">
        <v>0.72</v>
      </c>
      <c r="Z128" s="4">
        <v>4.5</v>
      </c>
      <c r="AA128" s="4">
        <v>9.72</v>
      </c>
      <c r="AB128" s="4">
        <v>4.59</v>
      </c>
      <c r="AC128" s="4">
        <v>0.81</v>
      </c>
      <c r="AD128" s="4">
        <v>0.99</v>
      </c>
      <c r="AE128" s="4">
        <v>0.9</v>
      </c>
      <c r="AF128" s="4">
        <v>9.63</v>
      </c>
      <c r="AG128" s="4">
        <v>0.18</v>
      </c>
      <c r="AH128" s="6" t="str">
        <f>Datos_originales!$H203/Datos_originales!$E203</f>
        <v>#DIV/0!</v>
      </c>
      <c r="AI128" s="6" t="str">
        <f>Datos_originales!$I203/Datos_originales!$E203</f>
        <v>#DIV/0!</v>
      </c>
      <c r="AJ128" s="6" t="str">
        <f>Datos_originales!$J203/Datos_originales!$E203</f>
        <v>#DIV/0!</v>
      </c>
      <c r="AK128" s="6" t="str">
        <f>Datos_originales!$K203/Datos_originales!$E203</f>
        <v>#DIV/0!</v>
      </c>
      <c r="AL128" s="6" t="str">
        <f>Datos_originales!$L203/Datos_originales!$E203</f>
        <v>#DIV/0!</v>
      </c>
      <c r="AM128" s="6" t="str">
        <f>Datos_originales!$M203/Datos_originales!$E203</f>
        <v>#DIV/0!</v>
      </c>
      <c r="AN128" s="6" t="str">
        <f>Datos_originales!$N203/Datos_originales!$E203</f>
        <v>#DIV/0!</v>
      </c>
      <c r="AO128" s="6" t="str">
        <f>Datos_originales!$O203/Datos_originales!$E203</f>
        <v>#DIV/0!</v>
      </c>
      <c r="AP128" s="6" t="str">
        <f>Datos_originales!$P203/Datos_originales!$E203</f>
        <v>#DIV/0!</v>
      </c>
      <c r="AQ128" s="6" t="str">
        <f>Datos_originales!$Q203/Datos_originales!$E203</f>
        <v>#DIV/0!</v>
      </c>
      <c r="AR128" s="6" t="str">
        <f>Datos_originales!$R203/Datos_originales!$E203</f>
        <v>#DIV/0!</v>
      </c>
      <c r="AS128" s="6" t="str">
        <f>Datos_originales!$S203/Datos_originales!$E203</f>
        <v>#DIV/0!</v>
      </c>
      <c r="AT128" s="6" t="str">
        <f>Datos_originales!$T203/Datos_originales!$E203</f>
        <v>#DIV/0!</v>
      </c>
      <c r="AU128" s="6" t="str">
        <f>Datos_originales!$U203/Datos_originales!$E203</f>
        <v>#DIV/0!</v>
      </c>
      <c r="AV128" s="6" t="str">
        <f>Datos_originales!$V203/Datos_originales!$E203</f>
        <v>#DIV/0!</v>
      </c>
      <c r="AW128" s="6" t="str">
        <f>Datos_originales!$W203/Datos_originales!$E203</f>
        <v>#DIV/0!</v>
      </c>
      <c r="AX128" s="6" t="str">
        <f>Datos_originales!$X203/Datos_originales!$E203</f>
        <v>#DIV/0!</v>
      </c>
      <c r="AY128" s="6" t="str">
        <f>Datos_originales!$Y203/Datos_originales!$E203</f>
        <v>#DIV/0!</v>
      </c>
      <c r="AZ128" s="6" t="str">
        <f>Datos_originales!$Z203/Datos_originales!$E203</f>
        <v>#DIV/0!</v>
      </c>
      <c r="BA128" s="6" t="str">
        <f>Datos_originales!$AA203/Datos_originales!$E203</f>
        <v>#DIV/0!</v>
      </c>
      <c r="BB128" s="6" t="str">
        <f>Datos_originales!$AB203/Datos_originales!$E203</f>
        <v>#DIV/0!</v>
      </c>
      <c r="BC128" s="6" t="str">
        <f>Datos_originales!$AC203/Datos_originales!$E203</f>
        <v>#DIV/0!</v>
      </c>
      <c r="BD128" s="6" t="str">
        <f>Datos_originales!$AD203/Datos_originales!$E203</f>
        <v>#DIV/0!</v>
      </c>
      <c r="BE128" s="6" t="str">
        <f>Datos_originales!$AE203/Datos_originales!$E203</f>
        <v>#DIV/0!</v>
      </c>
      <c r="BF128" s="6" t="str">
        <f>Datos_originales!$AF203/Datos_originales!$E203</f>
        <v>#DIV/0!</v>
      </c>
      <c r="BG128" s="6" t="str">
        <f>Datos_originales!$AG203/Datos_originales!$E203</f>
        <v>#DIV/0!</v>
      </c>
    </row>
    <row r="129" ht="15.75" customHeight="1">
      <c r="A129" s="2">
        <v>30501.0</v>
      </c>
      <c r="B129" s="3" t="s">
        <v>177</v>
      </c>
      <c r="C129" s="4" t="s">
        <v>188</v>
      </c>
      <c r="D129" s="4" t="str">
        <f>IF(Datos_originales!$E129&lt;1000,"Bosque menor a 1000 ha",Datos_originales!$E129)</f>
        <v>Bosque menor a 1000 ha</v>
      </c>
      <c r="E129" s="4">
        <v>321.39</v>
      </c>
      <c r="F129" s="5">
        <f>AVERAGE(Datos_originales!$H153:$J153)</f>
        <v>1702.29</v>
      </c>
      <c r="G129" s="5">
        <f>AVERAGE(Datos_originales!$R153:$T153)</f>
        <v>1839.57</v>
      </c>
      <c r="H129" s="4">
        <v>0.09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0.09</v>
      </c>
      <c r="O129" s="4">
        <v>0.18</v>
      </c>
      <c r="P129" s="4">
        <v>0.81</v>
      </c>
      <c r="Q129" s="4">
        <v>3.78</v>
      </c>
      <c r="R129" s="4">
        <v>3.6</v>
      </c>
      <c r="S129" s="4">
        <v>19.44</v>
      </c>
      <c r="T129" s="4">
        <v>0.27</v>
      </c>
      <c r="U129" s="4">
        <v>1.62</v>
      </c>
      <c r="V129" s="4">
        <v>1.35</v>
      </c>
      <c r="W129" s="4">
        <v>7.02</v>
      </c>
      <c r="X129" s="4">
        <v>5.49</v>
      </c>
      <c r="Y129" s="4">
        <v>1.08</v>
      </c>
      <c r="Z129" s="4">
        <v>5.13</v>
      </c>
      <c r="AA129" s="4">
        <v>11.52</v>
      </c>
      <c r="AB129" s="4">
        <v>10.8</v>
      </c>
      <c r="AC129" s="4">
        <v>3.87</v>
      </c>
      <c r="AD129" s="4">
        <v>3.87</v>
      </c>
      <c r="AE129" s="4">
        <v>3.87</v>
      </c>
      <c r="AF129" s="4">
        <v>32.94</v>
      </c>
      <c r="AG129" s="4">
        <v>1.44</v>
      </c>
      <c r="AH129" s="6">
        <f>Datos_originales!$H153/Datos_originales!$E153</f>
        <v>0.01145166546</v>
      </c>
      <c r="AI129" s="6">
        <f>Datos_originales!$I153/Datos_originales!$E153</f>
        <v>0.008101801444</v>
      </c>
      <c r="AJ129" s="6">
        <f>Datos_originales!$J153/Datos_originales!$E153</f>
        <v>0.01022117813</v>
      </c>
      <c r="AK129" s="6">
        <f>Datos_originales!$K153/Datos_originales!$E153</f>
        <v>0.006626790831</v>
      </c>
      <c r="AL129" s="6">
        <f>Datos_originales!$L153/Datos_originales!$E153</f>
        <v>0.005882201696</v>
      </c>
      <c r="AM129" s="6">
        <f>Datos_originales!$M153/Datos_originales!$E153</f>
        <v>0.00573947566</v>
      </c>
      <c r="AN129" s="6">
        <f>Datos_originales!$N153/Datos_originales!$E153</f>
        <v>0.00612620025</v>
      </c>
      <c r="AO129" s="6">
        <f>Datos_originales!$O153/Datos_originales!$E153</f>
        <v>0.005762038967</v>
      </c>
      <c r="AP129" s="6">
        <f>Datos_originales!$P153/Datos_originales!$E153</f>
        <v>0.008970751132</v>
      </c>
      <c r="AQ129" s="6">
        <f>Datos_originales!$Q153/Datos_originales!$E153</f>
        <v>0.01574551528</v>
      </c>
      <c r="AR129" s="6">
        <f>Datos_originales!$R153/Datos_originales!$E153</f>
        <v>0.001876952316</v>
      </c>
      <c r="AS129" s="6">
        <f>Datos_originales!$S153/Datos_originales!$E153</f>
        <v>0.01692248035</v>
      </c>
      <c r="AT129" s="6">
        <f>Datos_originales!$T153/Datos_originales!$E153</f>
        <v>0.01337636803</v>
      </c>
      <c r="AU129" s="6">
        <f>Datos_originales!$U153/Datos_originales!$E153</f>
        <v>0.01440850815</v>
      </c>
      <c r="AV129" s="6">
        <f>Datos_originales!$V153/Datos_originales!$E153</f>
        <v>0.009425165644</v>
      </c>
      <c r="AW129" s="6">
        <f>Datos_originales!$W153/Datos_originales!$E153</f>
        <v>0.01154454233</v>
      </c>
      <c r="AX129" s="6">
        <f>Datos_originales!$X153/Datos_originales!$E153</f>
        <v>0.007752857276</v>
      </c>
      <c r="AY129" s="6">
        <f>Datos_originales!$Y153/Datos_originales!$E153</f>
        <v>0.006502955006</v>
      </c>
      <c r="AZ129" s="6">
        <f>Datos_originales!$Z153/Datos_originales!$E153</f>
        <v>0.006689233472</v>
      </c>
      <c r="BA129" s="6">
        <f>Datos_originales!$AA153/Datos_originales!$E153</f>
        <v>0.007327827537</v>
      </c>
      <c r="BB129" s="6">
        <f>Datos_originales!$AB153/Datos_originales!$E153</f>
        <v>0.007312610422</v>
      </c>
      <c r="BC129" s="6">
        <f>Datos_originales!$AC153/Datos_originales!$E153</f>
        <v>0.009769387259</v>
      </c>
      <c r="BD129" s="6">
        <f>Datos_originales!$AD153/Datos_originales!$E153</f>
        <v>0.01781556753</v>
      </c>
      <c r="BE129" s="6">
        <f>Datos_originales!$AE153/Datos_originales!$E153</f>
        <v>0.002027024545</v>
      </c>
      <c r="BF129" s="6">
        <f>Datos_originales!$AF153/Datos_originales!$E153</f>
        <v>0.02046754321</v>
      </c>
      <c r="BG129" s="6">
        <f>Datos_originales!$AG153/Datos_originales!$E153</f>
        <v>0.01367703722</v>
      </c>
    </row>
    <row r="130" ht="15.75" customHeight="1">
      <c r="A130" s="2">
        <v>30502.0</v>
      </c>
      <c r="B130" s="3" t="s">
        <v>177</v>
      </c>
      <c r="C130" s="4" t="s">
        <v>189</v>
      </c>
      <c r="D130" s="4" t="str">
        <f>IF(Datos_originales!$E130&lt;1000,"Bosque menor a 1000 ha",Datos_originales!$E130)</f>
        <v>Bosque menor a 1000 ha</v>
      </c>
      <c r="E130" s="4">
        <v>529.38</v>
      </c>
      <c r="F130" s="5">
        <f>AVERAGE(Datos_originales!$H199:$J199)</f>
        <v>0</v>
      </c>
      <c r="G130" s="5">
        <f>AVERAGE(Datos_originales!$R199:$T199)</f>
        <v>0</v>
      </c>
      <c r="H130" s="4">
        <v>0.0</v>
      </c>
      <c r="I130" s="4">
        <v>0.18</v>
      </c>
      <c r="J130" s="4">
        <v>0.0</v>
      </c>
      <c r="K130" s="4">
        <v>0.0</v>
      </c>
      <c r="L130" s="4">
        <v>0.18</v>
      </c>
      <c r="M130" s="4">
        <v>0.09</v>
      </c>
      <c r="N130" s="4">
        <v>1.08</v>
      </c>
      <c r="O130" s="4">
        <v>0.63</v>
      </c>
      <c r="P130" s="4">
        <v>0.0</v>
      </c>
      <c r="Q130" s="4">
        <v>3.06</v>
      </c>
      <c r="R130" s="4">
        <v>15.12</v>
      </c>
      <c r="S130" s="4">
        <v>9.54</v>
      </c>
      <c r="T130" s="4">
        <v>0.63</v>
      </c>
      <c r="U130" s="4">
        <v>1.17</v>
      </c>
      <c r="V130" s="4">
        <v>1.17</v>
      </c>
      <c r="W130" s="4">
        <v>7.38</v>
      </c>
      <c r="X130" s="4">
        <v>1.17</v>
      </c>
      <c r="Y130" s="4">
        <v>0.45</v>
      </c>
      <c r="Z130" s="4">
        <v>1.17</v>
      </c>
      <c r="AA130" s="4">
        <v>12.69</v>
      </c>
      <c r="AB130" s="4">
        <v>16.29</v>
      </c>
      <c r="AC130" s="4">
        <v>3.33</v>
      </c>
      <c r="AD130" s="4">
        <v>3.51</v>
      </c>
      <c r="AE130" s="4">
        <v>16.65</v>
      </c>
      <c r="AF130" s="4">
        <v>49.68</v>
      </c>
      <c r="AG130" s="4">
        <v>0.8099999999999999</v>
      </c>
      <c r="AH130" s="6" t="str">
        <f>Datos_originales!$H199/Datos_originales!$E199</f>
        <v>#DIV/0!</v>
      </c>
      <c r="AI130" s="6" t="str">
        <f>Datos_originales!$I199/Datos_originales!$E199</f>
        <v>#DIV/0!</v>
      </c>
      <c r="AJ130" s="6" t="str">
        <f>Datos_originales!$J199/Datos_originales!$E199</f>
        <v>#DIV/0!</v>
      </c>
      <c r="AK130" s="6" t="str">
        <f>Datos_originales!$K199/Datos_originales!$E199</f>
        <v>#DIV/0!</v>
      </c>
      <c r="AL130" s="6" t="str">
        <f>Datos_originales!$L199/Datos_originales!$E199</f>
        <v>#DIV/0!</v>
      </c>
      <c r="AM130" s="6" t="str">
        <f>Datos_originales!$M199/Datos_originales!$E199</f>
        <v>#DIV/0!</v>
      </c>
      <c r="AN130" s="6" t="str">
        <f>Datos_originales!$N199/Datos_originales!$E199</f>
        <v>#DIV/0!</v>
      </c>
      <c r="AO130" s="6" t="str">
        <f>Datos_originales!$O199/Datos_originales!$E199</f>
        <v>#DIV/0!</v>
      </c>
      <c r="AP130" s="6" t="str">
        <f>Datos_originales!$P199/Datos_originales!$E199</f>
        <v>#DIV/0!</v>
      </c>
      <c r="AQ130" s="6" t="str">
        <f>Datos_originales!$Q199/Datos_originales!$E199</f>
        <v>#DIV/0!</v>
      </c>
      <c r="AR130" s="6" t="str">
        <f>Datos_originales!$R199/Datos_originales!$E199</f>
        <v>#DIV/0!</v>
      </c>
      <c r="AS130" s="6" t="str">
        <f>Datos_originales!$S199/Datos_originales!$E199</f>
        <v>#DIV/0!</v>
      </c>
      <c r="AT130" s="6" t="str">
        <f>Datos_originales!$T199/Datos_originales!$E199</f>
        <v>#DIV/0!</v>
      </c>
      <c r="AU130" s="6" t="str">
        <f>Datos_originales!$U199/Datos_originales!$E199</f>
        <v>#DIV/0!</v>
      </c>
      <c r="AV130" s="6" t="str">
        <f>Datos_originales!$V199/Datos_originales!$E199</f>
        <v>#DIV/0!</v>
      </c>
      <c r="AW130" s="6" t="str">
        <f>Datos_originales!$W199/Datos_originales!$E199</f>
        <v>#DIV/0!</v>
      </c>
      <c r="AX130" s="6" t="str">
        <f>Datos_originales!$X199/Datos_originales!$E199</f>
        <v>#DIV/0!</v>
      </c>
      <c r="AY130" s="6" t="str">
        <f>Datos_originales!$Y199/Datos_originales!$E199</f>
        <v>#DIV/0!</v>
      </c>
      <c r="AZ130" s="6" t="str">
        <f>Datos_originales!$Z199/Datos_originales!$E199</f>
        <v>#DIV/0!</v>
      </c>
      <c r="BA130" s="6" t="str">
        <f>Datos_originales!$AA199/Datos_originales!$E199</f>
        <v>#DIV/0!</v>
      </c>
      <c r="BB130" s="6" t="str">
        <f>Datos_originales!$AB199/Datos_originales!$E199</f>
        <v>#DIV/0!</v>
      </c>
      <c r="BC130" s="6" t="str">
        <f>Datos_originales!$AC199/Datos_originales!$E199</f>
        <v>#DIV/0!</v>
      </c>
      <c r="BD130" s="6" t="str">
        <f>Datos_originales!$AD199/Datos_originales!$E199</f>
        <v>#DIV/0!</v>
      </c>
      <c r="BE130" s="6" t="str">
        <f>Datos_originales!$AE199/Datos_originales!$E199</f>
        <v>#DIV/0!</v>
      </c>
      <c r="BF130" s="6" t="str">
        <f>Datos_originales!$AF199/Datos_originales!$E199</f>
        <v>#DIV/0!</v>
      </c>
      <c r="BG130" s="6" t="str">
        <f>Datos_originales!$AG199/Datos_originales!$E199</f>
        <v>#DIV/0!</v>
      </c>
    </row>
    <row r="131" ht="15.75" customHeight="1">
      <c r="A131" s="2">
        <v>30601.0</v>
      </c>
      <c r="B131" s="3" t="s">
        <v>177</v>
      </c>
      <c r="C131" s="4" t="s">
        <v>190</v>
      </c>
      <c r="D131" s="4" t="str">
        <f>IF(Datos_originales!$E131&lt;1000,"Bosque menor a 1000 ha",Datos_originales!$E131)</f>
        <v>Bosque menor a 1000 ha</v>
      </c>
      <c r="E131" s="4">
        <v>295.92</v>
      </c>
      <c r="F131" s="5">
        <f>AVERAGE(Datos_originales!$H340:$J340)</f>
        <v>435.84</v>
      </c>
      <c r="G131" s="5">
        <f>AVERAGE(Datos_originales!$R340:$T340)</f>
        <v>269.22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0.99</v>
      </c>
      <c r="N131" s="4">
        <v>0.09</v>
      </c>
      <c r="O131" s="4">
        <v>0.0</v>
      </c>
      <c r="P131" s="4">
        <v>0.0</v>
      </c>
      <c r="Q131" s="4">
        <v>0.0</v>
      </c>
      <c r="R131" s="4">
        <v>0.0</v>
      </c>
      <c r="S131" s="4">
        <v>1.08</v>
      </c>
      <c r="T131" s="4">
        <v>0.0</v>
      </c>
      <c r="U131" s="4">
        <v>0.63</v>
      </c>
      <c r="V131" s="4">
        <v>0.09</v>
      </c>
      <c r="W131" s="4">
        <v>7.65</v>
      </c>
      <c r="X131" s="4">
        <v>0.27</v>
      </c>
      <c r="Y131" s="4">
        <v>2.7</v>
      </c>
      <c r="Z131" s="4">
        <v>7.83</v>
      </c>
      <c r="AA131" s="4">
        <v>6.39</v>
      </c>
      <c r="AB131" s="4">
        <v>8.46</v>
      </c>
      <c r="AC131" s="4">
        <v>5.49</v>
      </c>
      <c r="AD131" s="4">
        <v>0.0</v>
      </c>
      <c r="AE131" s="4">
        <v>0.0</v>
      </c>
      <c r="AF131" s="4">
        <v>2.16</v>
      </c>
      <c r="AG131" s="4">
        <v>0.0</v>
      </c>
      <c r="AH131" s="6">
        <f>Datos_originales!$H340/Datos_originales!$E340</f>
        <v>0.0008265459205</v>
      </c>
      <c r="AI131" s="6">
        <f>Datos_originales!$I340/Datos_originales!$E340</f>
        <v>0.001346917688</v>
      </c>
      <c r="AJ131" s="6">
        <f>Datos_originales!$J340/Datos_originales!$E340</f>
        <v>0.0008360750214</v>
      </c>
      <c r="AK131" s="6">
        <f>Datos_originales!$K340/Datos_originales!$E340</f>
        <v>0.0007165469522</v>
      </c>
      <c r="AL131" s="6">
        <f>Datos_originales!$L340/Datos_originales!$E340</f>
        <v>0.001155299899</v>
      </c>
      <c r="AM131" s="6">
        <f>Datos_originales!$M340/Datos_originales!$E340</f>
        <v>0.001311701446</v>
      </c>
      <c r="AN131" s="6">
        <f>Datos_originales!$N340/Datos_originales!$E340</f>
        <v>0.0004592612295</v>
      </c>
      <c r="AO131" s="6">
        <f>Datos_originales!$O340/Datos_originales!$E340</f>
        <v>0.0003192248781</v>
      </c>
      <c r="AP131" s="6">
        <f>Datos_originales!$P340/Datos_originales!$E340</f>
        <v>0.001141006248</v>
      </c>
      <c r="AQ131" s="6">
        <f>Datos_originales!$Q340/Datos_originales!$E340</f>
        <v>0.002307078175</v>
      </c>
      <c r="AR131" s="6">
        <f>Datos_originales!$R340/Datos_originales!$E340</f>
        <v>0.0003612772144</v>
      </c>
      <c r="AS131" s="6">
        <f>Datos_originales!$S340/Datos_originales!$E340</f>
        <v>0.0007351908451</v>
      </c>
      <c r="AT131" s="6">
        <f>Datos_originales!$T340/Datos_originales!$E340</f>
        <v>0.0007625352214</v>
      </c>
      <c r="AU131" s="6">
        <f>Datos_originales!$U340/Datos_originales!$E340</f>
        <v>0.001244790586</v>
      </c>
      <c r="AV131" s="6">
        <f>Datos_originales!$V340/Datos_originales!$E340</f>
        <v>0.001709437829</v>
      </c>
      <c r="AW131" s="6">
        <f>Datos_originales!$W340/Datos_originales!$E340</f>
        <v>0.001112004637</v>
      </c>
      <c r="AX131" s="6">
        <f>Datos_originales!$X340/Datos_originales!$E340</f>
        <v>0.0008685982568</v>
      </c>
      <c r="AY131" s="6">
        <f>Datos_originales!$Y340/Datos_originales!$E340</f>
        <v>0.001289743083</v>
      </c>
      <c r="AZ131" s="6">
        <f>Datos_originales!$Z340/Datos_originales!$E340</f>
        <v>0.001393320266</v>
      </c>
      <c r="BA131" s="6">
        <f>Datos_originales!$AA340/Datos_originales!$E340</f>
        <v>0.0005417086672</v>
      </c>
      <c r="BB131" s="6">
        <f>Datos_originales!$AB340/Datos_originales!$E340</f>
        <v>0.0004385457929</v>
      </c>
      <c r="BC131" s="6">
        <f>Datos_originales!$AC340/Datos_originales!$E340</f>
        <v>0.001437444146</v>
      </c>
      <c r="BD131" s="6">
        <f>Datos_originales!$AD340/Datos_originales!$E340</f>
        <v>0.00246202964</v>
      </c>
      <c r="BE131" s="6">
        <f>Datos_originales!$AE340/Datos_originales!$E340</f>
        <v>0.0005037994182</v>
      </c>
      <c r="BF131" s="6">
        <f>Datos_originales!$AF340/Datos_originales!$E340</f>
        <v>0.001024792649</v>
      </c>
      <c r="BG131" s="6">
        <f>Datos_originales!$AG340/Datos_originales!$E340</f>
        <v>0.0009676180438</v>
      </c>
    </row>
    <row r="132" ht="15.75" customHeight="1">
      <c r="A132" s="2">
        <v>30602.0</v>
      </c>
      <c r="B132" s="3" t="s">
        <v>177</v>
      </c>
      <c r="C132" s="4" t="s">
        <v>191</v>
      </c>
      <c r="D132" s="4" t="str">
        <f>IF(Datos_originales!$E132&lt;1000,"Bosque menor a 1000 ha",Datos_originales!$E132)</f>
        <v>Bosque menor a 1000 ha</v>
      </c>
      <c r="E132" s="4">
        <v>82.97999999999999</v>
      </c>
      <c r="F132" s="5">
        <f>AVERAGE(Datos_originales!$H337:$J337)</f>
        <v>231.06</v>
      </c>
      <c r="G132" s="5">
        <f>AVERAGE(Datos_originales!$R337:$T337)</f>
        <v>271.02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1.08</v>
      </c>
      <c r="T132" s="4">
        <v>0.0</v>
      </c>
      <c r="U132" s="4">
        <v>0.36</v>
      </c>
      <c r="V132" s="4">
        <v>0.18</v>
      </c>
      <c r="W132" s="4">
        <v>1.26</v>
      </c>
      <c r="X132" s="4">
        <v>0.45</v>
      </c>
      <c r="Y132" s="4">
        <v>0.54</v>
      </c>
      <c r="Z132" s="4">
        <v>1.62</v>
      </c>
      <c r="AA132" s="4">
        <v>5.4</v>
      </c>
      <c r="AB132" s="4">
        <v>0.54</v>
      </c>
      <c r="AC132" s="4">
        <v>0.54</v>
      </c>
      <c r="AD132" s="4">
        <v>0.09</v>
      </c>
      <c r="AE132" s="4">
        <v>0.09</v>
      </c>
      <c r="AF132" s="4">
        <v>2.52</v>
      </c>
      <c r="AG132" s="4">
        <v>0.0</v>
      </c>
      <c r="AH132" s="6">
        <f>Datos_originales!$H337/Datos_originales!$E337</f>
        <v>0.002421905485</v>
      </c>
      <c r="AI132" s="6">
        <f>Datos_originales!$I337/Datos_originales!$E337</f>
        <v>0.001676070553</v>
      </c>
      <c r="AJ132" s="6">
        <f>Datos_originales!$J337/Datos_originales!$E337</f>
        <v>0.002242444099</v>
      </c>
      <c r="AK132" s="6">
        <f>Datos_originales!$K337/Datos_originales!$E337</f>
        <v>0.001761685159</v>
      </c>
      <c r="AL132" s="6">
        <f>Datos_originales!$L337/Datos_originales!$E337</f>
        <v>0.002485293222</v>
      </c>
      <c r="AM132" s="6">
        <f>Datos_originales!$M337/Datos_originales!$E337</f>
        <v>0.00376621944</v>
      </c>
      <c r="AN132" s="6">
        <f>Datos_originales!$N337/Datos_originales!$E337</f>
        <v>0.001428282126</v>
      </c>
      <c r="AO132" s="6">
        <f>Datos_originales!$O337/Datos_originales!$E337</f>
        <v>0.0009096551872</v>
      </c>
      <c r="AP132" s="6">
        <f>Datos_originales!$P337/Datos_originales!$E337</f>
        <v>0.002116491843</v>
      </c>
      <c r="AQ132" s="6">
        <f>Datos_originales!$Q337/Datos_originales!$E337</f>
        <v>0.005231546348</v>
      </c>
      <c r="AR132" s="6">
        <f>Datos_originales!$R337/Datos_originales!$E337</f>
        <v>0.001564936209</v>
      </c>
      <c r="AS132" s="6">
        <f>Datos_originales!$S337/Datos_originales!$E337</f>
        <v>0.002053104106</v>
      </c>
      <c r="AT132" s="6">
        <f>Datos_originales!$T337/Datos_originales!$E337</f>
        <v>0.003818905351</v>
      </c>
      <c r="AU132" s="6">
        <f>Datos_originales!$U337/Datos_originales!$E337</f>
        <v>0.01084094947</v>
      </c>
      <c r="AV132" s="6">
        <f>Datos_originales!$V337/Datos_originales!$E337</f>
        <v>0.005105594091</v>
      </c>
      <c r="AW132" s="6">
        <f>Datos_originales!$W337/Datos_originales!$E337</f>
        <v>0.01803751566</v>
      </c>
      <c r="AX132" s="6">
        <f>Datos_originales!$X337/Datos_originales!$E337</f>
        <v>0.005197794436</v>
      </c>
      <c r="AY132" s="6">
        <f>Datos_originales!$Y337/Datos_originales!$E337</f>
        <v>0.004614956542</v>
      </c>
      <c r="AZ132" s="6">
        <f>Datos_originales!$Z337/Datos_originales!$E337</f>
        <v>0.005859661197</v>
      </c>
      <c r="BA132" s="6">
        <f>Datos_originales!$AA337/Datos_originales!$E337</f>
        <v>0.003006389813</v>
      </c>
      <c r="BB132" s="6">
        <f>Datos_originales!$AB337/Datos_originales!$E337</f>
        <v>0.003201492328</v>
      </c>
      <c r="BC132" s="6">
        <f>Datos_originales!$AC337/Datos_originales!$E337</f>
        <v>0.004277437423</v>
      </c>
      <c r="BD132" s="6">
        <f>Datos_originales!$AD337/Datos_originales!$E337</f>
        <v>0.006699342908</v>
      </c>
      <c r="BE132" s="6">
        <f>Datos_originales!$AE337/Datos_originales!$E337</f>
        <v>0.002114022191</v>
      </c>
      <c r="BF132" s="6">
        <f>Datos_originales!$AF337/Datos_originales!$E337</f>
        <v>0.005010100877</v>
      </c>
      <c r="BG132" s="6">
        <f>Datos_originales!$AG337/Datos_originales!$E337</f>
        <v>0.005465340079</v>
      </c>
    </row>
    <row r="133" ht="15.75" customHeight="1">
      <c r="A133" s="2">
        <v>30701.0</v>
      </c>
      <c r="B133" s="3" t="s">
        <v>177</v>
      </c>
      <c r="C133" s="4" t="s">
        <v>192</v>
      </c>
      <c r="D133" s="4" t="str">
        <f>IF(Datos_originales!$E133&lt;1000,"Bosque menor a 1000 ha",Datos_originales!$E133)</f>
        <v>Bosque menor a 1000 ha</v>
      </c>
      <c r="E133" s="4">
        <v>571.14</v>
      </c>
      <c r="F133" s="5">
        <f>AVERAGE(Datos_originales!$H179:$J179)</f>
        <v>0</v>
      </c>
      <c r="G133" s="5">
        <f>AVERAGE(Datos_originales!$R179:$T179)</f>
        <v>0</v>
      </c>
      <c r="H133" s="4">
        <v>0.27</v>
      </c>
      <c r="I133" s="4">
        <v>0.81</v>
      </c>
      <c r="J133" s="4">
        <v>0.81</v>
      </c>
      <c r="K133" s="4">
        <v>0.81</v>
      </c>
      <c r="L133" s="4">
        <v>0.9</v>
      </c>
      <c r="M133" s="4">
        <v>0.45</v>
      </c>
      <c r="N133" s="4">
        <v>6.75</v>
      </c>
      <c r="O133" s="4">
        <v>1.08</v>
      </c>
      <c r="P133" s="4">
        <v>12.06</v>
      </c>
      <c r="Q133" s="4">
        <v>7.2</v>
      </c>
      <c r="R133" s="4">
        <v>21.78</v>
      </c>
      <c r="S133" s="4">
        <v>17.01</v>
      </c>
      <c r="T133" s="4">
        <v>1.26</v>
      </c>
      <c r="U133" s="4">
        <v>0.81</v>
      </c>
      <c r="V133" s="4">
        <v>3.96</v>
      </c>
      <c r="W133" s="4">
        <v>10.71</v>
      </c>
      <c r="X133" s="4">
        <v>2.52</v>
      </c>
      <c r="Y133" s="4">
        <v>6.48</v>
      </c>
      <c r="Z133" s="4">
        <v>8.370000000000001</v>
      </c>
      <c r="AA133" s="4">
        <v>14.4</v>
      </c>
      <c r="AB133" s="4">
        <v>22.59</v>
      </c>
      <c r="AC133" s="4">
        <v>24.84</v>
      </c>
      <c r="AD133" s="4">
        <v>7.2</v>
      </c>
      <c r="AE133" s="4">
        <v>22.32</v>
      </c>
      <c r="AF133" s="4">
        <v>19.26</v>
      </c>
      <c r="AG133" s="4">
        <v>1.53</v>
      </c>
      <c r="AH133" s="6" t="str">
        <f>Datos_originales!$H179/Datos_originales!$E179</f>
        <v>#DIV/0!</v>
      </c>
      <c r="AI133" s="6" t="str">
        <f>Datos_originales!$I179/Datos_originales!$E179</f>
        <v>#DIV/0!</v>
      </c>
      <c r="AJ133" s="6" t="str">
        <f>Datos_originales!$J179/Datos_originales!$E179</f>
        <v>#DIV/0!</v>
      </c>
      <c r="AK133" s="6" t="str">
        <f>Datos_originales!$K179/Datos_originales!$E179</f>
        <v>#DIV/0!</v>
      </c>
      <c r="AL133" s="6" t="str">
        <f>Datos_originales!$L179/Datos_originales!$E179</f>
        <v>#DIV/0!</v>
      </c>
      <c r="AM133" s="6" t="str">
        <f>Datos_originales!$M179/Datos_originales!$E179</f>
        <v>#DIV/0!</v>
      </c>
      <c r="AN133" s="6" t="str">
        <f>Datos_originales!$N179/Datos_originales!$E179</f>
        <v>#DIV/0!</v>
      </c>
      <c r="AO133" s="6" t="str">
        <f>Datos_originales!$O179/Datos_originales!$E179</f>
        <v>#DIV/0!</v>
      </c>
      <c r="AP133" s="6" t="str">
        <f>Datos_originales!$P179/Datos_originales!$E179</f>
        <v>#DIV/0!</v>
      </c>
      <c r="AQ133" s="6" t="str">
        <f>Datos_originales!$Q179/Datos_originales!$E179</f>
        <v>#DIV/0!</v>
      </c>
      <c r="AR133" s="6" t="str">
        <f>Datos_originales!$R179/Datos_originales!$E179</f>
        <v>#DIV/0!</v>
      </c>
      <c r="AS133" s="6" t="str">
        <f>Datos_originales!$S179/Datos_originales!$E179</f>
        <v>#DIV/0!</v>
      </c>
      <c r="AT133" s="6" t="str">
        <f>Datos_originales!$T179/Datos_originales!$E179</f>
        <v>#DIV/0!</v>
      </c>
      <c r="AU133" s="6" t="str">
        <f>Datos_originales!$U179/Datos_originales!$E179</f>
        <v>#DIV/0!</v>
      </c>
      <c r="AV133" s="6" t="str">
        <f>Datos_originales!$V179/Datos_originales!$E179</f>
        <v>#DIV/0!</v>
      </c>
      <c r="AW133" s="6" t="str">
        <f>Datos_originales!$W179/Datos_originales!$E179</f>
        <v>#DIV/0!</v>
      </c>
      <c r="AX133" s="6" t="str">
        <f>Datos_originales!$X179/Datos_originales!$E179</f>
        <v>#DIV/0!</v>
      </c>
      <c r="AY133" s="6" t="str">
        <f>Datos_originales!$Y179/Datos_originales!$E179</f>
        <v>#DIV/0!</v>
      </c>
      <c r="AZ133" s="6" t="str">
        <f>Datos_originales!$Z179/Datos_originales!$E179</f>
        <v>#DIV/0!</v>
      </c>
      <c r="BA133" s="6" t="str">
        <f>Datos_originales!$AA179/Datos_originales!$E179</f>
        <v>#DIV/0!</v>
      </c>
      <c r="BB133" s="6" t="str">
        <f>Datos_originales!$AB179/Datos_originales!$E179</f>
        <v>#DIV/0!</v>
      </c>
      <c r="BC133" s="6" t="str">
        <f>Datos_originales!$AC179/Datos_originales!$E179</f>
        <v>#DIV/0!</v>
      </c>
      <c r="BD133" s="6" t="str">
        <f>Datos_originales!$AD179/Datos_originales!$E179</f>
        <v>#DIV/0!</v>
      </c>
      <c r="BE133" s="6" t="str">
        <f>Datos_originales!$AE179/Datos_originales!$E179</f>
        <v>#DIV/0!</v>
      </c>
      <c r="BF133" s="6" t="str">
        <f>Datos_originales!$AF179/Datos_originales!$E179</f>
        <v>#DIV/0!</v>
      </c>
      <c r="BG133" s="6" t="str">
        <f>Datos_originales!$AG179/Datos_originales!$E179</f>
        <v>#DIV/0!</v>
      </c>
    </row>
    <row r="134" ht="15.75" customHeight="1">
      <c r="A134" s="2">
        <v>30702.0</v>
      </c>
      <c r="B134" s="3" t="s">
        <v>177</v>
      </c>
      <c r="C134" s="4" t="s">
        <v>193</v>
      </c>
      <c r="D134" s="4">
        <f>IF(Datos_originales!$E134&lt;1000,"Bosque menor a 1000 ha",Datos_originales!$E134)</f>
        <v>1261.35</v>
      </c>
      <c r="E134" s="4">
        <v>1261.35</v>
      </c>
      <c r="F134" s="5">
        <f>AVERAGE(Datos_originales!$H228:$J228)</f>
        <v>0</v>
      </c>
      <c r="G134" s="5">
        <f>AVERAGE(Datos_originales!$R228:$T228)</f>
        <v>0</v>
      </c>
      <c r="H134" s="4">
        <v>0.63</v>
      </c>
      <c r="I134" s="4">
        <v>0.09</v>
      </c>
      <c r="J134" s="4">
        <v>0.09</v>
      </c>
      <c r="K134" s="4">
        <v>0.0</v>
      </c>
      <c r="L134" s="4">
        <v>0.09</v>
      </c>
      <c r="M134" s="4">
        <v>0.27</v>
      </c>
      <c r="N134" s="4">
        <v>0.0</v>
      </c>
      <c r="O134" s="4">
        <v>0.0</v>
      </c>
      <c r="P134" s="4">
        <v>2.88</v>
      </c>
      <c r="Q134" s="4">
        <v>3.15</v>
      </c>
      <c r="R134" s="4">
        <v>9.54</v>
      </c>
      <c r="S134" s="4">
        <v>4.140000000000001</v>
      </c>
      <c r="T134" s="4">
        <v>0.09</v>
      </c>
      <c r="U134" s="4">
        <v>0.72</v>
      </c>
      <c r="V134" s="4">
        <v>1.17</v>
      </c>
      <c r="W134" s="4">
        <v>30.33</v>
      </c>
      <c r="X134" s="4">
        <v>2.43</v>
      </c>
      <c r="Y134" s="4">
        <v>4.14</v>
      </c>
      <c r="Z134" s="4">
        <v>6.93</v>
      </c>
      <c r="AA134" s="4">
        <v>5.76</v>
      </c>
      <c r="AB134" s="4">
        <v>7.74</v>
      </c>
      <c r="AC134" s="4">
        <v>7.65</v>
      </c>
      <c r="AD134" s="4">
        <v>3.33</v>
      </c>
      <c r="AE134" s="4">
        <v>9.9</v>
      </c>
      <c r="AF134" s="4">
        <v>6.66</v>
      </c>
      <c r="AG134" s="4">
        <v>0.18</v>
      </c>
      <c r="AH134" s="6" t="str">
        <f>Datos_originales!$H228/Datos_originales!$E228</f>
        <v>#DIV/0!</v>
      </c>
      <c r="AI134" s="6" t="str">
        <f>Datos_originales!$I228/Datos_originales!$E228</f>
        <v>#DIV/0!</v>
      </c>
      <c r="AJ134" s="6" t="str">
        <f>Datos_originales!$J228/Datos_originales!$E228</f>
        <v>#DIV/0!</v>
      </c>
      <c r="AK134" s="6" t="str">
        <f>Datos_originales!$K228/Datos_originales!$E228</f>
        <v>#DIV/0!</v>
      </c>
      <c r="AL134" s="6" t="str">
        <f>Datos_originales!$L228/Datos_originales!$E228</f>
        <v>#DIV/0!</v>
      </c>
      <c r="AM134" s="6" t="str">
        <f>Datos_originales!$M228/Datos_originales!$E228</f>
        <v>#DIV/0!</v>
      </c>
      <c r="AN134" s="6" t="str">
        <f>Datos_originales!$N228/Datos_originales!$E228</f>
        <v>#DIV/0!</v>
      </c>
      <c r="AO134" s="6" t="str">
        <f>Datos_originales!$O228/Datos_originales!$E228</f>
        <v>#DIV/0!</v>
      </c>
      <c r="AP134" s="6" t="str">
        <f>Datos_originales!$P228/Datos_originales!$E228</f>
        <v>#DIV/0!</v>
      </c>
      <c r="AQ134" s="6" t="str">
        <f>Datos_originales!$Q228/Datos_originales!$E228</f>
        <v>#DIV/0!</v>
      </c>
      <c r="AR134" s="6" t="str">
        <f>Datos_originales!$R228/Datos_originales!$E228</f>
        <v>#DIV/0!</v>
      </c>
      <c r="AS134" s="6" t="str">
        <f>Datos_originales!$S228/Datos_originales!$E228</f>
        <v>#DIV/0!</v>
      </c>
      <c r="AT134" s="6" t="str">
        <f>Datos_originales!$T228/Datos_originales!$E228</f>
        <v>#DIV/0!</v>
      </c>
      <c r="AU134" s="6" t="str">
        <f>Datos_originales!$U228/Datos_originales!$E228</f>
        <v>#DIV/0!</v>
      </c>
      <c r="AV134" s="6" t="str">
        <f>Datos_originales!$V228/Datos_originales!$E228</f>
        <v>#DIV/0!</v>
      </c>
      <c r="AW134" s="6" t="str">
        <f>Datos_originales!$W228/Datos_originales!$E228</f>
        <v>#DIV/0!</v>
      </c>
      <c r="AX134" s="6" t="str">
        <f>Datos_originales!$X228/Datos_originales!$E228</f>
        <v>#DIV/0!</v>
      </c>
      <c r="AY134" s="6" t="str">
        <f>Datos_originales!$Y228/Datos_originales!$E228</f>
        <v>#DIV/0!</v>
      </c>
      <c r="AZ134" s="6" t="str">
        <f>Datos_originales!$Z228/Datos_originales!$E228</f>
        <v>#DIV/0!</v>
      </c>
      <c r="BA134" s="6" t="str">
        <f>Datos_originales!$AA228/Datos_originales!$E228</f>
        <v>#DIV/0!</v>
      </c>
      <c r="BB134" s="6" t="str">
        <f>Datos_originales!$AB228/Datos_originales!$E228</f>
        <v>#DIV/0!</v>
      </c>
      <c r="BC134" s="6" t="str">
        <f>Datos_originales!$AC228/Datos_originales!$E228</f>
        <v>#DIV/0!</v>
      </c>
      <c r="BD134" s="6" t="str">
        <f>Datos_originales!$AD228/Datos_originales!$E228</f>
        <v>#DIV/0!</v>
      </c>
      <c r="BE134" s="6" t="str">
        <f>Datos_originales!$AE228/Datos_originales!$E228</f>
        <v>#DIV/0!</v>
      </c>
      <c r="BF134" s="6" t="str">
        <f>Datos_originales!$AF228/Datos_originales!$E228</f>
        <v>#DIV/0!</v>
      </c>
      <c r="BG134" s="6" t="str">
        <f>Datos_originales!$AG228/Datos_originales!$E228</f>
        <v>#DIV/0!</v>
      </c>
    </row>
    <row r="135" ht="15.75" customHeight="1">
      <c r="A135" s="2">
        <v>30703.0</v>
      </c>
      <c r="B135" s="3" t="s">
        <v>177</v>
      </c>
      <c r="C135" s="4" t="s">
        <v>194</v>
      </c>
      <c r="D135" s="4" t="str">
        <f>IF(Datos_originales!$E135&lt;1000,"Bosque menor a 1000 ha",Datos_originales!$E135)</f>
        <v>Bosque menor a 1000 ha</v>
      </c>
      <c r="E135" s="4">
        <v>84.42</v>
      </c>
      <c r="F135" s="5">
        <f>AVERAGE(Datos_originales!$H211:$J211)</f>
        <v>0.09</v>
      </c>
      <c r="G135" s="5">
        <f>AVERAGE(Datos_originales!$R211:$T211)</f>
        <v>0.81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0.54</v>
      </c>
      <c r="Q135" s="4">
        <v>0.0</v>
      </c>
      <c r="R135" s="4">
        <v>0.0</v>
      </c>
      <c r="S135" s="4">
        <v>1.08</v>
      </c>
      <c r="T135" s="4">
        <v>0.09</v>
      </c>
      <c r="U135" s="4">
        <v>0.0</v>
      </c>
      <c r="V135" s="4">
        <v>0.18</v>
      </c>
      <c r="W135" s="4">
        <v>1.62</v>
      </c>
      <c r="X135" s="4">
        <v>0.0</v>
      </c>
      <c r="Y135" s="4">
        <v>0.0</v>
      </c>
      <c r="Z135" s="4">
        <v>3.69</v>
      </c>
      <c r="AA135" s="4">
        <v>0.54</v>
      </c>
      <c r="AB135" s="4">
        <v>0.45</v>
      </c>
      <c r="AC135" s="4">
        <v>0.81</v>
      </c>
      <c r="AD135" s="4">
        <v>0.09</v>
      </c>
      <c r="AE135" s="4">
        <v>0.09</v>
      </c>
      <c r="AF135" s="4">
        <v>1.17</v>
      </c>
      <c r="AG135" s="4">
        <v>0.09</v>
      </c>
      <c r="AH135" s="6">
        <f>Datos_originales!$H211/Datos_originales!$E211</f>
        <v>0</v>
      </c>
      <c r="AI135" s="6">
        <f>Datos_originales!$I211/Datos_originales!$E211</f>
        <v>0</v>
      </c>
      <c r="AJ135" s="6">
        <f>Datos_originales!$J211/Datos_originales!$E211</f>
        <v>0.001386962552</v>
      </c>
      <c r="AK135" s="6">
        <f>Datos_originales!$K211/Datos_originales!$E211</f>
        <v>0</v>
      </c>
      <c r="AL135" s="6">
        <f>Datos_originales!$L211/Datos_originales!$E211</f>
        <v>0</v>
      </c>
      <c r="AM135" s="6">
        <f>Datos_originales!$M211/Datos_originales!$E211</f>
        <v>0</v>
      </c>
      <c r="AN135" s="6">
        <f>Datos_originales!$N211/Datos_originales!$E211</f>
        <v>0.0009246417013</v>
      </c>
      <c r="AO135" s="6">
        <f>Datos_originales!$O211/Datos_originales!$E211</f>
        <v>0</v>
      </c>
      <c r="AP135" s="6">
        <f>Datos_originales!$P211/Datos_originales!$E211</f>
        <v>0</v>
      </c>
      <c r="AQ135" s="6">
        <f>Datos_originales!$Q211/Datos_originales!$E211</f>
        <v>0.0009246417013</v>
      </c>
      <c r="AR135" s="6">
        <f>Datos_originales!$R211/Datos_originales!$E211</f>
        <v>0</v>
      </c>
      <c r="AS135" s="6">
        <f>Datos_originales!$S211/Datos_originales!$E211</f>
        <v>0</v>
      </c>
      <c r="AT135" s="6">
        <f>Datos_originales!$T211/Datos_originales!$E211</f>
        <v>0.01248266297</v>
      </c>
      <c r="AU135" s="6">
        <f>Datos_originales!$U211/Datos_originales!$E211</f>
        <v>0.001386962552</v>
      </c>
      <c r="AV135" s="6">
        <f>Datos_originales!$V211/Datos_originales!$E211</f>
        <v>0</v>
      </c>
      <c r="AW135" s="6">
        <f>Datos_originales!$W211/Datos_originales!$E211</f>
        <v>0.01941747573</v>
      </c>
      <c r="AX135" s="6">
        <f>Datos_originales!$X211/Datos_originales!$E211</f>
        <v>0.0004623208507</v>
      </c>
      <c r="AY135" s="6">
        <f>Datos_originales!$Y211/Datos_originales!$E211</f>
        <v>0.0004623208507</v>
      </c>
      <c r="AZ135" s="6">
        <f>Datos_originales!$Z211/Datos_originales!$E211</f>
        <v>0</v>
      </c>
      <c r="BA135" s="6">
        <f>Datos_originales!$AA211/Datos_originales!$E211</f>
        <v>0.0009246417013</v>
      </c>
      <c r="BB135" s="6">
        <f>Datos_originales!$AB211/Datos_originales!$E211</f>
        <v>0.0004623208507</v>
      </c>
      <c r="BC135" s="6">
        <f>Datos_originales!$AC211/Datos_originales!$E211</f>
        <v>0.0004623208507</v>
      </c>
      <c r="BD135" s="6">
        <f>Datos_originales!$AD211/Datos_originales!$E211</f>
        <v>0.002311604253</v>
      </c>
      <c r="BE135" s="6">
        <f>Datos_originales!$AE211/Datos_originales!$E211</f>
        <v>0</v>
      </c>
      <c r="BF135" s="6">
        <f>Datos_originales!$AF211/Datos_originales!$E211</f>
        <v>0.0004623208507</v>
      </c>
      <c r="BG135" s="6">
        <f>Datos_originales!$AG211/Datos_originales!$E211</f>
        <v>0.1914008322</v>
      </c>
    </row>
    <row r="136" ht="15.75" customHeight="1">
      <c r="A136" s="2">
        <v>30801.0</v>
      </c>
      <c r="B136" s="3" t="s">
        <v>177</v>
      </c>
      <c r="C136" s="4" t="s">
        <v>195</v>
      </c>
      <c r="D136" s="4" t="str">
        <f>IF(Datos_originales!$E136&lt;1000,"Bosque menor a 1000 ha",Datos_originales!$E136)</f>
        <v>Bosque menor a 1000 ha</v>
      </c>
      <c r="E136" s="4">
        <v>0.0</v>
      </c>
      <c r="F136" s="5">
        <f>AVERAGE(Datos_originales!$H270:$J270)</f>
        <v>731.1</v>
      </c>
      <c r="G136" s="5">
        <f>AVERAGE(Datos_originales!$R270:$T270)</f>
        <v>8990.76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  <c r="AG136" s="4">
        <v>0.0</v>
      </c>
      <c r="AH136" s="6">
        <v>0.0</v>
      </c>
      <c r="AI136" s="6">
        <v>0.0</v>
      </c>
      <c r="AJ136" s="6">
        <v>0.0</v>
      </c>
      <c r="AK136" s="6">
        <v>0.0</v>
      </c>
      <c r="AL136" s="6">
        <v>0.0</v>
      </c>
      <c r="AM136" s="6">
        <v>0.0</v>
      </c>
      <c r="AN136" s="6">
        <v>0.0</v>
      </c>
      <c r="AO136" s="6">
        <v>0.0</v>
      </c>
      <c r="AP136" s="6">
        <v>0.0</v>
      </c>
      <c r="AQ136" s="6">
        <v>0.0</v>
      </c>
      <c r="AR136" s="6">
        <v>0.0</v>
      </c>
      <c r="AS136" s="6">
        <v>0.0</v>
      </c>
      <c r="AT136" s="6">
        <v>0.0</v>
      </c>
      <c r="AU136" s="6">
        <v>0.0</v>
      </c>
      <c r="AV136" s="6">
        <v>0.0</v>
      </c>
      <c r="AW136" s="6">
        <v>0.0</v>
      </c>
      <c r="AX136" s="6">
        <v>0.0</v>
      </c>
      <c r="AY136" s="6">
        <v>0.0</v>
      </c>
      <c r="AZ136" s="6">
        <v>0.0</v>
      </c>
      <c r="BA136" s="6">
        <v>0.0</v>
      </c>
      <c r="BB136" s="6">
        <v>0.0</v>
      </c>
      <c r="BC136" s="6">
        <v>0.0</v>
      </c>
      <c r="BD136" s="6">
        <v>0.0</v>
      </c>
      <c r="BE136" s="6">
        <v>0.0</v>
      </c>
      <c r="BF136" s="6">
        <v>0.0</v>
      </c>
      <c r="BG136" s="6">
        <v>0.0</v>
      </c>
    </row>
    <row r="137" ht="15.75" customHeight="1">
      <c r="A137" s="2">
        <v>30802.0</v>
      </c>
      <c r="B137" s="3" t="s">
        <v>177</v>
      </c>
      <c r="C137" s="4" t="s">
        <v>196</v>
      </c>
      <c r="D137" s="4" t="str">
        <f>IF(Datos_originales!$E137&lt;1000,"Bosque menor a 1000 ha",Datos_originales!$E137)</f>
        <v>Bosque menor a 1000 ha</v>
      </c>
      <c r="E137" s="4">
        <v>8.73</v>
      </c>
      <c r="F137" s="5">
        <f>AVERAGE(Datos_originales!$H329:$J329)</f>
        <v>97.83</v>
      </c>
      <c r="G137" s="5">
        <f>AVERAGE(Datos_originales!$R329:$T329)</f>
        <v>221.94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0.36</v>
      </c>
      <c r="X137" s="4">
        <v>0.0</v>
      </c>
      <c r="Y137" s="4">
        <v>0.0</v>
      </c>
      <c r="Z137" s="4">
        <v>0.09</v>
      </c>
      <c r="AA137" s="4">
        <v>0.0</v>
      </c>
      <c r="AB137" s="4">
        <v>0.27</v>
      </c>
      <c r="AC137" s="4">
        <v>0.0</v>
      </c>
      <c r="AD137" s="4">
        <v>0.0</v>
      </c>
      <c r="AE137" s="4">
        <v>0.0</v>
      </c>
      <c r="AF137" s="4">
        <v>0.0</v>
      </c>
      <c r="AG137" s="4">
        <v>0.0</v>
      </c>
      <c r="AH137" s="6">
        <f>Datos_originales!$H329/Datos_originales!$E329</f>
        <v>0.0002270369162</v>
      </c>
      <c r="AI137" s="6">
        <f>Datos_originales!$I329/Datos_originales!$E329</f>
        <v>0.0001869417231</v>
      </c>
      <c r="AJ137" s="6">
        <f>Datos_originales!$J329/Datos_originales!$E329</f>
        <v>0.0001377109164</v>
      </c>
      <c r="AK137" s="6">
        <f>Datos_originales!$K329/Datos_originales!$E329</f>
        <v>0.0001211314694</v>
      </c>
      <c r="AL137" s="6">
        <f>Datos_originales!$L329/Datos_originales!$E329</f>
        <v>0.0003622101621</v>
      </c>
      <c r="AM137" s="6">
        <f>Datos_originales!$M329/Datos_originales!$E329</f>
        <v>0.0001955698026</v>
      </c>
      <c r="AN137" s="6">
        <f>Datos_originales!$N329/Datos_originales!$E329</f>
        <v>0.0001761143292</v>
      </c>
      <c r="AO137" s="6">
        <f>Datos_originales!$O329/Datos_originales!$E329</f>
        <v>0.0001532752951</v>
      </c>
      <c r="AP137" s="6">
        <f>Datos_originales!$P329/Datos_originales!$E329</f>
        <v>0.0007663764756</v>
      </c>
      <c r="AQ137" s="6">
        <f>Datos_originales!$Q329/Datos_originales!$E329</f>
        <v>0.0008409839868</v>
      </c>
      <c r="AR137" s="6">
        <f>Datos_originales!$R329/Datos_originales!$E329</f>
        <v>0.0002947081281</v>
      </c>
      <c r="AS137" s="6">
        <f>Datos_originales!$S329/Datos_originales!$E329</f>
        <v>0.00007782189377</v>
      </c>
      <c r="AT137" s="6">
        <f>Datos_originales!$T329/Datos_originales!$E329</f>
        <v>0.0008790490435</v>
      </c>
      <c r="AU137" s="6">
        <f>Datos_originales!$U329/Datos_originales!$E329</f>
        <v>0.01142763757</v>
      </c>
      <c r="AV137" s="6">
        <f>Datos_originales!$V329/Datos_originales!$E329</f>
        <v>0.003439896883</v>
      </c>
      <c r="AW137" s="6">
        <f>Datos_originales!$W329/Datos_originales!$E329</f>
        <v>0.004007319995</v>
      </c>
      <c r="AX137" s="6">
        <f>Datos_originales!$X329/Datos_originales!$E329</f>
        <v>0.004280711691</v>
      </c>
      <c r="AY137" s="6">
        <f>Datos_originales!$Y329/Datos_originales!$E329</f>
        <v>0.003985157673</v>
      </c>
      <c r="AZ137" s="6">
        <f>Datos_originales!$Z329/Datos_originales!$E329</f>
        <v>0.003486420841</v>
      </c>
      <c r="BA137" s="6">
        <f>Datos_originales!$AA329/Datos_originales!$E329</f>
        <v>0.002554926608</v>
      </c>
      <c r="BB137" s="6">
        <f>Datos_originales!$AB329/Datos_originales!$E329</f>
        <v>0.00410222887</v>
      </c>
      <c r="BC137" s="6">
        <f>Datos_originales!$AC329/Datos_originales!$E329</f>
        <v>0.005820908476</v>
      </c>
      <c r="BD137" s="6">
        <f>Datos_originales!$AD329/Datos_originales!$E329</f>
        <v>0.002107450719</v>
      </c>
      <c r="BE137" s="6">
        <f>Datos_originales!$AE329/Datos_originales!$E329</f>
        <v>0.001466435163</v>
      </c>
      <c r="BF137" s="6">
        <f>Datos_originales!$AF329/Datos_originales!$E329</f>
        <v>0.0004753902641</v>
      </c>
      <c r="BG137" s="6">
        <f>Datos_originales!$AG329/Datos_originales!$E329</f>
        <v>0.006485270599</v>
      </c>
    </row>
    <row r="138" ht="15.75" customHeight="1">
      <c r="A138" s="2">
        <v>30803.0</v>
      </c>
      <c r="B138" s="3" t="s">
        <v>177</v>
      </c>
      <c r="C138" s="4" t="s">
        <v>197</v>
      </c>
      <c r="D138" s="4" t="str">
        <f>IF(Datos_originales!$E138&lt;1000,"Bosque menor a 1000 ha",Datos_originales!$E138)</f>
        <v>Bosque menor a 1000 ha</v>
      </c>
      <c r="E138" s="4">
        <v>285.12</v>
      </c>
      <c r="F138" s="5">
        <f>AVERAGE(Datos_originales!$H339:$J339)</f>
        <v>336.57</v>
      </c>
      <c r="G138" s="5">
        <f>AVERAGE(Datos_originales!$R339:$T339)</f>
        <v>359.34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0.36</v>
      </c>
      <c r="Q138" s="4">
        <v>0.45</v>
      </c>
      <c r="R138" s="4">
        <v>0.45</v>
      </c>
      <c r="S138" s="4">
        <v>0.27</v>
      </c>
      <c r="T138" s="4">
        <v>0.0</v>
      </c>
      <c r="U138" s="4">
        <v>0.81</v>
      </c>
      <c r="V138" s="4">
        <v>1.35</v>
      </c>
      <c r="W138" s="4">
        <v>5.49</v>
      </c>
      <c r="X138" s="4">
        <v>7.38</v>
      </c>
      <c r="Y138" s="4">
        <v>5.58</v>
      </c>
      <c r="Z138" s="4">
        <v>17.37</v>
      </c>
      <c r="AA138" s="4">
        <v>16.65</v>
      </c>
      <c r="AB138" s="4">
        <v>9.989999999999998</v>
      </c>
      <c r="AC138" s="4">
        <v>2.79</v>
      </c>
      <c r="AD138" s="4">
        <v>0.45</v>
      </c>
      <c r="AE138" s="4">
        <v>0.72</v>
      </c>
      <c r="AF138" s="4">
        <v>1.17</v>
      </c>
      <c r="AG138" s="4">
        <v>0.0</v>
      </c>
      <c r="AH138" s="6">
        <f>Datos_originales!$H339/Datos_originales!$E339</f>
        <v>0.0004312461621</v>
      </c>
      <c r="AI138" s="6">
        <f>Datos_originales!$I339/Datos_originales!$E339</f>
        <v>0.0005079093583</v>
      </c>
      <c r="AJ138" s="6">
        <f>Datos_originales!$J339/Datos_originales!$E339</f>
        <v>0.0004685112509</v>
      </c>
      <c r="AK138" s="6">
        <f>Datos_originales!$K339/Datos_originales!$E339</f>
        <v>0.0003498150422</v>
      </c>
      <c r="AL138" s="6">
        <f>Datos_originales!$L339/Datos_originales!$E339</f>
        <v>0.001025730979</v>
      </c>
      <c r="AM138" s="6">
        <f>Datos_originales!$M339/Datos_originales!$E339</f>
        <v>0.001146434735</v>
      </c>
      <c r="AN138" s="6">
        <f>Datos_originales!$N339/Datos_originales!$E339</f>
        <v>0.000492727285</v>
      </c>
      <c r="AO138" s="6">
        <f>Datos_originales!$O339/Datos_originales!$E339</f>
        <v>0.0007298687591</v>
      </c>
      <c r="AP138" s="6">
        <f>Datos_originales!$P339/Datos_originales!$E339</f>
        <v>0.0007313744193</v>
      </c>
      <c r="AQ138" s="6">
        <f>Datos_originales!$Q339/Datos_originales!$E339</f>
        <v>0.001432133749</v>
      </c>
      <c r="AR138" s="6">
        <f>Datos_originales!$R339/Datos_originales!$E339</f>
        <v>0.000376916925</v>
      </c>
      <c r="AS138" s="6">
        <f>Datos_originales!$S339/Datos_originales!$E339</f>
        <v>0.0004401546514</v>
      </c>
      <c r="AT138" s="6">
        <f>Datos_originales!$T339/Datos_originales!$E339</f>
        <v>0.0006858281997</v>
      </c>
      <c r="AU138" s="6">
        <f>Datos_originales!$U339/Datos_originales!$E339</f>
        <v>0.001630880889</v>
      </c>
      <c r="AV138" s="6">
        <f>Datos_originales!$V339/Datos_originales!$E339</f>
        <v>0.001337904518</v>
      </c>
      <c r="AW138" s="6">
        <f>Datos_originales!$W339/Datos_originales!$E339</f>
        <v>0.001332258292</v>
      </c>
      <c r="AX138" s="6">
        <f>Datos_originales!$X339/Datos_originales!$E339</f>
        <v>0.0006347612261</v>
      </c>
      <c r="AY138" s="6">
        <f>Datos_originales!$Y339/Datos_originales!$E339</f>
        <v>0.001351831874</v>
      </c>
      <c r="AZ138" s="6">
        <f>Datos_originales!$Z339/Datos_originales!$E339</f>
        <v>0.001404153564</v>
      </c>
      <c r="BA138" s="6">
        <f>Datos_originales!$AA339/Datos_originales!$E339</f>
        <v>0.0006545857515</v>
      </c>
      <c r="BB138" s="6">
        <f>Datos_originales!$AB339/Datos_originales!$E339</f>
        <v>0.0008852026982</v>
      </c>
      <c r="BC138" s="6">
        <f>Datos_originales!$AC339/Datos_originales!$E339</f>
        <v>0.001026860224</v>
      </c>
      <c r="BD138" s="6">
        <f>Datos_originales!$AD339/Datos_originales!$E339</f>
        <v>0.001680191259</v>
      </c>
      <c r="BE138" s="6">
        <f>Datos_originales!$AE339/Datos_originales!$E339</f>
        <v>0.000518198036</v>
      </c>
      <c r="BF138" s="6">
        <f>Datos_originales!$AF339/Datos_originales!$E339</f>
        <v>0.000771399885</v>
      </c>
      <c r="BG138" s="6">
        <f>Datos_originales!$AG339/Datos_originales!$E339</f>
        <v>0.001067136633</v>
      </c>
    </row>
    <row r="139" ht="15.75" customHeight="1">
      <c r="A139" s="2">
        <v>30901.0</v>
      </c>
      <c r="B139" s="3" t="s">
        <v>177</v>
      </c>
      <c r="C139" s="4" t="s">
        <v>198</v>
      </c>
      <c r="D139" s="4">
        <f>IF(Datos_originales!$E139&lt;1000,"Bosque menor a 1000 ha",Datos_originales!$E139)</f>
        <v>1477.98</v>
      </c>
      <c r="E139" s="4">
        <v>1477.98</v>
      </c>
      <c r="F139" s="5">
        <f>AVERAGE(Datos_originales!$H205:$J205)</f>
        <v>0</v>
      </c>
      <c r="G139" s="5">
        <f>AVERAGE(Datos_originales!$R205:$T205)</f>
        <v>0</v>
      </c>
      <c r="H139" s="4">
        <v>5.850000000000001</v>
      </c>
      <c r="I139" s="4">
        <v>8.73</v>
      </c>
      <c r="J139" s="4">
        <v>7.38</v>
      </c>
      <c r="K139" s="4">
        <v>18.72</v>
      </c>
      <c r="L139" s="4">
        <v>14.67</v>
      </c>
      <c r="M139" s="4">
        <v>35.73</v>
      </c>
      <c r="N139" s="4">
        <v>30.78</v>
      </c>
      <c r="O139" s="4">
        <v>5.49</v>
      </c>
      <c r="P139" s="4">
        <v>12.51</v>
      </c>
      <c r="Q139" s="4">
        <v>24.84</v>
      </c>
      <c r="R139" s="4">
        <v>153.18</v>
      </c>
      <c r="S139" s="4">
        <v>138.06</v>
      </c>
      <c r="T139" s="4">
        <v>0.81</v>
      </c>
      <c r="U139" s="4">
        <v>7.47</v>
      </c>
      <c r="V139" s="4">
        <v>9.72</v>
      </c>
      <c r="W139" s="4">
        <v>22.05</v>
      </c>
      <c r="X139" s="4">
        <v>20.43</v>
      </c>
      <c r="Y139" s="4">
        <v>16.11</v>
      </c>
      <c r="Z139" s="4">
        <v>46.98</v>
      </c>
      <c r="AA139" s="4">
        <v>35.28</v>
      </c>
      <c r="AB139" s="4">
        <v>17.55</v>
      </c>
      <c r="AC139" s="4">
        <v>21.06</v>
      </c>
      <c r="AD139" s="4">
        <v>24.93</v>
      </c>
      <c r="AE139" s="4">
        <v>154.26</v>
      </c>
      <c r="AF139" s="4">
        <v>149.49</v>
      </c>
      <c r="AG139" s="4">
        <v>1.8</v>
      </c>
      <c r="AH139" s="6">
        <f>Datos_originales!$H205/Datos_originales!$E205</f>
        <v>0</v>
      </c>
      <c r="AI139" s="6">
        <f>Datos_originales!$I205/Datos_originales!$E205</f>
        <v>0</v>
      </c>
      <c r="AJ139" s="6">
        <f>Datos_originales!$J205/Datos_originales!$E205</f>
        <v>0</v>
      </c>
      <c r="AK139" s="6">
        <f>Datos_originales!$K205/Datos_originales!$E205</f>
        <v>0</v>
      </c>
      <c r="AL139" s="6">
        <f>Datos_originales!$L205/Datos_originales!$E205</f>
        <v>0</v>
      </c>
      <c r="AM139" s="6">
        <f>Datos_originales!$M205/Datos_originales!$E205</f>
        <v>0</v>
      </c>
      <c r="AN139" s="6">
        <f>Datos_originales!$N205/Datos_originales!$E205</f>
        <v>0</v>
      </c>
      <c r="AO139" s="6">
        <f>Datos_originales!$O205/Datos_originales!$E205</f>
        <v>0</v>
      </c>
      <c r="AP139" s="6">
        <f>Datos_originales!$P205/Datos_originales!$E205</f>
        <v>0</v>
      </c>
      <c r="AQ139" s="6">
        <f>Datos_originales!$Q205/Datos_originales!$E205</f>
        <v>0</v>
      </c>
      <c r="AR139" s="6">
        <f>Datos_originales!$R205/Datos_originales!$E205</f>
        <v>0</v>
      </c>
      <c r="AS139" s="6">
        <f>Datos_originales!$S205/Datos_originales!$E205</f>
        <v>0</v>
      </c>
      <c r="AT139" s="6">
        <f>Datos_originales!$T205/Datos_originales!$E205</f>
        <v>0</v>
      </c>
      <c r="AU139" s="6">
        <f>Datos_originales!$U205/Datos_originales!$E205</f>
        <v>0.125</v>
      </c>
      <c r="AV139" s="6">
        <f>Datos_originales!$V205/Datos_originales!$E205</f>
        <v>0</v>
      </c>
      <c r="AW139" s="6">
        <f>Datos_originales!$W205/Datos_originales!$E205</f>
        <v>0</v>
      </c>
      <c r="AX139" s="6">
        <f>Datos_originales!$X205/Datos_originales!$E205</f>
        <v>0</v>
      </c>
      <c r="AY139" s="6">
        <f>Datos_originales!$Y205/Datos_originales!$E205</f>
        <v>0</v>
      </c>
      <c r="AZ139" s="6">
        <f>Datos_originales!$Z205/Datos_originales!$E205</f>
        <v>0</v>
      </c>
      <c r="BA139" s="6">
        <f>Datos_originales!$AA205/Datos_originales!$E205</f>
        <v>0</v>
      </c>
      <c r="BB139" s="6">
        <f>Datos_originales!$AB205/Datos_originales!$E205</f>
        <v>0</v>
      </c>
      <c r="BC139" s="6">
        <f>Datos_originales!$AC205/Datos_originales!$E205</f>
        <v>0.375</v>
      </c>
      <c r="BD139" s="6">
        <f>Datos_originales!$AD205/Datos_originales!$E205</f>
        <v>0</v>
      </c>
      <c r="BE139" s="6">
        <f>Datos_originales!$AE205/Datos_originales!$E205</f>
        <v>0</v>
      </c>
      <c r="BF139" s="6">
        <f>Datos_originales!$AF205/Datos_originales!$E205</f>
        <v>0</v>
      </c>
      <c r="BG139" s="6">
        <f>Datos_originales!$AG205/Datos_originales!$E205</f>
        <v>0</v>
      </c>
    </row>
    <row r="140" ht="15.75" customHeight="1">
      <c r="A140" s="2">
        <v>30902.0</v>
      </c>
      <c r="B140" s="3" t="s">
        <v>177</v>
      </c>
      <c r="C140" s="4" t="s">
        <v>199</v>
      </c>
      <c r="D140" s="4">
        <f>IF(Datos_originales!$E140&lt;1000,"Bosque menor a 1000 ha",Datos_originales!$E140)</f>
        <v>1239.75</v>
      </c>
      <c r="E140" s="4">
        <v>1239.75</v>
      </c>
      <c r="F140" s="5">
        <f>AVERAGE(Datos_originales!$H176:$J176)</f>
        <v>0</v>
      </c>
      <c r="G140" s="5">
        <f>AVERAGE(Datos_originales!$R176:$T176)</f>
        <v>0</v>
      </c>
      <c r="H140" s="4">
        <v>1.26</v>
      </c>
      <c r="I140" s="4">
        <v>1.17</v>
      </c>
      <c r="J140" s="4">
        <v>1.62</v>
      </c>
      <c r="K140" s="4">
        <v>3.33</v>
      </c>
      <c r="L140" s="4">
        <v>2.43</v>
      </c>
      <c r="M140" s="4">
        <v>2.07</v>
      </c>
      <c r="N140" s="4">
        <v>7.92</v>
      </c>
      <c r="O140" s="4">
        <v>7.74</v>
      </c>
      <c r="P140" s="4">
        <v>7.47</v>
      </c>
      <c r="Q140" s="4">
        <v>9.36</v>
      </c>
      <c r="R140" s="4">
        <v>71.28</v>
      </c>
      <c r="S140" s="4">
        <v>69.30000000000001</v>
      </c>
      <c r="T140" s="4">
        <v>0.81</v>
      </c>
      <c r="U140" s="4">
        <v>1.44</v>
      </c>
      <c r="V140" s="4">
        <v>3.24</v>
      </c>
      <c r="W140" s="4">
        <v>17.28</v>
      </c>
      <c r="X140" s="4">
        <v>5.13</v>
      </c>
      <c r="Y140" s="4">
        <v>9.18</v>
      </c>
      <c r="Z140" s="4">
        <v>14.31</v>
      </c>
      <c r="AA140" s="4">
        <v>17.01</v>
      </c>
      <c r="AB140" s="4">
        <v>15.93</v>
      </c>
      <c r="AC140" s="4">
        <v>17.82</v>
      </c>
      <c r="AD140" s="4">
        <v>9.54</v>
      </c>
      <c r="AE140" s="4">
        <v>72.44999999999999</v>
      </c>
      <c r="AF140" s="4">
        <v>75.42</v>
      </c>
      <c r="AG140" s="4">
        <v>3.42</v>
      </c>
      <c r="AH140" s="6" t="str">
        <f>Datos_originales!$H176/Datos_originales!$E176</f>
        <v>#DIV/0!</v>
      </c>
      <c r="AI140" s="6" t="str">
        <f>Datos_originales!$I176/Datos_originales!$E176</f>
        <v>#DIV/0!</v>
      </c>
      <c r="AJ140" s="6" t="str">
        <f>Datos_originales!$J176/Datos_originales!$E176</f>
        <v>#DIV/0!</v>
      </c>
      <c r="AK140" s="6" t="str">
        <f>Datos_originales!$K176/Datos_originales!$E176</f>
        <v>#DIV/0!</v>
      </c>
      <c r="AL140" s="6" t="str">
        <f>Datos_originales!$L176/Datos_originales!$E176</f>
        <v>#DIV/0!</v>
      </c>
      <c r="AM140" s="6" t="str">
        <f>Datos_originales!$M176/Datos_originales!$E176</f>
        <v>#DIV/0!</v>
      </c>
      <c r="AN140" s="6" t="str">
        <f>Datos_originales!$N176/Datos_originales!$E176</f>
        <v>#DIV/0!</v>
      </c>
      <c r="AO140" s="6" t="str">
        <f>Datos_originales!$O176/Datos_originales!$E176</f>
        <v>#DIV/0!</v>
      </c>
      <c r="AP140" s="6" t="str">
        <f>Datos_originales!$P176/Datos_originales!$E176</f>
        <v>#DIV/0!</v>
      </c>
      <c r="AQ140" s="6" t="str">
        <f>Datos_originales!$Q176/Datos_originales!$E176</f>
        <v>#DIV/0!</v>
      </c>
      <c r="AR140" s="6" t="str">
        <f>Datos_originales!$R176/Datos_originales!$E176</f>
        <v>#DIV/0!</v>
      </c>
      <c r="AS140" s="6" t="str">
        <f>Datos_originales!$S176/Datos_originales!$E176</f>
        <v>#DIV/0!</v>
      </c>
      <c r="AT140" s="6" t="str">
        <f>Datos_originales!$T176/Datos_originales!$E176</f>
        <v>#DIV/0!</v>
      </c>
      <c r="AU140" s="6" t="str">
        <f>Datos_originales!$U176/Datos_originales!$E176</f>
        <v>#DIV/0!</v>
      </c>
      <c r="AV140" s="6" t="str">
        <f>Datos_originales!$V176/Datos_originales!$E176</f>
        <v>#DIV/0!</v>
      </c>
      <c r="AW140" s="6" t="str">
        <f>Datos_originales!$W176/Datos_originales!$E176</f>
        <v>#DIV/0!</v>
      </c>
      <c r="AX140" s="6" t="str">
        <f>Datos_originales!$X176/Datos_originales!$E176</f>
        <v>#DIV/0!</v>
      </c>
      <c r="AY140" s="6" t="str">
        <f>Datos_originales!$Y176/Datos_originales!$E176</f>
        <v>#DIV/0!</v>
      </c>
      <c r="AZ140" s="6" t="str">
        <f>Datos_originales!$Z176/Datos_originales!$E176</f>
        <v>#DIV/0!</v>
      </c>
      <c r="BA140" s="6" t="str">
        <f>Datos_originales!$AA176/Datos_originales!$E176</f>
        <v>#DIV/0!</v>
      </c>
      <c r="BB140" s="6" t="str">
        <f>Datos_originales!$AB176/Datos_originales!$E176</f>
        <v>#DIV/0!</v>
      </c>
      <c r="BC140" s="6" t="str">
        <f>Datos_originales!$AC176/Datos_originales!$E176</f>
        <v>#DIV/0!</v>
      </c>
      <c r="BD140" s="6" t="str">
        <f>Datos_originales!$AD176/Datos_originales!$E176</f>
        <v>#DIV/0!</v>
      </c>
      <c r="BE140" s="6" t="str">
        <f>Datos_originales!$AE176/Datos_originales!$E176</f>
        <v>#DIV/0!</v>
      </c>
      <c r="BF140" s="6" t="str">
        <f>Datos_originales!$AF176/Datos_originales!$E176</f>
        <v>#DIV/0!</v>
      </c>
      <c r="BG140" s="6" t="str">
        <f>Datos_originales!$AG176/Datos_originales!$E176</f>
        <v>#DIV/0!</v>
      </c>
    </row>
    <row r="141" ht="15.75" customHeight="1">
      <c r="A141" s="2">
        <v>30903.0</v>
      </c>
      <c r="B141" s="3" t="s">
        <v>177</v>
      </c>
      <c r="C141" s="4" t="s">
        <v>200</v>
      </c>
      <c r="D141" s="4">
        <f>IF(Datos_originales!$E141&lt;1000,"Bosque menor a 1000 ha",Datos_originales!$E141)</f>
        <v>1077.12</v>
      </c>
      <c r="E141" s="4">
        <v>1077.12</v>
      </c>
      <c r="F141" s="5">
        <f>AVERAGE(Datos_originales!$H169:$J169)</f>
        <v>0</v>
      </c>
      <c r="G141" s="5">
        <f>AVERAGE(Datos_originales!$R169:$T169)</f>
        <v>0</v>
      </c>
      <c r="H141" s="4">
        <v>4.140000000000001</v>
      </c>
      <c r="I141" s="4">
        <v>8.64</v>
      </c>
      <c r="J141" s="4">
        <v>12.69</v>
      </c>
      <c r="K141" s="4">
        <v>18.27</v>
      </c>
      <c r="L141" s="4">
        <v>15.66</v>
      </c>
      <c r="M141" s="4">
        <v>24.12</v>
      </c>
      <c r="N141" s="4">
        <v>35.64</v>
      </c>
      <c r="O141" s="4">
        <v>7.739999999999999</v>
      </c>
      <c r="P141" s="4">
        <v>11.97</v>
      </c>
      <c r="Q141" s="4">
        <v>22.14</v>
      </c>
      <c r="R141" s="4">
        <v>179.01</v>
      </c>
      <c r="S141" s="4">
        <v>218.52</v>
      </c>
      <c r="T141" s="4">
        <v>3.69</v>
      </c>
      <c r="U141" s="4">
        <v>4.41</v>
      </c>
      <c r="V141" s="4">
        <v>9.45</v>
      </c>
      <c r="W141" s="4">
        <v>21.24</v>
      </c>
      <c r="X141" s="4">
        <v>19.98</v>
      </c>
      <c r="Y141" s="4">
        <v>18.54</v>
      </c>
      <c r="Z141" s="4">
        <v>27.27</v>
      </c>
      <c r="AA141" s="4">
        <v>39.78</v>
      </c>
      <c r="AB141" s="4">
        <v>11.34</v>
      </c>
      <c r="AC141" s="4">
        <v>15.21</v>
      </c>
      <c r="AD141" s="4">
        <v>22.32</v>
      </c>
      <c r="AE141" s="4">
        <v>179.82</v>
      </c>
      <c r="AF141" s="4">
        <v>225.18</v>
      </c>
      <c r="AG141" s="4">
        <v>3.78</v>
      </c>
      <c r="AH141" s="6" t="str">
        <f>Datos_originales!$H169/Datos_originales!$E169</f>
        <v>#DIV/0!</v>
      </c>
      <c r="AI141" s="6" t="str">
        <f>Datos_originales!$I169/Datos_originales!$E169</f>
        <v>#DIV/0!</v>
      </c>
      <c r="AJ141" s="6" t="str">
        <f>Datos_originales!$J169/Datos_originales!$E169</f>
        <v>#DIV/0!</v>
      </c>
      <c r="AK141" s="6" t="str">
        <f>Datos_originales!$K169/Datos_originales!$E169</f>
        <v>#DIV/0!</v>
      </c>
      <c r="AL141" s="6" t="str">
        <f>Datos_originales!$L169/Datos_originales!$E169</f>
        <v>#DIV/0!</v>
      </c>
      <c r="AM141" s="6" t="str">
        <f>Datos_originales!$M169/Datos_originales!$E169</f>
        <v>#DIV/0!</v>
      </c>
      <c r="AN141" s="6" t="str">
        <f>Datos_originales!$N169/Datos_originales!$E169</f>
        <v>#DIV/0!</v>
      </c>
      <c r="AO141" s="6" t="str">
        <f>Datos_originales!$O169/Datos_originales!$E169</f>
        <v>#DIV/0!</v>
      </c>
      <c r="AP141" s="6" t="str">
        <f>Datos_originales!$P169/Datos_originales!$E169</f>
        <v>#DIV/0!</v>
      </c>
      <c r="AQ141" s="6" t="str">
        <f>Datos_originales!$Q169/Datos_originales!$E169</f>
        <v>#DIV/0!</v>
      </c>
      <c r="AR141" s="6" t="str">
        <f>Datos_originales!$R169/Datos_originales!$E169</f>
        <v>#DIV/0!</v>
      </c>
      <c r="AS141" s="6" t="str">
        <f>Datos_originales!$S169/Datos_originales!$E169</f>
        <v>#DIV/0!</v>
      </c>
      <c r="AT141" s="6" t="str">
        <f>Datos_originales!$T169/Datos_originales!$E169</f>
        <v>#DIV/0!</v>
      </c>
      <c r="AU141" s="6" t="str">
        <f>Datos_originales!$U169/Datos_originales!$E169</f>
        <v>#DIV/0!</v>
      </c>
      <c r="AV141" s="6" t="str">
        <f>Datos_originales!$V169/Datos_originales!$E169</f>
        <v>#DIV/0!</v>
      </c>
      <c r="AW141" s="6" t="str">
        <f>Datos_originales!$W169/Datos_originales!$E169</f>
        <v>#DIV/0!</v>
      </c>
      <c r="AX141" s="6" t="str">
        <f>Datos_originales!$X169/Datos_originales!$E169</f>
        <v>#DIV/0!</v>
      </c>
      <c r="AY141" s="6" t="str">
        <f>Datos_originales!$Y169/Datos_originales!$E169</f>
        <v>#DIV/0!</v>
      </c>
      <c r="AZ141" s="6" t="str">
        <f>Datos_originales!$Z169/Datos_originales!$E169</f>
        <v>#DIV/0!</v>
      </c>
      <c r="BA141" s="6" t="str">
        <f>Datos_originales!$AA169/Datos_originales!$E169</f>
        <v>#DIV/0!</v>
      </c>
      <c r="BB141" s="6" t="str">
        <f>Datos_originales!$AB169/Datos_originales!$E169</f>
        <v>#DIV/0!</v>
      </c>
      <c r="BC141" s="6" t="str">
        <f>Datos_originales!$AC169/Datos_originales!$E169</f>
        <v>#DIV/0!</v>
      </c>
      <c r="BD141" s="6" t="str">
        <f>Datos_originales!$AD169/Datos_originales!$E169</f>
        <v>#DIV/0!</v>
      </c>
      <c r="BE141" s="6" t="str">
        <f>Datos_originales!$AE169/Datos_originales!$E169</f>
        <v>#DIV/0!</v>
      </c>
      <c r="BF141" s="6" t="str">
        <f>Datos_originales!$AF169/Datos_originales!$E169</f>
        <v>#DIV/0!</v>
      </c>
      <c r="BG141" s="6" t="str">
        <f>Datos_originales!$AG169/Datos_originales!$E169</f>
        <v>#DIV/0!</v>
      </c>
    </row>
    <row r="142" ht="15.75" customHeight="1">
      <c r="A142" s="2">
        <v>30904.0</v>
      </c>
      <c r="B142" s="3" t="s">
        <v>177</v>
      </c>
      <c r="C142" s="4" t="s">
        <v>201</v>
      </c>
      <c r="D142" s="4">
        <f>IF(Datos_originales!$E142&lt;1000,"Bosque menor a 1000 ha",Datos_originales!$E142)</f>
        <v>1631.61</v>
      </c>
      <c r="E142" s="4">
        <v>1631.61</v>
      </c>
      <c r="F142" s="5">
        <f>AVERAGE(Datos_originales!$H187:$J187)</f>
        <v>0</v>
      </c>
      <c r="G142" s="5">
        <f>AVERAGE(Datos_originales!$R187:$T187)</f>
        <v>0</v>
      </c>
      <c r="H142" s="4">
        <v>2.16</v>
      </c>
      <c r="I142" s="4">
        <v>6.029999999999999</v>
      </c>
      <c r="J142" s="4">
        <v>5.4</v>
      </c>
      <c r="K142" s="4">
        <v>13.77</v>
      </c>
      <c r="L142" s="4">
        <v>12.96</v>
      </c>
      <c r="M142" s="4">
        <v>30.15</v>
      </c>
      <c r="N142" s="4">
        <v>11.52</v>
      </c>
      <c r="O142" s="4">
        <v>7.380000000000001</v>
      </c>
      <c r="P142" s="4">
        <v>10.44</v>
      </c>
      <c r="Q142" s="4">
        <v>35.19</v>
      </c>
      <c r="R142" s="4">
        <v>138.96</v>
      </c>
      <c r="S142" s="4">
        <v>118.17</v>
      </c>
      <c r="T142" s="4">
        <v>3.42</v>
      </c>
      <c r="U142" s="4">
        <v>2.97</v>
      </c>
      <c r="V142" s="4">
        <v>12.06</v>
      </c>
      <c r="W142" s="4">
        <v>24.12</v>
      </c>
      <c r="X142" s="4">
        <v>16.74</v>
      </c>
      <c r="Y142" s="4">
        <v>18.36</v>
      </c>
      <c r="Z142" s="4">
        <v>44.82</v>
      </c>
      <c r="AA142" s="4">
        <v>15.3</v>
      </c>
      <c r="AB142" s="4">
        <v>18.9</v>
      </c>
      <c r="AC142" s="4">
        <v>21.33</v>
      </c>
      <c r="AD142" s="4">
        <v>35.64</v>
      </c>
      <c r="AE142" s="4">
        <v>140.94</v>
      </c>
      <c r="AF142" s="4">
        <v>133.92</v>
      </c>
      <c r="AG142" s="4">
        <v>3.87</v>
      </c>
      <c r="AH142" s="6" t="str">
        <f>Datos_originales!$H187/Datos_originales!$E187</f>
        <v>#DIV/0!</v>
      </c>
      <c r="AI142" s="6" t="str">
        <f>Datos_originales!$I187/Datos_originales!$E187</f>
        <v>#DIV/0!</v>
      </c>
      <c r="AJ142" s="6" t="str">
        <f>Datos_originales!$J187/Datos_originales!$E187</f>
        <v>#DIV/0!</v>
      </c>
      <c r="AK142" s="6" t="str">
        <f>Datos_originales!$K187/Datos_originales!$E187</f>
        <v>#DIV/0!</v>
      </c>
      <c r="AL142" s="6" t="str">
        <f>Datos_originales!$L187/Datos_originales!$E187</f>
        <v>#DIV/0!</v>
      </c>
      <c r="AM142" s="6" t="str">
        <f>Datos_originales!$M187/Datos_originales!$E187</f>
        <v>#DIV/0!</v>
      </c>
      <c r="AN142" s="6" t="str">
        <f>Datos_originales!$N187/Datos_originales!$E187</f>
        <v>#DIV/0!</v>
      </c>
      <c r="AO142" s="6" t="str">
        <f>Datos_originales!$O187/Datos_originales!$E187</f>
        <v>#DIV/0!</v>
      </c>
      <c r="AP142" s="6" t="str">
        <f>Datos_originales!$P187/Datos_originales!$E187</f>
        <v>#DIV/0!</v>
      </c>
      <c r="AQ142" s="6" t="str">
        <f>Datos_originales!$Q187/Datos_originales!$E187</f>
        <v>#DIV/0!</v>
      </c>
      <c r="AR142" s="6" t="str">
        <f>Datos_originales!$R187/Datos_originales!$E187</f>
        <v>#DIV/0!</v>
      </c>
      <c r="AS142" s="6" t="str">
        <f>Datos_originales!$S187/Datos_originales!$E187</f>
        <v>#DIV/0!</v>
      </c>
      <c r="AT142" s="6" t="str">
        <f>Datos_originales!$T187/Datos_originales!$E187</f>
        <v>#DIV/0!</v>
      </c>
      <c r="AU142" s="6" t="str">
        <f>Datos_originales!$U187/Datos_originales!$E187</f>
        <v>#DIV/0!</v>
      </c>
      <c r="AV142" s="6" t="str">
        <f>Datos_originales!$V187/Datos_originales!$E187</f>
        <v>#DIV/0!</v>
      </c>
      <c r="AW142" s="6" t="str">
        <f>Datos_originales!$W187/Datos_originales!$E187</f>
        <v>#DIV/0!</v>
      </c>
      <c r="AX142" s="6" t="str">
        <f>Datos_originales!$X187/Datos_originales!$E187</f>
        <v>#DIV/0!</v>
      </c>
      <c r="AY142" s="6" t="str">
        <f>Datos_originales!$Y187/Datos_originales!$E187</f>
        <v>#DIV/0!</v>
      </c>
      <c r="AZ142" s="6" t="str">
        <f>Datos_originales!$Z187/Datos_originales!$E187</f>
        <v>#DIV/0!</v>
      </c>
      <c r="BA142" s="6" t="str">
        <f>Datos_originales!$AA187/Datos_originales!$E187</f>
        <v>#DIV/0!</v>
      </c>
      <c r="BB142" s="6" t="str">
        <f>Datos_originales!$AB187/Datos_originales!$E187</f>
        <v>#DIV/0!</v>
      </c>
      <c r="BC142" s="6" t="str">
        <f>Datos_originales!$AC187/Datos_originales!$E187</f>
        <v>#DIV/0!</v>
      </c>
      <c r="BD142" s="6" t="str">
        <f>Datos_originales!$AD187/Datos_originales!$E187</f>
        <v>#DIV/0!</v>
      </c>
      <c r="BE142" s="6" t="str">
        <f>Datos_originales!$AE187/Datos_originales!$E187</f>
        <v>#DIV/0!</v>
      </c>
      <c r="BF142" s="6" t="str">
        <f>Datos_originales!$AF187/Datos_originales!$E187</f>
        <v>#DIV/0!</v>
      </c>
      <c r="BG142" s="6" t="str">
        <f>Datos_originales!$AG187/Datos_originales!$E187</f>
        <v>#DIV/0!</v>
      </c>
    </row>
    <row r="143" ht="15.75" customHeight="1">
      <c r="A143" s="2">
        <v>30905.0</v>
      </c>
      <c r="B143" s="3" t="s">
        <v>177</v>
      </c>
      <c r="C143" s="4" t="s">
        <v>202</v>
      </c>
      <c r="D143" s="4" t="str">
        <f>IF(Datos_originales!$E143&lt;1000,"Bosque menor a 1000 ha",Datos_originales!$E143)</f>
        <v>Bosque menor a 1000 ha</v>
      </c>
      <c r="E143" s="4">
        <v>340.92</v>
      </c>
      <c r="F143" s="5">
        <f>AVERAGE(Datos_originales!$H197:$J197)</f>
        <v>0</v>
      </c>
      <c r="G143" s="5">
        <f>AVERAGE(Datos_originales!$R197:$T197)</f>
        <v>0</v>
      </c>
      <c r="H143" s="4">
        <v>1.53</v>
      </c>
      <c r="I143" s="4">
        <v>3.87</v>
      </c>
      <c r="J143" s="4">
        <v>3.78</v>
      </c>
      <c r="K143" s="4">
        <v>7.38</v>
      </c>
      <c r="L143" s="4">
        <v>5.13</v>
      </c>
      <c r="M143" s="4">
        <v>17.64</v>
      </c>
      <c r="N143" s="4">
        <v>93.6</v>
      </c>
      <c r="O143" s="4">
        <v>7.470000000000001</v>
      </c>
      <c r="P143" s="4">
        <v>11.16</v>
      </c>
      <c r="Q143" s="4">
        <v>13.95</v>
      </c>
      <c r="R143" s="4">
        <v>82.35000000000001</v>
      </c>
      <c r="S143" s="4">
        <v>80.46</v>
      </c>
      <c r="T143" s="4">
        <v>0.54</v>
      </c>
      <c r="U143" s="4">
        <v>1.53</v>
      </c>
      <c r="V143" s="4">
        <v>3.87</v>
      </c>
      <c r="W143" s="4">
        <v>3.87</v>
      </c>
      <c r="X143" s="4">
        <v>7.38</v>
      </c>
      <c r="Y143" s="4">
        <v>5.13</v>
      </c>
      <c r="Z143" s="4">
        <v>17.64</v>
      </c>
      <c r="AA143" s="4">
        <v>94.14000000000001</v>
      </c>
      <c r="AB143" s="4">
        <v>7.470000000000001</v>
      </c>
      <c r="AC143" s="4">
        <v>11.16</v>
      </c>
      <c r="AD143" s="4">
        <v>14.76</v>
      </c>
      <c r="AE143" s="4">
        <v>82.62</v>
      </c>
      <c r="AF143" s="4">
        <v>80.55</v>
      </c>
      <c r="AG143" s="4">
        <v>0.54</v>
      </c>
      <c r="AH143" s="6" t="str">
        <f>Datos_originales!$H197/Datos_originales!$E197</f>
        <v>#DIV/0!</v>
      </c>
      <c r="AI143" s="6" t="str">
        <f>Datos_originales!$I197/Datos_originales!$E197</f>
        <v>#DIV/0!</v>
      </c>
      <c r="AJ143" s="6" t="str">
        <f>Datos_originales!$J197/Datos_originales!$E197</f>
        <v>#DIV/0!</v>
      </c>
      <c r="AK143" s="6" t="str">
        <f>Datos_originales!$K197/Datos_originales!$E197</f>
        <v>#DIV/0!</v>
      </c>
      <c r="AL143" s="6" t="str">
        <f>Datos_originales!$L197/Datos_originales!$E197</f>
        <v>#DIV/0!</v>
      </c>
      <c r="AM143" s="6" t="str">
        <f>Datos_originales!$M197/Datos_originales!$E197</f>
        <v>#DIV/0!</v>
      </c>
      <c r="AN143" s="6" t="str">
        <f>Datos_originales!$N197/Datos_originales!$E197</f>
        <v>#DIV/0!</v>
      </c>
      <c r="AO143" s="6" t="str">
        <f>Datos_originales!$O197/Datos_originales!$E197</f>
        <v>#DIV/0!</v>
      </c>
      <c r="AP143" s="6" t="str">
        <f>Datos_originales!$P197/Datos_originales!$E197</f>
        <v>#DIV/0!</v>
      </c>
      <c r="AQ143" s="6" t="str">
        <f>Datos_originales!$Q197/Datos_originales!$E197</f>
        <v>#DIV/0!</v>
      </c>
      <c r="AR143" s="6" t="str">
        <f>Datos_originales!$R197/Datos_originales!$E197</f>
        <v>#DIV/0!</v>
      </c>
      <c r="AS143" s="6" t="str">
        <f>Datos_originales!$S197/Datos_originales!$E197</f>
        <v>#DIV/0!</v>
      </c>
      <c r="AT143" s="6" t="str">
        <f>Datos_originales!$T197/Datos_originales!$E197</f>
        <v>#DIV/0!</v>
      </c>
      <c r="AU143" s="6" t="str">
        <f>Datos_originales!$U197/Datos_originales!$E197</f>
        <v>#DIV/0!</v>
      </c>
      <c r="AV143" s="6" t="str">
        <f>Datos_originales!$V197/Datos_originales!$E197</f>
        <v>#DIV/0!</v>
      </c>
      <c r="AW143" s="6" t="str">
        <f>Datos_originales!$W197/Datos_originales!$E197</f>
        <v>#DIV/0!</v>
      </c>
      <c r="AX143" s="6" t="str">
        <f>Datos_originales!$X197/Datos_originales!$E197</f>
        <v>#DIV/0!</v>
      </c>
      <c r="AY143" s="6" t="str">
        <f>Datos_originales!$Y197/Datos_originales!$E197</f>
        <v>#DIV/0!</v>
      </c>
      <c r="AZ143" s="6" t="str">
        <f>Datos_originales!$Z197/Datos_originales!$E197</f>
        <v>#DIV/0!</v>
      </c>
      <c r="BA143" s="6" t="str">
        <f>Datos_originales!$AA197/Datos_originales!$E197</f>
        <v>#DIV/0!</v>
      </c>
      <c r="BB143" s="6" t="str">
        <f>Datos_originales!$AB197/Datos_originales!$E197</f>
        <v>#DIV/0!</v>
      </c>
      <c r="BC143" s="6" t="str">
        <f>Datos_originales!$AC197/Datos_originales!$E197</f>
        <v>#DIV/0!</v>
      </c>
      <c r="BD143" s="6" t="str">
        <f>Datos_originales!$AD197/Datos_originales!$E197</f>
        <v>#DIV/0!</v>
      </c>
      <c r="BE143" s="6" t="str">
        <f>Datos_originales!$AE197/Datos_originales!$E197</f>
        <v>#DIV/0!</v>
      </c>
      <c r="BF143" s="6" t="str">
        <f>Datos_originales!$AF197/Datos_originales!$E197</f>
        <v>#DIV/0!</v>
      </c>
      <c r="BG143" s="6" t="str">
        <f>Datos_originales!$AG197/Datos_originales!$E197</f>
        <v>#DIV/0!</v>
      </c>
    </row>
    <row r="144" ht="15.75" customHeight="1">
      <c r="A144" s="2">
        <v>31001.0</v>
      </c>
      <c r="B144" s="3" t="s">
        <v>177</v>
      </c>
      <c r="C144" s="4" t="s">
        <v>203</v>
      </c>
      <c r="D144" s="4">
        <f>IF(Datos_originales!$E144&lt;1000,"Bosque menor a 1000 ha",Datos_originales!$E144)</f>
        <v>1583.91</v>
      </c>
      <c r="E144" s="4">
        <v>1583.91</v>
      </c>
      <c r="F144" s="5">
        <f>AVERAGE(Datos_originales!$H174:$J174)</f>
        <v>0</v>
      </c>
      <c r="G144" s="5">
        <f>AVERAGE(Datos_originales!$R174:$T174)</f>
        <v>0</v>
      </c>
      <c r="H144" s="4">
        <v>1.8</v>
      </c>
      <c r="I144" s="4">
        <v>2.43</v>
      </c>
      <c r="J144" s="4">
        <v>4.859999999999999</v>
      </c>
      <c r="K144" s="4">
        <v>3.87</v>
      </c>
      <c r="L144" s="4">
        <v>4.5</v>
      </c>
      <c r="M144" s="4">
        <v>2.25</v>
      </c>
      <c r="N144" s="4">
        <v>2.52</v>
      </c>
      <c r="O144" s="4">
        <v>2.52</v>
      </c>
      <c r="P144" s="4">
        <v>17.1</v>
      </c>
      <c r="Q144" s="4">
        <v>18.72</v>
      </c>
      <c r="R144" s="4">
        <v>33.12</v>
      </c>
      <c r="S144" s="4">
        <v>93.51</v>
      </c>
      <c r="T144" s="4">
        <v>3.6</v>
      </c>
      <c r="U144" s="4">
        <v>12.42</v>
      </c>
      <c r="V144" s="4">
        <v>14.31</v>
      </c>
      <c r="W144" s="4">
        <v>38.43</v>
      </c>
      <c r="X144" s="4">
        <v>25.56</v>
      </c>
      <c r="Y144" s="4">
        <v>15.84</v>
      </c>
      <c r="Z144" s="4">
        <v>45.54</v>
      </c>
      <c r="AA144" s="4">
        <v>47.07</v>
      </c>
      <c r="AB144" s="4">
        <v>71.46000000000001</v>
      </c>
      <c r="AC144" s="4">
        <v>51.12</v>
      </c>
      <c r="AD144" s="4">
        <v>20.43</v>
      </c>
      <c r="AE144" s="4">
        <v>44.46</v>
      </c>
      <c r="AF144" s="4">
        <v>184.23</v>
      </c>
      <c r="AG144" s="4">
        <v>4.41</v>
      </c>
      <c r="AH144" s="6" t="str">
        <f>Datos_originales!$H174/Datos_originales!$E174</f>
        <v>#DIV/0!</v>
      </c>
      <c r="AI144" s="6" t="str">
        <f>Datos_originales!$I174/Datos_originales!$E174</f>
        <v>#DIV/0!</v>
      </c>
      <c r="AJ144" s="6" t="str">
        <f>Datos_originales!$J174/Datos_originales!$E174</f>
        <v>#DIV/0!</v>
      </c>
      <c r="AK144" s="6" t="str">
        <f>Datos_originales!$K174/Datos_originales!$E174</f>
        <v>#DIV/0!</v>
      </c>
      <c r="AL144" s="6" t="str">
        <f>Datos_originales!$L174/Datos_originales!$E174</f>
        <v>#DIV/0!</v>
      </c>
      <c r="AM144" s="6" t="str">
        <f>Datos_originales!$M174/Datos_originales!$E174</f>
        <v>#DIV/0!</v>
      </c>
      <c r="AN144" s="6" t="str">
        <f>Datos_originales!$N174/Datos_originales!$E174</f>
        <v>#DIV/0!</v>
      </c>
      <c r="AO144" s="6" t="str">
        <f>Datos_originales!$O174/Datos_originales!$E174</f>
        <v>#DIV/0!</v>
      </c>
      <c r="AP144" s="6" t="str">
        <f>Datos_originales!$P174/Datos_originales!$E174</f>
        <v>#DIV/0!</v>
      </c>
      <c r="AQ144" s="6" t="str">
        <f>Datos_originales!$Q174/Datos_originales!$E174</f>
        <v>#DIV/0!</v>
      </c>
      <c r="AR144" s="6" t="str">
        <f>Datos_originales!$R174/Datos_originales!$E174</f>
        <v>#DIV/0!</v>
      </c>
      <c r="AS144" s="6" t="str">
        <f>Datos_originales!$S174/Datos_originales!$E174</f>
        <v>#DIV/0!</v>
      </c>
      <c r="AT144" s="6" t="str">
        <f>Datos_originales!$T174/Datos_originales!$E174</f>
        <v>#DIV/0!</v>
      </c>
      <c r="AU144" s="6" t="str">
        <f>Datos_originales!$U174/Datos_originales!$E174</f>
        <v>#DIV/0!</v>
      </c>
      <c r="AV144" s="6" t="str">
        <f>Datos_originales!$V174/Datos_originales!$E174</f>
        <v>#DIV/0!</v>
      </c>
      <c r="AW144" s="6" t="str">
        <f>Datos_originales!$W174/Datos_originales!$E174</f>
        <v>#DIV/0!</v>
      </c>
      <c r="AX144" s="6" t="str">
        <f>Datos_originales!$X174/Datos_originales!$E174</f>
        <v>#DIV/0!</v>
      </c>
      <c r="AY144" s="6" t="str">
        <f>Datos_originales!$Y174/Datos_originales!$E174</f>
        <v>#DIV/0!</v>
      </c>
      <c r="AZ144" s="6" t="str">
        <f>Datos_originales!$Z174/Datos_originales!$E174</f>
        <v>#DIV/0!</v>
      </c>
      <c r="BA144" s="6" t="str">
        <f>Datos_originales!$AA174/Datos_originales!$E174</f>
        <v>#DIV/0!</v>
      </c>
      <c r="BB144" s="6" t="str">
        <f>Datos_originales!$AB174/Datos_originales!$E174</f>
        <v>#DIV/0!</v>
      </c>
      <c r="BC144" s="6" t="str">
        <f>Datos_originales!$AC174/Datos_originales!$E174</f>
        <v>#DIV/0!</v>
      </c>
      <c r="BD144" s="6" t="str">
        <f>Datos_originales!$AD174/Datos_originales!$E174</f>
        <v>#DIV/0!</v>
      </c>
      <c r="BE144" s="6" t="str">
        <f>Datos_originales!$AE174/Datos_originales!$E174</f>
        <v>#DIV/0!</v>
      </c>
      <c r="BF144" s="6" t="str">
        <f>Datos_originales!$AF174/Datos_originales!$E174</f>
        <v>#DIV/0!</v>
      </c>
      <c r="BG144" s="6" t="str">
        <f>Datos_originales!$AG174/Datos_originales!$E174</f>
        <v>#DIV/0!</v>
      </c>
    </row>
    <row r="145" ht="15.75" customHeight="1">
      <c r="A145" s="2">
        <v>31002.0</v>
      </c>
      <c r="B145" s="3" t="s">
        <v>177</v>
      </c>
      <c r="C145" s="4" t="s">
        <v>204</v>
      </c>
      <c r="D145" s="4">
        <f>IF(Datos_originales!$E145&lt;1000,"Bosque menor a 1000 ha",Datos_originales!$E145)</f>
        <v>15156.63</v>
      </c>
      <c r="E145" s="4">
        <v>15156.63</v>
      </c>
      <c r="F145" s="5">
        <f>AVERAGE(Datos_originales!$H162:$J162)</f>
        <v>0</v>
      </c>
      <c r="G145" s="5">
        <f>AVERAGE(Datos_originales!$R162:$T162)</f>
        <v>0.36</v>
      </c>
      <c r="H145" s="4">
        <v>67.32</v>
      </c>
      <c r="I145" s="4">
        <v>76.14</v>
      </c>
      <c r="J145" s="4">
        <v>76.68</v>
      </c>
      <c r="K145" s="4">
        <v>104.04</v>
      </c>
      <c r="L145" s="4">
        <v>95.4</v>
      </c>
      <c r="M145" s="4">
        <v>186.57</v>
      </c>
      <c r="N145" s="4">
        <v>185.58</v>
      </c>
      <c r="O145" s="4">
        <v>177.39</v>
      </c>
      <c r="P145" s="4">
        <v>245.79</v>
      </c>
      <c r="Q145" s="4">
        <v>144.36</v>
      </c>
      <c r="R145" s="4">
        <v>104.67</v>
      </c>
      <c r="S145" s="4">
        <v>492.84</v>
      </c>
      <c r="T145" s="4">
        <v>59.67</v>
      </c>
      <c r="U145" s="4">
        <v>139.14</v>
      </c>
      <c r="V145" s="4">
        <v>133.38</v>
      </c>
      <c r="W145" s="4">
        <v>134.01</v>
      </c>
      <c r="X145" s="4">
        <v>148.77</v>
      </c>
      <c r="Y145" s="4">
        <v>136.98</v>
      </c>
      <c r="Z145" s="4">
        <v>276.39</v>
      </c>
      <c r="AA145" s="4">
        <v>280.53</v>
      </c>
      <c r="AB145" s="4">
        <v>306.9</v>
      </c>
      <c r="AC145" s="4">
        <v>314.37</v>
      </c>
      <c r="AD145" s="4">
        <v>170.37</v>
      </c>
      <c r="AE145" s="4">
        <v>178.83</v>
      </c>
      <c r="AF145" s="4">
        <v>542.97</v>
      </c>
      <c r="AG145" s="4">
        <v>60.21</v>
      </c>
      <c r="AH145" s="6">
        <f>Datos_originales!$H162/Datos_originales!$E162</f>
        <v>0</v>
      </c>
      <c r="AI145" s="6">
        <f>Datos_originales!$I162/Datos_originales!$E162</f>
        <v>0</v>
      </c>
      <c r="AJ145" s="6">
        <f>Datos_originales!$J162/Datos_originales!$E162</f>
        <v>0</v>
      </c>
      <c r="AK145" s="6">
        <f>Datos_originales!$K162/Datos_originales!$E162</f>
        <v>0</v>
      </c>
      <c r="AL145" s="6">
        <f>Datos_originales!$L162/Datos_originales!$E162</f>
        <v>0.001640240569</v>
      </c>
      <c r="AM145" s="6">
        <f>Datos_originales!$M162/Datos_originales!$E162</f>
        <v>0</v>
      </c>
      <c r="AN145" s="6">
        <f>Datos_originales!$N162/Datos_originales!$E162</f>
        <v>0</v>
      </c>
      <c r="AO145" s="6">
        <f>Datos_originales!$O162/Datos_originales!$E162</f>
        <v>0</v>
      </c>
      <c r="AP145" s="6">
        <f>Datos_originales!$P162/Datos_originales!$E162</f>
        <v>0</v>
      </c>
      <c r="AQ145" s="6">
        <f>Datos_originales!$Q162/Datos_originales!$E162</f>
        <v>0.0005467468562</v>
      </c>
      <c r="AR145" s="6">
        <f>Datos_originales!$R162/Datos_originales!$E162</f>
        <v>0.001093493712</v>
      </c>
      <c r="AS145" s="6">
        <f>Datos_originales!$S162/Datos_originales!$E162</f>
        <v>0.005467468562</v>
      </c>
      <c r="AT145" s="6">
        <f>Datos_originales!$T162/Datos_originales!$E162</f>
        <v>0</v>
      </c>
      <c r="AU145" s="6">
        <f>Datos_originales!$U162/Datos_originales!$E162</f>
        <v>0.02679059595</v>
      </c>
      <c r="AV145" s="6">
        <f>Datos_originales!$V162/Datos_originales!$E162</f>
        <v>0.01640240569</v>
      </c>
      <c r="AW145" s="6">
        <f>Datos_originales!$W162/Datos_originales!$E162</f>
        <v>0.01968288682</v>
      </c>
      <c r="AX145" s="6">
        <f>Datos_originales!$X162/Datos_originales!$E162</f>
        <v>0.04045926736</v>
      </c>
      <c r="AY145" s="6">
        <f>Datos_originales!$Y162/Datos_originales!$E162</f>
        <v>0.03444505194</v>
      </c>
      <c r="AZ145" s="6">
        <f>Datos_originales!$Z162/Datos_originales!$E162</f>
        <v>0.04483324221</v>
      </c>
      <c r="BA145" s="6">
        <f>Datos_originales!$AA162/Datos_originales!$E162</f>
        <v>0.08310552214</v>
      </c>
      <c r="BB145" s="6">
        <f>Datos_originales!$AB162/Datos_originales!$E162</f>
        <v>0.04209950793</v>
      </c>
      <c r="BC145" s="6">
        <f>Datos_originales!$AC162/Datos_originales!$E162</f>
        <v>0.01585565883</v>
      </c>
      <c r="BD145" s="6">
        <f>Datos_originales!$AD162/Datos_originales!$E162</f>
        <v>0.0005467468562</v>
      </c>
      <c r="BE145" s="6">
        <f>Datos_originales!$AE162/Datos_originales!$E162</f>
        <v>0.001640240569</v>
      </c>
      <c r="BF145" s="6">
        <f>Datos_originales!$AF162/Datos_originales!$E162</f>
        <v>0.04537998907</v>
      </c>
      <c r="BG145" s="6">
        <f>Datos_originales!$AG162/Datos_originales!$E162</f>
        <v>0</v>
      </c>
    </row>
    <row r="146" ht="15.75" customHeight="1">
      <c r="A146" s="2">
        <v>31003.0</v>
      </c>
      <c r="B146" s="3" t="s">
        <v>177</v>
      </c>
      <c r="C146" s="4" t="s">
        <v>205</v>
      </c>
      <c r="D146" s="4">
        <f>IF(Datos_originales!$E146&lt;1000,"Bosque menor a 1000 ha",Datos_originales!$E146)</f>
        <v>816866.01</v>
      </c>
      <c r="E146" s="4">
        <v>816866.01</v>
      </c>
      <c r="F146" s="5">
        <f>AVERAGE(Datos_originales!$H111:$J111)</f>
        <v>0</v>
      </c>
      <c r="G146" s="5">
        <f>AVERAGE(Datos_originales!$R111:$T111)</f>
        <v>0</v>
      </c>
      <c r="H146" s="4">
        <v>2938.14</v>
      </c>
      <c r="I146" s="4">
        <v>4295.79</v>
      </c>
      <c r="J146" s="4">
        <v>4341.690000000001</v>
      </c>
      <c r="K146" s="4">
        <v>3587.76</v>
      </c>
      <c r="L146" s="4">
        <v>3078.45</v>
      </c>
      <c r="M146" s="4">
        <v>4217.49</v>
      </c>
      <c r="N146" s="4">
        <v>4036.14</v>
      </c>
      <c r="O146" s="4">
        <v>3286.26</v>
      </c>
      <c r="P146" s="4">
        <v>5439.33</v>
      </c>
      <c r="Q146" s="4">
        <v>6221.88</v>
      </c>
      <c r="R146" s="4">
        <v>1291.5</v>
      </c>
      <c r="S146" s="4">
        <v>11793.24</v>
      </c>
      <c r="T146" s="4">
        <v>5482.89</v>
      </c>
      <c r="U146" s="4">
        <v>8904.689999999999</v>
      </c>
      <c r="V146" s="4">
        <v>6814.62</v>
      </c>
      <c r="W146" s="4">
        <v>6939.719999999999</v>
      </c>
      <c r="X146" s="4">
        <v>5870.07</v>
      </c>
      <c r="Y146" s="4">
        <v>4344.84</v>
      </c>
      <c r="Z146" s="4">
        <v>5386.95</v>
      </c>
      <c r="AA146" s="4">
        <v>5684.219999999999</v>
      </c>
      <c r="AB146" s="4">
        <v>5243.85</v>
      </c>
      <c r="AC146" s="4">
        <v>7920.63</v>
      </c>
      <c r="AD146" s="4">
        <v>6804.99</v>
      </c>
      <c r="AE146" s="4">
        <v>2427.21</v>
      </c>
      <c r="AF146" s="4">
        <v>14354.73</v>
      </c>
      <c r="AG146" s="4">
        <v>9591.57</v>
      </c>
      <c r="AH146" s="6" t="str">
        <f>Datos_originales!$H111/Datos_originales!$E111</f>
        <v>#DIV/0!</v>
      </c>
      <c r="AI146" s="6" t="str">
        <f>Datos_originales!$I111/Datos_originales!$E111</f>
        <v>#DIV/0!</v>
      </c>
      <c r="AJ146" s="6" t="str">
        <f>Datos_originales!$J111/Datos_originales!$E111</f>
        <v>#DIV/0!</v>
      </c>
      <c r="AK146" s="6" t="str">
        <f>Datos_originales!$K111/Datos_originales!$E111</f>
        <v>#DIV/0!</v>
      </c>
      <c r="AL146" s="6" t="str">
        <f>Datos_originales!$L111/Datos_originales!$E111</f>
        <v>#DIV/0!</v>
      </c>
      <c r="AM146" s="6" t="str">
        <f>Datos_originales!$M111/Datos_originales!$E111</f>
        <v>#DIV/0!</v>
      </c>
      <c r="AN146" s="6" t="str">
        <f>Datos_originales!$N111/Datos_originales!$E111</f>
        <v>#DIV/0!</v>
      </c>
      <c r="AO146" s="6" t="str">
        <f>Datos_originales!$O111/Datos_originales!$E111</f>
        <v>#DIV/0!</v>
      </c>
      <c r="AP146" s="6" t="str">
        <f>Datos_originales!$P111/Datos_originales!$E111</f>
        <v>#DIV/0!</v>
      </c>
      <c r="AQ146" s="6" t="str">
        <f>Datos_originales!$Q111/Datos_originales!$E111</f>
        <v>#DIV/0!</v>
      </c>
      <c r="AR146" s="6" t="str">
        <f>Datos_originales!$R111/Datos_originales!$E111</f>
        <v>#DIV/0!</v>
      </c>
      <c r="AS146" s="6" t="str">
        <f>Datos_originales!$S111/Datos_originales!$E111</f>
        <v>#DIV/0!</v>
      </c>
      <c r="AT146" s="6" t="str">
        <f>Datos_originales!$T111/Datos_originales!$E111</f>
        <v>#DIV/0!</v>
      </c>
      <c r="AU146" s="6" t="str">
        <f>Datos_originales!$U111/Datos_originales!$E111</f>
        <v>#DIV/0!</v>
      </c>
      <c r="AV146" s="6" t="str">
        <f>Datos_originales!$V111/Datos_originales!$E111</f>
        <v>#DIV/0!</v>
      </c>
      <c r="AW146" s="6" t="str">
        <f>Datos_originales!$W111/Datos_originales!$E111</f>
        <v>#DIV/0!</v>
      </c>
      <c r="AX146" s="6" t="str">
        <f>Datos_originales!$X111/Datos_originales!$E111</f>
        <v>#DIV/0!</v>
      </c>
      <c r="AY146" s="6" t="str">
        <f>Datos_originales!$Y111/Datos_originales!$E111</f>
        <v>#DIV/0!</v>
      </c>
      <c r="AZ146" s="6" t="str">
        <f>Datos_originales!$Z111/Datos_originales!$E111</f>
        <v>#DIV/0!</v>
      </c>
      <c r="BA146" s="6" t="str">
        <f>Datos_originales!$AA111/Datos_originales!$E111</f>
        <v>#DIV/0!</v>
      </c>
      <c r="BB146" s="6" t="str">
        <f>Datos_originales!$AB111/Datos_originales!$E111</f>
        <v>#DIV/0!</v>
      </c>
      <c r="BC146" s="6" t="str">
        <f>Datos_originales!$AC111/Datos_originales!$E111</f>
        <v>#DIV/0!</v>
      </c>
      <c r="BD146" s="6" t="str">
        <f>Datos_originales!$AD111/Datos_originales!$E111</f>
        <v>#DIV/0!</v>
      </c>
      <c r="BE146" s="6" t="str">
        <f>Datos_originales!$AE111/Datos_originales!$E111</f>
        <v>#DIV/0!</v>
      </c>
      <c r="BF146" s="6" t="str">
        <f>Datos_originales!$AF111/Datos_originales!$E111</f>
        <v>#DIV/0!</v>
      </c>
      <c r="BG146" s="6" t="str">
        <f>Datos_originales!$AG111/Datos_originales!$E111</f>
        <v>#DIV/0!</v>
      </c>
    </row>
    <row r="147" ht="15.75" customHeight="1">
      <c r="A147" s="2">
        <v>31101.0</v>
      </c>
      <c r="B147" s="3" t="s">
        <v>177</v>
      </c>
      <c r="C147" s="4" t="s">
        <v>206</v>
      </c>
      <c r="D147" s="4" t="str">
        <f>IF(Datos_originales!$E147&lt;1000,"Bosque menor a 1000 ha",Datos_originales!$E147)</f>
        <v>Bosque menor a 1000 ha</v>
      </c>
      <c r="E147" s="4">
        <v>869.04</v>
      </c>
      <c r="F147" s="5">
        <f>AVERAGE(Datos_originales!$H142:$J142)</f>
        <v>4.53</v>
      </c>
      <c r="G147" s="5">
        <f>AVERAGE(Datos_originales!$R142:$T142)</f>
        <v>86.85</v>
      </c>
      <c r="H147" s="4">
        <v>0.0</v>
      </c>
      <c r="I147" s="4">
        <v>0.0</v>
      </c>
      <c r="J147" s="4">
        <v>0.0</v>
      </c>
      <c r="K147" s="4">
        <v>0.0</v>
      </c>
      <c r="L147" s="4">
        <v>0.18</v>
      </c>
      <c r="M147" s="4">
        <v>0.27</v>
      </c>
      <c r="N147" s="4">
        <v>0.0</v>
      </c>
      <c r="O147" s="4">
        <v>0.18</v>
      </c>
      <c r="P147" s="4">
        <v>0.18</v>
      </c>
      <c r="Q147" s="4">
        <v>0.45</v>
      </c>
      <c r="R147" s="4">
        <v>2.25</v>
      </c>
      <c r="S147" s="4">
        <v>4.14</v>
      </c>
      <c r="T147" s="4">
        <v>0.27</v>
      </c>
      <c r="U147" s="4">
        <v>1.62</v>
      </c>
      <c r="V147" s="4">
        <v>0.9</v>
      </c>
      <c r="W147" s="4">
        <v>26.1</v>
      </c>
      <c r="X147" s="4">
        <v>10.71</v>
      </c>
      <c r="Y147" s="4">
        <v>14.94</v>
      </c>
      <c r="Z147" s="4">
        <v>20.97</v>
      </c>
      <c r="AA147" s="4">
        <v>17.28</v>
      </c>
      <c r="AB147" s="4">
        <v>15.66</v>
      </c>
      <c r="AC147" s="4">
        <v>9.18</v>
      </c>
      <c r="AD147" s="4">
        <v>0.45</v>
      </c>
      <c r="AE147" s="4">
        <v>3.06</v>
      </c>
      <c r="AF147" s="4">
        <v>8.28</v>
      </c>
      <c r="AG147" s="4">
        <v>4.77</v>
      </c>
      <c r="AH147" s="6">
        <f>Datos_originales!$H142/Datos_originales!$E142</f>
        <v>0.001323845772</v>
      </c>
      <c r="AI147" s="6">
        <f>Datos_originales!$I142/Datos_originales!$E142</f>
        <v>0.003695736113</v>
      </c>
      <c r="AJ147" s="6">
        <f>Datos_originales!$J142/Datos_originales!$E142</f>
        <v>0.00330961443</v>
      </c>
      <c r="AK147" s="6">
        <f>Datos_originales!$K142/Datos_originales!$E142</f>
        <v>0.008439516796</v>
      </c>
      <c r="AL147" s="6">
        <f>Datos_originales!$L142/Datos_originales!$E142</f>
        <v>0.007943074632</v>
      </c>
      <c r="AM147" s="6">
        <f>Datos_originales!$M142/Datos_originales!$E142</f>
        <v>0.01847868057</v>
      </c>
      <c r="AN147" s="6">
        <f>Datos_originales!$N142/Datos_originales!$E142</f>
        <v>0.007060510784</v>
      </c>
      <c r="AO147" s="6">
        <f>Datos_originales!$O142/Datos_originales!$E142</f>
        <v>0.004523139721</v>
      </c>
      <c r="AP147" s="6">
        <f>Datos_originales!$P142/Datos_originales!$E142</f>
        <v>0.006398587898</v>
      </c>
      <c r="AQ147" s="6">
        <f>Datos_originales!$Q142/Datos_originales!$E142</f>
        <v>0.02156765403</v>
      </c>
      <c r="AR147" s="6">
        <f>Datos_originales!$R142/Datos_originales!$E142</f>
        <v>0.08516741133</v>
      </c>
      <c r="AS147" s="6">
        <f>Datos_originales!$S142/Datos_originales!$E142</f>
        <v>0.07242539577</v>
      </c>
      <c r="AT147" s="6">
        <f>Datos_originales!$T142/Datos_originales!$E142</f>
        <v>0.002096089139</v>
      </c>
      <c r="AU147" s="6">
        <f>Datos_originales!$U142/Datos_originales!$E142</f>
        <v>0.001820287936</v>
      </c>
      <c r="AV147" s="6">
        <f>Datos_originales!$V142/Datos_originales!$E142</f>
        <v>0.007391472227</v>
      </c>
      <c r="AW147" s="6">
        <f>Datos_originales!$W142/Datos_originales!$E142</f>
        <v>0.01478294445</v>
      </c>
      <c r="AX147" s="6">
        <f>Datos_originales!$X142/Datos_originales!$E142</f>
        <v>0.01025980473</v>
      </c>
      <c r="AY147" s="6">
        <f>Datos_originales!$Y142/Datos_originales!$E142</f>
        <v>0.01125268906</v>
      </c>
      <c r="AZ147" s="6">
        <f>Datos_originales!$Z142/Datos_originales!$E142</f>
        <v>0.02746979977</v>
      </c>
      <c r="BA147" s="6">
        <f>Datos_originales!$AA142/Datos_originales!$E142</f>
        <v>0.009377240885</v>
      </c>
      <c r="BB147" s="6">
        <f>Datos_originales!$AB142/Datos_originales!$E142</f>
        <v>0.0115836505</v>
      </c>
      <c r="BC147" s="6">
        <f>Datos_originales!$AC142/Datos_originales!$E142</f>
        <v>0.013072977</v>
      </c>
      <c r="BD147" s="6">
        <f>Datos_originales!$AD142/Datos_originales!$E142</f>
        <v>0.02184345524</v>
      </c>
      <c r="BE147" s="6">
        <f>Datos_originales!$AE142/Datos_originales!$E142</f>
        <v>0.08638093662</v>
      </c>
      <c r="BF147" s="6">
        <f>Datos_originales!$AF142/Datos_originales!$E142</f>
        <v>0.08207843786</v>
      </c>
      <c r="BG147" s="6">
        <f>Datos_originales!$AG142/Datos_originales!$E142</f>
        <v>0.002371890341</v>
      </c>
    </row>
    <row r="148" ht="15.75" customHeight="1">
      <c r="A148" s="2">
        <v>31201.0</v>
      </c>
      <c r="B148" s="3" t="s">
        <v>177</v>
      </c>
      <c r="C148" s="4" t="s">
        <v>207</v>
      </c>
      <c r="D148" s="4">
        <f>IF(Datos_originales!$E148&lt;1000,"Bosque menor a 1000 ha",Datos_originales!$E148)</f>
        <v>112411.35</v>
      </c>
      <c r="E148" s="4">
        <v>112411.35</v>
      </c>
      <c r="F148" s="5">
        <f>AVERAGE(Datos_originales!$H201:$J201)</f>
        <v>0</v>
      </c>
      <c r="G148" s="5">
        <f>AVERAGE(Datos_originales!$R201:$T201)</f>
        <v>0.24</v>
      </c>
      <c r="H148" s="4">
        <v>111.24</v>
      </c>
      <c r="I148" s="4">
        <v>57.69</v>
      </c>
      <c r="J148" s="4">
        <v>74.88</v>
      </c>
      <c r="K148" s="4">
        <v>100.17</v>
      </c>
      <c r="L148" s="4">
        <v>92.52000000000001</v>
      </c>
      <c r="M148" s="4">
        <v>114.48</v>
      </c>
      <c r="N148" s="4">
        <v>191.34</v>
      </c>
      <c r="O148" s="4">
        <v>257.85</v>
      </c>
      <c r="P148" s="4">
        <v>230.22</v>
      </c>
      <c r="Q148" s="4">
        <v>291.69</v>
      </c>
      <c r="R148" s="4">
        <v>147.42</v>
      </c>
      <c r="S148" s="4">
        <v>416.79</v>
      </c>
      <c r="T148" s="4">
        <v>147.87</v>
      </c>
      <c r="U148" s="4">
        <v>555.39</v>
      </c>
      <c r="V148" s="4">
        <v>316.8</v>
      </c>
      <c r="W148" s="4">
        <v>531.1800000000001</v>
      </c>
      <c r="X148" s="4">
        <v>302.04</v>
      </c>
      <c r="Y148" s="4">
        <v>215.64</v>
      </c>
      <c r="Z148" s="4">
        <v>336.0599999999999</v>
      </c>
      <c r="AA148" s="4">
        <v>472.86</v>
      </c>
      <c r="AB148" s="4">
        <v>588.69</v>
      </c>
      <c r="AC148" s="4">
        <v>389.7</v>
      </c>
      <c r="AD148" s="4">
        <v>443.97</v>
      </c>
      <c r="AE148" s="4">
        <v>253.35</v>
      </c>
      <c r="AF148" s="4">
        <v>780.12</v>
      </c>
      <c r="AG148" s="4">
        <v>157.77</v>
      </c>
      <c r="AH148" s="6">
        <f>Datos_originales!$H201/Datos_originales!$E201</f>
        <v>0</v>
      </c>
      <c r="AI148" s="6">
        <f>Datos_originales!$I201/Datos_originales!$E201</f>
        <v>0</v>
      </c>
      <c r="AJ148" s="6">
        <f>Datos_originales!$J201/Datos_originales!$E201</f>
        <v>0</v>
      </c>
      <c r="AK148" s="6">
        <f>Datos_originales!$K201/Datos_originales!$E201</f>
        <v>0</v>
      </c>
      <c r="AL148" s="6">
        <f>Datos_originales!$L201/Datos_originales!$E201</f>
        <v>0</v>
      </c>
      <c r="AM148" s="6">
        <f>Datos_originales!$M201/Datos_originales!$E201</f>
        <v>0</v>
      </c>
      <c r="AN148" s="6">
        <f>Datos_originales!$N201/Datos_originales!$E201</f>
        <v>0</v>
      </c>
      <c r="AO148" s="6">
        <f>Datos_originales!$O201/Datos_originales!$E201</f>
        <v>0</v>
      </c>
      <c r="AP148" s="6">
        <f>Datos_originales!$P201/Datos_originales!$E201</f>
        <v>0</v>
      </c>
      <c r="AQ148" s="6">
        <f>Datos_originales!$Q201/Datos_originales!$E201</f>
        <v>0</v>
      </c>
      <c r="AR148" s="6">
        <f>Datos_originales!$R201/Datos_originales!$E201</f>
        <v>0</v>
      </c>
      <c r="AS148" s="6">
        <f>Datos_originales!$S201/Datos_originales!$E201</f>
        <v>0</v>
      </c>
      <c r="AT148" s="6">
        <f>Datos_originales!$T201/Datos_originales!$E201</f>
        <v>0.1568627451</v>
      </c>
      <c r="AU148" s="6">
        <f>Datos_originales!$U201/Datos_originales!$E201</f>
        <v>0</v>
      </c>
      <c r="AV148" s="6">
        <f>Datos_originales!$V201/Datos_originales!$E201</f>
        <v>0</v>
      </c>
      <c r="AW148" s="6">
        <f>Datos_originales!$W201/Datos_originales!$E201</f>
        <v>0.1176470588</v>
      </c>
      <c r="AX148" s="6">
        <f>Datos_originales!$X201/Datos_originales!$E201</f>
        <v>0</v>
      </c>
      <c r="AY148" s="6">
        <f>Datos_originales!$Y201/Datos_originales!$E201</f>
        <v>0</v>
      </c>
      <c r="AZ148" s="6">
        <f>Datos_originales!$Z201/Datos_originales!$E201</f>
        <v>0</v>
      </c>
      <c r="BA148" s="6">
        <f>Datos_originales!$AA201/Datos_originales!$E201</f>
        <v>0</v>
      </c>
      <c r="BB148" s="6">
        <f>Datos_originales!$AB201/Datos_originales!$E201</f>
        <v>0</v>
      </c>
      <c r="BC148" s="6">
        <f>Datos_originales!$AC201/Datos_originales!$E201</f>
        <v>0</v>
      </c>
      <c r="BD148" s="6">
        <f>Datos_originales!$AD201/Datos_originales!$E201</f>
        <v>0</v>
      </c>
      <c r="BE148" s="6">
        <f>Datos_originales!$AE201/Datos_originales!$E201</f>
        <v>0</v>
      </c>
      <c r="BF148" s="6">
        <f>Datos_originales!$AF201/Datos_originales!$E201</f>
        <v>0</v>
      </c>
      <c r="BG148" s="6">
        <f>Datos_originales!$AG201/Datos_originales!$E201</f>
        <v>0.2156862745</v>
      </c>
    </row>
    <row r="149" ht="15.75" customHeight="1">
      <c r="A149" s="2">
        <v>31202.0</v>
      </c>
      <c r="B149" s="3" t="s">
        <v>177</v>
      </c>
      <c r="C149" s="4" t="s">
        <v>208</v>
      </c>
      <c r="D149" s="4">
        <f>IF(Datos_originales!$E149&lt;1000,"Bosque menor a 1000 ha",Datos_originales!$E149)</f>
        <v>166000.68</v>
      </c>
      <c r="E149" s="4">
        <v>166000.68</v>
      </c>
      <c r="F149" s="5">
        <f>AVERAGE(Datos_originales!$H214:$J214)</f>
        <v>0.03</v>
      </c>
      <c r="G149" s="5">
        <f>AVERAGE(Datos_originales!$R214:$T214)</f>
        <v>0.75</v>
      </c>
      <c r="H149" s="4">
        <v>127.89</v>
      </c>
      <c r="I149" s="4">
        <v>73.89</v>
      </c>
      <c r="J149" s="4">
        <v>76.67999999999999</v>
      </c>
      <c r="K149" s="4">
        <v>106.47</v>
      </c>
      <c r="L149" s="4">
        <v>80.19</v>
      </c>
      <c r="M149" s="4">
        <v>148.14</v>
      </c>
      <c r="N149" s="4">
        <v>201.24</v>
      </c>
      <c r="O149" s="4">
        <v>156.69</v>
      </c>
      <c r="P149" s="4">
        <v>173.25</v>
      </c>
      <c r="Q149" s="4">
        <v>87.21000000000001</v>
      </c>
      <c r="R149" s="4">
        <v>157.68</v>
      </c>
      <c r="S149" s="4">
        <v>383.76</v>
      </c>
      <c r="T149" s="4">
        <v>108.09</v>
      </c>
      <c r="U149" s="4">
        <v>558.0899999999999</v>
      </c>
      <c r="V149" s="4">
        <v>357.21</v>
      </c>
      <c r="W149" s="4">
        <v>497.97</v>
      </c>
      <c r="X149" s="4">
        <v>341.82</v>
      </c>
      <c r="Y149" s="4">
        <v>230.31</v>
      </c>
      <c r="Z149" s="4">
        <v>370.8</v>
      </c>
      <c r="AA149" s="4">
        <v>459.36</v>
      </c>
      <c r="AB149" s="4">
        <v>510.3</v>
      </c>
      <c r="AC149" s="4">
        <v>405.9</v>
      </c>
      <c r="AD149" s="4">
        <v>436.77</v>
      </c>
      <c r="AE149" s="4">
        <v>220.68</v>
      </c>
      <c r="AF149" s="4">
        <v>661.32</v>
      </c>
      <c r="AG149" s="4">
        <v>113.49</v>
      </c>
      <c r="AH149" s="6">
        <f>Datos_originales!$H214/Datos_originales!$E214</f>
        <v>0</v>
      </c>
      <c r="AI149" s="6">
        <f>Datos_originales!$I214/Datos_originales!$E214</f>
        <v>0.0001826817684</v>
      </c>
      <c r="AJ149" s="6">
        <f>Datos_originales!$J214/Datos_originales!$E214</f>
        <v>0</v>
      </c>
      <c r="AK149" s="6">
        <f>Datos_originales!$K214/Datos_originales!$E214</f>
        <v>0</v>
      </c>
      <c r="AL149" s="6">
        <f>Datos_originales!$L214/Datos_originales!$E214</f>
        <v>0</v>
      </c>
      <c r="AM149" s="6">
        <f>Datos_originales!$M214/Datos_originales!$E214</f>
        <v>0</v>
      </c>
      <c r="AN149" s="6">
        <f>Datos_originales!$N214/Datos_originales!$E214</f>
        <v>0</v>
      </c>
      <c r="AO149" s="6">
        <f>Datos_originales!$O214/Datos_originales!$E214</f>
        <v>0</v>
      </c>
      <c r="AP149" s="6">
        <f>Datos_originales!$P214/Datos_originales!$E214</f>
        <v>0</v>
      </c>
      <c r="AQ149" s="6">
        <f>Datos_originales!$Q214/Datos_originales!$E214</f>
        <v>0</v>
      </c>
      <c r="AR149" s="6">
        <f>Datos_originales!$R214/Datos_originales!$E214</f>
        <v>0</v>
      </c>
      <c r="AS149" s="6">
        <f>Datos_originales!$S214/Datos_originales!$E214</f>
        <v>0.004567044209</v>
      </c>
      <c r="AT149" s="6">
        <f>Datos_originales!$T214/Datos_originales!$E214</f>
        <v>0</v>
      </c>
      <c r="AU149" s="6">
        <f>Datos_originales!$U214/Datos_originales!$E214</f>
        <v>0.009499451955</v>
      </c>
      <c r="AV149" s="6">
        <f>Datos_originales!$V214/Datos_originales!$E214</f>
        <v>0.007489952503</v>
      </c>
      <c r="AW149" s="6">
        <f>Datos_originales!$W214/Datos_originales!$E214</f>
        <v>0.0248447205</v>
      </c>
      <c r="AX149" s="6">
        <f>Datos_originales!$X214/Datos_originales!$E214</f>
        <v>0.001278772379</v>
      </c>
      <c r="AY149" s="6">
        <f>Datos_originales!$Y214/Datos_originales!$E214</f>
        <v>0.006393861893</v>
      </c>
      <c r="AZ149" s="6">
        <f>Datos_originales!$Z214/Datos_originales!$E214</f>
        <v>0.005115089514</v>
      </c>
      <c r="BA149" s="6">
        <f>Datos_originales!$AA214/Datos_originales!$E214</f>
        <v>0.006393861893</v>
      </c>
      <c r="BB149" s="6">
        <f>Datos_originales!$AB214/Datos_originales!$E214</f>
        <v>0.004201680672</v>
      </c>
      <c r="BC149" s="6">
        <f>Datos_originales!$AC214/Datos_originales!$E214</f>
        <v>0.02064303982</v>
      </c>
      <c r="BD149" s="6">
        <f>Datos_originales!$AD214/Datos_originales!$E214</f>
        <v>0</v>
      </c>
      <c r="BE149" s="6">
        <f>Datos_originales!$AE214/Datos_originales!$E214</f>
        <v>0.0005480453051</v>
      </c>
      <c r="BF149" s="6">
        <f>Datos_originales!$AF214/Datos_originales!$E214</f>
        <v>0.006941907198</v>
      </c>
      <c r="BG149" s="6">
        <f>Datos_originales!$AG214/Datos_originales!$E214</f>
        <v>0.004932407746</v>
      </c>
    </row>
    <row r="150" ht="15.75" customHeight="1">
      <c r="A150" s="2">
        <v>31203.0</v>
      </c>
      <c r="B150" s="3" t="s">
        <v>177</v>
      </c>
      <c r="C150" s="4" t="s">
        <v>209</v>
      </c>
      <c r="D150" s="4">
        <f>IF(Datos_originales!$E150&lt;1000,"Bosque menor a 1000 ha",Datos_originales!$E150)</f>
        <v>10098.81</v>
      </c>
      <c r="E150" s="4">
        <v>10098.81</v>
      </c>
      <c r="F150" s="5">
        <f>AVERAGE(Datos_originales!$H195:$J195)</f>
        <v>0</v>
      </c>
      <c r="G150" s="5">
        <f>AVERAGE(Datos_originales!$R195:$T195)</f>
        <v>0</v>
      </c>
      <c r="H150" s="4">
        <v>0.72</v>
      </c>
      <c r="I150" s="4">
        <v>0.63</v>
      </c>
      <c r="J150" s="4">
        <v>0.81</v>
      </c>
      <c r="K150" s="4">
        <v>0.27</v>
      </c>
      <c r="L150" s="4">
        <v>0.72</v>
      </c>
      <c r="M150" s="4">
        <v>3.69</v>
      </c>
      <c r="N150" s="4">
        <v>2.25</v>
      </c>
      <c r="O150" s="4">
        <v>0.27</v>
      </c>
      <c r="P150" s="4">
        <v>1.62</v>
      </c>
      <c r="Q150" s="4">
        <v>4.68</v>
      </c>
      <c r="R150" s="4">
        <v>18.18</v>
      </c>
      <c r="S150" s="4">
        <v>109.53</v>
      </c>
      <c r="T150" s="4">
        <v>15.12</v>
      </c>
      <c r="U150" s="4">
        <v>22.95</v>
      </c>
      <c r="V150" s="4">
        <v>19.08</v>
      </c>
      <c r="W150" s="4">
        <v>167.85</v>
      </c>
      <c r="X150" s="4">
        <v>20.52</v>
      </c>
      <c r="Y150" s="4">
        <v>9.72</v>
      </c>
      <c r="Z150" s="4">
        <v>30.78</v>
      </c>
      <c r="AA150" s="4">
        <v>62.46</v>
      </c>
      <c r="AB150" s="4">
        <v>73.98</v>
      </c>
      <c r="AC150" s="4">
        <v>29.88</v>
      </c>
      <c r="AD150" s="4">
        <v>5.58</v>
      </c>
      <c r="AE150" s="4">
        <v>32.31</v>
      </c>
      <c r="AF150" s="4">
        <v>322.02</v>
      </c>
      <c r="AG150" s="4">
        <v>17.91</v>
      </c>
      <c r="AH150" s="6" t="str">
        <f>Datos_originales!$H195/Datos_originales!$E195</f>
        <v>#DIV/0!</v>
      </c>
      <c r="AI150" s="6" t="str">
        <f>Datos_originales!$I195/Datos_originales!$E195</f>
        <v>#DIV/0!</v>
      </c>
      <c r="AJ150" s="6" t="str">
        <f>Datos_originales!$J195/Datos_originales!$E195</f>
        <v>#DIV/0!</v>
      </c>
      <c r="AK150" s="6" t="str">
        <f>Datos_originales!$K195/Datos_originales!$E195</f>
        <v>#DIV/0!</v>
      </c>
      <c r="AL150" s="6" t="str">
        <f>Datos_originales!$L195/Datos_originales!$E195</f>
        <v>#DIV/0!</v>
      </c>
      <c r="AM150" s="6" t="str">
        <f>Datos_originales!$M195/Datos_originales!$E195</f>
        <v>#DIV/0!</v>
      </c>
      <c r="AN150" s="6" t="str">
        <f>Datos_originales!$N195/Datos_originales!$E195</f>
        <v>#DIV/0!</v>
      </c>
      <c r="AO150" s="6" t="str">
        <f>Datos_originales!$O195/Datos_originales!$E195</f>
        <v>#DIV/0!</v>
      </c>
      <c r="AP150" s="6" t="str">
        <f>Datos_originales!$P195/Datos_originales!$E195</f>
        <v>#DIV/0!</v>
      </c>
      <c r="AQ150" s="6" t="str">
        <f>Datos_originales!$Q195/Datos_originales!$E195</f>
        <v>#DIV/0!</v>
      </c>
      <c r="AR150" s="6" t="str">
        <f>Datos_originales!$R195/Datos_originales!$E195</f>
        <v>#DIV/0!</v>
      </c>
      <c r="AS150" s="6" t="str">
        <f>Datos_originales!$S195/Datos_originales!$E195</f>
        <v>#DIV/0!</v>
      </c>
      <c r="AT150" s="6" t="str">
        <f>Datos_originales!$T195/Datos_originales!$E195</f>
        <v>#DIV/0!</v>
      </c>
      <c r="AU150" s="6" t="str">
        <f>Datos_originales!$U195/Datos_originales!$E195</f>
        <v>#DIV/0!</v>
      </c>
      <c r="AV150" s="6" t="str">
        <f>Datos_originales!$V195/Datos_originales!$E195</f>
        <v>#DIV/0!</v>
      </c>
      <c r="AW150" s="6" t="str">
        <f>Datos_originales!$W195/Datos_originales!$E195</f>
        <v>#DIV/0!</v>
      </c>
      <c r="AX150" s="6" t="str">
        <f>Datos_originales!$X195/Datos_originales!$E195</f>
        <v>#DIV/0!</v>
      </c>
      <c r="AY150" s="6" t="str">
        <f>Datos_originales!$Y195/Datos_originales!$E195</f>
        <v>#DIV/0!</v>
      </c>
      <c r="AZ150" s="6" t="str">
        <f>Datos_originales!$Z195/Datos_originales!$E195</f>
        <v>#DIV/0!</v>
      </c>
      <c r="BA150" s="6" t="str">
        <f>Datos_originales!$AA195/Datos_originales!$E195</f>
        <v>#DIV/0!</v>
      </c>
      <c r="BB150" s="6" t="str">
        <f>Datos_originales!$AB195/Datos_originales!$E195</f>
        <v>#DIV/0!</v>
      </c>
      <c r="BC150" s="6" t="str">
        <f>Datos_originales!$AC195/Datos_originales!$E195</f>
        <v>#DIV/0!</v>
      </c>
      <c r="BD150" s="6" t="str">
        <f>Datos_originales!$AD195/Datos_originales!$E195</f>
        <v>#DIV/0!</v>
      </c>
      <c r="BE150" s="6" t="str">
        <f>Datos_originales!$AE195/Datos_originales!$E195</f>
        <v>#DIV/0!</v>
      </c>
      <c r="BF150" s="6" t="str">
        <f>Datos_originales!$AF195/Datos_originales!$E195</f>
        <v>#DIV/0!</v>
      </c>
      <c r="BG150" s="6" t="str">
        <f>Datos_originales!$AG195/Datos_originales!$E195</f>
        <v>#DIV/0!</v>
      </c>
    </row>
    <row r="151" ht="15.75" customHeight="1">
      <c r="A151" s="2">
        <v>31204.0</v>
      </c>
      <c r="B151" s="3" t="s">
        <v>177</v>
      </c>
      <c r="C151" s="4" t="s">
        <v>210</v>
      </c>
      <c r="D151" s="4">
        <f>IF(Datos_originales!$E151&lt;1000,"Bosque menor a 1000 ha",Datos_originales!$E151)</f>
        <v>207111.51</v>
      </c>
      <c r="E151" s="4">
        <v>207111.51</v>
      </c>
      <c r="F151" s="5">
        <f>AVERAGE(Datos_originales!$H70:$J70)</f>
        <v>0</v>
      </c>
      <c r="G151" s="5">
        <f>AVERAGE(Datos_originales!$R70:$T70)</f>
        <v>0</v>
      </c>
      <c r="H151" s="4">
        <v>547.29</v>
      </c>
      <c r="I151" s="4">
        <v>892.08</v>
      </c>
      <c r="J151" s="4">
        <v>986.67</v>
      </c>
      <c r="K151" s="4">
        <v>665.8199999999999</v>
      </c>
      <c r="L151" s="4">
        <v>627.12</v>
      </c>
      <c r="M151" s="4">
        <v>667.35</v>
      </c>
      <c r="N151" s="4">
        <v>669.78</v>
      </c>
      <c r="O151" s="4">
        <v>658.17</v>
      </c>
      <c r="P151" s="4">
        <v>1328.49</v>
      </c>
      <c r="Q151" s="4">
        <v>1800.0</v>
      </c>
      <c r="R151" s="4">
        <v>205.92</v>
      </c>
      <c r="S151" s="4">
        <v>2027.07</v>
      </c>
      <c r="T151" s="4">
        <v>1611.54</v>
      </c>
      <c r="U151" s="4">
        <v>3354.48</v>
      </c>
      <c r="V151" s="4">
        <v>2905.38</v>
      </c>
      <c r="W151" s="4">
        <v>3168.72</v>
      </c>
      <c r="X151" s="4">
        <v>3292.56</v>
      </c>
      <c r="Y151" s="4">
        <v>1374.03</v>
      </c>
      <c r="Z151" s="4">
        <v>1278.36</v>
      </c>
      <c r="AA151" s="4">
        <v>1834.11</v>
      </c>
      <c r="AB151" s="4">
        <v>1545.12</v>
      </c>
      <c r="AC151" s="4">
        <v>1945.44</v>
      </c>
      <c r="AD151" s="4">
        <v>2275.29</v>
      </c>
      <c r="AE151" s="4">
        <v>565.47</v>
      </c>
      <c r="AF151" s="4">
        <v>2681.46</v>
      </c>
      <c r="AG151" s="4">
        <v>4749.75</v>
      </c>
      <c r="AH151" s="6" t="str">
        <f>Datos_originales!$H70/Datos_originales!$E70</f>
        <v>#DIV/0!</v>
      </c>
      <c r="AI151" s="6" t="str">
        <f>Datos_originales!$I70/Datos_originales!$E70</f>
        <v>#DIV/0!</v>
      </c>
      <c r="AJ151" s="6" t="str">
        <f>Datos_originales!$J70/Datos_originales!$E70</f>
        <v>#DIV/0!</v>
      </c>
      <c r="AK151" s="6" t="str">
        <f>Datos_originales!$K70/Datos_originales!$E70</f>
        <v>#DIV/0!</v>
      </c>
      <c r="AL151" s="6" t="str">
        <f>Datos_originales!$L70/Datos_originales!$E70</f>
        <v>#DIV/0!</v>
      </c>
      <c r="AM151" s="6" t="str">
        <f>Datos_originales!$M70/Datos_originales!$E70</f>
        <v>#DIV/0!</v>
      </c>
      <c r="AN151" s="6" t="str">
        <f>Datos_originales!$N70/Datos_originales!$E70</f>
        <v>#DIV/0!</v>
      </c>
      <c r="AO151" s="6" t="str">
        <f>Datos_originales!$O70/Datos_originales!$E70</f>
        <v>#DIV/0!</v>
      </c>
      <c r="AP151" s="6" t="str">
        <f>Datos_originales!$P70/Datos_originales!$E70</f>
        <v>#DIV/0!</v>
      </c>
      <c r="AQ151" s="6" t="str">
        <f>Datos_originales!$Q70/Datos_originales!$E70</f>
        <v>#DIV/0!</v>
      </c>
      <c r="AR151" s="6" t="str">
        <f>Datos_originales!$R70/Datos_originales!$E70</f>
        <v>#DIV/0!</v>
      </c>
      <c r="AS151" s="6" t="str">
        <f>Datos_originales!$S70/Datos_originales!$E70</f>
        <v>#DIV/0!</v>
      </c>
      <c r="AT151" s="6" t="str">
        <f>Datos_originales!$T70/Datos_originales!$E70</f>
        <v>#DIV/0!</v>
      </c>
      <c r="AU151" s="6" t="str">
        <f>Datos_originales!$U70/Datos_originales!$E70</f>
        <v>#DIV/0!</v>
      </c>
      <c r="AV151" s="6" t="str">
        <f>Datos_originales!$V70/Datos_originales!$E70</f>
        <v>#DIV/0!</v>
      </c>
      <c r="AW151" s="6" t="str">
        <f>Datos_originales!$W70/Datos_originales!$E70</f>
        <v>#DIV/0!</v>
      </c>
      <c r="AX151" s="6" t="str">
        <f>Datos_originales!$X70/Datos_originales!$E70</f>
        <v>#DIV/0!</v>
      </c>
      <c r="AY151" s="6" t="str">
        <f>Datos_originales!$Y70/Datos_originales!$E70</f>
        <v>#DIV/0!</v>
      </c>
      <c r="AZ151" s="6" t="str">
        <f>Datos_originales!$Z70/Datos_originales!$E70</f>
        <v>#DIV/0!</v>
      </c>
      <c r="BA151" s="6" t="str">
        <f>Datos_originales!$AA70/Datos_originales!$E70</f>
        <v>#DIV/0!</v>
      </c>
      <c r="BB151" s="6" t="str">
        <f>Datos_originales!$AB70/Datos_originales!$E70</f>
        <v>#DIV/0!</v>
      </c>
      <c r="BC151" s="6" t="str">
        <f>Datos_originales!$AC70/Datos_originales!$E70</f>
        <v>#DIV/0!</v>
      </c>
      <c r="BD151" s="6" t="str">
        <f>Datos_originales!$AD70/Datos_originales!$E70</f>
        <v>#DIV/0!</v>
      </c>
      <c r="BE151" s="6" t="str">
        <f>Datos_originales!$AE70/Datos_originales!$E70</f>
        <v>#DIV/0!</v>
      </c>
      <c r="BF151" s="6" t="str">
        <f>Datos_originales!$AF70/Datos_originales!$E70</f>
        <v>#DIV/0!</v>
      </c>
      <c r="BG151" s="6" t="str">
        <f>Datos_originales!$AG70/Datos_originales!$E70</f>
        <v>#DIV/0!</v>
      </c>
    </row>
    <row r="152" ht="15.75" customHeight="1">
      <c r="A152" s="2">
        <v>31205.0</v>
      </c>
      <c r="B152" s="3" t="s">
        <v>177</v>
      </c>
      <c r="C152" s="4" t="s">
        <v>211</v>
      </c>
      <c r="D152" s="4">
        <f>IF(Datos_originales!$E152&lt;1000,"Bosque menor a 1000 ha",Datos_originales!$E152)</f>
        <v>123398.37</v>
      </c>
      <c r="E152" s="4">
        <v>123398.37</v>
      </c>
      <c r="F152" s="5">
        <f>AVERAGE(Datos_originales!$H84:$J84)</f>
        <v>0.3</v>
      </c>
      <c r="G152" s="5">
        <f>AVERAGE(Datos_originales!$R84:$T84)</f>
        <v>16.68</v>
      </c>
      <c r="H152" s="4">
        <v>1312.11</v>
      </c>
      <c r="I152" s="4">
        <v>1573.65</v>
      </c>
      <c r="J152" s="4">
        <v>2315.79</v>
      </c>
      <c r="K152" s="4">
        <v>1473.93</v>
      </c>
      <c r="L152" s="4">
        <v>1162.53</v>
      </c>
      <c r="M152" s="4">
        <v>1509.57</v>
      </c>
      <c r="N152" s="4">
        <v>1629.0</v>
      </c>
      <c r="O152" s="4">
        <v>1298.79</v>
      </c>
      <c r="P152" s="4">
        <v>2679.39</v>
      </c>
      <c r="Q152" s="4">
        <v>3707.82</v>
      </c>
      <c r="R152" s="4">
        <v>422.91</v>
      </c>
      <c r="S152" s="4">
        <v>3153.78</v>
      </c>
      <c r="T152" s="4">
        <v>2219.04</v>
      </c>
      <c r="U152" s="4">
        <v>1999.89</v>
      </c>
      <c r="V152" s="4">
        <v>1995.48</v>
      </c>
      <c r="W152" s="4">
        <v>2780.73</v>
      </c>
      <c r="X152" s="4">
        <v>2032.38</v>
      </c>
      <c r="Y152" s="4">
        <v>1345.59</v>
      </c>
      <c r="Z152" s="4">
        <v>1718.82</v>
      </c>
      <c r="AA152" s="4">
        <v>1941.66</v>
      </c>
      <c r="AB152" s="4">
        <v>1659.78</v>
      </c>
      <c r="AC152" s="4">
        <v>2927.7</v>
      </c>
      <c r="AD152" s="4">
        <v>4068.27</v>
      </c>
      <c r="AE152" s="4">
        <v>580.77</v>
      </c>
      <c r="AF152" s="4">
        <v>3755.79</v>
      </c>
      <c r="AG152" s="4">
        <v>2308.59</v>
      </c>
      <c r="AH152" s="6">
        <f>Datos_originales!$H84/Datos_originales!$E84</f>
        <v>0.0001544163064</v>
      </c>
      <c r="AI152" s="6">
        <f>Datos_originales!$I84/Datos_originales!$E84</f>
        <v>0.0001029442042</v>
      </c>
      <c r="AJ152" s="6">
        <f>Datos_originales!$J84/Datos_originales!$E84</f>
        <v>0.0002573605106</v>
      </c>
      <c r="AK152" s="6">
        <f>Datos_originales!$K84/Datos_originales!$E84</f>
        <v>0.0001544163064</v>
      </c>
      <c r="AL152" s="6">
        <f>Datos_originales!$L84/Datos_originales!$E84</f>
        <v>0.0001029442042</v>
      </c>
      <c r="AM152" s="6">
        <f>Datos_originales!$M84/Datos_originales!$E84</f>
        <v>0</v>
      </c>
      <c r="AN152" s="6">
        <f>Datos_originales!$N84/Datos_originales!$E84</f>
        <v>0</v>
      </c>
      <c r="AO152" s="6">
        <f>Datos_originales!$O84/Datos_originales!$E84</f>
        <v>0.00005147210212</v>
      </c>
      <c r="AP152" s="6">
        <f>Datos_originales!$P84/Datos_originales!$E84</f>
        <v>0.00005147210212</v>
      </c>
      <c r="AQ152" s="6">
        <f>Datos_originales!$Q84/Datos_originales!$E84</f>
        <v>0</v>
      </c>
      <c r="AR152" s="6">
        <f>Datos_originales!$R84/Datos_originales!$E84</f>
        <v>0</v>
      </c>
      <c r="AS152" s="6">
        <f>Datos_originales!$S84/Datos_originales!$E84</f>
        <v>0.005044266008</v>
      </c>
      <c r="AT152" s="6">
        <f>Datos_originales!$T84/Datos_originales!$E84</f>
        <v>0.02357422277</v>
      </c>
      <c r="AU152" s="6">
        <f>Datos_originales!$U84/Datos_originales!$E84</f>
        <v>0.008544368952</v>
      </c>
      <c r="AV152" s="6">
        <f>Datos_originales!$V84/Datos_originales!$E84</f>
        <v>0.005507514927</v>
      </c>
      <c r="AW152" s="6">
        <f>Datos_originales!$W84/Datos_originales!$E84</f>
        <v>0.01034589253</v>
      </c>
      <c r="AX152" s="6">
        <f>Datos_originales!$X84/Datos_originales!$E84</f>
        <v>0.002882437719</v>
      </c>
      <c r="AY152" s="6">
        <f>Datos_originales!$Y84/Datos_originales!$E84</f>
        <v>0.002470660902</v>
      </c>
      <c r="AZ152" s="6">
        <f>Datos_originales!$Z84/Datos_originales!$E84</f>
        <v>0.001338274655</v>
      </c>
      <c r="BA152" s="6">
        <f>Datos_originales!$AA84/Datos_originales!$E84</f>
        <v>0.001852995676</v>
      </c>
      <c r="BB152" s="6">
        <f>Datos_originales!$AB84/Datos_originales!$E84</f>
        <v>0.002367716698</v>
      </c>
      <c r="BC152" s="6">
        <f>Datos_originales!$AC84/Datos_originales!$E84</f>
        <v>0.003345686638</v>
      </c>
      <c r="BD152" s="6">
        <f>Datos_originales!$AD84/Datos_originales!$E84</f>
        <v>0.002728021412</v>
      </c>
      <c r="BE152" s="6">
        <f>Datos_originales!$AE84/Datos_originales!$E84</f>
        <v>0.002161828289</v>
      </c>
      <c r="BF152" s="6">
        <f>Datos_originales!$AF84/Datos_originales!$E84</f>
        <v>0.006845789582</v>
      </c>
      <c r="BG152" s="6">
        <f>Datos_originales!$AG84/Datos_originales!$E84</f>
        <v>0.0873996294</v>
      </c>
    </row>
    <row r="153" ht="15.75" customHeight="1">
      <c r="A153" s="2">
        <v>31206.0</v>
      </c>
      <c r="B153" s="3" t="s">
        <v>177</v>
      </c>
      <c r="C153" s="4" t="s">
        <v>212</v>
      </c>
      <c r="D153" s="4">
        <f>IF(Datos_originales!$E153&lt;1000,"Bosque menor a 1000 ha",Datos_originales!$E153)</f>
        <v>171517.41</v>
      </c>
      <c r="E153" s="4">
        <v>171517.41</v>
      </c>
      <c r="F153" s="5">
        <f>AVERAGE(Datos_originales!$H103:$J103)</f>
        <v>75.9</v>
      </c>
      <c r="G153" s="5">
        <f>AVERAGE(Datos_originales!$R103:$T103)</f>
        <v>420.12</v>
      </c>
      <c r="H153" s="4">
        <v>1964.16</v>
      </c>
      <c r="I153" s="4">
        <v>1389.6</v>
      </c>
      <c r="J153" s="4">
        <v>1753.11</v>
      </c>
      <c r="K153" s="4">
        <v>1136.61</v>
      </c>
      <c r="L153" s="4">
        <v>1008.9</v>
      </c>
      <c r="M153" s="4">
        <v>984.42</v>
      </c>
      <c r="N153" s="4">
        <v>1050.75</v>
      </c>
      <c r="O153" s="4">
        <v>988.29</v>
      </c>
      <c r="P153" s="4">
        <v>1538.64</v>
      </c>
      <c r="Q153" s="4">
        <v>2700.63</v>
      </c>
      <c r="R153" s="4">
        <v>321.93</v>
      </c>
      <c r="S153" s="4">
        <v>2902.5</v>
      </c>
      <c r="T153" s="4">
        <v>2294.28</v>
      </c>
      <c r="U153" s="4">
        <v>2471.31</v>
      </c>
      <c r="V153" s="4">
        <v>1616.58</v>
      </c>
      <c r="W153" s="4">
        <v>1980.09</v>
      </c>
      <c r="X153" s="4">
        <v>1329.75</v>
      </c>
      <c r="Y153" s="4">
        <v>1115.37</v>
      </c>
      <c r="Z153" s="4">
        <v>1147.32</v>
      </c>
      <c r="AA153" s="4">
        <v>1256.85</v>
      </c>
      <c r="AB153" s="4">
        <v>1254.24</v>
      </c>
      <c r="AC153" s="4">
        <v>1675.62</v>
      </c>
      <c r="AD153" s="4">
        <v>3055.68</v>
      </c>
      <c r="AE153" s="4">
        <v>347.67</v>
      </c>
      <c r="AF153" s="4">
        <v>3510.54</v>
      </c>
      <c r="AG153" s="4">
        <v>2345.85</v>
      </c>
      <c r="AH153" s="6">
        <f>Datos_originales!$H103/Datos_originales!$E103</f>
        <v>0.001144917039</v>
      </c>
      <c r="AI153" s="6">
        <f>Datos_originales!$I103/Datos_originales!$E103</f>
        <v>0.0006195307055</v>
      </c>
      <c r="AJ153" s="6">
        <f>Datos_originales!$J103/Datos_originales!$E103</f>
        <v>0.002077250013</v>
      </c>
      <c r="AK153" s="6">
        <f>Datos_originales!$K103/Datos_originales!$E103</f>
        <v>0.001636897305</v>
      </c>
      <c r="AL153" s="6">
        <f>Datos_originales!$L103/Datos_originales!$E103</f>
        <v>0.0009277776006</v>
      </c>
      <c r="AM153" s="6">
        <f>Datos_originales!$M103/Datos_originales!$E103</f>
        <v>0.0004464265378</v>
      </c>
      <c r="AN153" s="6">
        <f>Datos_originales!$N103/Datos_originales!$E103</f>
        <v>0.001117584802</v>
      </c>
      <c r="AO153" s="6">
        <f>Datos_originales!$O103/Datos_originales!$E103</f>
        <v>0.0009308145158</v>
      </c>
      <c r="AP153" s="6">
        <f>Datos_originales!$P103/Datos_originales!$E103</f>
        <v>0.001626268102</v>
      </c>
      <c r="AQ153" s="6">
        <f>Datos_originales!$Q103/Datos_originales!$E103</f>
        <v>0.0009050007365</v>
      </c>
      <c r="AR153" s="6">
        <f>Datos_originales!$R103/Datos_originales!$E103</f>
        <v>0.0007744133819</v>
      </c>
      <c r="AS153" s="6">
        <f>Datos_originales!$S103/Datos_originales!$E103</f>
        <v>0.01896705403</v>
      </c>
      <c r="AT153" s="6">
        <f>Datos_originales!$T103/Datos_originales!$E103</f>
        <v>0.001523012984</v>
      </c>
      <c r="AU153" s="6">
        <f>Datos_originales!$U103/Datos_originales!$E103</f>
        <v>0.001319539664</v>
      </c>
      <c r="AV153" s="6">
        <f>Datos_originales!$V103/Datos_originales!$E103</f>
        <v>0.0007015274165</v>
      </c>
      <c r="AW153" s="6">
        <f>Datos_originales!$W103/Datos_originales!$E103</f>
        <v>0.002528231923</v>
      </c>
      <c r="AX153" s="6">
        <f>Datos_originales!$X103/Datos_originales!$E103</f>
        <v>0.001711301728</v>
      </c>
      <c r="AY153" s="6">
        <f>Datos_originales!$Y103/Datos_originales!$E103</f>
        <v>0.0009930712779</v>
      </c>
      <c r="AZ153" s="6">
        <f>Datos_originales!$Z103/Datos_originales!$E103</f>
        <v>0.0004813510628</v>
      </c>
      <c r="BA153" s="6">
        <f>Datos_originales!$AA103/Datos_originales!$E103</f>
        <v>0.001169212361</v>
      </c>
      <c r="BB153" s="6">
        <f>Datos_originales!$AB103/Datos_originales!$E103</f>
        <v>0.0009885159051</v>
      </c>
      <c r="BC153" s="6">
        <f>Datos_originales!$AC103/Datos_originales!$E103</f>
        <v>0.001682451034</v>
      </c>
      <c r="BD153" s="6">
        <f>Datos_originales!$AD103/Datos_originales!$E103</f>
        <v>0.001026477345</v>
      </c>
      <c r="BE153" s="6">
        <f>Datos_originales!$AE103/Datos_originales!$E103</f>
        <v>0.0007850425851</v>
      </c>
      <c r="BF153" s="6">
        <f>Datos_originales!$AF103/Datos_originales!$E103</f>
        <v>0.01927074555</v>
      </c>
      <c r="BG153" s="6">
        <f>Datos_originales!$AG103/Datos_originales!$E103</f>
        <v>0.002628450126</v>
      </c>
    </row>
    <row r="154" ht="15.75" customHeight="1">
      <c r="A154" s="2">
        <v>31301.0</v>
      </c>
      <c r="B154" s="3" t="s">
        <v>177</v>
      </c>
      <c r="C154" s="4" t="s">
        <v>213</v>
      </c>
      <c r="D154" s="4">
        <f>IF(Datos_originales!$E154&lt;1000,"Bosque menor a 1000 ha",Datos_originales!$E154)</f>
        <v>18117.72</v>
      </c>
      <c r="E154" s="4">
        <v>18117.72</v>
      </c>
      <c r="F154" s="5">
        <f>AVERAGE(Datos_originales!$H220:$J220)</f>
        <v>0.87</v>
      </c>
      <c r="G154" s="5">
        <f>AVERAGE(Datos_originales!$R220:$T220)</f>
        <v>4.74</v>
      </c>
      <c r="H154" s="4">
        <v>0.99</v>
      </c>
      <c r="I154" s="4">
        <v>0.18</v>
      </c>
      <c r="J154" s="4">
        <v>0.36</v>
      </c>
      <c r="K154" s="4">
        <v>0.09</v>
      </c>
      <c r="L154" s="4">
        <v>0.09</v>
      </c>
      <c r="M154" s="4">
        <v>2.52</v>
      </c>
      <c r="N154" s="4">
        <v>0.0</v>
      </c>
      <c r="O154" s="4">
        <v>0.72</v>
      </c>
      <c r="P154" s="4">
        <v>3.69</v>
      </c>
      <c r="Q154" s="4">
        <v>0.18</v>
      </c>
      <c r="R154" s="4">
        <v>3.42</v>
      </c>
      <c r="S154" s="4">
        <v>16.74</v>
      </c>
      <c r="T154" s="4">
        <v>7.02</v>
      </c>
      <c r="U154" s="4">
        <v>20.25</v>
      </c>
      <c r="V154" s="4">
        <v>26.82</v>
      </c>
      <c r="W154" s="4">
        <v>246.15</v>
      </c>
      <c r="X154" s="4">
        <v>29.07</v>
      </c>
      <c r="Y154" s="4">
        <v>11.61</v>
      </c>
      <c r="Z154" s="4">
        <v>49.5</v>
      </c>
      <c r="AA154" s="4">
        <v>81.72</v>
      </c>
      <c r="AB154" s="4">
        <v>121.77</v>
      </c>
      <c r="AC154" s="4">
        <v>123.39</v>
      </c>
      <c r="AD154" s="4">
        <v>1.98</v>
      </c>
      <c r="AE154" s="4">
        <v>8.28</v>
      </c>
      <c r="AF154" s="4">
        <v>67.23</v>
      </c>
      <c r="AG154" s="4">
        <v>8.46</v>
      </c>
      <c r="AH154" s="6">
        <f>Datos_originales!$H220/Datos_originales!$E220</f>
        <v>0.008960573477</v>
      </c>
      <c r="AI154" s="6">
        <f>Datos_originales!$I220/Datos_originales!$E220</f>
        <v>0.01254480287</v>
      </c>
      <c r="AJ154" s="6">
        <f>Datos_originales!$J220/Datos_originales!$E220</f>
        <v>0.004480286738</v>
      </c>
      <c r="AK154" s="6">
        <f>Datos_originales!$K220/Datos_originales!$E220</f>
        <v>0.002688172043</v>
      </c>
      <c r="AL154" s="6">
        <f>Datos_originales!$L220/Datos_originales!$E220</f>
        <v>0.007168458781</v>
      </c>
      <c r="AM154" s="6">
        <f>Datos_originales!$M220/Datos_originales!$E220</f>
        <v>0.002688172043</v>
      </c>
      <c r="AN154" s="6">
        <f>Datos_originales!$N220/Datos_originales!$E220</f>
        <v>0.003584229391</v>
      </c>
      <c r="AO154" s="6">
        <f>Datos_originales!$O220/Datos_originales!$E220</f>
        <v>0.008064516129</v>
      </c>
      <c r="AP154" s="6">
        <f>Datos_originales!$P220/Datos_originales!$E220</f>
        <v>0.003584229391</v>
      </c>
      <c r="AQ154" s="6">
        <f>Datos_originales!$Q220/Datos_originales!$E220</f>
        <v>0.006272401434</v>
      </c>
      <c r="AR154" s="6">
        <f>Datos_originales!$R220/Datos_originales!$E220</f>
        <v>0</v>
      </c>
      <c r="AS154" s="6">
        <f>Datos_originales!$S220/Datos_originales!$E220</f>
        <v>0.001792114695</v>
      </c>
      <c r="AT154" s="6">
        <f>Datos_originales!$T220/Datos_originales!$E220</f>
        <v>0.1397849462</v>
      </c>
      <c r="AU154" s="6">
        <f>Datos_originales!$U220/Datos_originales!$E220</f>
        <v>0.02240143369</v>
      </c>
      <c r="AV154" s="6">
        <f>Datos_originales!$V220/Datos_originales!$E220</f>
        <v>0.01523297491</v>
      </c>
      <c r="AW154" s="6">
        <f>Datos_originales!$W220/Datos_originales!$E220</f>
        <v>0.01971326165</v>
      </c>
      <c r="AX154" s="6">
        <f>Datos_originales!$X220/Datos_originales!$E220</f>
        <v>0.006272401434</v>
      </c>
      <c r="AY154" s="6">
        <f>Datos_originales!$Y220/Datos_originales!$E220</f>
        <v>0.009856630824</v>
      </c>
      <c r="AZ154" s="6">
        <f>Datos_originales!$Z220/Datos_originales!$E220</f>
        <v>0.006272401434</v>
      </c>
      <c r="BA154" s="6">
        <f>Datos_originales!$AA220/Datos_originales!$E220</f>
        <v>0.01164874552</v>
      </c>
      <c r="BB154" s="6">
        <f>Datos_originales!$AB220/Datos_originales!$E220</f>
        <v>0.01254480287</v>
      </c>
      <c r="BC154" s="6">
        <f>Datos_originales!$AC220/Datos_originales!$E220</f>
        <v>0.004480286738</v>
      </c>
      <c r="BD154" s="6">
        <f>Datos_originales!$AD220/Datos_originales!$E220</f>
        <v>0.01254480287</v>
      </c>
      <c r="BE154" s="6">
        <f>Datos_originales!$AE220/Datos_originales!$E220</f>
        <v>0</v>
      </c>
      <c r="BF154" s="6">
        <f>Datos_originales!$AF220/Datos_originales!$E220</f>
        <v>0.007168458781</v>
      </c>
      <c r="BG154" s="6">
        <f>Datos_originales!$AG220/Datos_originales!$E220</f>
        <v>0.3817204301</v>
      </c>
    </row>
    <row r="155" ht="15.75" customHeight="1">
      <c r="A155" s="2">
        <v>31302.0</v>
      </c>
      <c r="B155" s="3" t="s">
        <v>177</v>
      </c>
      <c r="C155" s="4" t="s">
        <v>214</v>
      </c>
      <c r="D155" s="4">
        <f>IF(Datos_originales!$E155&lt;1000,"Bosque menor a 1000 ha",Datos_originales!$E155)</f>
        <v>4788.45</v>
      </c>
      <c r="E155" s="4">
        <v>4788.45</v>
      </c>
      <c r="F155" s="5">
        <f>AVERAGE(Datos_originales!$H232:$J232)</f>
        <v>0.24</v>
      </c>
      <c r="G155" s="5">
        <f>AVERAGE(Datos_originales!$R232:$T232)</f>
        <v>0.99</v>
      </c>
      <c r="H155" s="4">
        <v>0.36</v>
      </c>
      <c r="I155" s="4">
        <v>0.0</v>
      </c>
      <c r="J155" s="4">
        <v>0.18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0.81</v>
      </c>
      <c r="Q155" s="4">
        <v>1.26</v>
      </c>
      <c r="R155" s="4">
        <v>2.7</v>
      </c>
      <c r="S155" s="4">
        <v>3.42</v>
      </c>
      <c r="T155" s="4">
        <v>0.18</v>
      </c>
      <c r="U155" s="4">
        <v>11.52</v>
      </c>
      <c r="V155" s="4">
        <v>17.73</v>
      </c>
      <c r="W155" s="4">
        <v>78.39</v>
      </c>
      <c r="X155" s="4">
        <v>23.94</v>
      </c>
      <c r="Y155" s="4">
        <v>7.65</v>
      </c>
      <c r="Z155" s="4">
        <v>43.47</v>
      </c>
      <c r="AA155" s="4">
        <v>29.52</v>
      </c>
      <c r="AB155" s="4">
        <v>145.44</v>
      </c>
      <c r="AC155" s="4">
        <v>150.12</v>
      </c>
      <c r="AD155" s="4">
        <v>2.43</v>
      </c>
      <c r="AE155" s="4">
        <v>5.67</v>
      </c>
      <c r="AF155" s="4">
        <v>31.23</v>
      </c>
      <c r="AG155" s="4">
        <v>0.36</v>
      </c>
      <c r="AH155" s="6">
        <f>Datos_originales!$H232/Datos_originales!$E232</f>
        <v>0.0002020610224</v>
      </c>
      <c r="AI155" s="6">
        <f>Datos_originales!$I232/Datos_originales!$E232</f>
        <v>0.0004041220449</v>
      </c>
      <c r="AJ155" s="6">
        <f>Datos_originales!$J232/Datos_originales!$E232</f>
        <v>0.001010305112</v>
      </c>
      <c r="AK155" s="6">
        <f>Datos_originales!$K232/Datos_originales!$E232</f>
        <v>0.0008082440897</v>
      </c>
      <c r="AL155" s="6">
        <f>Datos_originales!$L232/Datos_originales!$E232</f>
        <v>0.001010305112</v>
      </c>
      <c r="AM155" s="6">
        <f>Datos_originales!$M232/Datos_originales!$E232</f>
        <v>0.0008082440897</v>
      </c>
      <c r="AN155" s="6">
        <f>Datos_originales!$N232/Datos_originales!$E232</f>
        <v>0.00585976965</v>
      </c>
      <c r="AO155" s="6">
        <f>Datos_originales!$O232/Datos_originales!$E232</f>
        <v>0.003232976359</v>
      </c>
      <c r="AP155" s="6">
        <f>Datos_originales!$P232/Datos_originales!$E232</f>
        <v>0.001010305112</v>
      </c>
      <c r="AQ155" s="6">
        <f>Datos_originales!$Q232/Datos_originales!$E232</f>
        <v>0.001818549202</v>
      </c>
      <c r="AR155" s="6">
        <f>Datos_originales!$R232/Datos_originales!$E232</f>
        <v>0</v>
      </c>
      <c r="AS155" s="6">
        <f>Datos_originales!$S232/Datos_originales!$E232</f>
        <v>0.002020610224</v>
      </c>
      <c r="AT155" s="6">
        <f>Datos_originales!$T232/Datos_originales!$E232</f>
        <v>0.004647403516</v>
      </c>
      <c r="AU155" s="6">
        <f>Datos_originales!$U232/Datos_originales!$E232</f>
        <v>0.003637098404</v>
      </c>
      <c r="AV155" s="6">
        <f>Datos_originales!$V232/Datos_originales!$E232</f>
        <v>0.004445342493</v>
      </c>
      <c r="AW155" s="6">
        <f>Datos_originales!$W232/Datos_originales!$E232</f>
        <v>0.01919579713</v>
      </c>
      <c r="AX155" s="6">
        <f>Datos_originales!$X232/Datos_originales!$E232</f>
        <v>0.001010305112</v>
      </c>
      <c r="AY155" s="6">
        <f>Datos_originales!$Y232/Datos_originales!$E232</f>
        <v>0.001414427157</v>
      </c>
      <c r="AZ155" s="6">
        <f>Datos_originales!$Z232/Datos_originales!$E232</f>
        <v>0.001414427157</v>
      </c>
      <c r="BA155" s="6">
        <f>Datos_originales!$AA232/Datos_originales!$E232</f>
        <v>0.00747625783</v>
      </c>
      <c r="BB155" s="6">
        <f>Datos_originales!$AB232/Datos_originales!$E232</f>
        <v>0.004041220449</v>
      </c>
      <c r="BC155" s="6">
        <f>Datos_originales!$AC232/Datos_originales!$E232</f>
        <v>0.002828854314</v>
      </c>
      <c r="BD155" s="6">
        <f>Datos_originales!$AD232/Datos_originales!$E232</f>
        <v>0.004445342493</v>
      </c>
      <c r="BE155" s="6">
        <f>Datos_originales!$AE232/Datos_originales!$E232</f>
        <v>0.0002020610224</v>
      </c>
      <c r="BF155" s="6">
        <f>Datos_originales!$AF232/Datos_originales!$E232</f>
        <v>0.004445342493</v>
      </c>
      <c r="BG155" s="6">
        <f>Datos_originales!$AG232/Datos_originales!$E232</f>
        <v>0.3228935138</v>
      </c>
    </row>
    <row r="156" ht="15.75" customHeight="1">
      <c r="A156" s="2">
        <v>31303.0</v>
      </c>
      <c r="B156" s="3" t="s">
        <v>177</v>
      </c>
      <c r="C156" s="4" t="s">
        <v>215</v>
      </c>
      <c r="D156" s="4" t="str">
        <f>IF(Datos_originales!$E156&lt;1000,"Bosque menor a 1000 ha",Datos_originales!$E156)</f>
        <v>Bosque menor a 1000 ha</v>
      </c>
      <c r="E156" s="4">
        <v>688.14</v>
      </c>
      <c r="F156" s="5">
        <f>AVERAGE(Datos_originales!$H222:$J222)</f>
        <v>0</v>
      </c>
      <c r="G156" s="5">
        <f>AVERAGE(Datos_originales!$R222:$T222)</f>
        <v>0</v>
      </c>
      <c r="H156" s="4">
        <v>0.0</v>
      </c>
      <c r="I156" s="4">
        <v>0.0</v>
      </c>
      <c r="J156" s="4">
        <v>0.09</v>
      </c>
      <c r="K156" s="4">
        <v>0.0</v>
      </c>
      <c r="L156" s="4">
        <v>0.09</v>
      </c>
      <c r="M156" s="4">
        <v>0.0</v>
      </c>
      <c r="N156" s="4">
        <v>0.09</v>
      </c>
      <c r="O156" s="4">
        <v>0.0</v>
      </c>
      <c r="P156" s="4">
        <v>0.0</v>
      </c>
      <c r="Q156" s="4">
        <v>0.45</v>
      </c>
      <c r="R156" s="4">
        <v>1.71</v>
      </c>
      <c r="S156" s="4">
        <v>3.42</v>
      </c>
      <c r="T156" s="4">
        <v>0.18</v>
      </c>
      <c r="U156" s="4">
        <v>1.26</v>
      </c>
      <c r="V156" s="4">
        <v>2.43</v>
      </c>
      <c r="W156" s="4">
        <v>13.41</v>
      </c>
      <c r="X156" s="4">
        <v>5.22</v>
      </c>
      <c r="Y156" s="4">
        <v>3.33</v>
      </c>
      <c r="Z156" s="4">
        <v>11.97</v>
      </c>
      <c r="AA156" s="4">
        <v>23.94</v>
      </c>
      <c r="AB156" s="4">
        <v>24.48</v>
      </c>
      <c r="AC156" s="4">
        <v>10.44</v>
      </c>
      <c r="AD156" s="4">
        <v>1.44</v>
      </c>
      <c r="AE156" s="4">
        <v>2.43</v>
      </c>
      <c r="AF156" s="4">
        <v>28.62</v>
      </c>
      <c r="AG156" s="4">
        <v>0.18</v>
      </c>
      <c r="AH156" s="6">
        <f>Datos_originales!$H222/Datos_originales!$E222</f>
        <v>0</v>
      </c>
      <c r="AI156" s="6">
        <f>Datos_originales!$I222/Datos_originales!$E222</f>
        <v>0</v>
      </c>
      <c r="AJ156" s="6">
        <f>Datos_originales!$J222/Datos_originales!$E222</f>
        <v>0</v>
      </c>
      <c r="AK156" s="6">
        <f>Datos_originales!$K222/Datos_originales!$E222</f>
        <v>0</v>
      </c>
      <c r="AL156" s="6">
        <f>Datos_originales!$L222/Datos_originales!$E222</f>
        <v>0</v>
      </c>
      <c r="AM156" s="6">
        <f>Datos_originales!$M222/Datos_originales!$E222</f>
        <v>0</v>
      </c>
      <c r="AN156" s="6">
        <f>Datos_originales!$N222/Datos_originales!$E222</f>
        <v>0</v>
      </c>
      <c r="AO156" s="6">
        <f>Datos_originales!$O222/Datos_originales!$E222</f>
        <v>0</v>
      </c>
      <c r="AP156" s="6">
        <f>Datos_originales!$P222/Datos_originales!$E222</f>
        <v>0</v>
      </c>
      <c r="AQ156" s="6">
        <f>Datos_originales!$Q222/Datos_originales!$E222</f>
        <v>0</v>
      </c>
      <c r="AR156" s="6">
        <f>Datos_originales!$R222/Datos_originales!$E222</f>
        <v>0</v>
      </c>
      <c r="AS156" s="6">
        <f>Datos_originales!$S222/Datos_originales!$E222</f>
        <v>0</v>
      </c>
      <c r="AT156" s="6">
        <f>Datos_originales!$T222/Datos_originales!$E222</f>
        <v>0</v>
      </c>
      <c r="AU156" s="6">
        <f>Datos_originales!$U222/Datos_originales!$E222</f>
        <v>0</v>
      </c>
      <c r="AV156" s="6">
        <f>Datos_originales!$V222/Datos_originales!$E222</f>
        <v>0</v>
      </c>
      <c r="AW156" s="6">
        <f>Datos_originales!$W222/Datos_originales!$E222</f>
        <v>0</v>
      </c>
      <c r="AX156" s="6">
        <f>Datos_originales!$X222/Datos_originales!$E222</f>
        <v>0</v>
      </c>
      <c r="AY156" s="6">
        <f>Datos_originales!$Y222/Datos_originales!$E222</f>
        <v>0</v>
      </c>
      <c r="AZ156" s="6">
        <f>Datos_originales!$Z222/Datos_originales!$E222</f>
        <v>0</v>
      </c>
      <c r="BA156" s="6">
        <f>Datos_originales!$AA222/Datos_originales!$E222</f>
        <v>0</v>
      </c>
      <c r="BB156" s="6">
        <f>Datos_originales!$AB222/Datos_originales!$E222</f>
        <v>0</v>
      </c>
      <c r="BC156" s="6">
        <f>Datos_originales!$AC222/Datos_originales!$E222</f>
        <v>0</v>
      </c>
      <c r="BD156" s="6">
        <f>Datos_originales!$AD222/Datos_originales!$E222</f>
        <v>0</v>
      </c>
      <c r="BE156" s="6">
        <f>Datos_originales!$AE222/Datos_originales!$E222</f>
        <v>0</v>
      </c>
      <c r="BF156" s="6">
        <f>Datos_originales!$AF222/Datos_originales!$E222</f>
        <v>0</v>
      </c>
      <c r="BG156" s="6">
        <f>Datos_originales!$AG222/Datos_originales!$E222</f>
        <v>0</v>
      </c>
    </row>
    <row r="157" ht="15.75" customHeight="1">
      <c r="A157" s="2">
        <v>31304.0</v>
      </c>
      <c r="B157" s="3" t="s">
        <v>177</v>
      </c>
      <c r="C157" s="4" t="s">
        <v>216</v>
      </c>
      <c r="D157" s="4">
        <f>IF(Datos_originales!$E157&lt;1000,"Bosque menor a 1000 ha",Datos_originales!$E157)</f>
        <v>10414.53</v>
      </c>
      <c r="E157" s="4">
        <v>10414.53</v>
      </c>
      <c r="F157" s="5">
        <f>AVERAGE(Datos_originales!$H200:$J200)</f>
        <v>0</v>
      </c>
      <c r="G157" s="5">
        <f>AVERAGE(Datos_originales!$R200:$T200)</f>
        <v>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0.36</v>
      </c>
      <c r="N157" s="4">
        <v>0.0</v>
      </c>
      <c r="O157" s="4">
        <v>0.0</v>
      </c>
      <c r="P157" s="4">
        <v>0.45</v>
      </c>
      <c r="Q157" s="4">
        <v>0.0</v>
      </c>
      <c r="R157" s="4">
        <v>0.0</v>
      </c>
      <c r="S157" s="4">
        <v>0.81</v>
      </c>
      <c r="T157" s="4">
        <v>0.36</v>
      </c>
      <c r="U157" s="4">
        <v>9.0</v>
      </c>
      <c r="V157" s="4">
        <v>11.52</v>
      </c>
      <c r="W157" s="4">
        <v>93.69</v>
      </c>
      <c r="X157" s="4">
        <v>7.74</v>
      </c>
      <c r="Y157" s="4">
        <v>4.32</v>
      </c>
      <c r="Z157" s="4">
        <v>8.01</v>
      </c>
      <c r="AA157" s="4">
        <v>8.19</v>
      </c>
      <c r="AB157" s="4">
        <v>27.36</v>
      </c>
      <c r="AC157" s="4">
        <v>65.25</v>
      </c>
      <c r="AD157" s="4">
        <v>0.81</v>
      </c>
      <c r="AE157" s="4">
        <v>0.36</v>
      </c>
      <c r="AF157" s="4">
        <v>9.99</v>
      </c>
      <c r="AG157" s="4">
        <v>14.94</v>
      </c>
      <c r="AH157" s="6" t="str">
        <f>Datos_originales!$H200/Datos_originales!$E200</f>
        <v>#DIV/0!</v>
      </c>
      <c r="AI157" s="6" t="str">
        <f>Datos_originales!$I200/Datos_originales!$E200</f>
        <v>#DIV/0!</v>
      </c>
      <c r="AJ157" s="6" t="str">
        <f>Datos_originales!$J200/Datos_originales!$E200</f>
        <v>#DIV/0!</v>
      </c>
      <c r="AK157" s="6" t="str">
        <f>Datos_originales!$K200/Datos_originales!$E200</f>
        <v>#DIV/0!</v>
      </c>
      <c r="AL157" s="6" t="str">
        <f>Datos_originales!$L200/Datos_originales!$E200</f>
        <v>#DIV/0!</v>
      </c>
      <c r="AM157" s="6" t="str">
        <f>Datos_originales!$M200/Datos_originales!$E200</f>
        <v>#DIV/0!</v>
      </c>
      <c r="AN157" s="6" t="str">
        <f>Datos_originales!$N200/Datos_originales!$E200</f>
        <v>#DIV/0!</v>
      </c>
      <c r="AO157" s="6" t="str">
        <f>Datos_originales!$O200/Datos_originales!$E200</f>
        <v>#DIV/0!</v>
      </c>
      <c r="AP157" s="6" t="str">
        <f>Datos_originales!$P200/Datos_originales!$E200</f>
        <v>#DIV/0!</v>
      </c>
      <c r="AQ157" s="6" t="str">
        <f>Datos_originales!$Q200/Datos_originales!$E200</f>
        <v>#DIV/0!</v>
      </c>
      <c r="AR157" s="6" t="str">
        <f>Datos_originales!$R200/Datos_originales!$E200</f>
        <v>#DIV/0!</v>
      </c>
      <c r="AS157" s="6" t="str">
        <f>Datos_originales!$S200/Datos_originales!$E200</f>
        <v>#DIV/0!</v>
      </c>
      <c r="AT157" s="6" t="str">
        <f>Datos_originales!$T200/Datos_originales!$E200</f>
        <v>#DIV/0!</v>
      </c>
      <c r="AU157" s="6" t="str">
        <f>Datos_originales!$U200/Datos_originales!$E200</f>
        <v>#DIV/0!</v>
      </c>
      <c r="AV157" s="6" t="str">
        <f>Datos_originales!$V200/Datos_originales!$E200</f>
        <v>#DIV/0!</v>
      </c>
      <c r="AW157" s="6" t="str">
        <f>Datos_originales!$W200/Datos_originales!$E200</f>
        <v>#DIV/0!</v>
      </c>
      <c r="AX157" s="6" t="str">
        <f>Datos_originales!$X200/Datos_originales!$E200</f>
        <v>#DIV/0!</v>
      </c>
      <c r="AY157" s="6" t="str">
        <f>Datos_originales!$Y200/Datos_originales!$E200</f>
        <v>#DIV/0!</v>
      </c>
      <c r="AZ157" s="6" t="str">
        <f>Datos_originales!$Z200/Datos_originales!$E200</f>
        <v>#DIV/0!</v>
      </c>
      <c r="BA157" s="6" t="str">
        <f>Datos_originales!$AA200/Datos_originales!$E200</f>
        <v>#DIV/0!</v>
      </c>
      <c r="BB157" s="6" t="str">
        <f>Datos_originales!$AB200/Datos_originales!$E200</f>
        <v>#DIV/0!</v>
      </c>
      <c r="BC157" s="6" t="str">
        <f>Datos_originales!$AC200/Datos_originales!$E200</f>
        <v>#DIV/0!</v>
      </c>
      <c r="BD157" s="6" t="str">
        <f>Datos_originales!$AD200/Datos_originales!$E200</f>
        <v>#DIV/0!</v>
      </c>
      <c r="BE157" s="6" t="str">
        <f>Datos_originales!$AE200/Datos_originales!$E200</f>
        <v>#DIV/0!</v>
      </c>
      <c r="BF157" s="6" t="str">
        <f>Datos_originales!$AF200/Datos_originales!$E200</f>
        <v>#DIV/0!</v>
      </c>
      <c r="BG157" s="6" t="str">
        <f>Datos_originales!$AG200/Datos_originales!$E200</f>
        <v>#DIV/0!</v>
      </c>
    </row>
    <row r="158" ht="15.75" customHeight="1">
      <c r="A158" s="2">
        <v>31401.0</v>
      </c>
      <c r="B158" s="3" t="s">
        <v>177</v>
      </c>
      <c r="C158" s="4" t="s">
        <v>217</v>
      </c>
      <c r="D158" s="4" t="str">
        <f>IF(Datos_originales!$E158&lt;1000,"Bosque menor a 1000 ha",Datos_originales!$E158)</f>
        <v>Bosque menor a 1000 ha</v>
      </c>
      <c r="E158" s="4">
        <v>23.04</v>
      </c>
      <c r="F158" s="5">
        <f>AVERAGE(Datos_originales!$H335:$J335)</f>
        <v>249.09</v>
      </c>
      <c r="G158" s="5">
        <f>AVERAGE(Datos_originales!$R335:$T335)</f>
        <v>137.34</v>
      </c>
      <c r="H158" s="4">
        <v>0.9</v>
      </c>
      <c r="I158" s="4">
        <v>1.44</v>
      </c>
      <c r="J158" s="4">
        <v>0.0</v>
      </c>
      <c r="K158" s="4">
        <v>1.44</v>
      </c>
      <c r="L158" s="4">
        <v>0.99</v>
      </c>
      <c r="M158" s="4">
        <v>0.27</v>
      </c>
      <c r="N158" s="4">
        <v>0.63</v>
      </c>
      <c r="O158" s="4">
        <v>0.99</v>
      </c>
      <c r="P158" s="4">
        <v>1.53</v>
      </c>
      <c r="Q158" s="4">
        <v>1.71</v>
      </c>
      <c r="R158" s="4">
        <v>2.07</v>
      </c>
      <c r="S158" s="4">
        <v>1.98</v>
      </c>
      <c r="T158" s="4">
        <v>0.0</v>
      </c>
      <c r="U158" s="4">
        <v>0.9</v>
      </c>
      <c r="V158" s="4">
        <v>1.44</v>
      </c>
      <c r="W158" s="4">
        <v>0.0</v>
      </c>
      <c r="X158" s="4">
        <v>1.62</v>
      </c>
      <c r="Y158" s="4">
        <v>0.99</v>
      </c>
      <c r="Z158" s="4">
        <v>0.27</v>
      </c>
      <c r="AA158" s="4">
        <v>0.81</v>
      </c>
      <c r="AB158" s="4">
        <v>0.99</v>
      </c>
      <c r="AC158" s="4">
        <v>1.53</v>
      </c>
      <c r="AD158" s="4">
        <v>1.71</v>
      </c>
      <c r="AE158" s="4">
        <v>2.07</v>
      </c>
      <c r="AF158" s="4">
        <v>3.42</v>
      </c>
      <c r="AG158" s="4">
        <v>0.0</v>
      </c>
      <c r="AH158" s="6">
        <f>Datos_originales!$H335/Datos_originales!$E335</f>
        <v>0.00146137967</v>
      </c>
      <c r="AI158" s="6">
        <f>Datos_originales!$I335/Datos_originales!$E335</f>
        <v>0.001181469256</v>
      </c>
      <c r="AJ158" s="6">
        <f>Datos_originales!$J335/Datos_originales!$E335</f>
        <v>0.0004683909198</v>
      </c>
      <c r="AK158" s="6">
        <f>Datos_originales!$K335/Datos_originales!$E335</f>
        <v>0.000310636858</v>
      </c>
      <c r="AL158" s="6">
        <f>Datos_originales!$L335/Datos_originales!$E335</f>
        <v>0.0003990690637</v>
      </c>
      <c r="AM158" s="6">
        <f>Datos_originales!$M335/Datos_originales!$E335</f>
        <v>0.0009424025307</v>
      </c>
      <c r="AN158" s="6">
        <f>Datos_originales!$N335/Datos_originales!$E335</f>
        <v>0.0005032392042</v>
      </c>
      <c r="AO158" s="6">
        <f>Datos_originales!$O335/Datos_originales!$E335</f>
        <v>0.0003694667575</v>
      </c>
      <c r="AP158" s="6">
        <f>Datos_originales!$P335/Datos_originales!$E335</f>
        <v>0.001034581864</v>
      </c>
      <c r="AQ158" s="6">
        <f>Datos_originales!$Q335/Datos_originales!$E335</f>
        <v>0.002400409786</v>
      </c>
      <c r="AR158" s="6">
        <f>Datos_originales!$R335/Datos_originales!$E335</f>
        <v>0.000133397734</v>
      </c>
      <c r="AS158" s="6">
        <f>Datos_originales!$S335/Datos_originales!$E335</f>
        <v>0.000575933475</v>
      </c>
      <c r="AT158" s="6">
        <f>Datos_originales!$T335/Datos_originales!$E335</f>
        <v>0.001006103696</v>
      </c>
      <c r="AU158" s="6">
        <f>Datos_originales!$U335/Datos_originales!$E335</f>
        <v>0.006763564882</v>
      </c>
      <c r="AV158" s="6">
        <f>Datos_originales!$V335/Datos_originales!$E335</f>
        <v>0.004353412565</v>
      </c>
      <c r="AW158" s="6">
        <f>Datos_originales!$W335/Datos_originales!$E335</f>
        <v>0.006736210852</v>
      </c>
      <c r="AX158" s="6">
        <f>Datos_originales!$X335/Datos_originales!$E335</f>
        <v>0.004192286089</v>
      </c>
      <c r="AY158" s="6">
        <f>Datos_originales!$Y335/Datos_originales!$E335</f>
        <v>0.002091271779</v>
      </c>
      <c r="AZ158" s="6">
        <f>Datos_originales!$Z335/Datos_originales!$E335</f>
        <v>0.002852313345</v>
      </c>
      <c r="BA158" s="6">
        <f>Datos_originales!$AA335/Datos_originales!$E335</f>
        <v>0.002119749947</v>
      </c>
      <c r="BB158" s="6">
        <f>Datos_originales!$AB335/Datos_originales!$E335</f>
        <v>0.002360315523</v>
      </c>
      <c r="BC158" s="6">
        <f>Datos_originales!$AC335/Datos_originales!$E335</f>
        <v>0.003419253715</v>
      </c>
      <c r="BD158" s="6">
        <f>Datos_originales!$AD335/Datos_originales!$E335</f>
        <v>0.003876403252</v>
      </c>
      <c r="BE158" s="6">
        <f>Datos_originales!$AE335/Datos_originales!$E335</f>
        <v>0.001061186468</v>
      </c>
      <c r="BF158" s="6">
        <f>Datos_originales!$AF335/Datos_originales!$E335</f>
        <v>0.003930736599</v>
      </c>
      <c r="BG158" s="6">
        <f>Datos_originales!$AG335/Datos_originales!$E335</f>
        <v>0.002586267303</v>
      </c>
    </row>
    <row r="159" ht="15.75" customHeight="1">
      <c r="A159" s="2">
        <v>31402.0</v>
      </c>
      <c r="B159" s="3" t="s">
        <v>177</v>
      </c>
      <c r="C159" s="4" t="s">
        <v>218</v>
      </c>
      <c r="D159" s="4" t="str">
        <f>IF(Datos_originales!$E159&lt;1000,"Bosque menor a 1000 ha",Datos_originales!$E159)</f>
        <v>Bosque menor a 1000 ha</v>
      </c>
      <c r="E159" s="4">
        <v>2.79</v>
      </c>
      <c r="F159" s="5">
        <f>AVERAGE(Datos_originales!$H322:$J322)</f>
        <v>2827.5</v>
      </c>
      <c r="G159" s="5">
        <f>AVERAGE(Datos_originales!$R322:$T322)</f>
        <v>7045.23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0.09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1.26</v>
      </c>
      <c r="AG159" s="4">
        <v>0.0</v>
      </c>
      <c r="AH159" s="6">
        <f>Datos_originales!$H322/Datos_originales!$E322</f>
        <v>0.004551244643</v>
      </c>
      <c r="AI159" s="6">
        <f>Datos_originales!$I322/Datos_originales!$E322</f>
        <v>0.003341067802</v>
      </c>
      <c r="AJ159" s="6">
        <f>Datos_originales!$J322/Datos_originales!$E322</f>
        <v>0.009596060338</v>
      </c>
      <c r="AK159" s="6">
        <f>Datos_originales!$K322/Datos_originales!$E322</f>
        <v>0.005994476086</v>
      </c>
      <c r="AL159" s="6">
        <f>Datos_originales!$L322/Datos_originales!$E322</f>
        <v>0.01088825162</v>
      </c>
      <c r="AM159" s="6">
        <f>Datos_originales!$M322/Datos_originales!$E322</f>
        <v>0.01070288414</v>
      </c>
      <c r="AN159" s="6">
        <f>Datos_originales!$N322/Datos_originales!$E322</f>
        <v>0.007306335986</v>
      </c>
      <c r="AO159" s="6">
        <f>Datos_originales!$O322/Datos_originales!$E322</f>
        <v>0.008058382404</v>
      </c>
      <c r="AP159" s="6">
        <f>Datos_originales!$P322/Datos_originales!$E322</f>
        <v>0.007413028977</v>
      </c>
      <c r="AQ159" s="6">
        <f>Datos_originales!$Q322/Datos_originales!$E322</f>
        <v>0.01125583216</v>
      </c>
      <c r="AR159" s="6">
        <f>Datos_originales!$R322/Datos_originales!$E322</f>
        <v>0.009723164162</v>
      </c>
      <c r="AS159" s="6">
        <f>Datos_originales!$S322/Datos_originales!$E322</f>
        <v>0.01564917118</v>
      </c>
      <c r="AT159" s="6">
        <f>Datos_originales!$T322/Datos_originales!$E322</f>
        <v>0.01820312304</v>
      </c>
      <c r="AU159" s="6">
        <f>Datos_originales!$U322/Datos_originales!$E322</f>
        <v>0.01747334299</v>
      </c>
      <c r="AV159" s="6">
        <f>Datos_originales!$V322/Datos_originales!$E322</f>
        <v>0.008250986446</v>
      </c>
      <c r="AW159" s="6">
        <f>Datos_originales!$W322/Datos_originales!$E322</f>
        <v>0.01460636317</v>
      </c>
      <c r="AX159" s="6">
        <f>Datos_originales!$X322/Datos_originales!$E322</f>
        <v>0.008759216187</v>
      </c>
      <c r="AY159" s="6">
        <f>Datos_originales!$Y322/Datos_originales!$E322</f>
        <v>0.01420445531</v>
      </c>
      <c r="AZ159" s="6">
        <f>Datos_originales!$Z322/Datos_originales!$E322</f>
        <v>0.01289296652</v>
      </c>
      <c r="BA159" s="6">
        <f>Datos_originales!$AA322/Datos_originales!$E322</f>
        <v>0.009525550188</v>
      </c>
      <c r="BB159" s="6">
        <f>Datos_originales!$AB322/Datos_originales!$E322</f>
        <v>0.01058765571</v>
      </c>
      <c r="BC159" s="6">
        <f>Datos_originales!$AC322/Datos_originales!$E322</f>
        <v>0.01115804572</v>
      </c>
      <c r="BD159" s="6">
        <f>Datos_originales!$AD322/Datos_originales!$E322</f>
        <v>0.01243780494</v>
      </c>
      <c r="BE159" s="6">
        <f>Datos_originales!$AE322/Datos_originales!$E322</f>
        <v>0.0126615819</v>
      </c>
      <c r="BF159" s="6">
        <f>Datos_originales!$AF322/Datos_originales!$E322</f>
        <v>0.01691018955</v>
      </c>
      <c r="BG159" s="6">
        <f>Datos_originales!$AG322/Datos_originales!$E322</f>
        <v>0.04500310337</v>
      </c>
    </row>
    <row r="160" ht="15.75" customHeight="1">
      <c r="A160" s="2">
        <v>31403.0</v>
      </c>
      <c r="B160" s="3" t="s">
        <v>177</v>
      </c>
      <c r="C160" s="4" t="s">
        <v>219</v>
      </c>
      <c r="D160" s="4" t="str">
        <f>IF(Datos_originales!$E160&lt;1000,"Bosque menor a 1000 ha",Datos_originales!$E160)</f>
        <v>Bosque menor a 1000 ha</v>
      </c>
      <c r="E160" s="4">
        <v>478.89</v>
      </c>
      <c r="F160" s="5">
        <f>AVERAGE(Datos_originales!$H341:$J341)</f>
        <v>230.34</v>
      </c>
      <c r="G160" s="5">
        <f>AVERAGE(Datos_originales!$R341:$T341)</f>
        <v>112.56</v>
      </c>
      <c r="H160" s="4">
        <v>0.0</v>
      </c>
      <c r="I160" s="4">
        <v>0.0</v>
      </c>
      <c r="J160" s="4">
        <v>0.09</v>
      </c>
      <c r="K160" s="4">
        <v>0.09</v>
      </c>
      <c r="L160" s="4">
        <v>0.09</v>
      </c>
      <c r="M160" s="4">
        <v>0.0</v>
      </c>
      <c r="N160" s="4">
        <v>0.9</v>
      </c>
      <c r="O160" s="4">
        <v>0.27</v>
      </c>
      <c r="P160" s="4">
        <v>0.45</v>
      </c>
      <c r="Q160" s="4">
        <v>2.88</v>
      </c>
      <c r="R160" s="4">
        <v>1.35</v>
      </c>
      <c r="S160" s="4">
        <v>10.08</v>
      </c>
      <c r="T160" s="4">
        <v>0.0</v>
      </c>
      <c r="U160" s="4">
        <v>2.88</v>
      </c>
      <c r="V160" s="4">
        <v>2.43</v>
      </c>
      <c r="W160" s="4">
        <v>9.719999999999999</v>
      </c>
      <c r="X160" s="4">
        <v>3.69</v>
      </c>
      <c r="Y160" s="4">
        <v>3.87</v>
      </c>
      <c r="Z160" s="4">
        <v>20.52</v>
      </c>
      <c r="AA160" s="4">
        <v>23.04</v>
      </c>
      <c r="AB160" s="4">
        <v>19.8</v>
      </c>
      <c r="AC160" s="4">
        <v>4.5</v>
      </c>
      <c r="AD160" s="4">
        <v>3.06</v>
      </c>
      <c r="AE160" s="4">
        <v>1.44</v>
      </c>
      <c r="AF160" s="4">
        <v>39.51000000000001</v>
      </c>
      <c r="AG160" s="4">
        <v>0.0</v>
      </c>
      <c r="AH160" s="6">
        <f>Datos_originales!$H341/Datos_originales!$E341</f>
        <v>0.0002193919051</v>
      </c>
      <c r="AI160" s="6">
        <f>Datos_originales!$I341/Datos_originales!$E341</f>
        <v>0.0004207378653</v>
      </c>
      <c r="AJ160" s="6">
        <f>Datos_originales!$J341/Datos_originales!$E341</f>
        <v>0.0006428032437</v>
      </c>
      <c r="AK160" s="6">
        <f>Datos_originales!$K341/Datos_originales!$E341</f>
        <v>0.0002249059439</v>
      </c>
      <c r="AL160" s="6">
        <f>Datos_originales!$L341/Datos_originales!$E341</f>
        <v>0.0002499697563</v>
      </c>
      <c r="AM160" s="6">
        <f>Datos_originales!$M341/Datos_originales!$E341</f>
        <v>0.0004412901915</v>
      </c>
      <c r="AN160" s="6">
        <f>Datos_originales!$N341/Datos_originales!$E341</f>
        <v>0.0001431979152</v>
      </c>
      <c r="AO160" s="6">
        <f>Datos_originales!$O341/Datos_originales!$E341</f>
        <v>0.0001833000152</v>
      </c>
      <c r="AP160" s="6">
        <f>Datos_originales!$P341/Datos_originales!$E341</f>
        <v>0.0003904941982</v>
      </c>
      <c r="AQ160" s="6">
        <f>Datos_originales!$Q341/Datos_originales!$E341</f>
        <v>0.0007880062639</v>
      </c>
      <c r="AR160" s="6">
        <f>Datos_originales!$R341/Datos_originales!$E341</f>
        <v>0.00009657922404</v>
      </c>
      <c r="AS160" s="6">
        <f>Datos_originales!$S341/Datos_originales!$E341</f>
        <v>0.0002307541668</v>
      </c>
      <c r="AT160" s="6">
        <f>Datos_originales!$T341/Datos_originales!$E341</f>
        <v>0.000299596105</v>
      </c>
      <c r="AU160" s="6">
        <f>Datos_originales!$U341/Datos_originales!$E341</f>
        <v>0.0009245204958</v>
      </c>
      <c r="AV160" s="6">
        <f>Datos_originales!$V341/Datos_originales!$E341</f>
        <v>0.000661517557</v>
      </c>
      <c r="AW160" s="6">
        <f>Datos_originales!$W341/Datos_originales!$E341</f>
        <v>0.000890600803</v>
      </c>
      <c r="AX160" s="6">
        <f>Datos_originales!$X341/Datos_originales!$E341</f>
        <v>0.0004416243757</v>
      </c>
      <c r="AY160" s="6">
        <f>Datos_originales!$Y341/Datos_originales!$E341</f>
        <v>0.0006023669596</v>
      </c>
      <c r="AZ160" s="6">
        <f>Datos_originales!$Z341/Datos_originales!$E341</f>
        <v>0.000558923018</v>
      </c>
      <c r="BA160" s="6">
        <f>Datos_originales!$AA341/Datos_originales!$E341</f>
        <v>0.0002394429551</v>
      </c>
      <c r="BB160" s="6">
        <f>Datos_originales!$AB341/Datos_originales!$E341</f>
        <v>0.0002750335688</v>
      </c>
      <c r="BC160" s="6">
        <f>Datos_originales!$AC341/Datos_originales!$E341</f>
        <v>0.0005510696901</v>
      </c>
      <c r="BD160" s="6">
        <f>Datos_originales!$AD341/Datos_originales!$E341</f>
        <v>0.0008418099147</v>
      </c>
      <c r="BE160" s="6">
        <f>Datos_originales!$AE341/Datos_originales!$E341</f>
        <v>0.0005692827272</v>
      </c>
      <c r="BF160" s="6">
        <f>Datos_originales!$AF341/Datos_originales!$E341</f>
        <v>0.0004579993998</v>
      </c>
      <c r="BG160" s="6">
        <f>Datos_originales!$AG341/Datos_originales!$E341</f>
        <v>0.0004962634868</v>
      </c>
    </row>
    <row r="161" ht="15.75" customHeight="1">
      <c r="A161" s="2">
        <v>31404.0</v>
      </c>
      <c r="B161" s="3" t="s">
        <v>177</v>
      </c>
      <c r="C161" s="4" t="s">
        <v>220</v>
      </c>
      <c r="D161" s="4" t="str">
        <f>IF(Datos_originales!$E161&lt;1000,"Bosque menor a 1000 ha",Datos_originales!$E161)</f>
        <v>Bosque menor a 1000 ha</v>
      </c>
      <c r="E161" s="4">
        <v>5.67</v>
      </c>
      <c r="F161" s="5">
        <f>AVERAGE(Datos_originales!$H325:$J325)</f>
        <v>83.43</v>
      </c>
      <c r="G161" s="5">
        <f>AVERAGE(Datos_originales!$R325:$T325)</f>
        <v>182.85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  <c r="AG161" s="4">
        <v>0.0</v>
      </c>
      <c r="AH161" s="6">
        <f>Datos_originales!$H325/Datos_originales!$E325</f>
        <v>0.001034888115</v>
      </c>
      <c r="AI161" s="6">
        <f>Datos_originales!$I325/Datos_originales!$E325</f>
        <v>0.0005195432218</v>
      </c>
      <c r="AJ161" s="6">
        <f>Datos_originales!$J325/Datos_originales!$E325</f>
        <v>0.001364456946</v>
      </c>
      <c r="AK161" s="6">
        <f>Datos_originales!$K325/Datos_originales!$E325</f>
        <v>0.001795835258</v>
      </c>
      <c r="AL161" s="6">
        <f>Datos_originales!$L325/Datos_originales!$E325</f>
        <v>0.001457869768</v>
      </c>
      <c r="AM161" s="6">
        <f>Datos_originales!$M325/Datos_originales!$E325</f>
        <v>0.000729459675</v>
      </c>
      <c r="AN161" s="6">
        <f>Datos_originales!$N325/Datos_originales!$E325</f>
        <v>0.0002099164533</v>
      </c>
      <c r="AO161" s="6">
        <f>Datos_originales!$O325/Datos_originales!$E325</f>
        <v>0.000354758806</v>
      </c>
      <c r="AP161" s="6">
        <f>Datos_originales!$P325/Datos_originales!$E325</f>
        <v>0.001382299845</v>
      </c>
      <c r="AQ161" s="6">
        <f>Datos_originales!$Q325/Datos_originales!$E325</f>
        <v>0.002235610227</v>
      </c>
      <c r="AR161" s="6">
        <f>Datos_originales!$R325/Datos_originales!$E325</f>
        <v>0.0005268902977</v>
      </c>
      <c r="AS161" s="6">
        <f>Datos_originales!$S325/Datos_originales!$E325</f>
        <v>0.001269994542</v>
      </c>
      <c r="AT161" s="6">
        <f>Datos_originales!$T325/Datos_originales!$E325</f>
        <v>0.004600319073</v>
      </c>
      <c r="AU161" s="6">
        <f>Datos_originales!$U325/Datos_originales!$E325</f>
        <v>0.0229228767</v>
      </c>
      <c r="AV161" s="6">
        <f>Datos_originales!$V325/Datos_originales!$E325</f>
        <v>0.01231474873</v>
      </c>
      <c r="AW161" s="6">
        <f>Datos_originales!$W325/Datos_originales!$E325</f>
        <v>0.04536189597</v>
      </c>
      <c r="AX161" s="6">
        <f>Datos_originales!$X325/Datos_originales!$E325</f>
        <v>0.005625760947</v>
      </c>
      <c r="AY161" s="6">
        <f>Datos_originales!$Y325/Datos_originales!$E325</f>
        <v>0.007222175574</v>
      </c>
      <c r="AZ161" s="6">
        <f>Datos_originales!$Z325/Datos_originales!$E325</f>
        <v>0.003768000336</v>
      </c>
      <c r="BA161" s="6">
        <f>Datos_originales!$AA325/Datos_originales!$E325</f>
        <v>0.002692178513</v>
      </c>
      <c r="BB161" s="6">
        <f>Datos_originales!$AB325/Datos_originales!$E325</f>
        <v>0.003138250976</v>
      </c>
      <c r="BC161" s="6">
        <f>Datos_originales!$AC325/Datos_originales!$E325</f>
        <v>0.0062618078</v>
      </c>
      <c r="BD161" s="6">
        <f>Datos_originales!$AD325/Datos_originales!$E325</f>
        <v>0.00442293967</v>
      </c>
      <c r="BE161" s="6">
        <f>Datos_originales!$AE325/Datos_originales!$E325</f>
        <v>0.00318653176</v>
      </c>
      <c r="BF161" s="6">
        <f>Datos_originales!$AF325/Datos_originales!$E325</f>
        <v>0.004789243881</v>
      </c>
      <c r="BG161" s="6">
        <f>Datos_originales!$AG325/Datos_originales!$E325</f>
        <v>0.01783450187</v>
      </c>
    </row>
    <row r="162" ht="15.75" customHeight="1">
      <c r="A162" s="2">
        <v>31405.0</v>
      </c>
      <c r="B162" s="3" t="s">
        <v>177</v>
      </c>
      <c r="C162" s="4" t="s">
        <v>221</v>
      </c>
      <c r="D162" s="4" t="str">
        <f>IF(Datos_originales!$E162&lt;1000,"Bosque menor a 1000 ha",Datos_originales!$E162)</f>
        <v>Bosque menor a 1000 ha</v>
      </c>
      <c r="E162" s="4">
        <v>164.61</v>
      </c>
      <c r="F162" s="5">
        <f>AVERAGE(Datos_originales!$H338:$J338)</f>
        <v>299.46</v>
      </c>
      <c r="G162" s="5">
        <f>AVERAGE(Datos_originales!$R338:$T338)</f>
        <v>221.19</v>
      </c>
      <c r="H162" s="4">
        <v>0.0</v>
      </c>
      <c r="I162" s="4">
        <v>0.0</v>
      </c>
      <c r="J162" s="4">
        <v>0.0</v>
      </c>
      <c r="K162" s="4">
        <v>0.0</v>
      </c>
      <c r="L162" s="4">
        <v>0.27</v>
      </c>
      <c r="M162" s="4">
        <v>0.0</v>
      </c>
      <c r="N162" s="4">
        <v>0.0</v>
      </c>
      <c r="O162" s="4">
        <v>0.0</v>
      </c>
      <c r="P162" s="4">
        <v>0.0</v>
      </c>
      <c r="Q162" s="4">
        <v>0.09</v>
      </c>
      <c r="R162" s="4">
        <v>0.18</v>
      </c>
      <c r="S162" s="4">
        <v>0.9</v>
      </c>
      <c r="T162" s="4">
        <v>0.0</v>
      </c>
      <c r="U162" s="4">
        <v>4.41</v>
      </c>
      <c r="V162" s="4">
        <v>2.7</v>
      </c>
      <c r="W162" s="4">
        <v>3.24</v>
      </c>
      <c r="X162" s="4">
        <v>6.66</v>
      </c>
      <c r="Y162" s="4">
        <v>5.67</v>
      </c>
      <c r="Z162" s="4">
        <v>7.38</v>
      </c>
      <c r="AA162" s="4">
        <v>13.68</v>
      </c>
      <c r="AB162" s="4">
        <v>6.93</v>
      </c>
      <c r="AC162" s="4">
        <v>2.61</v>
      </c>
      <c r="AD162" s="4">
        <v>0.09</v>
      </c>
      <c r="AE162" s="4">
        <v>0.27</v>
      </c>
      <c r="AF162" s="4">
        <v>7.47</v>
      </c>
      <c r="AG162" s="4">
        <v>0.0</v>
      </c>
      <c r="AH162" s="6">
        <f>Datos_originales!$H338/Datos_originales!$E338</f>
        <v>0.0009638888288</v>
      </c>
      <c r="AI162" s="6">
        <f>Datos_originales!$I338/Datos_originales!$E338</f>
        <v>0.0009776900356</v>
      </c>
      <c r="AJ162" s="6">
        <f>Datos_originales!$J338/Datos_originales!$E338</f>
        <v>0.001189413094</v>
      </c>
      <c r="AK162" s="6">
        <f>Datos_originales!$K338/Datos_originales!$E338</f>
        <v>0.0008732399933</v>
      </c>
      <c r="AL162" s="6">
        <f>Datos_originales!$L338/Datos_originales!$E338</f>
        <v>0.0008660257261</v>
      </c>
      <c r="AM162" s="6">
        <f>Datos_originales!$M338/Datos_originales!$E338</f>
        <v>0.00189986158</v>
      </c>
      <c r="AN162" s="6">
        <f>Datos_originales!$N338/Datos_originales!$E338</f>
        <v>0.001143931845</v>
      </c>
      <c r="AO162" s="6">
        <f>Datos_originales!$O338/Datos_originales!$E338</f>
        <v>0.000827131416</v>
      </c>
      <c r="AP162" s="6">
        <f>Datos_originales!$P338/Datos_originales!$E338</f>
        <v>0.001659595117</v>
      </c>
      <c r="AQ162" s="6">
        <f>Datos_originales!$Q338/Datos_originales!$E338</f>
        <v>0.002220739638</v>
      </c>
      <c r="AR162" s="6">
        <f>Datos_originales!$R338/Datos_originales!$E338</f>
        <v>0.0005307191338</v>
      </c>
      <c r="AS162" s="6">
        <f>Datos_originales!$S338/Datos_originales!$E338</f>
        <v>0.0008381096487</v>
      </c>
      <c r="AT162" s="6">
        <f>Datos_originales!$T338/Datos_originales!$E338</f>
        <v>0.0009438143462</v>
      </c>
      <c r="AU162" s="6">
        <f>Datos_originales!$U338/Datos_originales!$E338</f>
        <v>0.004940518367</v>
      </c>
      <c r="AV162" s="6">
        <f>Datos_originales!$V338/Datos_originales!$E338</f>
        <v>0.00322791407</v>
      </c>
      <c r="AW162" s="6">
        <f>Datos_originales!$W338/Datos_originales!$E338</f>
        <v>0.00782779356</v>
      </c>
      <c r="AX162" s="6">
        <f>Datos_originales!$X338/Datos_originales!$E338</f>
        <v>0.002754909074</v>
      </c>
      <c r="AY162" s="6">
        <f>Datos_originales!$Y338/Datos_originales!$E338</f>
        <v>0.002048538217</v>
      </c>
      <c r="AZ162" s="6">
        <f>Datos_originales!$Z338/Datos_originales!$E338</f>
        <v>0.00285967278</v>
      </c>
      <c r="BA162" s="6">
        <f>Datos_originales!$AA338/Datos_originales!$E338</f>
        <v>0.001938442226</v>
      </c>
      <c r="BB162" s="6">
        <f>Datos_originales!$AB338/Datos_originales!$E338</f>
        <v>0.002039128303</v>
      </c>
      <c r="BC162" s="6">
        <f>Datos_originales!$AC338/Datos_originales!$E338</f>
        <v>0.002665514893</v>
      </c>
      <c r="BD162" s="6">
        <f>Datos_originales!$AD338/Datos_originales!$E338</f>
        <v>0.003085197045</v>
      </c>
      <c r="BE162" s="6">
        <f>Datos_originales!$AE338/Datos_originales!$E338</f>
        <v>0.0009422460272</v>
      </c>
      <c r="BF162" s="6">
        <f>Datos_originales!$AF338/Datos_originales!$E338</f>
        <v>0.002573297739</v>
      </c>
      <c r="BG162" s="6">
        <f>Datos_originales!$AG338/Datos_originales!$E338</f>
        <v>0.001843402098</v>
      </c>
    </row>
    <row r="163" ht="15.75" customHeight="1">
      <c r="A163" s="2">
        <v>31501.0</v>
      </c>
      <c r="B163" s="3" t="s">
        <v>177</v>
      </c>
      <c r="C163" s="4" t="s">
        <v>222</v>
      </c>
      <c r="D163" s="4" t="str">
        <f>IF(Datos_originales!$E163&lt;1000,"Bosque menor a 1000 ha",Datos_originales!$E163)</f>
        <v>Bosque menor a 1000 ha</v>
      </c>
      <c r="E163" s="4">
        <v>12.6</v>
      </c>
      <c r="F163" s="5">
        <f>AVERAGE(Datos_originales!$H332:$J332)</f>
        <v>784.77</v>
      </c>
      <c r="G163" s="5">
        <f>AVERAGE(Datos_originales!$R332:$T332)</f>
        <v>798.99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0.36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0.63</v>
      </c>
      <c r="AG163" s="4">
        <v>0.0</v>
      </c>
      <c r="AH163" s="6">
        <f>Datos_originales!$H332/Datos_originales!$E332</f>
        <v>0.003262971084</v>
      </c>
      <c r="AI163" s="6">
        <f>Datos_originales!$I332/Datos_originales!$E332</f>
        <v>0.003412765842</v>
      </c>
      <c r="AJ163" s="6">
        <f>Datos_originales!$J332/Datos_originales!$E332</f>
        <v>0.003449537165</v>
      </c>
      <c r="AK163" s="6">
        <f>Datos_originales!$K332/Datos_originales!$E332</f>
        <v>0.003438312235</v>
      </c>
      <c r="AL163" s="6">
        <f>Datos_originales!$L332/Datos_originales!$E332</f>
        <v>0.003746804282</v>
      </c>
      <c r="AM163" s="6">
        <f>Datos_originales!$M332/Datos_originales!$E332</f>
        <v>0.004658733092</v>
      </c>
      <c r="AN163" s="6">
        <f>Datos_originales!$N332/Datos_originales!$E332</f>
        <v>0.005853220491</v>
      </c>
      <c r="AO163" s="6">
        <f>Datos_originales!$O332/Datos_originales!$E332</f>
        <v>0.004174125762</v>
      </c>
      <c r="AP163" s="6">
        <f>Datos_originales!$P332/Datos_originales!$E332</f>
        <v>0.004709438812</v>
      </c>
      <c r="AQ163" s="6">
        <f>Datos_originales!$Q332/Datos_originales!$E332</f>
        <v>0.003813766796</v>
      </c>
      <c r="AR163" s="6">
        <f>Datos_originales!$R332/Datos_originales!$E332</f>
        <v>0.001539363701</v>
      </c>
      <c r="AS163" s="6">
        <f>Datos_originales!$S332/Datos_originales!$E332</f>
        <v>0.003027634617</v>
      </c>
      <c r="AT163" s="6">
        <f>Datos_originales!$T332/Datos_originales!$E332</f>
        <v>0.005741745322</v>
      </c>
      <c r="AU163" s="6">
        <f>Datos_originales!$U332/Datos_originales!$E332</f>
        <v>0.003683712433</v>
      </c>
      <c r="AV163" s="6">
        <f>Datos_originales!$V332/Datos_originales!$E332</f>
        <v>0.003693776163</v>
      </c>
      <c r="AW163" s="6">
        <f>Datos_originales!$W332/Datos_originales!$E332</f>
        <v>0.00369416323</v>
      </c>
      <c r="AX163" s="6">
        <f>Datos_originales!$X332/Datos_originales!$E332</f>
        <v>0.003939176361</v>
      </c>
      <c r="AY163" s="6">
        <f>Datos_originales!$Y332/Datos_originales!$E332</f>
        <v>0.003897373173</v>
      </c>
      <c r="AZ163" s="6">
        <f>Datos_originales!$Z332/Datos_originales!$E332</f>
        <v>0.004738081737</v>
      </c>
      <c r="BA163" s="6">
        <f>Datos_originales!$AA332/Datos_originales!$E332</f>
        <v>0.005947277664</v>
      </c>
      <c r="BB163" s="6">
        <f>Datos_originales!$AB332/Datos_originales!$E332</f>
        <v>0.004302244793</v>
      </c>
      <c r="BC163" s="6">
        <f>Datos_originales!$AC332/Datos_originales!$E332</f>
        <v>0.004846073307</v>
      </c>
      <c r="BD163" s="6">
        <f>Datos_originales!$AD332/Datos_originales!$E332</f>
        <v>0.003924467832</v>
      </c>
      <c r="BE163" s="6">
        <f>Datos_originales!$AE332/Datos_originales!$E332</f>
        <v>0.001610971015</v>
      </c>
      <c r="BF163" s="6">
        <f>Datos_originales!$AF332/Datos_originales!$E332</f>
        <v>0.003359737724</v>
      </c>
      <c r="BG163" s="6">
        <f>Datos_originales!$AG332/Datos_originales!$E332</f>
        <v>0.005992951518</v>
      </c>
    </row>
    <row r="164" ht="15.75" customHeight="1">
      <c r="A164" s="2">
        <v>31601.0</v>
      </c>
      <c r="B164" s="3" t="s">
        <v>177</v>
      </c>
      <c r="C164" s="4" t="s">
        <v>223</v>
      </c>
      <c r="D164" s="4">
        <f>IF(Datos_originales!$E164&lt;1000,"Bosque menor a 1000 ha",Datos_originales!$E164)</f>
        <v>105730.2</v>
      </c>
      <c r="E164" s="4">
        <v>105730.2</v>
      </c>
      <c r="F164" s="5">
        <f>AVERAGE(Datos_originales!$H209:$J209)</f>
        <v>1.17</v>
      </c>
      <c r="G164" s="5">
        <f>AVERAGE(Datos_originales!$R209:$T209)</f>
        <v>4.95</v>
      </c>
      <c r="H164" s="4">
        <v>22.05</v>
      </c>
      <c r="I164" s="4">
        <v>21.42</v>
      </c>
      <c r="J164" s="4">
        <v>26.91</v>
      </c>
      <c r="K164" s="4">
        <v>28.17</v>
      </c>
      <c r="L164" s="4">
        <v>70.28999999999999</v>
      </c>
      <c r="M164" s="4">
        <v>47.52</v>
      </c>
      <c r="N164" s="4">
        <v>40.86</v>
      </c>
      <c r="O164" s="4">
        <v>21.51</v>
      </c>
      <c r="P164" s="4">
        <v>31.59</v>
      </c>
      <c r="Q164" s="4">
        <v>26.73</v>
      </c>
      <c r="R164" s="4">
        <v>50.31</v>
      </c>
      <c r="S164" s="4">
        <v>349.2</v>
      </c>
      <c r="T164" s="4">
        <v>98.19</v>
      </c>
      <c r="U164" s="4">
        <v>524.79</v>
      </c>
      <c r="V164" s="4">
        <v>279.27</v>
      </c>
      <c r="W164" s="4">
        <v>281.61</v>
      </c>
      <c r="X164" s="4">
        <v>356.04</v>
      </c>
      <c r="Y164" s="4">
        <v>329.4</v>
      </c>
      <c r="Z164" s="4">
        <v>508.86</v>
      </c>
      <c r="AA164" s="4">
        <v>465.12</v>
      </c>
      <c r="AB164" s="4">
        <v>367.47</v>
      </c>
      <c r="AC164" s="4">
        <v>166.5</v>
      </c>
      <c r="AD164" s="4">
        <v>127.98</v>
      </c>
      <c r="AE164" s="4">
        <v>145.98</v>
      </c>
      <c r="AF164" s="4">
        <v>760.59</v>
      </c>
      <c r="AG164" s="4">
        <v>115.74</v>
      </c>
      <c r="AH164" s="6">
        <f>Datos_originales!$H209/Datos_originales!$E209</f>
        <v>0.0009017610864</v>
      </c>
      <c r="AI164" s="6">
        <f>Datos_originales!$I209/Datos_originales!$E209</f>
        <v>0.0002652238489</v>
      </c>
      <c r="AJ164" s="6">
        <f>Datos_originales!$J209/Datos_originales!$E209</f>
        <v>0.0009017610864</v>
      </c>
      <c r="AK164" s="6">
        <f>Datos_originales!$K209/Datos_originales!$E209</f>
        <v>0.0003182686187</v>
      </c>
      <c r="AL164" s="6">
        <f>Datos_originales!$L209/Datos_originales!$E209</f>
        <v>0.0003182686187</v>
      </c>
      <c r="AM164" s="6">
        <f>Datos_originales!$M209/Datos_originales!$E209</f>
        <v>0.0002652238489</v>
      </c>
      <c r="AN164" s="6">
        <f>Datos_originales!$N209/Datos_originales!$E209</f>
        <v>0.0009017610864</v>
      </c>
      <c r="AO164" s="6">
        <f>Datos_originales!$O209/Datos_originales!$E209</f>
        <v>0.00005304476979</v>
      </c>
      <c r="AP164" s="6">
        <f>Datos_originales!$P209/Datos_originales!$E209</f>
        <v>0.0003713133885</v>
      </c>
      <c r="AQ164" s="6">
        <f>Datos_originales!$Q209/Datos_originales!$E209</f>
        <v>0.0004774029281</v>
      </c>
      <c r="AR164" s="6">
        <f>Datos_originales!$R209/Datos_originales!$E209</f>
        <v>0</v>
      </c>
      <c r="AS164" s="6">
        <f>Datos_originales!$S209/Datos_originales!$E209</f>
        <v>0.0005834924676</v>
      </c>
      <c r="AT164" s="6">
        <f>Datos_originales!$T209/Datos_originales!$E209</f>
        <v>0.008168894547</v>
      </c>
      <c r="AU164" s="6">
        <f>Datos_originales!$U209/Datos_originales!$E209</f>
        <v>0.003288775727</v>
      </c>
      <c r="AV164" s="6">
        <f>Datos_originales!$V209/Datos_originales!$E209</f>
        <v>0.001591343094</v>
      </c>
      <c r="AW164" s="6">
        <f>Datos_originales!$W209/Datos_originales!$E209</f>
        <v>0.01734563972</v>
      </c>
      <c r="AX164" s="6">
        <f>Datos_originales!$X209/Datos_originales!$E209</f>
        <v>0.001113940165</v>
      </c>
      <c r="AY164" s="6">
        <f>Datos_originales!$Y209/Datos_originales!$E209</f>
        <v>0.0006365372374</v>
      </c>
      <c r="AZ164" s="6">
        <f>Datos_originales!$Z209/Datos_originales!$E209</f>
        <v>0.0006895820072</v>
      </c>
      <c r="BA164" s="6">
        <f>Datos_originales!$AA209/Datos_originales!$E209</f>
        <v>0.001007850626</v>
      </c>
      <c r="BB164" s="6">
        <f>Datos_originales!$AB209/Datos_originales!$E209</f>
        <v>0.001220029705</v>
      </c>
      <c r="BC164" s="6">
        <f>Datos_originales!$AC209/Datos_originales!$E209</f>
        <v>0.0007956715468</v>
      </c>
      <c r="BD164" s="6">
        <f>Datos_originales!$AD209/Datos_originales!$E209</f>
        <v>0.001803522173</v>
      </c>
      <c r="BE164" s="6">
        <f>Datos_originales!$AE209/Datos_originales!$E209</f>
        <v>0.0004243581583</v>
      </c>
      <c r="BF164" s="6">
        <f>Datos_originales!$AF209/Datos_originales!$E209</f>
        <v>0.0008487163166</v>
      </c>
      <c r="BG164" s="6">
        <f>Datos_originales!$AG209/Datos_originales!$E209</f>
        <v>0.1382877148</v>
      </c>
    </row>
    <row r="165" ht="15.75" customHeight="1">
      <c r="A165" s="2">
        <v>31602.0</v>
      </c>
      <c r="B165" s="3" t="s">
        <v>177</v>
      </c>
      <c r="C165" s="4" t="s">
        <v>224</v>
      </c>
      <c r="D165" s="4">
        <f>IF(Datos_originales!$E165&lt;1000,"Bosque menor a 1000 ha",Datos_originales!$E165)</f>
        <v>54573.84</v>
      </c>
      <c r="E165" s="4">
        <v>54573.84</v>
      </c>
      <c r="F165" s="5">
        <f>AVERAGE(Datos_originales!$H71:$J71)</f>
        <v>0</v>
      </c>
      <c r="G165" s="5">
        <f>AVERAGE(Datos_originales!$R71:$T71)</f>
        <v>0</v>
      </c>
      <c r="H165" s="4">
        <v>536.31</v>
      </c>
      <c r="I165" s="4">
        <v>601.38</v>
      </c>
      <c r="J165" s="4">
        <v>710.1</v>
      </c>
      <c r="K165" s="4">
        <v>539.46</v>
      </c>
      <c r="L165" s="4">
        <v>217.44</v>
      </c>
      <c r="M165" s="4">
        <v>360.9</v>
      </c>
      <c r="N165" s="4">
        <v>269.19</v>
      </c>
      <c r="O165" s="4">
        <v>398.07</v>
      </c>
      <c r="P165" s="4">
        <v>663.3</v>
      </c>
      <c r="Q165" s="4">
        <v>904.68</v>
      </c>
      <c r="R165" s="4">
        <v>210.69</v>
      </c>
      <c r="S165" s="4">
        <v>836.37</v>
      </c>
      <c r="T165" s="4">
        <v>1229.85</v>
      </c>
      <c r="U165" s="4">
        <v>666.8100000000001</v>
      </c>
      <c r="V165" s="4">
        <v>663.66</v>
      </c>
      <c r="W165" s="4">
        <v>778.86</v>
      </c>
      <c r="X165" s="4">
        <v>605.7</v>
      </c>
      <c r="Y165" s="4">
        <v>287.37</v>
      </c>
      <c r="Z165" s="4">
        <v>432.36</v>
      </c>
      <c r="AA165" s="4">
        <v>341.55</v>
      </c>
      <c r="AB165" s="4">
        <v>466.83</v>
      </c>
      <c r="AC165" s="4">
        <v>712.17</v>
      </c>
      <c r="AD165" s="4">
        <v>948.51</v>
      </c>
      <c r="AE165" s="4">
        <v>220.05</v>
      </c>
      <c r="AF165" s="4">
        <v>955.98</v>
      </c>
      <c r="AG165" s="4">
        <v>1234.98</v>
      </c>
      <c r="AH165" s="6" t="str">
        <f>Datos_originales!$H71/Datos_originales!$E71</f>
        <v>#DIV/0!</v>
      </c>
      <c r="AI165" s="6" t="str">
        <f>Datos_originales!$I71/Datos_originales!$E71</f>
        <v>#DIV/0!</v>
      </c>
      <c r="AJ165" s="6" t="str">
        <f>Datos_originales!$J71/Datos_originales!$E71</f>
        <v>#DIV/0!</v>
      </c>
      <c r="AK165" s="6" t="str">
        <f>Datos_originales!$K71/Datos_originales!$E71</f>
        <v>#DIV/0!</v>
      </c>
      <c r="AL165" s="6" t="str">
        <f>Datos_originales!$L71/Datos_originales!$E71</f>
        <v>#DIV/0!</v>
      </c>
      <c r="AM165" s="6" t="str">
        <f>Datos_originales!$M71/Datos_originales!$E71</f>
        <v>#DIV/0!</v>
      </c>
      <c r="AN165" s="6" t="str">
        <f>Datos_originales!$N71/Datos_originales!$E71</f>
        <v>#DIV/0!</v>
      </c>
      <c r="AO165" s="6" t="str">
        <f>Datos_originales!$O71/Datos_originales!$E71</f>
        <v>#DIV/0!</v>
      </c>
      <c r="AP165" s="6" t="str">
        <f>Datos_originales!$P71/Datos_originales!$E71</f>
        <v>#DIV/0!</v>
      </c>
      <c r="AQ165" s="6" t="str">
        <f>Datos_originales!$Q71/Datos_originales!$E71</f>
        <v>#DIV/0!</v>
      </c>
      <c r="AR165" s="6" t="str">
        <f>Datos_originales!$R71/Datos_originales!$E71</f>
        <v>#DIV/0!</v>
      </c>
      <c r="AS165" s="6" t="str">
        <f>Datos_originales!$S71/Datos_originales!$E71</f>
        <v>#DIV/0!</v>
      </c>
      <c r="AT165" s="6" t="str">
        <f>Datos_originales!$T71/Datos_originales!$E71</f>
        <v>#DIV/0!</v>
      </c>
      <c r="AU165" s="6" t="str">
        <f>Datos_originales!$U71/Datos_originales!$E71</f>
        <v>#DIV/0!</v>
      </c>
      <c r="AV165" s="6" t="str">
        <f>Datos_originales!$V71/Datos_originales!$E71</f>
        <v>#DIV/0!</v>
      </c>
      <c r="AW165" s="6" t="str">
        <f>Datos_originales!$W71/Datos_originales!$E71</f>
        <v>#DIV/0!</v>
      </c>
      <c r="AX165" s="6" t="str">
        <f>Datos_originales!$X71/Datos_originales!$E71</f>
        <v>#DIV/0!</v>
      </c>
      <c r="AY165" s="6" t="str">
        <f>Datos_originales!$Y71/Datos_originales!$E71</f>
        <v>#DIV/0!</v>
      </c>
      <c r="AZ165" s="6" t="str">
        <f>Datos_originales!$Z71/Datos_originales!$E71</f>
        <v>#DIV/0!</v>
      </c>
      <c r="BA165" s="6" t="str">
        <f>Datos_originales!$AA71/Datos_originales!$E71</f>
        <v>#DIV/0!</v>
      </c>
      <c r="BB165" s="6" t="str">
        <f>Datos_originales!$AB71/Datos_originales!$E71</f>
        <v>#DIV/0!</v>
      </c>
      <c r="BC165" s="6" t="str">
        <f>Datos_originales!$AC71/Datos_originales!$E71</f>
        <v>#DIV/0!</v>
      </c>
      <c r="BD165" s="6" t="str">
        <f>Datos_originales!$AD71/Datos_originales!$E71</f>
        <v>#DIV/0!</v>
      </c>
      <c r="BE165" s="6" t="str">
        <f>Datos_originales!$AE71/Datos_originales!$E71</f>
        <v>#DIV/0!</v>
      </c>
      <c r="BF165" s="6" t="str">
        <f>Datos_originales!$AF71/Datos_originales!$E71</f>
        <v>#DIV/0!</v>
      </c>
      <c r="BG165" s="6" t="str">
        <f>Datos_originales!$AG71/Datos_originales!$E71</f>
        <v>#DIV/0!</v>
      </c>
    </row>
    <row r="166" ht="15.75" customHeight="1">
      <c r="A166" s="2">
        <v>40101.0</v>
      </c>
      <c r="B166" s="3" t="s">
        <v>225</v>
      </c>
      <c r="C166" s="4" t="s">
        <v>225</v>
      </c>
      <c r="D166" s="4" t="str">
        <f>IF(Datos_originales!$E166&lt;1000,"Bosque menor a 1000 ha",Datos_originales!$E166)</f>
        <v>Bosque menor a 1000 ha</v>
      </c>
      <c r="E166" s="4">
        <v>0.0</v>
      </c>
      <c r="F166" s="5">
        <f>AVERAGE(Datos_originales!$H271:$J271)</f>
        <v>1650.03</v>
      </c>
      <c r="G166" s="5">
        <f>AVERAGE(Datos_originales!$R271:$T271)</f>
        <v>950.01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  <c r="AD166" s="4">
        <v>0.0</v>
      </c>
      <c r="AE166" s="4">
        <v>0.0</v>
      </c>
      <c r="AF166" s="4">
        <v>0.0</v>
      </c>
      <c r="AG166" s="4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0.0</v>
      </c>
      <c r="AM166" s="6">
        <v>0.0</v>
      </c>
      <c r="AN166" s="6">
        <v>0.0</v>
      </c>
      <c r="AO166" s="6">
        <v>0.0</v>
      </c>
      <c r="AP166" s="6">
        <v>0.0</v>
      </c>
      <c r="AQ166" s="6">
        <v>0.0</v>
      </c>
      <c r="AR166" s="6">
        <v>0.0</v>
      </c>
      <c r="AS166" s="6">
        <v>0.0</v>
      </c>
      <c r="AT166" s="6">
        <v>0.0</v>
      </c>
      <c r="AU166" s="6">
        <v>0.0</v>
      </c>
      <c r="AV166" s="6">
        <v>0.0</v>
      </c>
      <c r="AW166" s="6">
        <v>0.0</v>
      </c>
      <c r="AX166" s="6">
        <v>0.0</v>
      </c>
      <c r="AY166" s="6">
        <v>0.0</v>
      </c>
      <c r="AZ166" s="6">
        <v>0.0</v>
      </c>
      <c r="BA166" s="6">
        <v>0.0</v>
      </c>
      <c r="BB166" s="6">
        <v>0.0</v>
      </c>
      <c r="BC166" s="6">
        <v>0.0</v>
      </c>
      <c r="BD166" s="6">
        <v>0.0</v>
      </c>
      <c r="BE166" s="6">
        <v>0.0</v>
      </c>
      <c r="BF166" s="6">
        <v>0.0</v>
      </c>
      <c r="BG166" s="6">
        <v>0.0</v>
      </c>
    </row>
    <row r="167" ht="15.75" customHeight="1">
      <c r="A167" s="2">
        <v>40102.0</v>
      </c>
      <c r="B167" s="3" t="s">
        <v>225</v>
      </c>
      <c r="C167" s="4" t="s">
        <v>226</v>
      </c>
      <c r="D167" s="4" t="str">
        <f>IF(Datos_originales!$E167&lt;1000,"Bosque menor a 1000 ha",Datos_originales!$E167)</f>
        <v>Bosque menor a 1000 ha</v>
      </c>
      <c r="E167" s="4">
        <v>0.0</v>
      </c>
      <c r="F167" s="5">
        <f>AVERAGE(Datos_originales!$H272:$J272)</f>
        <v>6987.87</v>
      </c>
      <c r="G167" s="5">
        <f>AVERAGE(Datos_originales!$R272:$T272)</f>
        <v>5757.21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0.0</v>
      </c>
      <c r="AD167" s="4">
        <v>0.0</v>
      </c>
      <c r="AE167" s="4">
        <v>0.0</v>
      </c>
      <c r="AF167" s="4">
        <v>0.0</v>
      </c>
      <c r="AG167" s="4">
        <v>0.0</v>
      </c>
      <c r="AH167" s="6">
        <v>0.0</v>
      </c>
      <c r="AI167" s="6">
        <v>0.0</v>
      </c>
      <c r="AJ167" s="6">
        <v>0.0</v>
      </c>
      <c r="AK167" s="6">
        <v>0.0</v>
      </c>
      <c r="AL167" s="6">
        <v>0.0</v>
      </c>
      <c r="AM167" s="6">
        <v>0.0</v>
      </c>
      <c r="AN167" s="6">
        <v>0.0</v>
      </c>
      <c r="AO167" s="6">
        <v>0.0</v>
      </c>
      <c r="AP167" s="6">
        <v>0.0</v>
      </c>
      <c r="AQ167" s="6">
        <v>0.0</v>
      </c>
      <c r="AR167" s="6">
        <v>0.0</v>
      </c>
      <c r="AS167" s="6">
        <v>0.0</v>
      </c>
      <c r="AT167" s="6">
        <v>0.0</v>
      </c>
      <c r="AU167" s="6">
        <v>0.0</v>
      </c>
      <c r="AV167" s="6">
        <v>0.0</v>
      </c>
      <c r="AW167" s="6">
        <v>0.0</v>
      </c>
      <c r="AX167" s="6">
        <v>0.0</v>
      </c>
      <c r="AY167" s="6">
        <v>0.0</v>
      </c>
      <c r="AZ167" s="6">
        <v>0.0</v>
      </c>
      <c r="BA167" s="6">
        <v>0.0</v>
      </c>
      <c r="BB167" s="6">
        <v>0.0</v>
      </c>
      <c r="BC167" s="6">
        <v>0.0</v>
      </c>
      <c r="BD167" s="6">
        <v>0.0</v>
      </c>
      <c r="BE167" s="6">
        <v>0.0</v>
      </c>
      <c r="BF167" s="6">
        <v>0.0</v>
      </c>
      <c r="BG167" s="6">
        <v>0.0</v>
      </c>
    </row>
    <row r="168" ht="15.75" customHeight="1">
      <c r="A168" s="2">
        <v>40103.0</v>
      </c>
      <c r="B168" s="3" t="s">
        <v>225</v>
      </c>
      <c r="C168" s="4" t="s">
        <v>227</v>
      </c>
      <c r="D168" s="4" t="str">
        <f>IF(Datos_originales!$E168&lt;1000,"Bosque menor a 1000 ha",Datos_originales!$E168)</f>
        <v>Bosque menor a 1000 ha</v>
      </c>
      <c r="E168" s="4">
        <v>0.0</v>
      </c>
      <c r="F168" s="5">
        <f>AVERAGE(Datos_originales!$H273:$J273)</f>
        <v>190.56</v>
      </c>
      <c r="G168" s="5">
        <f>AVERAGE(Datos_originales!$R273:$T273)</f>
        <v>301.53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0.0</v>
      </c>
      <c r="AF168" s="4">
        <v>0.0</v>
      </c>
      <c r="AG168" s="4">
        <v>0.0</v>
      </c>
      <c r="AH168" s="6">
        <v>0.0</v>
      </c>
      <c r="AI168" s="6">
        <v>0.0</v>
      </c>
      <c r="AJ168" s="6">
        <v>0.0</v>
      </c>
      <c r="AK168" s="6">
        <v>0.0</v>
      </c>
      <c r="AL168" s="6">
        <v>0.0</v>
      </c>
      <c r="AM168" s="6">
        <v>0.0</v>
      </c>
      <c r="AN168" s="6">
        <v>0.0</v>
      </c>
      <c r="AO168" s="6">
        <v>0.0</v>
      </c>
      <c r="AP168" s="6">
        <v>0.0</v>
      </c>
      <c r="AQ168" s="6">
        <v>0.0</v>
      </c>
      <c r="AR168" s="6">
        <v>0.0</v>
      </c>
      <c r="AS168" s="6">
        <v>0.0</v>
      </c>
      <c r="AT168" s="6">
        <v>0.0</v>
      </c>
      <c r="AU168" s="6">
        <v>0.0</v>
      </c>
      <c r="AV168" s="6">
        <v>0.0</v>
      </c>
      <c r="AW168" s="6">
        <v>0.0</v>
      </c>
      <c r="AX168" s="6">
        <v>0.0</v>
      </c>
      <c r="AY168" s="6">
        <v>0.0</v>
      </c>
      <c r="AZ168" s="6">
        <v>0.0</v>
      </c>
      <c r="BA168" s="6">
        <v>0.0</v>
      </c>
      <c r="BB168" s="6">
        <v>0.0</v>
      </c>
      <c r="BC168" s="6">
        <v>0.0</v>
      </c>
      <c r="BD168" s="6">
        <v>0.0</v>
      </c>
      <c r="BE168" s="6">
        <v>0.0</v>
      </c>
      <c r="BF168" s="6">
        <v>0.0</v>
      </c>
      <c r="BG168" s="6">
        <v>0.0</v>
      </c>
    </row>
    <row r="169" ht="15.75" customHeight="1">
      <c r="A169" s="2">
        <v>40104.0</v>
      </c>
      <c r="B169" s="3" t="s">
        <v>225</v>
      </c>
      <c r="C169" s="4" t="s">
        <v>228</v>
      </c>
      <c r="D169" s="4" t="str">
        <f>IF(Datos_originales!$E169&lt;1000,"Bosque menor a 1000 ha",Datos_originales!$E169)</f>
        <v>Bosque menor a 1000 ha</v>
      </c>
      <c r="E169" s="4">
        <v>0.0</v>
      </c>
      <c r="F169" s="5">
        <f>AVERAGE(Datos_originales!$H274:$J274)</f>
        <v>656.58</v>
      </c>
      <c r="G169" s="5">
        <f>AVERAGE(Datos_originales!$R274:$T274)</f>
        <v>403.77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  <c r="AD169" s="4">
        <v>0.0</v>
      </c>
      <c r="AE169" s="4">
        <v>0.0</v>
      </c>
      <c r="AF169" s="4">
        <v>0.0</v>
      </c>
      <c r="AG169" s="4">
        <v>0.0</v>
      </c>
      <c r="AH169" s="6">
        <v>0.0</v>
      </c>
      <c r="AI169" s="6">
        <v>0.0</v>
      </c>
      <c r="AJ169" s="6">
        <v>0.0</v>
      </c>
      <c r="AK169" s="6">
        <v>0.0</v>
      </c>
      <c r="AL169" s="6">
        <v>0.0</v>
      </c>
      <c r="AM169" s="6">
        <v>0.0</v>
      </c>
      <c r="AN169" s="6">
        <v>0.0</v>
      </c>
      <c r="AO169" s="6">
        <v>0.0</v>
      </c>
      <c r="AP169" s="6">
        <v>0.0</v>
      </c>
      <c r="AQ169" s="6">
        <v>0.0</v>
      </c>
      <c r="AR169" s="6">
        <v>0.0</v>
      </c>
      <c r="AS169" s="6">
        <v>0.0</v>
      </c>
      <c r="AT169" s="6">
        <v>0.0</v>
      </c>
      <c r="AU169" s="6">
        <v>0.0</v>
      </c>
      <c r="AV169" s="6">
        <v>0.0</v>
      </c>
      <c r="AW169" s="6">
        <v>0.0</v>
      </c>
      <c r="AX169" s="6">
        <v>0.0</v>
      </c>
      <c r="AY169" s="6">
        <v>0.0</v>
      </c>
      <c r="AZ169" s="6">
        <v>0.0</v>
      </c>
      <c r="BA169" s="6">
        <v>0.0</v>
      </c>
      <c r="BB169" s="6">
        <v>0.0</v>
      </c>
      <c r="BC169" s="6">
        <v>0.0</v>
      </c>
      <c r="BD169" s="6">
        <v>0.0</v>
      </c>
      <c r="BE169" s="6">
        <v>0.0</v>
      </c>
      <c r="BF169" s="6">
        <v>0.0</v>
      </c>
      <c r="BG169" s="6">
        <v>0.0</v>
      </c>
    </row>
    <row r="170" ht="15.75" customHeight="1">
      <c r="A170" s="2">
        <v>40201.0</v>
      </c>
      <c r="B170" s="3" t="s">
        <v>225</v>
      </c>
      <c r="C170" s="4" t="s">
        <v>229</v>
      </c>
      <c r="D170" s="4" t="str">
        <f>IF(Datos_originales!$E170&lt;1000,"Bosque menor a 1000 ha",Datos_originales!$E170)</f>
        <v>Bosque menor a 1000 ha</v>
      </c>
      <c r="E170" s="4">
        <v>1.08</v>
      </c>
      <c r="F170" s="5">
        <f>AVERAGE(Datos_originales!$H4:$J4)</f>
        <v>0.18</v>
      </c>
      <c r="G170" s="5">
        <f>AVERAGE(Datos_originales!$R4:$T4)</f>
        <v>2.58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0.0</v>
      </c>
      <c r="AF170" s="4">
        <v>0.0</v>
      </c>
      <c r="AG170" s="4">
        <v>0.9</v>
      </c>
      <c r="AH170" s="6">
        <f>Datos_originales!$H4/Datos_originales!$E4</f>
        <v>0.00001726078281</v>
      </c>
      <c r="AI170" s="6">
        <f>Datos_originales!$I4/Datos_originales!$E4</f>
        <v>0</v>
      </c>
      <c r="AJ170" s="6">
        <f>Datos_originales!$J4/Datos_originales!$E4</f>
        <v>0.000003452156562</v>
      </c>
      <c r="AK170" s="6">
        <f>Datos_originales!$K4/Datos_originales!$E4</f>
        <v>0</v>
      </c>
      <c r="AL170" s="6">
        <f>Datos_originales!$L4/Datos_originales!$E4</f>
        <v>0.000055234505</v>
      </c>
      <c r="AM170" s="6">
        <f>Datos_originales!$M4/Datos_originales!$E4</f>
        <v>0</v>
      </c>
      <c r="AN170" s="6">
        <f>Datos_originales!$N4/Datos_originales!$E4</f>
        <v>0.000006904313124</v>
      </c>
      <c r="AO170" s="6">
        <f>Datos_originales!$O4/Datos_originales!$E4</f>
        <v>0.00003452156562</v>
      </c>
      <c r="AP170" s="6">
        <f>Datos_originales!$P4/Datos_originales!$E4</f>
        <v>0.00002071293937</v>
      </c>
      <c r="AQ170" s="6">
        <f>Datos_originales!$Q4/Datos_originales!$E4</f>
        <v>0</v>
      </c>
      <c r="AR170" s="6">
        <f>Datos_originales!$R4/Datos_originales!$E4</f>
        <v>0.000003452156562</v>
      </c>
      <c r="AS170" s="6">
        <f>Datos_originales!$S4/Datos_originales!$E4</f>
        <v>0.0002727203684</v>
      </c>
      <c r="AT170" s="6">
        <f>Datos_originales!$T4/Datos_originales!$E4</f>
        <v>0.00002071293937</v>
      </c>
      <c r="AU170" s="6">
        <f>Datos_originales!$U4/Datos_originales!$E4</f>
        <v>0.002050580998</v>
      </c>
      <c r="AV170" s="6">
        <f>Datos_originales!$V4/Datos_originales!$E4</f>
        <v>0.001246228519</v>
      </c>
      <c r="AW170" s="6">
        <f>Datos_originales!$W4/Datos_originales!$E4</f>
        <v>0.01035646969</v>
      </c>
      <c r="AX170" s="6">
        <f>Datos_originales!$X4/Datos_originales!$E4</f>
        <v>0.0004108066309</v>
      </c>
      <c r="AY170" s="6">
        <f>Datos_originales!$Y4/Datos_originales!$E4</f>
        <v>0.0003348591865</v>
      </c>
      <c r="AZ170" s="6">
        <f>Datos_originales!$Z4/Datos_originales!$E4</f>
        <v>0.0004246152572</v>
      </c>
      <c r="BA170" s="6">
        <f>Datos_originales!$AA4/Datos_originales!$E4</f>
        <v>0.0006351968074</v>
      </c>
      <c r="BB170" s="6">
        <f>Datos_originales!$AB4/Datos_originales!$E4</f>
        <v>0.001608704958</v>
      </c>
      <c r="BC170" s="6">
        <f>Datos_originales!$AC4/Datos_originales!$E4</f>
        <v>0.003973432203</v>
      </c>
      <c r="BD170" s="6">
        <f>Datos_originales!$AD4/Datos_originales!$E4</f>
        <v>0.0000276172525</v>
      </c>
      <c r="BE170" s="6">
        <f>Datos_originales!$AE4/Datos_originales!$E4</f>
        <v>0.00007594744437</v>
      </c>
      <c r="BF170" s="6">
        <f>Datos_originales!$AF4/Datos_originales!$E4</f>
        <v>0.002578760952</v>
      </c>
      <c r="BG170" s="6">
        <f>Datos_originales!$AG4/Datos_originales!$E4</f>
        <v>0.0001346341059</v>
      </c>
    </row>
    <row r="171" ht="15.75" customHeight="1">
      <c r="A171" s="2">
        <v>40202.0</v>
      </c>
      <c r="B171" s="3" t="s">
        <v>225</v>
      </c>
      <c r="C171" s="4" t="s">
        <v>230</v>
      </c>
      <c r="D171" s="4" t="str">
        <f>IF(Datos_originales!$E171&lt;1000,"Bosque menor a 1000 ha",Datos_originales!$E171)</f>
        <v>Bosque menor a 1000 ha</v>
      </c>
      <c r="E171" s="4">
        <v>0.0</v>
      </c>
      <c r="F171" s="5">
        <f>AVERAGE(Datos_originales!$H275:$J275)</f>
        <v>13701.12</v>
      </c>
      <c r="G171" s="5">
        <f>AVERAGE(Datos_originales!$R275:$T275)</f>
        <v>25182.24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  <c r="AD171" s="4">
        <v>0.0</v>
      </c>
      <c r="AE171" s="4">
        <v>0.0</v>
      </c>
      <c r="AF171" s="4">
        <v>0.0</v>
      </c>
      <c r="AG171" s="4">
        <v>0.0</v>
      </c>
      <c r="AH171" s="6">
        <v>0.0</v>
      </c>
      <c r="AI171" s="6">
        <v>0.0</v>
      </c>
      <c r="AJ171" s="6">
        <v>0.0</v>
      </c>
      <c r="AK171" s="6">
        <v>0.0</v>
      </c>
      <c r="AL171" s="6">
        <v>0.0</v>
      </c>
      <c r="AM171" s="6">
        <v>0.0</v>
      </c>
      <c r="AN171" s="6">
        <v>0.0</v>
      </c>
      <c r="AO171" s="6">
        <v>0.0</v>
      </c>
      <c r="AP171" s="6">
        <v>0.0</v>
      </c>
      <c r="AQ171" s="6">
        <v>0.0</v>
      </c>
      <c r="AR171" s="6">
        <v>0.0</v>
      </c>
      <c r="AS171" s="6">
        <v>0.0</v>
      </c>
      <c r="AT171" s="6">
        <v>0.0</v>
      </c>
      <c r="AU171" s="6">
        <v>0.0</v>
      </c>
      <c r="AV171" s="6">
        <v>0.0</v>
      </c>
      <c r="AW171" s="6">
        <v>0.0</v>
      </c>
      <c r="AX171" s="6">
        <v>0.0</v>
      </c>
      <c r="AY171" s="6">
        <v>0.0</v>
      </c>
      <c r="AZ171" s="6">
        <v>0.0</v>
      </c>
      <c r="BA171" s="6">
        <v>0.0</v>
      </c>
      <c r="BB171" s="6">
        <v>0.0</v>
      </c>
      <c r="BC171" s="6">
        <v>0.0</v>
      </c>
      <c r="BD171" s="6">
        <v>0.0</v>
      </c>
      <c r="BE171" s="6">
        <v>0.0</v>
      </c>
      <c r="BF171" s="6">
        <v>0.0</v>
      </c>
      <c r="BG171" s="6">
        <v>0.0</v>
      </c>
    </row>
    <row r="172" ht="15.75" customHeight="1">
      <c r="A172" s="2">
        <v>40301.0</v>
      </c>
      <c r="B172" s="3" t="s">
        <v>225</v>
      </c>
      <c r="C172" s="4" t="s">
        <v>231</v>
      </c>
      <c r="D172" s="4" t="str">
        <f>IF(Datos_originales!$E172&lt;1000,"Bosque menor a 1000 ha",Datos_originales!$E172)</f>
        <v>Bosque menor a 1000 ha</v>
      </c>
      <c r="E172" s="4">
        <v>0.0</v>
      </c>
      <c r="F172" s="5">
        <f>AVERAGE(Datos_originales!$H276:$J276)</f>
        <v>5367.18</v>
      </c>
      <c r="G172" s="5">
        <f>AVERAGE(Datos_originales!$R276:$T276)</f>
        <v>4572.75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0.0</v>
      </c>
      <c r="AG172" s="4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0.0</v>
      </c>
      <c r="AM172" s="6">
        <v>0.0</v>
      </c>
      <c r="AN172" s="6">
        <v>0.0</v>
      </c>
      <c r="AO172" s="6">
        <v>0.0</v>
      </c>
      <c r="AP172" s="6">
        <v>0.0</v>
      </c>
      <c r="AQ172" s="6">
        <v>0.0</v>
      </c>
      <c r="AR172" s="6">
        <v>0.0</v>
      </c>
      <c r="AS172" s="6">
        <v>0.0</v>
      </c>
      <c r="AT172" s="6">
        <v>0.0</v>
      </c>
      <c r="AU172" s="6">
        <v>0.0</v>
      </c>
      <c r="AV172" s="6">
        <v>0.0</v>
      </c>
      <c r="AW172" s="6">
        <v>0.0</v>
      </c>
      <c r="AX172" s="6">
        <v>0.0</v>
      </c>
      <c r="AY172" s="6">
        <v>0.0</v>
      </c>
      <c r="AZ172" s="6">
        <v>0.0</v>
      </c>
      <c r="BA172" s="6">
        <v>0.0</v>
      </c>
      <c r="BB172" s="6">
        <v>0.0</v>
      </c>
      <c r="BC172" s="6">
        <v>0.0</v>
      </c>
      <c r="BD172" s="6">
        <v>0.0</v>
      </c>
      <c r="BE172" s="6">
        <v>0.0</v>
      </c>
      <c r="BF172" s="6">
        <v>0.0</v>
      </c>
      <c r="BG172" s="6">
        <v>0.0</v>
      </c>
    </row>
    <row r="173" ht="15.75" customHeight="1">
      <c r="A173" s="2">
        <v>40302.0</v>
      </c>
      <c r="B173" s="3" t="s">
        <v>225</v>
      </c>
      <c r="C173" s="4" t="s">
        <v>232</v>
      </c>
      <c r="D173" s="4" t="str">
        <f>IF(Datos_originales!$E173&lt;1000,"Bosque menor a 1000 ha",Datos_originales!$E173)</f>
        <v>Bosque menor a 1000 ha</v>
      </c>
      <c r="E173" s="4">
        <v>0.0</v>
      </c>
      <c r="F173" s="5">
        <f>AVERAGE(Datos_originales!$H277:$J277)</f>
        <v>104.28</v>
      </c>
      <c r="G173" s="5">
        <f>AVERAGE(Datos_originales!$R277:$T277)</f>
        <v>211.65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0.0</v>
      </c>
      <c r="AD173" s="4">
        <v>0.0</v>
      </c>
      <c r="AE173" s="4">
        <v>0.0</v>
      </c>
      <c r="AF173" s="4">
        <v>0.0</v>
      </c>
      <c r="AG173" s="4">
        <v>0.0</v>
      </c>
      <c r="AH173" s="6">
        <v>0.0</v>
      </c>
      <c r="AI173" s="6">
        <v>0.0</v>
      </c>
      <c r="AJ173" s="6">
        <v>0.0</v>
      </c>
      <c r="AK173" s="6">
        <v>0.0</v>
      </c>
      <c r="AL173" s="6">
        <v>0.0</v>
      </c>
      <c r="AM173" s="6">
        <v>0.0</v>
      </c>
      <c r="AN173" s="6">
        <v>0.0</v>
      </c>
      <c r="AO173" s="6">
        <v>0.0</v>
      </c>
      <c r="AP173" s="6">
        <v>0.0</v>
      </c>
      <c r="AQ173" s="6">
        <v>0.0</v>
      </c>
      <c r="AR173" s="6">
        <v>0.0</v>
      </c>
      <c r="AS173" s="6">
        <v>0.0</v>
      </c>
      <c r="AT173" s="6">
        <v>0.0</v>
      </c>
      <c r="AU173" s="6">
        <v>0.0</v>
      </c>
      <c r="AV173" s="6">
        <v>0.0</v>
      </c>
      <c r="AW173" s="6">
        <v>0.0</v>
      </c>
      <c r="AX173" s="6">
        <v>0.0</v>
      </c>
      <c r="AY173" s="6">
        <v>0.0</v>
      </c>
      <c r="AZ173" s="6">
        <v>0.0</v>
      </c>
      <c r="BA173" s="6">
        <v>0.0</v>
      </c>
      <c r="BB173" s="6">
        <v>0.0</v>
      </c>
      <c r="BC173" s="6">
        <v>0.0</v>
      </c>
      <c r="BD173" s="6">
        <v>0.0</v>
      </c>
      <c r="BE173" s="6">
        <v>0.0</v>
      </c>
      <c r="BF173" s="6">
        <v>0.0</v>
      </c>
      <c r="BG173" s="6">
        <v>0.0</v>
      </c>
    </row>
    <row r="174" ht="15.75" customHeight="1">
      <c r="A174" s="2">
        <v>40401.0</v>
      </c>
      <c r="B174" s="3" t="s">
        <v>225</v>
      </c>
      <c r="C174" s="4" t="s">
        <v>233</v>
      </c>
      <c r="D174" s="4" t="str">
        <f>IF(Datos_originales!$E174&lt;1000,"Bosque menor a 1000 ha",Datos_originales!$E174)</f>
        <v>Bosque menor a 1000 ha</v>
      </c>
      <c r="E174" s="4">
        <v>0.0</v>
      </c>
      <c r="F174" s="5">
        <f>AVERAGE(Datos_originales!$H278:$J278)</f>
        <v>2226.57</v>
      </c>
      <c r="G174" s="5">
        <f>AVERAGE(Datos_originales!$R278:$T278)</f>
        <v>1662.27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>
        <v>0.0</v>
      </c>
      <c r="AE174" s="4">
        <v>0.0</v>
      </c>
      <c r="AF174" s="4">
        <v>0.0</v>
      </c>
      <c r="AG174" s="4">
        <v>0.0</v>
      </c>
      <c r="AH174" s="6">
        <v>0.0</v>
      </c>
      <c r="AI174" s="6">
        <v>0.0</v>
      </c>
      <c r="AJ174" s="6">
        <v>0.0</v>
      </c>
      <c r="AK174" s="6">
        <v>0.0</v>
      </c>
      <c r="AL174" s="6">
        <v>0.0</v>
      </c>
      <c r="AM174" s="6">
        <v>0.0</v>
      </c>
      <c r="AN174" s="6">
        <v>0.0</v>
      </c>
      <c r="AO174" s="6">
        <v>0.0</v>
      </c>
      <c r="AP174" s="6">
        <v>0.0</v>
      </c>
      <c r="AQ174" s="6">
        <v>0.0</v>
      </c>
      <c r="AR174" s="6">
        <v>0.0</v>
      </c>
      <c r="AS174" s="6">
        <v>0.0</v>
      </c>
      <c r="AT174" s="6">
        <v>0.0</v>
      </c>
      <c r="AU174" s="6">
        <v>0.0</v>
      </c>
      <c r="AV174" s="6">
        <v>0.0</v>
      </c>
      <c r="AW174" s="6">
        <v>0.0</v>
      </c>
      <c r="AX174" s="6">
        <v>0.0</v>
      </c>
      <c r="AY174" s="6">
        <v>0.0</v>
      </c>
      <c r="AZ174" s="6">
        <v>0.0</v>
      </c>
      <c r="BA174" s="6">
        <v>0.0</v>
      </c>
      <c r="BB174" s="6">
        <v>0.0</v>
      </c>
      <c r="BC174" s="6">
        <v>0.0</v>
      </c>
      <c r="BD174" s="6">
        <v>0.0</v>
      </c>
      <c r="BE174" s="6">
        <v>0.0</v>
      </c>
      <c r="BF174" s="6">
        <v>0.0</v>
      </c>
      <c r="BG174" s="6">
        <v>0.0</v>
      </c>
    </row>
    <row r="175" ht="15.75" customHeight="1">
      <c r="A175" s="2">
        <v>40402.0</v>
      </c>
      <c r="B175" s="3" t="s">
        <v>225</v>
      </c>
      <c r="C175" s="4" t="s">
        <v>234</v>
      </c>
      <c r="D175" s="4" t="str">
        <f>IF(Datos_originales!$E175&lt;1000,"Bosque menor a 1000 ha",Datos_originales!$E175)</f>
        <v>Bosque menor a 1000 ha</v>
      </c>
      <c r="E175" s="4">
        <v>0.0</v>
      </c>
      <c r="F175" s="5">
        <f>AVERAGE(Datos_originales!$H279:$J279)</f>
        <v>439.89</v>
      </c>
      <c r="G175" s="5">
        <f>AVERAGE(Datos_originales!$R279:$T279)</f>
        <v>547.68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0.0</v>
      </c>
      <c r="AG175" s="4">
        <v>0.0</v>
      </c>
      <c r="AH175" s="6">
        <v>0.0</v>
      </c>
      <c r="AI175" s="6">
        <v>0.0</v>
      </c>
      <c r="AJ175" s="6">
        <v>0.0</v>
      </c>
      <c r="AK175" s="6">
        <v>0.0</v>
      </c>
      <c r="AL175" s="6">
        <v>0.0</v>
      </c>
      <c r="AM175" s="6">
        <v>0.0</v>
      </c>
      <c r="AN175" s="6">
        <v>0.0</v>
      </c>
      <c r="AO175" s="6">
        <v>0.0</v>
      </c>
      <c r="AP175" s="6">
        <v>0.0</v>
      </c>
      <c r="AQ175" s="6">
        <v>0.0</v>
      </c>
      <c r="AR175" s="6">
        <v>0.0</v>
      </c>
      <c r="AS175" s="6">
        <v>0.0</v>
      </c>
      <c r="AT175" s="6">
        <v>0.0</v>
      </c>
      <c r="AU175" s="6">
        <v>0.0</v>
      </c>
      <c r="AV175" s="6">
        <v>0.0</v>
      </c>
      <c r="AW175" s="6">
        <v>0.0</v>
      </c>
      <c r="AX175" s="6">
        <v>0.0</v>
      </c>
      <c r="AY175" s="6">
        <v>0.0</v>
      </c>
      <c r="AZ175" s="6">
        <v>0.0</v>
      </c>
      <c r="BA175" s="6">
        <v>0.0</v>
      </c>
      <c r="BB175" s="6">
        <v>0.0</v>
      </c>
      <c r="BC175" s="6">
        <v>0.0</v>
      </c>
      <c r="BD175" s="6">
        <v>0.0</v>
      </c>
      <c r="BE175" s="6">
        <v>0.0</v>
      </c>
      <c r="BF175" s="6">
        <v>0.0</v>
      </c>
      <c r="BG175" s="6">
        <v>0.0</v>
      </c>
    </row>
    <row r="176" ht="15.75" customHeight="1">
      <c r="A176" s="2">
        <v>40501.0</v>
      </c>
      <c r="B176" s="3" t="s">
        <v>225</v>
      </c>
      <c r="C176" s="4" t="s">
        <v>235</v>
      </c>
      <c r="D176" s="4" t="str">
        <f>IF(Datos_originales!$E176&lt;1000,"Bosque menor a 1000 ha",Datos_originales!$E176)</f>
        <v>Bosque menor a 1000 ha</v>
      </c>
      <c r="E176" s="4">
        <v>0.0</v>
      </c>
      <c r="F176" s="5">
        <f>AVERAGE(Datos_originales!$H280:$J280)</f>
        <v>70.44</v>
      </c>
      <c r="G176" s="5">
        <f>AVERAGE(Datos_originales!$R280:$T280)</f>
        <v>1307.04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  <c r="AG176" s="4">
        <v>0.0</v>
      </c>
      <c r="AH176" s="6">
        <v>0.0</v>
      </c>
      <c r="AI176" s="6">
        <v>0.0</v>
      </c>
      <c r="AJ176" s="6">
        <v>0.0</v>
      </c>
      <c r="AK176" s="6">
        <v>0.0</v>
      </c>
      <c r="AL176" s="6">
        <v>0.0</v>
      </c>
      <c r="AM176" s="6">
        <v>0.0</v>
      </c>
      <c r="AN176" s="6">
        <v>0.0</v>
      </c>
      <c r="AO176" s="6">
        <v>0.0</v>
      </c>
      <c r="AP176" s="6">
        <v>0.0</v>
      </c>
      <c r="AQ176" s="6">
        <v>0.0</v>
      </c>
      <c r="AR176" s="6">
        <v>0.0</v>
      </c>
      <c r="AS176" s="6">
        <v>0.0</v>
      </c>
      <c r="AT176" s="6">
        <v>0.0</v>
      </c>
      <c r="AU176" s="6">
        <v>0.0</v>
      </c>
      <c r="AV176" s="6">
        <v>0.0</v>
      </c>
      <c r="AW176" s="6">
        <v>0.0</v>
      </c>
      <c r="AX176" s="6">
        <v>0.0</v>
      </c>
      <c r="AY176" s="6">
        <v>0.0</v>
      </c>
      <c r="AZ176" s="6">
        <v>0.0</v>
      </c>
      <c r="BA176" s="6">
        <v>0.0</v>
      </c>
      <c r="BB176" s="6">
        <v>0.0</v>
      </c>
      <c r="BC176" s="6">
        <v>0.0</v>
      </c>
      <c r="BD176" s="6">
        <v>0.0</v>
      </c>
      <c r="BE176" s="6">
        <v>0.0</v>
      </c>
      <c r="BF176" s="6">
        <v>0.0</v>
      </c>
      <c r="BG176" s="6">
        <v>0.0</v>
      </c>
    </row>
    <row r="177" ht="15.75" customHeight="1">
      <c r="A177" s="2">
        <v>40502.0</v>
      </c>
      <c r="B177" s="3" t="s">
        <v>225</v>
      </c>
      <c r="C177" s="4" t="s">
        <v>236</v>
      </c>
      <c r="D177" s="4" t="str">
        <f>IF(Datos_originales!$E177&lt;1000,"Bosque menor a 1000 ha",Datos_originales!$E177)</f>
        <v>Bosque menor a 1000 ha</v>
      </c>
      <c r="E177" s="4">
        <v>0.0</v>
      </c>
      <c r="F177" s="5">
        <f>AVERAGE(Datos_originales!$H281:$J281)</f>
        <v>639.84</v>
      </c>
      <c r="G177" s="5">
        <f>AVERAGE(Datos_originales!$R281:$T281)</f>
        <v>1338.06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0.0</v>
      </c>
      <c r="AG177" s="4">
        <v>0.0</v>
      </c>
      <c r="AH177" s="6">
        <v>0.0</v>
      </c>
      <c r="AI177" s="6">
        <v>0.0</v>
      </c>
      <c r="AJ177" s="6">
        <v>0.0</v>
      </c>
      <c r="AK177" s="6">
        <v>0.0</v>
      </c>
      <c r="AL177" s="6">
        <v>0.0</v>
      </c>
      <c r="AM177" s="6">
        <v>0.0</v>
      </c>
      <c r="AN177" s="6">
        <v>0.0</v>
      </c>
      <c r="AO177" s="6">
        <v>0.0</v>
      </c>
      <c r="AP177" s="6">
        <v>0.0</v>
      </c>
      <c r="AQ177" s="6">
        <v>0.0</v>
      </c>
      <c r="AR177" s="6">
        <v>0.0</v>
      </c>
      <c r="AS177" s="6">
        <v>0.0</v>
      </c>
      <c r="AT177" s="6">
        <v>0.0</v>
      </c>
      <c r="AU177" s="6">
        <v>0.0</v>
      </c>
      <c r="AV177" s="6">
        <v>0.0</v>
      </c>
      <c r="AW177" s="6">
        <v>0.0</v>
      </c>
      <c r="AX177" s="6">
        <v>0.0</v>
      </c>
      <c r="AY177" s="6">
        <v>0.0</v>
      </c>
      <c r="AZ177" s="6">
        <v>0.0</v>
      </c>
      <c r="BA177" s="6">
        <v>0.0</v>
      </c>
      <c r="BB177" s="6">
        <v>0.0</v>
      </c>
      <c r="BC177" s="6">
        <v>0.0</v>
      </c>
      <c r="BD177" s="6">
        <v>0.0</v>
      </c>
      <c r="BE177" s="6">
        <v>0.0</v>
      </c>
      <c r="BF177" s="6">
        <v>0.0</v>
      </c>
      <c r="BG177" s="6">
        <v>0.0</v>
      </c>
    </row>
    <row r="178" ht="15.75" customHeight="1">
      <c r="A178" s="2">
        <v>40503.0</v>
      </c>
      <c r="B178" s="3" t="s">
        <v>225</v>
      </c>
      <c r="C178" s="4" t="s">
        <v>237</v>
      </c>
      <c r="D178" s="4" t="str">
        <f>IF(Datos_originales!$E178&lt;1000,"Bosque menor a 1000 ha",Datos_originales!$E178)</f>
        <v>Bosque menor a 1000 ha</v>
      </c>
      <c r="E178" s="4">
        <v>0.0</v>
      </c>
      <c r="F178" s="5">
        <f>AVERAGE(Datos_originales!$H282:$J282)</f>
        <v>61.2</v>
      </c>
      <c r="G178" s="5">
        <f>AVERAGE(Datos_originales!$R282:$T282)</f>
        <v>137.67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0.0</v>
      </c>
      <c r="AG178" s="4">
        <v>0.0</v>
      </c>
      <c r="AH178" s="6">
        <v>0.0</v>
      </c>
      <c r="AI178" s="6">
        <v>0.0</v>
      </c>
      <c r="AJ178" s="6">
        <v>0.0</v>
      </c>
      <c r="AK178" s="6">
        <v>0.0</v>
      </c>
      <c r="AL178" s="6">
        <v>0.0</v>
      </c>
      <c r="AM178" s="6">
        <v>0.0</v>
      </c>
      <c r="AN178" s="6">
        <v>0.0</v>
      </c>
      <c r="AO178" s="6">
        <v>0.0</v>
      </c>
      <c r="AP178" s="6">
        <v>0.0</v>
      </c>
      <c r="AQ178" s="6">
        <v>0.0</v>
      </c>
      <c r="AR178" s="6">
        <v>0.0</v>
      </c>
      <c r="AS178" s="6">
        <v>0.0</v>
      </c>
      <c r="AT178" s="6">
        <v>0.0</v>
      </c>
      <c r="AU178" s="6">
        <v>0.0</v>
      </c>
      <c r="AV178" s="6">
        <v>0.0</v>
      </c>
      <c r="AW178" s="6">
        <v>0.0</v>
      </c>
      <c r="AX178" s="6">
        <v>0.0</v>
      </c>
      <c r="AY178" s="6">
        <v>0.0</v>
      </c>
      <c r="AZ178" s="6">
        <v>0.0</v>
      </c>
      <c r="BA178" s="6">
        <v>0.0</v>
      </c>
      <c r="BB178" s="6">
        <v>0.0</v>
      </c>
      <c r="BC178" s="6">
        <v>0.0</v>
      </c>
      <c r="BD178" s="6">
        <v>0.0</v>
      </c>
      <c r="BE178" s="6">
        <v>0.0</v>
      </c>
      <c r="BF178" s="6">
        <v>0.0</v>
      </c>
      <c r="BG178" s="6">
        <v>0.0</v>
      </c>
    </row>
    <row r="179" ht="15.75" customHeight="1">
      <c r="A179" s="2">
        <v>40504.0</v>
      </c>
      <c r="B179" s="3" t="s">
        <v>225</v>
      </c>
      <c r="C179" s="4" t="s">
        <v>238</v>
      </c>
      <c r="D179" s="4" t="str">
        <f>IF(Datos_originales!$E179&lt;1000,"Bosque menor a 1000 ha",Datos_originales!$E179)</f>
        <v>Bosque menor a 1000 ha</v>
      </c>
      <c r="E179" s="4">
        <v>0.0</v>
      </c>
      <c r="F179" s="5">
        <f>AVERAGE(Datos_originales!$H283:$J283)</f>
        <v>30.09</v>
      </c>
      <c r="G179" s="5">
        <f>AVERAGE(Datos_originales!$R283:$T283)</f>
        <v>208.74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  <c r="AG179" s="4">
        <v>0.0</v>
      </c>
      <c r="AH179" s="6">
        <v>0.0</v>
      </c>
      <c r="AI179" s="6">
        <v>0.0</v>
      </c>
      <c r="AJ179" s="6">
        <v>0.0</v>
      </c>
      <c r="AK179" s="6">
        <v>0.0</v>
      </c>
      <c r="AL179" s="6">
        <v>0.0</v>
      </c>
      <c r="AM179" s="6">
        <v>0.0</v>
      </c>
      <c r="AN179" s="6">
        <v>0.0</v>
      </c>
      <c r="AO179" s="6">
        <v>0.0</v>
      </c>
      <c r="AP179" s="6">
        <v>0.0</v>
      </c>
      <c r="AQ179" s="6">
        <v>0.0</v>
      </c>
      <c r="AR179" s="6">
        <v>0.0</v>
      </c>
      <c r="AS179" s="6">
        <v>0.0</v>
      </c>
      <c r="AT179" s="6">
        <v>0.0</v>
      </c>
      <c r="AU179" s="6">
        <v>0.0</v>
      </c>
      <c r="AV179" s="6">
        <v>0.0</v>
      </c>
      <c r="AW179" s="6">
        <v>0.0</v>
      </c>
      <c r="AX179" s="6">
        <v>0.0</v>
      </c>
      <c r="AY179" s="6">
        <v>0.0</v>
      </c>
      <c r="AZ179" s="6">
        <v>0.0</v>
      </c>
      <c r="BA179" s="6">
        <v>0.0</v>
      </c>
      <c r="BB179" s="6">
        <v>0.0</v>
      </c>
      <c r="BC179" s="6">
        <v>0.0</v>
      </c>
      <c r="BD179" s="6">
        <v>0.0</v>
      </c>
      <c r="BE179" s="6">
        <v>0.0</v>
      </c>
      <c r="BF179" s="6">
        <v>0.0</v>
      </c>
      <c r="BG179" s="6">
        <v>0.0</v>
      </c>
    </row>
    <row r="180" ht="15.75" customHeight="1">
      <c r="A180" s="2">
        <v>40505.0</v>
      </c>
      <c r="B180" s="3" t="s">
        <v>225</v>
      </c>
      <c r="C180" s="4" t="s">
        <v>239</v>
      </c>
      <c r="D180" s="4" t="str">
        <f>IF(Datos_originales!$E180&lt;1000,"Bosque menor a 1000 ha",Datos_originales!$E180)</f>
        <v>Bosque menor a 1000 ha</v>
      </c>
      <c r="E180" s="4">
        <v>0.0</v>
      </c>
      <c r="F180" s="5">
        <f>AVERAGE(Datos_originales!$H284:$J284)</f>
        <v>287.49</v>
      </c>
      <c r="G180" s="5">
        <f>AVERAGE(Datos_originales!$R284:$T284)</f>
        <v>458.76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  <c r="AG180" s="4">
        <v>0.0</v>
      </c>
      <c r="AH180" s="6">
        <v>0.0</v>
      </c>
      <c r="AI180" s="6">
        <v>0.0</v>
      </c>
      <c r="AJ180" s="6">
        <v>0.0</v>
      </c>
      <c r="AK180" s="6">
        <v>0.0</v>
      </c>
      <c r="AL180" s="6">
        <v>0.0</v>
      </c>
      <c r="AM180" s="6">
        <v>0.0</v>
      </c>
      <c r="AN180" s="6">
        <v>0.0</v>
      </c>
      <c r="AO180" s="6">
        <v>0.0</v>
      </c>
      <c r="AP180" s="6">
        <v>0.0</v>
      </c>
      <c r="AQ180" s="6">
        <v>0.0</v>
      </c>
      <c r="AR180" s="6">
        <v>0.0</v>
      </c>
      <c r="AS180" s="6">
        <v>0.0</v>
      </c>
      <c r="AT180" s="6">
        <v>0.0</v>
      </c>
      <c r="AU180" s="6">
        <v>0.0</v>
      </c>
      <c r="AV180" s="6">
        <v>0.0</v>
      </c>
      <c r="AW180" s="6">
        <v>0.0</v>
      </c>
      <c r="AX180" s="6">
        <v>0.0</v>
      </c>
      <c r="AY180" s="6">
        <v>0.0</v>
      </c>
      <c r="AZ180" s="6">
        <v>0.0</v>
      </c>
      <c r="BA180" s="6">
        <v>0.0</v>
      </c>
      <c r="BB180" s="6">
        <v>0.0</v>
      </c>
      <c r="BC180" s="6">
        <v>0.0</v>
      </c>
      <c r="BD180" s="6">
        <v>0.0</v>
      </c>
      <c r="BE180" s="6">
        <v>0.0</v>
      </c>
      <c r="BF180" s="6">
        <v>0.0</v>
      </c>
      <c r="BG180" s="6">
        <v>0.0</v>
      </c>
    </row>
    <row r="181" ht="15.75" customHeight="1">
      <c r="A181" s="2">
        <v>40601.0</v>
      </c>
      <c r="B181" s="3" t="s">
        <v>225</v>
      </c>
      <c r="C181" s="4" t="s">
        <v>240</v>
      </c>
      <c r="D181" s="4" t="str">
        <f>IF(Datos_originales!$E181&lt;1000,"Bosque menor a 1000 ha",Datos_originales!$E181)</f>
        <v>Bosque menor a 1000 ha</v>
      </c>
      <c r="E181" s="4">
        <v>0.0</v>
      </c>
      <c r="F181" s="5">
        <f>AVERAGE(Datos_originales!$H285:$J285)</f>
        <v>65.34</v>
      </c>
      <c r="G181" s="5">
        <f>AVERAGE(Datos_originales!$R285:$T285)</f>
        <v>257.16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0.0</v>
      </c>
      <c r="AG181" s="4">
        <v>0.0</v>
      </c>
      <c r="AH181" s="6">
        <v>0.0</v>
      </c>
      <c r="AI181" s="6">
        <v>0.0</v>
      </c>
      <c r="AJ181" s="6">
        <v>0.0</v>
      </c>
      <c r="AK181" s="6">
        <v>0.0</v>
      </c>
      <c r="AL181" s="6">
        <v>0.0</v>
      </c>
      <c r="AM181" s="6">
        <v>0.0</v>
      </c>
      <c r="AN181" s="6">
        <v>0.0</v>
      </c>
      <c r="AO181" s="6">
        <v>0.0</v>
      </c>
      <c r="AP181" s="6">
        <v>0.0</v>
      </c>
      <c r="AQ181" s="6">
        <v>0.0</v>
      </c>
      <c r="AR181" s="6">
        <v>0.0</v>
      </c>
      <c r="AS181" s="6">
        <v>0.0</v>
      </c>
      <c r="AT181" s="6">
        <v>0.0</v>
      </c>
      <c r="AU181" s="6">
        <v>0.0</v>
      </c>
      <c r="AV181" s="6">
        <v>0.0</v>
      </c>
      <c r="AW181" s="6">
        <v>0.0</v>
      </c>
      <c r="AX181" s="6">
        <v>0.0</v>
      </c>
      <c r="AY181" s="6">
        <v>0.0</v>
      </c>
      <c r="AZ181" s="6">
        <v>0.0</v>
      </c>
      <c r="BA181" s="6">
        <v>0.0</v>
      </c>
      <c r="BB181" s="6">
        <v>0.0</v>
      </c>
      <c r="BC181" s="6">
        <v>0.0</v>
      </c>
      <c r="BD181" s="6">
        <v>0.0</v>
      </c>
      <c r="BE181" s="6">
        <v>0.0</v>
      </c>
      <c r="BF181" s="6">
        <v>0.0</v>
      </c>
      <c r="BG181" s="6">
        <v>0.0</v>
      </c>
    </row>
    <row r="182" ht="15.75" customHeight="1">
      <c r="A182" s="2">
        <v>40602.0</v>
      </c>
      <c r="B182" s="3" t="s">
        <v>225</v>
      </c>
      <c r="C182" s="4" t="s">
        <v>241</v>
      </c>
      <c r="D182" s="4" t="str">
        <f>IF(Datos_originales!$E182&lt;1000,"Bosque menor a 1000 ha",Datos_originales!$E182)</f>
        <v>Bosque menor a 1000 ha</v>
      </c>
      <c r="E182" s="4">
        <v>0.0</v>
      </c>
      <c r="F182" s="5">
        <f>AVERAGE(Datos_originales!$H286:$J286)</f>
        <v>273.54</v>
      </c>
      <c r="G182" s="5">
        <f>AVERAGE(Datos_originales!$R286:$T286)</f>
        <v>439.14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0.0</v>
      </c>
      <c r="AG182" s="4">
        <v>0.0</v>
      </c>
      <c r="AH182" s="6">
        <v>0.0</v>
      </c>
      <c r="AI182" s="6">
        <v>0.0</v>
      </c>
      <c r="AJ182" s="6">
        <v>0.0</v>
      </c>
      <c r="AK182" s="6">
        <v>0.0</v>
      </c>
      <c r="AL182" s="6">
        <v>0.0</v>
      </c>
      <c r="AM182" s="6">
        <v>0.0</v>
      </c>
      <c r="AN182" s="6">
        <v>0.0</v>
      </c>
      <c r="AO182" s="6">
        <v>0.0</v>
      </c>
      <c r="AP182" s="6">
        <v>0.0</v>
      </c>
      <c r="AQ182" s="6">
        <v>0.0</v>
      </c>
      <c r="AR182" s="6">
        <v>0.0</v>
      </c>
      <c r="AS182" s="6">
        <v>0.0</v>
      </c>
      <c r="AT182" s="6">
        <v>0.0</v>
      </c>
      <c r="AU182" s="6">
        <v>0.0</v>
      </c>
      <c r="AV182" s="6">
        <v>0.0</v>
      </c>
      <c r="AW182" s="6">
        <v>0.0</v>
      </c>
      <c r="AX182" s="6">
        <v>0.0</v>
      </c>
      <c r="AY182" s="6">
        <v>0.0</v>
      </c>
      <c r="AZ182" s="6">
        <v>0.0</v>
      </c>
      <c r="BA182" s="6">
        <v>0.0</v>
      </c>
      <c r="BB182" s="6">
        <v>0.0</v>
      </c>
      <c r="BC182" s="6">
        <v>0.0</v>
      </c>
      <c r="BD182" s="6">
        <v>0.0</v>
      </c>
      <c r="BE182" s="6">
        <v>0.0</v>
      </c>
      <c r="BF182" s="6">
        <v>0.0</v>
      </c>
      <c r="BG182" s="6">
        <v>0.0</v>
      </c>
    </row>
    <row r="183" ht="15.75" customHeight="1">
      <c r="A183" s="2">
        <v>40603.0</v>
      </c>
      <c r="B183" s="3" t="s">
        <v>225</v>
      </c>
      <c r="C183" s="4" t="s">
        <v>242</v>
      </c>
      <c r="D183" s="4" t="str">
        <f>IF(Datos_originales!$E183&lt;1000,"Bosque menor a 1000 ha",Datos_originales!$E183)</f>
        <v>Bosque menor a 1000 ha</v>
      </c>
      <c r="E183" s="4">
        <v>0.0</v>
      </c>
      <c r="F183" s="5">
        <f>AVERAGE(Datos_originales!$H287:$J287)</f>
        <v>299.52</v>
      </c>
      <c r="G183" s="5">
        <f>AVERAGE(Datos_originales!$R287:$T287)</f>
        <v>431.58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  <c r="AG183" s="4">
        <v>0.0</v>
      </c>
      <c r="AH183" s="6">
        <v>0.0</v>
      </c>
      <c r="AI183" s="6">
        <v>0.0</v>
      </c>
      <c r="AJ183" s="6">
        <v>0.0</v>
      </c>
      <c r="AK183" s="6">
        <v>0.0</v>
      </c>
      <c r="AL183" s="6">
        <v>0.0</v>
      </c>
      <c r="AM183" s="6">
        <v>0.0</v>
      </c>
      <c r="AN183" s="6">
        <v>0.0</v>
      </c>
      <c r="AO183" s="6">
        <v>0.0</v>
      </c>
      <c r="AP183" s="6">
        <v>0.0</v>
      </c>
      <c r="AQ183" s="6">
        <v>0.0</v>
      </c>
      <c r="AR183" s="6">
        <v>0.0</v>
      </c>
      <c r="AS183" s="6">
        <v>0.0</v>
      </c>
      <c r="AT183" s="6">
        <v>0.0</v>
      </c>
      <c r="AU183" s="6">
        <v>0.0</v>
      </c>
      <c r="AV183" s="6">
        <v>0.0</v>
      </c>
      <c r="AW183" s="6">
        <v>0.0</v>
      </c>
      <c r="AX183" s="6">
        <v>0.0</v>
      </c>
      <c r="AY183" s="6">
        <v>0.0</v>
      </c>
      <c r="AZ183" s="6">
        <v>0.0</v>
      </c>
      <c r="BA183" s="6">
        <v>0.0</v>
      </c>
      <c r="BB183" s="6">
        <v>0.0</v>
      </c>
      <c r="BC183" s="6">
        <v>0.0</v>
      </c>
      <c r="BD183" s="6">
        <v>0.0</v>
      </c>
      <c r="BE183" s="6">
        <v>0.0</v>
      </c>
      <c r="BF183" s="6">
        <v>0.0</v>
      </c>
      <c r="BG183" s="6">
        <v>0.0</v>
      </c>
    </row>
    <row r="184" ht="15.75" customHeight="1">
      <c r="A184" s="2">
        <v>40701.0</v>
      </c>
      <c r="B184" s="3" t="s">
        <v>225</v>
      </c>
      <c r="C184" s="4" t="s">
        <v>243</v>
      </c>
      <c r="D184" s="4" t="str">
        <f>IF(Datos_originales!$E184&lt;1000,"Bosque menor a 1000 ha",Datos_originales!$E184)</f>
        <v>Bosque menor a 1000 ha</v>
      </c>
      <c r="E184" s="4">
        <v>0.0</v>
      </c>
      <c r="F184" s="5">
        <f>AVERAGE(Datos_originales!$H288:$J288)</f>
        <v>225.24</v>
      </c>
      <c r="G184" s="5">
        <f>AVERAGE(Datos_originales!$R288:$T288)</f>
        <v>381.51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  <c r="AG184" s="4">
        <v>0.0</v>
      </c>
      <c r="AH184" s="6">
        <v>0.0</v>
      </c>
      <c r="AI184" s="6">
        <v>0.0</v>
      </c>
      <c r="AJ184" s="6">
        <v>0.0</v>
      </c>
      <c r="AK184" s="6">
        <v>0.0</v>
      </c>
      <c r="AL184" s="6">
        <v>0.0</v>
      </c>
      <c r="AM184" s="6">
        <v>0.0</v>
      </c>
      <c r="AN184" s="6">
        <v>0.0</v>
      </c>
      <c r="AO184" s="6">
        <v>0.0</v>
      </c>
      <c r="AP184" s="6">
        <v>0.0</v>
      </c>
      <c r="AQ184" s="6">
        <v>0.0</v>
      </c>
      <c r="AR184" s="6">
        <v>0.0</v>
      </c>
      <c r="AS184" s="6">
        <v>0.0</v>
      </c>
      <c r="AT184" s="6">
        <v>0.0</v>
      </c>
      <c r="AU184" s="6">
        <v>0.0</v>
      </c>
      <c r="AV184" s="6">
        <v>0.0</v>
      </c>
      <c r="AW184" s="6">
        <v>0.0</v>
      </c>
      <c r="AX184" s="6">
        <v>0.0</v>
      </c>
      <c r="AY184" s="6">
        <v>0.0</v>
      </c>
      <c r="AZ184" s="6">
        <v>0.0</v>
      </c>
      <c r="BA184" s="6">
        <v>0.0</v>
      </c>
      <c r="BB184" s="6">
        <v>0.0</v>
      </c>
      <c r="BC184" s="6">
        <v>0.0</v>
      </c>
      <c r="BD184" s="6">
        <v>0.0</v>
      </c>
      <c r="BE184" s="6">
        <v>0.0</v>
      </c>
      <c r="BF184" s="6">
        <v>0.0</v>
      </c>
      <c r="BG184" s="6">
        <v>0.0</v>
      </c>
    </row>
    <row r="185" ht="15.75" customHeight="1">
      <c r="A185" s="2">
        <v>40702.0</v>
      </c>
      <c r="B185" s="3" t="s">
        <v>225</v>
      </c>
      <c r="C185" s="4" t="s">
        <v>244</v>
      </c>
      <c r="D185" s="4" t="str">
        <f>IF(Datos_originales!$E185&lt;1000,"Bosque menor a 1000 ha",Datos_originales!$E185)</f>
        <v>Bosque menor a 1000 ha</v>
      </c>
      <c r="E185" s="4">
        <v>0.0</v>
      </c>
      <c r="F185" s="5">
        <f>AVERAGE(Datos_originales!$H289:$J289)</f>
        <v>94.47</v>
      </c>
      <c r="G185" s="5">
        <f>AVERAGE(Datos_originales!$R289:$T289)</f>
        <v>126.66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0.0</v>
      </c>
      <c r="AG185" s="4">
        <v>0.0</v>
      </c>
      <c r="AH185" s="6">
        <v>0.0</v>
      </c>
      <c r="AI185" s="6">
        <v>0.0</v>
      </c>
      <c r="AJ185" s="6">
        <v>0.0</v>
      </c>
      <c r="AK185" s="6">
        <v>0.0</v>
      </c>
      <c r="AL185" s="6">
        <v>0.0</v>
      </c>
      <c r="AM185" s="6">
        <v>0.0</v>
      </c>
      <c r="AN185" s="6">
        <v>0.0</v>
      </c>
      <c r="AO185" s="6">
        <v>0.0</v>
      </c>
      <c r="AP185" s="6">
        <v>0.0</v>
      </c>
      <c r="AQ185" s="6">
        <v>0.0</v>
      </c>
      <c r="AR185" s="6">
        <v>0.0</v>
      </c>
      <c r="AS185" s="6">
        <v>0.0</v>
      </c>
      <c r="AT185" s="6">
        <v>0.0</v>
      </c>
      <c r="AU185" s="6">
        <v>0.0</v>
      </c>
      <c r="AV185" s="6">
        <v>0.0</v>
      </c>
      <c r="AW185" s="6">
        <v>0.0</v>
      </c>
      <c r="AX185" s="6">
        <v>0.0</v>
      </c>
      <c r="AY185" s="6">
        <v>0.0</v>
      </c>
      <c r="AZ185" s="6">
        <v>0.0</v>
      </c>
      <c r="BA185" s="6">
        <v>0.0</v>
      </c>
      <c r="BB185" s="6">
        <v>0.0</v>
      </c>
      <c r="BC185" s="6">
        <v>0.0</v>
      </c>
      <c r="BD185" s="6">
        <v>0.0</v>
      </c>
      <c r="BE185" s="6">
        <v>0.0</v>
      </c>
      <c r="BF185" s="6">
        <v>0.0</v>
      </c>
      <c r="BG185" s="6">
        <v>0.0</v>
      </c>
    </row>
    <row r="186" ht="15.75" customHeight="1">
      <c r="A186" s="2">
        <v>40801.0</v>
      </c>
      <c r="B186" s="3" t="s">
        <v>225</v>
      </c>
      <c r="C186" s="4" t="s">
        <v>245</v>
      </c>
      <c r="D186" s="4" t="str">
        <f>IF(Datos_originales!$E186&lt;1000,"Bosque menor a 1000 ha",Datos_originales!$E186)</f>
        <v>Bosque menor a 1000 ha</v>
      </c>
      <c r="E186" s="4">
        <v>0.0</v>
      </c>
      <c r="F186" s="5">
        <f>AVERAGE(Datos_originales!$H290:$J290)</f>
        <v>195.66</v>
      </c>
      <c r="G186" s="5">
        <f>AVERAGE(Datos_originales!$R290:$T290)</f>
        <v>104.64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  <c r="AG186" s="4">
        <v>0.0</v>
      </c>
      <c r="AH186" s="6">
        <v>0.0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0.0</v>
      </c>
      <c r="AO186" s="6">
        <v>0.0</v>
      </c>
      <c r="AP186" s="6">
        <v>0.0</v>
      </c>
      <c r="AQ186" s="6">
        <v>0.0</v>
      </c>
      <c r="AR186" s="6">
        <v>0.0</v>
      </c>
      <c r="AS186" s="6">
        <v>0.0</v>
      </c>
      <c r="AT186" s="6">
        <v>0.0</v>
      </c>
      <c r="AU186" s="6">
        <v>0.0</v>
      </c>
      <c r="AV186" s="6">
        <v>0.0</v>
      </c>
      <c r="AW186" s="6">
        <v>0.0</v>
      </c>
      <c r="AX186" s="6">
        <v>0.0</v>
      </c>
      <c r="AY186" s="6">
        <v>0.0</v>
      </c>
      <c r="AZ186" s="6">
        <v>0.0</v>
      </c>
      <c r="BA186" s="6">
        <v>0.0</v>
      </c>
      <c r="BB186" s="6">
        <v>0.0</v>
      </c>
      <c r="BC186" s="6">
        <v>0.0</v>
      </c>
      <c r="BD186" s="6">
        <v>0.0</v>
      </c>
      <c r="BE186" s="6">
        <v>0.0</v>
      </c>
      <c r="BF186" s="6">
        <v>0.0</v>
      </c>
      <c r="BG186" s="6">
        <v>0.0</v>
      </c>
    </row>
    <row r="187" ht="15.75" customHeight="1">
      <c r="A187" s="2">
        <v>40802.0</v>
      </c>
      <c r="B187" s="3" t="s">
        <v>225</v>
      </c>
      <c r="C187" s="4" t="s">
        <v>246</v>
      </c>
      <c r="D187" s="4" t="str">
        <f>IF(Datos_originales!$E187&lt;1000,"Bosque menor a 1000 ha",Datos_originales!$E187)</f>
        <v>Bosque menor a 1000 ha</v>
      </c>
      <c r="E187" s="4">
        <v>0.0</v>
      </c>
      <c r="F187" s="5">
        <f>AVERAGE(Datos_originales!$H291:$J291)</f>
        <v>263.55</v>
      </c>
      <c r="G187" s="5">
        <f>AVERAGE(Datos_originales!$R291:$T291)</f>
        <v>164.79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  <c r="AG187" s="4">
        <v>0.0</v>
      </c>
      <c r="AH187" s="6">
        <v>0.0</v>
      </c>
      <c r="AI187" s="6">
        <v>0.0</v>
      </c>
      <c r="AJ187" s="6">
        <v>0.0</v>
      </c>
      <c r="AK187" s="6">
        <v>0.0</v>
      </c>
      <c r="AL187" s="6">
        <v>0.0</v>
      </c>
      <c r="AM187" s="6">
        <v>0.0</v>
      </c>
      <c r="AN187" s="6">
        <v>0.0</v>
      </c>
      <c r="AO187" s="6">
        <v>0.0</v>
      </c>
      <c r="AP187" s="6">
        <v>0.0</v>
      </c>
      <c r="AQ187" s="6">
        <v>0.0</v>
      </c>
      <c r="AR187" s="6">
        <v>0.0</v>
      </c>
      <c r="AS187" s="6">
        <v>0.0</v>
      </c>
      <c r="AT187" s="6">
        <v>0.0</v>
      </c>
      <c r="AU187" s="6">
        <v>0.0</v>
      </c>
      <c r="AV187" s="6">
        <v>0.0</v>
      </c>
      <c r="AW187" s="6">
        <v>0.0</v>
      </c>
      <c r="AX187" s="6">
        <v>0.0</v>
      </c>
      <c r="AY187" s="6">
        <v>0.0</v>
      </c>
      <c r="AZ187" s="6">
        <v>0.0</v>
      </c>
      <c r="BA187" s="6">
        <v>0.0</v>
      </c>
      <c r="BB187" s="6">
        <v>0.0</v>
      </c>
      <c r="BC187" s="6">
        <v>0.0</v>
      </c>
      <c r="BD187" s="6">
        <v>0.0</v>
      </c>
      <c r="BE187" s="6">
        <v>0.0</v>
      </c>
      <c r="BF187" s="6">
        <v>0.0</v>
      </c>
      <c r="BG187" s="6">
        <v>0.0</v>
      </c>
    </row>
    <row r="188" ht="15.75" customHeight="1">
      <c r="A188" s="2">
        <v>40901.0</v>
      </c>
      <c r="B188" s="3" t="s">
        <v>225</v>
      </c>
      <c r="C188" s="4" t="s">
        <v>247</v>
      </c>
      <c r="D188" s="4" t="str">
        <f>IF(Datos_originales!$E188&lt;1000,"Bosque menor a 1000 ha",Datos_originales!$E188)</f>
        <v>Bosque menor a 1000 ha</v>
      </c>
      <c r="E188" s="4">
        <v>0.0</v>
      </c>
      <c r="F188" s="5">
        <f>AVERAGE(Datos_originales!$H292:$J292)</f>
        <v>297.54</v>
      </c>
      <c r="G188" s="5">
        <f>AVERAGE(Datos_originales!$R292:$T292)</f>
        <v>203.58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  <c r="AG188" s="4">
        <v>0.0</v>
      </c>
      <c r="AH188" s="6">
        <v>0.0</v>
      </c>
      <c r="AI188" s="6">
        <v>0.0</v>
      </c>
      <c r="AJ188" s="6">
        <v>0.0</v>
      </c>
      <c r="AK188" s="6">
        <v>0.0</v>
      </c>
      <c r="AL188" s="6">
        <v>0.0</v>
      </c>
      <c r="AM188" s="6">
        <v>0.0</v>
      </c>
      <c r="AN188" s="6">
        <v>0.0</v>
      </c>
      <c r="AO188" s="6">
        <v>0.0</v>
      </c>
      <c r="AP188" s="6">
        <v>0.0</v>
      </c>
      <c r="AQ188" s="6">
        <v>0.0</v>
      </c>
      <c r="AR188" s="6">
        <v>0.0</v>
      </c>
      <c r="AS188" s="6">
        <v>0.0</v>
      </c>
      <c r="AT188" s="6">
        <v>0.0</v>
      </c>
      <c r="AU188" s="6">
        <v>0.0</v>
      </c>
      <c r="AV188" s="6">
        <v>0.0</v>
      </c>
      <c r="AW188" s="6">
        <v>0.0</v>
      </c>
      <c r="AX188" s="6">
        <v>0.0</v>
      </c>
      <c r="AY188" s="6">
        <v>0.0</v>
      </c>
      <c r="AZ188" s="6">
        <v>0.0</v>
      </c>
      <c r="BA188" s="6">
        <v>0.0</v>
      </c>
      <c r="BB188" s="6">
        <v>0.0</v>
      </c>
      <c r="BC188" s="6">
        <v>0.0</v>
      </c>
      <c r="BD188" s="6">
        <v>0.0</v>
      </c>
      <c r="BE188" s="6">
        <v>0.0</v>
      </c>
      <c r="BF188" s="6">
        <v>0.0</v>
      </c>
      <c r="BG188" s="6">
        <v>0.0</v>
      </c>
    </row>
    <row r="189" ht="15.75" customHeight="1">
      <c r="A189" s="2">
        <v>40902.0</v>
      </c>
      <c r="B189" s="3" t="s">
        <v>225</v>
      </c>
      <c r="C189" s="4" t="s">
        <v>248</v>
      </c>
      <c r="D189" s="4" t="str">
        <f>IF(Datos_originales!$E189&lt;1000,"Bosque menor a 1000 ha",Datos_originales!$E189)</f>
        <v>Bosque menor a 1000 ha</v>
      </c>
      <c r="E189" s="4">
        <v>0.0</v>
      </c>
      <c r="F189" s="5">
        <f>AVERAGE(Datos_originales!$H293:$J293)</f>
        <v>309.42</v>
      </c>
      <c r="G189" s="5">
        <f>AVERAGE(Datos_originales!$R293:$T293)</f>
        <v>224.58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0.0</v>
      </c>
      <c r="AG189" s="4">
        <v>0.0</v>
      </c>
      <c r="AH189" s="6">
        <v>0.0</v>
      </c>
      <c r="AI189" s="6">
        <v>0.0</v>
      </c>
      <c r="AJ189" s="6">
        <v>0.0</v>
      </c>
      <c r="AK189" s="6">
        <v>0.0</v>
      </c>
      <c r="AL189" s="6">
        <v>0.0</v>
      </c>
      <c r="AM189" s="6">
        <v>0.0</v>
      </c>
      <c r="AN189" s="6">
        <v>0.0</v>
      </c>
      <c r="AO189" s="6">
        <v>0.0</v>
      </c>
      <c r="AP189" s="6">
        <v>0.0</v>
      </c>
      <c r="AQ189" s="6">
        <v>0.0</v>
      </c>
      <c r="AR189" s="6">
        <v>0.0</v>
      </c>
      <c r="AS189" s="6">
        <v>0.0</v>
      </c>
      <c r="AT189" s="6">
        <v>0.0</v>
      </c>
      <c r="AU189" s="6">
        <v>0.0</v>
      </c>
      <c r="AV189" s="6">
        <v>0.0</v>
      </c>
      <c r="AW189" s="6">
        <v>0.0</v>
      </c>
      <c r="AX189" s="6">
        <v>0.0</v>
      </c>
      <c r="AY189" s="6">
        <v>0.0</v>
      </c>
      <c r="AZ189" s="6">
        <v>0.0</v>
      </c>
      <c r="BA189" s="6">
        <v>0.0</v>
      </c>
      <c r="BB189" s="6">
        <v>0.0</v>
      </c>
      <c r="BC189" s="6">
        <v>0.0</v>
      </c>
      <c r="BD189" s="6">
        <v>0.0</v>
      </c>
      <c r="BE189" s="6">
        <v>0.0</v>
      </c>
      <c r="BF189" s="6">
        <v>0.0</v>
      </c>
      <c r="BG189" s="6">
        <v>0.0</v>
      </c>
    </row>
    <row r="190" ht="15.75" customHeight="1">
      <c r="A190" s="2">
        <v>40903.0</v>
      </c>
      <c r="B190" s="3" t="s">
        <v>225</v>
      </c>
      <c r="C190" s="4" t="s">
        <v>249</v>
      </c>
      <c r="D190" s="4" t="str">
        <f>IF(Datos_originales!$E190&lt;1000,"Bosque menor a 1000 ha",Datos_originales!$E190)</f>
        <v>Bosque menor a 1000 ha</v>
      </c>
      <c r="E190" s="4">
        <v>0.0</v>
      </c>
      <c r="F190" s="5">
        <f>AVERAGE(Datos_originales!$H294:$J294)</f>
        <v>1728.54</v>
      </c>
      <c r="G190" s="5">
        <f>AVERAGE(Datos_originales!$R294:$T294)</f>
        <v>1016.58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  <c r="AG190" s="4">
        <v>0.0</v>
      </c>
      <c r="AH190" s="6">
        <v>0.0</v>
      </c>
      <c r="AI190" s="6">
        <v>0.0</v>
      </c>
      <c r="AJ190" s="6">
        <v>0.0</v>
      </c>
      <c r="AK190" s="6">
        <v>0.0</v>
      </c>
      <c r="AL190" s="6">
        <v>0.0</v>
      </c>
      <c r="AM190" s="6">
        <v>0.0</v>
      </c>
      <c r="AN190" s="6">
        <v>0.0</v>
      </c>
      <c r="AO190" s="6">
        <v>0.0</v>
      </c>
      <c r="AP190" s="6">
        <v>0.0</v>
      </c>
      <c r="AQ190" s="6">
        <v>0.0</v>
      </c>
      <c r="AR190" s="6">
        <v>0.0</v>
      </c>
      <c r="AS190" s="6">
        <v>0.0</v>
      </c>
      <c r="AT190" s="6">
        <v>0.0</v>
      </c>
      <c r="AU190" s="6">
        <v>0.0</v>
      </c>
      <c r="AV190" s="6">
        <v>0.0</v>
      </c>
      <c r="AW190" s="6">
        <v>0.0</v>
      </c>
      <c r="AX190" s="6">
        <v>0.0</v>
      </c>
      <c r="AY190" s="6">
        <v>0.0</v>
      </c>
      <c r="AZ190" s="6">
        <v>0.0</v>
      </c>
      <c r="BA190" s="6">
        <v>0.0</v>
      </c>
      <c r="BB190" s="6">
        <v>0.0</v>
      </c>
      <c r="BC190" s="6">
        <v>0.0</v>
      </c>
      <c r="BD190" s="6">
        <v>0.0</v>
      </c>
      <c r="BE190" s="6">
        <v>0.0</v>
      </c>
      <c r="BF190" s="6">
        <v>0.0</v>
      </c>
      <c r="BG190" s="6">
        <v>0.0</v>
      </c>
    </row>
    <row r="191" ht="15.75" customHeight="1">
      <c r="A191" s="2">
        <v>41001.0</v>
      </c>
      <c r="B191" s="3" t="s">
        <v>225</v>
      </c>
      <c r="C191" s="4" t="s">
        <v>250</v>
      </c>
      <c r="D191" s="4" t="str">
        <f>IF(Datos_originales!$E191&lt;1000,"Bosque menor a 1000 ha",Datos_originales!$E191)</f>
        <v>Bosque menor a 1000 ha</v>
      </c>
      <c r="E191" s="4">
        <v>0.0</v>
      </c>
      <c r="F191" s="5">
        <f>AVERAGE(Datos_originales!$H295:$J295)</f>
        <v>5438.31</v>
      </c>
      <c r="G191" s="5">
        <f>AVERAGE(Datos_originales!$R295:$T295)</f>
        <v>25056.66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0.0</v>
      </c>
      <c r="AG191" s="4">
        <v>0.0</v>
      </c>
      <c r="AH191" s="6">
        <v>0.0</v>
      </c>
      <c r="AI191" s="6">
        <v>0.0</v>
      </c>
      <c r="AJ191" s="6">
        <v>0.0</v>
      </c>
      <c r="AK191" s="6">
        <v>0.0</v>
      </c>
      <c r="AL191" s="6">
        <v>0.0</v>
      </c>
      <c r="AM191" s="6">
        <v>0.0</v>
      </c>
      <c r="AN191" s="6">
        <v>0.0</v>
      </c>
      <c r="AO191" s="6">
        <v>0.0</v>
      </c>
      <c r="AP191" s="6">
        <v>0.0</v>
      </c>
      <c r="AQ191" s="6">
        <v>0.0</v>
      </c>
      <c r="AR191" s="6">
        <v>0.0</v>
      </c>
      <c r="AS191" s="6">
        <v>0.0</v>
      </c>
      <c r="AT191" s="6">
        <v>0.0</v>
      </c>
      <c r="AU191" s="6">
        <v>0.0</v>
      </c>
      <c r="AV191" s="6">
        <v>0.0</v>
      </c>
      <c r="AW191" s="6">
        <v>0.0</v>
      </c>
      <c r="AX191" s="6">
        <v>0.0</v>
      </c>
      <c r="AY191" s="6">
        <v>0.0</v>
      </c>
      <c r="AZ191" s="6">
        <v>0.0</v>
      </c>
      <c r="BA191" s="6">
        <v>0.0</v>
      </c>
      <c r="BB191" s="6">
        <v>0.0</v>
      </c>
      <c r="BC191" s="6">
        <v>0.0</v>
      </c>
      <c r="BD191" s="6">
        <v>0.0</v>
      </c>
      <c r="BE191" s="6">
        <v>0.0</v>
      </c>
      <c r="BF191" s="6">
        <v>0.0</v>
      </c>
      <c r="BG191" s="6">
        <v>0.0</v>
      </c>
    </row>
    <row r="192" ht="15.75" customHeight="1">
      <c r="A192" s="2">
        <v>41101.0</v>
      </c>
      <c r="B192" s="3" t="s">
        <v>225</v>
      </c>
      <c r="C192" s="4" t="s">
        <v>251</v>
      </c>
      <c r="D192" s="4" t="str">
        <f>IF(Datos_originales!$E192&lt;1000,"Bosque menor a 1000 ha",Datos_originales!$E192)</f>
        <v>Bosque menor a 1000 ha</v>
      </c>
      <c r="E192" s="4">
        <v>0.0</v>
      </c>
      <c r="F192" s="5">
        <f>AVERAGE(Datos_originales!$H296:$J296)</f>
        <v>1977.45</v>
      </c>
      <c r="G192" s="5">
        <f>AVERAGE(Datos_originales!$R296:$T296)</f>
        <v>3604.11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  <c r="AG192" s="4">
        <v>0.0</v>
      </c>
      <c r="AH192" s="6">
        <v>0.0</v>
      </c>
      <c r="AI192" s="6">
        <v>0.0</v>
      </c>
      <c r="AJ192" s="6">
        <v>0.0</v>
      </c>
      <c r="AK192" s="6">
        <v>0.0</v>
      </c>
      <c r="AL192" s="6">
        <v>0.0</v>
      </c>
      <c r="AM192" s="6">
        <v>0.0</v>
      </c>
      <c r="AN192" s="6">
        <v>0.0</v>
      </c>
      <c r="AO192" s="6">
        <v>0.0</v>
      </c>
      <c r="AP192" s="6">
        <v>0.0</v>
      </c>
      <c r="AQ192" s="6">
        <v>0.0</v>
      </c>
      <c r="AR192" s="6">
        <v>0.0</v>
      </c>
      <c r="AS192" s="6">
        <v>0.0</v>
      </c>
      <c r="AT192" s="6">
        <v>0.0</v>
      </c>
      <c r="AU192" s="6">
        <v>0.0</v>
      </c>
      <c r="AV192" s="6">
        <v>0.0</v>
      </c>
      <c r="AW192" s="6">
        <v>0.0</v>
      </c>
      <c r="AX192" s="6">
        <v>0.0</v>
      </c>
      <c r="AY192" s="6">
        <v>0.0</v>
      </c>
      <c r="AZ192" s="6">
        <v>0.0</v>
      </c>
      <c r="BA192" s="6">
        <v>0.0</v>
      </c>
      <c r="BB192" s="6">
        <v>0.0</v>
      </c>
      <c r="BC192" s="6">
        <v>0.0</v>
      </c>
      <c r="BD192" s="6">
        <v>0.0</v>
      </c>
      <c r="BE192" s="6">
        <v>0.0</v>
      </c>
      <c r="BF192" s="6">
        <v>0.0</v>
      </c>
      <c r="BG192" s="6">
        <v>0.0</v>
      </c>
    </row>
    <row r="193" ht="15.75" customHeight="1">
      <c r="A193" s="2">
        <v>41201.0</v>
      </c>
      <c r="B193" s="3" t="s">
        <v>225</v>
      </c>
      <c r="C193" s="4" t="s">
        <v>252</v>
      </c>
      <c r="D193" s="4" t="str">
        <f>IF(Datos_originales!$E193&lt;1000,"Bosque menor a 1000 ha",Datos_originales!$E193)</f>
        <v>Bosque menor a 1000 ha</v>
      </c>
      <c r="E193" s="4">
        <v>0.0</v>
      </c>
      <c r="F193" s="5">
        <f>AVERAGE(Datos_originales!$H297:$J297)</f>
        <v>498.63</v>
      </c>
      <c r="G193" s="5">
        <f>AVERAGE(Datos_originales!$R297:$T297)</f>
        <v>926.28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  <c r="AD193" s="4">
        <v>0.0</v>
      </c>
      <c r="AE193" s="4">
        <v>0.0</v>
      </c>
      <c r="AF193" s="4">
        <v>0.0</v>
      </c>
      <c r="AG193" s="4">
        <v>0.0</v>
      </c>
      <c r="AH193" s="6">
        <v>0.0</v>
      </c>
      <c r="AI193" s="6">
        <v>0.0</v>
      </c>
      <c r="AJ193" s="6">
        <v>0.0</v>
      </c>
      <c r="AK193" s="6">
        <v>0.0</v>
      </c>
      <c r="AL193" s="6">
        <v>0.0</v>
      </c>
      <c r="AM193" s="6">
        <v>0.0</v>
      </c>
      <c r="AN193" s="6">
        <v>0.0</v>
      </c>
      <c r="AO193" s="6">
        <v>0.0</v>
      </c>
      <c r="AP193" s="6">
        <v>0.0</v>
      </c>
      <c r="AQ193" s="6">
        <v>0.0</v>
      </c>
      <c r="AR193" s="6">
        <v>0.0</v>
      </c>
      <c r="AS193" s="6">
        <v>0.0</v>
      </c>
      <c r="AT193" s="6">
        <v>0.0</v>
      </c>
      <c r="AU193" s="6">
        <v>0.0</v>
      </c>
      <c r="AV193" s="6">
        <v>0.0</v>
      </c>
      <c r="AW193" s="6">
        <v>0.0</v>
      </c>
      <c r="AX193" s="6">
        <v>0.0</v>
      </c>
      <c r="AY193" s="6">
        <v>0.0</v>
      </c>
      <c r="AZ193" s="6">
        <v>0.0</v>
      </c>
      <c r="BA193" s="6">
        <v>0.0</v>
      </c>
      <c r="BB193" s="6">
        <v>0.0</v>
      </c>
      <c r="BC193" s="6">
        <v>0.0</v>
      </c>
      <c r="BD193" s="6">
        <v>0.0</v>
      </c>
      <c r="BE193" s="6">
        <v>0.0</v>
      </c>
      <c r="BF193" s="6">
        <v>0.0</v>
      </c>
      <c r="BG193" s="6">
        <v>0.0</v>
      </c>
    </row>
    <row r="194" ht="15.75" customHeight="1">
      <c r="A194" s="2">
        <v>41202.0</v>
      </c>
      <c r="B194" s="3" t="s">
        <v>225</v>
      </c>
      <c r="C194" s="4" t="s">
        <v>253</v>
      </c>
      <c r="D194" s="4" t="str">
        <f>IF(Datos_originales!$E194&lt;1000,"Bosque menor a 1000 ha",Datos_originales!$E194)</f>
        <v>Bosque menor a 1000 ha</v>
      </c>
      <c r="E194" s="4">
        <v>0.0</v>
      </c>
      <c r="F194" s="5">
        <f>AVERAGE(Datos_originales!$H298:$J298)</f>
        <v>12716.55</v>
      </c>
      <c r="G194" s="5">
        <f>AVERAGE(Datos_originales!$R298:$T298)</f>
        <v>4158.87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  <c r="AG194" s="4">
        <v>0.0</v>
      </c>
      <c r="AH194" s="6">
        <v>0.0</v>
      </c>
      <c r="AI194" s="6">
        <v>0.0</v>
      </c>
      <c r="AJ194" s="6">
        <v>0.0</v>
      </c>
      <c r="AK194" s="6">
        <v>0.0</v>
      </c>
      <c r="AL194" s="6">
        <v>0.0</v>
      </c>
      <c r="AM194" s="6">
        <v>0.0</v>
      </c>
      <c r="AN194" s="6">
        <v>0.0</v>
      </c>
      <c r="AO194" s="6">
        <v>0.0</v>
      </c>
      <c r="AP194" s="6">
        <v>0.0</v>
      </c>
      <c r="AQ194" s="6">
        <v>0.0</v>
      </c>
      <c r="AR194" s="6">
        <v>0.0</v>
      </c>
      <c r="AS194" s="6">
        <v>0.0</v>
      </c>
      <c r="AT194" s="6">
        <v>0.0</v>
      </c>
      <c r="AU194" s="6">
        <v>0.0</v>
      </c>
      <c r="AV194" s="6">
        <v>0.0</v>
      </c>
      <c r="AW194" s="6">
        <v>0.0</v>
      </c>
      <c r="AX194" s="6">
        <v>0.0</v>
      </c>
      <c r="AY194" s="6">
        <v>0.0</v>
      </c>
      <c r="AZ194" s="6">
        <v>0.0</v>
      </c>
      <c r="BA194" s="6">
        <v>0.0</v>
      </c>
      <c r="BB194" s="6">
        <v>0.0</v>
      </c>
      <c r="BC194" s="6">
        <v>0.0</v>
      </c>
      <c r="BD194" s="6">
        <v>0.0</v>
      </c>
      <c r="BE194" s="6">
        <v>0.0</v>
      </c>
      <c r="BF194" s="6">
        <v>0.0</v>
      </c>
      <c r="BG194" s="6">
        <v>0.0</v>
      </c>
    </row>
    <row r="195" ht="15.75" customHeight="1">
      <c r="A195" s="2">
        <v>41301.0</v>
      </c>
      <c r="B195" s="3" t="s">
        <v>225</v>
      </c>
      <c r="C195" s="4" t="s">
        <v>207</v>
      </c>
      <c r="D195" s="4" t="str">
        <f>IF(Datos_originales!$E195&lt;1000,"Bosque menor a 1000 ha",Datos_originales!$E195)</f>
        <v>Bosque menor a 1000 ha</v>
      </c>
      <c r="E195" s="4">
        <v>0.0</v>
      </c>
      <c r="F195" s="5">
        <f>AVERAGE(Datos_originales!$H299:$J299)</f>
        <v>120.84</v>
      </c>
      <c r="G195" s="5">
        <f>AVERAGE(Datos_originales!$R299:$T299)</f>
        <v>1305.93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  <c r="AD195" s="4">
        <v>0.0</v>
      </c>
      <c r="AE195" s="4">
        <v>0.0</v>
      </c>
      <c r="AF195" s="4">
        <v>0.0</v>
      </c>
      <c r="AG195" s="4">
        <v>0.0</v>
      </c>
      <c r="AH195" s="6">
        <v>0.0</v>
      </c>
      <c r="AI195" s="6">
        <v>0.0</v>
      </c>
      <c r="AJ195" s="6">
        <v>0.0</v>
      </c>
      <c r="AK195" s="6">
        <v>0.0</v>
      </c>
      <c r="AL195" s="6">
        <v>0.0</v>
      </c>
      <c r="AM195" s="6">
        <v>0.0</v>
      </c>
      <c r="AN195" s="6">
        <v>0.0</v>
      </c>
      <c r="AO195" s="6">
        <v>0.0</v>
      </c>
      <c r="AP195" s="6">
        <v>0.0</v>
      </c>
      <c r="AQ195" s="6">
        <v>0.0</v>
      </c>
      <c r="AR195" s="6">
        <v>0.0</v>
      </c>
      <c r="AS195" s="6">
        <v>0.0</v>
      </c>
      <c r="AT195" s="6">
        <v>0.0</v>
      </c>
      <c r="AU195" s="6">
        <v>0.0</v>
      </c>
      <c r="AV195" s="6">
        <v>0.0</v>
      </c>
      <c r="AW195" s="6">
        <v>0.0</v>
      </c>
      <c r="AX195" s="6">
        <v>0.0</v>
      </c>
      <c r="AY195" s="6">
        <v>0.0</v>
      </c>
      <c r="AZ195" s="6">
        <v>0.0</v>
      </c>
      <c r="BA195" s="6">
        <v>0.0</v>
      </c>
      <c r="BB195" s="6">
        <v>0.0</v>
      </c>
      <c r="BC195" s="6">
        <v>0.0</v>
      </c>
      <c r="BD195" s="6">
        <v>0.0</v>
      </c>
      <c r="BE195" s="6">
        <v>0.0</v>
      </c>
      <c r="BF195" s="6">
        <v>0.0</v>
      </c>
      <c r="BG195" s="6">
        <v>0.0</v>
      </c>
    </row>
    <row r="196" ht="15.75" customHeight="1">
      <c r="A196" s="2">
        <v>41401.0</v>
      </c>
      <c r="B196" s="3" t="s">
        <v>225</v>
      </c>
      <c r="C196" s="4" t="s">
        <v>254</v>
      </c>
      <c r="D196" s="4" t="str">
        <f>IF(Datos_originales!$E196&lt;1000,"Bosque menor a 1000 ha",Datos_originales!$E196)</f>
        <v>Bosque menor a 1000 ha</v>
      </c>
      <c r="E196" s="4">
        <v>4.32</v>
      </c>
      <c r="F196" s="5">
        <f>AVERAGE(Datos_originales!$H6:$J6)</f>
        <v>15.33</v>
      </c>
      <c r="G196" s="5">
        <f>AVERAGE(Datos_originales!$R6:$T6)</f>
        <v>59.31</v>
      </c>
      <c r="H196" s="4">
        <v>0.0</v>
      </c>
      <c r="I196" s="4">
        <v>0.0</v>
      </c>
      <c r="J196" s="4">
        <v>0.0</v>
      </c>
      <c r="K196" s="4">
        <v>0.09</v>
      </c>
      <c r="L196" s="4">
        <v>0.0</v>
      </c>
      <c r="M196" s="4">
        <v>0.0</v>
      </c>
      <c r="N196" s="4">
        <v>0.0</v>
      </c>
      <c r="O196" s="4">
        <v>0.0</v>
      </c>
      <c r="P196" s="4">
        <v>0.18</v>
      </c>
      <c r="Q196" s="4">
        <v>0.0</v>
      </c>
      <c r="R196" s="4">
        <v>0.0</v>
      </c>
      <c r="S196" s="4">
        <v>0.0</v>
      </c>
      <c r="T196" s="4">
        <v>0.09</v>
      </c>
      <c r="U196" s="4">
        <v>0.09</v>
      </c>
      <c r="V196" s="4">
        <v>0.0</v>
      </c>
      <c r="W196" s="4">
        <v>0.09</v>
      </c>
      <c r="X196" s="4">
        <v>0.09</v>
      </c>
      <c r="Y196" s="4">
        <v>0.0</v>
      </c>
      <c r="Z196" s="4">
        <v>0.0</v>
      </c>
      <c r="AA196" s="4">
        <v>0.0</v>
      </c>
      <c r="AB196" s="4">
        <v>0.09</v>
      </c>
      <c r="AC196" s="4">
        <v>0.36</v>
      </c>
      <c r="AD196" s="4">
        <v>0.0</v>
      </c>
      <c r="AE196" s="4">
        <v>0.0</v>
      </c>
      <c r="AF196" s="4">
        <v>0.0</v>
      </c>
      <c r="AG196" s="4">
        <v>3.06</v>
      </c>
      <c r="AH196" s="6">
        <f>Datos_originales!$H6/Datos_originales!$E6</f>
        <v>0.0001702858077</v>
      </c>
      <c r="AI196" s="6">
        <f>Datos_originales!$I6/Datos_originales!$E6</f>
        <v>0.0004518250098</v>
      </c>
      <c r="AJ196" s="6">
        <f>Datos_originales!$J6/Datos_originales!$E6</f>
        <v>0.0005381031523</v>
      </c>
      <c r="AK196" s="6">
        <f>Datos_originales!$K6/Datos_originales!$E6</f>
        <v>0.0004631773969</v>
      </c>
      <c r="AL196" s="6">
        <f>Datos_originales!$L6/Datos_originales!$E6</f>
        <v>0.0003042439764</v>
      </c>
      <c r="AM196" s="6">
        <f>Datos_originales!$M6/Datos_originales!$E6</f>
        <v>0.0008582404708</v>
      </c>
      <c r="AN196" s="6">
        <f>Datos_originales!$N6/Datos_originales!$E6</f>
        <v>0.0005880536559</v>
      </c>
      <c r="AO196" s="6">
        <f>Datos_originales!$O6/Datos_originales!$E6</f>
        <v>0.001189730176</v>
      </c>
      <c r="AP196" s="6">
        <f>Datos_originales!$P6/Datos_originales!$E6</f>
        <v>0.0009717643426</v>
      </c>
      <c r="AQ196" s="6">
        <f>Datos_originales!$Q6/Datos_originales!$E6</f>
        <v>0.000603946998</v>
      </c>
      <c r="AR196" s="6">
        <f>Datos_originales!$R6/Datos_originales!$E6</f>
        <v>0.00009536005231</v>
      </c>
      <c r="AS196" s="6">
        <f>Datos_originales!$S6/Datos_originales!$E6</f>
        <v>0.00329446276</v>
      </c>
      <c r="AT196" s="6">
        <f>Datos_originales!$T6/Datos_originales!$E6</f>
        <v>0.001098911079</v>
      </c>
      <c r="AU196" s="6">
        <f>Datos_originales!$U6/Datos_originales!$E6</f>
        <v>0.0005176688554</v>
      </c>
      <c r="AV196" s="6">
        <f>Datos_originales!$V6/Datos_originales!$E6</f>
        <v>0.001087558692</v>
      </c>
      <c r="AW196" s="6">
        <f>Datos_originales!$W6/Datos_originales!$E6</f>
        <v>0.01053728578</v>
      </c>
      <c r="AX196" s="6">
        <f>Datos_originales!$X6/Datos_originales!$E6</f>
        <v>0.001112533944</v>
      </c>
      <c r="AY196" s="6">
        <f>Datos_originales!$Y6/Datos_originales!$E6</f>
        <v>0.0006993070503</v>
      </c>
      <c r="AZ196" s="6">
        <f>Datos_originales!$Z6/Datos_originales!$E6</f>
        <v>0.001037608188</v>
      </c>
      <c r="BA196" s="6">
        <f>Datos_originales!$AA6/Datos_originales!$E6</f>
        <v>0.001085288214</v>
      </c>
      <c r="BB196" s="6">
        <f>Datos_originales!$AB6/Datos_originales!$E6</f>
        <v>0.002059323034</v>
      </c>
      <c r="BC196" s="6">
        <f>Datos_originales!$AC6/Datos_originales!$E6</f>
        <v>0.001255574022</v>
      </c>
      <c r="BD196" s="6">
        <f>Datos_originales!$AD6/Datos_originales!$E6</f>
        <v>0.0007923966252</v>
      </c>
      <c r="BE196" s="6">
        <f>Datos_originales!$AE6/Datos_originales!$E6</f>
        <v>0.004282120444</v>
      </c>
      <c r="BF196" s="6">
        <f>Datos_originales!$AF6/Datos_originales!$E6</f>
        <v>0.00461361015</v>
      </c>
      <c r="BG196" s="6">
        <f>Datos_originales!$AG6/Datos_originales!$E6</f>
        <v>0.001135238718</v>
      </c>
    </row>
    <row r="197" ht="15.75" customHeight="1">
      <c r="A197" s="2">
        <v>41501.0</v>
      </c>
      <c r="B197" s="3" t="s">
        <v>225</v>
      </c>
      <c r="C197" s="4" t="s">
        <v>255</v>
      </c>
      <c r="D197" s="4" t="str">
        <f>IF(Datos_originales!$E197&lt;1000,"Bosque menor a 1000 ha",Datos_originales!$E197)</f>
        <v>Bosque menor a 1000 ha</v>
      </c>
      <c r="E197" s="4">
        <v>0.0</v>
      </c>
      <c r="F197" s="5">
        <f>AVERAGE(Datos_originales!$H300:$J300)</f>
        <v>6154.38</v>
      </c>
      <c r="G197" s="5">
        <f>AVERAGE(Datos_originales!$R300:$T300)</f>
        <v>3558.63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>
        <v>0.0</v>
      </c>
      <c r="AE197" s="4">
        <v>0.0</v>
      </c>
      <c r="AF197" s="4">
        <v>0.0</v>
      </c>
      <c r="AG197" s="4">
        <v>0.0</v>
      </c>
      <c r="AH197" s="6">
        <v>0.0</v>
      </c>
      <c r="AI197" s="6">
        <v>0.0</v>
      </c>
      <c r="AJ197" s="6">
        <v>0.0</v>
      </c>
      <c r="AK197" s="6">
        <v>0.0</v>
      </c>
      <c r="AL197" s="6">
        <v>0.0</v>
      </c>
      <c r="AM197" s="6">
        <v>0.0</v>
      </c>
      <c r="AN197" s="6">
        <v>0.0</v>
      </c>
      <c r="AO197" s="6">
        <v>0.0</v>
      </c>
      <c r="AP197" s="6">
        <v>0.0</v>
      </c>
      <c r="AQ197" s="6">
        <v>0.0</v>
      </c>
      <c r="AR197" s="6">
        <v>0.0</v>
      </c>
      <c r="AS197" s="6">
        <v>0.0</v>
      </c>
      <c r="AT197" s="6">
        <v>0.0</v>
      </c>
      <c r="AU197" s="6">
        <v>0.0</v>
      </c>
      <c r="AV197" s="6">
        <v>0.0</v>
      </c>
      <c r="AW197" s="6">
        <v>0.0</v>
      </c>
      <c r="AX197" s="6">
        <v>0.0</v>
      </c>
      <c r="AY197" s="6">
        <v>0.0</v>
      </c>
      <c r="AZ197" s="6">
        <v>0.0</v>
      </c>
      <c r="BA197" s="6">
        <v>0.0</v>
      </c>
      <c r="BB197" s="6">
        <v>0.0</v>
      </c>
      <c r="BC197" s="6">
        <v>0.0</v>
      </c>
      <c r="BD197" s="6">
        <v>0.0</v>
      </c>
      <c r="BE197" s="6">
        <v>0.0</v>
      </c>
      <c r="BF197" s="6">
        <v>0.0</v>
      </c>
      <c r="BG197" s="6">
        <v>0.0</v>
      </c>
    </row>
    <row r="198" ht="15.75" customHeight="1">
      <c r="A198" s="2">
        <v>41502.0</v>
      </c>
      <c r="B198" s="3" t="s">
        <v>225</v>
      </c>
      <c r="C198" s="4" t="s">
        <v>256</v>
      </c>
      <c r="D198" s="4" t="str">
        <f>IF(Datos_originales!$E198&lt;1000,"Bosque menor a 1000 ha",Datos_originales!$E198)</f>
        <v>Bosque menor a 1000 ha</v>
      </c>
      <c r="E198" s="4">
        <v>0.0</v>
      </c>
      <c r="F198" s="5">
        <f>AVERAGE(Datos_originales!$H301:$J301)</f>
        <v>839.46</v>
      </c>
      <c r="G198" s="5">
        <f>AVERAGE(Datos_originales!$R301:$T301)</f>
        <v>5040.66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  <c r="AD198" s="4">
        <v>0.0</v>
      </c>
      <c r="AE198" s="4">
        <v>0.0</v>
      </c>
      <c r="AF198" s="4">
        <v>0.0</v>
      </c>
      <c r="AG198" s="4">
        <v>0.0</v>
      </c>
      <c r="AH198" s="6">
        <v>0.0</v>
      </c>
      <c r="AI198" s="6">
        <v>0.0</v>
      </c>
      <c r="AJ198" s="6">
        <v>0.0</v>
      </c>
      <c r="AK198" s="6">
        <v>0.0</v>
      </c>
      <c r="AL198" s="6">
        <v>0.0</v>
      </c>
      <c r="AM198" s="6">
        <v>0.0</v>
      </c>
      <c r="AN198" s="6">
        <v>0.0</v>
      </c>
      <c r="AO198" s="6">
        <v>0.0</v>
      </c>
      <c r="AP198" s="6">
        <v>0.0</v>
      </c>
      <c r="AQ198" s="6">
        <v>0.0</v>
      </c>
      <c r="AR198" s="6">
        <v>0.0</v>
      </c>
      <c r="AS198" s="6">
        <v>0.0</v>
      </c>
      <c r="AT198" s="6">
        <v>0.0</v>
      </c>
      <c r="AU198" s="6">
        <v>0.0</v>
      </c>
      <c r="AV198" s="6">
        <v>0.0</v>
      </c>
      <c r="AW198" s="6">
        <v>0.0</v>
      </c>
      <c r="AX198" s="6">
        <v>0.0</v>
      </c>
      <c r="AY198" s="6">
        <v>0.0</v>
      </c>
      <c r="AZ198" s="6">
        <v>0.0</v>
      </c>
      <c r="BA198" s="6">
        <v>0.0</v>
      </c>
      <c r="BB198" s="6">
        <v>0.0</v>
      </c>
      <c r="BC198" s="6">
        <v>0.0</v>
      </c>
      <c r="BD198" s="6">
        <v>0.0</v>
      </c>
      <c r="BE198" s="6">
        <v>0.0</v>
      </c>
      <c r="BF198" s="6">
        <v>0.0</v>
      </c>
      <c r="BG198" s="6">
        <v>0.0</v>
      </c>
    </row>
    <row r="199" ht="15.75" customHeight="1">
      <c r="A199" s="2">
        <v>41503.0</v>
      </c>
      <c r="B199" s="3" t="s">
        <v>225</v>
      </c>
      <c r="C199" s="4" t="s">
        <v>257</v>
      </c>
      <c r="D199" s="4" t="str">
        <f>IF(Datos_originales!$E199&lt;1000,"Bosque menor a 1000 ha",Datos_originales!$E199)</f>
        <v>Bosque menor a 1000 ha</v>
      </c>
      <c r="E199" s="4">
        <v>0.0</v>
      </c>
      <c r="F199" s="5">
        <f>AVERAGE(Datos_originales!$H302:$J302)</f>
        <v>240.93</v>
      </c>
      <c r="G199" s="5">
        <f>AVERAGE(Datos_originales!$R302:$T302)</f>
        <v>815.25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  <c r="AD199" s="4">
        <v>0.0</v>
      </c>
      <c r="AE199" s="4">
        <v>0.0</v>
      </c>
      <c r="AF199" s="4">
        <v>0.0</v>
      </c>
      <c r="AG199" s="4">
        <v>0.0</v>
      </c>
      <c r="AH199" s="6">
        <v>0.0</v>
      </c>
      <c r="AI199" s="6">
        <v>0.0</v>
      </c>
      <c r="AJ199" s="6">
        <v>0.0</v>
      </c>
      <c r="AK199" s="6">
        <v>0.0</v>
      </c>
      <c r="AL199" s="6">
        <v>0.0</v>
      </c>
      <c r="AM199" s="6">
        <v>0.0</v>
      </c>
      <c r="AN199" s="6">
        <v>0.0</v>
      </c>
      <c r="AO199" s="6">
        <v>0.0</v>
      </c>
      <c r="AP199" s="6">
        <v>0.0</v>
      </c>
      <c r="AQ199" s="6">
        <v>0.0</v>
      </c>
      <c r="AR199" s="6">
        <v>0.0</v>
      </c>
      <c r="AS199" s="6">
        <v>0.0</v>
      </c>
      <c r="AT199" s="6">
        <v>0.0</v>
      </c>
      <c r="AU199" s="6">
        <v>0.0</v>
      </c>
      <c r="AV199" s="6">
        <v>0.0</v>
      </c>
      <c r="AW199" s="6">
        <v>0.0</v>
      </c>
      <c r="AX199" s="6">
        <v>0.0</v>
      </c>
      <c r="AY199" s="6">
        <v>0.0</v>
      </c>
      <c r="AZ199" s="6">
        <v>0.0</v>
      </c>
      <c r="BA199" s="6">
        <v>0.0</v>
      </c>
      <c r="BB199" s="6">
        <v>0.0</v>
      </c>
      <c r="BC199" s="6">
        <v>0.0</v>
      </c>
      <c r="BD199" s="6">
        <v>0.0</v>
      </c>
      <c r="BE199" s="6">
        <v>0.0</v>
      </c>
      <c r="BF199" s="6">
        <v>0.0</v>
      </c>
      <c r="BG199" s="6">
        <v>0.0</v>
      </c>
    </row>
    <row r="200" ht="15.75" customHeight="1">
      <c r="A200" s="2">
        <v>41601.0</v>
      </c>
      <c r="B200" s="3" t="s">
        <v>225</v>
      </c>
      <c r="C200" s="4" t="s">
        <v>258</v>
      </c>
      <c r="D200" s="4" t="str">
        <f>IF(Datos_originales!$E200&lt;1000,"Bosque menor a 1000 ha",Datos_originales!$E200)</f>
        <v>Bosque menor a 1000 ha</v>
      </c>
      <c r="E200" s="4">
        <v>0.0</v>
      </c>
      <c r="F200" s="5">
        <f>AVERAGE(Datos_originales!$H303:$J303)</f>
        <v>27.39</v>
      </c>
      <c r="G200" s="5">
        <f>AVERAGE(Datos_originales!$R303:$T303)</f>
        <v>132.42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0.0</v>
      </c>
      <c r="AD200" s="4">
        <v>0.0</v>
      </c>
      <c r="AE200" s="4">
        <v>0.0</v>
      </c>
      <c r="AF200" s="4">
        <v>0.0</v>
      </c>
      <c r="AG200" s="4">
        <v>0.0</v>
      </c>
      <c r="AH200" s="6">
        <v>0.0</v>
      </c>
      <c r="AI200" s="6">
        <v>0.0</v>
      </c>
      <c r="AJ200" s="6">
        <v>0.0</v>
      </c>
      <c r="AK200" s="6">
        <v>0.0</v>
      </c>
      <c r="AL200" s="6">
        <v>0.0</v>
      </c>
      <c r="AM200" s="6">
        <v>0.0</v>
      </c>
      <c r="AN200" s="6">
        <v>0.0</v>
      </c>
      <c r="AO200" s="6">
        <v>0.0</v>
      </c>
      <c r="AP200" s="6">
        <v>0.0</v>
      </c>
      <c r="AQ200" s="6">
        <v>0.0</v>
      </c>
      <c r="AR200" s="6">
        <v>0.0</v>
      </c>
      <c r="AS200" s="6">
        <v>0.0</v>
      </c>
      <c r="AT200" s="6">
        <v>0.0</v>
      </c>
      <c r="AU200" s="6">
        <v>0.0</v>
      </c>
      <c r="AV200" s="6">
        <v>0.0</v>
      </c>
      <c r="AW200" s="6">
        <v>0.0</v>
      </c>
      <c r="AX200" s="6">
        <v>0.0</v>
      </c>
      <c r="AY200" s="6">
        <v>0.0</v>
      </c>
      <c r="AZ200" s="6">
        <v>0.0</v>
      </c>
      <c r="BA200" s="6">
        <v>0.0</v>
      </c>
      <c r="BB200" s="6">
        <v>0.0</v>
      </c>
      <c r="BC200" s="6">
        <v>0.0</v>
      </c>
      <c r="BD200" s="6">
        <v>0.0</v>
      </c>
      <c r="BE200" s="6">
        <v>0.0</v>
      </c>
      <c r="BF200" s="6">
        <v>0.0</v>
      </c>
      <c r="BG200" s="6">
        <v>0.0</v>
      </c>
    </row>
    <row r="201" ht="15.75" customHeight="1">
      <c r="A201" s="2">
        <v>50101.0</v>
      </c>
      <c r="B201" s="3" t="s">
        <v>259</v>
      </c>
      <c r="C201" s="4" t="s">
        <v>259</v>
      </c>
      <c r="D201" s="4" t="str">
        <f>IF(Datos_originales!$E201&lt;1000,"Bosque menor a 1000 ha",Datos_originales!$E201)</f>
        <v>Bosque menor a 1000 ha</v>
      </c>
      <c r="E201" s="4">
        <v>4.59</v>
      </c>
      <c r="F201" s="5">
        <f>AVERAGE(Datos_originales!$H19:$J19)</f>
        <v>0.21</v>
      </c>
      <c r="G201" s="5">
        <f>AVERAGE(Datos_originales!$R19:$T19)</f>
        <v>0.21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0.72</v>
      </c>
      <c r="U201" s="4">
        <v>0.0</v>
      </c>
      <c r="V201" s="4">
        <v>0.0</v>
      </c>
      <c r="W201" s="4">
        <v>0.54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  <c r="AD201" s="4">
        <v>0.0</v>
      </c>
      <c r="AE201" s="4">
        <v>0.0</v>
      </c>
      <c r="AF201" s="4">
        <v>0.0</v>
      </c>
      <c r="AG201" s="4">
        <v>0.99</v>
      </c>
      <c r="AH201" s="6">
        <f>Datos_originales!$H19/Datos_originales!$E19</f>
        <v>0</v>
      </c>
      <c r="AI201" s="6">
        <f>Datos_originales!$I19/Datos_originales!$E19</f>
        <v>0.0002592688618</v>
      </c>
      <c r="AJ201" s="6">
        <f>Datos_originales!$J19/Datos_originales!$E19</f>
        <v>0.0006481721545</v>
      </c>
      <c r="AK201" s="6">
        <f>Datos_originales!$K19/Datos_originales!$E19</f>
        <v>0.0001296344309</v>
      </c>
      <c r="AL201" s="6">
        <f>Datos_originales!$L19/Datos_originales!$E19</f>
        <v>0.0006481721545</v>
      </c>
      <c r="AM201" s="6">
        <f>Datos_originales!$M19/Datos_originales!$E19</f>
        <v>0.0002592688618</v>
      </c>
      <c r="AN201" s="6">
        <f>Datos_originales!$N19/Datos_originales!$E19</f>
        <v>0</v>
      </c>
      <c r="AO201" s="6">
        <f>Datos_originales!$O19/Datos_originales!$E19</f>
        <v>0</v>
      </c>
      <c r="AP201" s="6">
        <f>Datos_originales!$P19/Datos_originales!$E19</f>
        <v>0</v>
      </c>
      <c r="AQ201" s="6">
        <f>Datos_originales!$Q19/Datos_originales!$E19</f>
        <v>0.0001296344309</v>
      </c>
      <c r="AR201" s="6">
        <f>Datos_originales!$R19/Datos_originales!$E19</f>
        <v>0</v>
      </c>
      <c r="AS201" s="6">
        <f>Datos_originales!$S19/Datos_originales!$E19</f>
        <v>0.0007778065854</v>
      </c>
      <c r="AT201" s="6">
        <f>Datos_originales!$T19/Datos_originales!$E19</f>
        <v>0.0001296344309</v>
      </c>
      <c r="AU201" s="6">
        <f>Datos_originales!$U19/Datos_originales!$E19</f>
        <v>0.002333419756</v>
      </c>
      <c r="AV201" s="6">
        <f>Datos_originales!$V19/Datos_originales!$E19</f>
        <v>0.002074150894</v>
      </c>
      <c r="AW201" s="6">
        <f>Datos_originales!$W19/Datos_originales!$E19</f>
        <v>0.02022297122</v>
      </c>
      <c r="AX201" s="6">
        <f>Datos_originales!$X19/Datos_originales!$E19</f>
        <v>0.001037075447</v>
      </c>
      <c r="AY201" s="6">
        <f>Datos_originales!$Y19/Datos_originales!$E19</f>
        <v>0.001166709878</v>
      </c>
      <c r="AZ201" s="6">
        <f>Datos_originales!$Z19/Datos_originales!$E19</f>
        <v>0.0002592688618</v>
      </c>
      <c r="BA201" s="6">
        <f>Datos_originales!$AA19/Datos_originales!$E19</f>
        <v>0.0006481721545</v>
      </c>
      <c r="BB201" s="6">
        <f>Datos_originales!$AB19/Datos_originales!$E19</f>
        <v>0.0003889032927</v>
      </c>
      <c r="BC201" s="6">
        <f>Datos_originales!$AC19/Datos_originales!$E19</f>
        <v>0.001814882033</v>
      </c>
      <c r="BD201" s="6">
        <f>Datos_originales!$AD19/Datos_originales!$E19</f>
        <v>0.0009074410163</v>
      </c>
      <c r="BE201" s="6">
        <f>Datos_originales!$AE19/Datos_originales!$E19</f>
        <v>0.0001296344309</v>
      </c>
      <c r="BF201" s="6">
        <f>Datos_originales!$AF19/Datos_originales!$E19</f>
        <v>0.001037075447</v>
      </c>
      <c r="BG201" s="6">
        <f>Datos_originales!$AG19/Datos_originales!$E19</f>
        <v>0.0001296344309</v>
      </c>
    </row>
    <row r="202" ht="15.75" customHeight="1">
      <c r="A202" s="2">
        <v>50102.0</v>
      </c>
      <c r="B202" s="3" t="s">
        <v>259</v>
      </c>
      <c r="C202" s="4" t="s">
        <v>260</v>
      </c>
      <c r="D202" s="4" t="str">
        <f>IF(Datos_originales!$E202&lt;1000,"Bosque menor a 1000 ha",Datos_originales!$E202)</f>
        <v>Bosque menor a 1000 ha</v>
      </c>
      <c r="E202" s="4">
        <v>3.24</v>
      </c>
      <c r="F202" s="5">
        <f>AVERAGE(Datos_originales!$H3:$J3)</f>
        <v>1.2</v>
      </c>
      <c r="G202" s="5">
        <f>AVERAGE(Datos_originales!$R3:$T3)</f>
        <v>2.25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1.44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  <c r="AD202" s="4">
        <v>0.0</v>
      </c>
      <c r="AE202" s="4">
        <v>0.0</v>
      </c>
      <c r="AF202" s="4">
        <v>0.09</v>
      </c>
      <c r="AG202" s="4">
        <v>3.15</v>
      </c>
      <c r="AH202" s="6">
        <f>Datos_originales!$H3/Datos_originales!$E3</f>
        <v>0.00100567488</v>
      </c>
      <c r="AI202" s="6">
        <f>Datos_originales!$I3/Datos_originales!$E3</f>
        <v>0.0007901731197</v>
      </c>
      <c r="AJ202" s="6">
        <f>Datos_originales!$J3/Datos_originales!$E3</f>
        <v>0.0010775088</v>
      </c>
      <c r="AK202" s="6">
        <f>Datos_originales!$K3/Datos_originales!$E3</f>
        <v>0.00136484448</v>
      </c>
      <c r="AL202" s="6">
        <f>Datos_originales!$L3/Datos_originales!$E3</f>
        <v>0.00129301056</v>
      </c>
      <c r="AM202" s="6">
        <f>Datos_originales!$M3/Datos_originales!$E3</f>
        <v>0.0009338409597</v>
      </c>
      <c r="AN202" s="6">
        <f>Datos_originales!$N3/Datos_originales!$E3</f>
        <v>0.0003591695999</v>
      </c>
      <c r="AO202" s="6">
        <f>Datos_originales!$O3/Datos_originales!$E3</f>
        <v>0.0014366784</v>
      </c>
      <c r="AP202" s="6">
        <f>Datos_originales!$P3/Datos_originales!$E3</f>
        <v>0.0006465052798</v>
      </c>
      <c r="AQ202" s="6">
        <f>Datos_originales!$Q3/Datos_originales!$E3</f>
        <v>0.0005028374398</v>
      </c>
      <c r="AR202" s="6">
        <f>Datos_originales!$R3/Datos_originales!$E3</f>
        <v>0</v>
      </c>
      <c r="AS202" s="6">
        <f>Datos_originales!$S3/Datos_originales!$E3</f>
        <v>0.001652180159</v>
      </c>
      <c r="AT202" s="6">
        <f>Datos_originales!$T3/Datos_originales!$E3</f>
        <v>0.003735363839</v>
      </c>
      <c r="AU202" s="6">
        <f>Datos_originales!$U3/Datos_originales!$E3</f>
        <v>0.002945190719</v>
      </c>
      <c r="AV202" s="6">
        <f>Datos_originales!$V3/Datos_originales!$E3</f>
        <v>0.003160692479</v>
      </c>
      <c r="AW202" s="6">
        <f>Datos_originales!$W3/Datos_originales!$E3</f>
        <v>0.01917965663</v>
      </c>
      <c r="AX202" s="6">
        <f>Datos_originales!$X3/Datos_originales!$E3</f>
        <v>0.002155017599</v>
      </c>
      <c r="AY202" s="6">
        <f>Datos_originales!$Y3/Datos_originales!$E3</f>
        <v>0.002083183679</v>
      </c>
      <c r="AZ202" s="6">
        <f>Datos_originales!$Z3/Datos_originales!$E3</f>
        <v>0.00114934272</v>
      </c>
      <c r="BA202" s="6">
        <f>Datos_originales!$AA3/Datos_originales!$E3</f>
        <v>0.0008620070397</v>
      </c>
      <c r="BB202" s="6">
        <f>Datos_originales!$AB3/Datos_originales!$E3</f>
        <v>0.001867681919</v>
      </c>
      <c r="BC202" s="6">
        <f>Datos_originales!$AC3/Datos_originales!$E3</f>
        <v>0.0009338409597</v>
      </c>
      <c r="BD202" s="6">
        <f>Datos_originales!$AD3/Datos_originales!$E3</f>
        <v>0.00129301056</v>
      </c>
      <c r="BE202" s="6">
        <f>Datos_originales!$AE3/Datos_originales!$E3</f>
        <v>0.00014366784</v>
      </c>
      <c r="BF202" s="6">
        <f>Datos_originales!$AF3/Datos_originales!$E3</f>
        <v>0.002011349759</v>
      </c>
      <c r="BG202" s="6">
        <f>Datos_originales!$AG3/Datos_originales!$E3</f>
        <v>0.006967890238</v>
      </c>
    </row>
    <row r="203" ht="15.75" customHeight="1">
      <c r="A203" s="2">
        <v>50103.0</v>
      </c>
      <c r="B203" s="3" t="s">
        <v>259</v>
      </c>
      <c r="C203" s="4" t="s">
        <v>261</v>
      </c>
      <c r="D203" s="4" t="str">
        <f>IF(Datos_originales!$E203&lt;1000,"Bosque menor a 1000 ha",Datos_originales!$E203)</f>
        <v>Bosque menor a 1000 ha</v>
      </c>
      <c r="E203" s="4">
        <v>0.0</v>
      </c>
      <c r="F203" s="5">
        <f>AVERAGE(Datos_originales!$H304:$J304)</f>
        <v>1974.51</v>
      </c>
      <c r="G203" s="5">
        <f>AVERAGE(Datos_originales!$R304:$T304)</f>
        <v>2528.07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  <c r="AG203" s="4">
        <v>0.0</v>
      </c>
      <c r="AH203" s="6">
        <v>0.0</v>
      </c>
      <c r="AI203" s="6">
        <v>0.0</v>
      </c>
      <c r="AJ203" s="6">
        <v>0.0</v>
      </c>
      <c r="AK203" s="6">
        <v>0.0</v>
      </c>
      <c r="AL203" s="6">
        <v>0.0</v>
      </c>
      <c r="AM203" s="6">
        <v>0.0</v>
      </c>
      <c r="AN203" s="6">
        <v>0.0</v>
      </c>
      <c r="AO203" s="6">
        <v>0.0</v>
      </c>
      <c r="AP203" s="6">
        <v>0.0</v>
      </c>
      <c r="AQ203" s="6">
        <v>0.0</v>
      </c>
      <c r="AR203" s="6">
        <v>0.0</v>
      </c>
      <c r="AS203" s="6">
        <v>0.0</v>
      </c>
      <c r="AT203" s="6">
        <v>0.0</v>
      </c>
      <c r="AU203" s="6">
        <v>0.0</v>
      </c>
      <c r="AV203" s="6">
        <v>0.0</v>
      </c>
      <c r="AW203" s="6">
        <v>0.0</v>
      </c>
      <c r="AX203" s="6">
        <v>0.0</v>
      </c>
      <c r="AY203" s="6">
        <v>0.0</v>
      </c>
      <c r="AZ203" s="6">
        <v>0.0</v>
      </c>
      <c r="BA203" s="6">
        <v>0.0</v>
      </c>
      <c r="BB203" s="6">
        <v>0.0</v>
      </c>
      <c r="BC203" s="6">
        <v>0.0</v>
      </c>
      <c r="BD203" s="6">
        <v>0.0</v>
      </c>
      <c r="BE203" s="6">
        <v>0.0</v>
      </c>
      <c r="BF203" s="6">
        <v>0.0</v>
      </c>
      <c r="BG203" s="6">
        <v>0.0</v>
      </c>
    </row>
    <row r="204" ht="15.75" customHeight="1">
      <c r="A204" s="2">
        <v>50104.0</v>
      </c>
      <c r="B204" s="3" t="s">
        <v>259</v>
      </c>
      <c r="C204" s="4" t="s">
        <v>262</v>
      </c>
      <c r="D204" s="4" t="str">
        <f>IF(Datos_originales!$E204&lt;1000,"Bosque menor a 1000 ha",Datos_originales!$E204)</f>
        <v>Bosque menor a 1000 ha</v>
      </c>
      <c r="E204" s="4">
        <v>1.08</v>
      </c>
      <c r="F204" s="5">
        <f>AVERAGE(Datos_originales!$H5:$J5)</f>
        <v>62.13</v>
      </c>
      <c r="G204" s="5">
        <f>AVERAGE(Datos_originales!$R5:$T5)</f>
        <v>284.28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  <c r="AG204" s="4">
        <v>0.9</v>
      </c>
      <c r="AH204" s="6">
        <f>Datos_originales!$H5/Datos_originales!$E5</f>
        <v>0.0002650242843</v>
      </c>
      <c r="AI204" s="6">
        <f>Datos_originales!$I5/Datos_originales!$E5</f>
        <v>0.0006183899967</v>
      </c>
      <c r="AJ204" s="6">
        <f>Datos_originales!$J5/Datos_originales!$E5</f>
        <v>0.001105228084</v>
      </c>
      <c r="AK204" s="6">
        <f>Datos_originales!$K5/Datos_originales!$E5</f>
        <v>0.0006548788474</v>
      </c>
      <c r="AL204" s="6">
        <f>Datos_originales!$L5/Datos_originales!$E5</f>
        <v>0.0008238798403</v>
      </c>
      <c r="AM204" s="6">
        <f>Datos_originales!$M5/Datos_originales!$E5</f>
        <v>0.00153541243</v>
      </c>
      <c r="AN204" s="6">
        <f>Datos_originales!$N5/Datos_originales!$E5</f>
        <v>0.001127313441</v>
      </c>
      <c r="AO204" s="6">
        <f>Datos_originales!$O5/Datos_originales!$E5</f>
        <v>0.0008786131164</v>
      </c>
      <c r="AP204" s="6">
        <f>Datos_originales!$P5/Datos_originales!$E5</f>
        <v>0.0013740933</v>
      </c>
      <c r="AQ204" s="6">
        <f>Datos_originales!$Q5/Datos_originales!$E5</f>
        <v>0.0005041222799</v>
      </c>
      <c r="AR204" s="6">
        <f>Datos_originales!$R5/Datos_originales!$E5</f>
        <v>0.001019767355</v>
      </c>
      <c r="AS204" s="6">
        <f>Datos_originales!$S5/Datos_originales!$E5</f>
        <v>0.005469486679</v>
      </c>
      <c r="AT204" s="6">
        <f>Datos_originales!$T5/Datos_originales!$E5</f>
        <v>0.002609913061</v>
      </c>
      <c r="AU204" s="6">
        <f>Datos_originales!$U5/Datos_originales!$E5</f>
        <v>0.0004666731963</v>
      </c>
      <c r="AV204" s="6">
        <f>Datos_originales!$V5/Datos_originales!$E5</f>
        <v>0.0008584482252</v>
      </c>
      <c r="AW204" s="6">
        <f>Datos_originales!$W5/Datos_originales!$E5</f>
        <v>0.005808448897</v>
      </c>
      <c r="AX204" s="6">
        <f>Datos_originales!$X5/Datos_originales!$E5</f>
        <v>0.0008094763466</v>
      </c>
      <c r="AY204" s="6">
        <f>Datos_originales!$Y5/Datos_originales!$E5</f>
        <v>0.0009592726812</v>
      </c>
      <c r="AZ204" s="6">
        <f>Datos_originales!$Z5/Datos_originales!$E5</f>
        <v>0.00163431642</v>
      </c>
      <c r="BA204" s="6">
        <f>Datos_originales!$AA5/Datos_originales!$E5</f>
        <v>0.001240620925</v>
      </c>
      <c r="BB204" s="6">
        <f>Datos_originales!$AB5/Datos_originales!$E5</f>
        <v>0.001115790646</v>
      </c>
      <c r="BC204" s="6">
        <f>Datos_originales!$AC5/Datos_originales!$E5</f>
        <v>0.0015258101</v>
      </c>
      <c r="BD204" s="6">
        <f>Datos_originales!$AD5/Datos_originales!$E5</f>
        <v>0.0006769642044</v>
      </c>
      <c r="BE204" s="6">
        <f>Datos_originales!$AE5/Datos_originales!$E5</f>
        <v>0.00186189162</v>
      </c>
      <c r="BF204" s="6">
        <f>Datos_originales!$AF5/Datos_originales!$E5</f>
        <v>0.006106121101</v>
      </c>
      <c r="BG204" s="6">
        <f>Datos_originales!$AG5/Datos_originales!$E5</f>
        <v>0.002692493091</v>
      </c>
    </row>
    <row r="205" ht="15.75" customHeight="1">
      <c r="A205" s="2">
        <v>50201.0</v>
      </c>
      <c r="B205" s="3" t="s">
        <v>259</v>
      </c>
      <c r="C205" s="4" t="s">
        <v>263</v>
      </c>
      <c r="D205" s="4" t="str">
        <f>IF(Datos_originales!$E205&lt;1000,"Bosque menor a 1000 ha",Datos_originales!$E205)</f>
        <v>Bosque menor a 1000 ha</v>
      </c>
      <c r="E205" s="4">
        <v>0.72</v>
      </c>
      <c r="F205" s="5">
        <f>AVERAGE(Datos_originales!$H319:$J319)</f>
        <v>180.15</v>
      </c>
      <c r="G205" s="5">
        <f>AVERAGE(Datos_originales!$R319:$T319)</f>
        <v>514.32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0.09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0.27</v>
      </c>
      <c r="AD205" s="4">
        <v>0.0</v>
      </c>
      <c r="AE205" s="4">
        <v>0.0</v>
      </c>
      <c r="AF205" s="4">
        <v>0.0</v>
      </c>
      <c r="AG205" s="4">
        <v>0.0</v>
      </c>
      <c r="AH205" s="6">
        <f>Datos_originales!$H319/Datos_originales!$E319</f>
        <v>0.0004253089494</v>
      </c>
      <c r="AI205" s="6">
        <f>Datos_originales!$I319/Datos_originales!$E319</f>
        <v>0.0003188600097</v>
      </c>
      <c r="AJ205" s="6">
        <f>Datos_originales!$J319/Datos_originales!$E319</f>
        <v>0.0002302607399</v>
      </c>
      <c r="AK205" s="6">
        <f>Datos_originales!$K319/Datos_originales!$E319</f>
        <v>0.0001866101838</v>
      </c>
      <c r="AL205" s="6">
        <f>Datos_originales!$L319/Datos_originales!$E319</f>
        <v>0.0002085165967</v>
      </c>
      <c r="AM205" s="6">
        <f>Datos_originales!$M319/Datos_originales!$E319</f>
        <v>0.0001875838022</v>
      </c>
      <c r="AN205" s="6">
        <f>Datos_originales!$N319/Datos_originales!$E319</f>
        <v>0.0001319252865</v>
      </c>
      <c r="AO205" s="6">
        <f>Datos_originales!$O319/Datos_originales!$E319</f>
        <v>0.0001914782756</v>
      </c>
      <c r="AP205" s="6">
        <f>Datos_originales!$P319/Datos_originales!$E319</f>
        <v>0.0002701790922</v>
      </c>
      <c r="AQ205" s="6">
        <f>Datos_originales!$Q319/Datos_originales!$E319</f>
        <v>0.0008528896749</v>
      </c>
      <c r="AR205" s="6">
        <f>Datos_originales!$R319/Datos_originales!$E319</f>
        <v>0.0009173107558</v>
      </c>
      <c r="AS205" s="6">
        <f>Datos_originales!$S319/Datos_originales!$E319</f>
        <v>0.0003217808648</v>
      </c>
      <c r="AT205" s="6">
        <f>Datos_originales!$T319/Datos_originales!$E319</f>
        <v>0.001542860546</v>
      </c>
      <c r="AU205" s="6">
        <f>Datos_originales!$U319/Datos_originales!$E319</f>
        <v>0.007930608273</v>
      </c>
      <c r="AV205" s="6">
        <f>Datos_originales!$V319/Datos_originales!$E319</f>
        <v>0.003704131014</v>
      </c>
      <c r="AW205" s="6">
        <f>Datos_originales!$W319/Datos_originales!$E319</f>
        <v>0.01006867417</v>
      </c>
      <c r="AX205" s="6">
        <f>Datos_originales!$X319/Datos_originales!$E319</f>
        <v>0.001686144713</v>
      </c>
      <c r="AY205" s="6">
        <f>Datos_originales!$Y319/Datos_originales!$E319</f>
        <v>0.003412207779</v>
      </c>
      <c r="AZ205" s="6">
        <f>Datos_originales!$Z319/Datos_originales!$E319</f>
        <v>0.00154058877</v>
      </c>
      <c r="BA205" s="6">
        <f>Datos_originales!$AA319/Datos_originales!$E319</f>
        <v>0.0008592181942</v>
      </c>
      <c r="BB205" s="6">
        <f>Datos_originales!$AB319/Datos_originales!$E319</f>
        <v>0.001149356463</v>
      </c>
      <c r="BC205" s="6">
        <f>Datos_originales!$AC319/Datos_originales!$E319</f>
        <v>0.002540819355</v>
      </c>
      <c r="BD205" s="6">
        <f>Datos_originales!$AD319/Datos_originales!$E319</f>
        <v>0.001628214421</v>
      </c>
      <c r="BE205" s="6">
        <f>Datos_originales!$AE319/Datos_originales!$E319</f>
        <v>0.002889536994</v>
      </c>
      <c r="BF205" s="6">
        <f>Datos_originales!$AF319/Datos_originales!$E319</f>
        <v>0.002597451489</v>
      </c>
      <c r="BG205" s="6">
        <f>Datos_originales!$AG319/Datos_originales!$E319</f>
        <v>0.0115135238</v>
      </c>
    </row>
    <row r="206" ht="15.75" customHeight="1">
      <c r="A206" s="2">
        <v>50202.0</v>
      </c>
      <c r="B206" s="3" t="s">
        <v>259</v>
      </c>
      <c r="C206" s="4" t="s">
        <v>264</v>
      </c>
      <c r="D206" s="4" t="str">
        <f>IF(Datos_originales!$E206&lt;1000,"Bosque menor a 1000 ha",Datos_originales!$E206)</f>
        <v>Bosque menor a 1000 ha</v>
      </c>
      <c r="E206" s="4">
        <v>12.69</v>
      </c>
      <c r="F206" s="5">
        <f>AVERAGE(Datos_originales!$H333:$J333)</f>
        <v>1364.61</v>
      </c>
      <c r="G206" s="5">
        <f>AVERAGE(Datos_originales!$R333:$T333)</f>
        <v>1668.09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0.09</v>
      </c>
      <c r="W206" s="4">
        <v>0.54</v>
      </c>
      <c r="X206" s="4">
        <v>0.27</v>
      </c>
      <c r="Y206" s="4">
        <v>0.0</v>
      </c>
      <c r="Z206" s="4">
        <v>0.9</v>
      </c>
      <c r="AA206" s="4">
        <v>0.0</v>
      </c>
      <c r="AB206" s="4">
        <v>1.17</v>
      </c>
      <c r="AC206" s="4">
        <v>0.0</v>
      </c>
      <c r="AD206" s="4">
        <v>0.0</v>
      </c>
      <c r="AE206" s="4">
        <v>0.0</v>
      </c>
      <c r="AF206" s="4">
        <v>0.18</v>
      </c>
      <c r="AG206" s="4">
        <v>0.0</v>
      </c>
      <c r="AH206" s="6">
        <f>Datos_originales!$H333/Datos_originales!$E333</f>
        <v>0.002827878366</v>
      </c>
      <c r="AI206" s="6">
        <f>Datos_originales!$I333/Datos_originales!$E333</f>
        <v>0.003641882377</v>
      </c>
      <c r="AJ206" s="6">
        <f>Datos_originales!$J333/Datos_originales!$E333</f>
        <v>0.002038189731</v>
      </c>
      <c r="AK206" s="6">
        <f>Datos_originales!$K333/Datos_originales!$E333</f>
        <v>0.002626621859</v>
      </c>
      <c r="AL206" s="6">
        <f>Datos_originales!$L333/Datos_originales!$E333</f>
        <v>0.003758409146</v>
      </c>
      <c r="AM206" s="6">
        <f>Datos_originales!$M333/Datos_originales!$E333</f>
        <v>0.004624597697</v>
      </c>
      <c r="AN206" s="6">
        <f>Datos_originales!$N333/Datos_originales!$E333</f>
        <v>0.003784220854</v>
      </c>
      <c r="AO206" s="6">
        <f>Datos_originales!$O333/Datos_originales!$E333</f>
        <v>0.002129465916</v>
      </c>
      <c r="AP206" s="6">
        <f>Datos_originales!$P333/Datos_originales!$E333</f>
        <v>0.00338563571</v>
      </c>
      <c r="AQ206" s="6">
        <f>Datos_originales!$Q333/Datos_originales!$E333</f>
        <v>0.006618271584</v>
      </c>
      <c r="AR206" s="6">
        <f>Datos_originales!$R333/Datos_originales!$E333</f>
        <v>0.001299189307</v>
      </c>
      <c r="AS206" s="6">
        <f>Datos_originales!$S333/Datos_originales!$E333</f>
        <v>0.004335992874</v>
      </c>
      <c r="AT206" s="6">
        <f>Datos_originales!$T333/Datos_originales!$E333</f>
        <v>0.00476487872</v>
      </c>
      <c r="AU206" s="6">
        <f>Datos_originales!$U333/Datos_originales!$E333</f>
        <v>0.00327453314</v>
      </c>
      <c r="AV206" s="6">
        <f>Datos_originales!$V333/Datos_originales!$E333</f>
        <v>0.004235925745</v>
      </c>
      <c r="AW206" s="6">
        <f>Datos_originales!$W333/Datos_originales!$E333</f>
        <v>0.00248671492</v>
      </c>
      <c r="AX206" s="6">
        <f>Datos_originales!$X333/Datos_originales!$E333</f>
        <v>0.003024645879</v>
      </c>
      <c r="AY206" s="6">
        <f>Datos_originales!$Y333/Datos_originales!$E333</f>
        <v>0.004035604446</v>
      </c>
      <c r="AZ206" s="6">
        <f>Datos_originales!$Z333/Datos_originales!$E333</f>
        <v>0.004745052335</v>
      </c>
      <c r="BA206" s="6">
        <f>Datos_originales!$AA333/Datos_originales!$E333</f>
        <v>0.003975377127</v>
      </c>
      <c r="BB206" s="6">
        <f>Datos_originales!$AB333/Datos_originales!$E333</f>
        <v>0.002332218754</v>
      </c>
      <c r="BC206" s="6">
        <f>Datos_originales!$AC333/Datos_originales!$E333</f>
        <v>0.003922631462</v>
      </c>
      <c r="BD206" s="6">
        <f>Datos_originales!$AD333/Datos_originales!$E333</f>
        <v>0.006848332461</v>
      </c>
      <c r="BE206" s="6">
        <f>Datos_originales!$AE333/Datos_originales!$E333</f>
        <v>0.001363157453</v>
      </c>
      <c r="BF206" s="6">
        <f>Datos_originales!$AF333/Datos_originales!$E333</f>
        <v>0.004800977703</v>
      </c>
      <c r="BG206" s="6">
        <f>Datos_originales!$AG333/Datos_originales!$E333</f>
        <v>0.005047872302</v>
      </c>
    </row>
    <row r="207" ht="15.75" customHeight="1">
      <c r="A207" s="2">
        <v>50203.0</v>
      </c>
      <c r="B207" s="3" t="s">
        <v>259</v>
      </c>
      <c r="C207" s="4" t="s">
        <v>265</v>
      </c>
      <c r="D207" s="4" t="str">
        <f>IF(Datos_originales!$E207&lt;1000,"Bosque menor a 1000 ha",Datos_originales!$E207)</f>
        <v>Bosque menor a 1000 ha</v>
      </c>
      <c r="E207" s="4">
        <v>21.24</v>
      </c>
      <c r="F207" s="5">
        <f>AVERAGE(Datos_originales!$H334:$J334)</f>
        <v>390.69</v>
      </c>
      <c r="G207" s="5">
        <f>AVERAGE(Datos_originales!$R334:$T334)</f>
        <v>235.44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0.09</v>
      </c>
      <c r="V207" s="4">
        <v>0.36</v>
      </c>
      <c r="W207" s="4">
        <v>0.8999999999999999</v>
      </c>
      <c r="X207" s="4">
        <v>0.0</v>
      </c>
      <c r="Y207" s="4">
        <v>0.0</v>
      </c>
      <c r="Z207" s="4">
        <v>0.54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  <c r="AG207" s="4">
        <v>0.0</v>
      </c>
      <c r="AH207" s="6">
        <f>Datos_originales!$H334/Datos_originales!$E334</f>
        <v>0.001023088667</v>
      </c>
      <c r="AI207" s="6">
        <f>Datos_originales!$I334/Datos_originales!$E334</f>
        <v>0.0007281737439</v>
      </c>
      <c r="AJ207" s="6">
        <f>Datos_originales!$J334/Datos_originales!$E334</f>
        <v>0.0006224564044</v>
      </c>
      <c r="AK207" s="6">
        <f>Datos_originales!$K334/Datos_originales!$E334</f>
        <v>0.0008869320245</v>
      </c>
      <c r="AL207" s="6">
        <f>Datos_originales!$L334/Datos_originales!$E334</f>
        <v>0.0007134097706</v>
      </c>
      <c r="AM207" s="6">
        <f>Datos_originales!$M334/Datos_originales!$E334</f>
        <v>0.003540254976</v>
      </c>
      <c r="AN207" s="6">
        <f>Datos_originales!$N334/Datos_originales!$E334</f>
        <v>0.0007854069243</v>
      </c>
      <c r="AO207" s="6">
        <f>Datos_originales!$O334/Datos_originales!$E334</f>
        <v>0.000479737996</v>
      </c>
      <c r="AP207" s="6">
        <f>Datos_originales!$P334/Datos_originales!$E334</f>
        <v>0.0009148195296</v>
      </c>
      <c r="AQ207" s="6">
        <f>Datos_originales!$Q334/Datos_originales!$E334</f>
        <v>0.001948844473</v>
      </c>
      <c r="AR207" s="6">
        <f>Datos_originales!$R334/Datos_originales!$E334</f>
        <v>0.0001957593494</v>
      </c>
      <c r="AS207" s="6">
        <f>Datos_originales!$S334/Datos_originales!$E334</f>
        <v>0.000516192251</v>
      </c>
      <c r="AT207" s="6">
        <f>Datos_originales!$T334/Datos_originales!$E334</f>
        <v>0.0007185133663</v>
      </c>
      <c r="AU207" s="6">
        <f>Datos_originales!$U334/Datos_originales!$E334</f>
        <v>0.005551436225</v>
      </c>
      <c r="AV207" s="6">
        <f>Datos_originales!$V334/Datos_originales!$E334</f>
        <v>0.003414305525</v>
      </c>
      <c r="AW207" s="6">
        <f>Datos_originales!$W334/Datos_originales!$E334</f>
        <v>0.00227146463</v>
      </c>
      <c r="AX207" s="6">
        <f>Datos_originales!$X334/Datos_originales!$E334</f>
        <v>0.001796647958</v>
      </c>
      <c r="AY207" s="6">
        <f>Datos_originales!$Y334/Datos_originales!$E334</f>
        <v>0.001433199036</v>
      </c>
      <c r="AZ207" s="6">
        <f>Datos_originales!$Z334/Datos_originales!$E334</f>
        <v>0.004286838118</v>
      </c>
      <c r="BA207" s="6">
        <f>Datos_originales!$AA334/Datos_originales!$E334</f>
        <v>0.001470382376</v>
      </c>
      <c r="BB207" s="6">
        <f>Datos_originales!$AB334/Datos_originales!$E334</f>
        <v>0.0011364614</v>
      </c>
      <c r="BC207" s="6">
        <f>Datos_originales!$AC334/Datos_originales!$E334</f>
        <v>0.002365334337</v>
      </c>
      <c r="BD207" s="6">
        <f>Datos_originales!$AD334/Datos_originales!$E334</f>
        <v>0.002379004682</v>
      </c>
      <c r="BE207" s="6">
        <f>Datos_originales!$AE334/Datos_originales!$E334</f>
        <v>0.0004378156027</v>
      </c>
      <c r="BF207" s="6">
        <f>Datos_originales!$AF334/Datos_originales!$E334</f>
        <v>0.001262593122</v>
      </c>
      <c r="BG207" s="6">
        <f>Datos_originales!$AG334/Datos_originales!$E334</f>
        <v>0.001271706686</v>
      </c>
    </row>
    <row r="208" ht="15.75" customHeight="1">
      <c r="A208" s="2">
        <v>50204.0</v>
      </c>
      <c r="B208" s="3" t="s">
        <v>259</v>
      </c>
      <c r="C208" s="4" t="s">
        <v>266</v>
      </c>
      <c r="D208" s="4" t="str">
        <f>IF(Datos_originales!$E208&lt;1000,"Bosque menor a 1000 ha",Datos_originales!$E208)</f>
        <v>Bosque menor a 1000 ha</v>
      </c>
      <c r="E208" s="4">
        <v>0.0</v>
      </c>
      <c r="F208" s="5">
        <f>AVERAGE(Datos_originales!$H305:$J305)</f>
        <v>147.51</v>
      </c>
      <c r="G208" s="5">
        <f>AVERAGE(Datos_originales!$R305:$T305)</f>
        <v>135.18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  <c r="AD208" s="4">
        <v>0.0</v>
      </c>
      <c r="AE208" s="4">
        <v>0.0</v>
      </c>
      <c r="AF208" s="4">
        <v>0.0</v>
      </c>
      <c r="AG208" s="4">
        <v>0.0</v>
      </c>
      <c r="AH208" s="6">
        <v>0.0</v>
      </c>
      <c r="AI208" s="6">
        <v>0.0</v>
      </c>
      <c r="AJ208" s="6">
        <v>0.0</v>
      </c>
      <c r="AK208" s="6">
        <v>0.0</v>
      </c>
      <c r="AL208" s="6">
        <v>0.0</v>
      </c>
      <c r="AM208" s="6">
        <v>0.0</v>
      </c>
      <c r="AN208" s="6">
        <v>0.0</v>
      </c>
      <c r="AO208" s="6">
        <v>0.0</v>
      </c>
      <c r="AP208" s="6">
        <v>0.0</v>
      </c>
      <c r="AQ208" s="6">
        <v>0.0</v>
      </c>
      <c r="AR208" s="6">
        <v>0.0</v>
      </c>
      <c r="AS208" s="6">
        <v>0.0</v>
      </c>
      <c r="AT208" s="6">
        <v>0.0</v>
      </c>
      <c r="AU208" s="6">
        <v>0.0</v>
      </c>
      <c r="AV208" s="6">
        <v>0.0</v>
      </c>
      <c r="AW208" s="6">
        <v>0.0</v>
      </c>
      <c r="AX208" s="6">
        <v>0.0</v>
      </c>
      <c r="AY208" s="6">
        <v>0.0</v>
      </c>
      <c r="AZ208" s="6">
        <v>0.0</v>
      </c>
      <c r="BA208" s="6">
        <v>0.0</v>
      </c>
      <c r="BB208" s="6">
        <v>0.0</v>
      </c>
      <c r="BC208" s="6">
        <v>0.0</v>
      </c>
      <c r="BD208" s="6">
        <v>0.0</v>
      </c>
      <c r="BE208" s="6">
        <v>0.0</v>
      </c>
      <c r="BF208" s="6">
        <v>0.0</v>
      </c>
      <c r="BG208" s="6">
        <v>0.0</v>
      </c>
    </row>
    <row r="209" ht="15.75" customHeight="1">
      <c r="A209" s="2">
        <v>50301.0</v>
      </c>
      <c r="B209" s="3" t="s">
        <v>259</v>
      </c>
      <c r="C209" s="4" t="s">
        <v>267</v>
      </c>
      <c r="D209" s="4">
        <f>IF(Datos_originales!$E209&lt;1000,"Bosque menor a 1000 ha",Datos_originales!$E209)</f>
        <v>1696.68</v>
      </c>
      <c r="E209" s="4">
        <v>1696.68</v>
      </c>
      <c r="F209" s="5">
        <f>AVERAGE(Datos_originales!$H22:$J22)</f>
        <v>72.9</v>
      </c>
      <c r="G209" s="5">
        <f>AVERAGE(Datos_originales!$R22:$T22)</f>
        <v>419.04</v>
      </c>
      <c r="H209" s="4">
        <v>1.53</v>
      </c>
      <c r="I209" s="4">
        <v>0.45</v>
      </c>
      <c r="J209" s="4">
        <v>1.53</v>
      </c>
      <c r="K209" s="4">
        <v>0.54</v>
      </c>
      <c r="L209" s="4">
        <v>0.54</v>
      </c>
      <c r="M209" s="4">
        <v>0.45</v>
      </c>
      <c r="N209" s="4">
        <v>1.53</v>
      </c>
      <c r="O209" s="4">
        <v>0.09</v>
      </c>
      <c r="P209" s="4">
        <v>0.63</v>
      </c>
      <c r="Q209" s="4">
        <v>0.81</v>
      </c>
      <c r="R209" s="4">
        <v>0.0</v>
      </c>
      <c r="S209" s="4">
        <v>0.99</v>
      </c>
      <c r="T209" s="4">
        <v>13.86</v>
      </c>
      <c r="U209" s="4">
        <v>5.58</v>
      </c>
      <c r="V209" s="4">
        <v>2.7</v>
      </c>
      <c r="W209" s="4">
        <v>29.43</v>
      </c>
      <c r="X209" s="4">
        <v>1.89</v>
      </c>
      <c r="Y209" s="4">
        <v>1.08</v>
      </c>
      <c r="Z209" s="4">
        <v>1.17</v>
      </c>
      <c r="AA209" s="4">
        <v>1.71</v>
      </c>
      <c r="AB209" s="4">
        <v>2.07</v>
      </c>
      <c r="AC209" s="4">
        <v>1.35</v>
      </c>
      <c r="AD209" s="4">
        <v>3.06</v>
      </c>
      <c r="AE209" s="4">
        <v>0.72</v>
      </c>
      <c r="AF209" s="4">
        <v>1.44</v>
      </c>
      <c r="AG209" s="4">
        <v>234.63</v>
      </c>
      <c r="AH209" s="6">
        <f>Datos_originales!$H22/Datos_originales!$E22</f>
        <v>0.0006689490291</v>
      </c>
      <c r="AI209" s="6">
        <f>Datos_originales!$I22/Datos_originales!$E22</f>
        <v>0.00196157986</v>
      </c>
      <c r="AJ209" s="6">
        <f>Datos_originales!$J22/Datos_originales!$E22</f>
        <v>0.001443521589</v>
      </c>
      <c r="AK209" s="6">
        <f>Datos_originales!$K22/Datos_originales!$E22</f>
        <v>0.0005968567778</v>
      </c>
      <c r="AL209" s="6">
        <f>Datos_originales!$L22/Datos_originales!$E22</f>
        <v>0.001800629717</v>
      </c>
      <c r="AM209" s="6">
        <f>Datos_originales!$M22/Datos_originales!$E22</f>
        <v>0.001874398533</v>
      </c>
      <c r="AN209" s="6">
        <f>Datos_originales!$N22/Datos_originales!$E22</f>
        <v>0.001782187514</v>
      </c>
      <c r="AO209" s="6">
        <f>Datos_originales!$O22/Datos_originales!$E22</f>
        <v>0.001810689101</v>
      </c>
      <c r="AP209" s="6">
        <f>Datos_originales!$P22/Datos_originales!$E22</f>
        <v>0.002551730382</v>
      </c>
      <c r="AQ209" s="6">
        <f>Datos_originales!$Q22/Datos_originales!$E22</f>
        <v>0.0006438005694</v>
      </c>
      <c r="AR209" s="6">
        <f>Datos_originales!$R22/Datos_originales!$E22</f>
        <v>0.003654909482</v>
      </c>
      <c r="AS209" s="6">
        <f>Datos_originales!$S22/Datos_originales!$E22</f>
        <v>0.01207796693</v>
      </c>
      <c r="AT209" s="6">
        <f>Datos_originales!$T22/Datos_originales!$E22</f>
        <v>0.007685369297</v>
      </c>
      <c r="AU209" s="6">
        <f>Datos_originales!$U22/Datos_originales!$E22</f>
        <v>0.001202096376</v>
      </c>
      <c r="AV209" s="6">
        <f>Datos_originales!$V22/Datos_originales!$E22</f>
        <v>0.003108349624</v>
      </c>
      <c r="AW209" s="6">
        <f>Datos_originales!$W22/Datos_originales!$E22</f>
        <v>0.00482850427</v>
      </c>
      <c r="AX209" s="6">
        <f>Datos_originales!$X22/Datos_originales!$E22</f>
        <v>0.0007661897401</v>
      </c>
      <c r="AY209" s="6">
        <f>Datos_originales!$Y22/Datos_originales!$E22</f>
        <v>0.002265037941</v>
      </c>
      <c r="AZ209" s="6">
        <f>Datos_originales!$Z22/Datos_originales!$E22</f>
        <v>0.002127559694</v>
      </c>
      <c r="BA209" s="6">
        <f>Datos_originales!$AA22/Datos_originales!$E22</f>
        <v>0.002003493959</v>
      </c>
      <c r="BB209" s="6">
        <f>Datos_originales!$AB22/Datos_originales!$E22</f>
        <v>0.002161090974</v>
      </c>
      <c r="BC209" s="6">
        <f>Datos_originales!$AC22/Datos_originales!$E22</f>
        <v>0.002759624316</v>
      </c>
      <c r="BD209" s="6">
        <f>Datos_originales!$AD22/Datos_originales!$E22</f>
        <v>0.001594412348</v>
      </c>
      <c r="BE209" s="6">
        <f>Datos_originales!$AE22/Datos_originales!$E22</f>
        <v>0.00369179389</v>
      </c>
      <c r="BF209" s="6">
        <f>Datos_originales!$AF22/Datos_originales!$E22</f>
        <v>0.01246692978</v>
      </c>
      <c r="BG209" s="6">
        <f>Datos_originales!$AG22/Datos_originales!$E22</f>
        <v>0.008525327852</v>
      </c>
    </row>
    <row r="210" ht="15.75" customHeight="1">
      <c r="A210" s="2">
        <v>50302.0</v>
      </c>
      <c r="B210" s="3" t="s">
        <v>259</v>
      </c>
      <c r="C210" s="4" t="s">
        <v>268</v>
      </c>
      <c r="D210" s="4" t="str">
        <f>IF(Datos_originales!$E210&lt;1000,"Bosque menor a 1000 ha",Datos_originales!$E210)</f>
        <v>Bosque menor a 1000 ha</v>
      </c>
      <c r="E210" s="4">
        <v>3.96</v>
      </c>
      <c r="F210" s="5">
        <f>AVERAGE(Datos_originales!$H18:$J18)</f>
        <v>1.26</v>
      </c>
      <c r="G210" s="5">
        <f>AVERAGE(Datos_originales!$R18:$T18)</f>
        <v>3.96</v>
      </c>
      <c r="H210" s="4">
        <v>0.0</v>
      </c>
      <c r="I210" s="4">
        <v>0.09</v>
      </c>
      <c r="J210" s="4">
        <v>0.0</v>
      </c>
      <c r="K210" s="4">
        <v>0.0</v>
      </c>
      <c r="L210" s="4">
        <v>0.0</v>
      </c>
      <c r="M210" s="4">
        <v>0.0</v>
      </c>
      <c r="N210" s="4">
        <v>0.54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0.18</v>
      </c>
      <c r="U210" s="4">
        <v>0.36</v>
      </c>
      <c r="V210" s="4">
        <v>0.09</v>
      </c>
      <c r="W210" s="4">
        <v>0.09</v>
      </c>
      <c r="X210" s="4">
        <v>0.0</v>
      </c>
      <c r="Y210" s="4">
        <v>0.0</v>
      </c>
      <c r="Z210" s="4">
        <v>0.0</v>
      </c>
      <c r="AA210" s="4">
        <v>0.54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  <c r="AG210" s="4">
        <v>0.99</v>
      </c>
      <c r="AH210" s="6">
        <f>Datos_originales!$H18/Datos_originales!$E18</f>
        <v>0.00003917727718</v>
      </c>
      <c r="AI210" s="6">
        <f>Datos_originales!$I18/Datos_originales!$E18</f>
        <v>0.0003721841332</v>
      </c>
      <c r="AJ210" s="6">
        <f>Datos_originales!$J18/Datos_originales!$E18</f>
        <v>0.0004113614104</v>
      </c>
      <c r="AK210" s="6">
        <f>Datos_originales!$K18/Datos_originales!$E18</f>
        <v>0.0002350636631</v>
      </c>
      <c r="AL210" s="6">
        <f>Datos_originales!$L18/Datos_originales!$E18</f>
        <v>0.00003917727718</v>
      </c>
      <c r="AM210" s="6">
        <f>Datos_originales!$M18/Datos_originales!$E18</f>
        <v>0.0002350636631</v>
      </c>
      <c r="AN210" s="6">
        <f>Datos_originales!$N18/Datos_originales!$E18</f>
        <v>0.00007835455436</v>
      </c>
      <c r="AO210" s="6">
        <f>Datos_originales!$O18/Datos_originales!$E18</f>
        <v>0.0001762977473</v>
      </c>
      <c r="AP210" s="6">
        <f>Datos_originales!$P18/Datos_originales!$E18</f>
        <v>0.0008227228208</v>
      </c>
      <c r="AQ210" s="6">
        <f>Datos_originales!$Q18/Datos_originales!$E18</f>
        <v>0.00005876591577</v>
      </c>
      <c r="AR210" s="6">
        <f>Datos_originales!$R18/Datos_originales!$E18</f>
        <v>0.0005093046033</v>
      </c>
      <c r="AS210" s="6">
        <f>Datos_originales!$S18/Datos_originales!$E18</f>
        <v>0.001567091087</v>
      </c>
      <c r="AT210" s="6">
        <f>Datos_originales!$T18/Datos_originales!$E18</f>
        <v>0.0005093046033</v>
      </c>
      <c r="AU210" s="6">
        <f>Datos_originales!$U18/Datos_originales!$E18</f>
        <v>0.002174338883</v>
      </c>
      <c r="AV210" s="6">
        <f>Datos_originales!$V18/Datos_originales!$E18</f>
        <v>0.002095984329</v>
      </c>
      <c r="AW210" s="6">
        <f>Datos_originales!$W18/Datos_originales!$E18</f>
        <v>0.01641527914</v>
      </c>
      <c r="AX210" s="6">
        <f>Datos_originales!$X18/Datos_originales!$E18</f>
        <v>0.0005484818805</v>
      </c>
      <c r="AY210" s="6">
        <f>Datos_originales!$Y18/Datos_originales!$E18</f>
        <v>0.002135161606</v>
      </c>
      <c r="AZ210" s="6">
        <f>Datos_originales!$Z18/Datos_originales!$E18</f>
        <v>0.00305582762</v>
      </c>
      <c r="BA210" s="6">
        <f>Datos_originales!$AA18/Datos_originales!$E18</f>
        <v>0.006405484819</v>
      </c>
      <c r="BB210" s="6">
        <f>Datos_originales!$AB18/Datos_originales!$E18</f>
        <v>0.00458374143</v>
      </c>
      <c r="BC210" s="6">
        <f>Datos_originales!$AC18/Datos_originales!$E18</f>
        <v>0.01071498531</v>
      </c>
      <c r="BD210" s="6">
        <f>Datos_originales!$AD18/Datos_originales!$E18</f>
        <v>0.0001567091087</v>
      </c>
      <c r="BE210" s="6">
        <f>Datos_originales!$AE18/Datos_originales!$E18</f>
        <v>0.0007051909892</v>
      </c>
      <c r="BF210" s="6">
        <f>Datos_originales!$AF18/Datos_originales!$E18</f>
        <v>0.00291870715</v>
      </c>
      <c r="BG210" s="6">
        <f>Datos_originales!$AG18/Datos_originales!$E18</f>
        <v>0.0005484818805</v>
      </c>
    </row>
    <row r="211" ht="15.75" customHeight="1">
      <c r="A211" s="2">
        <v>50303.0</v>
      </c>
      <c r="B211" s="3" t="s">
        <v>259</v>
      </c>
      <c r="C211" s="4" t="s">
        <v>269</v>
      </c>
      <c r="D211" s="4" t="str">
        <f>IF(Datos_originales!$E211&lt;1000,"Bosque menor a 1000 ha",Datos_originales!$E211)</f>
        <v>Bosque menor a 1000 ha</v>
      </c>
      <c r="E211" s="4">
        <v>194.67</v>
      </c>
      <c r="F211" s="5">
        <f>AVERAGE(Datos_originales!$H20:$J20)</f>
        <v>1.5</v>
      </c>
      <c r="G211" s="5">
        <f>AVERAGE(Datos_originales!$R20:$T20)</f>
        <v>9.15</v>
      </c>
      <c r="H211" s="4">
        <v>0.0</v>
      </c>
      <c r="I211" s="4">
        <v>0.0</v>
      </c>
      <c r="J211" s="4">
        <v>0.27</v>
      </c>
      <c r="K211" s="4">
        <v>0.0</v>
      </c>
      <c r="L211" s="4">
        <v>0.0</v>
      </c>
      <c r="M211" s="4">
        <v>0.0</v>
      </c>
      <c r="N211" s="4">
        <v>0.18</v>
      </c>
      <c r="O211" s="4">
        <v>0.0</v>
      </c>
      <c r="P211" s="4">
        <v>0.0</v>
      </c>
      <c r="Q211" s="4">
        <v>0.18</v>
      </c>
      <c r="R211" s="4">
        <v>0.0</v>
      </c>
      <c r="S211" s="4">
        <v>0.0</v>
      </c>
      <c r="T211" s="4">
        <v>2.43</v>
      </c>
      <c r="U211" s="4">
        <v>0.27</v>
      </c>
      <c r="V211" s="4">
        <v>0.0</v>
      </c>
      <c r="W211" s="4">
        <v>3.78</v>
      </c>
      <c r="X211" s="4">
        <v>0.09</v>
      </c>
      <c r="Y211" s="4">
        <v>0.09</v>
      </c>
      <c r="Z211" s="4">
        <v>0.0</v>
      </c>
      <c r="AA211" s="4">
        <v>0.18</v>
      </c>
      <c r="AB211" s="4">
        <v>0.09</v>
      </c>
      <c r="AC211" s="4">
        <v>0.09</v>
      </c>
      <c r="AD211" s="4">
        <v>0.45</v>
      </c>
      <c r="AE211" s="4">
        <v>0.0</v>
      </c>
      <c r="AF211" s="4">
        <v>0.09</v>
      </c>
      <c r="AG211" s="4">
        <v>37.26000000000001</v>
      </c>
      <c r="AH211" s="6">
        <f>Datos_originales!$H20/Datos_originales!$E20</f>
        <v>0.02386363636</v>
      </c>
      <c r="AI211" s="6">
        <f>Datos_originales!$I20/Datos_originales!$E20</f>
        <v>0.02159090909</v>
      </c>
      <c r="AJ211" s="6">
        <f>Datos_originales!$J20/Datos_originales!$E20</f>
        <v>0.01136363636</v>
      </c>
      <c r="AK211" s="6">
        <f>Datos_originales!$K20/Datos_originales!$E20</f>
        <v>0.01590909091</v>
      </c>
      <c r="AL211" s="6">
        <f>Datos_originales!$L20/Datos_originales!$E20</f>
        <v>0.02613636364</v>
      </c>
      <c r="AM211" s="6">
        <f>Datos_originales!$M20/Datos_originales!$E20</f>
        <v>0.003409090909</v>
      </c>
      <c r="AN211" s="6">
        <f>Datos_originales!$N20/Datos_originales!$E20</f>
        <v>0.006818181818</v>
      </c>
      <c r="AO211" s="6">
        <f>Datos_originales!$O20/Datos_originales!$E20</f>
        <v>0.01931818182</v>
      </c>
      <c r="AP211" s="6">
        <f>Datos_originales!$P20/Datos_originales!$E20</f>
        <v>0.003409090909</v>
      </c>
      <c r="AQ211" s="6">
        <f>Datos_originales!$Q20/Datos_originales!$E20</f>
        <v>0.0125</v>
      </c>
      <c r="AR211" s="6">
        <f>Datos_originales!$R20/Datos_originales!$E20</f>
        <v>0</v>
      </c>
      <c r="AS211" s="6">
        <f>Datos_originales!$S20/Datos_originales!$E20</f>
        <v>0.01704545455</v>
      </c>
      <c r="AT211" s="6">
        <f>Datos_originales!$T20/Datos_originales!$E20</f>
        <v>0.3295454545</v>
      </c>
      <c r="AU211" s="6">
        <f>Datos_originales!$U20/Datos_originales!$E20</f>
        <v>0.03522727273</v>
      </c>
      <c r="AV211" s="6">
        <f>Datos_originales!$V20/Datos_originales!$E20</f>
        <v>0.025</v>
      </c>
      <c r="AW211" s="6">
        <f>Datos_originales!$W20/Datos_originales!$E20</f>
        <v>0.01931818182</v>
      </c>
      <c r="AX211" s="6">
        <f>Datos_originales!$X20/Datos_originales!$E20</f>
        <v>0.02386363636</v>
      </c>
      <c r="AY211" s="6">
        <f>Datos_originales!$Y20/Datos_originales!$E20</f>
        <v>0.02727272727</v>
      </c>
      <c r="AZ211" s="6">
        <f>Datos_originales!$Z20/Datos_originales!$E20</f>
        <v>0.004545454545</v>
      </c>
      <c r="BA211" s="6">
        <f>Datos_originales!$AA20/Datos_originales!$E20</f>
        <v>0.006818181818</v>
      </c>
      <c r="BB211" s="6">
        <f>Datos_originales!$AB20/Datos_originales!$E20</f>
        <v>0.02613636364</v>
      </c>
      <c r="BC211" s="6">
        <f>Datos_originales!$AC20/Datos_originales!$E20</f>
        <v>0.004545454545</v>
      </c>
      <c r="BD211" s="6">
        <f>Datos_originales!$AD20/Datos_originales!$E20</f>
        <v>0.01477272727</v>
      </c>
      <c r="BE211" s="6">
        <f>Datos_originales!$AE20/Datos_originales!$E20</f>
        <v>0</v>
      </c>
      <c r="BF211" s="6">
        <f>Datos_originales!$AF20/Datos_originales!$E20</f>
        <v>0.02272727273</v>
      </c>
      <c r="BG211" s="6">
        <f>Datos_originales!$AG20/Datos_originales!$E20</f>
        <v>0.6227272727</v>
      </c>
    </row>
    <row r="212" ht="15.75" customHeight="1">
      <c r="A212" s="2">
        <v>50401.0</v>
      </c>
      <c r="B212" s="3" t="s">
        <v>259</v>
      </c>
      <c r="C212" s="4" t="s">
        <v>270</v>
      </c>
      <c r="D212" s="4">
        <f>IF(Datos_originales!$E212&lt;1000,"Bosque menor a 1000 ha",Datos_originales!$E212)</f>
        <v>1334.79</v>
      </c>
      <c r="E212" s="4">
        <v>1334.79</v>
      </c>
      <c r="F212" s="5">
        <f>AVERAGE(Datos_originales!$H344:$J344)</f>
        <v>63.27</v>
      </c>
      <c r="G212" s="5">
        <f>AVERAGE(Datos_originales!$R344:$T344)</f>
        <v>65.85</v>
      </c>
      <c r="H212" s="4">
        <v>0.27</v>
      </c>
      <c r="I212" s="4">
        <v>0.72</v>
      </c>
      <c r="J212" s="4">
        <v>0.0</v>
      </c>
      <c r="K212" s="4">
        <v>0.36</v>
      </c>
      <c r="L212" s="4">
        <v>0.0</v>
      </c>
      <c r="M212" s="4">
        <v>0.0</v>
      </c>
      <c r="N212" s="4">
        <v>0.0</v>
      </c>
      <c r="O212" s="4">
        <v>0.45</v>
      </c>
      <c r="P212" s="4">
        <v>0.63</v>
      </c>
      <c r="Q212" s="4">
        <v>0.09</v>
      </c>
      <c r="R212" s="4">
        <v>0.18</v>
      </c>
      <c r="S212" s="4">
        <v>1.8</v>
      </c>
      <c r="T212" s="4">
        <v>0.0</v>
      </c>
      <c r="U212" s="4">
        <v>6.48</v>
      </c>
      <c r="V212" s="4">
        <v>3.69</v>
      </c>
      <c r="W212" s="4">
        <v>24.66</v>
      </c>
      <c r="X212" s="4">
        <v>2.34</v>
      </c>
      <c r="Y212" s="4">
        <v>1.71</v>
      </c>
      <c r="Z212" s="4">
        <v>0.6299999999999999</v>
      </c>
      <c r="AA212" s="4">
        <v>2.07</v>
      </c>
      <c r="AB212" s="4">
        <v>11.34</v>
      </c>
      <c r="AC212" s="4">
        <v>33.57</v>
      </c>
      <c r="AD212" s="4">
        <v>0.18</v>
      </c>
      <c r="AE212" s="4">
        <v>0.8999999999999999</v>
      </c>
      <c r="AF212" s="4">
        <v>4.77</v>
      </c>
      <c r="AG212" s="4">
        <v>0.0</v>
      </c>
      <c r="AH212" s="6">
        <f>Datos_originales!$H344/Datos_originales!$E344</f>
        <v>0.0001054414443</v>
      </c>
      <c r="AI212" s="6">
        <f>Datos_originales!$I344/Datos_originales!$E344</f>
        <v>0.00008696201594</v>
      </c>
      <c r="AJ212" s="6">
        <f>Datos_originales!$J344/Datos_originales!$E344</f>
        <v>0.00009416355789</v>
      </c>
      <c r="AK212" s="6">
        <f>Datos_originales!$K344/Datos_originales!$E344</f>
        <v>0.00006168868006</v>
      </c>
      <c r="AL212" s="6">
        <f>Datos_originales!$L344/Datos_originales!$E344</f>
        <v>0.00006630853716</v>
      </c>
      <c r="AM212" s="6">
        <f>Datos_originales!$M344/Datos_originales!$E344</f>
        <v>0.0001375086877</v>
      </c>
      <c r="AN212" s="6">
        <f>Datos_originales!$N344/Datos_originales!$E344</f>
        <v>0.00005530240701</v>
      </c>
      <c r="AO212" s="6">
        <f>Datos_originales!$O344/Datos_originales!$E344</f>
        <v>0.00003247487783</v>
      </c>
      <c r="AP212" s="6">
        <f>Datos_originales!$P344/Datos_originales!$E344</f>
        <v>0.000209388229</v>
      </c>
      <c r="AQ212" s="6">
        <f>Datos_originales!$Q344/Datos_originales!$E344</f>
        <v>0.0003093945473</v>
      </c>
      <c r="AR212" s="6">
        <f>Datos_originales!$R344/Datos_originales!$E344</f>
        <v>0.00005842760446</v>
      </c>
      <c r="AS212" s="6">
        <f>Datos_originales!$S344/Datos_originales!$E344</f>
        <v>0.0001777286201</v>
      </c>
      <c r="AT212" s="6">
        <f>Datos_originales!$T344/Datos_originales!$E344</f>
        <v>0.00006209631451</v>
      </c>
      <c r="AU212" s="6">
        <f>Datos_originales!$U344/Datos_originales!$E344</f>
        <v>0.0001705270781</v>
      </c>
      <c r="AV212" s="6">
        <f>Datos_originales!$V344/Datos_originales!$E344</f>
        <v>0.00011237123</v>
      </c>
      <c r="AW212" s="6">
        <f>Datos_originales!$W344/Datos_originales!$E344</f>
        <v>0.0001805820612</v>
      </c>
      <c r="AX212" s="6">
        <f>Datos_originales!$X344/Datos_originales!$E344</f>
        <v>0.00008872843189</v>
      </c>
      <c r="AY212" s="6">
        <f>Datos_originales!$Y344/Datos_originales!$E344</f>
        <v>0.00008125513365</v>
      </c>
      <c r="AZ212" s="6">
        <f>Datos_originales!$Z344/Datos_originales!$E344</f>
        <v>0.0001470201582</v>
      </c>
      <c r="BA212" s="6">
        <f>Datos_originales!$AA344/Datos_originales!$E344</f>
        <v>0.0000789452051</v>
      </c>
      <c r="BB212" s="6">
        <f>Datos_originales!$AB344/Datos_originales!$E344</f>
        <v>0.00005992226411</v>
      </c>
      <c r="BC212" s="6">
        <f>Datos_originales!$AC344/Datos_originales!$E344</f>
        <v>0.0002530051151</v>
      </c>
      <c r="BD212" s="6">
        <f>Datos_originales!$AD344/Datos_originales!$E344</f>
        <v>0.0003371136899</v>
      </c>
      <c r="BE212" s="6">
        <f>Datos_originales!$AE344/Datos_originales!$E344</f>
        <v>0.00007255893205</v>
      </c>
      <c r="BF212" s="6">
        <f>Datos_originales!$AF344/Datos_originales!$E344</f>
        <v>0.0002194432121</v>
      </c>
      <c r="BG212" s="6">
        <f>Datos_originales!$AG344/Datos_originales!$E344</f>
        <v>0.0002285470481</v>
      </c>
    </row>
    <row r="213" ht="15.75" customHeight="1">
      <c r="A213" s="2">
        <v>50402.0</v>
      </c>
      <c r="B213" s="3" t="s">
        <v>259</v>
      </c>
      <c r="C213" s="4" t="s">
        <v>271</v>
      </c>
      <c r="D213" s="4">
        <f>IF(Datos_originales!$E213&lt;1000,"Bosque menor a 1000 ha",Datos_originales!$E213)</f>
        <v>7140.42</v>
      </c>
      <c r="E213" s="4">
        <v>7140.42</v>
      </c>
      <c r="F213" s="5">
        <f>AVERAGE(Datos_originales!$H124:$J124)</f>
        <v>208.65</v>
      </c>
      <c r="G213" s="5">
        <f>AVERAGE(Datos_originales!$R124:$T124)</f>
        <v>1246.02</v>
      </c>
      <c r="H213" s="4">
        <v>0.0</v>
      </c>
      <c r="I213" s="4">
        <v>0.09</v>
      </c>
      <c r="J213" s="4">
        <v>0.09</v>
      </c>
      <c r="K213" s="4">
        <v>0.09</v>
      </c>
      <c r="L213" s="4">
        <v>0.09</v>
      </c>
      <c r="M213" s="4">
        <v>0.09</v>
      </c>
      <c r="N213" s="4">
        <v>0.0</v>
      </c>
      <c r="O213" s="4">
        <v>0.09</v>
      </c>
      <c r="P213" s="4">
        <v>0.0</v>
      </c>
      <c r="Q213" s="4">
        <v>0.0</v>
      </c>
      <c r="R213" s="4">
        <v>2.16</v>
      </c>
      <c r="S213" s="4">
        <v>2.25</v>
      </c>
      <c r="T213" s="4">
        <v>5.04</v>
      </c>
      <c r="U213" s="4">
        <v>17.1</v>
      </c>
      <c r="V213" s="4">
        <v>9.54</v>
      </c>
      <c r="W213" s="4">
        <v>116.46</v>
      </c>
      <c r="X213" s="4">
        <v>4.41</v>
      </c>
      <c r="Y213" s="4">
        <v>3.15</v>
      </c>
      <c r="Z213" s="4">
        <v>2.97</v>
      </c>
      <c r="AA213" s="4">
        <v>4.5</v>
      </c>
      <c r="AB213" s="4">
        <v>13.86</v>
      </c>
      <c r="AC213" s="4">
        <v>54.36</v>
      </c>
      <c r="AD213" s="4">
        <v>0.63</v>
      </c>
      <c r="AE213" s="4">
        <v>3.87</v>
      </c>
      <c r="AF213" s="4">
        <v>67.59</v>
      </c>
      <c r="AG213" s="4">
        <v>53.55</v>
      </c>
      <c r="AH213" s="6">
        <f>Datos_originales!$H124/Datos_originales!$E124</f>
        <v>0.0002869654884</v>
      </c>
      <c r="AI213" s="6">
        <f>Datos_originales!$I124/Datos_originales!$E124</f>
        <v>0.000349238023</v>
      </c>
      <c r="AJ213" s="6">
        <f>Datos_originales!$J124/Datos_originales!$E124</f>
        <v>0.0005503868404</v>
      </c>
      <c r="AK213" s="6">
        <f>Datos_originales!$K124/Datos_originales!$E124</f>
        <v>0.0004289127454</v>
      </c>
      <c r="AL213" s="6">
        <f>Datos_originales!$L124/Datos_originales!$E124</f>
        <v>0.0006716903257</v>
      </c>
      <c r="AM213" s="6">
        <f>Datos_originales!$M124/Datos_originales!$E124</f>
        <v>0.000606176207</v>
      </c>
      <c r="AN213" s="6">
        <f>Datos_originales!$N124/Datos_originales!$E124</f>
        <v>0.0004582576111</v>
      </c>
      <c r="AO213" s="6">
        <f>Datos_originales!$O124/Datos_originales!$E124</f>
        <v>0.0006566766735</v>
      </c>
      <c r="AP213" s="6">
        <f>Datos_originales!$P124/Datos_originales!$E124</f>
        <v>0.001307893837</v>
      </c>
      <c r="AQ213" s="6">
        <f>Datos_originales!$Q124/Datos_originales!$E124</f>
        <v>0.0007984533208</v>
      </c>
      <c r="AR213" s="6">
        <f>Datos_originales!$R124/Datos_originales!$E124</f>
        <v>0.0008970657182</v>
      </c>
      <c r="AS213" s="6">
        <f>Datos_originales!$S124/Datos_originales!$E124</f>
        <v>0.003518142293</v>
      </c>
      <c r="AT213" s="6">
        <f>Datos_originales!$T124/Datos_originales!$E124</f>
        <v>0.002670894602</v>
      </c>
      <c r="AU213" s="6">
        <f>Datos_originales!$U124/Datos_originales!$E124</f>
        <v>0.001254663616</v>
      </c>
      <c r="AV213" s="6">
        <f>Datos_originales!$V124/Datos_originales!$E124</f>
        <v>0.001138649031</v>
      </c>
      <c r="AW213" s="6">
        <f>Datos_originales!$W124/Datos_originales!$E124</f>
        <v>0.001839513612</v>
      </c>
      <c r="AX213" s="6">
        <f>Datos_originales!$X124/Datos_originales!$E124</f>
        <v>0.001067846012</v>
      </c>
      <c r="AY213" s="6">
        <f>Datos_originales!$Y124/Datos_originales!$E124</f>
        <v>0.001210816927</v>
      </c>
      <c r="AZ213" s="6">
        <f>Datos_originales!$Z124/Datos_originales!$E124</f>
        <v>0.0009596794722</v>
      </c>
      <c r="BA213" s="6">
        <f>Datos_originales!$AA124/Datos_originales!$E124</f>
        <v>0.0009337468002</v>
      </c>
      <c r="BB213" s="6">
        <f>Datos_originales!$AB124/Datos_originales!$E124</f>
        <v>0.001061533453</v>
      </c>
      <c r="BC213" s="6">
        <f>Datos_originales!$AC124/Datos_originales!$E124</f>
        <v>0.002077343512</v>
      </c>
      <c r="BD213" s="6">
        <f>Datos_originales!$AD124/Datos_originales!$E124</f>
        <v>0.001072793693</v>
      </c>
      <c r="BE213" s="6">
        <f>Datos_originales!$AE124/Datos_originales!$E124</f>
        <v>0.001155539389</v>
      </c>
      <c r="BF213" s="6">
        <f>Datos_originales!$AF124/Datos_originales!$E124</f>
        <v>0.003996190627</v>
      </c>
      <c r="BG213" s="6">
        <f>Datos_originales!$AG124/Datos_originales!$E124</f>
        <v>0.004169188846</v>
      </c>
    </row>
    <row r="214" ht="15.75" customHeight="1">
      <c r="A214" s="2">
        <v>50403.0</v>
      </c>
      <c r="B214" s="3" t="s">
        <v>259</v>
      </c>
      <c r="C214" s="4" t="s">
        <v>272</v>
      </c>
      <c r="D214" s="4" t="str">
        <f>IF(Datos_originales!$E214&lt;1000,"Bosque menor a 1000 ha",Datos_originales!$E214)</f>
        <v>Bosque menor a 1000 ha</v>
      </c>
      <c r="E214" s="4">
        <v>492.66</v>
      </c>
      <c r="F214" s="5">
        <f>AVERAGE(Datos_originales!$H147:$J147)</f>
        <v>0</v>
      </c>
      <c r="G214" s="5">
        <f>AVERAGE(Datos_originales!$R147:$T147)</f>
        <v>2.22</v>
      </c>
      <c r="H214" s="4">
        <v>0.0</v>
      </c>
      <c r="I214" s="4">
        <v>0.09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2.25</v>
      </c>
      <c r="T214" s="4">
        <v>0.0</v>
      </c>
      <c r="U214" s="4">
        <v>4.68</v>
      </c>
      <c r="V214" s="4">
        <v>3.69</v>
      </c>
      <c r="W214" s="4">
        <v>12.24</v>
      </c>
      <c r="X214" s="4">
        <v>0.63</v>
      </c>
      <c r="Y214" s="4">
        <v>3.15</v>
      </c>
      <c r="Z214" s="4">
        <v>2.52</v>
      </c>
      <c r="AA214" s="4">
        <v>3.15</v>
      </c>
      <c r="AB214" s="4">
        <v>2.07</v>
      </c>
      <c r="AC214" s="4">
        <v>10.17</v>
      </c>
      <c r="AD214" s="4">
        <v>0.0</v>
      </c>
      <c r="AE214" s="4">
        <v>0.27</v>
      </c>
      <c r="AF214" s="4">
        <v>3.42</v>
      </c>
      <c r="AG214" s="4">
        <v>2.43</v>
      </c>
      <c r="AH214" s="6">
        <f>Datos_originales!$H147/Datos_originales!$E147</f>
        <v>0</v>
      </c>
      <c r="AI214" s="6">
        <f>Datos_originales!$I147/Datos_originales!$E147</f>
        <v>0</v>
      </c>
      <c r="AJ214" s="6">
        <f>Datos_originales!$J147/Datos_originales!$E147</f>
        <v>0</v>
      </c>
      <c r="AK214" s="6">
        <f>Datos_originales!$K147/Datos_originales!$E147</f>
        <v>0</v>
      </c>
      <c r="AL214" s="6">
        <f>Datos_originales!$L147/Datos_originales!$E147</f>
        <v>0.0002071251036</v>
      </c>
      <c r="AM214" s="6">
        <f>Datos_originales!$M147/Datos_originales!$E147</f>
        <v>0.0003106876553</v>
      </c>
      <c r="AN214" s="6">
        <f>Datos_originales!$N147/Datos_originales!$E147</f>
        <v>0</v>
      </c>
      <c r="AO214" s="6">
        <f>Datos_originales!$O147/Datos_originales!$E147</f>
        <v>0.0002071251036</v>
      </c>
      <c r="AP214" s="6">
        <f>Datos_originales!$P147/Datos_originales!$E147</f>
        <v>0.0002071251036</v>
      </c>
      <c r="AQ214" s="6">
        <f>Datos_originales!$Q147/Datos_originales!$E147</f>
        <v>0.0005178127589</v>
      </c>
      <c r="AR214" s="6">
        <f>Datos_originales!$R147/Datos_originales!$E147</f>
        <v>0.002589063795</v>
      </c>
      <c r="AS214" s="6">
        <f>Datos_originales!$S147/Datos_originales!$E147</f>
        <v>0.004763877382</v>
      </c>
      <c r="AT214" s="6">
        <f>Datos_originales!$T147/Datos_originales!$E147</f>
        <v>0.0003106876553</v>
      </c>
      <c r="AU214" s="6">
        <f>Datos_originales!$U147/Datos_originales!$E147</f>
        <v>0.001864125932</v>
      </c>
      <c r="AV214" s="6">
        <f>Datos_originales!$V147/Datos_originales!$E147</f>
        <v>0.001035625518</v>
      </c>
      <c r="AW214" s="6">
        <f>Datos_originales!$W147/Datos_originales!$E147</f>
        <v>0.03003314002</v>
      </c>
      <c r="AX214" s="6">
        <f>Datos_originales!$X147/Datos_originales!$E147</f>
        <v>0.01232394366</v>
      </c>
      <c r="AY214" s="6">
        <f>Datos_originales!$Y147/Datos_originales!$E147</f>
        <v>0.0171913836</v>
      </c>
      <c r="AZ214" s="6">
        <f>Datos_originales!$Z147/Datos_originales!$E147</f>
        <v>0.02413007457</v>
      </c>
      <c r="BA214" s="6">
        <f>Datos_originales!$AA147/Datos_originales!$E147</f>
        <v>0.01988400994</v>
      </c>
      <c r="BB214" s="6">
        <f>Datos_originales!$AB147/Datos_originales!$E147</f>
        <v>0.01801988401</v>
      </c>
      <c r="BC214" s="6">
        <f>Datos_originales!$AC147/Datos_originales!$E147</f>
        <v>0.01056338028</v>
      </c>
      <c r="BD214" s="6">
        <f>Datos_originales!$AD147/Datos_originales!$E147</f>
        <v>0.0005178127589</v>
      </c>
      <c r="BE214" s="6">
        <f>Datos_originales!$AE147/Datos_originales!$E147</f>
        <v>0.003521126761</v>
      </c>
      <c r="BF214" s="6">
        <f>Datos_originales!$AF147/Datos_originales!$E147</f>
        <v>0.009527754764</v>
      </c>
      <c r="BG214" s="6">
        <f>Datos_originales!$AG147/Datos_originales!$E147</f>
        <v>0.005488815244</v>
      </c>
    </row>
    <row r="215" ht="15.75" customHeight="1">
      <c r="A215" s="2">
        <v>50404.0</v>
      </c>
      <c r="B215" s="3" t="s">
        <v>259</v>
      </c>
      <c r="C215" s="4" t="s">
        <v>273</v>
      </c>
      <c r="D215" s="4" t="str">
        <f>IF(Datos_originales!$E215&lt;1000,"Bosque menor a 1000 ha",Datos_originales!$E215)</f>
        <v>Bosque menor a 1000 ha</v>
      </c>
      <c r="E215" s="4">
        <v>242.19</v>
      </c>
      <c r="F215" s="5">
        <f>AVERAGE(Datos_originales!$H47:$J47)</f>
        <v>0</v>
      </c>
      <c r="G215" s="5">
        <f>AVERAGE(Datos_originales!$R47:$T47)</f>
        <v>0</v>
      </c>
      <c r="H215" s="4">
        <v>0.0</v>
      </c>
      <c r="I215" s="4">
        <v>0.09</v>
      </c>
      <c r="J215" s="4">
        <v>0.0</v>
      </c>
      <c r="K215" s="4">
        <v>0.0</v>
      </c>
      <c r="L215" s="4">
        <v>0.0</v>
      </c>
      <c r="M215" s="4">
        <v>0.09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1.53</v>
      </c>
      <c r="T215" s="4">
        <v>6.12</v>
      </c>
      <c r="U215" s="4">
        <v>0.72</v>
      </c>
      <c r="V215" s="4">
        <v>0.27</v>
      </c>
      <c r="W215" s="4">
        <v>2.34</v>
      </c>
      <c r="X215" s="4">
        <v>1.08</v>
      </c>
      <c r="Y215" s="4">
        <v>0.18</v>
      </c>
      <c r="Z215" s="4">
        <v>0.45</v>
      </c>
      <c r="AA215" s="4">
        <v>1.17</v>
      </c>
      <c r="AB215" s="4">
        <v>1.35</v>
      </c>
      <c r="AC215" s="4">
        <v>7.649999999999999</v>
      </c>
      <c r="AD215" s="4">
        <v>0.0</v>
      </c>
      <c r="AE215" s="4">
        <v>0.09</v>
      </c>
      <c r="AF215" s="4">
        <v>1.89</v>
      </c>
      <c r="AG215" s="4">
        <v>9.54</v>
      </c>
      <c r="AH215" s="6" t="str">
        <f>Datos_originales!$H47/Datos_originales!$E47</f>
        <v>#DIV/0!</v>
      </c>
      <c r="AI215" s="6" t="str">
        <f>Datos_originales!$I47/Datos_originales!$E47</f>
        <v>#DIV/0!</v>
      </c>
      <c r="AJ215" s="6" t="str">
        <f>Datos_originales!$J47/Datos_originales!$E47</f>
        <v>#DIV/0!</v>
      </c>
      <c r="AK215" s="6" t="str">
        <f>Datos_originales!$K47/Datos_originales!$E47</f>
        <v>#DIV/0!</v>
      </c>
      <c r="AL215" s="6" t="str">
        <f>Datos_originales!$L47/Datos_originales!$E47</f>
        <v>#DIV/0!</v>
      </c>
      <c r="AM215" s="6" t="str">
        <f>Datos_originales!$M47/Datos_originales!$E47</f>
        <v>#DIV/0!</v>
      </c>
      <c r="AN215" s="6" t="str">
        <f>Datos_originales!$N47/Datos_originales!$E47</f>
        <v>#DIV/0!</v>
      </c>
      <c r="AO215" s="6" t="str">
        <f>Datos_originales!$O47/Datos_originales!$E47</f>
        <v>#DIV/0!</v>
      </c>
      <c r="AP215" s="6" t="str">
        <f>Datos_originales!$P47/Datos_originales!$E47</f>
        <v>#DIV/0!</v>
      </c>
      <c r="AQ215" s="6" t="str">
        <f>Datos_originales!$Q47/Datos_originales!$E47</f>
        <v>#DIV/0!</v>
      </c>
      <c r="AR215" s="6" t="str">
        <f>Datos_originales!$R47/Datos_originales!$E47</f>
        <v>#DIV/0!</v>
      </c>
      <c r="AS215" s="6" t="str">
        <f>Datos_originales!$S47/Datos_originales!$E47</f>
        <v>#DIV/0!</v>
      </c>
      <c r="AT215" s="6" t="str">
        <f>Datos_originales!$T47/Datos_originales!$E47</f>
        <v>#DIV/0!</v>
      </c>
      <c r="AU215" s="6" t="str">
        <f>Datos_originales!$U47/Datos_originales!$E47</f>
        <v>#DIV/0!</v>
      </c>
      <c r="AV215" s="6" t="str">
        <f>Datos_originales!$V47/Datos_originales!$E47</f>
        <v>#DIV/0!</v>
      </c>
      <c r="AW215" s="6" t="str">
        <f>Datos_originales!$W47/Datos_originales!$E47</f>
        <v>#DIV/0!</v>
      </c>
      <c r="AX215" s="6" t="str">
        <f>Datos_originales!$X47/Datos_originales!$E47</f>
        <v>#DIV/0!</v>
      </c>
      <c r="AY215" s="6" t="str">
        <f>Datos_originales!$Y47/Datos_originales!$E47</f>
        <v>#DIV/0!</v>
      </c>
      <c r="AZ215" s="6" t="str">
        <f>Datos_originales!$Z47/Datos_originales!$E47</f>
        <v>#DIV/0!</v>
      </c>
      <c r="BA215" s="6" t="str">
        <f>Datos_originales!$AA47/Datos_originales!$E47</f>
        <v>#DIV/0!</v>
      </c>
      <c r="BB215" s="6" t="str">
        <f>Datos_originales!$AB47/Datos_originales!$E47</f>
        <v>#DIV/0!</v>
      </c>
      <c r="BC215" s="6" t="str">
        <f>Datos_originales!$AC47/Datos_originales!$E47</f>
        <v>#DIV/0!</v>
      </c>
      <c r="BD215" s="6" t="str">
        <f>Datos_originales!$AD47/Datos_originales!$E47</f>
        <v>#DIV/0!</v>
      </c>
      <c r="BE215" s="6" t="str">
        <f>Datos_originales!$AE47/Datos_originales!$E47</f>
        <v>#DIV/0!</v>
      </c>
      <c r="BF215" s="6" t="str">
        <f>Datos_originales!$AF47/Datos_originales!$E47</f>
        <v>#DIV/0!</v>
      </c>
      <c r="BG215" s="6" t="str">
        <f>Datos_originales!$AG47/Datos_originales!$E47</f>
        <v>#DIV/0!</v>
      </c>
    </row>
    <row r="216" ht="15.75" customHeight="1">
      <c r="A216" s="2">
        <v>50405.0</v>
      </c>
      <c r="B216" s="3" t="s">
        <v>259</v>
      </c>
      <c r="C216" s="4" t="s">
        <v>274</v>
      </c>
      <c r="D216" s="4" t="str">
        <f>IF(Datos_originales!$E216&lt;1000,"Bosque menor a 1000 ha",Datos_originales!$E216)</f>
        <v>Bosque menor a 1000 ha</v>
      </c>
      <c r="E216" s="4">
        <v>0.0</v>
      </c>
      <c r="F216" s="5">
        <f>AVERAGE(Datos_originales!$H306:$J306)</f>
        <v>2289.99</v>
      </c>
      <c r="G216" s="5">
        <f>AVERAGE(Datos_originales!$R306:$T306)</f>
        <v>8984.04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  <c r="AG216" s="4">
        <v>0.0</v>
      </c>
      <c r="AH216" s="6">
        <v>0.0</v>
      </c>
      <c r="AI216" s="6">
        <v>0.0</v>
      </c>
      <c r="AJ216" s="6">
        <v>0.0</v>
      </c>
      <c r="AK216" s="6">
        <v>0.0</v>
      </c>
      <c r="AL216" s="6">
        <v>0.0</v>
      </c>
      <c r="AM216" s="6">
        <v>0.0</v>
      </c>
      <c r="AN216" s="6">
        <v>0.0</v>
      </c>
      <c r="AO216" s="6">
        <v>0.0</v>
      </c>
      <c r="AP216" s="6">
        <v>0.0</v>
      </c>
      <c r="AQ216" s="6">
        <v>0.0</v>
      </c>
      <c r="AR216" s="6">
        <v>0.0</v>
      </c>
      <c r="AS216" s="6">
        <v>0.0</v>
      </c>
      <c r="AT216" s="6">
        <v>0.0</v>
      </c>
      <c r="AU216" s="6">
        <v>0.0</v>
      </c>
      <c r="AV216" s="6">
        <v>0.0</v>
      </c>
      <c r="AW216" s="6">
        <v>0.0</v>
      </c>
      <c r="AX216" s="6">
        <v>0.0</v>
      </c>
      <c r="AY216" s="6">
        <v>0.0</v>
      </c>
      <c r="AZ216" s="6">
        <v>0.0</v>
      </c>
      <c r="BA216" s="6">
        <v>0.0</v>
      </c>
      <c r="BB216" s="6">
        <v>0.0</v>
      </c>
      <c r="BC216" s="6">
        <v>0.0</v>
      </c>
      <c r="BD216" s="6">
        <v>0.0</v>
      </c>
      <c r="BE216" s="6">
        <v>0.0</v>
      </c>
      <c r="BF216" s="6">
        <v>0.0</v>
      </c>
      <c r="BG216" s="6">
        <v>0.0</v>
      </c>
    </row>
    <row r="217" ht="15.75" customHeight="1">
      <c r="A217" s="2">
        <v>50501.0</v>
      </c>
      <c r="B217" s="3" t="s">
        <v>259</v>
      </c>
      <c r="C217" s="4" t="s">
        <v>275</v>
      </c>
      <c r="D217" s="4">
        <f>IF(Datos_originales!$E217&lt;1000,"Bosque menor a 1000 ha",Datos_originales!$E217)</f>
        <v>12536.73</v>
      </c>
      <c r="E217" s="4">
        <v>12536.73</v>
      </c>
      <c r="F217" s="5">
        <f>AVERAGE(Datos_originales!$H233:$J233)</f>
        <v>0</v>
      </c>
      <c r="G217" s="5">
        <f>AVERAGE(Datos_originales!$R233:$T233)</f>
        <v>0</v>
      </c>
      <c r="H217" s="4">
        <v>0.9</v>
      </c>
      <c r="I217" s="4">
        <v>0.81</v>
      </c>
      <c r="J217" s="4">
        <v>0.18</v>
      </c>
      <c r="K217" s="4">
        <v>0.18</v>
      </c>
      <c r="L217" s="4">
        <v>0.09</v>
      </c>
      <c r="M217" s="4">
        <v>0.0</v>
      </c>
      <c r="N217" s="4">
        <v>0.09</v>
      </c>
      <c r="O217" s="4">
        <v>0.45</v>
      </c>
      <c r="P217" s="4">
        <v>0.36</v>
      </c>
      <c r="Q217" s="4">
        <v>0.0</v>
      </c>
      <c r="R217" s="4">
        <v>0.45</v>
      </c>
      <c r="S217" s="4">
        <v>14.94</v>
      </c>
      <c r="T217" s="4">
        <v>0.18</v>
      </c>
      <c r="U217" s="4">
        <v>62.55</v>
      </c>
      <c r="V217" s="4">
        <v>45.72</v>
      </c>
      <c r="W217" s="4">
        <v>197.28</v>
      </c>
      <c r="X217" s="4">
        <v>22.68</v>
      </c>
      <c r="Y217" s="4">
        <v>15.03</v>
      </c>
      <c r="Z217" s="4">
        <v>14.49</v>
      </c>
      <c r="AA217" s="4">
        <v>30.06</v>
      </c>
      <c r="AB217" s="4">
        <v>60.21</v>
      </c>
      <c r="AC217" s="4">
        <v>201.06</v>
      </c>
      <c r="AD217" s="4">
        <v>0.72</v>
      </c>
      <c r="AE217" s="4">
        <v>4.140000000000001</v>
      </c>
      <c r="AF217" s="4">
        <v>105.84</v>
      </c>
      <c r="AG217" s="4">
        <v>0.9</v>
      </c>
      <c r="AH217" s="6" t="str">
        <f>Datos_originales!$H233/Datos_originales!$E233</f>
        <v>#DIV/0!</v>
      </c>
      <c r="AI217" s="6" t="str">
        <f>Datos_originales!$I233/Datos_originales!$E233</f>
        <v>#DIV/0!</v>
      </c>
      <c r="AJ217" s="6" t="str">
        <f>Datos_originales!$J233/Datos_originales!$E233</f>
        <v>#DIV/0!</v>
      </c>
      <c r="AK217" s="6" t="str">
        <f>Datos_originales!$K233/Datos_originales!$E233</f>
        <v>#DIV/0!</v>
      </c>
      <c r="AL217" s="6" t="str">
        <f>Datos_originales!$L233/Datos_originales!$E233</f>
        <v>#DIV/0!</v>
      </c>
      <c r="AM217" s="6" t="str">
        <f>Datos_originales!$M233/Datos_originales!$E233</f>
        <v>#DIV/0!</v>
      </c>
      <c r="AN217" s="6" t="str">
        <f>Datos_originales!$N233/Datos_originales!$E233</f>
        <v>#DIV/0!</v>
      </c>
      <c r="AO217" s="6" t="str">
        <f>Datos_originales!$O233/Datos_originales!$E233</f>
        <v>#DIV/0!</v>
      </c>
      <c r="AP217" s="6" t="str">
        <f>Datos_originales!$P233/Datos_originales!$E233</f>
        <v>#DIV/0!</v>
      </c>
      <c r="AQ217" s="6" t="str">
        <f>Datos_originales!$Q233/Datos_originales!$E233</f>
        <v>#DIV/0!</v>
      </c>
      <c r="AR217" s="6" t="str">
        <f>Datos_originales!$R233/Datos_originales!$E233</f>
        <v>#DIV/0!</v>
      </c>
      <c r="AS217" s="6" t="str">
        <f>Datos_originales!$S233/Datos_originales!$E233</f>
        <v>#DIV/0!</v>
      </c>
      <c r="AT217" s="6" t="str">
        <f>Datos_originales!$T233/Datos_originales!$E233</f>
        <v>#DIV/0!</v>
      </c>
      <c r="AU217" s="6" t="str">
        <f>Datos_originales!$U233/Datos_originales!$E233</f>
        <v>#DIV/0!</v>
      </c>
      <c r="AV217" s="6" t="str">
        <f>Datos_originales!$V233/Datos_originales!$E233</f>
        <v>#DIV/0!</v>
      </c>
      <c r="AW217" s="6" t="str">
        <f>Datos_originales!$W233/Datos_originales!$E233</f>
        <v>#DIV/0!</v>
      </c>
      <c r="AX217" s="6" t="str">
        <f>Datos_originales!$X233/Datos_originales!$E233</f>
        <v>#DIV/0!</v>
      </c>
      <c r="AY217" s="6" t="str">
        <f>Datos_originales!$Y233/Datos_originales!$E233</f>
        <v>#DIV/0!</v>
      </c>
      <c r="AZ217" s="6" t="str">
        <f>Datos_originales!$Z233/Datos_originales!$E233</f>
        <v>#DIV/0!</v>
      </c>
      <c r="BA217" s="6" t="str">
        <f>Datos_originales!$AA233/Datos_originales!$E233</f>
        <v>#DIV/0!</v>
      </c>
      <c r="BB217" s="6" t="str">
        <f>Datos_originales!$AB233/Datos_originales!$E233</f>
        <v>#DIV/0!</v>
      </c>
      <c r="BC217" s="6" t="str">
        <f>Datos_originales!$AC233/Datos_originales!$E233</f>
        <v>#DIV/0!</v>
      </c>
      <c r="BD217" s="6" t="str">
        <f>Datos_originales!$AD233/Datos_originales!$E233</f>
        <v>#DIV/0!</v>
      </c>
      <c r="BE217" s="6" t="str">
        <f>Datos_originales!$AE233/Datos_originales!$E233</f>
        <v>#DIV/0!</v>
      </c>
      <c r="BF217" s="6" t="str">
        <f>Datos_originales!$AF233/Datos_originales!$E233</f>
        <v>#DIV/0!</v>
      </c>
      <c r="BG217" s="6" t="str">
        <f>Datos_originales!$AG233/Datos_originales!$E233</f>
        <v>#DIV/0!</v>
      </c>
    </row>
    <row r="218" ht="15.75" customHeight="1">
      <c r="A218" s="2">
        <v>50502.0</v>
      </c>
      <c r="B218" s="3" t="s">
        <v>259</v>
      </c>
      <c r="C218" s="4" t="s">
        <v>276</v>
      </c>
      <c r="D218" s="4">
        <f>IF(Datos_originales!$E218&lt;1000,"Bosque menor a 1000 ha",Datos_originales!$E218)</f>
        <v>17932.41</v>
      </c>
      <c r="E218" s="4">
        <v>17932.41</v>
      </c>
      <c r="F218" s="5">
        <f>AVERAGE(Datos_originales!$H223:$J223)</f>
        <v>1.98</v>
      </c>
      <c r="G218" s="5">
        <f>AVERAGE(Datos_originales!$R223:$T223)</f>
        <v>3.6</v>
      </c>
      <c r="H218" s="4">
        <v>1.08</v>
      </c>
      <c r="I218" s="4">
        <v>0.0</v>
      </c>
      <c r="J218" s="4">
        <v>0.0</v>
      </c>
      <c r="K218" s="4">
        <v>0.36</v>
      </c>
      <c r="L218" s="4">
        <v>0.45</v>
      </c>
      <c r="M218" s="4">
        <v>0.0</v>
      </c>
      <c r="N218" s="4">
        <v>0.18</v>
      </c>
      <c r="O218" s="4">
        <v>0.54</v>
      </c>
      <c r="P218" s="4">
        <v>0.27</v>
      </c>
      <c r="Q218" s="4">
        <v>0.0</v>
      </c>
      <c r="R218" s="4">
        <v>1.26</v>
      </c>
      <c r="S218" s="4">
        <v>10.98</v>
      </c>
      <c r="T218" s="4">
        <v>0.27</v>
      </c>
      <c r="U218" s="4">
        <v>34.47</v>
      </c>
      <c r="V218" s="4">
        <v>28.62</v>
      </c>
      <c r="W218" s="4">
        <v>166.5</v>
      </c>
      <c r="X218" s="4">
        <v>15.66</v>
      </c>
      <c r="Y218" s="4">
        <v>13.41</v>
      </c>
      <c r="Z218" s="4">
        <v>17.28</v>
      </c>
      <c r="AA218" s="4">
        <v>13.14</v>
      </c>
      <c r="AB218" s="4">
        <v>47.61</v>
      </c>
      <c r="AC218" s="4">
        <v>90.0</v>
      </c>
      <c r="AD218" s="4">
        <v>1.8</v>
      </c>
      <c r="AE218" s="4">
        <v>5.85</v>
      </c>
      <c r="AF218" s="4">
        <v>70.74000000000001</v>
      </c>
      <c r="AG218" s="4">
        <v>4.68</v>
      </c>
      <c r="AH218" s="6">
        <f>Datos_originales!$H223/Datos_originales!$E223</f>
        <v>0.02626641651</v>
      </c>
      <c r="AI218" s="6">
        <f>Datos_originales!$I223/Datos_originales!$E223</f>
        <v>0.05065666041</v>
      </c>
      <c r="AJ218" s="6">
        <f>Datos_originales!$J223/Datos_originales!$E223</f>
        <v>0.0469043152</v>
      </c>
      <c r="AK218" s="6">
        <f>Datos_originales!$K223/Datos_originales!$E223</f>
        <v>0.01876172608</v>
      </c>
      <c r="AL218" s="6">
        <f>Datos_originales!$L223/Datos_originales!$E223</f>
        <v>0.01876172608</v>
      </c>
      <c r="AM218" s="6">
        <f>Datos_originales!$M223/Datos_originales!$E223</f>
        <v>0.01125703565</v>
      </c>
      <c r="AN218" s="6">
        <f>Datos_originales!$N223/Datos_originales!$E223</f>
        <v>0.003752345216</v>
      </c>
      <c r="AO218" s="6">
        <f>Datos_originales!$O223/Datos_originales!$E223</f>
        <v>0.003752345216</v>
      </c>
      <c r="AP218" s="6">
        <f>Datos_originales!$P223/Datos_originales!$E223</f>
        <v>0</v>
      </c>
      <c r="AQ218" s="6">
        <f>Datos_originales!$Q223/Datos_originales!$E223</f>
        <v>0.005628517824</v>
      </c>
      <c r="AR218" s="6">
        <f>Datos_originales!$R223/Datos_originales!$E223</f>
        <v>0</v>
      </c>
      <c r="AS218" s="6">
        <f>Datos_originales!$S223/Datos_originales!$E223</f>
        <v>0.01125703565</v>
      </c>
      <c r="AT218" s="6">
        <f>Datos_originales!$T223/Datos_originales!$E223</f>
        <v>0.2138836773</v>
      </c>
      <c r="AU218" s="6">
        <f>Datos_originales!$U223/Datos_originales!$E223</f>
        <v>0.09380863039</v>
      </c>
      <c r="AV218" s="6">
        <f>Datos_originales!$V223/Datos_originales!$E223</f>
        <v>0.07879924953</v>
      </c>
      <c r="AW218" s="6">
        <f>Datos_originales!$W223/Datos_originales!$E223</f>
        <v>0.06566604128</v>
      </c>
      <c r="AX218" s="6">
        <f>Datos_originales!$X223/Datos_originales!$E223</f>
        <v>0.02063789869</v>
      </c>
      <c r="AY218" s="6">
        <f>Datos_originales!$Y223/Datos_originales!$E223</f>
        <v>0.0243902439</v>
      </c>
      <c r="AZ218" s="6">
        <f>Datos_originales!$Z223/Datos_originales!$E223</f>
        <v>0.02063789869</v>
      </c>
      <c r="BA218" s="6">
        <f>Datos_originales!$AA223/Datos_originales!$E223</f>
        <v>0.003752345216</v>
      </c>
      <c r="BB218" s="6">
        <f>Datos_originales!$AB223/Datos_originales!$E223</f>
        <v>0.003752345216</v>
      </c>
      <c r="BC218" s="6">
        <f>Datos_originales!$AC223/Datos_originales!$E223</f>
        <v>0</v>
      </c>
      <c r="BD218" s="6">
        <f>Datos_originales!$AD223/Datos_originales!$E223</f>
        <v>0.009380863039</v>
      </c>
      <c r="BE218" s="6">
        <f>Datos_originales!$AE223/Datos_originales!$E223</f>
        <v>0</v>
      </c>
      <c r="BF218" s="6">
        <f>Datos_originales!$AF223/Datos_originales!$E223</f>
        <v>0.01313320826</v>
      </c>
      <c r="BG218" s="6">
        <f>Datos_originales!$AG223/Datos_originales!$E223</f>
        <v>0.5534709193</v>
      </c>
    </row>
    <row r="219" ht="15.75" customHeight="1">
      <c r="A219" s="2">
        <v>50601.0</v>
      </c>
      <c r="B219" s="3" t="s">
        <v>259</v>
      </c>
      <c r="C219" s="4" t="s">
        <v>277</v>
      </c>
      <c r="D219" s="4" t="str">
        <f>IF(Datos_originales!$E219&lt;1000,"Bosque menor a 1000 ha",Datos_originales!$E219)</f>
        <v>Bosque menor a 1000 ha</v>
      </c>
      <c r="E219" s="4">
        <v>269.82</v>
      </c>
      <c r="F219" s="5">
        <f>AVERAGE(Datos_originales!$H15:$J15)</f>
        <v>46.05</v>
      </c>
      <c r="G219" s="5">
        <f>AVERAGE(Datos_originales!$R15:$T15)</f>
        <v>144</v>
      </c>
      <c r="H219" s="4">
        <v>2.07</v>
      </c>
      <c r="I219" s="4">
        <v>4.5</v>
      </c>
      <c r="J219" s="4">
        <v>4.14</v>
      </c>
      <c r="K219" s="4">
        <v>2.52</v>
      </c>
      <c r="L219" s="4">
        <v>1.98</v>
      </c>
      <c r="M219" s="4">
        <v>1.44</v>
      </c>
      <c r="N219" s="4">
        <v>1.98</v>
      </c>
      <c r="O219" s="4">
        <v>1.89</v>
      </c>
      <c r="P219" s="4">
        <v>1.89</v>
      </c>
      <c r="Q219" s="4">
        <v>1.8</v>
      </c>
      <c r="R219" s="4">
        <v>0.09</v>
      </c>
      <c r="S219" s="4">
        <v>2.7</v>
      </c>
      <c r="T219" s="4">
        <v>44.37</v>
      </c>
      <c r="U219" s="4">
        <v>5.67</v>
      </c>
      <c r="V219" s="4">
        <v>8.19</v>
      </c>
      <c r="W219" s="4">
        <v>12.87</v>
      </c>
      <c r="X219" s="4">
        <v>4.140000000000001</v>
      </c>
      <c r="Y219" s="4">
        <v>2.79</v>
      </c>
      <c r="Z219" s="4">
        <v>2.25</v>
      </c>
      <c r="AA219" s="4">
        <v>3.51</v>
      </c>
      <c r="AB219" s="4">
        <v>2.61</v>
      </c>
      <c r="AC219" s="4">
        <v>2.52</v>
      </c>
      <c r="AD219" s="4">
        <v>3.87</v>
      </c>
      <c r="AE219" s="4">
        <v>0.54</v>
      </c>
      <c r="AF219" s="4">
        <v>3.42</v>
      </c>
      <c r="AG219" s="4">
        <v>93.42</v>
      </c>
      <c r="AH219" s="6">
        <f>Datos_originales!$H15/Datos_originales!$E15</f>
        <v>0.0005144060678</v>
      </c>
      <c r="AI219" s="6">
        <f>Datos_originales!$I15/Datos_originales!$E15</f>
        <v>0.001190688171</v>
      </c>
      <c r="AJ219" s="6">
        <f>Datos_originales!$J15/Datos_originales!$E15</f>
        <v>0.001055791475</v>
      </c>
      <c r="AK219" s="6">
        <f>Datos_originales!$K15/Datos_originales!$E15</f>
        <v>0.0005863509724</v>
      </c>
      <c r="AL219" s="6">
        <f>Datos_originales!$L15/Datos_originales!$E15</f>
        <v>0.0007032614424</v>
      </c>
      <c r="AM219" s="6">
        <f>Datos_originales!$M15/Datos_originales!$E15</f>
        <v>0.0006061358212</v>
      </c>
      <c r="AN219" s="6">
        <f>Datos_originales!$N15/Datos_originales!$E15</f>
        <v>0.001179896435</v>
      </c>
      <c r="AO219" s="6">
        <f>Datos_originales!$O15/Datos_originales!$E15</f>
        <v>0.0008687347229</v>
      </c>
      <c r="AP219" s="6">
        <f>Datos_originales!$P15/Datos_originales!$E15</f>
        <v>0.00117629919</v>
      </c>
      <c r="AQ219" s="6">
        <f>Datos_originales!$Q15/Datos_originales!$E15</f>
        <v>0.0007446297625</v>
      </c>
      <c r="AR219" s="6">
        <f>Datos_originales!$R15/Datos_originales!$E15</f>
        <v>0.0007913939505</v>
      </c>
      <c r="AS219" s="6">
        <f>Datos_originales!$S15/Datos_originales!$E15</f>
        <v>0.006176470059</v>
      </c>
      <c r="AT219" s="6">
        <f>Datos_originales!$T15/Datos_originales!$E15</f>
        <v>0.001665524541</v>
      </c>
      <c r="AU219" s="6">
        <f>Datos_originales!$U15/Datos_originales!$E15</f>
        <v>0.001115146021</v>
      </c>
      <c r="AV219" s="6">
        <f>Datos_originales!$V15/Datos_originales!$E15</f>
        <v>0.001780636389</v>
      </c>
      <c r="AW219" s="6">
        <f>Datos_originales!$W15/Datos_originales!$E15</f>
        <v>0.008876202604</v>
      </c>
      <c r="AX219" s="6">
        <f>Datos_originales!$X15/Datos_originales!$E15</f>
        <v>0.0009262906466</v>
      </c>
      <c r="AY219" s="6">
        <f>Datos_originales!$Y15/Datos_originales!$E15</f>
        <v>0.001016221777</v>
      </c>
      <c r="AZ219" s="6">
        <f>Datos_originales!$Z15/Datos_originales!$E15</f>
        <v>0.000830963648</v>
      </c>
      <c r="BA219" s="6">
        <f>Datos_originales!$AA15/Datos_originales!$E15</f>
        <v>0.001462280186</v>
      </c>
      <c r="BB219" s="6">
        <f>Datos_originales!$AB15/Datos_originales!$E15</f>
        <v>0.001906539972</v>
      </c>
      <c r="BC219" s="6">
        <f>Datos_originales!$AC15/Datos_originales!$E15</f>
        <v>0.001537822336</v>
      </c>
      <c r="BD219" s="6">
        <f>Datos_originales!$AD15/Datos_originales!$E15</f>
        <v>0.001683510767</v>
      </c>
      <c r="BE219" s="6">
        <f>Datos_originales!$AE15/Datos_originales!$E15</f>
        <v>0.002014457329</v>
      </c>
      <c r="BF219" s="6">
        <f>Datos_originales!$AF15/Datos_originales!$E15</f>
        <v>0.007300609193</v>
      </c>
      <c r="BG219" s="6">
        <f>Datos_originales!$AG15/Datos_originales!$E15</f>
        <v>0.001820206086</v>
      </c>
    </row>
    <row r="220" ht="15.75" customHeight="1">
      <c r="A220" s="2">
        <v>50602.0</v>
      </c>
      <c r="B220" s="3" t="s">
        <v>259</v>
      </c>
      <c r="C220" s="4" t="s">
        <v>278</v>
      </c>
      <c r="D220" s="4" t="str">
        <f>IF(Datos_originales!$E220&lt;1000,"Bosque menor a 1000 ha",Datos_originales!$E220)</f>
        <v>Bosque menor a 1000 ha</v>
      </c>
      <c r="E220" s="4">
        <v>100.44</v>
      </c>
      <c r="F220" s="5">
        <f>AVERAGE(Datos_originales!$H14:$J14)</f>
        <v>1.26</v>
      </c>
      <c r="G220" s="5">
        <f>AVERAGE(Datos_originales!$R14:$T14)</f>
        <v>15.57</v>
      </c>
      <c r="H220" s="4">
        <v>0.8999999999999999</v>
      </c>
      <c r="I220" s="4">
        <v>1.26</v>
      </c>
      <c r="J220" s="4">
        <v>0.45</v>
      </c>
      <c r="K220" s="4">
        <v>0.27</v>
      </c>
      <c r="L220" s="4">
        <v>0.72</v>
      </c>
      <c r="M220" s="4">
        <v>0.27</v>
      </c>
      <c r="N220" s="4">
        <v>0.36</v>
      </c>
      <c r="O220" s="4">
        <v>0.81</v>
      </c>
      <c r="P220" s="4">
        <v>0.36</v>
      </c>
      <c r="Q220" s="4">
        <v>0.63</v>
      </c>
      <c r="R220" s="4">
        <v>0.0</v>
      </c>
      <c r="S220" s="4">
        <v>0.18</v>
      </c>
      <c r="T220" s="4">
        <v>14.04</v>
      </c>
      <c r="U220" s="4">
        <v>2.25</v>
      </c>
      <c r="V220" s="4">
        <v>1.53</v>
      </c>
      <c r="W220" s="4">
        <v>1.98</v>
      </c>
      <c r="X220" s="4">
        <v>0.63</v>
      </c>
      <c r="Y220" s="4">
        <v>0.99</v>
      </c>
      <c r="Z220" s="4">
        <v>0.63</v>
      </c>
      <c r="AA220" s="4">
        <v>1.17</v>
      </c>
      <c r="AB220" s="4">
        <v>1.26</v>
      </c>
      <c r="AC220" s="4">
        <v>0.45</v>
      </c>
      <c r="AD220" s="4">
        <v>1.26</v>
      </c>
      <c r="AE220" s="4">
        <v>0.0</v>
      </c>
      <c r="AF220" s="4">
        <v>0.72</v>
      </c>
      <c r="AG220" s="4">
        <v>38.34</v>
      </c>
      <c r="AH220" s="6">
        <f>Datos_originales!$H14/Datos_originales!$E14</f>
        <v>0.0001423207033</v>
      </c>
      <c r="AI220" s="6">
        <f>Datos_originales!$I14/Datos_originales!$E14</f>
        <v>0.00006568647844</v>
      </c>
      <c r="AJ220" s="6">
        <f>Datos_originales!$J14/Datos_originales!$E14</f>
        <v>0.0002517981673</v>
      </c>
      <c r="AK220" s="6">
        <f>Datos_originales!$K14/Datos_originales!$E14</f>
        <v>0.00006568647844</v>
      </c>
      <c r="AL220" s="6">
        <f>Datos_originales!$L14/Datos_originales!$E14</f>
        <v>0.00002189549281</v>
      </c>
      <c r="AM220" s="6">
        <f>Datos_originales!$M14/Datos_originales!$E14</f>
        <v>0.0001642161961</v>
      </c>
      <c r="AN220" s="6">
        <f>Datos_originales!$N14/Datos_originales!$E14</f>
        <v>0.00001094774641</v>
      </c>
      <c r="AO220" s="6">
        <f>Datos_originales!$O14/Datos_originales!$E14</f>
        <v>0.00007663422484</v>
      </c>
      <c r="AP220" s="6">
        <f>Datos_originales!$P14/Datos_originales!$E14</f>
        <v>0.0001861116889</v>
      </c>
      <c r="AQ220" s="6">
        <f>Datos_originales!$Q14/Datos_originales!$E14</f>
        <v>0.0001423207033</v>
      </c>
      <c r="AR220" s="6">
        <f>Datos_originales!$R14/Datos_originales!$E14</f>
        <v>0.00003284323922</v>
      </c>
      <c r="AS220" s="6">
        <f>Datos_originales!$S14/Datos_originales!$E14</f>
        <v>0.004258673352</v>
      </c>
      <c r="AT220" s="6">
        <f>Datos_originales!$T14/Datos_originales!$E14</f>
        <v>0.001390363794</v>
      </c>
      <c r="AU220" s="6">
        <f>Datos_originales!$U14/Datos_originales!$E14</f>
        <v>0.0004379098563</v>
      </c>
      <c r="AV220" s="6">
        <f>Datos_originales!$V14/Datos_originales!$E14</f>
        <v>0.0004817008419</v>
      </c>
      <c r="AW220" s="6">
        <f>Datos_originales!$W14/Datos_originales!$E14</f>
        <v>0.00965591233</v>
      </c>
      <c r="AX220" s="6">
        <f>Datos_originales!$X14/Datos_originales!$E14</f>
        <v>0.0003393801386</v>
      </c>
      <c r="AY220" s="6">
        <f>Datos_originales!$Y14/Datos_originales!$E14</f>
        <v>0.0002189549281</v>
      </c>
      <c r="AZ220" s="6">
        <f>Datos_originales!$Z14/Datos_originales!$E14</f>
        <v>0.0004379098563</v>
      </c>
      <c r="BA220" s="6">
        <f>Datos_originales!$AA14/Datos_originales!$E14</f>
        <v>0.000755394502</v>
      </c>
      <c r="BB220" s="6">
        <f>Datos_originales!$AB14/Datos_originales!$E14</f>
        <v>0.001324677315</v>
      </c>
      <c r="BC220" s="6">
        <f>Datos_originales!$AC14/Datos_originales!$E14</f>
        <v>0.003941188706</v>
      </c>
      <c r="BD220" s="6">
        <f>Datos_originales!$AD14/Datos_originales!$E14</f>
        <v>0.0001423207033</v>
      </c>
      <c r="BE220" s="6">
        <f>Datos_originales!$AE14/Datos_originales!$E14</f>
        <v>0.001773534918</v>
      </c>
      <c r="BF220" s="6">
        <f>Datos_originales!$AF14/Datos_originales!$E14</f>
        <v>0.009163263742</v>
      </c>
      <c r="BG220" s="6">
        <f>Datos_originales!$AG14/Datos_originales!$E14</f>
        <v>0.001543632243</v>
      </c>
    </row>
    <row r="221" ht="15.75" customHeight="1">
      <c r="A221" s="2">
        <v>50701.0</v>
      </c>
      <c r="B221" s="3" t="s">
        <v>259</v>
      </c>
      <c r="C221" s="4" t="s">
        <v>279</v>
      </c>
      <c r="D221" s="4" t="str">
        <f>IF(Datos_originales!$E221&lt;1000,"Bosque menor a 1000 ha",Datos_originales!$E221)</f>
        <v>Bosque menor a 1000 ha</v>
      </c>
      <c r="E221" s="4">
        <v>40.23</v>
      </c>
      <c r="F221" s="5">
        <f>AVERAGE(Datos_originales!$H336:$J336)</f>
        <v>1225.05</v>
      </c>
      <c r="G221" s="5">
        <f>AVERAGE(Datos_originales!$R336:$T336)</f>
        <v>1494.09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0.18</v>
      </c>
      <c r="V221" s="4">
        <v>0.0</v>
      </c>
      <c r="W221" s="4">
        <v>1.08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0.09</v>
      </c>
      <c r="AD221" s="4">
        <v>0.0</v>
      </c>
      <c r="AE221" s="4">
        <v>0.0</v>
      </c>
      <c r="AF221" s="4">
        <v>0.27</v>
      </c>
      <c r="AG221" s="4">
        <v>0.0</v>
      </c>
      <c r="AH221" s="6">
        <f>Datos_originales!$H336/Datos_originales!$E336</f>
        <v>0.001081097231</v>
      </c>
      <c r="AI221" s="6">
        <f>Datos_originales!$I336/Datos_originales!$E336</f>
        <v>0.001016152772</v>
      </c>
      <c r="AJ221" s="6">
        <f>Datos_originales!$J336/Datos_originales!$E336</f>
        <v>0.00111341221</v>
      </c>
      <c r="AK221" s="6">
        <f>Datos_originales!$K336/Datos_originales!$E336</f>
        <v>0.0009012026519</v>
      </c>
      <c r="AL221" s="6">
        <f>Datos_originales!$L336/Datos_originales!$E336</f>
        <v>0.001314692858</v>
      </c>
      <c r="AM221" s="6">
        <f>Datos_originales!$M336/Datos_originales!$E336</f>
        <v>0.001316265363</v>
      </c>
      <c r="AN221" s="6">
        <f>Datos_originales!$N336/Datos_originales!$E336</f>
        <v>0.0010791316</v>
      </c>
      <c r="AO221" s="6">
        <f>Datos_originales!$O336/Datos_originales!$E336</f>
        <v>0.0009015171529</v>
      </c>
      <c r="AP221" s="6">
        <f>Datos_originales!$P336/Datos_originales!$E336</f>
        <v>0.001503078965</v>
      </c>
      <c r="AQ221" s="6">
        <f>Datos_originales!$Q336/Datos_originales!$E336</f>
        <v>0.001702944358</v>
      </c>
      <c r="AR221" s="6">
        <f>Datos_originales!$R336/Datos_originales!$E336</f>
        <v>0.000347523619</v>
      </c>
      <c r="AS221" s="6">
        <f>Datos_originales!$S336/Datos_originales!$E336</f>
        <v>0.0014518153</v>
      </c>
      <c r="AT221" s="6">
        <f>Datos_originales!$T336/Datos_originales!$E336</f>
        <v>0.002116434565</v>
      </c>
      <c r="AU221" s="6">
        <f>Datos_originales!$U336/Datos_originales!$E336</f>
        <v>0.002073190676</v>
      </c>
      <c r="AV221" s="6">
        <f>Datos_originales!$V336/Datos_originales!$E336</f>
        <v>0.001512749871</v>
      </c>
      <c r="AW221" s="6">
        <f>Datos_originales!$W336/Datos_originales!$E336</f>
        <v>0.001694452831</v>
      </c>
      <c r="AX221" s="6">
        <f>Datos_originales!$X336/Datos_originales!$E336</f>
        <v>0.001447569536</v>
      </c>
      <c r="AY221" s="6">
        <f>Datos_originales!$Y336/Datos_originales!$E336</f>
        <v>0.001557723516</v>
      </c>
      <c r="AZ221" s="6">
        <f>Datos_originales!$Z336/Datos_originales!$E336</f>
        <v>0.001503393466</v>
      </c>
      <c r="BA221" s="6">
        <f>Datos_originales!$AA336/Datos_originales!$E336</f>
        <v>0.001288510649</v>
      </c>
      <c r="BB221" s="6">
        <f>Datos_originales!$AB336/Datos_originales!$E336</f>
        <v>0.001048231875</v>
      </c>
      <c r="BC221" s="6">
        <f>Datos_originales!$AC336/Datos_originales!$E336</f>
        <v>0.001771269703</v>
      </c>
      <c r="BD221" s="6">
        <f>Datos_originales!$AD336/Datos_originales!$E336</f>
        <v>0.001859801739</v>
      </c>
      <c r="BE221" s="6">
        <f>Datos_originales!$AE336/Datos_originales!$E336</f>
        <v>0.0005224648073</v>
      </c>
      <c r="BF221" s="6">
        <f>Datos_originales!$AF336/Datos_originales!$E336</f>
        <v>0.001760812545</v>
      </c>
      <c r="BG221" s="6">
        <f>Datos_originales!$AG336/Datos_originales!$E336</f>
        <v>0.002443908744</v>
      </c>
    </row>
    <row r="222" ht="15.75" customHeight="1">
      <c r="A222" s="2">
        <v>50702.0</v>
      </c>
      <c r="B222" s="3" t="s">
        <v>259</v>
      </c>
      <c r="C222" s="4" t="s">
        <v>280</v>
      </c>
      <c r="D222" s="4" t="str">
        <f>IF(Datos_originales!$E222&lt;1000,"Bosque menor a 1000 ha",Datos_originales!$E222)</f>
        <v>Bosque menor a 1000 ha</v>
      </c>
      <c r="E222" s="4">
        <v>1.17</v>
      </c>
      <c r="F222" s="5">
        <f>AVERAGE(Datos_originales!$H321:$J321)</f>
        <v>46.71</v>
      </c>
      <c r="G222" s="5">
        <f>AVERAGE(Datos_originales!$R321:$T321)</f>
        <v>190.05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0.0</v>
      </c>
      <c r="AG222" s="4">
        <v>0.0</v>
      </c>
      <c r="AH222" s="6">
        <f>Datos_originales!$H321/Datos_originales!$E321</f>
        <v>0.0002818666358</v>
      </c>
      <c r="AI222" s="6">
        <f>Datos_originales!$I321/Datos_originales!$E321</f>
        <v>0.0001256473442</v>
      </c>
      <c r="AJ222" s="6">
        <f>Datos_originales!$J321/Datos_originales!$E321</f>
        <v>0.0001155686802</v>
      </c>
      <c r="AK222" s="6">
        <f>Datos_originales!$K321/Datos_originales!$E321</f>
        <v>0.00005509669638</v>
      </c>
      <c r="AL222" s="6">
        <f>Datos_originales!$L321/Datos_originales!$E321</f>
        <v>0.00007290233607</v>
      </c>
      <c r="AM222" s="6">
        <f>Datos_originales!$M321/Datos_originales!$E321</f>
        <v>0.00008365291097</v>
      </c>
      <c r="AN222" s="6">
        <f>Datos_originales!$N321/Datos_originales!$E321</f>
        <v>0.0001068338381</v>
      </c>
      <c r="AO222" s="6">
        <f>Datos_originales!$O321/Datos_originales!$E321</f>
        <v>0.00006819895955</v>
      </c>
      <c r="AP222" s="6">
        <f>Datos_originales!$P321/Datos_originales!$E321</f>
        <v>0.0001582350244</v>
      </c>
      <c r="AQ222" s="6">
        <f>Datos_originales!$Q321/Datos_originales!$E321</f>
        <v>0.0004945264456</v>
      </c>
      <c r="AR222" s="6">
        <f>Datos_originales!$R321/Datos_originales!$E321</f>
        <v>0.0001185922794</v>
      </c>
      <c r="AS222" s="6">
        <f>Datos_originales!$S321/Datos_originales!$E321</f>
        <v>0.0007246559396</v>
      </c>
      <c r="AT222" s="6">
        <f>Datos_originales!$T321/Datos_originales!$E321</f>
        <v>0.001285029656</v>
      </c>
      <c r="AU222" s="6">
        <f>Datos_originales!$U321/Datos_originales!$E321</f>
        <v>0.03041203258</v>
      </c>
      <c r="AV222" s="6">
        <f>Datos_originales!$V321/Datos_originales!$E321</f>
        <v>0.009397010332</v>
      </c>
      <c r="AW222" s="6">
        <f>Datos_originales!$W321/Datos_originales!$E321</f>
        <v>0.01191969992</v>
      </c>
      <c r="AX222" s="6">
        <f>Datos_originales!$X321/Datos_originales!$E321</f>
        <v>0.006094568104</v>
      </c>
      <c r="AY222" s="6">
        <f>Datos_originales!$Y321/Datos_originales!$E321</f>
        <v>0.00284890235</v>
      </c>
      <c r="AZ222" s="6">
        <f>Datos_originales!$Z321/Datos_originales!$E321</f>
        <v>0.002852261904</v>
      </c>
      <c r="BA222" s="6">
        <f>Datos_originales!$AA321/Datos_originales!$E321</f>
        <v>0.004613340456</v>
      </c>
      <c r="BB222" s="6">
        <f>Datos_originales!$AB321/Datos_originales!$E321</f>
        <v>0.005725353047</v>
      </c>
      <c r="BC222" s="6">
        <f>Datos_originales!$AC321/Datos_originales!$E321</f>
        <v>0.004625434852</v>
      </c>
      <c r="BD222" s="6">
        <f>Datos_originales!$AD321/Datos_originales!$E321</f>
        <v>0.002452138944</v>
      </c>
      <c r="BE222" s="6">
        <f>Datos_originales!$AE321/Datos_originales!$E321</f>
        <v>0.002017076616</v>
      </c>
      <c r="BF222" s="6">
        <f>Datos_originales!$AF321/Datos_originales!$E321</f>
        <v>0.004953327387</v>
      </c>
      <c r="BG222" s="6">
        <f>Datos_originales!$AG321/Datos_originales!$E321</f>
        <v>0.03876119782</v>
      </c>
    </row>
    <row r="223" ht="15.75" customHeight="1">
      <c r="A223" s="2">
        <v>50801.0</v>
      </c>
      <c r="B223" s="3" t="s">
        <v>259</v>
      </c>
      <c r="C223" s="4" t="s">
        <v>281</v>
      </c>
      <c r="D223" s="4" t="str">
        <f>IF(Datos_originales!$E223&lt;1000,"Bosque menor a 1000 ha",Datos_originales!$E223)</f>
        <v>Bosque menor a 1000 ha</v>
      </c>
      <c r="E223" s="4">
        <v>47.97</v>
      </c>
      <c r="F223" s="5">
        <f>AVERAGE(Datos_originales!$H8:$J8)</f>
        <v>0.36</v>
      </c>
      <c r="G223" s="5">
        <f>AVERAGE(Datos_originales!$R8:$T8)</f>
        <v>5.43</v>
      </c>
      <c r="H223" s="4">
        <v>1.26</v>
      </c>
      <c r="I223" s="4">
        <v>2.43</v>
      </c>
      <c r="J223" s="4">
        <v>2.25</v>
      </c>
      <c r="K223" s="4">
        <v>0.9</v>
      </c>
      <c r="L223" s="4">
        <v>0.8999999999999999</v>
      </c>
      <c r="M223" s="4">
        <v>0.54</v>
      </c>
      <c r="N223" s="4">
        <v>0.18</v>
      </c>
      <c r="O223" s="4">
        <v>0.18</v>
      </c>
      <c r="P223" s="4">
        <v>0.0</v>
      </c>
      <c r="Q223" s="4">
        <v>0.27</v>
      </c>
      <c r="R223" s="4">
        <v>0.0</v>
      </c>
      <c r="S223" s="4">
        <v>0.54</v>
      </c>
      <c r="T223" s="4">
        <v>10.26</v>
      </c>
      <c r="U223" s="4">
        <v>4.5</v>
      </c>
      <c r="V223" s="4">
        <v>3.78</v>
      </c>
      <c r="W223" s="4">
        <v>3.15</v>
      </c>
      <c r="X223" s="4">
        <v>0.99</v>
      </c>
      <c r="Y223" s="4">
        <v>1.17</v>
      </c>
      <c r="Z223" s="4">
        <v>0.99</v>
      </c>
      <c r="AA223" s="4">
        <v>0.18</v>
      </c>
      <c r="AB223" s="4">
        <v>0.18</v>
      </c>
      <c r="AC223" s="4">
        <v>0.0</v>
      </c>
      <c r="AD223" s="4">
        <v>0.45</v>
      </c>
      <c r="AE223" s="4">
        <v>0.0</v>
      </c>
      <c r="AF223" s="4">
        <v>0.63</v>
      </c>
      <c r="AG223" s="4">
        <v>26.55</v>
      </c>
      <c r="AH223" s="6">
        <f>Datos_originales!$H8/Datos_originales!$E8</f>
        <v>0.00001629779328</v>
      </c>
      <c r="AI223" s="6">
        <f>Datos_originales!$I8/Datos_originales!$E8</f>
        <v>0.00000271629888</v>
      </c>
      <c r="AJ223" s="6">
        <f>Datos_originales!$J8/Datos_originales!$E8</f>
        <v>0.0000135814944</v>
      </c>
      <c r="AK223" s="6">
        <f>Datos_originales!$K8/Datos_originales!$E8</f>
        <v>0</v>
      </c>
      <c r="AL223" s="6">
        <f>Datos_originales!$L8/Datos_originales!$E8</f>
        <v>0</v>
      </c>
      <c r="AM223" s="6">
        <f>Datos_originales!$M8/Datos_originales!$E8</f>
        <v>0</v>
      </c>
      <c r="AN223" s="6">
        <f>Datos_originales!$N8/Datos_originales!$E8</f>
        <v>0</v>
      </c>
      <c r="AO223" s="6">
        <f>Datos_originales!$O8/Datos_originales!$E8</f>
        <v>0</v>
      </c>
      <c r="AP223" s="6">
        <f>Datos_originales!$P8/Datos_originales!$E8</f>
        <v>0</v>
      </c>
      <c r="AQ223" s="6">
        <f>Datos_originales!$Q8/Datos_originales!$E8</f>
        <v>0</v>
      </c>
      <c r="AR223" s="6">
        <f>Datos_originales!$R8/Datos_originales!$E8</f>
        <v>0</v>
      </c>
      <c r="AS223" s="6">
        <f>Datos_originales!$S8/Datos_originales!$E8</f>
        <v>0.0004318915219</v>
      </c>
      <c r="AT223" s="6">
        <f>Datos_originales!$T8/Datos_originales!$E8</f>
        <v>0.00005975857536</v>
      </c>
      <c r="AU223" s="6">
        <f>Datos_originales!$U8/Datos_originales!$E8</f>
        <v>0.001852515836</v>
      </c>
      <c r="AV223" s="6">
        <f>Datos_originales!$V8/Datos_originales!$E8</f>
        <v>0.0007714288819</v>
      </c>
      <c r="AW223" s="6">
        <f>Datos_originales!$W8/Datos_originales!$E8</f>
        <v>0.009642861023</v>
      </c>
      <c r="AX223" s="6">
        <f>Datos_originales!$X8/Datos_originales!$E8</f>
        <v>0.0003585514521</v>
      </c>
      <c r="AY223" s="6">
        <f>Datos_originales!$Y8/Datos_originales!$E8</f>
        <v>0.0005269619827</v>
      </c>
      <c r="AZ223" s="6">
        <f>Datos_originales!$Z8/Datos_originales!$E8</f>
        <v>0.0003150906701</v>
      </c>
      <c r="BA223" s="6">
        <f>Datos_originales!$AA8/Datos_originales!$E8</f>
        <v>0.00155100666</v>
      </c>
      <c r="BB223" s="6">
        <f>Datos_originales!$AB8/Datos_originales!$E8</f>
        <v>0.001958451492</v>
      </c>
      <c r="BC223" s="6">
        <f>Datos_originales!$AC8/Datos_originales!$E8</f>
        <v>0.01238360659</v>
      </c>
      <c r="BD223" s="6">
        <f>Datos_originales!$AD8/Datos_originales!$E8</f>
        <v>0.00000271629888</v>
      </c>
      <c r="BE223" s="6">
        <f>Datos_originales!$AE8/Datos_originales!$E8</f>
        <v>0.0000135814944</v>
      </c>
      <c r="BF223" s="6">
        <f>Datos_originales!$AF8/Datos_originales!$E8</f>
        <v>0.001594467442</v>
      </c>
      <c r="BG223" s="6">
        <f>Datos_originales!$AG8/Datos_originales!$E8</f>
        <v>0.00009507046079</v>
      </c>
    </row>
    <row r="224" ht="15.75" customHeight="1">
      <c r="A224" s="2">
        <v>50802.0</v>
      </c>
      <c r="B224" s="3" t="s">
        <v>259</v>
      </c>
      <c r="C224" s="4" t="s">
        <v>282</v>
      </c>
      <c r="D224" s="4" t="str">
        <f>IF(Datos_originales!$E224&lt;1000,"Bosque menor a 1000 ha",Datos_originales!$E224)</f>
        <v>Bosque menor a 1000 ha</v>
      </c>
      <c r="E224" s="4">
        <v>0.36</v>
      </c>
      <c r="F224" s="5">
        <f>AVERAGE(Datos_originales!$H317:$J317)</f>
        <v>1503.63</v>
      </c>
      <c r="G224" s="5">
        <f>AVERAGE(Datos_originales!$R317:$T317)</f>
        <v>1301.28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0.36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  <c r="AG224" s="4">
        <v>0.0</v>
      </c>
      <c r="AH224" s="6">
        <f>Datos_originales!$H317/Datos_originales!$E317</f>
        <v>0.004308477225</v>
      </c>
      <c r="AI224" s="6">
        <f>Datos_originales!$I317/Datos_originales!$E317</f>
        <v>0.00672503528</v>
      </c>
      <c r="AJ224" s="6">
        <f>Datos_originales!$J317/Datos_originales!$E317</f>
        <v>0.01077032301</v>
      </c>
      <c r="AK224" s="6">
        <f>Datos_originales!$K317/Datos_originales!$E317</f>
        <v>0.005265964944</v>
      </c>
      <c r="AL224" s="6">
        <f>Datos_originales!$L317/Datos_originales!$E317</f>
        <v>0.006204311609</v>
      </c>
      <c r="AM224" s="6">
        <f>Datos_originales!$M317/Datos_originales!$E317</f>
        <v>0.005712734543</v>
      </c>
      <c r="AN224" s="6">
        <f>Datos_originales!$N317/Datos_originales!$E317</f>
        <v>0.008012271156</v>
      </c>
      <c r="AO224" s="6">
        <f>Datos_originales!$O317/Datos_originales!$E317</f>
        <v>0.01090909565</v>
      </c>
      <c r="AP224" s="6">
        <f>Datos_originales!$P317/Datos_originales!$E317</f>
        <v>0.01053497506</v>
      </c>
      <c r="AQ224" s="6">
        <f>Datos_originales!$Q317/Datos_originales!$E317</f>
        <v>0.008004875748</v>
      </c>
      <c r="AR224" s="6">
        <f>Datos_originales!$R317/Datos_originales!$E317</f>
        <v>0.003219612272</v>
      </c>
      <c r="AS224" s="6">
        <f>Datos_originales!$S317/Datos_originales!$E317</f>
        <v>0.009583142648</v>
      </c>
      <c r="AT224" s="6">
        <f>Datos_originales!$T317/Datos_originales!$E317</f>
        <v>0.00606684404</v>
      </c>
      <c r="AU224" s="6">
        <f>Datos_originales!$U317/Datos_originales!$E317</f>
        <v>0.009018481558</v>
      </c>
      <c r="AV224" s="6">
        <f>Datos_originales!$V317/Datos_originales!$E317</f>
        <v>0.01140545798</v>
      </c>
      <c r="AW224" s="6">
        <f>Datos_originales!$W317/Datos_originales!$E317</f>
        <v>0.03330717389</v>
      </c>
      <c r="AX224" s="6">
        <f>Datos_originales!$X317/Datos_originales!$E317</f>
        <v>0.01710427176</v>
      </c>
      <c r="AY224" s="6">
        <f>Datos_originales!$Y317/Datos_originales!$E317</f>
        <v>0.009245564061</v>
      </c>
      <c r="AZ224" s="6">
        <f>Datos_originales!$Z317/Datos_originales!$E317</f>
        <v>0.007856097557</v>
      </c>
      <c r="BA224" s="6">
        <f>Datos_originales!$AA317/Datos_originales!$E317</f>
        <v>0.0100090311</v>
      </c>
      <c r="BB224" s="6">
        <f>Datos_originales!$AB317/Datos_originales!$E317</f>
        <v>0.0127788286</v>
      </c>
      <c r="BC224" s="6">
        <f>Datos_originales!$AC317/Datos_originales!$E317</f>
        <v>0.01200274587</v>
      </c>
      <c r="BD224" s="6">
        <f>Datos_originales!$AD317/Datos_originales!$E317</f>
        <v>0.01137979157</v>
      </c>
      <c r="BE224" s="6">
        <f>Datos_originales!$AE317/Datos_originales!$E317</f>
        <v>0.003742946087</v>
      </c>
      <c r="BF224" s="6">
        <f>Datos_originales!$AF317/Datos_originales!$E317</f>
        <v>0.01055672625</v>
      </c>
      <c r="BG224" s="6">
        <f>Datos_originales!$AG317/Datos_originales!$E317</f>
        <v>0.01172911581</v>
      </c>
    </row>
    <row r="225" ht="15.75" customHeight="1">
      <c r="A225" s="2">
        <v>50901.0</v>
      </c>
      <c r="B225" s="3" t="s">
        <v>259</v>
      </c>
      <c r="C225" s="4" t="s">
        <v>283</v>
      </c>
      <c r="D225" s="4" t="str">
        <f>IF(Datos_originales!$E225&lt;1000,"Bosque menor a 1000 ha",Datos_originales!$E225)</f>
        <v>Bosque menor a 1000 ha</v>
      </c>
      <c r="E225" s="4">
        <v>0.0</v>
      </c>
      <c r="F225" s="5">
        <f>AVERAGE(Datos_originales!$H307:$J307)</f>
        <v>7006.35</v>
      </c>
      <c r="G225" s="5">
        <f>AVERAGE(Datos_originales!$R307:$T307)</f>
        <v>15127.35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  <c r="AG225" s="4">
        <v>0.0</v>
      </c>
      <c r="AH225" s="6">
        <v>0.0</v>
      </c>
      <c r="AI225" s="6">
        <v>0.0</v>
      </c>
      <c r="AJ225" s="6">
        <v>0.0</v>
      </c>
      <c r="AK225" s="6">
        <v>0.0</v>
      </c>
      <c r="AL225" s="6">
        <v>0.0</v>
      </c>
      <c r="AM225" s="6">
        <v>0.0</v>
      </c>
      <c r="AN225" s="6">
        <v>0.0</v>
      </c>
      <c r="AO225" s="6">
        <v>0.0</v>
      </c>
      <c r="AP225" s="6">
        <v>0.0</v>
      </c>
      <c r="AQ225" s="6">
        <v>0.0</v>
      </c>
      <c r="AR225" s="6">
        <v>0.0</v>
      </c>
      <c r="AS225" s="6">
        <v>0.0</v>
      </c>
      <c r="AT225" s="6">
        <v>0.0</v>
      </c>
      <c r="AU225" s="6">
        <v>0.0</v>
      </c>
      <c r="AV225" s="6">
        <v>0.0</v>
      </c>
      <c r="AW225" s="6">
        <v>0.0</v>
      </c>
      <c r="AX225" s="6">
        <v>0.0</v>
      </c>
      <c r="AY225" s="6">
        <v>0.0</v>
      </c>
      <c r="AZ225" s="6">
        <v>0.0</v>
      </c>
      <c r="BA225" s="6">
        <v>0.0</v>
      </c>
      <c r="BB225" s="6">
        <v>0.0</v>
      </c>
      <c r="BC225" s="6">
        <v>0.0</v>
      </c>
      <c r="BD225" s="6">
        <v>0.0</v>
      </c>
      <c r="BE225" s="6">
        <v>0.0</v>
      </c>
      <c r="BF225" s="6">
        <v>0.0</v>
      </c>
      <c r="BG225" s="6">
        <v>0.0</v>
      </c>
    </row>
    <row r="226" ht="15.75" customHeight="1">
      <c r="A226" s="2">
        <v>50902.0</v>
      </c>
      <c r="B226" s="3" t="s">
        <v>259</v>
      </c>
      <c r="C226" s="4" t="s">
        <v>284</v>
      </c>
      <c r="D226" s="4" t="str">
        <f>IF(Datos_originales!$E226&lt;1000,"Bosque menor a 1000 ha",Datos_originales!$E226)</f>
        <v>Bosque menor a 1000 ha</v>
      </c>
      <c r="E226" s="4">
        <v>0.0</v>
      </c>
      <c r="F226" s="5">
        <f>AVERAGE(Datos_originales!$H308:$J308)</f>
        <v>337.05</v>
      </c>
      <c r="G226" s="5">
        <f>AVERAGE(Datos_originales!$R308:$T308)</f>
        <v>2623.44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>
        <v>0.0</v>
      </c>
      <c r="AE226" s="4">
        <v>0.0</v>
      </c>
      <c r="AF226" s="4">
        <v>0.0</v>
      </c>
      <c r="AG226" s="4">
        <v>0.0</v>
      </c>
      <c r="AH226" s="6">
        <v>0.0</v>
      </c>
      <c r="AI226" s="6">
        <v>0.0</v>
      </c>
      <c r="AJ226" s="6">
        <v>0.0</v>
      </c>
      <c r="AK226" s="6">
        <v>0.0</v>
      </c>
      <c r="AL226" s="6">
        <v>0.0</v>
      </c>
      <c r="AM226" s="6">
        <v>0.0</v>
      </c>
      <c r="AN226" s="6">
        <v>0.0</v>
      </c>
      <c r="AO226" s="6">
        <v>0.0</v>
      </c>
      <c r="AP226" s="6">
        <v>0.0</v>
      </c>
      <c r="AQ226" s="6">
        <v>0.0</v>
      </c>
      <c r="AR226" s="6">
        <v>0.0</v>
      </c>
      <c r="AS226" s="6">
        <v>0.0</v>
      </c>
      <c r="AT226" s="6">
        <v>0.0</v>
      </c>
      <c r="AU226" s="6">
        <v>0.0</v>
      </c>
      <c r="AV226" s="6">
        <v>0.0</v>
      </c>
      <c r="AW226" s="6">
        <v>0.0</v>
      </c>
      <c r="AX226" s="6">
        <v>0.0</v>
      </c>
      <c r="AY226" s="6">
        <v>0.0</v>
      </c>
      <c r="AZ226" s="6">
        <v>0.0</v>
      </c>
      <c r="BA226" s="6">
        <v>0.0</v>
      </c>
      <c r="BB226" s="6">
        <v>0.0</v>
      </c>
      <c r="BC226" s="6">
        <v>0.0</v>
      </c>
      <c r="BD226" s="6">
        <v>0.0</v>
      </c>
      <c r="BE226" s="6">
        <v>0.0</v>
      </c>
      <c r="BF226" s="6">
        <v>0.0</v>
      </c>
      <c r="BG226" s="6">
        <v>0.0</v>
      </c>
    </row>
    <row r="227" ht="15.75" customHeight="1">
      <c r="A227" s="2">
        <v>51001.0</v>
      </c>
      <c r="B227" s="3" t="s">
        <v>259</v>
      </c>
      <c r="C227" s="4" t="s">
        <v>285</v>
      </c>
      <c r="D227" s="4" t="str">
        <f>IF(Datos_originales!$E227&lt;1000,"Bosque menor a 1000 ha",Datos_originales!$E227)</f>
        <v>Bosque menor a 1000 ha</v>
      </c>
      <c r="E227" s="4">
        <v>0.0</v>
      </c>
      <c r="F227" s="5">
        <f>AVERAGE(Datos_originales!$H309:$J309)</f>
        <v>11598.54</v>
      </c>
      <c r="G227" s="5">
        <f>AVERAGE(Datos_originales!$R309:$T309)</f>
        <v>14565.57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F227" s="4">
        <v>0.0</v>
      </c>
      <c r="AG227" s="4">
        <v>0.0</v>
      </c>
      <c r="AH227" s="6">
        <v>0.0</v>
      </c>
      <c r="AI227" s="6">
        <v>0.0</v>
      </c>
      <c r="AJ227" s="6">
        <v>0.0</v>
      </c>
      <c r="AK227" s="6">
        <v>0.0</v>
      </c>
      <c r="AL227" s="6">
        <v>0.0</v>
      </c>
      <c r="AM227" s="6">
        <v>0.0</v>
      </c>
      <c r="AN227" s="6">
        <v>0.0</v>
      </c>
      <c r="AO227" s="6">
        <v>0.0</v>
      </c>
      <c r="AP227" s="6">
        <v>0.0</v>
      </c>
      <c r="AQ227" s="6">
        <v>0.0</v>
      </c>
      <c r="AR227" s="6">
        <v>0.0</v>
      </c>
      <c r="AS227" s="6">
        <v>0.0</v>
      </c>
      <c r="AT227" s="6">
        <v>0.0</v>
      </c>
      <c r="AU227" s="6">
        <v>0.0</v>
      </c>
      <c r="AV227" s="6">
        <v>0.0</v>
      </c>
      <c r="AW227" s="6">
        <v>0.0</v>
      </c>
      <c r="AX227" s="6">
        <v>0.0</v>
      </c>
      <c r="AY227" s="6">
        <v>0.0</v>
      </c>
      <c r="AZ227" s="6">
        <v>0.0</v>
      </c>
      <c r="BA227" s="6">
        <v>0.0</v>
      </c>
      <c r="BB227" s="6">
        <v>0.0</v>
      </c>
      <c r="BC227" s="6">
        <v>0.0</v>
      </c>
      <c r="BD227" s="6">
        <v>0.0</v>
      </c>
      <c r="BE227" s="6">
        <v>0.0</v>
      </c>
      <c r="BF227" s="6">
        <v>0.0</v>
      </c>
      <c r="BG227" s="6">
        <v>0.0</v>
      </c>
    </row>
    <row r="228" ht="15.75" customHeight="1">
      <c r="A228" s="2">
        <v>51002.0</v>
      </c>
      <c r="B228" s="3" t="s">
        <v>259</v>
      </c>
      <c r="C228" s="4" t="s">
        <v>286</v>
      </c>
      <c r="D228" s="4" t="str">
        <f>IF(Datos_originales!$E228&lt;1000,"Bosque menor a 1000 ha",Datos_originales!$E228)</f>
        <v>Bosque menor a 1000 ha</v>
      </c>
      <c r="E228" s="4">
        <v>0.0</v>
      </c>
      <c r="F228" s="5">
        <f>AVERAGE(Datos_originales!$H310:$J310)</f>
        <v>86.43</v>
      </c>
      <c r="G228" s="5">
        <f>AVERAGE(Datos_originales!$R310:$T310)</f>
        <v>173.91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  <c r="AG228" s="4">
        <v>0.0</v>
      </c>
      <c r="AH228" s="6">
        <v>0.0</v>
      </c>
      <c r="AI228" s="6">
        <v>0.0</v>
      </c>
      <c r="AJ228" s="6">
        <v>0.0</v>
      </c>
      <c r="AK228" s="6">
        <v>0.0</v>
      </c>
      <c r="AL228" s="6">
        <v>0.0</v>
      </c>
      <c r="AM228" s="6">
        <v>0.0</v>
      </c>
      <c r="AN228" s="6">
        <v>0.0</v>
      </c>
      <c r="AO228" s="6">
        <v>0.0</v>
      </c>
      <c r="AP228" s="6">
        <v>0.0</v>
      </c>
      <c r="AQ228" s="6">
        <v>0.0</v>
      </c>
      <c r="AR228" s="6">
        <v>0.0</v>
      </c>
      <c r="AS228" s="6">
        <v>0.0</v>
      </c>
      <c r="AT228" s="6">
        <v>0.0</v>
      </c>
      <c r="AU228" s="6">
        <v>0.0</v>
      </c>
      <c r="AV228" s="6">
        <v>0.0</v>
      </c>
      <c r="AW228" s="6">
        <v>0.0</v>
      </c>
      <c r="AX228" s="6">
        <v>0.0</v>
      </c>
      <c r="AY228" s="6">
        <v>0.0</v>
      </c>
      <c r="AZ228" s="6">
        <v>0.0</v>
      </c>
      <c r="BA228" s="6">
        <v>0.0</v>
      </c>
      <c r="BB228" s="6">
        <v>0.0</v>
      </c>
      <c r="BC228" s="6">
        <v>0.0</v>
      </c>
      <c r="BD228" s="6">
        <v>0.0</v>
      </c>
      <c r="BE228" s="6">
        <v>0.0</v>
      </c>
      <c r="BF228" s="6">
        <v>0.0</v>
      </c>
      <c r="BG228" s="6">
        <v>0.0</v>
      </c>
    </row>
    <row r="229" ht="15.75" customHeight="1">
      <c r="A229" s="2">
        <v>51003.0</v>
      </c>
      <c r="B229" s="3" t="s">
        <v>259</v>
      </c>
      <c r="C229" s="4" t="s">
        <v>287</v>
      </c>
      <c r="D229" s="4" t="str">
        <f>IF(Datos_originales!$E229&lt;1000,"Bosque menor a 1000 ha",Datos_originales!$E229)</f>
        <v>Bosque menor a 1000 ha</v>
      </c>
      <c r="E229" s="4">
        <v>0.0</v>
      </c>
      <c r="F229" s="5">
        <f>AVERAGE(Datos_originales!$H311:$J311)</f>
        <v>534.84</v>
      </c>
      <c r="G229" s="5">
        <f>AVERAGE(Datos_originales!$R311:$T311)</f>
        <v>3359.76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  <c r="AG229" s="4">
        <v>0.0</v>
      </c>
      <c r="AH229" s="6">
        <v>0.0</v>
      </c>
      <c r="AI229" s="6">
        <v>0.0</v>
      </c>
      <c r="AJ229" s="6">
        <v>0.0</v>
      </c>
      <c r="AK229" s="6">
        <v>0.0</v>
      </c>
      <c r="AL229" s="6">
        <v>0.0</v>
      </c>
      <c r="AM229" s="6">
        <v>0.0</v>
      </c>
      <c r="AN229" s="6">
        <v>0.0</v>
      </c>
      <c r="AO229" s="6">
        <v>0.0</v>
      </c>
      <c r="AP229" s="6">
        <v>0.0</v>
      </c>
      <c r="AQ229" s="6">
        <v>0.0</v>
      </c>
      <c r="AR229" s="6">
        <v>0.0</v>
      </c>
      <c r="AS229" s="6">
        <v>0.0</v>
      </c>
      <c r="AT229" s="6">
        <v>0.0</v>
      </c>
      <c r="AU229" s="6">
        <v>0.0</v>
      </c>
      <c r="AV229" s="6">
        <v>0.0</v>
      </c>
      <c r="AW229" s="6">
        <v>0.0</v>
      </c>
      <c r="AX229" s="6">
        <v>0.0</v>
      </c>
      <c r="AY229" s="6">
        <v>0.0</v>
      </c>
      <c r="AZ229" s="6">
        <v>0.0</v>
      </c>
      <c r="BA229" s="6">
        <v>0.0</v>
      </c>
      <c r="BB229" s="6">
        <v>0.0</v>
      </c>
      <c r="BC229" s="6">
        <v>0.0</v>
      </c>
      <c r="BD229" s="6">
        <v>0.0</v>
      </c>
      <c r="BE229" s="6">
        <v>0.0</v>
      </c>
      <c r="BF229" s="6">
        <v>0.0</v>
      </c>
      <c r="BG229" s="6">
        <v>0.0</v>
      </c>
    </row>
    <row r="230" ht="15.75" customHeight="1">
      <c r="A230" s="2">
        <v>51101.0</v>
      </c>
      <c r="B230" s="3" t="s">
        <v>259</v>
      </c>
      <c r="C230" s="4" t="s">
        <v>288</v>
      </c>
      <c r="D230" s="4" t="str">
        <f>IF(Datos_originales!$E230&lt;1000,"Bosque menor a 1000 ha",Datos_originales!$E230)</f>
        <v>Bosque menor a 1000 ha</v>
      </c>
      <c r="E230" s="4">
        <v>54.99</v>
      </c>
      <c r="F230" s="5">
        <f>AVERAGE(Datos_originales!$H23:$J23)</f>
        <v>13.8</v>
      </c>
      <c r="G230" s="5">
        <f>AVERAGE(Datos_originales!$R23:$T23)</f>
        <v>6.48</v>
      </c>
      <c r="H230" s="4">
        <v>0.45</v>
      </c>
      <c r="I230" s="4">
        <v>0.36</v>
      </c>
      <c r="J230" s="4">
        <v>0.18</v>
      </c>
      <c r="K230" s="4">
        <v>0.0</v>
      </c>
      <c r="L230" s="4">
        <v>0.54</v>
      </c>
      <c r="M230" s="4">
        <v>0.09</v>
      </c>
      <c r="N230" s="4">
        <v>0.36</v>
      </c>
      <c r="O230" s="4">
        <v>0.09</v>
      </c>
      <c r="P230" s="4">
        <v>0.0</v>
      </c>
      <c r="Q230" s="4">
        <v>0.0</v>
      </c>
      <c r="R230" s="4">
        <v>0.0</v>
      </c>
      <c r="S230" s="4">
        <v>0.09</v>
      </c>
      <c r="T230" s="4">
        <v>2.88</v>
      </c>
      <c r="U230" s="4">
        <v>0.54</v>
      </c>
      <c r="V230" s="4">
        <v>0.99</v>
      </c>
      <c r="W230" s="4">
        <v>1.8</v>
      </c>
      <c r="X230" s="4">
        <v>0.0</v>
      </c>
      <c r="Y230" s="4">
        <v>0.9</v>
      </c>
      <c r="Z230" s="4">
        <v>0.09</v>
      </c>
      <c r="AA230" s="4">
        <v>0.36</v>
      </c>
      <c r="AB230" s="4">
        <v>0.09</v>
      </c>
      <c r="AC230" s="4">
        <v>0.0</v>
      </c>
      <c r="AD230" s="4">
        <v>0.0</v>
      </c>
      <c r="AE230" s="4">
        <v>0.0</v>
      </c>
      <c r="AF230" s="4">
        <v>0.63</v>
      </c>
      <c r="AG230" s="4">
        <v>6.75</v>
      </c>
      <c r="AH230" s="6">
        <f>Datos_originales!$H23/Datos_originales!$E23</f>
        <v>0.0004022256486</v>
      </c>
      <c r="AI230" s="6">
        <f>Datos_originales!$I23/Datos_originales!$E23</f>
        <v>0.0009050077093</v>
      </c>
      <c r="AJ230" s="6">
        <f>Datos_originales!$J23/Datos_originales!$E23</f>
        <v>0.002547429108</v>
      </c>
      <c r="AK230" s="6">
        <f>Datos_originales!$K23/Datos_originales!$E23</f>
        <v>0.001223436348</v>
      </c>
      <c r="AL230" s="6">
        <f>Datos_originales!$L23/Datos_originales!$E23</f>
        <v>0.0009217671113</v>
      </c>
      <c r="AM230" s="6">
        <f>Datos_originales!$M23/Datos_originales!$E23</f>
        <v>0.002329556881</v>
      </c>
      <c r="AN230" s="6">
        <f>Datos_originales!$N23/Datos_originales!$E23</f>
        <v>0.001550244687</v>
      </c>
      <c r="AO230" s="6">
        <f>Datos_originales!$O23/Datos_originales!$E23</f>
        <v>0.002606087015</v>
      </c>
      <c r="AP230" s="6">
        <f>Datos_originales!$P23/Datos_originales!$E23</f>
        <v>0.0004273647516</v>
      </c>
      <c r="AQ230" s="6">
        <f>Datos_originales!$Q23/Datos_originales!$E23</f>
        <v>0.0002513910304</v>
      </c>
      <c r="AR230" s="6">
        <f>Datos_originales!$R23/Datos_originales!$E23</f>
        <v>0.0001089361132</v>
      </c>
      <c r="AS230" s="6">
        <f>Datos_originales!$S23/Datos_originales!$E23</f>
        <v>0.0003687068445</v>
      </c>
      <c r="AT230" s="6">
        <f>Datos_originales!$T23/Datos_originales!$E23</f>
        <v>0.001332372461</v>
      </c>
      <c r="AU230" s="6">
        <f>Datos_originales!$U23/Datos_originales!$E23</f>
        <v>0.0007541730911</v>
      </c>
      <c r="AV230" s="6">
        <f>Datos_originales!$V23/Datos_originales!$E23</f>
        <v>0.001315613059</v>
      </c>
      <c r="AW230" s="6">
        <f>Datos_originales!$W23/Datos_originales!$E23</f>
        <v>0.009888047194</v>
      </c>
      <c r="AX230" s="6">
        <f>Datos_originales!$X23/Datos_originales!$E23</f>
        <v>0.001449688275</v>
      </c>
      <c r="AY230" s="6">
        <f>Datos_originales!$Y23/Datos_originales!$E23</f>
        <v>0.00115639874</v>
      </c>
      <c r="AZ230" s="6">
        <f>Datos_originales!$Z23/Datos_originales!$E23</f>
        <v>0.002773681035</v>
      </c>
      <c r="BA230" s="6">
        <f>Datos_originales!$AA23/Datos_originales!$E23</f>
        <v>0.001893812429</v>
      </c>
      <c r="BB230" s="6">
        <f>Datos_originales!$AB23/Datos_originales!$E23</f>
        <v>0.003058590869</v>
      </c>
      <c r="BC230" s="6">
        <f>Datos_originales!$AC23/Datos_originales!$E23</f>
        <v>0.0007709324931</v>
      </c>
      <c r="BD230" s="6">
        <f>Datos_originales!$AD23/Datos_originales!$E23</f>
        <v>0.001215056647</v>
      </c>
      <c r="BE230" s="6">
        <f>Datos_originales!$AE23/Datos_originales!$E23</f>
        <v>0.0001508346182</v>
      </c>
      <c r="BF230" s="6">
        <f>Datos_originales!$AF23/Datos_originales!$E23</f>
        <v>0.0005530602668</v>
      </c>
      <c r="BG230" s="6">
        <f>Datos_originales!$AG23/Datos_originales!$E23</f>
        <v>0.003402158611</v>
      </c>
    </row>
    <row r="231" ht="15.75" customHeight="1">
      <c r="A231" s="2">
        <v>51102.0</v>
      </c>
      <c r="B231" s="3" t="s">
        <v>259</v>
      </c>
      <c r="C231" s="4" t="s">
        <v>289</v>
      </c>
      <c r="D231" s="4" t="str">
        <f>IF(Datos_originales!$E231&lt;1000,"Bosque menor a 1000 ha",Datos_originales!$E231)</f>
        <v>Bosque menor a 1000 ha</v>
      </c>
      <c r="E231" s="4">
        <v>42.03</v>
      </c>
      <c r="F231" s="5">
        <f>AVERAGE(Datos_originales!$H11:$J11)</f>
        <v>208.23</v>
      </c>
      <c r="G231" s="5">
        <f>AVERAGE(Datos_originales!$R11:$T11)</f>
        <v>498.54</v>
      </c>
      <c r="H231" s="4">
        <v>0.0</v>
      </c>
      <c r="I231" s="4">
        <v>0.0</v>
      </c>
      <c r="J231" s="4">
        <v>0.54</v>
      </c>
      <c r="K231" s="4">
        <v>0.72</v>
      </c>
      <c r="L231" s="4">
        <v>0.36</v>
      </c>
      <c r="M231" s="4">
        <v>0.18</v>
      </c>
      <c r="N231" s="4">
        <v>0.18</v>
      </c>
      <c r="O231" s="4">
        <v>0.45</v>
      </c>
      <c r="P231" s="4">
        <v>0.09</v>
      </c>
      <c r="Q231" s="4">
        <v>0.45</v>
      </c>
      <c r="R231" s="4">
        <v>0.0</v>
      </c>
      <c r="S231" s="4">
        <v>0.09</v>
      </c>
      <c r="T231" s="4">
        <v>1.35</v>
      </c>
      <c r="U231" s="4">
        <v>0.0</v>
      </c>
      <c r="V231" s="4">
        <v>0.63</v>
      </c>
      <c r="W231" s="4">
        <v>1.62</v>
      </c>
      <c r="X231" s="4">
        <v>1.17</v>
      </c>
      <c r="Y231" s="4">
        <v>1.17</v>
      </c>
      <c r="Z231" s="4">
        <v>0.27</v>
      </c>
      <c r="AA231" s="4">
        <v>0.54</v>
      </c>
      <c r="AB231" s="4">
        <v>0.63</v>
      </c>
      <c r="AC231" s="4">
        <v>0.09</v>
      </c>
      <c r="AD231" s="4">
        <v>1.44</v>
      </c>
      <c r="AE231" s="4">
        <v>0.27</v>
      </c>
      <c r="AF231" s="4">
        <v>0.18</v>
      </c>
      <c r="AG231" s="4">
        <v>20.16</v>
      </c>
      <c r="AH231" s="6">
        <f>Datos_originales!$H11/Datos_originales!$E11</f>
        <v>0.001809682144</v>
      </c>
      <c r="AI231" s="6">
        <f>Datos_originales!$I11/Datos_originales!$E11</f>
        <v>0.002236616898</v>
      </c>
      <c r="AJ231" s="6">
        <f>Datos_originales!$J11/Datos_originales!$E11</f>
        <v>0.001273905855</v>
      </c>
      <c r="AK231" s="6">
        <f>Datos_originales!$K11/Datos_originales!$E11</f>
        <v>0.001061588213</v>
      </c>
      <c r="AL231" s="6">
        <f>Datos_originales!$L11/Datos_originales!$E11</f>
        <v>0.001562105976</v>
      </c>
      <c r="AM231" s="6">
        <f>Datos_originales!$M11/Datos_originales!$E11</f>
        <v>0.001932320494</v>
      </c>
      <c r="AN231" s="6">
        <f>Datos_originales!$N11/Datos_originales!$E11</f>
        <v>0.003233819978</v>
      </c>
      <c r="AO231" s="6">
        <f>Datos_originales!$O11/Datos_originales!$E11</f>
        <v>0.001370483555</v>
      </c>
      <c r="AP231" s="6">
        <f>Datos_originales!$P11/Datos_originales!$E11</f>
        <v>0.003806387772</v>
      </c>
      <c r="AQ231" s="6">
        <f>Datos_originales!$Q11/Datos_originales!$E11</f>
        <v>0.0019169907</v>
      </c>
      <c r="AR231" s="6">
        <f>Datos_originales!$R11/Datos_originales!$E11</f>
        <v>0.001557507038</v>
      </c>
      <c r="AS231" s="6">
        <f>Datos_originales!$S11/Datos_originales!$E11</f>
        <v>0.008745647297</v>
      </c>
      <c r="AT231" s="6">
        <f>Datos_originales!$T11/Datos_originales!$E11</f>
        <v>0.002434371237</v>
      </c>
      <c r="AU231" s="6">
        <f>Datos_originales!$U11/Datos_originales!$E11</f>
        <v>0.002468863273</v>
      </c>
      <c r="AV231" s="6">
        <f>Datos_originales!$V11/Datos_originales!$E11</f>
        <v>0.002901163455</v>
      </c>
      <c r="AW231" s="6">
        <f>Datos_originales!$W11/Datos_originales!$E11</f>
        <v>0.004160506006</v>
      </c>
      <c r="AX231" s="6">
        <f>Datos_originales!$X11/Datos_originales!$E11</f>
        <v>0.001345955885</v>
      </c>
      <c r="AY231" s="6">
        <f>Datos_originales!$Y11/Datos_originales!$E11</f>
        <v>0.001915457721</v>
      </c>
      <c r="AZ231" s="6">
        <f>Datos_originales!$Z11/Datos_originales!$E11</f>
        <v>0.002337793537</v>
      </c>
      <c r="BA231" s="6">
        <f>Datos_originales!$AA11/Datos_originales!$E11</f>
        <v>0.003702145175</v>
      </c>
      <c r="BB231" s="6">
        <f>Datos_originales!$AB11/Datos_originales!$E11</f>
        <v>0.002143105157</v>
      </c>
      <c r="BC231" s="6">
        <f>Datos_originales!$AC11/Datos_originales!$E11</f>
        <v>0.004413447602</v>
      </c>
      <c r="BD231" s="6">
        <f>Datos_originales!$AD11/Datos_originales!$E11</f>
        <v>0.002844443218</v>
      </c>
      <c r="BE231" s="6">
        <f>Datos_originales!$AE11/Datos_originales!$E11</f>
        <v>0.002106313652</v>
      </c>
      <c r="BF231" s="6">
        <f>Datos_originales!$AF11/Datos_originales!$E11</f>
        <v>0.009643206717</v>
      </c>
      <c r="BG231" s="6">
        <f>Datos_originales!$AG11/Datos_originales!$E11</f>
        <v>0.002481893597</v>
      </c>
    </row>
    <row r="232" ht="15.75" customHeight="1">
      <c r="A232" s="2">
        <v>51103.0</v>
      </c>
      <c r="B232" s="3" t="s">
        <v>259</v>
      </c>
      <c r="C232" s="4" t="s">
        <v>290</v>
      </c>
      <c r="D232" s="4" t="str">
        <f>IF(Datos_originales!$E232&lt;1000,"Bosque menor a 1000 ha",Datos_originales!$E232)</f>
        <v>Bosque menor a 1000 ha</v>
      </c>
      <c r="E232" s="4">
        <v>445.41</v>
      </c>
      <c r="F232" s="5">
        <f>AVERAGE(Datos_originales!$H17:$J17)</f>
        <v>468.06</v>
      </c>
      <c r="G232" s="5">
        <f>AVERAGE(Datos_originales!$R17:$T17)</f>
        <v>1836.24</v>
      </c>
      <c r="H232" s="4">
        <v>0.09</v>
      </c>
      <c r="I232" s="4">
        <v>0.18</v>
      </c>
      <c r="J232" s="4">
        <v>0.45</v>
      </c>
      <c r="K232" s="4">
        <v>0.36</v>
      </c>
      <c r="L232" s="4">
        <v>0.45</v>
      </c>
      <c r="M232" s="4">
        <v>0.36</v>
      </c>
      <c r="N232" s="4">
        <v>2.61</v>
      </c>
      <c r="O232" s="4">
        <v>1.44</v>
      </c>
      <c r="P232" s="4">
        <v>0.45</v>
      </c>
      <c r="Q232" s="4">
        <v>0.8099999999999999</v>
      </c>
      <c r="R232" s="4">
        <v>0.0</v>
      </c>
      <c r="S232" s="4">
        <v>0.9</v>
      </c>
      <c r="T232" s="4">
        <v>2.07</v>
      </c>
      <c r="U232" s="4">
        <v>1.62</v>
      </c>
      <c r="V232" s="4">
        <v>1.98</v>
      </c>
      <c r="W232" s="4">
        <v>8.55</v>
      </c>
      <c r="X232" s="4">
        <v>0.45</v>
      </c>
      <c r="Y232" s="4">
        <v>0.63</v>
      </c>
      <c r="Z232" s="4">
        <v>0.63</v>
      </c>
      <c r="AA232" s="4">
        <v>3.33</v>
      </c>
      <c r="AB232" s="4">
        <v>1.8</v>
      </c>
      <c r="AC232" s="4">
        <v>1.26</v>
      </c>
      <c r="AD232" s="4">
        <v>1.98</v>
      </c>
      <c r="AE232" s="4">
        <v>0.09</v>
      </c>
      <c r="AF232" s="4">
        <v>1.98</v>
      </c>
      <c r="AG232" s="4">
        <v>143.82</v>
      </c>
      <c r="AH232" s="6">
        <f>Datos_originales!$H17/Datos_originales!$E17</f>
        <v>0.001432274256</v>
      </c>
      <c r="AI232" s="6">
        <f>Datos_originales!$I17/Datos_originales!$E17</f>
        <v>0.00185302089</v>
      </c>
      <c r="AJ232" s="6">
        <f>Datos_originales!$J17/Datos_originales!$E17</f>
        <v>0.001729593306</v>
      </c>
      <c r="AK232" s="6">
        <f>Datos_originales!$K17/Datos_originales!$E17</f>
        <v>0.0008463146581</v>
      </c>
      <c r="AL232" s="6">
        <f>Datos_originales!$L17/Datos_originales!$E17</f>
        <v>0.001890306306</v>
      </c>
      <c r="AM232" s="6">
        <f>Datos_originales!$M17/Datos_originales!$E17</f>
        <v>0.002266696152</v>
      </c>
      <c r="AN232" s="6">
        <f>Datos_originales!$N17/Datos_originales!$E17</f>
        <v>0.002553086718</v>
      </c>
      <c r="AO232" s="6">
        <f>Datos_originales!$O17/Datos_originales!$E17</f>
        <v>0.002471444514</v>
      </c>
      <c r="AP232" s="6">
        <f>Datos_originales!$P17/Datos_originales!$E17</f>
        <v>0.00213587577</v>
      </c>
      <c r="AQ232" s="6">
        <f>Datos_originales!$Q17/Datos_originales!$E17</f>
        <v>0.00259230069</v>
      </c>
      <c r="AR232" s="6">
        <f>Datos_originales!$R17/Datos_originales!$E17</f>
        <v>0.001950734394</v>
      </c>
      <c r="AS232" s="6">
        <f>Datos_originales!$S17/Datos_originales!$E17</f>
        <v>0.006686303652</v>
      </c>
      <c r="AT232" s="6">
        <f>Datos_originales!$T17/Datos_originales!$E17</f>
        <v>0.01103680456</v>
      </c>
      <c r="AU232" s="6">
        <f>Datos_originales!$U17/Datos_originales!$E17</f>
        <v>0.00154927332</v>
      </c>
      <c r="AV232" s="6">
        <f>Datos_originales!$V17/Datos_originales!$E17</f>
        <v>0.001945591578</v>
      </c>
      <c r="AW232" s="6">
        <f>Datos_originales!$W17/Datos_originales!$E17</f>
        <v>0.001966162842</v>
      </c>
      <c r="AX232" s="6">
        <f>Datos_originales!$X17/Datos_originales!$E17</f>
        <v>0.0009250640281</v>
      </c>
      <c r="AY232" s="6">
        <f>Datos_originales!$Y17/Datos_originales!$E17</f>
        <v>0.001925984592</v>
      </c>
      <c r="AZ232" s="6">
        <f>Datos_originales!$Z17/Datos_originales!$E17</f>
        <v>0.002310731514</v>
      </c>
      <c r="BA232" s="6">
        <f>Datos_originales!$AA17/Datos_originales!$E17</f>
        <v>0.002631193236</v>
      </c>
      <c r="BB232" s="6">
        <f>Datos_originales!$AB17/Datos_originales!$E17</f>
        <v>0.002645014554</v>
      </c>
      <c r="BC232" s="6">
        <f>Datos_originales!$AC17/Datos_originales!$E17</f>
        <v>0.00220016097</v>
      </c>
      <c r="BD232" s="6">
        <f>Datos_originales!$AD17/Datos_originales!$E17</f>
        <v>0.00273051387</v>
      </c>
      <c r="BE232" s="6">
        <f>Datos_originales!$AE17/Datos_originales!$E17</f>
        <v>0.002042983656</v>
      </c>
      <c r="BF232" s="6">
        <f>Datos_originales!$AF17/Datos_originales!$E17</f>
        <v>0.006861802248</v>
      </c>
      <c r="BG232" s="6">
        <f>Datos_originales!$AG17/Datos_originales!$E17</f>
        <v>0.01142958713</v>
      </c>
    </row>
    <row r="233" ht="15.75" customHeight="1">
      <c r="A233" s="2">
        <v>51201.0</v>
      </c>
      <c r="B233" s="3" t="s">
        <v>259</v>
      </c>
      <c r="C233" s="4" t="s">
        <v>291</v>
      </c>
      <c r="D233" s="4" t="str">
        <f>IF(Datos_originales!$E233&lt;1000,"Bosque menor a 1000 ha",Datos_originales!$E233)</f>
        <v>Bosque menor a 1000 ha</v>
      </c>
      <c r="E233" s="4">
        <v>0.0</v>
      </c>
      <c r="F233" s="5">
        <f>AVERAGE(Datos_originales!$H312:$J312)</f>
        <v>2381.4</v>
      </c>
      <c r="G233" s="5">
        <f>AVERAGE(Datos_originales!$R312:$T312)</f>
        <v>1482.36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  <c r="AG233" s="4">
        <v>0.0</v>
      </c>
      <c r="AH233" s="6">
        <v>0.0</v>
      </c>
      <c r="AI233" s="6">
        <v>0.0</v>
      </c>
      <c r="AJ233" s="6">
        <v>0.0</v>
      </c>
      <c r="AK233" s="6">
        <v>0.0</v>
      </c>
      <c r="AL233" s="6">
        <v>0.0</v>
      </c>
      <c r="AM233" s="6">
        <v>0.0</v>
      </c>
      <c r="AN233" s="6">
        <v>0.0</v>
      </c>
      <c r="AO233" s="6">
        <v>0.0</v>
      </c>
      <c r="AP233" s="6">
        <v>0.0</v>
      </c>
      <c r="AQ233" s="6">
        <v>0.0</v>
      </c>
      <c r="AR233" s="6">
        <v>0.0</v>
      </c>
      <c r="AS233" s="6">
        <v>0.0</v>
      </c>
      <c r="AT233" s="6">
        <v>0.0</v>
      </c>
      <c r="AU233" s="6">
        <v>0.0</v>
      </c>
      <c r="AV233" s="6">
        <v>0.0</v>
      </c>
      <c r="AW233" s="6">
        <v>0.0</v>
      </c>
      <c r="AX233" s="6">
        <v>0.0</v>
      </c>
      <c r="AY233" s="6">
        <v>0.0</v>
      </c>
      <c r="AZ233" s="6">
        <v>0.0</v>
      </c>
      <c r="BA233" s="6">
        <v>0.0</v>
      </c>
      <c r="BB233" s="6">
        <v>0.0</v>
      </c>
      <c r="BC233" s="6">
        <v>0.0</v>
      </c>
      <c r="BD233" s="6">
        <v>0.0</v>
      </c>
      <c r="BE233" s="6">
        <v>0.0</v>
      </c>
      <c r="BF233" s="6">
        <v>0.0</v>
      </c>
      <c r="BG233" s="6">
        <v>0.0</v>
      </c>
    </row>
    <row r="234" ht="15.75" customHeight="1">
      <c r="A234" s="2">
        <v>51202.0</v>
      </c>
      <c r="B234" s="3" t="s">
        <v>259</v>
      </c>
      <c r="C234" s="4" t="s">
        <v>292</v>
      </c>
      <c r="D234" s="4" t="str">
        <f>IF(Datos_originales!$E234&lt;1000,"Bosque menor a 1000 ha",Datos_originales!$E234)</f>
        <v>Bosque menor a 1000 ha</v>
      </c>
      <c r="E234" s="4">
        <v>2.16</v>
      </c>
      <c r="F234" s="5">
        <f>AVERAGE(Datos_originales!$H9:$J9)</f>
        <v>1.38</v>
      </c>
      <c r="G234" s="5">
        <f>AVERAGE(Datos_originales!$R9:$T9)</f>
        <v>33.69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0.27</v>
      </c>
      <c r="V234" s="4">
        <v>0.09</v>
      </c>
      <c r="W234" s="4">
        <v>0.0</v>
      </c>
      <c r="X234" s="4">
        <v>0.0</v>
      </c>
      <c r="Y234" s="4">
        <v>0.0</v>
      </c>
      <c r="Z234" s="4">
        <v>0.0</v>
      </c>
      <c r="AA234" s="4">
        <v>0.09</v>
      </c>
      <c r="AB234" s="4">
        <v>0.0</v>
      </c>
      <c r="AC234" s="4">
        <v>0.0</v>
      </c>
      <c r="AD234" s="4">
        <v>0.0</v>
      </c>
      <c r="AE234" s="4">
        <v>0.0</v>
      </c>
      <c r="AF234" s="4">
        <v>0.0</v>
      </c>
      <c r="AG234" s="4">
        <v>1.17</v>
      </c>
      <c r="AH234" s="6">
        <f>Datos_originales!$H9/Datos_originales!$E9</f>
        <v>0.00002338770976</v>
      </c>
      <c r="AI234" s="6">
        <f>Datos_originales!$I9/Datos_originales!$E9</f>
        <v>0.000073086593</v>
      </c>
      <c r="AJ234" s="6">
        <f>Datos_originales!$J9/Datos_originales!$E9</f>
        <v>0.00003800502836</v>
      </c>
      <c r="AK234" s="6">
        <f>Datos_originales!$K9/Datos_originales!$E9</f>
        <v>0.00001754078232</v>
      </c>
      <c r="AL234" s="6">
        <f>Datos_originales!$L9/Datos_originales!$E9</f>
        <v>0.00007016312928</v>
      </c>
      <c r="AM234" s="6">
        <f>Datos_originales!$M9/Datos_originales!$E9</f>
        <v>0.00004677541952</v>
      </c>
      <c r="AN234" s="6">
        <f>Datos_originales!$N9/Datos_originales!$E9</f>
        <v>0.00006139273812</v>
      </c>
      <c r="AO234" s="6">
        <f>Datos_originales!$O9/Datos_originales!$E9</f>
        <v>0.00006431620184</v>
      </c>
      <c r="AP234" s="6">
        <f>Datos_originales!$P9/Datos_originales!$E9</f>
        <v>0.00003508156464</v>
      </c>
      <c r="AQ234" s="6">
        <f>Datos_originales!$Q9/Datos_originales!$E9</f>
        <v>0</v>
      </c>
      <c r="AR234" s="6">
        <f>Datos_originales!$R9/Datos_originales!$E9</f>
        <v>0.0009091972169</v>
      </c>
      <c r="AS234" s="6">
        <f>Datos_originales!$S9/Datos_originales!$E9</f>
        <v>0.001236625153</v>
      </c>
      <c r="AT234" s="6">
        <f>Datos_originales!$T9/Datos_originales!$E9</f>
        <v>0.001137227387</v>
      </c>
      <c r="AU234" s="6">
        <f>Datos_originales!$U9/Datos_originales!$E9</f>
        <v>0.0005437642519</v>
      </c>
      <c r="AV234" s="6">
        <f>Datos_originales!$V9/Datos_originales!$E9</f>
        <v>0.0005554581068</v>
      </c>
      <c r="AW234" s="6">
        <f>Datos_originales!$W9/Datos_originales!$E9</f>
        <v>0.009211834181</v>
      </c>
      <c r="AX234" s="6">
        <f>Datos_originales!$X9/Datos_originales!$E9</f>
        <v>0.0003245044729</v>
      </c>
      <c r="AY234" s="6">
        <f>Datos_originales!$Y9/Datos_originales!$E9</f>
        <v>0.001023212302</v>
      </c>
      <c r="AZ234" s="6">
        <f>Datos_originales!$Z9/Datos_originales!$E9</f>
        <v>0.0004268257031</v>
      </c>
      <c r="BA234" s="6">
        <f>Datos_originales!$AA9/Datos_originales!$E9</f>
        <v>0.001169385488</v>
      </c>
      <c r="BB234" s="6">
        <f>Datos_originales!$AB9/Datos_originales!$E9</f>
        <v>0.001882710636</v>
      </c>
      <c r="BC234" s="6">
        <f>Datos_originales!$AC9/Datos_originales!$E9</f>
        <v>0.00492018944</v>
      </c>
      <c r="BD234" s="6">
        <f>Datos_originales!$AD9/Datos_originales!$E9</f>
        <v>0.000008770391159</v>
      </c>
      <c r="BE234" s="6">
        <f>Datos_originales!$AE9/Datos_originales!$E9</f>
        <v>0.001757001696</v>
      </c>
      <c r="BF234" s="6">
        <f>Datos_originales!$AF9/Datos_originales!$E9</f>
        <v>0.003791732445</v>
      </c>
      <c r="BG234" s="6">
        <f>Datos_originales!$AG9/Datos_originales!$E9</f>
        <v>0.001192773198</v>
      </c>
    </row>
    <row r="235" ht="15.75" customHeight="1">
      <c r="A235" s="2">
        <v>51203.0</v>
      </c>
      <c r="B235" s="3" t="s">
        <v>259</v>
      </c>
      <c r="C235" s="4" t="s">
        <v>293</v>
      </c>
      <c r="D235" s="4" t="str">
        <f>IF(Datos_originales!$E235&lt;1000,"Bosque menor a 1000 ha",Datos_originales!$E235)</f>
        <v>Bosque menor a 1000 ha</v>
      </c>
      <c r="E235" s="4">
        <v>0.0</v>
      </c>
      <c r="F235" s="5">
        <f>AVERAGE(Datos_originales!$H313:$J313)</f>
        <v>3076.56</v>
      </c>
      <c r="G235" s="5">
        <f>AVERAGE(Datos_originales!$R313:$T313)</f>
        <v>945.78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  <c r="AG235" s="4">
        <v>0.0</v>
      </c>
      <c r="AH235" s="6">
        <v>0.0</v>
      </c>
      <c r="AI235" s="6">
        <v>0.0</v>
      </c>
      <c r="AJ235" s="6">
        <v>0.0</v>
      </c>
      <c r="AK235" s="6">
        <v>0.0</v>
      </c>
      <c r="AL235" s="6">
        <v>0.0</v>
      </c>
      <c r="AM235" s="6">
        <v>0.0</v>
      </c>
      <c r="AN235" s="6">
        <v>0.0</v>
      </c>
      <c r="AO235" s="6">
        <v>0.0</v>
      </c>
      <c r="AP235" s="6">
        <v>0.0</v>
      </c>
      <c r="AQ235" s="6">
        <v>0.0</v>
      </c>
      <c r="AR235" s="6">
        <v>0.0</v>
      </c>
      <c r="AS235" s="6">
        <v>0.0</v>
      </c>
      <c r="AT235" s="6">
        <v>0.0</v>
      </c>
      <c r="AU235" s="6">
        <v>0.0</v>
      </c>
      <c r="AV235" s="6">
        <v>0.0</v>
      </c>
      <c r="AW235" s="6">
        <v>0.0</v>
      </c>
      <c r="AX235" s="6">
        <v>0.0</v>
      </c>
      <c r="AY235" s="6">
        <v>0.0</v>
      </c>
      <c r="AZ235" s="6">
        <v>0.0</v>
      </c>
      <c r="BA235" s="6">
        <v>0.0</v>
      </c>
      <c r="BB235" s="6">
        <v>0.0</v>
      </c>
      <c r="BC235" s="6">
        <v>0.0</v>
      </c>
      <c r="BD235" s="6">
        <v>0.0</v>
      </c>
      <c r="BE235" s="6">
        <v>0.0</v>
      </c>
      <c r="BF235" s="6">
        <v>0.0</v>
      </c>
      <c r="BG235" s="6">
        <v>0.0</v>
      </c>
    </row>
    <row r="236" ht="15.75" customHeight="1">
      <c r="A236" s="2">
        <v>51204.0</v>
      </c>
      <c r="B236" s="3" t="s">
        <v>259</v>
      </c>
      <c r="C236" s="4" t="s">
        <v>294</v>
      </c>
      <c r="D236" s="4" t="str">
        <f>IF(Datos_originales!$E236&lt;1000,"Bosque menor a 1000 ha",Datos_originales!$E236)</f>
        <v>Bosque menor a 1000 ha</v>
      </c>
      <c r="E236" s="4">
        <v>0.54</v>
      </c>
      <c r="F236" s="5">
        <f>AVERAGE(Datos_originales!$H2:$J2)</f>
        <v>1.83</v>
      </c>
      <c r="G236" s="5">
        <f>AVERAGE(Datos_originales!$R2:$T2)</f>
        <v>16.32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0.36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  <c r="AG236" s="4">
        <v>0.54</v>
      </c>
      <c r="AH236" s="6">
        <f>Datos_originales!$H2/Datos_originales!$E2</f>
        <v>0.0000402446877</v>
      </c>
      <c r="AI236" s="6">
        <f>Datos_originales!$I2/Datos_originales!$E2</f>
        <v>0.0001106728912</v>
      </c>
      <c r="AJ236" s="6">
        <f>Datos_originales!$J2/Datos_originales!$E2</f>
        <v>0.0001559481648</v>
      </c>
      <c r="AK236" s="6">
        <f>Datos_originales!$K2/Datos_originales!$E2</f>
        <v>0.00007042820348</v>
      </c>
      <c r="AL236" s="6">
        <f>Datos_originales!$L2/Datos_originales!$E2</f>
        <v>0.0001760705087</v>
      </c>
      <c r="AM236" s="6">
        <f>Datos_originales!$M2/Datos_originales!$E2</f>
        <v>0.0001509175789</v>
      </c>
      <c r="AN236" s="6">
        <f>Datos_originales!$N2/Datos_originales!$E2</f>
        <v>0.00006036703155</v>
      </c>
      <c r="AO236" s="6">
        <f>Datos_originales!$O2/Datos_originales!$E2</f>
        <v>0.00002515292981</v>
      </c>
      <c r="AP236" s="6">
        <f>Datos_originales!$P2/Datos_originales!$E2</f>
        <v>0.0001006117193</v>
      </c>
      <c r="AQ236" s="6">
        <f>Datos_originales!$Q2/Datos_originales!$E2</f>
        <v>0.0000402446877</v>
      </c>
      <c r="AR236" s="6">
        <f>Datos_originales!$R2/Datos_originales!$E2</f>
        <v>0.000005030585963</v>
      </c>
      <c r="AS236" s="6">
        <f>Datos_originales!$S2/Datos_originales!$E2</f>
        <v>0.001609787508</v>
      </c>
      <c r="AT236" s="6">
        <f>Datos_originales!$T2/Datos_originales!$E2</f>
        <v>0.00112182067</v>
      </c>
      <c r="AU236" s="6">
        <f>Datos_originales!$U2/Datos_originales!$E2</f>
        <v>0.00193174501</v>
      </c>
      <c r="AV236" s="6">
        <f>Datos_originales!$V2/Datos_originales!$E2</f>
        <v>0.001091637154</v>
      </c>
      <c r="AW236" s="6">
        <f>Datos_originales!$W2/Datos_originales!$E2</f>
        <v>0.01306443175</v>
      </c>
      <c r="AX236" s="6">
        <f>Datos_originales!$X2/Datos_originales!$E2</f>
        <v>0.0003118963297</v>
      </c>
      <c r="AY236" s="6">
        <f>Datos_originales!$Y2/Datos_originales!$E2</f>
        <v>0.000402446877</v>
      </c>
      <c r="AZ236" s="6">
        <f>Datos_originales!$Z2/Datos_originales!$E2</f>
        <v>0.0006539761751</v>
      </c>
      <c r="BA236" s="6">
        <f>Datos_originales!$AA2/Datos_originales!$E2</f>
        <v>0.000804893754</v>
      </c>
      <c r="BB236" s="6">
        <f>Datos_originales!$AB2/Datos_originales!$E2</f>
        <v>0.0004275998068</v>
      </c>
      <c r="BC236" s="6">
        <f>Datos_originales!$AC2/Datos_originales!$E2</f>
        <v>0.002304008371</v>
      </c>
      <c r="BD236" s="6">
        <f>Datos_originales!$AD2/Datos_originales!$E2</f>
        <v>0.0002163151964</v>
      </c>
      <c r="BE236" s="6">
        <f>Datos_originales!$AE2/Datos_originales!$E2</f>
        <v>0.00006036703155</v>
      </c>
      <c r="BF236" s="6">
        <f>Datos_originales!$AF2/Datos_originales!$E2</f>
        <v>0.002495170637</v>
      </c>
      <c r="BG236" s="6">
        <f>Datos_originales!$AG2/Datos_originales!$E2</f>
        <v>0.02948929491</v>
      </c>
    </row>
    <row r="237" ht="15.75" customHeight="1">
      <c r="A237" s="2">
        <v>51301.0</v>
      </c>
      <c r="B237" s="3" t="s">
        <v>259</v>
      </c>
      <c r="C237" s="4" t="s">
        <v>295</v>
      </c>
      <c r="D237" s="4" t="str">
        <f>IF(Datos_originales!$E237&lt;1000,"Bosque menor a 1000 ha",Datos_originales!$E237)</f>
        <v>Bosque menor a 1000 ha</v>
      </c>
      <c r="E237" s="4">
        <v>561.78</v>
      </c>
      <c r="F237" s="5">
        <f>AVERAGE(Datos_originales!$H342:$J342)</f>
        <v>185.01</v>
      </c>
      <c r="G237" s="5">
        <f>AVERAGE(Datos_originales!$R342:$T342)</f>
        <v>109.14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0.09</v>
      </c>
      <c r="T237" s="4">
        <v>0.0</v>
      </c>
      <c r="U237" s="4">
        <v>0.81</v>
      </c>
      <c r="V237" s="4">
        <v>0.27</v>
      </c>
      <c r="W237" s="4">
        <v>14.31</v>
      </c>
      <c r="X237" s="4">
        <v>1.62</v>
      </c>
      <c r="Y237" s="4">
        <v>1.26</v>
      </c>
      <c r="Z237" s="4">
        <v>8.1</v>
      </c>
      <c r="AA237" s="4">
        <v>5.94</v>
      </c>
      <c r="AB237" s="4">
        <v>18.9</v>
      </c>
      <c r="AC237" s="4">
        <v>10.17</v>
      </c>
      <c r="AD237" s="4">
        <v>0.0</v>
      </c>
      <c r="AE237" s="4">
        <v>0.0</v>
      </c>
      <c r="AF237" s="4">
        <v>0.81</v>
      </c>
      <c r="AG237" s="4">
        <v>0.0</v>
      </c>
      <c r="AH237" s="6">
        <f>Datos_originales!$H342/Datos_originales!$E342</f>
        <v>0.0003833700583</v>
      </c>
      <c r="AI237" s="6">
        <f>Datos_originales!$I342/Datos_originales!$E342</f>
        <v>0.0003630739964</v>
      </c>
      <c r="AJ237" s="6">
        <f>Datos_originales!$J342/Datos_originales!$E342</f>
        <v>0.0007988129059</v>
      </c>
      <c r="AK237" s="6">
        <f>Datos_originales!$K342/Datos_originales!$E342</f>
        <v>0.0005915926194</v>
      </c>
      <c r="AL237" s="6">
        <f>Datos_originales!$L342/Datos_originales!$E342</f>
        <v>0.0008353959311</v>
      </c>
      <c r="AM237" s="6">
        <f>Datos_originales!$M342/Datos_originales!$E342</f>
        <v>0.0008110907705</v>
      </c>
      <c r="AN237" s="6">
        <f>Datos_originales!$N342/Datos_originales!$E342</f>
        <v>0.0006534830798</v>
      </c>
      <c r="AO237" s="6">
        <f>Datos_originales!$O342/Datos_originales!$E342</f>
        <v>0.0005074015478</v>
      </c>
      <c r="AP237" s="6">
        <f>Datos_originales!$P342/Datos_originales!$E342</f>
        <v>0.0004116843176</v>
      </c>
      <c r="AQ237" s="6">
        <f>Datos_originales!$Q342/Datos_originales!$E342</f>
        <v>0.0006386995286</v>
      </c>
      <c r="AR237" s="6">
        <f>Datos_originales!$R342/Datos_originales!$E342</f>
        <v>0.00009671950492</v>
      </c>
      <c r="AS237" s="6">
        <f>Datos_originales!$S342/Datos_originales!$E342</f>
        <v>0.0004848503679</v>
      </c>
      <c r="AT237" s="6">
        <f>Datos_originales!$T342/Datos_originales!$E342</f>
        <v>0.0003299989326</v>
      </c>
      <c r="AU237" s="6">
        <f>Datos_originales!$U342/Datos_originales!$E342</f>
        <v>0.0005429822983</v>
      </c>
      <c r="AV237" s="6">
        <f>Datos_originales!$V342/Datos_originales!$E342</f>
        <v>0.0005006361938</v>
      </c>
      <c r="AW237" s="6">
        <f>Datos_originales!$W342/Datos_originales!$E342</f>
        <v>0.003083748567</v>
      </c>
      <c r="AX237" s="6">
        <f>Datos_originales!$X342/Datos_originales!$E342</f>
        <v>0.001172410786</v>
      </c>
      <c r="AY237" s="6">
        <f>Datos_originales!$Y342/Datos_originales!$E342</f>
        <v>0.001213504047</v>
      </c>
      <c r="AZ237" s="6">
        <f>Datos_originales!$Z342/Datos_originales!$E342</f>
        <v>0.0009408853393</v>
      </c>
      <c r="BA237" s="6">
        <f>Datos_originales!$AA342/Datos_originales!$E342</f>
        <v>0.0008211135171</v>
      </c>
      <c r="BB237" s="6">
        <f>Datos_originales!$AB342/Datos_originales!$E342</f>
        <v>0.0006467177259</v>
      </c>
      <c r="BC237" s="6">
        <f>Datos_originales!$AC342/Datos_originales!$E342</f>
        <v>0.0005116612151</v>
      </c>
      <c r="BD237" s="6">
        <f>Datos_originales!$AD342/Datos_originales!$E342</f>
        <v>0.0006589955905</v>
      </c>
      <c r="BE237" s="6">
        <f>Datos_originales!$AE342/Datos_originales!$E342</f>
        <v>0.0001099996442</v>
      </c>
      <c r="BF237" s="6">
        <f>Datos_originales!$AF342/Datos_originales!$E342</f>
        <v>0.0006399523719</v>
      </c>
      <c r="BG237" s="6">
        <f>Datos_originales!$AG342/Datos_originales!$E342</f>
        <v>0.0006462165885</v>
      </c>
    </row>
    <row r="238" ht="15.75" customHeight="1">
      <c r="A238" s="2">
        <v>51302.0</v>
      </c>
      <c r="B238" s="3" t="s">
        <v>259</v>
      </c>
      <c r="C238" s="4" t="s">
        <v>296</v>
      </c>
      <c r="D238" s="4" t="str">
        <f>IF(Datos_originales!$E238&lt;1000,"Bosque menor a 1000 ha",Datos_originales!$E238)</f>
        <v>Bosque menor a 1000 ha</v>
      </c>
      <c r="E238" s="4">
        <v>749.16</v>
      </c>
      <c r="F238" s="5">
        <f>AVERAGE(Datos_originales!$H343:$J343)</f>
        <v>127.68</v>
      </c>
      <c r="G238" s="5">
        <f>AVERAGE(Datos_originales!$R343:$T343)</f>
        <v>125.07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0.63</v>
      </c>
      <c r="O238" s="4">
        <v>0.0</v>
      </c>
      <c r="P238" s="4">
        <v>0.09</v>
      </c>
      <c r="Q238" s="4">
        <v>0.0</v>
      </c>
      <c r="R238" s="4">
        <v>0.0</v>
      </c>
      <c r="S238" s="4">
        <v>0.8999999999999999</v>
      </c>
      <c r="T238" s="4">
        <v>0.0</v>
      </c>
      <c r="U238" s="4">
        <v>5.58</v>
      </c>
      <c r="V238" s="4">
        <v>2.16</v>
      </c>
      <c r="W238" s="4">
        <v>16.29</v>
      </c>
      <c r="X238" s="4">
        <v>8.370000000000001</v>
      </c>
      <c r="Y238" s="4">
        <v>2.79</v>
      </c>
      <c r="Z238" s="4">
        <v>6.21</v>
      </c>
      <c r="AA238" s="4">
        <v>18.81</v>
      </c>
      <c r="AB238" s="4">
        <v>63.9</v>
      </c>
      <c r="AC238" s="4">
        <v>30.69</v>
      </c>
      <c r="AD238" s="4">
        <v>0.09</v>
      </c>
      <c r="AE238" s="4">
        <v>1.53</v>
      </c>
      <c r="AF238" s="4">
        <v>6.390000000000001</v>
      </c>
      <c r="AG238" s="4">
        <v>0.0</v>
      </c>
      <c r="AH238" s="6">
        <f>Datos_originales!$H343/Datos_originales!$E343</f>
        <v>0.0004776449631</v>
      </c>
      <c r="AI238" s="6">
        <f>Datos_originales!$I343/Datos_originales!$E343</f>
        <v>0.0004499554</v>
      </c>
      <c r="AJ238" s="6">
        <f>Datos_originales!$J343/Datos_originales!$E343</f>
        <v>0.0004753374995</v>
      </c>
      <c r="AK238" s="6">
        <f>Datos_originales!$K343/Datos_originales!$E343</f>
        <v>0.001323495188</v>
      </c>
      <c r="AL238" s="6">
        <f>Datos_originales!$L343/Datos_originales!$E343</f>
        <v>0.001008031951</v>
      </c>
      <c r="AM238" s="6">
        <f>Datos_originales!$M343/Datos_originales!$E343</f>
        <v>0.0007423440006</v>
      </c>
      <c r="AN238" s="6">
        <f>Datos_originales!$N343/Datos_originales!$E343</f>
        <v>0.0005758769845</v>
      </c>
      <c r="AO238" s="6">
        <f>Datos_originales!$O343/Datos_originales!$E343</f>
        <v>0.0006582863984</v>
      </c>
      <c r="AP238" s="6">
        <f>Datos_originales!$P343/Datos_originales!$E343</f>
        <v>0.0009552899262</v>
      </c>
      <c r="AQ238" s="6">
        <f>Datos_originales!$Q343/Datos_originales!$E343</f>
        <v>0.001150105781</v>
      </c>
      <c r="AR238" s="6">
        <f>Datos_originales!$R343/Datos_originales!$E343</f>
        <v>0.0001621817266</v>
      </c>
      <c r="AS238" s="6">
        <f>Datos_originales!$S343/Datos_originales!$E343</f>
        <v>0.0009981428214</v>
      </c>
      <c r="AT238" s="6">
        <f>Datos_originales!$T343/Datos_originales!$E343</f>
        <v>0.0002139348385</v>
      </c>
      <c r="AU238" s="6">
        <f>Datos_originales!$U343/Datos_originales!$E343</f>
        <v>0.001529518722</v>
      </c>
      <c r="AV238" s="6">
        <f>Datos_originales!$V343/Datos_originales!$E343</f>
        <v>0.000900899713</v>
      </c>
      <c r="AW238" s="6">
        <f>Datos_originales!$W343/Datos_originales!$E343</f>
        <v>0.001865749131</v>
      </c>
      <c r="AX238" s="6">
        <f>Datos_originales!$X343/Datos_originales!$E343</f>
        <v>0.001812018193</v>
      </c>
      <c r="AY238" s="6">
        <f>Datos_originales!$Y343/Datos_originales!$E343</f>
        <v>0.001605665021</v>
      </c>
      <c r="AZ238" s="6">
        <f>Datos_originales!$Z343/Datos_originales!$E343</f>
        <v>0.001136260999</v>
      </c>
      <c r="BA238" s="6">
        <f>Datos_originales!$AA343/Datos_originales!$E343</f>
        <v>0.0009101295674</v>
      </c>
      <c r="BB238" s="6">
        <f>Datos_originales!$AB343/Datos_originales!$E343</f>
        <v>0.000900899713</v>
      </c>
      <c r="BC238" s="6">
        <f>Datos_originales!$AC343/Datos_originales!$E343</f>
        <v>0.001426671774</v>
      </c>
      <c r="BD238" s="6">
        <f>Datos_originales!$AD343/Datos_originales!$E343</f>
        <v>0.001293498161</v>
      </c>
      <c r="BE238" s="6">
        <f>Datos_originales!$AE343/Datos_originales!$E343</f>
        <v>0.0003250227285</v>
      </c>
      <c r="BF238" s="6">
        <f>Datos_originales!$AF343/Datos_originales!$E343</f>
        <v>0.001792899209</v>
      </c>
      <c r="BG238" s="6">
        <f>Datos_originales!$AG343/Datos_originales!$E343</f>
        <v>0.0005455503202</v>
      </c>
    </row>
    <row r="239" ht="15.75" customHeight="1">
      <c r="A239" s="2">
        <v>51401.0</v>
      </c>
      <c r="B239" s="3" t="s">
        <v>259</v>
      </c>
      <c r="C239" s="4" t="s">
        <v>297</v>
      </c>
      <c r="D239" s="4" t="str">
        <f>IF(Datos_originales!$E239&lt;1000,"Bosque menor a 1000 ha",Datos_originales!$E239)</f>
        <v>Bosque menor a 1000 ha</v>
      </c>
      <c r="E239" s="4">
        <v>0.0</v>
      </c>
      <c r="F239" s="5">
        <f>AVERAGE(Datos_originales!$H314:$J314)</f>
        <v>541.32</v>
      </c>
      <c r="G239" s="5">
        <f>AVERAGE(Datos_originales!$R314:$T314)</f>
        <v>938.04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  <c r="AG239" s="4">
        <v>0.0</v>
      </c>
      <c r="AH239" s="6">
        <v>0.0</v>
      </c>
      <c r="AI239" s="6">
        <v>0.0</v>
      </c>
      <c r="AJ239" s="6">
        <v>0.0</v>
      </c>
      <c r="AK239" s="6">
        <v>0.0</v>
      </c>
      <c r="AL239" s="6">
        <v>0.0</v>
      </c>
      <c r="AM239" s="6">
        <v>0.0</v>
      </c>
      <c r="AN239" s="6">
        <v>0.0</v>
      </c>
      <c r="AO239" s="6">
        <v>0.0</v>
      </c>
      <c r="AP239" s="6">
        <v>0.0</v>
      </c>
      <c r="AQ239" s="6">
        <v>0.0</v>
      </c>
      <c r="AR239" s="6">
        <v>0.0</v>
      </c>
      <c r="AS239" s="6">
        <v>0.0</v>
      </c>
      <c r="AT239" s="6">
        <v>0.0</v>
      </c>
      <c r="AU239" s="6">
        <v>0.0</v>
      </c>
      <c r="AV239" s="6">
        <v>0.0</v>
      </c>
      <c r="AW239" s="6">
        <v>0.0</v>
      </c>
      <c r="AX239" s="6">
        <v>0.0</v>
      </c>
      <c r="AY239" s="6">
        <v>0.0</v>
      </c>
      <c r="AZ239" s="6">
        <v>0.0</v>
      </c>
      <c r="BA239" s="6">
        <v>0.0</v>
      </c>
      <c r="BB239" s="6">
        <v>0.0</v>
      </c>
      <c r="BC239" s="6">
        <v>0.0</v>
      </c>
      <c r="BD239" s="6">
        <v>0.0</v>
      </c>
      <c r="BE239" s="6">
        <v>0.0</v>
      </c>
      <c r="BF239" s="6">
        <v>0.0</v>
      </c>
      <c r="BG239" s="6">
        <v>0.0</v>
      </c>
    </row>
    <row r="240" ht="15.75" customHeight="1">
      <c r="A240" s="2">
        <v>51402.0</v>
      </c>
      <c r="B240" s="3" t="s">
        <v>259</v>
      </c>
      <c r="C240" s="4" t="s">
        <v>298</v>
      </c>
      <c r="D240" s="4" t="str">
        <f>IF(Datos_originales!$E240&lt;1000,"Bosque menor a 1000 ha",Datos_originales!$E240)</f>
        <v>Bosque menor a 1000 ha</v>
      </c>
      <c r="E240" s="4">
        <v>0.0</v>
      </c>
      <c r="F240" s="5">
        <f>AVERAGE(Datos_originales!$H315:$J315)</f>
        <v>2918.52</v>
      </c>
      <c r="G240" s="5">
        <f>AVERAGE(Datos_originales!$R315:$T315)</f>
        <v>2424.84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  <c r="AG240" s="4">
        <v>0.0</v>
      </c>
      <c r="AH240" s="6">
        <v>0.0</v>
      </c>
      <c r="AI240" s="6">
        <v>0.0</v>
      </c>
      <c r="AJ240" s="6">
        <v>0.0</v>
      </c>
      <c r="AK240" s="6">
        <v>0.0</v>
      </c>
      <c r="AL240" s="6">
        <v>0.0</v>
      </c>
      <c r="AM240" s="6">
        <v>0.0</v>
      </c>
      <c r="AN240" s="6">
        <v>0.0</v>
      </c>
      <c r="AO240" s="6">
        <v>0.0</v>
      </c>
      <c r="AP240" s="6">
        <v>0.0</v>
      </c>
      <c r="AQ240" s="6">
        <v>0.0</v>
      </c>
      <c r="AR240" s="6">
        <v>0.0</v>
      </c>
      <c r="AS240" s="6">
        <v>0.0</v>
      </c>
      <c r="AT240" s="6">
        <v>0.0</v>
      </c>
      <c r="AU240" s="6">
        <v>0.0</v>
      </c>
      <c r="AV240" s="6">
        <v>0.0</v>
      </c>
      <c r="AW240" s="6">
        <v>0.0</v>
      </c>
      <c r="AX240" s="6">
        <v>0.0</v>
      </c>
      <c r="AY240" s="6">
        <v>0.0</v>
      </c>
      <c r="AZ240" s="6">
        <v>0.0</v>
      </c>
      <c r="BA240" s="6">
        <v>0.0</v>
      </c>
      <c r="BB240" s="6">
        <v>0.0</v>
      </c>
      <c r="BC240" s="6">
        <v>0.0</v>
      </c>
      <c r="BD240" s="6">
        <v>0.0</v>
      </c>
      <c r="BE240" s="6">
        <v>0.0</v>
      </c>
      <c r="BF240" s="6">
        <v>0.0</v>
      </c>
      <c r="BG240" s="6">
        <v>0.0</v>
      </c>
    </row>
    <row r="241" ht="15.75" customHeight="1">
      <c r="A241" s="2">
        <v>51501.0</v>
      </c>
      <c r="B241" s="3" t="s">
        <v>259</v>
      </c>
      <c r="C241" s="4" t="s">
        <v>299</v>
      </c>
      <c r="D241" s="4" t="str">
        <f>IF(Datos_originales!$E241&lt;1000,"Bosque menor a 1000 ha",Datos_originales!$E241)</f>
        <v>Bosque menor a 1000 ha</v>
      </c>
      <c r="E241" s="4">
        <v>65.43</v>
      </c>
      <c r="F241" s="5">
        <f>AVERAGE(Datos_originales!$H16:$J16)</f>
        <v>1095.33</v>
      </c>
      <c r="G241" s="5">
        <f>AVERAGE(Datos_originales!$R16:$T16)</f>
        <v>1729.26</v>
      </c>
      <c r="H241" s="4">
        <v>0.72</v>
      </c>
      <c r="I241" s="4">
        <v>0.81</v>
      </c>
      <c r="J241" s="4">
        <v>1.35</v>
      </c>
      <c r="K241" s="4">
        <v>1.53</v>
      </c>
      <c r="L241" s="4">
        <v>0.8099999999999999</v>
      </c>
      <c r="M241" s="4">
        <v>0.72</v>
      </c>
      <c r="N241" s="4">
        <v>1.08</v>
      </c>
      <c r="O241" s="4">
        <v>1.26</v>
      </c>
      <c r="P241" s="4">
        <v>0.09</v>
      </c>
      <c r="Q241" s="4">
        <v>0.27</v>
      </c>
      <c r="R241" s="4">
        <v>0.0</v>
      </c>
      <c r="S241" s="4">
        <v>0.27</v>
      </c>
      <c r="T241" s="4">
        <v>12.33</v>
      </c>
      <c r="U241" s="4">
        <v>1.26</v>
      </c>
      <c r="V241" s="4">
        <v>1.17</v>
      </c>
      <c r="W241" s="4">
        <v>2.88</v>
      </c>
      <c r="X241" s="4">
        <v>1.53</v>
      </c>
      <c r="Y241" s="4">
        <v>0.99</v>
      </c>
      <c r="Z241" s="4">
        <v>0.81</v>
      </c>
      <c r="AA241" s="4">
        <v>1.17</v>
      </c>
      <c r="AB241" s="4">
        <v>2.25</v>
      </c>
      <c r="AC241" s="4">
        <v>0.18</v>
      </c>
      <c r="AD241" s="4">
        <v>0.36</v>
      </c>
      <c r="AE241" s="4">
        <v>0.0</v>
      </c>
      <c r="AF241" s="4">
        <v>0.27</v>
      </c>
      <c r="AG241" s="4">
        <v>21.15</v>
      </c>
      <c r="AH241" s="6">
        <f>Datos_originales!$H16/Datos_originales!$E16</f>
        <v>0.003105177819</v>
      </c>
      <c r="AI241" s="6">
        <f>Datos_originales!$I16/Datos_originales!$E16</f>
        <v>0.005232466538</v>
      </c>
      <c r="AJ241" s="6">
        <f>Datos_originales!$J16/Datos_originales!$E16</f>
        <v>0.002986081906</v>
      </c>
      <c r="AK241" s="6">
        <f>Datos_originales!$K16/Datos_originales!$E16</f>
        <v>0.001514441</v>
      </c>
      <c r="AL241" s="6">
        <f>Datos_originales!$L16/Datos_originales!$E16</f>
        <v>0.002325471762</v>
      </c>
      <c r="AM241" s="6">
        <f>Datos_originales!$M16/Datos_originales!$E16</f>
        <v>0.002987942779</v>
      </c>
      <c r="AN241" s="6">
        <f>Datos_originales!$N16/Datos_originales!$E16</f>
        <v>0.004579920181</v>
      </c>
      <c r="AO241" s="6">
        <f>Datos_originales!$O16/Datos_originales!$E16</f>
        <v>0.004389490778</v>
      </c>
      <c r="AP241" s="6">
        <f>Datos_originales!$P16/Datos_originales!$E16</f>
        <v>0.0037878083</v>
      </c>
      <c r="AQ241" s="6">
        <f>Datos_originales!$Q16/Datos_originales!$E16</f>
        <v>0.003364769692</v>
      </c>
      <c r="AR241" s="6">
        <f>Datos_originales!$R16/Datos_originales!$E16</f>
        <v>0.0009558687613</v>
      </c>
      <c r="AS241" s="6">
        <f>Datos_originales!$S16/Datos_originales!$E16</f>
        <v>0.008586070989</v>
      </c>
      <c r="AT241" s="6">
        <f>Datos_originales!$T16/Datos_originales!$E16</f>
        <v>0.008335473338</v>
      </c>
      <c r="AU241" s="6">
        <f>Datos_originales!$U16/Datos_originales!$E16</f>
        <v>0.003613196323</v>
      </c>
      <c r="AV241" s="6">
        <f>Datos_originales!$V16/Datos_originales!$E16</f>
        <v>0.005669771844</v>
      </c>
      <c r="AW241" s="6">
        <f>Datos_originales!$W16/Datos_originales!$E16</f>
        <v>0.004434772037</v>
      </c>
      <c r="AX241" s="6">
        <f>Datos_originales!$X16/Datos_originales!$E16</f>
        <v>0.001744879186</v>
      </c>
      <c r="AY241" s="6">
        <f>Datos_originales!$Y16/Datos_originales!$E16</f>
        <v>0.002617628924</v>
      </c>
      <c r="AZ241" s="6">
        <f>Datos_originales!$Z16/Datos_originales!$E16</f>
        <v>0.003235128828</v>
      </c>
      <c r="BA241" s="6">
        <f>Datos_originales!$AA16/Datos_originales!$E16</f>
        <v>0.004819662735</v>
      </c>
      <c r="BB241" s="6">
        <f>Datos_originales!$AB16/Datos_originales!$E16</f>
        <v>0.004895648409</v>
      </c>
      <c r="BC241" s="6">
        <f>Datos_originales!$AC16/Datos_originales!$E16</f>
        <v>0.004119043809</v>
      </c>
      <c r="BD241" s="6">
        <f>Datos_originales!$AD16/Datos_originales!$E16</f>
        <v>0.004080275608</v>
      </c>
      <c r="BE241" s="6">
        <f>Datos_originales!$AE16/Datos_originales!$E16</f>
        <v>0.001151570639</v>
      </c>
      <c r="BF241" s="6">
        <f>Datos_originales!$AF16/Datos_originales!$E16</f>
        <v>0.008881019461</v>
      </c>
      <c r="BG241" s="6">
        <f>Datos_originales!$AG16/Datos_originales!$E16</f>
        <v>0.008364937171</v>
      </c>
    </row>
    <row r="242" ht="15.75" customHeight="1">
      <c r="A242" s="2">
        <v>51601.0</v>
      </c>
      <c r="B242" s="3" t="s">
        <v>259</v>
      </c>
      <c r="C242" s="4" t="s">
        <v>300</v>
      </c>
      <c r="D242" s="4" t="str">
        <f>IF(Datos_originales!$E242&lt;1000,"Bosque menor a 1000 ha",Datos_originales!$E242)</f>
        <v>Bosque menor a 1000 ha</v>
      </c>
      <c r="E242" s="4">
        <v>0.0</v>
      </c>
      <c r="F242" s="5">
        <f>AVERAGE(Datos_originales!$H316:$J316)</f>
        <v>168.39</v>
      </c>
      <c r="G242" s="5">
        <f>AVERAGE(Datos_originales!$R316:$T316)</f>
        <v>444.75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>
        <v>0.0</v>
      </c>
      <c r="AE242" s="4">
        <v>0.0</v>
      </c>
      <c r="AF242" s="4">
        <v>0.0</v>
      </c>
      <c r="AG242" s="4">
        <v>0.0</v>
      </c>
      <c r="AH242" s="6">
        <v>0.0</v>
      </c>
      <c r="AI242" s="6">
        <v>0.0</v>
      </c>
      <c r="AJ242" s="6">
        <v>0.0</v>
      </c>
      <c r="AK242" s="6">
        <v>0.0</v>
      </c>
      <c r="AL242" s="6">
        <v>0.0</v>
      </c>
      <c r="AM242" s="6">
        <v>0.0</v>
      </c>
      <c r="AN242" s="6">
        <v>0.0</v>
      </c>
      <c r="AO242" s="6">
        <v>0.0</v>
      </c>
      <c r="AP242" s="6">
        <v>0.0</v>
      </c>
      <c r="AQ242" s="6">
        <v>0.0</v>
      </c>
      <c r="AR242" s="6">
        <v>0.0</v>
      </c>
      <c r="AS242" s="6">
        <v>0.0</v>
      </c>
      <c r="AT242" s="6">
        <v>0.0</v>
      </c>
      <c r="AU242" s="6">
        <v>0.0</v>
      </c>
      <c r="AV242" s="6">
        <v>0.0</v>
      </c>
      <c r="AW242" s="6">
        <v>0.0</v>
      </c>
      <c r="AX242" s="6">
        <v>0.0</v>
      </c>
      <c r="AY242" s="6">
        <v>0.0</v>
      </c>
      <c r="AZ242" s="6">
        <v>0.0</v>
      </c>
      <c r="BA242" s="6">
        <v>0.0</v>
      </c>
      <c r="BB242" s="6">
        <v>0.0</v>
      </c>
      <c r="BC242" s="6">
        <v>0.0</v>
      </c>
      <c r="BD242" s="6">
        <v>0.0</v>
      </c>
      <c r="BE242" s="6">
        <v>0.0</v>
      </c>
      <c r="BF242" s="6">
        <v>0.0</v>
      </c>
      <c r="BG242" s="6">
        <v>0.0</v>
      </c>
    </row>
    <row r="243" ht="15.75" customHeight="1">
      <c r="A243" s="2">
        <v>60101.0</v>
      </c>
      <c r="B243" s="3" t="s">
        <v>301</v>
      </c>
      <c r="C243" s="4" t="s">
        <v>301</v>
      </c>
      <c r="D243" s="4">
        <f>IF(Datos_originales!$E243&lt;1000,"Bosque menor a 1000 ha",Datos_originales!$E243)</f>
        <v>64428.84</v>
      </c>
      <c r="E243" s="4">
        <v>64428.84</v>
      </c>
      <c r="F243" s="5">
        <f>AVERAGE(Datos_originales!$H104:$J104)</f>
        <v>894.06</v>
      </c>
      <c r="G243" s="5">
        <f>AVERAGE(Datos_originales!$R104:$T104)</f>
        <v>1799.82</v>
      </c>
      <c r="H243" s="4">
        <v>18.18</v>
      </c>
      <c r="I243" s="4">
        <v>29.79</v>
      </c>
      <c r="J243" s="4">
        <v>101.34</v>
      </c>
      <c r="K243" s="4">
        <v>15.48</v>
      </c>
      <c r="L243" s="4">
        <v>14.67</v>
      </c>
      <c r="M243" s="4">
        <v>21.6</v>
      </c>
      <c r="N243" s="4">
        <v>29.97</v>
      </c>
      <c r="O243" s="4">
        <v>23.31</v>
      </c>
      <c r="P243" s="4">
        <v>26.37</v>
      </c>
      <c r="Q243" s="4">
        <v>34.73999999999999</v>
      </c>
      <c r="R243" s="4">
        <v>14.94</v>
      </c>
      <c r="S243" s="4">
        <v>60.75</v>
      </c>
      <c r="T243" s="4">
        <v>844.65</v>
      </c>
      <c r="U243" s="4">
        <v>107.82</v>
      </c>
      <c r="V243" s="4">
        <v>158.85</v>
      </c>
      <c r="W243" s="4">
        <v>378.45</v>
      </c>
      <c r="X243" s="4">
        <v>58.5</v>
      </c>
      <c r="Y243" s="4">
        <v>108.54</v>
      </c>
      <c r="Z243" s="4">
        <v>65.61</v>
      </c>
      <c r="AA243" s="4">
        <v>72.36</v>
      </c>
      <c r="AB243" s="4">
        <v>120.33</v>
      </c>
      <c r="AC243" s="4">
        <v>120.78</v>
      </c>
      <c r="AD243" s="4">
        <v>301.14</v>
      </c>
      <c r="AE243" s="4">
        <v>34.11</v>
      </c>
      <c r="AF243" s="4">
        <v>71.55</v>
      </c>
      <c r="AG243" s="4">
        <v>877.5899999999999</v>
      </c>
      <c r="AH243" s="6">
        <f>Datos_originales!$H104/Datos_originales!$E104</f>
        <v>0.0002787838566</v>
      </c>
      <c r="AI243" s="6">
        <f>Datos_originales!$I104/Datos_originales!$E104</f>
        <v>0.0003011658278</v>
      </c>
      <c r="AJ243" s="6">
        <f>Datos_originales!$J104/Datos_originales!$E104</f>
        <v>0.0003881599047</v>
      </c>
      <c r="AK243" s="6">
        <f>Datos_originales!$K104/Datos_originales!$E104</f>
        <v>0.0002396722552</v>
      </c>
      <c r="AL243" s="6">
        <f>Datos_originales!$L104/Datos_originales!$E104</f>
        <v>0.0004187280251</v>
      </c>
      <c r="AM243" s="6">
        <f>Datos_originales!$M104/Datos_originales!$E104</f>
        <v>0.0004223338289</v>
      </c>
      <c r="AN243" s="6">
        <f>Datos_originales!$N104/Datos_originales!$E104</f>
        <v>0.0004352952317</v>
      </c>
      <c r="AO243" s="6">
        <f>Datos_originales!$O104/Datos_originales!$E104</f>
        <v>0.0005167669064</v>
      </c>
      <c r="AP243" s="6">
        <f>Datos_originales!$P104/Datos_originales!$E104</f>
        <v>0.0004863936943</v>
      </c>
      <c r="AQ243" s="6">
        <f>Datos_originales!$Q104/Datos_originales!$E104</f>
        <v>0.0004819432879</v>
      </c>
      <c r="AR243" s="6">
        <f>Datos_originales!$R104/Datos_originales!$E104</f>
        <v>0.0002743009654</v>
      </c>
      <c r="AS243" s="6">
        <f>Datos_originales!$S104/Datos_originales!$E104</f>
        <v>0.001053057129</v>
      </c>
      <c r="AT243" s="6">
        <f>Datos_originales!$T104/Datos_originales!$E104</f>
        <v>0.0006215301245</v>
      </c>
      <c r="AU243" s="6">
        <f>Datos_originales!$U104/Datos_originales!$E104</f>
        <v>0.002771628691</v>
      </c>
      <c r="AV243" s="6">
        <f>Datos_originales!$V104/Datos_originales!$E104</f>
        <v>0.002084414465</v>
      </c>
      <c r="AW243" s="6">
        <f>Datos_originales!$W104/Datos_originales!$E104</f>
        <v>0.00314604756</v>
      </c>
      <c r="AX243" s="6">
        <f>Datos_originales!$X104/Datos_originales!$E104</f>
        <v>0.001738712088</v>
      </c>
      <c r="AY243" s="6">
        <f>Datos_originales!$Y104/Datos_originales!$E104</f>
        <v>0.001285420322</v>
      </c>
      <c r="AZ243" s="6">
        <f>Datos_originales!$Z104/Datos_originales!$E104</f>
        <v>0.001054129124</v>
      </c>
      <c r="BA243" s="6">
        <f>Datos_originales!$AA104/Datos_originales!$E104</f>
        <v>0.001119683287</v>
      </c>
      <c r="BB243" s="6">
        <f>Datos_originales!$AB104/Datos_originales!$E104</f>
        <v>0.001339799741</v>
      </c>
      <c r="BC243" s="6">
        <f>Datos_originales!$AC104/Datos_originales!$E104</f>
        <v>0.001216715142</v>
      </c>
      <c r="BD243" s="6">
        <f>Datos_originales!$AD104/Datos_originales!$E104</f>
        <v>0.001557284934</v>
      </c>
      <c r="BE243" s="6">
        <f>Datos_originales!$AE104/Datos_originales!$E104</f>
        <v>0.001020539925</v>
      </c>
      <c r="BF243" s="6">
        <f>Datos_originales!$AF104/Datos_originales!$E104</f>
        <v>0.001997582812</v>
      </c>
      <c r="BG243" s="6">
        <f>Datos_originales!$AG104/Datos_originales!$E104</f>
        <v>0.006091956767</v>
      </c>
    </row>
    <row r="244" ht="15.75" customHeight="1">
      <c r="A244" s="2">
        <v>60201.0</v>
      </c>
      <c r="B244" s="3" t="s">
        <v>301</v>
      </c>
      <c r="C244" s="4" t="s">
        <v>302</v>
      </c>
      <c r="D244" s="4">
        <f>IF(Datos_originales!$E244&lt;1000,"Bosque menor a 1000 ha",Datos_originales!$E244)</f>
        <v>331244.28</v>
      </c>
      <c r="E244" s="4">
        <v>331244.28</v>
      </c>
      <c r="F244" s="5">
        <f>AVERAGE(Datos_originales!$H165:$J165)</f>
        <v>615.93</v>
      </c>
      <c r="G244" s="5">
        <f>AVERAGE(Datos_originales!$R165:$T165)</f>
        <v>758.97</v>
      </c>
      <c r="H244" s="4">
        <v>370.98</v>
      </c>
      <c r="I244" s="4">
        <v>840.78</v>
      </c>
      <c r="J244" s="4">
        <v>381.6</v>
      </c>
      <c r="K244" s="4">
        <v>228.15</v>
      </c>
      <c r="L244" s="4">
        <v>235.8</v>
      </c>
      <c r="M244" s="4">
        <v>260.28</v>
      </c>
      <c r="N244" s="4">
        <v>176.67</v>
      </c>
      <c r="O244" s="4">
        <v>339.3</v>
      </c>
      <c r="P244" s="4">
        <v>595.44</v>
      </c>
      <c r="Q244" s="4">
        <v>191.43</v>
      </c>
      <c r="R244" s="4">
        <v>275.94</v>
      </c>
      <c r="S244" s="4">
        <v>1275.03</v>
      </c>
      <c r="T244" s="4">
        <v>1111.59</v>
      </c>
      <c r="U244" s="4">
        <v>513.36</v>
      </c>
      <c r="V244" s="4">
        <v>974.61</v>
      </c>
      <c r="W244" s="4">
        <v>830.16</v>
      </c>
      <c r="X244" s="4">
        <v>299.7</v>
      </c>
      <c r="Y244" s="4">
        <v>342.81</v>
      </c>
      <c r="Z244" s="4">
        <v>315.81</v>
      </c>
      <c r="AA244" s="4">
        <v>223.74</v>
      </c>
      <c r="AB244" s="4">
        <v>458.73</v>
      </c>
      <c r="AC244" s="4">
        <v>689.04</v>
      </c>
      <c r="AD244" s="4">
        <v>661.5899999999999</v>
      </c>
      <c r="AE244" s="4">
        <v>305.28</v>
      </c>
      <c r="AF244" s="4">
        <v>1320.12</v>
      </c>
      <c r="AG244" s="4">
        <v>1276.47</v>
      </c>
      <c r="AH244" s="6">
        <f>Datos_originales!$H165/Datos_originales!$E165</f>
        <v>0.009827235906</v>
      </c>
      <c r="AI244" s="6">
        <f>Datos_originales!$I165/Datos_originales!$E165</f>
        <v>0.01101956542</v>
      </c>
      <c r="AJ244" s="6">
        <f>Datos_originales!$J165/Datos_originales!$E165</f>
        <v>0.0130117287</v>
      </c>
      <c r="AK244" s="6">
        <f>Datos_originales!$K165/Datos_originales!$E165</f>
        <v>0.009884955869</v>
      </c>
      <c r="AL244" s="6">
        <f>Datos_originales!$L165/Datos_originales!$E165</f>
        <v>0.003984326556</v>
      </c>
      <c r="AM244" s="6">
        <f>Datos_originales!$M165/Datos_originales!$E165</f>
        <v>0.006613058564</v>
      </c>
      <c r="AN244" s="6">
        <f>Datos_originales!$N165/Datos_originales!$E165</f>
        <v>0.004932583084</v>
      </c>
      <c r="AO244" s="6">
        <f>Datos_originales!$O165/Datos_originales!$E165</f>
        <v>0.007294154122</v>
      </c>
      <c r="AP244" s="6">
        <f>Datos_originales!$P165/Datos_originales!$E165</f>
        <v>0.01215417497</v>
      </c>
      <c r="AQ244" s="6">
        <f>Datos_originales!$Q165/Datos_originales!$E165</f>
        <v>0.01657717324</v>
      </c>
      <c r="AR244" s="6">
        <f>Datos_originales!$R165/Datos_originales!$E165</f>
        <v>0.003860640922</v>
      </c>
      <c r="AS244" s="6">
        <f>Datos_originales!$S165/Datos_originales!$E165</f>
        <v>0.01532547462</v>
      </c>
      <c r="AT244" s="6">
        <f>Datos_originales!$T165/Datos_originales!$E165</f>
        <v>0.02253552251</v>
      </c>
      <c r="AU244" s="6">
        <f>Datos_originales!$U165/Datos_originales!$E165</f>
        <v>0.0122184915</v>
      </c>
      <c r="AV244" s="6">
        <f>Datos_originales!$V165/Datos_originales!$E165</f>
        <v>0.01216077153</v>
      </c>
      <c r="AW244" s="6">
        <f>Datos_originales!$W165/Datos_originales!$E165</f>
        <v>0.01427167302</v>
      </c>
      <c r="AX244" s="6">
        <f>Datos_originales!$X165/Datos_originales!$E165</f>
        <v>0.01109872422</v>
      </c>
      <c r="AY244" s="6">
        <f>Datos_originales!$Y165/Datos_originales!$E165</f>
        <v>0.005265709725</v>
      </c>
      <c r="AZ244" s="6">
        <f>Datos_originales!$Z165/Datos_originales!$E165</f>
        <v>0.007922477143</v>
      </c>
      <c r="BA244" s="6">
        <f>Datos_originales!$AA165/Datos_originales!$E165</f>
        <v>0.00625849308</v>
      </c>
      <c r="BB244" s="6">
        <f>Datos_originales!$AB165/Datos_originales!$E165</f>
        <v>0.008554098447</v>
      </c>
      <c r="BC244" s="6">
        <f>Datos_originales!$AC165/Datos_originales!$E165</f>
        <v>0.01304965896</v>
      </c>
      <c r="BD244" s="6">
        <f>Datos_originales!$AD165/Datos_originales!$E165</f>
        <v>0.01738030529</v>
      </c>
      <c r="BE244" s="6">
        <f>Datos_originales!$AE165/Datos_originales!$E165</f>
        <v>0.004032151668</v>
      </c>
      <c r="BF244" s="6">
        <f>Datos_originales!$AF165/Datos_originales!$E165</f>
        <v>0.01751718406</v>
      </c>
      <c r="BG244" s="6">
        <f>Datos_originales!$AG165/Datos_originales!$E165</f>
        <v>0.0226295236</v>
      </c>
    </row>
    <row r="245" ht="15.75" customHeight="1">
      <c r="A245" s="2">
        <v>60202.0</v>
      </c>
      <c r="B245" s="3" t="s">
        <v>301</v>
      </c>
      <c r="C245" s="4" t="s">
        <v>303</v>
      </c>
      <c r="D245" s="4">
        <f>IF(Datos_originales!$E245&lt;1000,"Bosque menor a 1000 ha",Datos_originales!$E245)</f>
        <v>25936.92</v>
      </c>
      <c r="E245" s="4">
        <v>25936.92</v>
      </c>
      <c r="F245" s="5">
        <f>AVERAGE(Datos_originales!$H90:$J90)</f>
        <v>643.23</v>
      </c>
      <c r="G245" s="5">
        <f>AVERAGE(Datos_originales!$R90:$T90)</f>
        <v>2460.27</v>
      </c>
      <c r="H245" s="4">
        <v>108.45</v>
      </c>
      <c r="I245" s="4">
        <v>410.22</v>
      </c>
      <c r="J245" s="4">
        <v>134.46</v>
      </c>
      <c r="K245" s="4">
        <v>66.24</v>
      </c>
      <c r="L245" s="4">
        <v>54.54</v>
      </c>
      <c r="M245" s="4">
        <v>64.98</v>
      </c>
      <c r="N245" s="4">
        <v>52.74</v>
      </c>
      <c r="O245" s="4">
        <v>71.19</v>
      </c>
      <c r="P245" s="4">
        <v>188.37</v>
      </c>
      <c r="Q245" s="4">
        <v>111.78</v>
      </c>
      <c r="R245" s="4">
        <v>216.81</v>
      </c>
      <c r="S245" s="4">
        <v>471.6900000000001</v>
      </c>
      <c r="T245" s="4">
        <v>405.27</v>
      </c>
      <c r="U245" s="4">
        <v>120.96</v>
      </c>
      <c r="V245" s="4">
        <v>412.92</v>
      </c>
      <c r="W245" s="4">
        <v>137.43</v>
      </c>
      <c r="X245" s="4">
        <v>68.03999999999999</v>
      </c>
      <c r="Y245" s="4">
        <v>61.38</v>
      </c>
      <c r="Z245" s="4">
        <v>65.88</v>
      </c>
      <c r="AA245" s="4">
        <v>63.0</v>
      </c>
      <c r="AB245" s="4">
        <v>77.4</v>
      </c>
      <c r="AC245" s="4">
        <v>203.04</v>
      </c>
      <c r="AD245" s="4">
        <v>125.64</v>
      </c>
      <c r="AE245" s="4">
        <v>233.46</v>
      </c>
      <c r="AF245" s="4">
        <v>484.92</v>
      </c>
      <c r="AG245" s="4">
        <v>429.48</v>
      </c>
      <c r="AH245" s="6">
        <f>Datos_originales!$H90/Datos_originales!$E90</f>
        <v>0.001288864551</v>
      </c>
      <c r="AI245" s="6">
        <f>Datos_originales!$I90/Datos_originales!$E90</f>
        <v>0.00286891702</v>
      </c>
      <c r="AJ245" s="6">
        <f>Datos_originales!$J90/Datos_originales!$E90</f>
        <v>0.003152944578</v>
      </c>
      <c r="AK245" s="6">
        <f>Datos_originales!$K90/Datos_originales!$E90</f>
        <v>0.002379284878</v>
      </c>
      <c r="AL245" s="6">
        <f>Datos_originales!$L90/Datos_originales!$E90</f>
        <v>0.002759465824</v>
      </c>
      <c r="AM245" s="6">
        <f>Datos_originales!$M90/Datos_originales!$E90</f>
        <v>0.00169836887</v>
      </c>
      <c r="AN245" s="6">
        <f>Datos_originales!$N90/Datos_originales!$E90</f>
        <v>0.001632220795</v>
      </c>
      <c r="AO245" s="6">
        <f>Datos_originales!$O90/Datos_originales!$E90</f>
        <v>0.002556929966</v>
      </c>
      <c r="AP245" s="6">
        <f>Datos_originales!$P90/Datos_originales!$E90</f>
        <v>0.004018325063</v>
      </c>
      <c r="AQ245" s="6">
        <f>Datos_originales!$Q90/Datos_originales!$E90</f>
        <v>0.004124366564</v>
      </c>
      <c r="AR245" s="6">
        <f>Datos_originales!$R90/Datos_originales!$E90</f>
        <v>0.0008415126223</v>
      </c>
      <c r="AS245" s="6">
        <f>Datos_originales!$S90/Datos_originales!$E90</f>
        <v>0.01763255358</v>
      </c>
      <c r="AT245" s="6">
        <f>Datos_originales!$T90/Datos_originales!$E90</f>
        <v>0.009488498077</v>
      </c>
      <c r="AU245" s="6">
        <f>Datos_originales!$U90/Datos_originales!$E90</f>
        <v>0.001570164354</v>
      </c>
      <c r="AV245" s="6">
        <f>Datos_originales!$V90/Datos_originales!$E90</f>
        <v>0.003188405402</v>
      </c>
      <c r="AW245" s="6">
        <f>Datos_originales!$W90/Datos_originales!$E90</f>
        <v>0.003594840996</v>
      </c>
      <c r="AX245" s="6">
        <f>Datos_originales!$X90/Datos_originales!$E90</f>
        <v>0.002524196898</v>
      </c>
      <c r="AY245" s="6">
        <f>Datos_originales!$Y90/Datos_originales!$E90</f>
        <v>0.002866530233</v>
      </c>
      <c r="AZ245" s="6">
        <f>Datos_originales!$Z90/Datos_originales!$E90</f>
        <v>0.001759402403</v>
      </c>
      <c r="BA245" s="6">
        <f>Datos_originales!$AA90/Datos_originales!$E90</f>
        <v>0.001719508977</v>
      </c>
      <c r="BB245" s="6">
        <f>Datos_originales!$AB90/Datos_originales!$E90</f>
        <v>0.002824250021</v>
      </c>
      <c r="BC245" s="6">
        <f>Datos_originales!$AC90/Datos_originales!$E90</f>
        <v>0.004130844984</v>
      </c>
      <c r="BD245" s="6">
        <f>Datos_originales!$AD90/Datos_originales!$E90</f>
        <v>0.004207222142</v>
      </c>
      <c r="BE245" s="6">
        <f>Datos_originales!$AE90/Datos_originales!$E90</f>
        <v>0.0008858386519</v>
      </c>
      <c r="BF245" s="6">
        <f>Datos_originales!$AF90/Datos_originales!$E90</f>
        <v>0.01795408778</v>
      </c>
      <c r="BG245" s="6">
        <f>Datos_originales!$AG90/Datos_originales!$E90</f>
        <v>0.01106309503</v>
      </c>
    </row>
    <row r="246" ht="15.75" customHeight="1">
      <c r="A246" s="2">
        <v>60301.0</v>
      </c>
      <c r="B246" s="3" t="s">
        <v>301</v>
      </c>
      <c r="C246" s="4" t="s">
        <v>304</v>
      </c>
      <c r="D246" s="4">
        <f>IF(Datos_originales!$E246&lt;1000,"Bosque menor a 1000 ha",Datos_originales!$E246)</f>
        <v>305201.25</v>
      </c>
      <c r="E246" s="4">
        <v>305201.25</v>
      </c>
      <c r="F246" s="5">
        <f>AVERAGE(Datos_originales!$H91:$J91)</f>
        <v>0</v>
      </c>
      <c r="G246" s="5">
        <f>AVERAGE(Datos_originales!$R91:$T91)</f>
        <v>0</v>
      </c>
      <c r="H246" s="4">
        <v>5011.29</v>
      </c>
      <c r="I246" s="4">
        <v>5540.940000000001</v>
      </c>
      <c r="J246" s="4">
        <v>2147.22</v>
      </c>
      <c r="K246" s="4">
        <v>1242.9</v>
      </c>
      <c r="L246" s="4">
        <v>2391.57</v>
      </c>
      <c r="M246" s="4">
        <v>1894.77</v>
      </c>
      <c r="N246" s="4">
        <v>6275.7</v>
      </c>
      <c r="O246" s="4">
        <v>6332.4</v>
      </c>
      <c r="P246" s="4">
        <v>5341.41</v>
      </c>
      <c r="Q246" s="4">
        <v>6579.81</v>
      </c>
      <c r="R246" s="4">
        <v>9470.07</v>
      </c>
      <c r="S246" s="4">
        <v>7197.48</v>
      </c>
      <c r="T246" s="4">
        <v>4908.42</v>
      </c>
      <c r="U246" s="4">
        <v>5157.18</v>
      </c>
      <c r="V246" s="4">
        <v>5613.21</v>
      </c>
      <c r="W246" s="4">
        <v>2244.96</v>
      </c>
      <c r="X246" s="4">
        <v>1268.1</v>
      </c>
      <c r="Y246" s="4">
        <v>2414.43</v>
      </c>
      <c r="Z246" s="4">
        <v>1904.58</v>
      </c>
      <c r="AA246" s="4">
        <v>6321.42</v>
      </c>
      <c r="AB246" s="4">
        <v>6372.09</v>
      </c>
      <c r="AC246" s="4">
        <v>5373.0</v>
      </c>
      <c r="AD246" s="4">
        <v>6593.85</v>
      </c>
      <c r="AE246" s="4">
        <v>9489.24</v>
      </c>
      <c r="AF246" s="4">
        <v>10318.32</v>
      </c>
      <c r="AG246" s="4">
        <v>5043.15</v>
      </c>
      <c r="AH246" s="6">
        <f>Datos_originales!$H91/Datos_originales!$E91</f>
        <v>0</v>
      </c>
      <c r="AI246" s="6">
        <f>Datos_originales!$I91/Datos_originales!$E91</f>
        <v>0</v>
      </c>
      <c r="AJ246" s="6">
        <f>Datos_originales!$J91/Datos_originales!$E91</f>
        <v>0</v>
      </c>
      <c r="AK246" s="6">
        <f>Datos_originales!$K91/Datos_originales!$E91</f>
        <v>0</v>
      </c>
      <c r="AL246" s="6">
        <f>Datos_originales!$L91/Datos_originales!$E91</f>
        <v>0</v>
      </c>
      <c r="AM246" s="6">
        <f>Datos_originales!$M91/Datos_originales!$E91</f>
        <v>0</v>
      </c>
      <c r="AN246" s="6">
        <f>Datos_originales!$N91/Datos_originales!$E91</f>
        <v>0</v>
      </c>
      <c r="AO246" s="6">
        <f>Datos_originales!$O91/Datos_originales!$E91</f>
        <v>0</v>
      </c>
      <c r="AP246" s="6">
        <f>Datos_originales!$P91/Datos_originales!$E91</f>
        <v>0</v>
      </c>
      <c r="AQ246" s="6">
        <f>Datos_originales!$Q91/Datos_originales!$E91</f>
        <v>0</v>
      </c>
      <c r="AR246" s="6">
        <f>Datos_originales!$R91/Datos_originales!$E91</f>
        <v>0</v>
      </c>
      <c r="AS246" s="6">
        <f>Datos_originales!$S91/Datos_originales!$E91</f>
        <v>0</v>
      </c>
      <c r="AT246" s="6">
        <f>Datos_originales!$T91/Datos_originales!$E91</f>
        <v>0</v>
      </c>
      <c r="AU246" s="6">
        <f>Datos_originales!$U91/Datos_originales!$E91</f>
        <v>0</v>
      </c>
      <c r="AV246" s="6">
        <f>Datos_originales!$V91/Datos_originales!$E91</f>
        <v>0</v>
      </c>
      <c r="AW246" s="6">
        <f>Datos_originales!$W91/Datos_originales!$E91</f>
        <v>0.1</v>
      </c>
      <c r="AX246" s="6">
        <f>Datos_originales!$X91/Datos_originales!$E91</f>
        <v>0.1</v>
      </c>
      <c r="AY246" s="6">
        <f>Datos_originales!$Y91/Datos_originales!$E91</f>
        <v>0</v>
      </c>
      <c r="AZ246" s="6">
        <f>Datos_originales!$Z91/Datos_originales!$E91</f>
        <v>0</v>
      </c>
      <c r="BA246" s="6">
        <f>Datos_originales!$AA91/Datos_originales!$E91</f>
        <v>0</v>
      </c>
      <c r="BB246" s="6">
        <f>Datos_originales!$AB91/Datos_originales!$E91</f>
        <v>0</v>
      </c>
      <c r="BC246" s="6">
        <f>Datos_originales!$AC91/Datos_originales!$E91</f>
        <v>0</v>
      </c>
      <c r="BD246" s="6">
        <f>Datos_originales!$AD91/Datos_originales!$E91</f>
        <v>0</v>
      </c>
      <c r="BE246" s="6">
        <f>Datos_originales!$AE91/Datos_originales!$E91</f>
        <v>0</v>
      </c>
      <c r="BF246" s="6">
        <f>Datos_originales!$AF91/Datos_originales!$E91</f>
        <v>0</v>
      </c>
      <c r="BG246" s="6">
        <f>Datos_originales!$AG91/Datos_originales!$E91</f>
        <v>0</v>
      </c>
    </row>
    <row r="247" ht="15.75" customHeight="1">
      <c r="A247" s="2">
        <v>60302.0</v>
      </c>
      <c r="B247" s="3" t="s">
        <v>301</v>
      </c>
      <c r="C247" s="4" t="s">
        <v>305</v>
      </c>
      <c r="D247" s="4">
        <f>IF(Datos_originales!$E247&lt;1000,"Bosque menor a 1000 ha",Datos_originales!$E247)</f>
        <v>274668.57</v>
      </c>
      <c r="E247" s="4">
        <v>274668.57</v>
      </c>
      <c r="F247" s="5">
        <f>AVERAGE(Datos_originales!$H138:$J138)</f>
        <v>0</v>
      </c>
      <c r="G247" s="5">
        <f>AVERAGE(Datos_originales!$R138:$T138)</f>
        <v>0.24</v>
      </c>
      <c r="H247" s="4">
        <v>1096.2</v>
      </c>
      <c r="I247" s="4">
        <v>1522.8</v>
      </c>
      <c r="J247" s="4">
        <v>1024.92</v>
      </c>
      <c r="K247" s="4">
        <v>769.05</v>
      </c>
      <c r="L247" s="4">
        <v>1033.47</v>
      </c>
      <c r="M247" s="4">
        <v>1087.11</v>
      </c>
      <c r="N247" s="4">
        <v>592.56</v>
      </c>
      <c r="O247" s="4">
        <v>815.49</v>
      </c>
      <c r="P247" s="4">
        <v>847.44</v>
      </c>
      <c r="Q247" s="4">
        <v>782.82</v>
      </c>
      <c r="R247" s="4">
        <v>320.67</v>
      </c>
      <c r="S247" s="4">
        <v>2523.51</v>
      </c>
      <c r="T247" s="4">
        <v>1533.15</v>
      </c>
      <c r="U247" s="4">
        <v>1160.28</v>
      </c>
      <c r="V247" s="4">
        <v>1541.25</v>
      </c>
      <c r="W247" s="4">
        <v>1084.32</v>
      </c>
      <c r="X247" s="4">
        <v>782.8199999999999</v>
      </c>
      <c r="Y247" s="4">
        <v>1049.67</v>
      </c>
      <c r="Z247" s="4">
        <v>1096.11</v>
      </c>
      <c r="AA247" s="4">
        <v>623.0699999999999</v>
      </c>
      <c r="AB247" s="4">
        <v>881.91</v>
      </c>
      <c r="AC247" s="4">
        <v>868.5</v>
      </c>
      <c r="AD247" s="4">
        <v>822.78</v>
      </c>
      <c r="AE247" s="4">
        <v>334.62</v>
      </c>
      <c r="AF247" s="4">
        <v>2550.33</v>
      </c>
      <c r="AG247" s="4">
        <v>1624.41</v>
      </c>
      <c r="AH247" s="6">
        <f>Datos_originales!$H138/Datos_originales!$E138</f>
        <v>0</v>
      </c>
      <c r="AI247" s="6">
        <f>Datos_originales!$I138/Datos_originales!$E138</f>
        <v>0</v>
      </c>
      <c r="AJ247" s="6">
        <f>Datos_originales!$J138/Datos_originales!$E138</f>
        <v>0</v>
      </c>
      <c r="AK247" s="6">
        <f>Datos_originales!$K138/Datos_originales!$E138</f>
        <v>0</v>
      </c>
      <c r="AL247" s="6">
        <f>Datos_originales!$L138/Datos_originales!$E138</f>
        <v>0</v>
      </c>
      <c r="AM247" s="6">
        <f>Datos_originales!$M138/Datos_originales!$E138</f>
        <v>0</v>
      </c>
      <c r="AN247" s="6">
        <f>Datos_originales!$N138/Datos_originales!$E138</f>
        <v>0</v>
      </c>
      <c r="AO247" s="6">
        <f>Datos_originales!$O138/Datos_originales!$E138</f>
        <v>0</v>
      </c>
      <c r="AP247" s="6">
        <f>Datos_originales!$P138/Datos_originales!$E138</f>
        <v>0.001262626263</v>
      </c>
      <c r="AQ247" s="6">
        <f>Datos_originales!$Q138/Datos_originales!$E138</f>
        <v>0.001578282828</v>
      </c>
      <c r="AR247" s="6">
        <f>Datos_originales!$R138/Datos_originales!$E138</f>
        <v>0.001578282828</v>
      </c>
      <c r="AS247" s="6">
        <f>Datos_originales!$S138/Datos_originales!$E138</f>
        <v>0.000946969697</v>
      </c>
      <c r="AT247" s="6">
        <f>Datos_originales!$T138/Datos_originales!$E138</f>
        <v>0</v>
      </c>
      <c r="AU247" s="6">
        <f>Datos_originales!$U138/Datos_originales!$E138</f>
        <v>0.002840909091</v>
      </c>
      <c r="AV247" s="6">
        <f>Datos_originales!$V138/Datos_originales!$E138</f>
        <v>0.004734848485</v>
      </c>
      <c r="AW247" s="6">
        <f>Datos_originales!$W138/Datos_originales!$E138</f>
        <v>0.01925505051</v>
      </c>
      <c r="AX247" s="6">
        <f>Datos_originales!$X138/Datos_originales!$E138</f>
        <v>0.02588383838</v>
      </c>
      <c r="AY247" s="6">
        <f>Datos_originales!$Y138/Datos_originales!$E138</f>
        <v>0.01957070707</v>
      </c>
      <c r="AZ247" s="6">
        <f>Datos_originales!$Z138/Datos_originales!$E138</f>
        <v>0.06092171717</v>
      </c>
      <c r="BA247" s="6">
        <f>Datos_originales!$AA138/Datos_originales!$E138</f>
        <v>0.05839646465</v>
      </c>
      <c r="BB247" s="6">
        <f>Datos_originales!$AB138/Datos_originales!$E138</f>
        <v>0.03503787879</v>
      </c>
      <c r="BC247" s="6">
        <f>Datos_originales!$AC138/Datos_originales!$E138</f>
        <v>0.009785353535</v>
      </c>
      <c r="BD247" s="6">
        <f>Datos_originales!$AD138/Datos_originales!$E138</f>
        <v>0.001578282828</v>
      </c>
      <c r="BE247" s="6">
        <f>Datos_originales!$AE138/Datos_originales!$E138</f>
        <v>0.002525252525</v>
      </c>
      <c r="BF247" s="6">
        <f>Datos_originales!$AF138/Datos_originales!$E138</f>
        <v>0.004103535354</v>
      </c>
      <c r="BG247" s="6">
        <f>Datos_originales!$AG138/Datos_originales!$E138</f>
        <v>0</v>
      </c>
    </row>
    <row r="248" ht="15.75" customHeight="1">
      <c r="A248" s="2">
        <v>60303.0</v>
      </c>
      <c r="B248" s="3" t="s">
        <v>301</v>
      </c>
      <c r="C248" s="4" t="s">
        <v>306</v>
      </c>
      <c r="D248" s="4">
        <f>IF(Datos_originales!$E248&lt;1000,"Bosque menor a 1000 ha",Datos_originales!$E248)</f>
        <v>966590.19</v>
      </c>
      <c r="E248" s="4">
        <v>966590.19</v>
      </c>
      <c r="F248" s="5">
        <f>AVERAGE(Datos_originales!$H148:$J148)</f>
        <v>81.27</v>
      </c>
      <c r="G248" s="5">
        <f>AVERAGE(Datos_originales!$R148:$T148)</f>
        <v>237.36</v>
      </c>
      <c r="H248" s="4">
        <v>1496.52</v>
      </c>
      <c r="I248" s="4">
        <v>2952.54</v>
      </c>
      <c r="J248" s="4">
        <v>3121.74</v>
      </c>
      <c r="K248" s="4">
        <v>2583.81</v>
      </c>
      <c r="L248" s="4">
        <v>1856.97</v>
      </c>
      <c r="M248" s="4">
        <v>2099.34</v>
      </c>
      <c r="N248" s="4">
        <v>2839.23</v>
      </c>
      <c r="O248" s="4">
        <v>3976.29</v>
      </c>
      <c r="P248" s="4">
        <v>3502.8</v>
      </c>
      <c r="Q248" s="4">
        <v>7490.52</v>
      </c>
      <c r="R248" s="4">
        <v>4155.93</v>
      </c>
      <c r="S248" s="4">
        <v>4403.34</v>
      </c>
      <c r="T248" s="4">
        <v>4240.98</v>
      </c>
      <c r="U248" s="4">
        <v>2158.2</v>
      </c>
      <c r="V248" s="4">
        <v>3347.64</v>
      </c>
      <c r="W248" s="4">
        <v>4150.08</v>
      </c>
      <c r="X248" s="4">
        <v>2829.87</v>
      </c>
      <c r="Y248" s="4">
        <v>1975.41</v>
      </c>
      <c r="Z248" s="4">
        <v>2167.47</v>
      </c>
      <c r="AA248" s="4">
        <v>3197.34</v>
      </c>
      <c r="AB248" s="4">
        <v>4435.74</v>
      </c>
      <c r="AC248" s="4">
        <v>3691.71</v>
      </c>
      <c r="AD248" s="4">
        <v>7623.54</v>
      </c>
      <c r="AE248" s="4">
        <v>4530.690000000001</v>
      </c>
      <c r="AF248" s="4">
        <v>24164.82</v>
      </c>
      <c r="AG248" s="4">
        <v>4737.78</v>
      </c>
      <c r="AH248" s="6">
        <f>Datos_originales!$H148/Datos_originales!$E148</f>
        <v>0.0009895797889</v>
      </c>
      <c r="AI248" s="6">
        <f>Datos_originales!$I148/Datos_originales!$E148</f>
        <v>0.0005132044051</v>
      </c>
      <c r="AJ248" s="6">
        <f>Datos_originales!$J148/Datos_originales!$E148</f>
        <v>0.0006661249064</v>
      </c>
      <c r="AK248" s="6">
        <f>Datos_originales!$K148/Datos_originales!$E148</f>
        <v>0.0008911021885</v>
      </c>
      <c r="AL248" s="6">
        <f>Datos_originales!$L148/Datos_originales!$E148</f>
        <v>0.0008230485623</v>
      </c>
      <c r="AM248" s="6">
        <f>Datos_originales!$M148/Datos_originales!$E148</f>
        <v>0.001018402501</v>
      </c>
      <c r="AN248" s="6">
        <f>Datos_originales!$N148/Datos_originales!$E148</f>
        <v>0.001702141287</v>
      </c>
      <c r="AO248" s="6">
        <f>Datos_originales!$O148/Datos_originales!$E148</f>
        <v>0.00229380752</v>
      </c>
      <c r="AP248" s="6">
        <f>Datos_originales!$P148/Datos_originales!$E148</f>
        <v>0.002048013835</v>
      </c>
      <c r="AQ248" s="6">
        <f>Datos_originales!$Q148/Datos_originales!$E148</f>
        <v>0.002594844738</v>
      </c>
      <c r="AR248" s="6">
        <f>Datos_originales!$R148/Datos_originales!$E148</f>
        <v>0.00131143341</v>
      </c>
      <c r="AS248" s="6">
        <f>Datos_originales!$S148/Datos_originales!$E148</f>
        <v>0.003707721685</v>
      </c>
      <c r="AT248" s="6">
        <f>Datos_originales!$T148/Datos_originales!$E148</f>
        <v>0.001315436564</v>
      </c>
      <c r="AU248" s="6">
        <f>Datos_originales!$U148/Datos_originales!$E148</f>
        <v>0.004940693266</v>
      </c>
      <c r="AV248" s="6">
        <f>Datos_originales!$V148/Datos_originales!$E148</f>
        <v>0.002818220758</v>
      </c>
      <c r="AW248" s="6">
        <f>Datos_originales!$W148/Datos_originales!$E148</f>
        <v>0.004725323555</v>
      </c>
      <c r="AX248" s="6">
        <f>Datos_originales!$X148/Datos_originales!$E148</f>
        <v>0.002686917291</v>
      </c>
      <c r="AY248" s="6">
        <f>Datos_originales!$Y148/Datos_originales!$E148</f>
        <v>0.00191831163</v>
      </c>
      <c r="AZ248" s="6">
        <f>Datos_originales!$Z148/Datos_originales!$E148</f>
        <v>0.00298955577</v>
      </c>
      <c r="BA248" s="6">
        <f>Datos_originales!$AA148/Datos_originales!$E148</f>
        <v>0.004206514734</v>
      </c>
      <c r="BB248" s="6">
        <f>Datos_originales!$AB148/Datos_originales!$E148</f>
        <v>0.005236926698</v>
      </c>
      <c r="BC248" s="6">
        <f>Datos_originales!$AC148/Datos_originales!$E148</f>
        <v>0.003466731785</v>
      </c>
      <c r="BD248" s="6">
        <f>Datos_originales!$AD148/Datos_originales!$E148</f>
        <v>0.003949512216</v>
      </c>
      <c r="BE248" s="6">
        <f>Datos_originales!$AE148/Datos_originales!$E148</f>
        <v>0.002253775975</v>
      </c>
      <c r="BF248" s="6">
        <f>Datos_originales!$AF148/Datos_originales!$E148</f>
        <v>0.006939868616</v>
      </c>
      <c r="BG248" s="6">
        <f>Datos_originales!$AG148/Datos_originales!$E148</f>
        <v>0.001403505963</v>
      </c>
    </row>
    <row r="249" ht="15.75" customHeight="1">
      <c r="A249" s="2">
        <v>60401.0</v>
      </c>
      <c r="B249" s="3" t="s">
        <v>301</v>
      </c>
      <c r="C249" s="4" t="s">
        <v>307</v>
      </c>
      <c r="D249" s="4">
        <f>IF(Datos_originales!$E249&lt;1000,"Bosque menor a 1000 ha",Datos_originales!$E249)</f>
        <v>12931.2</v>
      </c>
      <c r="E249" s="4">
        <v>12931.2</v>
      </c>
      <c r="F249" s="5">
        <f>AVERAGE(Datos_originales!$H50:$J50)</f>
        <v>0</v>
      </c>
      <c r="G249" s="5">
        <f>AVERAGE(Datos_originales!$R50:$T50)</f>
        <v>0</v>
      </c>
      <c r="H249" s="4">
        <v>5.04</v>
      </c>
      <c r="I249" s="4">
        <v>11.16</v>
      </c>
      <c r="J249" s="4">
        <v>47.43</v>
      </c>
      <c r="K249" s="4">
        <v>10.26</v>
      </c>
      <c r="L249" s="4">
        <v>10.62</v>
      </c>
      <c r="M249" s="4">
        <v>14.67</v>
      </c>
      <c r="N249" s="4">
        <v>12.69</v>
      </c>
      <c r="O249" s="4">
        <v>8.190000000000001</v>
      </c>
      <c r="P249" s="4">
        <v>9.45</v>
      </c>
      <c r="Q249" s="4">
        <v>10.98</v>
      </c>
      <c r="R249" s="4">
        <v>1.89</v>
      </c>
      <c r="S249" s="4">
        <v>8.01</v>
      </c>
      <c r="T249" s="4">
        <v>436.14</v>
      </c>
      <c r="U249" s="4">
        <v>48.06</v>
      </c>
      <c r="V249" s="4">
        <v>75.42</v>
      </c>
      <c r="W249" s="4">
        <v>205.56</v>
      </c>
      <c r="X249" s="4">
        <v>41.22</v>
      </c>
      <c r="Y249" s="4">
        <v>52.02</v>
      </c>
      <c r="Z249" s="4">
        <v>30.06</v>
      </c>
      <c r="AA249" s="4">
        <v>70.2</v>
      </c>
      <c r="AB249" s="4">
        <v>107.37</v>
      </c>
      <c r="AC249" s="4">
        <v>77.31</v>
      </c>
      <c r="AD249" s="4">
        <v>162.81</v>
      </c>
      <c r="AE249" s="4">
        <v>5.58</v>
      </c>
      <c r="AF249" s="4">
        <v>18.09</v>
      </c>
      <c r="AG249" s="4">
        <v>459.09</v>
      </c>
      <c r="AH249" s="6" t="str">
        <f>Datos_originales!$H50/Datos_originales!$E50</f>
        <v>#DIV/0!</v>
      </c>
      <c r="AI249" s="6" t="str">
        <f>Datos_originales!$I50/Datos_originales!$E50</f>
        <v>#DIV/0!</v>
      </c>
      <c r="AJ249" s="6" t="str">
        <f>Datos_originales!$J50/Datos_originales!$E50</f>
        <v>#DIV/0!</v>
      </c>
      <c r="AK249" s="6" t="str">
        <f>Datos_originales!$K50/Datos_originales!$E50</f>
        <v>#DIV/0!</v>
      </c>
      <c r="AL249" s="6" t="str">
        <f>Datos_originales!$L50/Datos_originales!$E50</f>
        <v>#DIV/0!</v>
      </c>
      <c r="AM249" s="6" t="str">
        <f>Datos_originales!$M50/Datos_originales!$E50</f>
        <v>#DIV/0!</v>
      </c>
      <c r="AN249" s="6" t="str">
        <f>Datos_originales!$N50/Datos_originales!$E50</f>
        <v>#DIV/0!</v>
      </c>
      <c r="AO249" s="6" t="str">
        <f>Datos_originales!$O50/Datos_originales!$E50</f>
        <v>#DIV/0!</v>
      </c>
      <c r="AP249" s="6" t="str">
        <f>Datos_originales!$P50/Datos_originales!$E50</f>
        <v>#DIV/0!</v>
      </c>
      <c r="AQ249" s="6" t="str">
        <f>Datos_originales!$Q50/Datos_originales!$E50</f>
        <v>#DIV/0!</v>
      </c>
      <c r="AR249" s="6" t="str">
        <f>Datos_originales!$R50/Datos_originales!$E50</f>
        <v>#DIV/0!</v>
      </c>
      <c r="AS249" s="6" t="str">
        <f>Datos_originales!$S50/Datos_originales!$E50</f>
        <v>#DIV/0!</v>
      </c>
      <c r="AT249" s="6" t="str">
        <f>Datos_originales!$T50/Datos_originales!$E50</f>
        <v>#DIV/0!</v>
      </c>
      <c r="AU249" s="6" t="str">
        <f>Datos_originales!$U50/Datos_originales!$E50</f>
        <v>#DIV/0!</v>
      </c>
      <c r="AV249" s="6" t="str">
        <f>Datos_originales!$V50/Datos_originales!$E50</f>
        <v>#DIV/0!</v>
      </c>
      <c r="AW249" s="6" t="str">
        <f>Datos_originales!$W50/Datos_originales!$E50</f>
        <v>#DIV/0!</v>
      </c>
      <c r="AX249" s="6" t="str">
        <f>Datos_originales!$X50/Datos_originales!$E50</f>
        <v>#DIV/0!</v>
      </c>
      <c r="AY249" s="6" t="str">
        <f>Datos_originales!$Y50/Datos_originales!$E50</f>
        <v>#DIV/0!</v>
      </c>
      <c r="AZ249" s="6" t="str">
        <f>Datos_originales!$Z50/Datos_originales!$E50</f>
        <v>#DIV/0!</v>
      </c>
      <c r="BA249" s="6" t="str">
        <f>Datos_originales!$AA50/Datos_originales!$E50</f>
        <v>#DIV/0!</v>
      </c>
      <c r="BB249" s="6" t="str">
        <f>Datos_originales!$AB50/Datos_originales!$E50</f>
        <v>#DIV/0!</v>
      </c>
      <c r="BC249" s="6" t="str">
        <f>Datos_originales!$AC50/Datos_originales!$E50</f>
        <v>#DIV/0!</v>
      </c>
      <c r="BD249" s="6" t="str">
        <f>Datos_originales!$AD50/Datos_originales!$E50</f>
        <v>#DIV/0!</v>
      </c>
      <c r="BE249" s="6" t="str">
        <f>Datos_originales!$AE50/Datos_originales!$E50</f>
        <v>#DIV/0!</v>
      </c>
      <c r="BF249" s="6" t="str">
        <f>Datos_originales!$AF50/Datos_originales!$E50</f>
        <v>#DIV/0!</v>
      </c>
      <c r="BG249" s="6" t="str">
        <f>Datos_originales!$AG50/Datos_originales!$E50</f>
        <v>#DIV/0!</v>
      </c>
    </row>
    <row r="250" ht="15.75" customHeight="1">
      <c r="A250" s="2">
        <v>60402.0</v>
      </c>
      <c r="B250" s="3" t="s">
        <v>301</v>
      </c>
      <c r="C250" s="4" t="s">
        <v>308</v>
      </c>
      <c r="D250" s="4" t="str">
        <f>IF(Datos_originales!$E250&lt;1000,"Bosque menor a 1000 ha",Datos_originales!$E250)</f>
        <v>Bosque menor a 1000 ha</v>
      </c>
      <c r="E250" s="4">
        <v>16.65</v>
      </c>
      <c r="F250" s="5">
        <f>AVERAGE(Datos_originales!$H13:$J13)</f>
        <v>12.66</v>
      </c>
      <c r="G250" s="5">
        <f>AVERAGE(Datos_originales!$R13:$T13)</f>
        <v>107.55</v>
      </c>
      <c r="H250" s="4">
        <v>0.09</v>
      </c>
      <c r="I250" s="4">
        <v>0.18</v>
      </c>
      <c r="J250" s="4">
        <v>0.0</v>
      </c>
      <c r="K250" s="4">
        <v>0.18</v>
      </c>
      <c r="L250" s="4">
        <v>0.81</v>
      </c>
      <c r="M250" s="4">
        <v>0.0</v>
      </c>
      <c r="N250" s="4">
        <v>0.45</v>
      </c>
      <c r="O250" s="4">
        <v>0.18</v>
      </c>
      <c r="P250" s="4">
        <v>0.0</v>
      </c>
      <c r="Q250" s="4">
        <v>0.09</v>
      </c>
      <c r="R250" s="4">
        <v>0.0</v>
      </c>
      <c r="S250" s="4">
        <v>0.0</v>
      </c>
      <c r="T250" s="4">
        <v>1.44</v>
      </c>
      <c r="U250" s="4">
        <v>0.09</v>
      </c>
      <c r="V250" s="4">
        <v>0.72</v>
      </c>
      <c r="W250" s="4">
        <v>0.36</v>
      </c>
      <c r="X250" s="4">
        <v>0.45</v>
      </c>
      <c r="Y250" s="4">
        <v>0.9</v>
      </c>
      <c r="Z250" s="4">
        <v>0.0</v>
      </c>
      <c r="AA250" s="4">
        <v>0.63</v>
      </c>
      <c r="AB250" s="4">
        <v>0.18</v>
      </c>
      <c r="AC250" s="4">
        <v>0.0</v>
      </c>
      <c r="AD250" s="4">
        <v>0.09</v>
      </c>
      <c r="AE250" s="4">
        <v>0.0</v>
      </c>
      <c r="AF250" s="4">
        <v>0.0</v>
      </c>
      <c r="AG250" s="4">
        <v>6.93</v>
      </c>
      <c r="AH250" s="6">
        <f>Datos_originales!$H13/Datos_originales!$E13</f>
        <v>0.0003533011103</v>
      </c>
      <c r="AI250" s="6">
        <f>Datos_originales!$I13/Datos_originales!$E13</f>
        <v>0.0006201562042</v>
      </c>
      <c r="AJ250" s="6">
        <f>Datos_originales!$J13/Datos_originales!$E13</f>
        <v>0.0006126391593</v>
      </c>
      <c r="AK250" s="6">
        <f>Datos_originales!$K13/Datos_originales!$E13</f>
        <v>0.0002330283919</v>
      </c>
      <c r="AL250" s="6">
        <f>Datos_originales!$L13/Datos_originales!$E13</f>
        <v>0.0001277897633</v>
      </c>
      <c r="AM250" s="6">
        <f>Datos_originales!$M13/Datos_originales!$E13</f>
        <v>0.0001728920327</v>
      </c>
      <c r="AN250" s="6">
        <f>Datos_originales!$N13/Datos_originales!$E13</f>
        <v>0.0002894062286</v>
      </c>
      <c r="AO250" s="6">
        <f>Datos_originales!$O13/Datos_originales!$E13</f>
        <v>0.0002668550939</v>
      </c>
      <c r="AP250" s="6">
        <f>Datos_originales!$P13/Datos_originales!$E13</f>
        <v>0.001127556735</v>
      </c>
      <c r="AQ250" s="6">
        <f>Datos_originales!$Q13/Datos_originales!$E13</f>
        <v>0.000108997151</v>
      </c>
      <c r="AR250" s="6">
        <f>Datos_originales!$R13/Datos_originales!$E13</f>
        <v>0.00009396306124</v>
      </c>
      <c r="AS250" s="6">
        <f>Datos_originales!$S13/Datos_originales!$E13</f>
        <v>0.0105802407</v>
      </c>
      <c r="AT250" s="6">
        <f>Datos_originales!$T13/Datos_originales!$E13</f>
        <v>0.002800099225</v>
      </c>
      <c r="AU250" s="6">
        <f>Datos_originales!$U13/Datos_originales!$E13</f>
        <v>0.0008569431185</v>
      </c>
      <c r="AV250" s="6">
        <f>Datos_originales!$V13/Datos_originales!$E13</f>
        <v>0.002300215739</v>
      </c>
      <c r="AW250" s="6">
        <f>Datos_originales!$W13/Datos_originales!$E13</f>
        <v>0.009963843014</v>
      </c>
      <c r="AX250" s="6">
        <f>Datos_originales!$X13/Datos_originales!$E13</f>
        <v>0.0006577414287</v>
      </c>
      <c r="AY250" s="6">
        <f>Datos_originales!$Y13/Datos_originales!$E13</f>
        <v>0.0003720937225</v>
      </c>
      <c r="AZ250" s="6">
        <f>Datos_originales!$Z13/Datos_originales!$E13</f>
        <v>0.0005224346205</v>
      </c>
      <c r="BA250" s="6">
        <f>Datos_originales!$AA13/Datos_originales!$E13</f>
        <v>0.0006163976817</v>
      </c>
      <c r="BB250" s="6">
        <f>Datos_originales!$AB13/Datos_originales!$E13</f>
        <v>0.001108764123</v>
      </c>
      <c r="BC250" s="6">
        <f>Datos_originales!$AC13/Datos_originales!$E13</f>
        <v>0.001916846449</v>
      </c>
      <c r="BD250" s="6">
        <f>Datos_originales!$AD13/Datos_originales!$E13</f>
        <v>0.000108997151</v>
      </c>
      <c r="BE250" s="6">
        <f>Datos_originales!$AE13/Datos_originales!$E13</f>
        <v>0.004762047944</v>
      </c>
      <c r="BF250" s="6">
        <f>Datos_originales!$AF13/Datos_originales!$E13</f>
        <v>0.01872120032</v>
      </c>
      <c r="BG250" s="6">
        <f>Datos_originales!$AG13/Datos_originales!$E13</f>
        <v>0.003446565086</v>
      </c>
    </row>
    <row r="251" ht="15.75" customHeight="1">
      <c r="A251" s="2">
        <v>60501.0</v>
      </c>
      <c r="B251" s="3" t="s">
        <v>301</v>
      </c>
      <c r="C251" s="4" t="s">
        <v>309</v>
      </c>
      <c r="D251" s="4">
        <f>IF(Datos_originales!$E251&lt;1000,"Bosque menor a 1000 ha",Datos_originales!$E251)</f>
        <v>58561.11</v>
      </c>
      <c r="E251" s="4">
        <v>58561.11</v>
      </c>
      <c r="F251" s="5">
        <f>AVERAGE(Datos_originales!$H125:$J125)</f>
        <v>0.03</v>
      </c>
      <c r="G251" s="5">
        <f>AVERAGE(Datos_originales!$R125:$T125)</f>
        <v>0.66</v>
      </c>
      <c r="H251" s="4">
        <v>15.48</v>
      </c>
      <c r="I251" s="4">
        <v>41.31</v>
      </c>
      <c r="J251" s="4">
        <v>71.91</v>
      </c>
      <c r="K251" s="4">
        <v>22.68</v>
      </c>
      <c r="L251" s="4">
        <v>30.33</v>
      </c>
      <c r="M251" s="4">
        <v>48.78</v>
      </c>
      <c r="N251" s="4">
        <v>62.73</v>
      </c>
      <c r="O251" s="4">
        <v>53.01</v>
      </c>
      <c r="P251" s="4">
        <v>42.93</v>
      </c>
      <c r="Q251" s="4">
        <v>41.4</v>
      </c>
      <c r="R251" s="4">
        <v>8.1</v>
      </c>
      <c r="S251" s="4">
        <v>200.97</v>
      </c>
      <c r="T251" s="4">
        <v>390.96</v>
      </c>
      <c r="U251" s="4">
        <v>94.05</v>
      </c>
      <c r="V251" s="4">
        <v>131.58</v>
      </c>
      <c r="W251" s="4">
        <v>450.81</v>
      </c>
      <c r="X251" s="4">
        <v>45.27</v>
      </c>
      <c r="Y251" s="4">
        <v>115.2</v>
      </c>
      <c r="Z251" s="4">
        <v>93.42</v>
      </c>
      <c r="AA251" s="4">
        <v>131.58</v>
      </c>
      <c r="AB251" s="4">
        <v>159.21</v>
      </c>
      <c r="AC251" s="4">
        <v>119.97</v>
      </c>
      <c r="AD251" s="4">
        <v>204.48</v>
      </c>
      <c r="AE251" s="4">
        <v>15.75</v>
      </c>
      <c r="AF251" s="4">
        <v>224.55</v>
      </c>
      <c r="AG251" s="4">
        <v>420.75</v>
      </c>
      <c r="AH251" s="6">
        <f>Datos_originales!$H125/Datos_originales!$E125</f>
        <v>0.0001810938066</v>
      </c>
      <c r="AI251" s="6">
        <f>Datos_originales!$I125/Datos_originales!$E125</f>
        <v>0</v>
      </c>
      <c r="AJ251" s="6">
        <f>Datos_originales!$J125/Datos_originales!$E125</f>
        <v>0</v>
      </c>
      <c r="AK251" s="6">
        <f>Datos_originales!$K125/Datos_originales!$E125</f>
        <v>0.001267656646</v>
      </c>
      <c r="AL251" s="6">
        <f>Datos_originales!$L125/Datos_originales!$E125</f>
        <v>0</v>
      </c>
      <c r="AM251" s="6">
        <f>Datos_originales!$M125/Datos_originales!$E125</f>
        <v>0.0001810938066</v>
      </c>
      <c r="AN251" s="6">
        <f>Datos_originales!$N125/Datos_originales!$E125</f>
        <v>0</v>
      </c>
      <c r="AO251" s="6">
        <f>Datos_originales!$O125/Datos_originales!$E125</f>
        <v>0</v>
      </c>
      <c r="AP251" s="6">
        <f>Datos_originales!$P125/Datos_originales!$E125</f>
        <v>0.0003621876132</v>
      </c>
      <c r="AQ251" s="6">
        <f>Datos_originales!$Q125/Datos_originales!$E125</f>
        <v>0.00108656284</v>
      </c>
      <c r="AR251" s="6">
        <f>Datos_originales!$R125/Datos_originales!$E125</f>
        <v>0.001267656646</v>
      </c>
      <c r="AS251" s="6">
        <f>Datos_originales!$S125/Datos_originales!$E125</f>
        <v>0.002535313292</v>
      </c>
      <c r="AT251" s="6">
        <f>Datos_originales!$T125/Datos_originales!$E125</f>
        <v>0.0001810938066</v>
      </c>
      <c r="AU251" s="6">
        <f>Datos_originales!$U125/Datos_originales!$E125</f>
        <v>0.001629844259</v>
      </c>
      <c r="AV251" s="6">
        <f>Datos_originales!$V125/Datos_originales!$E125</f>
        <v>0.001448750453</v>
      </c>
      <c r="AW251" s="6">
        <f>Datos_originales!$W125/Datos_originales!$E125</f>
        <v>0.02318000724</v>
      </c>
      <c r="AX251" s="6">
        <f>Datos_originales!$X125/Datos_originales!$E125</f>
        <v>0.008873596523</v>
      </c>
      <c r="AY251" s="6">
        <f>Datos_originales!$Y125/Datos_originales!$E125</f>
        <v>0.004346251358</v>
      </c>
      <c r="AZ251" s="6">
        <f>Datos_originales!$Z125/Datos_originales!$E125</f>
        <v>0.04328141978</v>
      </c>
      <c r="BA251" s="6">
        <f>Datos_originales!$AA125/Datos_originales!$E125</f>
        <v>0.03060485331</v>
      </c>
      <c r="BB251" s="6">
        <f>Datos_originales!$AB125/Datos_originales!$E125</f>
        <v>0.06428830134</v>
      </c>
      <c r="BC251" s="6">
        <f>Datos_originales!$AC125/Datos_originales!$E125</f>
        <v>0.02571532054</v>
      </c>
      <c r="BD251" s="6">
        <f>Datos_originales!$AD125/Datos_originales!$E125</f>
        <v>0.00108656284</v>
      </c>
      <c r="BE251" s="6">
        <f>Datos_originales!$AE125/Datos_originales!$E125</f>
        <v>0.001810938066</v>
      </c>
      <c r="BF251" s="6">
        <f>Datos_originales!$AF125/Datos_originales!$E125</f>
        <v>0.006700470844</v>
      </c>
      <c r="BG251" s="6">
        <f>Datos_originales!$AG125/Datos_originales!$E125</f>
        <v>0.0001810938066</v>
      </c>
    </row>
    <row r="252" ht="15.75" customHeight="1">
      <c r="A252" s="2">
        <v>60502.0</v>
      </c>
      <c r="B252" s="3" t="s">
        <v>301</v>
      </c>
      <c r="C252" s="4" t="s">
        <v>310</v>
      </c>
      <c r="D252" s="4" t="str">
        <f>IF(Datos_originales!$E252&lt;1000,"Bosque menor a 1000 ha",Datos_originales!$E252)</f>
        <v>Bosque menor a 1000 ha</v>
      </c>
      <c r="E252" s="4">
        <v>559.35</v>
      </c>
      <c r="F252" s="5">
        <f>AVERAGE(Datos_originales!$H21:$J21)</f>
        <v>43.41</v>
      </c>
      <c r="G252" s="5">
        <f>AVERAGE(Datos_originales!$R21:$T21)</f>
        <v>19.83</v>
      </c>
      <c r="H252" s="4">
        <v>0.54</v>
      </c>
      <c r="I252" s="4">
        <v>1.53</v>
      </c>
      <c r="J252" s="4">
        <v>4.59</v>
      </c>
      <c r="K252" s="4">
        <v>0.9</v>
      </c>
      <c r="L252" s="4">
        <v>2.97</v>
      </c>
      <c r="M252" s="4">
        <v>3.51</v>
      </c>
      <c r="N252" s="4">
        <v>3.6</v>
      </c>
      <c r="O252" s="4">
        <v>2.43</v>
      </c>
      <c r="P252" s="4">
        <v>0.54</v>
      </c>
      <c r="Q252" s="4">
        <v>0.72</v>
      </c>
      <c r="R252" s="4">
        <v>0.0</v>
      </c>
      <c r="S252" s="4">
        <v>0.99</v>
      </c>
      <c r="T252" s="4">
        <v>12.15</v>
      </c>
      <c r="U252" s="4">
        <v>2.25</v>
      </c>
      <c r="V252" s="4">
        <v>4.86</v>
      </c>
      <c r="W252" s="4">
        <v>17.37</v>
      </c>
      <c r="X252" s="4">
        <v>1.8</v>
      </c>
      <c r="Y252" s="4">
        <v>4.32</v>
      </c>
      <c r="Z252" s="4">
        <v>4.95</v>
      </c>
      <c r="AA252" s="4">
        <v>4.86</v>
      </c>
      <c r="AB252" s="4">
        <v>4.05</v>
      </c>
      <c r="AC252" s="4">
        <v>1.35</v>
      </c>
      <c r="AD252" s="4">
        <v>3.33</v>
      </c>
      <c r="AE252" s="4">
        <v>0.54</v>
      </c>
      <c r="AF252" s="4">
        <v>1.35</v>
      </c>
      <c r="AG252" s="4">
        <v>105.75</v>
      </c>
      <c r="AH252" s="6">
        <f>Datos_originales!$H21/Datos_originales!$E21</f>
        <v>0.0006493087752</v>
      </c>
      <c r="AI252" s="6">
        <f>Datos_originales!$I21/Datos_originales!$E21</f>
        <v>0.0009717395027</v>
      </c>
      <c r="AJ252" s="6">
        <f>Datos_originales!$J21/Datos_originales!$E21</f>
        <v>0.001596588016</v>
      </c>
      <c r="AK252" s="6">
        <f>Datos_originales!$K21/Datos_originales!$E21</f>
        <v>0.001160750619</v>
      </c>
      <c r="AL252" s="6">
        <f>Datos_originales!$L21/Datos_originales!$E21</f>
        <v>0.001116277415</v>
      </c>
      <c r="AM252" s="6">
        <f>Datos_originales!$M21/Datos_originales!$E21</f>
        <v>0.00211914816</v>
      </c>
      <c r="AN252" s="6">
        <f>Datos_originales!$N21/Datos_originales!$E21</f>
        <v>0.002199199927</v>
      </c>
      <c r="AO252" s="6">
        <f>Datos_originales!$O21/Datos_originales!$E21</f>
        <v>0.001694429064</v>
      </c>
      <c r="AP252" s="6">
        <f>Datos_originales!$P21/Datos_originales!$E21</f>
        <v>0.0007449261634</v>
      </c>
      <c r="AQ252" s="6">
        <f>Datos_originales!$Q21/Datos_originales!$E21</f>
        <v>0.0002579445819</v>
      </c>
      <c r="AR252" s="6">
        <f>Datos_originales!$R21/Datos_originales!$E21</f>
        <v>0.0002379316402</v>
      </c>
      <c r="AS252" s="6">
        <f>Datos_originales!$S21/Datos_originales!$E21</f>
        <v>0.0002534972616</v>
      </c>
      <c r="AT252" s="6">
        <f>Datos_originales!$T21/Datos_originales!$E21</f>
        <v>0.0009784104832</v>
      </c>
      <c r="AU252" s="6">
        <f>Datos_originales!$U21/Datos_originales!$E21</f>
        <v>0.0008160832894</v>
      </c>
      <c r="AV252" s="6">
        <f>Datos_originales!$V21/Datos_originales!$E21</f>
        <v>0.001283051929</v>
      </c>
      <c r="AW252" s="6">
        <f>Datos_originales!$W21/Datos_originales!$E21</f>
        <v>0.006893346586</v>
      </c>
      <c r="AX252" s="6">
        <f>Datos_originales!$X21/Datos_originales!$E21</f>
        <v>0.001351985395</v>
      </c>
      <c r="AY252" s="6">
        <f>Datos_originales!$Y21/Datos_originales!$E21</f>
        <v>0.001269709968</v>
      </c>
      <c r="AZ252" s="6">
        <f>Datos_originales!$Z21/Datos_originales!$E21</f>
        <v>0.002294817315</v>
      </c>
      <c r="BA252" s="6">
        <f>Datos_originales!$AA21/Datos_originales!$E21</f>
        <v>0.002412671305</v>
      </c>
      <c r="BB252" s="6">
        <f>Datos_originales!$AB21/Datos_originales!$E21</f>
        <v>0.00199684685</v>
      </c>
      <c r="BC252" s="6">
        <f>Datos_originales!$AC21/Datos_originales!$E21</f>
        <v>0.0009117006775</v>
      </c>
      <c r="BD252" s="6">
        <f>Datos_originales!$AD21/Datos_originales!$E21</f>
        <v>0.0007004529596</v>
      </c>
      <c r="BE252" s="6">
        <f>Datos_originales!$AE21/Datos_originales!$E21</f>
        <v>0.0002801811838</v>
      </c>
      <c r="BF252" s="6">
        <f>Datos_originales!$AF21/Datos_originales!$E21</f>
        <v>0.0003357726886</v>
      </c>
      <c r="BG252" s="6">
        <f>Datos_originales!$AG21/Datos_originales!$E21</f>
        <v>0.0204932523</v>
      </c>
    </row>
    <row r="253" ht="15.75" customHeight="1">
      <c r="A253" s="2">
        <v>60601.0</v>
      </c>
      <c r="B253" s="3" t="s">
        <v>301</v>
      </c>
      <c r="C253" s="4" t="s">
        <v>212</v>
      </c>
      <c r="D253" s="4">
        <f>IF(Datos_originales!$E253&lt;1000,"Bosque menor a 1000 ha",Datos_originales!$E253)</f>
        <v>553532.13</v>
      </c>
      <c r="E253" s="4">
        <v>553532.13</v>
      </c>
      <c r="F253" s="5">
        <f>AVERAGE(Datos_originales!$H152:$J152)</f>
        <v>1733.85</v>
      </c>
      <c r="G253" s="5">
        <f>AVERAGE(Datos_originales!$R152:$T152)</f>
        <v>1931.91</v>
      </c>
      <c r="H253" s="4">
        <v>319.68</v>
      </c>
      <c r="I253" s="4">
        <v>493.92</v>
      </c>
      <c r="J253" s="4">
        <v>731.88</v>
      </c>
      <c r="K253" s="4">
        <v>311.4</v>
      </c>
      <c r="L253" s="4">
        <v>868.5</v>
      </c>
      <c r="M253" s="4">
        <v>1166.94</v>
      </c>
      <c r="N253" s="4">
        <v>629.55</v>
      </c>
      <c r="O253" s="4">
        <v>802.71</v>
      </c>
      <c r="P253" s="4">
        <v>1457.64</v>
      </c>
      <c r="Q253" s="4">
        <v>1470.42</v>
      </c>
      <c r="R253" s="4">
        <v>1428.3</v>
      </c>
      <c r="S253" s="4">
        <v>5354.190000000001</v>
      </c>
      <c r="T253" s="4">
        <v>2306.07</v>
      </c>
      <c r="U253" s="4">
        <v>476.73</v>
      </c>
      <c r="V253" s="4">
        <v>567.72</v>
      </c>
      <c r="W253" s="4">
        <v>987.48</v>
      </c>
      <c r="X253" s="4">
        <v>371.16</v>
      </c>
      <c r="Y253" s="4">
        <v>936.99</v>
      </c>
      <c r="Z253" s="4">
        <v>1207.08</v>
      </c>
      <c r="AA253" s="4">
        <v>691.9200000000001</v>
      </c>
      <c r="AB253" s="4">
        <v>902.07</v>
      </c>
      <c r="AC253" s="4">
        <v>1488.96</v>
      </c>
      <c r="AD253" s="4">
        <v>1534.95</v>
      </c>
      <c r="AE253" s="4">
        <v>2190.96</v>
      </c>
      <c r="AF253" s="4">
        <v>5424.030000000001</v>
      </c>
      <c r="AG253" s="4">
        <v>2494.98</v>
      </c>
      <c r="AH253" s="6">
        <f>Datos_originales!$H152/Datos_originales!$E152</f>
        <v>0.01063312263</v>
      </c>
      <c r="AI253" s="6">
        <f>Datos_originales!$I152/Datos_originales!$E152</f>
        <v>0.01275259957</v>
      </c>
      <c r="AJ253" s="6">
        <f>Datos_originales!$J152/Datos_originales!$E152</f>
        <v>0.0187667795</v>
      </c>
      <c r="AK253" s="6">
        <f>Datos_originales!$K152/Datos_originales!$E152</f>
        <v>0.01194448517</v>
      </c>
      <c r="AL253" s="6">
        <f>Datos_originales!$L152/Datos_originales!$E152</f>
        <v>0.009420951022</v>
      </c>
      <c r="AM253" s="6">
        <f>Datos_originales!$M152/Datos_originales!$E152</f>
        <v>0.01223330584</v>
      </c>
      <c r="AN253" s="6">
        <f>Datos_originales!$N152/Datos_originales!$E152</f>
        <v>0.01320114682</v>
      </c>
      <c r="AO253" s="6">
        <f>Datos_originales!$O152/Datos_originales!$E152</f>
        <v>0.01052517955</v>
      </c>
      <c r="AP253" s="6">
        <f>Datos_originales!$P152/Datos_originales!$E152</f>
        <v>0.02171333381</v>
      </c>
      <c r="AQ253" s="6">
        <f>Datos_originales!$Q152/Datos_originales!$E152</f>
        <v>0.0300475606</v>
      </c>
      <c r="AR253" s="6">
        <f>Datos_originales!$R152/Datos_originales!$E152</f>
        <v>0.003427192758</v>
      </c>
      <c r="AS253" s="6">
        <f>Datos_originales!$S152/Datos_originales!$E152</f>
        <v>0.02555771199</v>
      </c>
      <c r="AT253" s="6">
        <f>Datos_originales!$T152/Datos_originales!$E152</f>
        <v>0.01798273348</v>
      </c>
      <c r="AU253" s="6">
        <f>Datos_originales!$U152/Datos_originales!$E152</f>
        <v>0.0162067781</v>
      </c>
      <c r="AV253" s="6">
        <f>Datos_originales!$V152/Datos_originales!$E152</f>
        <v>0.01617104018</v>
      </c>
      <c r="AW253" s="6">
        <f>Datos_originales!$W152/Datos_originales!$E152</f>
        <v>0.02253457643</v>
      </c>
      <c r="AX253" s="6">
        <f>Datos_originales!$X152/Datos_originales!$E152</f>
        <v>0.01647007169</v>
      </c>
      <c r="AY253" s="6">
        <f>Datos_originales!$Y152/Datos_originales!$E152</f>
        <v>0.01090443901</v>
      </c>
      <c r="AZ253" s="6">
        <f>Datos_originales!$Z152/Datos_originales!$E152</f>
        <v>0.01392903326</v>
      </c>
      <c r="BA253" s="6">
        <f>Datos_originales!$AA152/Datos_originales!$E152</f>
        <v>0.0157348918</v>
      </c>
      <c r="BB253" s="6">
        <f>Datos_originales!$AB152/Datos_originales!$E152</f>
        <v>0.01345058286</v>
      </c>
      <c r="BC253" s="6">
        <f>Datos_originales!$AC152/Datos_originales!$E152</f>
        <v>0.02372559702</v>
      </c>
      <c r="BD253" s="6">
        <f>Datos_originales!$AD152/Datos_originales!$E152</f>
        <v>0.03296858783</v>
      </c>
      <c r="BE253" s="6">
        <f>Datos_originales!$AE152/Datos_originales!$E152</f>
        <v>0.004706464113</v>
      </c>
      <c r="BF253" s="6">
        <f>Datos_originales!$AF152/Datos_originales!$E152</f>
        <v>0.03043630155</v>
      </c>
      <c r="BG253" s="6">
        <f>Datos_originales!$AG152/Datos_originales!$E152</f>
        <v>0.01870843189</v>
      </c>
    </row>
    <row r="254" ht="15.75" customHeight="1">
      <c r="A254" s="2">
        <v>70101.0</v>
      </c>
      <c r="B254" s="3" t="s">
        <v>311</v>
      </c>
      <c r="C254" s="4" t="s">
        <v>312</v>
      </c>
      <c r="D254" s="4">
        <f>IF(Datos_originales!$E254&lt;1000,"Bosque menor a 1000 ha",Datos_originales!$E254)</f>
        <v>23281.02</v>
      </c>
      <c r="E254" s="4">
        <v>23281.02</v>
      </c>
      <c r="F254" s="5">
        <f>AVERAGE(Datos_originales!$H42:$J42)</f>
        <v>0</v>
      </c>
      <c r="G254" s="5">
        <f>AVERAGE(Datos_originales!$R42:$T42)</f>
        <v>0</v>
      </c>
      <c r="H254" s="4">
        <v>2353.95</v>
      </c>
      <c r="I254" s="4">
        <v>1699.02</v>
      </c>
      <c r="J254" s="4">
        <v>1093.86</v>
      </c>
      <c r="K254" s="4">
        <v>1085.76</v>
      </c>
      <c r="L254" s="4">
        <v>629.37</v>
      </c>
      <c r="M254" s="4">
        <v>851.22</v>
      </c>
      <c r="N254" s="4">
        <v>431.1</v>
      </c>
      <c r="O254" s="4">
        <v>531.1800000000001</v>
      </c>
      <c r="P254" s="4">
        <v>420.84</v>
      </c>
      <c r="Q254" s="4">
        <v>705.6</v>
      </c>
      <c r="R254" s="4">
        <v>338.4</v>
      </c>
      <c r="S254" s="4">
        <v>1341.54</v>
      </c>
      <c r="T254" s="4">
        <v>914.49</v>
      </c>
      <c r="U254" s="4">
        <v>2459.43</v>
      </c>
      <c r="V254" s="4">
        <v>1786.23</v>
      </c>
      <c r="W254" s="4">
        <v>1160.28</v>
      </c>
      <c r="X254" s="4">
        <v>1131.84</v>
      </c>
      <c r="Y254" s="4">
        <v>660.6</v>
      </c>
      <c r="Z254" s="4">
        <v>871.9200000000001</v>
      </c>
      <c r="AA254" s="4">
        <v>517.32</v>
      </c>
      <c r="AB254" s="4">
        <v>555.21</v>
      </c>
      <c r="AC254" s="4">
        <v>436.23</v>
      </c>
      <c r="AD254" s="4">
        <v>798.12</v>
      </c>
      <c r="AE254" s="4">
        <v>396.27</v>
      </c>
      <c r="AF254" s="4">
        <v>1354.05</v>
      </c>
      <c r="AG254" s="4">
        <v>980.01</v>
      </c>
      <c r="AH254" s="6" t="str">
        <f>Datos_originales!$H42/Datos_originales!$E42</f>
        <v>#DIV/0!</v>
      </c>
      <c r="AI254" s="6" t="str">
        <f>Datos_originales!$I42/Datos_originales!$E42</f>
        <v>#DIV/0!</v>
      </c>
      <c r="AJ254" s="6" t="str">
        <f>Datos_originales!$J42/Datos_originales!$E42</f>
        <v>#DIV/0!</v>
      </c>
      <c r="AK254" s="6" t="str">
        <f>Datos_originales!$K42/Datos_originales!$E42</f>
        <v>#DIV/0!</v>
      </c>
      <c r="AL254" s="6" t="str">
        <f>Datos_originales!$L42/Datos_originales!$E42</f>
        <v>#DIV/0!</v>
      </c>
      <c r="AM254" s="6" t="str">
        <f>Datos_originales!$M42/Datos_originales!$E42</f>
        <v>#DIV/0!</v>
      </c>
      <c r="AN254" s="6" t="str">
        <f>Datos_originales!$N42/Datos_originales!$E42</f>
        <v>#DIV/0!</v>
      </c>
      <c r="AO254" s="6" t="str">
        <f>Datos_originales!$O42/Datos_originales!$E42</f>
        <v>#DIV/0!</v>
      </c>
      <c r="AP254" s="6" t="str">
        <f>Datos_originales!$P42/Datos_originales!$E42</f>
        <v>#DIV/0!</v>
      </c>
      <c r="AQ254" s="6" t="str">
        <f>Datos_originales!$Q42/Datos_originales!$E42</f>
        <v>#DIV/0!</v>
      </c>
      <c r="AR254" s="6" t="str">
        <f>Datos_originales!$R42/Datos_originales!$E42</f>
        <v>#DIV/0!</v>
      </c>
      <c r="AS254" s="6" t="str">
        <f>Datos_originales!$S42/Datos_originales!$E42</f>
        <v>#DIV/0!</v>
      </c>
      <c r="AT254" s="6" t="str">
        <f>Datos_originales!$T42/Datos_originales!$E42</f>
        <v>#DIV/0!</v>
      </c>
      <c r="AU254" s="6" t="str">
        <f>Datos_originales!$U42/Datos_originales!$E42</f>
        <v>#DIV/0!</v>
      </c>
      <c r="AV254" s="6" t="str">
        <f>Datos_originales!$V42/Datos_originales!$E42</f>
        <v>#DIV/0!</v>
      </c>
      <c r="AW254" s="6" t="str">
        <f>Datos_originales!$W42/Datos_originales!$E42</f>
        <v>#DIV/0!</v>
      </c>
      <c r="AX254" s="6" t="str">
        <f>Datos_originales!$X42/Datos_originales!$E42</f>
        <v>#DIV/0!</v>
      </c>
      <c r="AY254" s="6" t="str">
        <f>Datos_originales!$Y42/Datos_originales!$E42</f>
        <v>#DIV/0!</v>
      </c>
      <c r="AZ254" s="6" t="str">
        <f>Datos_originales!$Z42/Datos_originales!$E42</f>
        <v>#DIV/0!</v>
      </c>
      <c r="BA254" s="6" t="str">
        <f>Datos_originales!$AA42/Datos_originales!$E42</f>
        <v>#DIV/0!</v>
      </c>
      <c r="BB254" s="6" t="str">
        <f>Datos_originales!$AB42/Datos_originales!$E42</f>
        <v>#DIV/0!</v>
      </c>
      <c r="BC254" s="6" t="str">
        <f>Datos_originales!$AC42/Datos_originales!$E42</f>
        <v>#DIV/0!</v>
      </c>
      <c r="BD254" s="6" t="str">
        <f>Datos_originales!$AD42/Datos_originales!$E42</f>
        <v>#DIV/0!</v>
      </c>
      <c r="BE254" s="6" t="str">
        <f>Datos_originales!$AE42/Datos_originales!$E42</f>
        <v>#DIV/0!</v>
      </c>
      <c r="BF254" s="6" t="str">
        <f>Datos_originales!$AF42/Datos_originales!$E42</f>
        <v>#DIV/0!</v>
      </c>
      <c r="BG254" s="6" t="str">
        <f>Datos_originales!$AG42/Datos_originales!$E42</f>
        <v>#DIV/0!</v>
      </c>
    </row>
    <row r="255" ht="15.75" customHeight="1">
      <c r="A255" s="2">
        <v>70102.0</v>
      </c>
      <c r="B255" s="3" t="s">
        <v>311</v>
      </c>
      <c r="C255" s="4" t="s">
        <v>313</v>
      </c>
      <c r="D255" s="4">
        <f>IF(Datos_originales!$E255&lt;1000,"Bosque menor a 1000 ha",Datos_originales!$E255)</f>
        <v>10462.59</v>
      </c>
      <c r="E255" s="4">
        <v>10462.59</v>
      </c>
      <c r="F255" s="5">
        <f>AVERAGE(Datos_originales!$H31:$J31)</f>
        <v>25.44</v>
      </c>
      <c r="G255" s="5">
        <f>AVERAGE(Datos_originales!$R31:$T31)</f>
        <v>190.98</v>
      </c>
      <c r="H255" s="4">
        <v>655.74</v>
      </c>
      <c r="I255" s="4">
        <v>648.81</v>
      </c>
      <c r="J255" s="4">
        <v>530.55</v>
      </c>
      <c r="K255" s="4">
        <v>625.23</v>
      </c>
      <c r="L255" s="4">
        <v>243.45</v>
      </c>
      <c r="M255" s="4">
        <v>312.84</v>
      </c>
      <c r="N255" s="4">
        <v>270.54</v>
      </c>
      <c r="O255" s="4">
        <v>232.02</v>
      </c>
      <c r="P255" s="4">
        <v>92.07</v>
      </c>
      <c r="Q255" s="4">
        <v>217.62</v>
      </c>
      <c r="R255" s="4">
        <v>31.14</v>
      </c>
      <c r="S255" s="4">
        <v>741.15</v>
      </c>
      <c r="T255" s="4">
        <v>695.52</v>
      </c>
      <c r="U255" s="4">
        <v>687.3299999999999</v>
      </c>
      <c r="V255" s="4">
        <v>673.02</v>
      </c>
      <c r="W255" s="4">
        <v>567.45</v>
      </c>
      <c r="X255" s="4">
        <v>636.57</v>
      </c>
      <c r="Y255" s="4">
        <v>249.93</v>
      </c>
      <c r="Z255" s="4">
        <v>321.66</v>
      </c>
      <c r="AA255" s="4">
        <v>298.8</v>
      </c>
      <c r="AB255" s="4">
        <v>241.92</v>
      </c>
      <c r="AC255" s="4">
        <v>93.96000000000001</v>
      </c>
      <c r="AD255" s="4">
        <v>219.24</v>
      </c>
      <c r="AE255" s="4">
        <v>35.73</v>
      </c>
      <c r="AF255" s="4">
        <v>743.5799999999999</v>
      </c>
      <c r="AG255" s="4">
        <v>700.29</v>
      </c>
      <c r="AH255" s="6">
        <f>Datos_originales!$H31/Datos_originales!$E31</f>
        <v>0.0002323095749</v>
      </c>
      <c r="AI255" s="6">
        <f>Datos_originales!$I31/Datos_originales!$E31</f>
        <v>0.0002883491654</v>
      </c>
      <c r="AJ255" s="6">
        <f>Datos_originales!$J31/Datos_originales!$E31</f>
        <v>0.0003433698542</v>
      </c>
      <c r="AK255" s="6">
        <f>Datos_originales!$K31/Datos_originales!$E31</f>
        <v>0.0002567632144</v>
      </c>
      <c r="AL255" s="6">
        <f>Datos_originales!$L31/Datos_originales!$E31</f>
        <v>0.0003963527397</v>
      </c>
      <c r="AM255" s="6">
        <f>Datos_originales!$M31/Datos_originales!$E31</f>
        <v>0.0001620053615</v>
      </c>
      <c r="AN255" s="6">
        <f>Datos_originales!$N31/Datos_originales!$E31</f>
        <v>0.0006011519702</v>
      </c>
      <c r="AO255" s="6">
        <f>Datos_originales!$O31/Datos_originales!$E31</f>
        <v>0.0004422033137</v>
      </c>
      <c r="AP255" s="6">
        <f>Datos_originales!$P31/Datos_originales!$E31</f>
        <v>0.0009373895129</v>
      </c>
      <c r="AQ255" s="6">
        <f>Datos_originales!$Q31/Datos_originales!$E31</f>
        <v>0.0004819404778</v>
      </c>
      <c r="AR255" s="6">
        <f>Datos_originales!$R31/Datos_originales!$E31</f>
        <v>0.000352539969</v>
      </c>
      <c r="AS255" s="6">
        <f>Datos_originales!$S31/Datos_originales!$E31</f>
        <v>0.004577925088</v>
      </c>
      <c r="AT255" s="6">
        <f>Datos_originales!$T31/Datos_originales!$E31</f>
        <v>0.001555862811</v>
      </c>
      <c r="AU255" s="6">
        <f>Datos_originales!$U31/Datos_originales!$E31</f>
        <v>0.001252230121</v>
      </c>
      <c r="AV255" s="6">
        <f>Datos_originales!$V31/Datos_originales!$E31</f>
        <v>0.000868104201</v>
      </c>
      <c r="AW255" s="6">
        <f>Datos_originales!$W31/Datos_originales!$E31</f>
        <v>0.001145245448</v>
      </c>
      <c r="AX255" s="6">
        <f>Datos_originales!$X31/Datos_originales!$E31</f>
        <v>0.0004472978219</v>
      </c>
      <c r="AY255" s="6">
        <f>Datos_originales!$Y31/Datos_originales!$E31</f>
        <v>0.0005389989699</v>
      </c>
      <c r="AZ255" s="6">
        <f>Datos_originales!$Z31/Datos_originales!$E31</f>
        <v>0.000211931542</v>
      </c>
      <c r="BA255" s="6">
        <f>Datos_originales!$AA31/Datos_originales!$E31</f>
        <v>0.000885425529</v>
      </c>
      <c r="BB255" s="6">
        <f>Datos_originales!$AB31/Datos_originales!$E31</f>
        <v>0.0006001330686</v>
      </c>
      <c r="BC255" s="6">
        <f>Datos_originales!$AC31/Datos_originales!$E31</f>
        <v>0.001070865628</v>
      </c>
      <c r="BD255" s="6">
        <f>Datos_originales!$AD31/Datos_originales!$E31</f>
        <v>0.0006021708718</v>
      </c>
      <c r="BE255" s="6">
        <f>Datos_originales!$AE31/Datos_originales!$E31</f>
        <v>0.0003892204282</v>
      </c>
      <c r="BF255" s="6">
        <f>Datos_originales!$AF31/Datos_originales!$E31</f>
        <v>0.005068016779</v>
      </c>
      <c r="BG255" s="6">
        <f>Datos_originales!$AG31/Datos_originales!$E31</f>
        <v>0.005803663767</v>
      </c>
    </row>
    <row r="256" ht="15.75" customHeight="1">
      <c r="A256" s="2">
        <v>70103.0</v>
      </c>
      <c r="B256" s="3" t="s">
        <v>311</v>
      </c>
      <c r="C256" s="4" t="s">
        <v>314</v>
      </c>
      <c r="D256" s="4">
        <f>IF(Datos_originales!$E256&lt;1000,"Bosque menor a 1000 ha",Datos_originales!$E256)</f>
        <v>58007.79</v>
      </c>
      <c r="E256" s="4">
        <v>58007.79</v>
      </c>
      <c r="F256" s="5">
        <f>AVERAGE(Datos_originales!$H106:$J106)</f>
        <v>19.95</v>
      </c>
      <c r="G256" s="5">
        <f>AVERAGE(Datos_originales!$R106:$T106)</f>
        <v>175.38</v>
      </c>
      <c r="H256" s="4">
        <v>2042.37</v>
      </c>
      <c r="I256" s="4">
        <v>1567.44</v>
      </c>
      <c r="J256" s="4">
        <v>1179.18</v>
      </c>
      <c r="K256" s="4">
        <v>997.65</v>
      </c>
      <c r="L256" s="4">
        <v>1287.09</v>
      </c>
      <c r="M256" s="4">
        <v>1070.1</v>
      </c>
      <c r="N256" s="4">
        <v>827.46</v>
      </c>
      <c r="O256" s="4">
        <v>655.29</v>
      </c>
      <c r="P256" s="4">
        <v>478.62</v>
      </c>
      <c r="Q256" s="4">
        <v>1051.92</v>
      </c>
      <c r="R256" s="4">
        <v>181.35</v>
      </c>
      <c r="S256" s="4">
        <v>1981.53</v>
      </c>
      <c r="T256" s="4">
        <v>762.12</v>
      </c>
      <c r="U256" s="4">
        <v>2234.7</v>
      </c>
      <c r="V256" s="4">
        <v>1665.45</v>
      </c>
      <c r="W256" s="4">
        <v>1302.84</v>
      </c>
      <c r="X256" s="4">
        <v>1112.4</v>
      </c>
      <c r="Y256" s="4">
        <v>1331.64</v>
      </c>
      <c r="Z256" s="4">
        <v>1108.62</v>
      </c>
      <c r="AA256" s="4">
        <v>878.58</v>
      </c>
      <c r="AB256" s="4">
        <v>711.54</v>
      </c>
      <c r="AC256" s="4">
        <v>513.81</v>
      </c>
      <c r="AD256" s="4">
        <v>1443.24</v>
      </c>
      <c r="AE256" s="4">
        <v>189.99</v>
      </c>
      <c r="AF256" s="4">
        <v>2249.28</v>
      </c>
      <c r="AG256" s="4">
        <v>769.86</v>
      </c>
      <c r="AH256" s="6">
        <f>Datos_originales!$H106/Datos_originales!$E106</f>
        <v>0.0001475053399</v>
      </c>
      <c r="AI256" s="6">
        <f>Datos_originales!$I106/Datos_originales!$E106</f>
        <v>0.0001149392259</v>
      </c>
      <c r="AJ256" s="6">
        <f>Datos_originales!$J106/Datos_originales!$E106</f>
        <v>0.0001621920187</v>
      </c>
      <c r="AK256" s="6">
        <f>Datos_originales!$K106/Datos_originales!$E106</f>
        <v>0.0001545294037</v>
      </c>
      <c r="AL256" s="6">
        <f>Datos_originales!$L106/Datos_originales!$E106</f>
        <v>0.0001111079184</v>
      </c>
      <c r="AM256" s="6">
        <f>Datos_originales!$M106/Datos_originales!$E106</f>
        <v>0.00008365021439</v>
      </c>
      <c r="AN256" s="6">
        <f>Datos_originales!$N106/Datos_originales!$E106</f>
        <v>0.0002464807844</v>
      </c>
      <c r="AO256" s="6">
        <f>Datos_originales!$O106/Datos_originales!$E106</f>
        <v>0.000190288274</v>
      </c>
      <c r="AP256" s="6">
        <f>Datos_originales!$P106/Datos_originales!$E106</f>
        <v>0.0007145388542</v>
      </c>
      <c r="AQ256" s="6">
        <f>Datos_originales!$Q106/Datos_originales!$E106</f>
        <v>0.0004929615688</v>
      </c>
      <c r="AR256" s="6">
        <f>Datos_originales!$R106/Datos_originales!$E106</f>
        <v>0.0001392041736</v>
      </c>
      <c r="AS256" s="6">
        <f>Datos_originales!$S106/Datos_originales!$E106</f>
        <v>0.0004693351724</v>
      </c>
      <c r="AT256" s="6">
        <f>Datos_originales!$T106/Datos_originales!$E106</f>
        <v>0.00312443129</v>
      </c>
      <c r="AU256" s="6">
        <f>Datos_originales!$U106/Datos_originales!$E106</f>
        <v>0.002750878806</v>
      </c>
      <c r="AV256" s="6">
        <f>Datos_originales!$V106/Datos_originales!$E106</f>
        <v>0.002771950998</v>
      </c>
      <c r="AW256" s="6">
        <f>Datos_originales!$W106/Datos_originales!$E106</f>
        <v>0.003993499548</v>
      </c>
      <c r="AX256" s="6">
        <f>Datos_originales!$X106/Datos_originales!$E106</f>
        <v>0.002353699926</v>
      </c>
      <c r="AY256" s="6">
        <f>Datos_originales!$Y106/Datos_originales!$E106</f>
        <v>0.00116024763</v>
      </c>
      <c r="AZ256" s="6">
        <f>Datos_originales!$Z106/Datos_originales!$E106</f>
        <v>0.001145560951</v>
      </c>
      <c r="BA256" s="6">
        <f>Datos_originales!$AA106/Datos_originales!$E106</f>
        <v>0.001540185627</v>
      </c>
      <c r="BB256" s="6">
        <f>Datos_originales!$AB106/Datos_originales!$E106</f>
        <v>0.001782835104</v>
      </c>
      <c r="BC256" s="6">
        <f>Datos_originales!$AC106/Datos_originales!$E106</f>
        <v>0.001723449837</v>
      </c>
      <c r="BD256" s="6">
        <f>Datos_originales!$AD106/Datos_originales!$E106</f>
        <v>0.003538212503</v>
      </c>
      <c r="BE256" s="6">
        <f>Datos_originales!$AE106/Datos_originales!$E106</f>
        <v>0.0005382987079</v>
      </c>
      <c r="BF256" s="6">
        <f>Datos_originales!$AF106/Datos_originales!$E106</f>
        <v>0.001149392259</v>
      </c>
      <c r="BG256" s="6">
        <f>Datos_originales!$AG106/Datos_originales!$E106</f>
        <v>0.006877835567</v>
      </c>
    </row>
    <row r="257" ht="15.75" customHeight="1">
      <c r="A257" s="2">
        <v>70104.0</v>
      </c>
      <c r="B257" s="3" t="s">
        <v>311</v>
      </c>
      <c r="C257" s="4" t="s">
        <v>315</v>
      </c>
      <c r="D257" s="4">
        <f>IF(Datos_originales!$E257&lt;1000,"Bosque menor a 1000 ha",Datos_originales!$E257)</f>
        <v>44732.52</v>
      </c>
      <c r="E257" s="4">
        <v>44732.52</v>
      </c>
      <c r="F257" s="5">
        <f>AVERAGE(Datos_originales!$H83:$J83)</f>
        <v>0</v>
      </c>
      <c r="G257" s="5">
        <f>AVERAGE(Datos_originales!$R83:$T83)</f>
        <v>0.69</v>
      </c>
      <c r="H257" s="4">
        <v>2208.15</v>
      </c>
      <c r="I257" s="4">
        <v>1671.21</v>
      </c>
      <c r="J257" s="4">
        <v>1476.09</v>
      </c>
      <c r="K257" s="4">
        <v>1052.73</v>
      </c>
      <c r="L257" s="4">
        <v>1196.01</v>
      </c>
      <c r="M257" s="4">
        <v>1003.95</v>
      </c>
      <c r="N257" s="4">
        <v>633.33</v>
      </c>
      <c r="O257" s="4">
        <v>958.77</v>
      </c>
      <c r="P257" s="4">
        <v>616.23</v>
      </c>
      <c r="Q257" s="4">
        <v>1682.37</v>
      </c>
      <c r="R257" s="4">
        <v>238.41</v>
      </c>
      <c r="S257" s="4">
        <v>2743.56</v>
      </c>
      <c r="T257" s="4">
        <v>845.46</v>
      </c>
      <c r="U257" s="4">
        <v>2218.86</v>
      </c>
      <c r="V257" s="4">
        <v>1681.56</v>
      </c>
      <c r="W257" s="4">
        <v>1497.24</v>
      </c>
      <c r="X257" s="4">
        <v>1068.21</v>
      </c>
      <c r="Y257" s="4">
        <v>1205.46</v>
      </c>
      <c r="Z257" s="4">
        <v>1007.64</v>
      </c>
      <c r="AA257" s="4">
        <v>638.37</v>
      </c>
      <c r="AB257" s="4">
        <v>969.48</v>
      </c>
      <c r="AC257" s="4">
        <v>622.35</v>
      </c>
      <c r="AD257" s="4">
        <v>1803.78</v>
      </c>
      <c r="AE257" s="4">
        <v>239.13</v>
      </c>
      <c r="AF257" s="4">
        <v>2746.62</v>
      </c>
      <c r="AG257" s="4">
        <v>846.0</v>
      </c>
      <c r="AH257" s="6">
        <f>Datos_originales!$H83/Datos_originales!$E83</f>
        <v>0</v>
      </c>
      <c r="AI257" s="6">
        <f>Datos_originales!$I83/Datos_originales!$E83</f>
        <v>0</v>
      </c>
      <c r="AJ257" s="6">
        <f>Datos_originales!$J83/Datos_originales!$E83</f>
        <v>0</v>
      </c>
      <c r="AK257" s="6">
        <f>Datos_originales!$K83/Datos_originales!$E83</f>
        <v>0</v>
      </c>
      <c r="AL257" s="6">
        <f>Datos_originales!$L83/Datos_originales!$E83</f>
        <v>0</v>
      </c>
      <c r="AM257" s="6">
        <f>Datos_originales!$M83/Datos_originales!$E83</f>
        <v>0</v>
      </c>
      <c r="AN257" s="6">
        <f>Datos_originales!$N83/Datos_originales!$E83</f>
        <v>0</v>
      </c>
      <c r="AO257" s="6">
        <f>Datos_originales!$O83/Datos_originales!$E83</f>
        <v>0</v>
      </c>
      <c r="AP257" s="6">
        <f>Datos_originales!$P83/Datos_originales!$E83</f>
        <v>0.001229407426</v>
      </c>
      <c r="AQ257" s="6">
        <f>Datos_originales!$Q83/Datos_originales!$E83</f>
        <v>0</v>
      </c>
      <c r="AR257" s="6">
        <f>Datos_originales!$R83/Datos_originales!$E83</f>
        <v>0.0002458814851</v>
      </c>
      <c r="AS257" s="6">
        <f>Datos_originales!$S83/Datos_originales!$E83</f>
        <v>0.0009835259405</v>
      </c>
      <c r="AT257" s="6">
        <f>Datos_originales!$T83/Datos_originales!$E83</f>
        <v>0.004425866732</v>
      </c>
      <c r="AU257" s="6">
        <f>Datos_originales!$U83/Datos_originales!$E83</f>
        <v>0.02729284485</v>
      </c>
      <c r="AV257" s="6">
        <f>Datos_originales!$V83/Datos_originales!$E83</f>
        <v>0.01180231129</v>
      </c>
      <c r="AW257" s="6">
        <f>Datos_originales!$W83/Datos_originales!$E83</f>
        <v>0.01893287435</v>
      </c>
      <c r="AX257" s="6">
        <f>Datos_originales!$X83/Datos_originales!$E83</f>
        <v>0.001967051881</v>
      </c>
      <c r="AY257" s="6">
        <f>Datos_originales!$Y83/Datos_originales!$E83</f>
        <v>0.002212933366</v>
      </c>
      <c r="AZ257" s="6">
        <f>Datos_originales!$Z83/Datos_originales!$E83</f>
        <v>0.003442340792</v>
      </c>
      <c r="BA257" s="6">
        <f>Datos_originales!$AA83/Datos_originales!$E83</f>
        <v>0.003196459307</v>
      </c>
      <c r="BB257" s="6">
        <f>Datos_originales!$AB83/Datos_originales!$E83</f>
        <v>0.0009835259405</v>
      </c>
      <c r="BC257" s="6">
        <f>Datos_originales!$AC83/Datos_originales!$E83</f>
        <v>0.002950577821</v>
      </c>
      <c r="BD257" s="6">
        <f>Datos_originales!$AD83/Datos_originales!$E83</f>
        <v>0.0007376444554</v>
      </c>
      <c r="BE257" s="6">
        <f>Datos_originales!$AE83/Datos_originales!$E83</f>
        <v>0.0009835259405</v>
      </c>
      <c r="BF257" s="6">
        <f>Datos_originales!$AF83/Datos_originales!$E83</f>
        <v>0.002458814851</v>
      </c>
      <c r="BG257" s="6">
        <f>Datos_originales!$AG83/Datos_originales!$E83</f>
        <v>0.03417752643</v>
      </c>
    </row>
    <row r="258" ht="15.75" customHeight="1">
      <c r="A258" s="2">
        <v>70105.0</v>
      </c>
      <c r="B258" s="3" t="s">
        <v>311</v>
      </c>
      <c r="C258" s="4" t="s">
        <v>316</v>
      </c>
      <c r="D258" s="4">
        <f>IF(Datos_originales!$E258&lt;1000,"Bosque menor a 1000 ha",Datos_originales!$E258)</f>
        <v>75341.79</v>
      </c>
      <c r="E258" s="4">
        <v>75341.79000000001</v>
      </c>
      <c r="F258" s="5">
        <f>AVERAGE(Datos_originales!$H119:$J119)</f>
        <v>2.58</v>
      </c>
      <c r="G258" s="5">
        <f>AVERAGE(Datos_originales!$R119:$T119)</f>
        <v>9.66</v>
      </c>
      <c r="H258" s="4">
        <v>1470.6</v>
      </c>
      <c r="I258" s="4">
        <v>1468.89</v>
      </c>
      <c r="J258" s="4">
        <v>960.93</v>
      </c>
      <c r="K258" s="4">
        <v>621.45</v>
      </c>
      <c r="L258" s="4">
        <v>912.69</v>
      </c>
      <c r="M258" s="4">
        <v>1310.94</v>
      </c>
      <c r="N258" s="4">
        <v>756.45</v>
      </c>
      <c r="O258" s="4">
        <v>574.65</v>
      </c>
      <c r="P258" s="4">
        <v>518.31</v>
      </c>
      <c r="Q258" s="4">
        <v>1376.64</v>
      </c>
      <c r="R258" s="4">
        <v>444.6</v>
      </c>
      <c r="S258" s="4">
        <v>2032.02</v>
      </c>
      <c r="T258" s="4">
        <v>746.01</v>
      </c>
      <c r="U258" s="4">
        <v>1694.79</v>
      </c>
      <c r="V258" s="4">
        <v>1557.72</v>
      </c>
      <c r="W258" s="4">
        <v>1064.25</v>
      </c>
      <c r="X258" s="4">
        <v>678.78</v>
      </c>
      <c r="Y258" s="4">
        <v>952.74</v>
      </c>
      <c r="Z258" s="4">
        <v>1360.08</v>
      </c>
      <c r="AA258" s="4">
        <v>801.09</v>
      </c>
      <c r="AB258" s="4">
        <v>642.24</v>
      </c>
      <c r="AC258" s="4">
        <v>554.04</v>
      </c>
      <c r="AD258" s="4">
        <v>1920.6</v>
      </c>
      <c r="AE258" s="4">
        <v>446.49</v>
      </c>
      <c r="AF258" s="4">
        <v>2285.82</v>
      </c>
      <c r="AG258" s="4">
        <v>754.83</v>
      </c>
      <c r="AH258" s="6">
        <f>Datos_originales!$H119/Datos_originales!$E119</f>
        <v>0.0001020060253</v>
      </c>
      <c r="AI258" s="6">
        <f>Datos_originales!$I119/Datos_originales!$E119</f>
        <v>0.000002794685626</v>
      </c>
      <c r="AJ258" s="6">
        <f>Datos_originales!$J119/Datos_originales!$E119</f>
        <v>0.00001537077094</v>
      </c>
      <c r="AK258" s="6">
        <f>Datos_originales!$K119/Datos_originales!$E119</f>
        <v>0.000005589371252</v>
      </c>
      <c r="AL258" s="6">
        <f>Datos_originales!$L119/Datos_originales!$E119</f>
        <v>0.00000978139969</v>
      </c>
      <c r="AM258" s="6">
        <f>Datos_originales!$M119/Datos_originales!$E119</f>
        <v>0.000006986714065</v>
      </c>
      <c r="AN258" s="6">
        <f>Datos_originales!$N119/Datos_originales!$E119</f>
        <v>0</v>
      </c>
      <c r="AO258" s="6">
        <f>Datos_originales!$O119/Datos_originales!$E119</f>
        <v>0.000005589371252</v>
      </c>
      <c r="AP258" s="6">
        <f>Datos_originales!$P119/Datos_originales!$E119</f>
        <v>0.000002794685626</v>
      </c>
      <c r="AQ258" s="6">
        <f>Datos_originales!$Q119/Datos_originales!$E119</f>
        <v>0.000001397342813</v>
      </c>
      <c r="AR258" s="6">
        <f>Datos_originales!$R119/Datos_originales!$E119</f>
        <v>0.000001397342813</v>
      </c>
      <c r="AS258" s="6">
        <f>Datos_originales!$S119/Datos_originales!$E119</f>
        <v>0.0003591171029</v>
      </c>
      <c r="AT258" s="6">
        <f>Datos_originales!$T119/Datos_originales!$E119</f>
        <v>0.00008942994003</v>
      </c>
      <c r="AU258" s="6">
        <f>Datos_originales!$U119/Datos_originales!$E119</f>
        <v>0.001018662911</v>
      </c>
      <c r="AV258" s="6">
        <f>Datos_originales!$V119/Datos_originales!$E119</f>
        <v>0.0008523791159</v>
      </c>
      <c r="AW258" s="6">
        <f>Datos_originales!$W119/Datos_originales!$E119</f>
        <v>0.0112765565</v>
      </c>
      <c r="AX258" s="6">
        <f>Datos_originales!$X119/Datos_originales!$E119</f>
        <v>0.0007685385471</v>
      </c>
      <c r="AY258" s="6">
        <f>Datos_originales!$Y119/Datos_originales!$E119</f>
        <v>0.0008467897446</v>
      </c>
      <c r="AZ258" s="6">
        <f>Datos_originales!$Z119/Datos_originales!$E119</f>
        <v>0.0007531677762</v>
      </c>
      <c r="BA258" s="6">
        <f>Datos_originales!$AA119/Datos_originales!$E119</f>
        <v>0.001968856023</v>
      </c>
      <c r="BB258" s="6">
        <f>Datos_originales!$AB119/Datos_originales!$E119</f>
        <v>0.001741089145</v>
      </c>
      <c r="BC258" s="6">
        <f>Datos_originales!$AC119/Datos_originales!$E119</f>
        <v>0.004893494531</v>
      </c>
      <c r="BD258" s="6">
        <f>Datos_originales!$AD119/Datos_originales!$E119</f>
        <v>0.00002654951345</v>
      </c>
      <c r="BE258" s="6">
        <f>Datos_originales!$AE119/Datos_originales!$E119</f>
        <v>0.00002794685626</v>
      </c>
      <c r="BF258" s="6">
        <f>Datos_originales!$AF119/Datos_originales!$E119</f>
        <v>0.0007252209199</v>
      </c>
      <c r="BG258" s="6">
        <f>Datos_originales!$AG119/Datos_originales!$E119</f>
        <v>0.0002319589069</v>
      </c>
    </row>
    <row r="259" ht="15.75" customHeight="1">
      <c r="A259" s="2">
        <v>70201.0</v>
      </c>
      <c r="B259" s="3" t="s">
        <v>311</v>
      </c>
      <c r="C259" s="4" t="s">
        <v>317</v>
      </c>
      <c r="D259" s="4">
        <f>IF(Datos_originales!$E259&lt;1000,"Bosque menor a 1000 ha",Datos_originales!$E259)</f>
        <v>17938.17</v>
      </c>
      <c r="E259" s="4">
        <v>17938.17</v>
      </c>
      <c r="F259" s="5">
        <f>AVERAGE(Datos_originales!$H51:$J51)</f>
        <v>3.57</v>
      </c>
      <c r="G259" s="5">
        <f>AVERAGE(Datos_originales!$R51:$T51)</f>
        <v>6.63</v>
      </c>
      <c r="H259" s="4">
        <v>1319.13</v>
      </c>
      <c r="I259" s="4">
        <v>880.2</v>
      </c>
      <c r="J259" s="4">
        <v>618.03</v>
      </c>
      <c r="K259" s="4">
        <v>578.52</v>
      </c>
      <c r="L259" s="4">
        <v>563.94</v>
      </c>
      <c r="M259" s="4">
        <v>537.66</v>
      </c>
      <c r="N259" s="4">
        <v>331.83</v>
      </c>
      <c r="O259" s="4">
        <v>432.9</v>
      </c>
      <c r="P259" s="4">
        <v>465.84</v>
      </c>
      <c r="Q259" s="4">
        <v>447.39</v>
      </c>
      <c r="R259" s="4">
        <v>101.52</v>
      </c>
      <c r="S259" s="4">
        <v>795.87</v>
      </c>
      <c r="T259" s="4">
        <v>622.17</v>
      </c>
      <c r="U259" s="4">
        <v>1336.77</v>
      </c>
      <c r="V259" s="4">
        <v>901.98</v>
      </c>
      <c r="W259" s="4">
        <v>633.0600000000001</v>
      </c>
      <c r="X259" s="4">
        <v>594.36</v>
      </c>
      <c r="Y259" s="4">
        <v>569.7</v>
      </c>
      <c r="Z259" s="4">
        <v>543.87</v>
      </c>
      <c r="AA259" s="4">
        <v>339.48</v>
      </c>
      <c r="AB259" s="4">
        <v>440.64</v>
      </c>
      <c r="AC259" s="4">
        <v>472.86</v>
      </c>
      <c r="AD259" s="4">
        <v>460.17</v>
      </c>
      <c r="AE259" s="4">
        <v>107.55</v>
      </c>
      <c r="AF259" s="4">
        <v>806.49</v>
      </c>
      <c r="AG259" s="4">
        <v>623.79</v>
      </c>
      <c r="AH259" s="6">
        <f>Datos_originales!$H51/Datos_originales!$E51</f>
        <v>0.0003593890386</v>
      </c>
      <c r="AI259" s="6">
        <f>Datos_originales!$I51/Datos_originales!$E51</f>
        <v>0.001078167116</v>
      </c>
      <c r="AJ259" s="6">
        <f>Datos_originales!$J51/Datos_originales!$E51</f>
        <v>0.002126385145</v>
      </c>
      <c r="AK259" s="6">
        <f>Datos_originales!$K51/Datos_originales!$E51</f>
        <v>0.0005989817311</v>
      </c>
      <c r="AL259" s="6">
        <f>Datos_originales!$L51/Datos_originales!$E51</f>
        <v>0.0004192872117</v>
      </c>
      <c r="AM259" s="6">
        <f>Datos_originales!$M51/Datos_originales!$E51</f>
        <v>0.0009883198562</v>
      </c>
      <c r="AN259" s="6">
        <f>Datos_originales!$N51/Datos_originales!$E51</f>
        <v>0.0004192872117</v>
      </c>
      <c r="AO259" s="6">
        <f>Datos_originales!$O51/Datos_originales!$E51</f>
        <v>0.0006888289907</v>
      </c>
      <c r="AP259" s="6">
        <f>Datos_originales!$P51/Datos_originales!$E51</f>
        <v>0.001766996107</v>
      </c>
      <c r="AQ259" s="6">
        <f>Datos_originales!$Q51/Datos_originales!$E51</f>
        <v>0.0002096436059</v>
      </c>
      <c r="AR259" s="6">
        <f>Datos_originales!$R51/Datos_originales!$E51</f>
        <v>0.0001197963462</v>
      </c>
      <c r="AS259" s="6">
        <f>Datos_originales!$S51/Datos_originales!$E51</f>
        <v>0.004702006589</v>
      </c>
      <c r="AT259" s="6">
        <f>Datos_originales!$T51/Datos_originales!$E51</f>
        <v>0.001796945193</v>
      </c>
      <c r="AU259" s="6">
        <f>Datos_originales!$U51/Datos_originales!$E51</f>
        <v>0.007637017071</v>
      </c>
      <c r="AV259" s="6">
        <f>Datos_originales!$V51/Datos_originales!$E51</f>
        <v>0.006888289907</v>
      </c>
      <c r="AW259" s="6">
        <f>Datos_originales!$W51/Datos_originales!$E51</f>
        <v>0.01868823001</v>
      </c>
      <c r="AX259" s="6">
        <f>Datos_originales!$X51/Datos_originales!$E51</f>
        <v>0.004791853848</v>
      </c>
      <c r="AY259" s="6">
        <f>Datos_originales!$Y51/Datos_originales!$E51</f>
        <v>0.002156334232</v>
      </c>
      <c r="AZ259" s="6">
        <f>Datos_originales!$Z51/Datos_originales!$E51</f>
        <v>0.004821802935</v>
      </c>
      <c r="BA259" s="6">
        <f>Datos_originales!$AA51/Datos_originales!$E51</f>
        <v>0.002276130578</v>
      </c>
      <c r="BB259" s="6">
        <f>Datos_originales!$AB51/Datos_originales!$E51</f>
        <v>0.006618748128</v>
      </c>
      <c r="BC259" s="6">
        <f>Datos_originales!$AC51/Datos_originales!$E51</f>
        <v>0.003953279425</v>
      </c>
      <c r="BD259" s="6">
        <f>Datos_originales!$AD51/Datos_originales!$E51</f>
        <v>0.000539083558</v>
      </c>
      <c r="BE259" s="6">
        <f>Datos_originales!$AE51/Datos_originales!$E51</f>
        <v>0.0002395926924</v>
      </c>
      <c r="BF259" s="6">
        <f>Datos_originales!$AF51/Datos_originales!$E51</f>
        <v>0.005271039233</v>
      </c>
      <c r="BG259" s="6">
        <f>Datos_originales!$AG51/Datos_originales!$E51</f>
        <v>0.01467505241</v>
      </c>
    </row>
    <row r="260" ht="15.75" customHeight="1">
      <c r="A260" s="2">
        <v>70202.0</v>
      </c>
      <c r="B260" s="3" t="s">
        <v>311</v>
      </c>
      <c r="C260" s="4" t="s">
        <v>318</v>
      </c>
      <c r="D260" s="4">
        <f>IF(Datos_originales!$E260&lt;1000,"Bosque menor a 1000 ha",Datos_originales!$E260)</f>
        <v>11630.88</v>
      </c>
      <c r="E260" s="4">
        <v>11630.88</v>
      </c>
      <c r="F260" s="5">
        <f>AVERAGE(Datos_originales!$H37:$J37)</f>
        <v>0</v>
      </c>
      <c r="G260" s="5">
        <f>AVERAGE(Datos_originales!$R37:$T37)</f>
        <v>0</v>
      </c>
      <c r="H260" s="4">
        <v>818.64</v>
      </c>
      <c r="I260" s="4">
        <v>928.89</v>
      </c>
      <c r="J260" s="4">
        <v>568.17</v>
      </c>
      <c r="K260" s="4">
        <v>326.52</v>
      </c>
      <c r="L260" s="4">
        <v>193.95</v>
      </c>
      <c r="M260" s="4">
        <v>270.54</v>
      </c>
      <c r="N260" s="4">
        <v>209.61</v>
      </c>
      <c r="O260" s="4">
        <v>273.87</v>
      </c>
      <c r="P260" s="4">
        <v>105.57</v>
      </c>
      <c r="Q260" s="4">
        <v>299.52</v>
      </c>
      <c r="R260" s="4">
        <v>172.8</v>
      </c>
      <c r="S260" s="4">
        <v>672.75</v>
      </c>
      <c r="T260" s="4">
        <v>467.82</v>
      </c>
      <c r="U260" s="4">
        <v>1007.55</v>
      </c>
      <c r="V260" s="4">
        <v>1106.64</v>
      </c>
      <c r="W260" s="4">
        <v>692.64</v>
      </c>
      <c r="X260" s="4">
        <v>401.85</v>
      </c>
      <c r="Y260" s="4">
        <v>244.08</v>
      </c>
      <c r="Z260" s="4">
        <v>309.06</v>
      </c>
      <c r="AA260" s="4">
        <v>282.33</v>
      </c>
      <c r="AB260" s="4">
        <v>325.8</v>
      </c>
      <c r="AC260" s="4">
        <v>145.62</v>
      </c>
      <c r="AD260" s="4">
        <v>316.44</v>
      </c>
      <c r="AE260" s="4">
        <v>229.23</v>
      </c>
      <c r="AF260" s="4">
        <v>700.47</v>
      </c>
      <c r="AG260" s="4">
        <v>528.84</v>
      </c>
      <c r="AH260" s="6">
        <f>Datos_originales!$H37/Datos_originales!$E37</f>
        <v>0</v>
      </c>
      <c r="AI260" s="6">
        <f>Datos_originales!$I37/Datos_originales!$E37</f>
        <v>0</v>
      </c>
      <c r="AJ260" s="6">
        <f>Datos_originales!$J37/Datos_originales!$E37</f>
        <v>0</v>
      </c>
      <c r="AK260" s="6">
        <f>Datos_originales!$K37/Datos_originales!$E37</f>
        <v>0</v>
      </c>
      <c r="AL260" s="6">
        <f>Datos_originales!$L37/Datos_originales!$E37</f>
        <v>0</v>
      </c>
      <c r="AM260" s="6">
        <f>Datos_originales!$M37/Datos_originales!$E37</f>
        <v>0</v>
      </c>
      <c r="AN260" s="6">
        <f>Datos_originales!$N37/Datos_originales!$E37</f>
        <v>0</v>
      </c>
      <c r="AO260" s="6">
        <f>Datos_originales!$O37/Datos_originales!$E37</f>
        <v>0</v>
      </c>
      <c r="AP260" s="6">
        <f>Datos_originales!$P37/Datos_originales!$E37</f>
        <v>0</v>
      </c>
      <c r="AQ260" s="6">
        <f>Datos_originales!$Q37/Datos_originales!$E37</f>
        <v>0</v>
      </c>
      <c r="AR260" s="6">
        <f>Datos_originales!$R37/Datos_originales!$E37</f>
        <v>0</v>
      </c>
      <c r="AS260" s="6">
        <f>Datos_originales!$S37/Datos_originales!$E37</f>
        <v>0</v>
      </c>
      <c r="AT260" s="6">
        <f>Datos_originales!$T37/Datos_originales!$E37</f>
        <v>0</v>
      </c>
      <c r="AU260" s="6">
        <f>Datos_originales!$U37/Datos_originales!$E37</f>
        <v>0</v>
      </c>
      <c r="AV260" s="6">
        <f>Datos_originales!$V37/Datos_originales!$E37</f>
        <v>0</v>
      </c>
      <c r="AW260" s="6">
        <f>Datos_originales!$W37/Datos_originales!$E37</f>
        <v>0</v>
      </c>
      <c r="AX260" s="6">
        <f>Datos_originales!$X37/Datos_originales!$E37</f>
        <v>0</v>
      </c>
      <c r="AY260" s="6">
        <f>Datos_originales!$Y37/Datos_originales!$E37</f>
        <v>0</v>
      </c>
      <c r="AZ260" s="6">
        <f>Datos_originales!$Z37/Datos_originales!$E37</f>
        <v>0</v>
      </c>
      <c r="BA260" s="6">
        <f>Datos_originales!$AA37/Datos_originales!$E37</f>
        <v>0</v>
      </c>
      <c r="BB260" s="6">
        <f>Datos_originales!$AB37/Datos_originales!$E37</f>
        <v>0</v>
      </c>
      <c r="BC260" s="6">
        <f>Datos_originales!$AC37/Datos_originales!$E37</f>
        <v>0</v>
      </c>
      <c r="BD260" s="6">
        <f>Datos_originales!$AD37/Datos_originales!$E37</f>
        <v>0</v>
      </c>
      <c r="BE260" s="6">
        <f>Datos_originales!$AE37/Datos_originales!$E37</f>
        <v>0</v>
      </c>
      <c r="BF260" s="6">
        <f>Datos_originales!$AF37/Datos_originales!$E37</f>
        <v>0</v>
      </c>
      <c r="BG260" s="6">
        <f>Datos_originales!$AG37/Datos_originales!$E37</f>
        <v>0</v>
      </c>
    </row>
    <row r="261" ht="15.75" customHeight="1">
      <c r="A261" s="2">
        <v>70301.0</v>
      </c>
      <c r="B261" s="3" t="s">
        <v>311</v>
      </c>
      <c r="C261" s="4" t="s">
        <v>319</v>
      </c>
      <c r="D261" s="4">
        <f>IF(Datos_originales!$E261&lt;1000,"Bosque menor a 1000 ha",Datos_originales!$E261)</f>
        <v>3857761.35</v>
      </c>
      <c r="E261" s="4">
        <v>3857761.35</v>
      </c>
      <c r="F261" s="5">
        <f>AVERAGE(Datos_originales!$H110:$J110)</f>
        <v>0</v>
      </c>
      <c r="G261" s="5">
        <f>AVERAGE(Datos_originales!$R110:$T110)</f>
        <v>0</v>
      </c>
      <c r="H261" s="4">
        <v>12090.78</v>
      </c>
      <c r="I261" s="4">
        <v>11265.48</v>
      </c>
      <c r="J261" s="4">
        <v>9136.26</v>
      </c>
      <c r="K261" s="4">
        <v>16342.83</v>
      </c>
      <c r="L261" s="4">
        <v>23021.73</v>
      </c>
      <c r="M261" s="4">
        <v>34265.79</v>
      </c>
      <c r="N261" s="4">
        <v>44529.84</v>
      </c>
      <c r="O261" s="4">
        <v>40107.96</v>
      </c>
      <c r="P261" s="4">
        <v>44831.61</v>
      </c>
      <c r="Q261" s="4">
        <v>59767.47</v>
      </c>
      <c r="R261" s="4">
        <v>49616.73</v>
      </c>
      <c r="S261" s="4">
        <v>51384.33</v>
      </c>
      <c r="T261" s="4">
        <v>43433.1</v>
      </c>
      <c r="U261" s="4">
        <v>25819.92</v>
      </c>
      <c r="V261" s="4">
        <v>19086.21</v>
      </c>
      <c r="W261" s="4">
        <v>15192.81</v>
      </c>
      <c r="X261" s="4">
        <v>22815.0</v>
      </c>
      <c r="Y261" s="4">
        <v>29748.51</v>
      </c>
      <c r="Z261" s="4">
        <v>39394.17</v>
      </c>
      <c r="AA261" s="4">
        <v>48826.26</v>
      </c>
      <c r="AB261" s="4">
        <v>45047.52</v>
      </c>
      <c r="AC261" s="4">
        <v>47474.82</v>
      </c>
      <c r="AD261" s="4">
        <v>66432.87</v>
      </c>
      <c r="AE261" s="4">
        <v>53663.22</v>
      </c>
      <c r="AF261" s="4">
        <v>53224.74</v>
      </c>
      <c r="AG261" s="4">
        <v>45511.92</v>
      </c>
      <c r="AH261" s="6" t="str">
        <f>Datos_originales!$H110/Datos_originales!$E110</f>
        <v>#DIV/0!</v>
      </c>
      <c r="AI261" s="6" t="str">
        <f>Datos_originales!$I110/Datos_originales!$E110</f>
        <v>#DIV/0!</v>
      </c>
      <c r="AJ261" s="6" t="str">
        <f>Datos_originales!$J110/Datos_originales!$E110</f>
        <v>#DIV/0!</v>
      </c>
      <c r="AK261" s="6" t="str">
        <f>Datos_originales!$K110/Datos_originales!$E110</f>
        <v>#DIV/0!</v>
      </c>
      <c r="AL261" s="6" t="str">
        <f>Datos_originales!$L110/Datos_originales!$E110</f>
        <v>#DIV/0!</v>
      </c>
      <c r="AM261" s="6" t="str">
        <f>Datos_originales!$M110/Datos_originales!$E110</f>
        <v>#DIV/0!</v>
      </c>
      <c r="AN261" s="6" t="str">
        <f>Datos_originales!$N110/Datos_originales!$E110</f>
        <v>#DIV/0!</v>
      </c>
      <c r="AO261" s="6" t="str">
        <f>Datos_originales!$O110/Datos_originales!$E110</f>
        <v>#DIV/0!</v>
      </c>
      <c r="AP261" s="6" t="str">
        <f>Datos_originales!$P110/Datos_originales!$E110</f>
        <v>#DIV/0!</v>
      </c>
      <c r="AQ261" s="6" t="str">
        <f>Datos_originales!$Q110/Datos_originales!$E110</f>
        <v>#DIV/0!</v>
      </c>
      <c r="AR261" s="6" t="str">
        <f>Datos_originales!$R110/Datos_originales!$E110</f>
        <v>#DIV/0!</v>
      </c>
      <c r="AS261" s="6" t="str">
        <f>Datos_originales!$S110/Datos_originales!$E110</f>
        <v>#DIV/0!</v>
      </c>
      <c r="AT261" s="6" t="str">
        <f>Datos_originales!$T110/Datos_originales!$E110</f>
        <v>#DIV/0!</v>
      </c>
      <c r="AU261" s="6" t="str">
        <f>Datos_originales!$U110/Datos_originales!$E110</f>
        <v>#DIV/0!</v>
      </c>
      <c r="AV261" s="6" t="str">
        <f>Datos_originales!$V110/Datos_originales!$E110</f>
        <v>#DIV/0!</v>
      </c>
      <c r="AW261" s="6" t="str">
        <f>Datos_originales!$W110/Datos_originales!$E110</f>
        <v>#DIV/0!</v>
      </c>
      <c r="AX261" s="6" t="str">
        <f>Datos_originales!$X110/Datos_originales!$E110</f>
        <v>#DIV/0!</v>
      </c>
      <c r="AY261" s="6" t="str">
        <f>Datos_originales!$Y110/Datos_originales!$E110</f>
        <v>#DIV/0!</v>
      </c>
      <c r="AZ261" s="6" t="str">
        <f>Datos_originales!$Z110/Datos_originales!$E110</f>
        <v>#DIV/0!</v>
      </c>
      <c r="BA261" s="6" t="str">
        <f>Datos_originales!$AA110/Datos_originales!$E110</f>
        <v>#DIV/0!</v>
      </c>
      <c r="BB261" s="6" t="str">
        <f>Datos_originales!$AB110/Datos_originales!$E110</f>
        <v>#DIV/0!</v>
      </c>
      <c r="BC261" s="6" t="str">
        <f>Datos_originales!$AC110/Datos_originales!$E110</f>
        <v>#DIV/0!</v>
      </c>
      <c r="BD261" s="6" t="str">
        <f>Datos_originales!$AD110/Datos_originales!$E110</f>
        <v>#DIV/0!</v>
      </c>
      <c r="BE261" s="6" t="str">
        <f>Datos_originales!$AE110/Datos_originales!$E110</f>
        <v>#DIV/0!</v>
      </c>
      <c r="BF261" s="6" t="str">
        <f>Datos_originales!$AF110/Datos_originales!$E110</f>
        <v>#DIV/0!</v>
      </c>
      <c r="BG261" s="6" t="str">
        <f>Datos_originales!$AG110/Datos_originales!$E110</f>
        <v>#DIV/0!</v>
      </c>
    </row>
    <row r="262" ht="15.75" customHeight="1">
      <c r="A262" s="2">
        <v>70302.0</v>
      </c>
      <c r="B262" s="3" t="s">
        <v>311</v>
      </c>
      <c r="C262" s="4" t="s">
        <v>320</v>
      </c>
      <c r="D262" s="4">
        <f>IF(Datos_originales!$E262&lt;1000,"Bosque menor a 1000 ha",Datos_originales!$E262)</f>
        <v>845629.56</v>
      </c>
      <c r="E262" s="4">
        <v>845629.56</v>
      </c>
      <c r="F262" s="5">
        <f>AVERAGE(Datos_originales!$H98:$J98)</f>
        <v>0</v>
      </c>
      <c r="G262" s="5">
        <f>AVERAGE(Datos_originales!$R98:$T98)</f>
        <v>1.68</v>
      </c>
      <c r="H262" s="4">
        <v>1609.92</v>
      </c>
      <c r="I262" s="4">
        <v>2527.65</v>
      </c>
      <c r="J262" s="4">
        <v>1941.39</v>
      </c>
      <c r="K262" s="4">
        <v>3239.1</v>
      </c>
      <c r="L262" s="4">
        <v>4290.57</v>
      </c>
      <c r="M262" s="4">
        <v>9388.89</v>
      </c>
      <c r="N262" s="4">
        <v>8562.78</v>
      </c>
      <c r="O262" s="4">
        <v>6967.17</v>
      </c>
      <c r="P262" s="4">
        <v>11306.7</v>
      </c>
      <c r="Q262" s="4">
        <v>18450.9</v>
      </c>
      <c r="R262" s="4">
        <v>15164.91</v>
      </c>
      <c r="S262" s="4">
        <v>21126.24</v>
      </c>
      <c r="T262" s="4">
        <v>12766.86</v>
      </c>
      <c r="U262" s="4">
        <v>3969.0</v>
      </c>
      <c r="V262" s="4">
        <v>3997.35</v>
      </c>
      <c r="W262" s="4">
        <v>2954.7</v>
      </c>
      <c r="X262" s="4">
        <v>3743.73</v>
      </c>
      <c r="Y262" s="4">
        <v>5428.440000000001</v>
      </c>
      <c r="Z262" s="4">
        <v>10492.38</v>
      </c>
      <c r="AA262" s="4">
        <v>10658.43</v>
      </c>
      <c r="AB262" s="4">
        <v>8385.3</v>
      </c>
      <c r="AC262" s="4">
        <v>14034.33</v>
      </c>
      <c r="AD262" s="4">
        <v>46131.39</v>
      </c>
      <c r="AE262" s="4">
        <v>15178.14</v>
      </c>
      <c r="AF262" s="4">
        <v>21341.61</v>
      </c>
      <c r="AG262" s="4">
        <v>12826.8</v>
      </c>
      <c r="AH262" s="6">
        <f>Datos_originales!$H98/Datos_originales!$E98</f>
        <v>0</v>
      </c>
      <c r="AI262" s="6">
        <f>Datos_originales!$I98/Datos_originales!$E98</f>
        <v>0</v>
      </c>
      <c r="AJ262" s="6">
        <f>Datos_originales!$J98/Datos_originales!$E98</f>
        <v>0</v>
      </c>
      <c r="AK262" s="6">
        <f>Datos_originales!$K98/Datos_originales!$E98</f>
        <v>0</v>
      </c>
      <c r="AL262" s="6">
        <f>Datos_originales!$L98/Datos_originales!$E98</f>
        <v>0</v>
      </c>
      <c r="AM262" s="6">
        <f>Datos_originales!$M98/Datos_originales!$E98</f>
        <v>0</v>
      </c>
      <c r="AN262" s="6">
        <f>Datos_originales!$N98/Datos_originales!$E98</f>
        <v>0.01117318436</v>
      </c>
      <c r="AO262" s="6">
        <f>Datos_originales!$O98/Datos_originales!$E98</f>
        <v>0</v>
      </c>
      <c r="AP262" s="6">
        <f>Datos_originales!$P98/Datos_originales!$E98</f>
        <v>0.03910614525</v>
      </c>
      <c r="AQ262" s="6">
        <f>Datos_originales!$Q98/Datos_originales!$E98</f>
        <v>0</v>
      </c>
      <c r="AR262" s="6">
        <f>Datos_originales!$R98/Datos_originales!$E98</f>
        <v>0</v>
      </c>
      <c r="AS262" s="6">
        <f>Datos_originales!$S98/Datos_originales!$E98</f>
        <v>0.3016759777</v>
      </c>
      <c r="AT262" s="6">
        <f>Datos_originales!$T98/Datos_originales!$E98</f>
        <v>0.01117318436</v>
      </c>
      <c r="AU262" s="6">
        <f>Datos_originales!$U98/Datos_originales!$E98</f>
        <v>0.005586592179</v>
      </c>
      <c r="AV262" s="6">
        <f>Datos_originales!$V98/Datos_originales!$E98</f>
        <v>0.01117318436</v>
      </c>
      <c r="AW262" s="6">
        <f>Datos_originales!$W98/Datos_originales!$E98</f>
        <v>0.01675977654</v>
      </c>
      <c r="AX262" s="6">
        <f>Datos_originales!$X98/Datos_originales!$E98</f>
        <v>0</v>
      </c>
      <c r="AY262" s="6">
        <f>Datos_originales!$Y98/Datos_originales!$E98</f>
        <v>0</v>
      </c>
      <c r="AZ262" s="6">
        <f>Datos_originales!$Z98/Datos_originales!$E98</f>
        <v>0</v>
      </c>
      <c r="BA262" s="6">
        <f>Datos_originales!$AA98/Datos_originales!$E98</f>
        <v>0.01117318436</v>
      </c>
      <c r="BB262" s="6">
        <f>Datos_originales!$AB98/Datos_originales!$E98</f>
        <v>0.01117318436</v>
      </c>
      <c r="BC262" s="6">
        <f>Datos_originales!$AC98/Datos_originales!$E98</f>
        <v>0.05586592179</v>
      </c>
      <c r="BD262" s="6">
        <f>Datos_originales!$AD98/Datos_originales!$E98</f>
        <v>0</v>
      </c>
      <c r="BE262" s="6">
        <f>Datos_originales!$AE98/Datos_originales!$E98</f>
        <v>0</v>
      </c>
      <c r="BF262" s="6">
        <f>Datos_originales!$AF98/Datos_originales!$E98</f>
        <v>0.3519553073</v>
      </c>
      <c r="BG262" s="6">
        <f>Datos_originales!$AG98/Datos_originales!$E98</f>
        <v>0.01117318436</v>
      </c>
    </row>
    <row r="263" ht="15.75" customHeight="1">
      <c r="A263" s="2">
        <v>70303.0</v>
      </c>
      <c r="B263" s="3" t="s">
        <v>311</v>
      </c>
      <c r="C263" s="4" t="s">
        <v>321</v>
      </c>
      <c r="D263" s="4">
        <f>IF(Datos_originales!$E263&lt;1000,"Bosque menor a 1000 ha",Datos_originales!$E263)</f>
        <v>851393.34</v>
      </c>
      <c r="E263" s="4">
        <v>851393.3400000001</v>
      </c>
      <c r="F263" s="5">
        <f>AVERAGE(Datos_originales!$H97:$J97)</f>
        <v>0</v>
      </c>
      <c r="G263" s="5">
        <f>AVERAGE(Datos_originales!$R97:$T97)</f>
        <v>0</v>
      </c>
      <c r="H263" s="4">
        <v>1144.35</v>
      </c>
      <c r="I263" s="4">
        <v>1875.87</v>
      </c>
      <c r="J263" s="4">
        <v>1704.87</v>
      </c>
      <c r="K263" s="4">
        <v>2495.25</v>
      </c>
      <c r="L263" s="4">
        <v>2436.39</v>
      </c>
      <c r="M263" s="4">
        <v>6142.77</v>
      </c>
      <c r="N263" s="4">
        <v>8386.38</v>
      </c>
      <c r="O263" s="4">
        <v>6078.42</v>
      </c>
      <c r="P263" s="4">
        <v>6967.530000000001</v>
      </c>
      <c r="Q263" s="4">
        <v>12028.59</v>
      </c>
      <c r="R263" s="4">
        <v>12857.85</v>
      </c>
      <c r="S263" s="4">
        <v>9932.58</v>
      </c>
      <c r="T263" s="4">
        <v>12071.97</v>
      </c>
      <c r="U263" s="4">
        <v>2091.51</v>
      </c>
      <c r="V263" s="4">
        <v>2731.86</v>
      </c>
      <c r="W263" s="4">
        <v>2410.02</v>
      </c>
      <c r="X263" s="4">
        <v>2781.36</v>
      </c>
      <c r="Y263" s="4">
        <v>2861.46</v>
      </c>
      <c r="Z263" s="4">
        <v>6510.6</v>
      </c>
      <c r="AA263" s="4">
        <v>9083.43</v>
      </c>
      <c r="AB263" s="4">
        <v>9123.57</v>
      </c>
      <c r="AC263" s="4">
        <v>8968.769999999999</v>
      </c>
      <c r="AD263" s="4">
        <v>28362.96</v>
      </c>
      <c r="AE263" s="4">
        <v>12900.42</v>
      </c>
      <c r="AF263" s="4">
        <v>10013.67</v>
      </c>
      <c r="AG263" s="4">
        <v>13080.78</v>
      </c>
      <c r="AH263" s="6">
        <f>Datos_originales!$H97/Datos_originales!$E97</f>
        <v>0</v>
      </c>
      <c r="AI263" s="6">
        <f>Datos_originales!$I97/Datos_originales!$E97</f>
        <v>0</v>
      </c>
      <c r="AJ263" s="6">
        <f>Datos_originales!$J97/Datos_originales!$E97</f>
        <v>0</v>
      </c>
      <c r="AK263" s="6">
        <f>Datos_originales!$K97/Datos_originales!$E97</f>
        <v>0</v>
      </c>
      <c r="AL263" s="6">
        <f>Datos_originales!$L97/Datos_originales!$E97</f>
        <v>0</v>
      </c>
      <c r="AM263" s="6">
        <f>Datos_originales!$M97/Datos_originales!$E97</f>
        <v>0</v>
      </c>
      <c r="AN263" s="6">
        <f>Datos_originales!$N97/Datos_originales!$E97</f>
        <v>0</v>
      </c>
      <c r="AO263" s="6">
        <f>Datos_originales!$O97/Datos_originales!$E97</f>
        <v>0</v>
      </c>
      <c r="AP263" s="6">
        <f>Datos_originales!$P97/Datos_originales!$E97</f>
        <v>0</v>
      </c>
      <c r="AQ263" s="6">
        <f>Datos_originales!$Q97/Datos_originales!$E97</f>
        <v>0</v>
      </c>
      <c r="AR263" s="6">
        <f>Datos_originales!$R97/Datos_originales!$E97</f>
        <v>0</v>
      </c>
      <c r="AS263" s="6">
        <f>Datos_originales!$S97/Datos_originales!$E97</f>
        <v>0</v>
      </c>
      <c r="AT263" s="6">
        <f>Datos_originales!$T97/Datos_originales!$E97</f>
        <v>0</v>
      </c>
      <c r="AU263" s="6">
        <f>Datos_originales!$U97/Datos_originales!$E97</f>
        <v>0</v>
      </c>
      <c r="AV263" s="6">
        <f>Datos_originales!$V97/Datos_originales!$E97</f>
        <v>0</v>
      </c>
      <c r="AW263" s="6">
        <f>Datos_originales!$W97/Datos_originales!$E97</f>
        <v>0.07042253521</v>
      </c>
      <c r="AX263" s="6">
        <f>Datos_originales!$X97/Datos_originales!$E97</f>
        <v>0</v>
      </c>
      <c r="AY263" s="6">
        <f>Datos_originales!$Y97/Datos_originales!$E97</f>
        <v>0</v>
      </c>
      <c r="AZ263" s="6">
        <f>Datos_originales!$Z97/Datos_originales!$E97</f>
        <v>0</v>
      </c>
      <c r="BA263" s="6">
        <f>Datos_originales!$AA97/Datos_originales!$E97</f>
        <v>0</v>
      </c>
      <c r="BB263" s="6">
        <f>Datos_originales!$AB97/Datos_originales!$E97</f>
        <v>0</v>
      </c>
      <c r="BC263" s="6">
        <f>Datos_originales!$AC97/Datos_originales!$E97</f>
        <v>0</v>
      </c>
      <c r="BD263" s="6">
        <f>Datos_originales!$AD97/Datos_originales!$E97</f>
        <v>0</v>
      </c>
      <c r="BE263" s="6">
        <f>Datos_originales!$AE97/Datos_originales!$E97</f>
        <v>0</v>
      </c>
      <c r="BF263" s="6">
        <f>Datos_originales!$AF97/Datos_originales!$E97</f>
        <v>0</v>
      </c>
      <c r="BG263" s="6">
        <f>Datos_originales!$AG97/Datos_originales!$E97</f>
        <v>0</v>
      </c>
    </row>
    <row r="264" ht="15.75" customHeight="1">
      <c r="A264" s="2">
        <v>70401.0</v>
      </c>
      <c r="B264" s="3" t="s">
        <v>311</v>
      </c>
      <c r="C264" s="4" t="s">
        <v>322</v>
      </c>
      <c r="D264" s="4">
        <f>IF(Datos_originales!$E264&lt;1000,"Bosque menor a 1000 ha",Datos_originales!$E264)</f>
        <v>224255.07</v>
      </c>
      <c r="E264" s="4">
        <v>224255.07</v>
      </c>
      <c r="F264" s="5">
        <f>AVERAGE(Datos_originales!$H140:$J140)</f>
        <v>1.35</v>
      </c>
      <c r="G264" s="5">
        <f>AVERAGE(Datos_originales!$R140:$T140)</f>
        <v>47.13</v>
      </c>
      <c r="H264" s="4">
        <v>2622.51</v>
      </c>
      <c r="I264" s="4">
        <v>1734.48</v>
      </c>
      <c r="J264" s="4">
        <v>1152.72</v>
      </c>
      <c r="K264" s="4">
        <v>1070.46</v>
      </c>
      <c r="L264" s="4">
        <v>1371.78</v>
      </c>
      <c r="M264" s="4">
        <v>1156.23</v>
      </c>
      <c r="N264" s="4">
        <v>667.53</v>
      </c>
      <c r="O264" s="4">
        <v>808.65</v>
      </c>
      <c r="P264" s="4">
        <v>682.83</v>
      </c>
      <c r="Q264" s="4">
        <v>1436.4</v>
      </c>
      <c r="R264" s="4">
        <v>405.9</v>
      </c>
      <c r="S264" s="4">
        <v>3558.6</v>
      </c>
      <c r="T264" s="4">
        <v>1221.12</v>
      </c>
      <c r="U264" s="4">
        <v>2939.49</v>
      </c>
      <c r="V264" s="4">
        <v>1943.55</v>
      </c>
      <c r="W264" s="4">
        <v>1448.55</v>
      </c>
      <c r="X264" s="4">
        <v>1394.19</v>
      </c>
      <c r="Y264" s="4">
        <v>1550.7</v>
      </c>
      <c r="Z264" s="4">
        <v>1272.15</v>
      </c>
      <c r="AA264" s="4">
        <v>823.4100000000001</v>
      </c>
      <c r="AB264" s="4">
        <v>988.29</v>
      </c>
      <c r="AC264" s="4">
        <v>821.43</v>
      </c>
      <c r="AD264" s="4">
        <v>1908.09</v>
      </c>
      <c r="AE264" s="4">
        <v>425.52</v>
      </c>
      <c r="AF264" s="4">
        <v>3885.3</v>
      </c>
      <c r="AG264" s="4">
        <v>1256.58</v>
      </c>
      <c r="AH264" s="6">
        <f>Datos_originales!$H140/Datos_originales!$E140</f>
        <v>0.001016333938</v>
      </c>
      <c r="AI264" s="6">
        <f>Datos_originales!$I140/Datos_originales!$E140</f>
        <v>0.000943738657</v>
      </c>
      <c r="AJ264" s="6">
        <f>Datos_originales!$J140/Datos_originales!$E140</f>
        <v>0.001306715064</v>
      </c>
      <c r="AK264" s="6">
        <f>Datos_originales!$K140/Datos_originales!$E140</f>
        <v>0.002686025408</v>
      </c>
      <c r="AL264" s="6">
        <f>Datos_originales!$L140/Datos_originales!$E140</f>
        <v>0.001960072595</v>
      </c>
      <c r="AM264" s="6">
        <f>Datos_originales!$M140/Datos_originales!$E140</f>
        <v>0.00166969147</v>
      </c>
      <c r="AN264" s="6">
        <f>Datos_originales!$N140/Datos_originales!$E140</f>
        <v>0.006388384755</v>
      </c>
      <c r="AO264" s="6">
        <f>Datos_originales!$O140/Datos_originales!$E140</f>
        <v>0.006243194192</v>
      </c>
      <c r="AP264" s="6">
        <f>Datos_originales!$P140/Datos_originales!$E140</f>
        <v>0.006025408348</v>
      </c>
      <c r="AQ264" s="6">
        <f>Datos_originales!$Q140/Datos_originales!$E140</f>
        <v>0.007549909256</v>
      </c>
      <c r="AR264" s="6">
        <f>Datos_originales!$R140/Datos_originales!$E140</f>
        <v>0.05749546279</v>
      </c>
      <c r="AS264" s="6">
        <f>Datos_originales!$S140/Datos_originales!$E140</f>
        <v>0.05589836661</v>
      </c>
      <c r="AT264" s="6">
        <f>Datos_originales!$T140/Datos_originales!$E140</f>
        <v>0.0006533575318</v>
      </c>
      <c r="AU264" s="6">
        <f>Datos_originales!$U140/Datos_originales!$E140</f>
        <v>0.001161524501</v>
      </c>
      <c r="AV264" s="6">
        <f>Datos_originales!$V140/Datos_originales!$E140</f>
        <v>0.002613430127</v>
      </c>
      <c r="AW264" s="6">
        <f>Datos_originales!$W140/Datos_originales!$E140</f>
        <v>0.01393829401</v>
      </c>
      <c r="AX264" s="6">
        <f>Datos_originales!$X140/Datos_originales!$E140</f>
        <v>0.004137931034</v>
      </c>
      <c r="AY264" s="6">
        <f>Datos_originales!$Y140/Datos_originales!$E140</f>
        <v>0.007404718693</v>
      </c>
      <c r="AZ264" s="6">
        <f>Datos_originales!$Z140/Datos_originales!$E140</f>
        <v>0.01154264973</v>
      </c>
      <c r="BA264" s="6">
        <f>Datos_originales!$AA140/Datos_originales!$E140</f>
        <v>0.01372050817</v>
      </c>
      <c r="BB264" s="6">
        <f>Datos_originales!$AB140/Datos_originales!$E140</f>
        <v>0.01284936479</v>
      </c>
      <c r="BC264" s="6">
        <f>Datos_originales!$AC140/Datos_originales!$E140</f>
        <v>0.0143738657</v>
      </c>
      <c r="BD264" s="6">
        <f>Datos_originales!$AD140/Datos_originales!$E140</f>
        <v>0.007695099819</v>
      </c>
      <c r="BE264" s="6">
        <f>Datos_originales!$AE140/Datos_originales!$E140</f>
        <v>0.05843920145</v>
      </c>
      <c r="BF264" s="6">
        <f>Datos_originales!$AF140/Datos_originales!$E140</f>
        <v>0.06083484574</v>
      </c>
      <c r="BG264" s="6">
        <f>Datos_originales!$AG140/Datos_originales!$E140</f>
        <v>0.00275862069</v>
      </c>
    </row>
    <row r="265" ht="15.75" customHeight="1">
      <c r="A265" s="2">
        <v>70402.0</v>
      </c>
      <c r="B265" s="3" t="s">
        <v>311</v>
      </c>
      <c r="C265" s="4" t="s">
        <v>323</v>
      </c>
      <c r="D265" s="4">
        <f>IF(Datos_originales!$E265&lt;1000,"Bosque menor a 1000 ha",Datos_originales!$E265)</f>
        <v>43491.24</v>
      </c>
      <c r="E265" s="4">
        <v>43491.24</v>
      </c>
      <c r="F265" s="5">
        <f>AVERAGE(Datos_originales!$H62:$J62)</f>
        <v>0.42</v>
      </c>
      <c r="G265" s="5">
        <f>AVERAGE(Datos_originales!$R62:$T62)</f>
        <v>0.57</v>
      </c>
      <c r="H265" s="4">
        <v>1689.21</v>
      </c>
      <c r="I265" s="4">
        <v>1039.41</v>
      </c>
      <c r="J265" s="4">
        <v>881.8199999999999</v>
      </c>
      <c r="K265" s="4">
        <v>628.47</v>
      </c>
      <c r="L265" s="4">
        <v>1713.51</v>
      </c>
      <c r="M265" s="4">
        <v>1228.59</v>
      </c>
      <c r="N265" s="4">
        <v>523.89</v>
      </c>
      <c r="O265" s="4">
        <v>588.24</v>
      </c>
      <c r="P265" s="4">
        <v>787.23</v>
      </c>
      <c r="Q265" s="4">
        <v>1225.26</v>
      </c>
      <c r="R265" s="4">
        <v>288.9</v>
      </c>
      <c r="S265" s="4">
        <v>2162.34</v>
      </c>
      <c r="T265" s="4">
        <v>1178.01</v>
      </c>
      <c r="U265" s="4">
        <v>1853.01</v>
      </c>
      <c r="V265" s="4">
        <v>1087.56</v>
      </c>
      <c r="W265" s="4">
        <v>981.45</v>
      </c>
      <c r="X265" s="4">
        <v>679.5</v>
      </c>
      <c r="Y265" s="4">
        <v>1730.25</v>
      </c>
      <c r="Z265" s="4">
        <v>1253.97</v>
      </c>
      <c r="AA265" s="4">
        <v>566.37</v>
      </c>
      <c r="AB265" s="4">
        <v>612.9</v>
      </c>
      <c r="AC265" s="4">
        <v>827.1</v>
      </c>
      <c r="AD265" s="4">
        <v>1502.28</v>
      </c>
      <c r="AE265" s="4">
        <v>300.24</v>
      </c>
      <c r="AF265" s="4">
        <v>2344.32</v>
      </c>
      <c r="AG265" s="4">
        <v>1198.8</v>
      </c>
      <c r="AH265" s="6">
        <f>Datos_originales!$H62/Datos_originales!$E62</f>
        <v>0.0004897159647</v>
      </c>
      <c r="AI265" s="6">
        <f>Datos_originales!$I62/Datos_originales!$E62</f>
        <v>0.0007345739471</v>
      </c>
      <c r="AJ265" s="6">
        <f>Datos_originales!$J62/Datos_originales!$E62</f>
        <v>0.002203721841</v>
      </c>
      <c r="AK265" s="6">
        <f>Datos_originales!$K62/Datos_originales!$E62</f>
        <v>0.0009794319295</v>
      </c>
      <c r="AL265" s="6">
        <f>Datos_originales!$L62/Datos_originales!$E62</f>
        <v>0.003428011753</v>
      </c>
      <c r="AM265" s="6">
        <f>Datos_originales!$M62/Datos_originales!$E62</f>
        <v>0.0002448579824</v>
      </c>
      <c r="AN265" s="6">
        <f>Datos_originales!$N62/Datos_originales!$E62</f>
        <v>0.0002448579824</v>
      </c>
      <c r="AO265" s="6">
        <f>Datos_originales!$O62/Datos_originales!$E62</f>
        <v>0.0004897159647</v>
      </c>
      <c r="AP265" s="6">
        <f>Datos_originales!$P62/Datos_originales!$E62</f>
        <v>0.002203721841</v>
      </c>
      <c r="AQ265" s="6">
        <f>Datos_originales!$Q62/Datos_originales!$E62</f>
        <v>0</v>
      </c>
      <c r="AR265" s="6">
        <f>Datos_originales!$R62/Datos_originales!$E62</f>
        <v>0</v>
      </c>
      <c r="AS265" s="6">
        <f>Datos_originales!$S62/Datos_originales!$E62</f>
        <v>0.0004897159647</v>
      </c>
      <c r="AT265" s="6">
        <f>Datos_originales!$T62/Datos_originales!$E62</f>
        <v>0.0041625857</v>
      </c>
      <c r="AU265" s="6">
        <f>Datos_originales!$U62/Datos_originales!$E62</f>
        <v>0.009549461312</v>
      </c>
      <c r="AV265" s="6">
        <f>Datos_originales!$V62/Datos_originales!$E62</f>
        <v>0.007590597453</v>
      </c>
      <c r="AW265" s="6">
        <f>Datos_originales!$W62/Datos_originales!$E62</f>
        <v>0.01762977473</v>
      </c>
      <c r="AX265" s="6">
        <f>Datos_originales!$X62/Datos_originales!$E62</f>
        <v>0.002203721841</v>
      </c>
      <c r="AY265" s="6">
        <f>Datos_originales!$Y62/Datos_originales!$E62</f>
        <v>0.004652301665</v>
      </c>
      <c r="AZ265" s="6">
        <f>Datos_originales!$Z62/Datos_originales!$E62</f>
        <v>0.0004897159647</v>
      </c>
      <c r="BA265" s="6">
        <f>Datos_originales!$AA62/Datos_originales!$E62</f>
        <v>0.0009794319295</v>
      </c>
      <c r="BB265" s="6">
        <f>Datos_originales!$AB62/Datos_originales!$E62</f>
        <v>0.004652301665</v>
      </c>
      <c r="BC265" s="6">
        <f>Datos_originales!$AC62/Datos_originales!$E62</f>
        <v>0.002693437806</v>
      </c>
      <c r="BD265" s="6">
        <f>Datos_originales!$AD62/Datos_originales!$E62</f>
        <v>0</v>
      </c>
      <c r="BE265" s="6">
        <f>Datos_originales!$AE62/Datos_originales!$E62</f>
        <v>0</v>
      </c>
      <c r="BF265" s="6">
        <f>Datos_originales!$AF62/Datos_originales!$E62</f>
        <v>0.0004897159647</v>
      </c>
      <c r="BG265" s="6">
        <f>Datos_originales!$AG62/Datos_originales!$E62</f>
        <v>0.004407443683</v>
      </c>
    </row>
    <row r="266" ht="15.75" customHeight="1">
      <c r="A266" s="2">
        <v>70403.0</v>
      </c>
      <c r="B266" s="3" t="s">
        <v>311</v>
      </c>
      <c r="C266" s="4" t="s">
        <v>324</v>
      </c>
      <c r="D266" s="4">
        <f>IF(Datos_originales!$E266&lt;1000,"Bosque menor a 1000 ha",Datos_originales!$E266)</f>
        <v>704387.7</v>
      </c>
      <c r="E266" s="4">
        <v>704387.7</v>
      </c>
      <c r="F266" s="5">
        <f>AVERAGE(Datos_originales!$H101:$J101)</f>
        <v>0</v>
      </c>
      <c r="G266" s="5">
        <f>AVERAGE(Datos_originales!$R101:$T101)</f>
        <v>0</v>
      </c>
      <c r="H266" s="4">
        <v>9282.15</v>
      </c>
      <c r="I266" s="4">
        <v>4856.85</v>
      </c>
      <c r="J266" s="4">
        <v>4577.76</v>
      </c>
      <c r="K266" s="4">
        <v>4470.84</v>
      </c>
      <c r="L266" s="4">
        <v>6235.29</v>
      </c>
      <c r="M266" s="4">
        <v>6656.4</v>
      </c>
      <c r="N266" s="4">
        <v>4680.54</v>
      </c>
      <c r="O266" s="4">
        <v>5218.110000000001</v>
      </c>
      <c r="P266" s="4">
        <v>4751.190000000001</v>
      </c>
      <c r="Q266" s="4">
        <v>7239.15</v>
      </c>
      <c r="R266" s="4">
        <v>2483.37</v>
      </c>
      <c r="S266" s="4">
        <v>11485.17</v>
      </c>
      <c r="T266" s="4">
        <v>5799.78</v>
      </c>
      <c r="U266" s="4">
        <v>26292.42</v>
      </c>
      <c r="V266" s="4">
        <v>9811.439999999999</v>
      </c>
      <c r="W266" s="4">
        <v>8741.16</v>
      </c>
      <c r="X266" s="4">
        <v>9024.029999999999</v>
      </c>
      <c r="Y266" s="4">
        <v>7817.67</v>
      </c>
      <c r="Z266" s="4">
        <v>7818.389999999999</v>
      </c>
      <c r="AA266" s="4">
        <v>6950.07</v>
      </c>
      <c r="AB266" s="4">
        <v>6980.67</v>
      </c>
      <c r="AC266" s="4">
        <v>6897.059999999999</v>
      </c>
      <c r="AD266" s="4">
        <v>9634.95</v>
      </c>
      <c r="AE266" s="4">
        <v>2963.52</v>
      </c>
      <c r="AF266" s="4">
        <v>14889.87</v>
      </c>
      <c r="AG266" s="4">
        <v>10208.88</v>
      </c>
      <c r="AH266" s="6" t="str">
        <f>Datos_originales!$H101/Datos_originales!$E101</f>
        <v>#DIV/0!</v>
      </c>
      <c r="AI266" s="6" t="str">
        <f>Datos_originales!$I101/Datos_originales!$E101</f>
        <v>#DIV/0!</v>
      </c>
      <c r="AJ266" s="6" t="str">
        <f>Datos_originales!$J101/Datos_originales!$E101</f>
        <v>#DIV/0!</v>
      </c>
      <c r="AK266" s="6" t="str">
        <f>Datos_originales!$K101/Datos_originales!$E101</f>
        <v>#DIV/0!</v>
      </c>
      <c r="AL266" s="6" t="str">
        <f>Datos_originales!$L101/Datos_originales!$E101</f>
        <v>#DIV/0!</v>
      </c>
      <c r="AM266" s="6" t="str">
        <f>Datos_originales!$M101/Datos_originales!$E101</f>
        <v>#DIV/0!</v>
      </c>
      <c r="AN266" s="6" t="str">
        <f>Datos_originales!$N101/Datos_originales!$E101</f>
        <v>#DIV/0!</v>
      </c>
      <c r="AO266" s="6" t="str">
        <f>Datos_originales!$O101/Datos_originales!$E101</f>
        <v>#DIV/0!</v>
      </c>
      <c r="AP266" s="6" t="str">
        <f>Datos_originales!$P101/Datos_originales!$E101</f>
        <v>#DIV/0!</v>
      </c>
      <c r="AQ266" s="6" t="str">
        <f>Datos_originales!$Q101/Datos_originales!$E101</f>
        <v>#DIV/0!</v>
      </c>
      <c r="AR266" s="6" t="str">
        <f>Datos_originales!$R101/Datos_originales!$E101</f>
        <v>#DIV/0!</v>
      </c>
      <c r="AS266" s="6" t="str">
        <f>Datos_originales!$S101/Datos_originales!$E101</f>
        <v>#DIV/0!</v>
      </c>
      <c r="AT266" s="6" t="str">
        <f>Datos_originales!$T101/Datos_originales!$E101</f>
        <v>#DIV/0!</v>
      </c>
      <c r="AU266" s="6" t="str">
        <f>Datos_originales!$U101/Datos_originales!$E101</f>
        <v>#DIV/0!</v>
      </c>
      <c r="AV266" s="6" t="str">
        <f>Datos_originales!$V101/Datos_originales!$E101</f>
        <v>#DIV/0!</v>
      </c>
      <c r="AW266" s="6" t="str">
        <f>Datos_originales!$W101/Datos_originales!$E101</f>
        <v>#DIV/0!</v>
      </c>
      <c r="AX266" s="6" t="str">
        <f>Datos_originales!$X101/Datos_originales!$E101</f>
        <v>#DIV/0!</v>
      </c>
      <c r="AY266" s="6" t="str">
        <f>Datos_originales!$Y101/Datos_originales!$E101</f>
        <v>#DIV/0!</v>
      </c>
      <c r="AZ266" s="6" t="str">
        <f>Datos_originales!$Z101/Datos_originales!$E101</f>
        <v>#DIV/0!</v>
      </c>
      <c r="BA266" s="6" t="str">
        <f>Datos_originales!$AA101/Datos_originales!$E101</f>
        <v>#DIV/0!</v>
      </c>
      <c r="BB266" s="6" t="str">
        <f>Datos_originales!$AB101/Datos_originales!$E101</f>
        <v>#DIV/0!</v>
      </c>
      <c r="BC266" s="6" t="str">
        <f>Datos_originales!$AC101/Datos_originales!$E101</f>
        <v>#DIV/0!</v>
      </c>
      <c r="BD266" s="6" t="str">
        <f>Datos_originales!$AD101/Datos_originales!$E101</f>
        <v>#DIV/0!</v>
      </c>
      <c r="BE266" s="6" t="str">
        <f>Datos_originales!$AE101/Datos_originales!$E101</f>
        <v>#DIV/0!</v>
      </c>
      <c r="BF266" s="6" t="str">
        <f>Datos_originales!$AF101/Datos_originales!$E101</f>
        <v>#DIV/0!</v>
      </c>
      <c r="BG266" s="6" t="str">
        <f>Datos_originales!$AG101/Datos_originales!$E101</f>
        <v>#DIV/0!</v>
      </c>
    </row>
    <row r="267" ht="15.75" customHeight="1">
      <c r="A267" s="2">
        <v>70404.0</v>
      </c>
      <c r="B267" s="3" t="s">
        <v>311</v>
      </c>
      <c r="C267" s="4" t="s">
        <v>325</v>
      </c>
      <c r="D267" s="4">
        <f>IF(Datos_originales!$E267&lt;1000,"Bosque menor a 1000 ha",Datos_originales!$E267)</f>
        <v>66738.78</v>
      </c>
      <c r="E267" s="4">
        <v>66738.78</v>
      </c>
      <c r="F267" s="5">
        <f>AVERAGE(Datos_originales!$H36:$J36)</f>
        <v>0</v>
      </c>
      <c r="G267" s="5">
        <f>AVERAGE(Datos_originales!$R36:$T36)</f>
        <v>0</v>
      </c>
      <c r="H267" s="4">
        <v>1976.49</v>
      </c>
      <c r="I267" s="4">
        <v>1531.98</v>
      </c>
      <c r="J267" s="4">
        <v>1048.23</v>
      </c>
      <c r="K267" s="4">
        <v>971.55</v>
      </c>
      <c r="L267" s="4">
        <v>2396.97</v>
      </c>
      <c r="M267" s="4">
        <v>846.0</v>
      </c>
      <c r="N267" s="4">
        <v>616.14</v>
      </c>
      <c r="O267" s="4">
        <v>444.87</v>
      </c>
      <c r="P267" s="4">
        <v>623.97</v>
      </c>
      <c r="Q267" s="4">
        <v>889.9200000000001</v>
      </c>
      <c r="R267" s="4">
        <v>341.82</v>
      </c>
      <c r="S267" s="4">
        <v>1485.36</v>
      </c>
      <c r="T267" s="4">
        <v>2534.13</v>
      </c>
      <c r="U267" s="4">
        <v>2733.12</v>
      </c>
      <c r="V267" s="4">
        <v>2135.34</v>
      </c>
      <c r="W267" s="4">
        <v>1440.9</v>
      </c>
      <c r="X267" s="4">
        <v>1338.48</v>
      </c>
      <c r="Y267" s="4">
        <v>2616.39</v>
      </c>
      <c r="Z267" s="4">
        <v>1088.55</v>
      </c>
      <c r="AA267" s="4">
        <v>977.31</v>
      </c>
      <c r="AB267" s="4">
        <v>937.62</v>
      </c>
      <c r="AC267" s="4">
        <v>1022.22</v>
      </c>
      <c r="AD267" s="4">
        <v>1208.97</v>
      </c>
      <c r="AE267" s="4">
        <v>404.55</v>
      </c>
      <c r="AF267" s="4">
        <v>1871.55</v>
      </c>
      <c r="AG267" s="4">
        <v>3160.44</v>
      </c>
      <c r="AH267" s="6">
        <f>Datos_originales!$H36/Datos_originales!$E36</f>
        <v>0</v>
      </c>
      <c r="AI267" s="6">
        <f>Datos_originales!$I36/Datos_originales!$E36</f>
        <v>0</v>
      </c>
      <c r="AJ267" s="6">
        <f>Datos_originales!$J36/Datos_originales!$E36</f>
        <v>0</v>
      </c>
      <c r="AK267" s="6">
        <f>Datos_originales!$K36/Datos_originales!$E36</f>
        <v>0</v>
      </c>
      <c r="AL267" s="6">
        <f>Datos_originales!$L36/Datos_originales!$E36</f>
        <v>0</v>
      </c>
      <c r="AM267" s="6">
        <f>Datos_originales!$M36/Datos_originales!$E36</f>
        <v>0</v>
      </c>
      <c r="AN267" s="6">
        <f>Datos_originales!$N36/Datos_originales!$E36</f>
        <v>0</v>
      </c>
      <c r="AO267" s="6">
        <f>Datos_originales!$O36/Datos_originales!$E36</f>
        <v>0</v>
      </c>
      <c r="AP267" s="6">
        <f>Datos_originales!$P36/Datos_originales!$E36</f>
        <v>0</v>
      </c>
      <c r="AQ267" s="6">
        <f>Datos_originales!$Q36/Datos_originales!$E36</f>
        <v>0</v>
      </c>
      <c r="AR267" s="6">
        <f>Datos_originales!$R36/Datos_originales!$E36</f>
        <v>0</v>
      </c>
      <c r="AS267" s="6">
        <f>Datos_originales!$S36/Datos_originales!$E36</f>
        <v>0</v>
      </c>
      <c r="AT267" s="6">
        <f>Datos_originales!$T36/Datos_originales!$E36</f>
        <v>0</v>
      </c>
      <c r="AU267" s="6">
        <f>Datos_originales!$U36/Datos_originales!$E36</f>
        <v>0</v>
      </c>
      <c r="AV267" s="6">
        <f>Datos_originales!$V36/Datos_originales!$E36</f>
        <v>0</v>
      </c>
      <c r="AW267" s="6">
        <f>Datos_originales!$W36/Datos_originales!$E36</f>
        <v>0</v>
      </c>
      <c r="AX267" s="6">
        <f>Datos_originales!$X36/Datos_originales!$E36</f>
        <v>0</v>
      </c>
      <c r="AY267" s="6">
        <f>Datos_originales!$Y36/Datos_originales!$E36</f>
        <v>0</v>
      </c>
      <c r="AZ267" s="6">
        <f>Datos_originales!$Z36/Datos_originales!$E36</f>
        <v>0</v>
      </c>
      <c r="BA267" s="6">
        <f>Datos_originales!$AA36/Datos_originales!$E36</f>
        <v>0</v>
      </c>
      <c r="BB267" s="6">
        <f>Datos_originales!$AB36/Datos_originales!$E36</f>
        <v>0</v>
      </c>
      <c r="BC267" s="6">
        <f>Datos_originales!$AC36/Datos_originales!$E36</f>
        <v>0</v>
      </c>
      <c r="BD267" s="6">
        <f>Datos_originales!$AD36/Datos_originales!$E36</f>
        <v>0</v>
      </c>
      <c r="BE267" s="6">
        <f>Datos_originales!$AE36/Datos_originales!$E36</f>
        <v>0</v>
      </c>
      <c r="BF267" s="6">
        <f>Datos_originales!$AF36/Datos_originales!$E36</f>
        <v>0</v>
      </c>
      <c r="BG267" s="6">
        <f>Datos_originales!$AG36/Datos_originales!$E36</f>
        <v>0</v>
      </c>
    </row>
    <row r="268" ht="15.75" customHeight="1">
      <c r="A268" s="2">
        <v>70501.0</v>
      </c>
      <c r="B268" s="3" t="s">
        <v>311</v>
      </c>
      <c r="C268" s="4" t="s">
        <v>326</v>
      </c>
      <c r="D268" s="4">
        <f>IF(Datos_originales!$E268&lt;1000,"Bosque menor a 1000 ha",Datos_originales!$E268)</f>
        <v>1537017.93</v>
      </c>
      <c r="E268" s="4">
        <v>1537017.93</v>
      </c>
      <c r="F268" s="5">
        <f>AVERAGE(Datos_originales!$H55:$J55)</f>
        <v>5.76</v>
      </c>
      <c r="G268" s="5">
        <f>AVERAGE(Datos_originales!$R55:$T55)</f>
        <v>26.1</v>
      </c>
      <c r="H268" s="4">
        <v>4860.72</v>
      </c>
      <c r="I268" s="4">
        <v>6765.57</v>
      </c>
      <c r="J268" s="4">
        <v>8361.72</v>
      </c>
      <c r="K268" s="4">
        <v>20469.78</v>
      </c>
      <c r="L268" s="4">
        <v>35641.17</v>
      </c>
      <c r="M268" s="4">
        <v>28642.59</v>
      </c>
      <c r="N268" s="4">
        <v>30788.37</v>
      </c>
      <c r="O268" s="4">
        <v>26914.59</v>
      </c>
      <c r="P268" s="4">
        <v>22511.61</v>
      </c>
      <c r="Q268" s="4">
        <v>28116.54</v>
      </c>
      <c r="R268" s="4">
        <v>17601.03</v>
      </c>
      <c r="S268" s="4">
        <v>22755.69</v>
      </c>
      <c r="T268" s="4">
        <v>27828.09</v>
      </c>
      <c r="U268" s="4">
        <v>5717.07</v>
      </c>
      <c r="V268" s="4">
        <v>8434.619999999999</v>
      </c>
      <c r="W268" s="4">
        <v>10016.1</v>
      </c>
      <c r="X268" s="4">
        <v>20787.57</v>
      </c>
      <c r="Y268" s="4">
        <v>36036.63</v>
      </c>
      <c r="Z268" s="4">
        <v>29143.17</v>
      </c>
      <c r="AA268" s="4">
        <v>31646.16</v>
      </c>
      <c r="AB268" s="4">
        <v>75588.75</v>
      </c>
      <c r="AC268" s="4">
        <v>29845.8</v>
      </c>
      <c r="AD268" s="4">
        <v>43343.37</v>
      </c>
      <c r="AE268" s="4">
        <v>17625.6</v>
      </c>
      <c r="AF268" s="4">
        <v>22902.39</v>
      </c>
      <c r="AG268" s="4">
        <v>49189.41</v>
      </c>
      <c r="AH268" s="6">
        <f>Datos_originales!$H55/Datos_originales!$E55</f>
        <v>0.0003731459312</v>
      </c>
      <c r="AI268" s="6">
        <f>Datos_originales!$I55/Datos_originales!$E55</f>
        <v>0.001212724276</v>
      </c>
      <c r="AJ268" s="6">
        <f>Datos_originales!$J55/Datos_originales!$E55</f>
        <v>0.001399297242</v>
      </c>
      <c r="AK268" s="6">
        <f>Datos_originales!$K55/Datos_originales!$E55</f>
        <v>0.001850181909</v>
      </c>
      <c r="AL268" s="6">
        <f>Datos_originales!$L55/Datos_originales!$E55</f>
        <v>0.001881277403</v>
      </c>
      <c r="AM268" s="6">
        <f>Datos_originales!$M55/Datos_originales!$E55</f>
        <v>0.00146148823</v>
      </c>
      <c r="AN268" s="6">
        <f>Datos_originales!$N55/Datos_originales!$E55</f>
        <v>0.0009950558164</v>
      </c>
      <c r="AO268" s="6">
        <f>Datos_originales!$O55/Datos_originales!$E55</f>
        <v>0.0004353369197</v>
      </c>
      <c r="AP268" s="6">
        <f>Datos_originales!$P55/Datos_originales!$E55</f>
        <v>0.0037936503</v>
      </c>
      <c r="AQ268" s="6">
        <f>Datos_originales!$Q55/Datos_originales!$E55</f>
        <v>0.0002798594484</v>
      </c>
      <c r="AR268" s="6">
        <f>Datos_originales!$R55/Datos_originales!$E55</f>
        <v>0.000715196368</v>
      </c>
      <c r="AS268" s="6">
        <f>Datos_originales!$S55/Datos_originales!$E55</f>
        <v>0.005923691657</v>
      </c>
      <c r="AT268" s="6">
        <f>Datos_originales!$T55/Datos_originales!$E55</f>
        <v>0.006887651979</v>
      </c>
      <c r="AU268" s="6">
        <f>Datos_originales!$U55/Datos_originales!$E55</f>
        <v>0.004057962001</v>
      </c>
      <c r="AV268" s="6">
        <f>Datos_originales!$V55/Datos_originales!$E55</f>
        <v>0.004384464691</v>
      </c>
      <c r="AW268" s="6">
        <f>Datos_originales!$W55/Datos_originales!$E55</f>
        <v>0.008551260922</v>
      </c>
      <c r="AX268" s="6">
        <f>Datos_originales!$X55/Datos_originales!$E55</f>
        <v>0.003062906185</v>
      </c>
      <c r="AY268" s="6">
        <f>Datos_originales!$Y55/Datos_originales!$E55</f>
        <v>0.002363257564</v>
      </c>
      <c r="AZ268" s="6">
        <f>Datos_originales!$Z55/Datos_originales!$E55</f>
        <v>0.00254983053</v>
      </c>
      <c r="BA268" s="6">
        <f>Datos_originales!$AA55/Datos_originales!$E55</f>
        <v>0.00167915669</v>
      </c>
      <c r="BB268" s="6">
        <f>Datos_originales!$AB55/Datos_originales!$E55</f>
        <v>0.002192232346</v>
      </c>
      <c r="BC268" s="6">
        <f>Datos_originales!$AC55/Datos_originales!$E55</f>
        <v>0.005161852048</v>
      </c>
      <c r="BD268" s="6">
        <f>Datos_originales!$AD55/Datos_originales!$E55</f>
        <v>0.001072794552</v>
      </c>
      <c r="BE268" s="6">
        <f>Datos_originales!$AE55/Datos_originales!$E55</f>
        <v>0.001166081035</v>
      </c>
      <c r="BF268" s="6">
        <f>Datos_originales!$AF55/Datos_originales!$E55</f>
        <v>0.00612581237</v>
      </c>
      <c r="BG268" s="6">
        <f>Datos_originales!$AG55/Datos_originales!$E55</f>
        <v>0.0270841755</v>
      </c>
    </row>
    <row r="269" ht="15.75" customHeight="1">
      <c r="A269" s="2">
        <v>70502.0</v>
      </c>
      <c r="B269" s="3" t="s">
        <v>311</v>
      </c>
      <c r="C269" s="4" t="s">
        <v>327</v>
      </c>
      <c r="D269" s="4">
        <f>IF(Datos_originales!$E269&lt;1000,"Bosque menor a 1000 ha",Datos_originales!$E269)</f>
        <v>707981.4</v>
      </c>
      <c r="E269" s="4">
        <v>707981.4</v>
      </c>
      <c r="F269" s="5">
        <f>AVERAGE(Datos_originales!$H69:$J69)</f>
        <v>0</v>
      </c>
      <c r="G269" s="5">
        <f>AVERAGE(Datos_originales!$R69:$T69)</f>
        <v>0</v>
      </c>
      <c r="H269" s="4">
        <v>25811.55</v>
      </c>
      <c r="I269" s="4">
        <v>20873.25</v>
      </c>
      <c r="J269" s="4">
        <v>26883.72</v>
      </c>
      <c r="K269" s="4">
        <v>35346.06</v>
      </c>
      <c r="L269" s="4">
        <v>30641.76</v>
      </c>
      <c r="M269" s="4">
        <v>33303.69</v>
      </c>
      <c r="N269" s="4">
        <v>29510.37</v>
      </c>
      <c r="O269" s="4">
        <v>28631.97</v>
      </c>
      <c r="P269" s="4">
        <v>18667.17</v>
      </c>
      <c r="Q269" s="4">
        <v>23820.21</v>
      </c>
      <c r="R269" s="4">
        <v>17075.34</v>
      </c>
      <c r="S269" s="4">
        <v>19798.74</v>
      </c>
      <c r="T269" s="4">
        <v>15639.12</v>
      </c>
      <c r="U269" s="4">
        <v>26173.17</v>
      </c>
      <c r="V269" s="4">
        <v>21198.87</v>
      </c>
      <c r="W269" s="4">
        <v>27307.8</v>
      </c>
      <c r="X269" s="4">
        <v>35503.92</v>
      </c>
      <c r="Y269" s="4">
        <v>30874.5</v>
      </c>
      <c r="Z269" s="4">
        <v>33463.8</v>
      </c>
      <c r="AA269" s="4">
        <v>29939.22</v>
      </c>
      <c r="AB269" s="4">
        <v>28790.91</v>
      </c>
      <c r="AC269" s="4">
        <v>18754.74</v>
      </c>
      <c r="AD269" s="4">
        <v>24263.82</v>
      </c>
      <c r="AE269" s="4">
        <v>17122.68</v>
      </c>
      <c r="AF269" s="4">
        <v>20419.83</v>
      </c>
      <c r="AG269" s="4">
        <v>16542.81</v>
      </c>
      <c r="AH269" s="6" t="str">
        <f>Datos_originales!$H69/Datos_originales!$E69</f>
        <v>#DIV/0!</v>
      </c>
      <c r="AI269" s="6" t="str">
        <f>Datos_originales!$I69/Datos_originales!$E69</f>
        <v>#DIV/0!</v>
      </c>
      <c r="AJ269" s="6" t="str">
        <f>Datos_originales!$J69/Datos_originales!$E69</f>
        <v>#DIV/0!</v>
      </c>
      <c r="AK269" s="6" t="str">
        <f>Datos_originales!$K69/Datos_originales!$E69</f>
        <v>#DIV/0!</v>
      </c>
      <c r="AL269" s="6" t="str">
        <f>Datos_originales!$L69/Datos_originales!$E69</f>
        <v>#DIV/0!</v>
      </c>
      <c r="AM269" s="6" t="str">
        <f>Datos_originales!$M69/Datos_originales!$E69</f>
        <v>#DIV/0!</v>
      </c>
      <c r="AN269" s="6" t="str">
        <f>Datos_originales!$N69/Datos_originales!$E69</f>
        <v>#DIV/0!</v>
      </c>
      <c r="AO269" s="6" t="str">
        <f>Datos_originales!$O69/Datos_originales!$E69</f>
        <v>#DIV/0!</v>
      </c>
      <c r="AP269" s="6" t="str">
        <f>Datos_originales!$P69/Datos_originales!$E69</f>
        <v>#DIV/0!</v>
      </c>
      <c r="AQ269" s="6" t="str">
        <f>Datos_originales!$Q69/Datos_originales!$E69</f>
        <v>#DIV/0!</v>
      </c>
      <c r="AR269" s="6" t="str">
        <f>Datos_originales!$R69/Datos_originales!$E69</f>
        <v>#DIV/0!</v>
      </c>
      <c r="AS269" s="6" t="str">
        <f>Datos_originales!$S69/Datos_originales!$E69</f>
        <v>#DIV/0!</v>
      </c>
      <c r="AT269" s="6" t="str">
        <f>Datos_originales!$T69/Datos_originales!$E69</f>
        <v>#DIV/0!</v>
      </c>
      <c r="AU269" s="6" t="str">
        <f>Datos_originales!$U69/Datos_originales!$E69</f>
        <v>#DIV/0!</v>
      </c>
      <c r="AV269" s="6" t="str">
        <f>Datos_originales!$V69/Datos_originales!$E69</f>
        <v>#DIV/0!</v>
      </c>
      <c r="AW269" s="6" t="str">
        <f>Datos_originales!$W69/Datos_originales!$E69</f>
        <v>#DIV/0!</v>
      </c>
      <c r="AX269" s="6" t="str">
        <f>Datos_originales!$X69/Datos_originales!$E69</f>
        <v>#DIV/0!</v>
      </c>
      <c r="AY269" s="6" t="str">
        <f>Datos_originales!$Y69/Datos_originales!$E69</f>
        <v>#DIV/0!</v>
      </c>
      <c r="AZ269" s="6" t="str">
        <f>Datos_originales!$Z69/Datos_originales!$E69</f>
        <v>#DIV/0!</v>
      </c>
      <c r="BA269" s="6" t="str">
        <f>Datos_originales!$AA69/Datos_originales!$E69</f>
        <v>#DIV/0!</v>
      </c>
      <c r="BB269" s="6" t="str">
        <f>Datos_originales!$AB69/Datos_originales!$E69</f>
        <v>#DIV/0!</v>
      </c>
      <c r="BC269" s="6" t="str">
        <f>Datos_originales!$AC69/Datos_originales!$E69</f>
        <v>#DIV/0!</v>
      </c>
      <c r="BD269" s="6" t="str">
        <f>Datos_originales!$AD69/Datos_originales!$E69</f>
        <v>#DIV/0!</v>
      </c>
      <c r="BE269" s="6" t="str">
        <f>Datos_originales!$AE69/Datos_originales!$E69</f>
        <v>#DIV/0!</v>
      </c>
      <c r="BF269" s="6" t="str">
        <f>Datos_originales!$AF69/Datos_originales!$E69</f>
        <v>#DIV/0!</v>
      </c>
      <c r="BG269" s="6" t="str">
        <f>Datos_originales!$AG69/Datos_originales!$E69</f>
        <v>#DIV/0!</v>
      </c>
    </row>
    <row r="270" ht="15.75" customHeight="1">
      <c r="A270" s="2">
        <v>70503.0</v>
      </c>
      <c r="B270" s="3" t="s">
        <v>311</v>
      </c>
      <c r="C270" s="4" t="s">
        <v>328</v>
      </c>
      <c r="D270" s="4">
        <f>IF(Datos_originales!$E270&lt;1000,"Bosque menor a 1000 ha",Datos_originales!$E270)</f>
        <v>688852.98</v>
      </c>
      <c r="E270" s="4">
        <v>688852.98</v>
      </c>
      <c r="F270" s="5">
        <f>AVERAGE(Datos_originales!$H35:$J35)</f>
        <v>0</v>
      </c>
      <c r="G270" s="5">
        <f>AVERAGE(Datos_originales!$R35:$T35)</f>
        <v>0</v>
      </c>
      <c r="H270" s="4">
        <v>636.66</v>
      </c>
      <c r="I270" s="4">
        <v>889.02</v>
      </c>
      <c r="J270" s="4">
        <v>667.62</v>
      </c>
      <c r="K270" s="4">
        <v>1496.34</v>
      </c>
      <c r="L270" s="4">
        <v>3164.04</v>
      </c>
      <c r="M270" s="4">
        <v>3239.91</v>
      </c>
      <c r="N270" s="4">
        <v>4715.1</v>
      </c>
      <c r="O270" s="4">
        <v>5131.44</v>
      </c>
      <c r="P270" s="4">
        <v>2578.95</v>
      </c>
      <c r="Q270" s="4">
        <v>6086.79</v>
      </c>
      <c r="R270" s="4">
        <v>5740.02</v>
      </c>
      <c r="S270" s="4">
        <v>5859.0</v>
      </c>
      <c r="T270" s="4">
        <v>15373.26</v>
      </c>
      <c r="U270" s="4">
        <v>724.59</v>
      </c>
      <c r="V270" s="4">
        <v>985.23</v>
      </c>
      <c r="W270" s="4">
        <v>861.21</v>
      </c>
      <c r="X270" s="4">
        <v>1537.47</v>
      </c>
      <c r="Y270" s="4">
        <v>3199.41</v>
      </c>
      <c r="Z270" s="4">
        <v>3275.28</v>
      </c>
      <c r="AA270" s="4">
        <v>4774.86</v>
      </c>
      <c r="AB270" s="4">
        <v>23846.31</v>
      </c>
      <c r="AC270" s="4">
        <v>6061.23</v>
      </c>
      <c r="AD270" s="4">
        <v>6569.82</v>
      </c>
      <c r="AE270" s="4">
        <v>5756.94</v>
      </c>
      <c r="AF270" s="4">
        <v>6082.92</v>
      </c>
      <c r="AG270" s="4">
        <v>33431.13</v>
      </c>
      <c r="AH270" s="6" t="str">
        <f>Datos_originales!$H35/Datos_originales!$E35</f>
        <v>#DIV/0!</v>
      </c>
      <c r="AI270" s="6" t="str">
        <f>Datos_originales!$I35/Datos_originales!$E35</f>
        <v>#DIV/0!</v>
      </c>
      <c r="AJ270" s="6" t="str">
        <f>Datos_originales!$J35/Datos_originales!$E35</f>
        <v>#DIV/0!</v>
      </c>
      <c r="AK270" s="6" t="str">
        <f>Datos_originales!$K35/Datos_originales!$E35</f>
        <v>#DIV/0!</v>
      </c>
      <c r="AL270" s="6" t="str">
        <f>Datos_originales!$L35/Datos_originales!$E35</f>
        <v>#DIV/0!</v>
      </c>
      <c r="AM270" s="6" t="str">
        <f>Datos_originales!$M35/Datos_originales!$E35</f>
        <v>#DIV/0!</v>
      </c>
      <c r="AN270" s="6" t="str">
        <f>Datos_originales!$N35/Datos_originales!$E35</f>
        <v>#DIV/0!</v>
      </c>
      <c r="AO270" s="6" t="str">
        <f>Datos_originales!$O35/Datos_originales!$E35</f>
        <v>#DIV/0!</v>
      </c>
      <c r="AP270" s="6" t="str">
        <f>Datos_originales!$P35/Datos_originales!$E35</f>
        <v>#DIV/0!</v>
      </c>
      <c r="AQ270" s="6" t="str">
        <f>Datos_originales!$Q35/Datos_originales!$E35</f>
        <v>#DIV/0!</v>
      </c>
      <c r="AR270" s="6" t="str">
        <f>Datos_originales!$R35/Datos_originales!$E35</f>
        <v>#DIV/0!</v>
      </c>
      <c r="AS270" s="6" t="str">
        <f>Datos_originales!$S35/Datos_originales!$E35</f>
        <v>#DIV/0!</v>
      </c>
      <c r="AT270" s="6" t="str">
        <f>Datos_originales!$T35/Datos_originales!$E35</f>
        <v>#DIV/0!</v>
      </c>
      <c r="AU270" s="6" t="str">
        <f>Datos_originales!$U35/Datos_originales!$E35</f>
        <v>#DIV/0!</v>
      </c>
      <c r="AV270" s="6" t="str">
        <f>Datos_originales!$V35/Datos_originales!$E35</f>
        <v>#DIV/0!</v>
      </c>
      <c r="AW270" s="6" t="str">
        <f>Datos_originales!$W35/Datos_originales!$E35</f>
        <v>#DIV/0!</v>
      </c>
      <c r="AX270" s="6" t="str">
        <f>Datos_originales!$X35/Datos_originales!$E35</f>
        <v>#DIV/0!</v>
      </c>
      <c r="AY270" s="6" t="str">
        <f>Datos_originales!$Y35/Datos_originales!$E35</f>
        <v>#DIV/0!</v>
      </c>
      <c r="AZ270" s="6" t="str">
        <f>Datos_originales!$Z35/Datos_originales!$E35</f>
        <v>#DIV/0!</v>
      </c>
      <c r="BA270" s="6" t="str">
        <f>Datos_originales!$AA35/Datos_originales!$E35</f>
        <v>#DIV/0!</v>
      </c>
      <c r="BB270" s="6" t="str">
        <f>Datos_originales!$AB35/Datos_originales!$E35</f>
        <v>#DIV/0!</v>
      </c>
      <c r="BC270" s="6" t="str">
        <f>Datos_originales!$AC35/Datos_originales!$E35</f>
        <v>#DIV/0!</v>
      </c>
      <c r="BD270" s="6" t="str">
        <f>Datos_originales!$AD35/Datos_originales!$E35</f>
        <v>#DIV/0!</v>
      </c>
      <c r="BE270" s="6" t="str">
        <f>Datos_originales!$AE35/Datos_originales!$E35</f>
        <v>#DIV/0!</v>
      </c>
      <c r="BF270" s="6" t="str">
        <f>Datos_originales!$AF35/Datos_originales!$E35</f>
        <v>#DIV/0!</v>
      </c>
      <c r="BG270" s="6" t="str">
        <f>Datos_originales!$AG35/Datos_originales!$E35</f>
        <v>#DIV/0!</v>
      </c>
    </row>
    <row r="271" ht="15.75" customHeight="1">
      <c r="A271" s="2">
        <v>70601.0</v>
      </c>
      <c r="B271" s="3" t="s">
        <v>311</v>
      </c>
      <c r="C271" s="4" t="s">
        <v>329</v>
      </c>
      <c r="D271" s="4">
        <f>IF(Datos_originales!$E271&lt;1000,"Bosque menor a 1000 ha",Datos_originales!$E271)</f>
        <v>37691.46</v>
      </c>
      <c r="E271" s="4">
        <v>37691.46</v>
      </c>
      <c r="F271" s="5">
        <f>AVERAGE(Datos_originales!$H57:$J57)</f>
        <v>4.86</v>
      </c>
      <c r="G271" s="5">
        <f>AVERAGE(Datos_originales!$R57:$T57)</f>
        <v>15.15</v>
      </c>
      <c r="H271" s="4">
        <v>2712.24</v>
      </c>
      <c r="I271" s="4">
        <v>1307.25</v>
      </c>
      <c r="J271" s="4">
        <v>930.6</v>
      </c>
      <c r="K271" s="4">
        <v>998.1</v>
      </c>
      <c r="L271" s="4">
        <v>1262.34</v>
      </c>
      <c r="M271" s="4">
        <v>939.33</v>
      </c>
      <c r="N271" s="4">
        <v>924.12</v>
      </c>
      <c r="O271" s="4">
        <v>969.21</v>
      </c>
      <c r="P271" s="4">
        <v>406.08</v>
      </c>
      <c r="Q271" s="4">
        <v>1169.1</v>
      </c>
      <c r="R271" s="4">
        <v>144.54</v>
      </c>
      <c r="S271" s="4">
        <v>1596.33</v>
      </c>
      <c r="T271" s="4">
        <v>1109.16</v>
      </c>
      <c r="U271" s="4">
        <v>2725.11</v>
      </c>
      <c r="V271" s="4">
        <v>1324.26</v>
      </c>
      <c r="W271" s="4">
        <v>949.59</v>
      </c>
      <c r="X271" s="4">
        <v>1022.4</v>
      </c>
      <c r="Y271" s="4">
        <v>1268.28</v>
      </c>
      <c r="Z271" s="4">
        <v>952.56</v>
      </c>
      <c r="AA271" s="4">
        <v>941.04</v>
      </c>
      <c r="AB271" s="4">
        <v>982.17</v>
      </c>
      <c r="AC271" s="4">
        <v>425.25</v>
      </c>
      <c r="AD271" s="4">
        <v>1258.47</v>
      </c>
      <c r="AE271" s="4">
        <v>154.89</v>
      </c>
      <c r="AF271" s="4">
        <v>1691.19</v>
      </c>
      <c r="AG271" s="4">
        <v>1113.21</v>
      </c>
      <c r="AH271" s="6">
        <f>Datos_originales!$H57/Datos_originales!$E57</f>
        <v>0.0011029287</v>
      </c>
      <c r="AI271" s="6">
        <f>Datos_originales!$I57/Datos_originales!$E57</f>
        <v>0.0009502154953</v>
      </c>
      <c r="AJ271" s="6">
        <f>Datos_originales!$J57/Datos_originales!$E57</f>
        <v>0.0006956934876</v>
      </c>
      <c r="AK271" s="6">
        <f>Datos_originales!$K57/Datos_originales!$E57</f>
        <v>0.0006787253538</v>
      </c>
      <c r="AL271" s="6">
        <f>Datos_originales!$L57/Datos_originales!$E57</f>
        <v>0.0008993110938</v>
      </c>
      <c r="AM271" s="6">
        <f>Datos_originales!$M57/Datos_originales!$E57</f>
        <v>0.001119896834</v>
      </c>
      <c r="AN271" s="6">
        <f>Datos_originales!$N57/Datos_originales!$E57</f>
        <v>0.0009671836291</v>
      </c>
      <c r="AO271" s="6">
        <f>Datos_originales!$O57/Datos_originales!$E57</f>
        <v>0.0004072352123</v>
      </c>
      <c r="AP271" s="6">
        <f>Datos_originales!$P57/Datos_originales!$E57</f>
        <v>0.000542980283</v>
      </c>
      <c r="AQ271" s="6">
        <f>Datos_originales!$Q57/Datos_originales!$E57</f>
        <v>0.00005090440153</v>
      </c>
      <c r="AR271" s="6">
        <f>Datos_originales!$R57/Datos_originales!$E57</f>
        <v>0.00022058574</v>
      </c>
      <c r="AS271" s="6">
        <f>Datos_originales!$S57/Datos_originales!$E57</f>
        <v>0.00242644314</v>
      </c>
      <c r="AT271" s="6">
        <f>Datos_originales!$T57/Datos_originales!$E57</f>
        <v>0.005921878712</v>
      </c>
      <c r="AU271" s="6">
        <f>Datos_originales!$U57/Datos_originales!$E57</f>
        <v>0.01566158754</v>
      </c>
      <c r="AV271" s="6">
        <f>Datos_originales!$V57/Datos_originales!$E57</f>
        <v>0.006447890861</v>
      </c>
      <c r="AW271" s="6">
        <f>Datos_originales!$W57/Datos_originales!$E57</f>
        <v>0.00873858893</v>
      </c>
      <c r="AX271" s="6">
        <f>Datos_originales!$X57/Datos_originales!$E57</f>
        <v>0.00419112906</v>
      </c>
      <c r="AY271" s="6">
        <f>Datos_originales!$Y57/Datos_originales!$E57</f>
        <v>0.002596124478</v>
      </c>
      <c r="AZ271" s="6">
        <f>Datos_originales!$Z57/Datos_originales!$E57</f>
        <v>0.001645908983</v>
      </c>
      <c r="BA271" s="6">
        <f>Datos_originales!$AA57/Datos_originales!$E57</f>
        <v>0.002188889266</v>
      </c>
      <c r="BB271" s="6">
        <f>Datos_originales!$AB57/Datos_originales!$E57</f>
        <v>0.001493195778</v>
      </c>
      <c r="BC271" s="6">
        <f>Datos_originales!$AC57/Datos_originales!$E57</f>
        <v>0.00198527166</v>
      </c>
      <c r="BD271" s="6">
        <f>Datos_originales!$AD57/Datos_originales!$E57</f>
        <v>0.0003732989446</v>
      </c>
      <c r="BE271" s="6">
        <f>Datos_originales!$AE57/Datos_originales!$E57</f>
        <v>0.0004581396138</v>
      </c>
      <c r="BF271" s="6">
        <f>Datos_originales!$AF57/Datos_originales!$E57</f>
        <v>0.002833678352</v>
      </c>
      <c r="BG271" s="6">
        <f>Datos_originales!$AG57/Datos_originales!$E57</f>
        <v>0.03427563037</v>
      </c>
    </row>
    <row r="272" ht="15.75" customHeight="1">
      <c r="A272" s="2">
        <v>70602.0</v>
      </c>
      <c r="B272" s="3" t="s">
        <v>311</v>
      </c>
      <c r="C272" s="4" t="s">
        <v>330</v>
      </c>
      <c r="D272" s="4">
        <f>IF(Datos_originales!$E272&lt;1000,"Bosque menor a 1000 ha",Datos_originales!$E272)</f>
        <v>189111.87</v>
      </c>
      <c r="E272" s="4">
        <v>189111.87</v>
      </c>
      <c r="F272" s="5">
        <f>AVERAGE(Datos_originales!$H34:$J34)</f>
        <v>0.03</v>
      </c>
      <c r="G272" s="5">
        <f>AVERAGE(Datos_originales!$R34:$T34)</f>
        <v>0.27</v>
      </c>
      <c r="H272" s="4">
        <v>7683.75</v>
      </c>
      <c r="I272" s="4">
        <v>8412.66</v>
      </c>
      <c r="J272" s="4">
        <v>4867.2</v>
      </c>
      <c r="K272" s="4">
        <v>4695.84</v>
      </c>
      <c r="L272" s="4">
        <v>17162.46</v>
      </c>
      <c r="M272" s="4">
        <v>4888.26</v>
      </c>
      <c r="N272" s="4">
        <v>5454.629999999999</v>
      </c>
      <c r="O272" s="4">
        <v>4664.88</v>
      </c>
      <c r="P272" s="4">
        <v>4332.059999999999</v>
      </c>
      <c r="Q272" s="4">
        <v>6256.98</v>
      </c>
      <c r="R272" s="4">
        <v>2621.07</v>
      </c>
      <c r="S272" s="4">
        <v>7557.66</v>
      </c>
      <c r="T272" s="4">
        <v>7092.9</v>
      </c>
      <c r="U272" s="4">
        <v>9718.65</v>
      </c>
      <c r="V272" s="4">
        <v>9067.05</v>
      </c>
      <c r="W272" s="4">
        <v>5380.47</v>
      </c>
      <c r="X272" s="4">
        <v>5214.42</v>
      </c>
      <c r="Y272" s="4">
        <v>17811.0</v>
      </c>
      <c r="Z272" s="4">
        <v>5308.38</v>
      </c>
      <c r="AA272" s="4">
        <v>5711.940000000001</v>
      </c>
      <c r="AB272" s="4">
        <v>4883.31</v>
      </c>
      <c r="AC272" s="4">
        <v>4621.14</v>
      </c>
      <c r="AD272" s="4">
        <v>6605.37</v>
      </c>
      <c r="AE272" s="4">
        <v>2672.19</v>
      </c>
      <c r="AF272" s="4">
        <v>8844.84</v>
      </c>
      <c r="AG272" s="4">
        <v>10313.28</v>
      </c>
      <c r="AH272" s="6">
        <f>Datos_originales!$H34/Datos_originales!$E34</f>
        <v>0</v>
      </c>
      <c r="AI272" s="6">
        <f>Datos_originales!$I34/Datos_originales!$E34</f>
        <v>0.007352941176</v>
      </c>
      <c r="AJ272" s="6">
        <f>Datos_originales!$J34/Datos_originales!$E34</f>
        <v>0</v>
      </c>
      <c r="AK272" s="6">
        <f>Datos_originales!$K34/Datos_originales!$E34</f>
        <v>0</v>
      </c>
      <c r="AL272" s="6">
        <f>Datos_originales!$L34/Datos_originales!$E34</f>
        <v>0</v>
      </c>
      <c r="AM272" s="6">
        <f>Datos_originales!$M34/Datos_originales!$E34</f>
        <v>0</v>
      </c>
      <c r="AN272" s="6">
        <f>Datos_originales!$N34/Datos_originales!$E34</f>
        <v>0.007352941176</v>
      </c>
      <c r="AO272" s="6">
        <f>Datos_originales!$O34/Datos_originales!$E34</f>
        <v>0.02205882353</v>
      </c>
      <c r="AP272" s="6">
        <f>Datos_originales!$P34/Datos_originales!$E34</f>
        <v>0.007352941176</v>
      </c>
      <c r="AQ272" s="6">
        <f>Datos_originales!$Q34/Datos_originales!$E34</f>
        <v>0</v>
      </c>
      <c r="AR272" s="6">
        <f>Datos_originales!$R34/Datos_originales!$E34</f>
        <v>0</v>
      </c>
      <c r="AS272" s="6">
        <f>Datos_originales!$S34/Datos_originales!$E34</f>
        <v>0.06617647059</v>
      </c>
      <c r="AT272" s="6">
        <f>Datos_originales!$T34/Datos_originales!$E34</f>
        <v>0</v>
      </c>
      <c r="AU272" s="6">
        <f>Datos_originales!$U34/Datos_originales!$E34</f>
        <v>0</v>
      </c>
      <c r="AV272" s="6">
        <f>Datos_originales!$V34/Datos_originales!$E34</f>
        <v>0.02205882353</v>
      </c>
      <c r="AW272" s="6">
        <f>Datos_originales!$W34/Datos_originales!$E34</f>
        <v>0.05147058824</v>
      </c>
      <c r="AX272" s="6">
        <f>Datos_originales!$X34/Datos_originales!$E34</f>
        <v>0</v>
      </c>
      <c r="AY272" s="6">
        <f>Datos_originales!$Y34/Datos_originales!$E34</f>
        <v>0</v>
      </c>
      <c r="AZ272" s="6">
        <f>Datos_originales!$Z34/Datos_originales!$E34</f>
        <v>0.01470588235</v>
      </c>
      <c r="BA272" s="6">
        <f>Datos_originales!$AA34/Datos_originales!$E34</f>
        <v>0.007352941176</v>
      </c>
      <c r="BB272" s="6">
        <f>Datos_originales!$AB34/Datos_originales!$E34</f>
        <v>0.2058823529</v>
      </c>
      <c r="BC272" s="6">
        <f>Datos_originales!$AC34/Datos_originales!$E34</f>
        <v>0.02941176471</v>
      </c>
      <c r="BD272" s="6">
        <f>Datos_originales!$AD34/Datos_originales!$E34</f>
        <v>0</v>
      </c>
      <c r="BE272" s="6">
        <f>Datos_originales!$AE34/Datos_originales!$E34</f>
        <v>0</v>
      </c>
      <c r="BF272" s="6">
        <f>Datos_originales!$AF34/Datos_originales!$E34</f>
        <v>0.08823529412</v>
      </c>
      <c r="BG272" s="6">
        <f>Datos_originales!$AG34/Datos_originales!$E34</f>
        <v>0</v>
      </c>
    </row>
    <row r="273" ht="15.75" customHeight="1">
      <c r="A273" s="2">
        <v>70603.0</v>
      </c>
      <c r="B273" s="3" t="s">
        <v>311</v>
      </c>
      <c r="C273" s="4" t="s">
        <v>331</v>
      </c>
      <c r="D273" s="4">
        <f>IF(Datos_originales!$E273&lt;1000,"Bosque menor a 1000 ha",Datos_originales!$E273)</f>
        <v>7991.91</v>
      </c>
      <c r="E273" s="4">
        <v>7991.91</v>
      </c>
      <c r="F273" s="5">
        <f>AVERAGE(Datos_originales!$H33:$J33)</f>
        <v>1.32</v>
      </c>
      <c r="G273" s="5">
        <f>AVERAGE(Datos_originales!$R33:$T33)</f>
        <v>9.63</v>
      </c>
      <c r="H273" s="4">
        <v>236.79</v>
      </c>
      <c r="I273" s="4">
        <v>141.57</v>
      </c>
      <c r="J273" s="4">
        <v>193.32</v>
      </c>
      <c r="K273" s="4">
        <v>149.49</v>
      </c>
      <c r="L273" s="4">
        <v>360.63</v>
      </c>
      <c r="M273" s="4">
        <v>360.09</v>
      </c>
      <c r="N273" s="4">
        <v>464.67</v>
      </c>
      <c r="O273" s="4">
        <v>207.81</v>
      </c>
      <c r="P273" s="4">
        <v>66.06</v>
      </c>
      <c r="Q273" s="4">
        <v>246.42</v>
      </c>
      <c r="R273" s="4">
        <v>24.03</v>
      </c>
      <c r="S273" s="4">
        <v>417.78</v>
      </c>
      <c r="T273" s="4">
        <v>462.78</v>
      </c>
      <c r="U273" s="4">
        <v>241.11</v>
      </c>
      <c r="V273" s="4">
        <v>149.94</v>
      </c>
      <c r="W273" s="4">
        <v>205.56</v>
      </c>
      <c r="X273" s="4">
        <v>168.03</v>
      </c>
      <c r="Y273" s="4">
        <v>364.5</v>
      </c>
      <c r="Z273" s="4">
        <v>363.78</v>
      </c>
      <c r="AA273" s="4">
        <v>469.89</v>
      </c>
      <c r="AB273" s="4">
        <v>217.8</v>
      </c>
      <c r="AC273" s="4">
        <v>69.3</v>
      </c>
      <c r="AD273" s="4">
        <v>250.74</v>
      </c>
      <c r="AE273" s="4">
        <v>27.36</v>
      </c>
      <c r="AF273" s="4">
        <v>452.34</v>
      </c>
      <c r="AG273" s="4">
        <v>463.95</v>
      </c>
      <c r="AH273" s="6">
        <f>Datos_originales!$H33/Datos_originales!$E33</f>
        <v>0.01698301698</v>
      </c>
      <c r="AI273" s="6">
        <f>Datos_originales!$I33/Datos_originales!$E33</f>
        <v>0.00999000999</v>
      </c>
      <c r="AJ273" s="6">
        <f>Datos_originales!$J33/Datos_originales!$E33</f>
        <v>0.01698301698</v>
      </c>
      <c r="AK273" s="6">
        <f>Datos_originales!$K33/Datos_originales!$E33</f>
        <v>0.01898101898</v>
      </c>
      <c r="AL273" s="6">
        <f>Datos_originales!$L33/Datos_originales!$E33</f>
        <v>0.01398601399</v>
      </c>
      <c r="AM273" s="6">
        <f>Datos_originales!$M33/Datos_originales!$E33</f>
        <v>0.007992007992</v>
      </c>
      <c r="AN273" s="6">
        <f>Datos_originales!$N33/Datos_originales!$E33</f>
        <v>0.004995004995</v>
      </c>
      <c r="AO273" s="6">
        <f>Datos_originales!$O33/Datos_originales!$E33</f>
        <v>0.01698301698</v>
      </c>
      <c r="AP273" s="6">
        <f>Datos_originales!$P33/Datos_originales!$E33</f>
        <v>0.01598401598</v>
      </c>
      <c r="AQ273" s="6">
        <f>Datos_originales!$Q33/Datos_originales!$E33</f>
        <v>0.08991008991</v>
      </c>
      <c r="AR273" s="6">
        <f>Datos_originales!$R33/Datos_originales!$E33</f>
        <v>0.1158841159</v>
      </c>
      <c r="AS273" s="6">
        <f>Datos_originales!$S33/Datos_originales!$E33</f>
        <v>0.1238761239</v>
      </c>
      <c r="AT273" s="6">
        <f>Datos_originales!$T33/Datos_originales!$E33</f>
        <v>0.08091908092</v>
      </c>
      <c r="AU273" s="6">
        <f>Datos_originales!$U33/Datos_originales!$E33</f>
        <v>0.02697302697</v>
      </c>
      <c r="AV273" s="6">
        <f>Datos_originales!$V33/Datos_originales!$E33</f>
        <v>0.01698301698</v>
      </c>
      <c r="AW273" s="6">
        <f>Datos_originales!$W33/Datos_originales!$E33</f>
        <v>0.03896103896</v>
      </c>
      <c r="AX273" s="6">
        <f>Datos_originales!$X33/Datos_originales!$E33</f>
        <v>0.02297702298</v>
      </c>
      <c r="AY273" s="6">
        <f>Datos_originales!$Y33/Datos_originales!$E33</f>
        <v>0.01498501499</v>
      </c>
      <c r="AZ273" s="6">
        <f>Datos_originales!$Z33/Datos_originales!$E33</f>
        <v>0.007992007992</v>
      </c>
      <c r="BA273" s="6">
        <f>Datos_originales!$AA33/Datos_originales!$E33</f>
        <v>0.00999000999</v>
      </c>
      <c r="BB273" s="6">
        <f>Datos_originales!$AB33/Datos_originales!$E33</f>
        <v>0.07192807193</v>
      </c>
      <c r="BC273" s="6">
        <f>Datos_originales!$AC33/Datos_originales!$E33</f>
        <v>0.02197802198</v>
      </c>
      <c r="BD273" s="6">
        <f>Datos_originales!$AD33/Datos_originales!$E33</f>
        <v>0.08991008991</v>
      </c>
      <c r="BE273" s="6">
        <f>Datos_originales!$AE33/Datos_originales!$E33</f>
        <v>0.1158841159</v>
      </c>
      <c r="BF273" s="6">
        <f>Datos_originales!$AF33/Datos_originales!$E33</f>
        <v>0.1438561439</v>
      </c>
      <c r="BG273" s="6">
        <f>Datos_originales!$AG33/Datos_originales!$E33</f>
        <v>0.08291708292</v>
      </c>
    </row>
    <row r="274" ht="15.75" customHeight="1">
      <c r="A274" s="2">
        <v>70701.0</v>
      </c>
      <c r="B274" s="3" t="s">
        <v>311</v>
      </c>
      <c r="C274" s="4" t="s">
        <v>332</v>
      </c>
      <c r="D274" s="4">
        <f>IF(Datos_originales!$E274&lt;1000,"Bosque menor a 1000 ha",Datos_originales!$E274)</f>
        <v>95083.29</v>
      </c>
      <c r="E274" s="4">
        <v>95083.29</v>
      </c>
      <c r="F274" s="5">
        <f>AVERAGE(Datos_originales!$H175:$J175)</f>
        <v>0</v>
      </c>
      <c r="G274" s="5">
        <f>AVERAGE(Datos_originales!$R175:$T175)</f>
        <v>0</v>
      </c>
      <c r="H274" s="4">
        <v>726.3000000000001</v>
      </c>
      <c r="I274" s="4">
        <v>685.98</v>
      </c>
      <c r="J274" s="4">
        <v>557.46</v>
      </c>
      <c r="K274" s="4">
        <v>196.83</v>
      </c>
      <c r="L274" s="4">
        <v>295.74</v>
      </c>
      <c r="M274" s="4">
        <v>213.66</v>
      </c>
      <c r="N274" s="4">
        <v>409.5</v>
      </c>
      <c r="O274" s="4">
        <v>128.79</v>
      </c>
      <c r="P274" s="4">
        <v>293.04</v>
      </c>
      <c r="Q274" s="4">
        <v>220.95</v>
      </c>
      <c r="R274" s="4">
        <v>230.58</v>
      </c>
      <c r="S274" s="4">
        <v>720.9</v>
      </c>
      <c r="T274" s="4">
        <v>259.83</v>
      </c>
      <c r="U274" s="4">
        <v>744.03</v>
      </c>
      <c r="V274" s="4">
        <v>704.88</v>
      </c>
      <c r="W274" s="4">
        <v>604.8</v>
      </c>
      <c r="X274" s="4">
        <v>213.57</v>
      </c>
      <c r="Y274" s="4">
        <v>304.47</v>
      </c>
      <c r="Z274" s="4">
        <v>220.86</v>
      </c>
      <c r="AA274" s="4">
        <v>415.71</v>
      </c>
      <c r="AB274" s="4">
        <v>167.13</v>
      </c>
      <c r="AC274" s="4">
        <v>314.91</v>
      </c>
      <c r="AD274" s="4">
        <v>258.39</v>
      </c>
      <c r="AE274" s="4">
        <v>234.27</v>
      </c>
      <c r="AF274" s="4">
        <v>731.6999999999999</v>
      </c>
      <c r="AG274" s="4">
        <v>264.06</v>
      </c>
      <c r="AH274" s="6" t="str">
        <f>Datos_originales!$H175/Datos_originales!$E175</f>
        <v>#DIV/0!</v>
      </c>
      <c r="AI274" s="6" t="str">
        <f>Datos_originales!$I175/Datos_originales!$E175</f>
        <v>#DIV/0!</v>
      </c>
      <c r="AJ274" s="6" t="str">
        <f>Datos_originales!$J175/Datos_originales!$E175</f>
        <v>#DIV/0!</v>
      </c>
      <c r="AK274" s="6" t="str">
        <f>Datos_originales!$K175/Datos_originales!$E175</f>
        <v>#DIV/0!</v>
      </c>
      <c r="AL274" s="6" t="str">
        <f>Datos_originales!$L175/Datos_originales!$E175</f>
        <v>#DIV/0!</v>
      </c>
      <c r="AM274" s="6" t="str">
        <f>Datos_originales!$M175/Datos_originales!$E175</f>
        <v>#DIV/0!</v>
      </c>
      <c r="AN274" s="6" t="str">
        <f>Datos_originales!$N175/Datos_originales!$E175</f>
        <v>#DIV/0!</v>
      </c>
      <c r="AO274" s="6" t="str">
        <f>Datos_originales!$O175/Datos_originales!$E175</f>
        <v>#DIV/0!</v>
      </c>
      <c r="AP274" s="6" t="str">
        <f>Datos_originales!$P175/Datos_originales!$E175</f>
        <v>#DIV/0!</v>
      </c>
      <c r="AQ274" s="6" t="str">
        <f>Datos_originales!$Q175/Datos_originales!$E175</f>
        <v>#DIV/0!</v>
      </c>
      <c r="AR274" s="6" t="str">
        <f>Datos_originales!$R175/Datos_originales!$E175</f>
        <v>#DIV/0!</v>
      </c>
      <c r="AS274" s="6" t="str">
        <f>Datos_originales!$S175/Datos_originales!$E175</f>
        <v>#DIV/0!</v>
      </c>
      <c r="AT274" s="6" t="str">
        <f>Datos_originales!$T175/Datos_originales!$E175</f>
        <v>#DIV/0!</v>
      </c>
      <c r="AU274" s="6" t="str">
        <f>Datos_originales!$U175/Datos_originales!$E175</f>
        <v>#DIV/0!</v>
      </c>
      <c r="AV274" s="6" t="str">
        <f>Datos_originales!$V175/Datos_originales!$E175</f>
        <v>#DIV/0!</v>
      </c>
      <c r="AW274" s="6" t="str">
        <f>Datos_originales!$W175/Datos_originales!$E175</f>
        <v>#DIV/0!</v>
      </c>
      <c r="AX274" s="6" t="str">
        <f>Datos_originales!$X175/Datos_originales!$E175</f>
        <v>#DIV/0!</v>
      </c>
      <c r="AY274" s="6" t="str">
        <f>Datos_originales!$Y175/Datos_originales!$E175</f>
        <v>#DIV/0!</v>
      </c>
      <c r="AZ274" s="6" t="str">
        <f>Datos_originales!$Z175/Datos_originales!$E175</f>
        <v>#DIV/0!</v>
      </c>
      <c r="BA274" s="6" t="str">
        <f>Datos_originales!$AA175/Datos_originales!$E175</f>
        <v>#DIV/0!</v>
      </c>
      <c r="BB274" s="6" t="str">
        <f>Datos_originales!$AB175/Datos_originales!$E175</f>
        <v>#DIV/0!</v>
      </c>
      <c r="BC274" s="6" t="str">
        <f>Datos_originales!$AC175/Datos_originales!$E175</f>
        <v>#DIV/0!</v>
      </c>
      <c r="BD274" s="6" t="str">
        <f>Datos_originales!$AD175/Datos_originales!$E175</f>
        <v>#DIV/0!</v>
      </c>
      <c r="BE274" s="6" t="str">
        <f>Datos_originales!$AE175/Datos_originales!$E175</f>
        <v>#DIV/0!</v>
      </c>
      <c r="BF274" s="6" t="str">
        <f>Datos_originales!$AF175/Datos_originales!$E175</f>
        <v>#DIV/0!</v>
      </c>
      <c r="BG274" s="6" t="str">
        <f>Datos_originales!$AG175/Datos_originales!$E175</f>
        <v>#DIV/0!</v>
      </c>
    </row>
    <row r="275" ht="15.75" customHeight="1">
      <c r="A275" s="2">
        <v>70702.0</v>
      </c>
      <c r="B275" s="3" t="s">
        <v>311</v>
      </c>
      <c r="C275" s="4" t="s">
        <v>333</v>
      </c>
      <c r="D275" s="4">
        <f>IF(Datos_originales!$E275&lt;1000,"Bosque menor a 1000 ha",Datos_originales!$E275)</f>
        <v>6326742.87</v>
      </c>
      <c r="E275" s="4">
        <v>6326742.87</v>
      </c>
      <c r="F275" s="5">
        <f>AVERAGE(Datos_originales!$H79:$J79)</f>
        <v>10.41</v>
      </c>
      <c r="G275" s="5">
        <f>AVERAGE(Datos_originales!$R79:$T79)</f>
        <v>100.62</v>
      </c>
      <c r="H275" s="4">
        <v>17151.57</v>
      </c>
      <c r="I275" s="4">
        <v>12673.08</v>
      </c>
      <c r="J275" s="4">
        <v>11278.71</v>
      </c>
      <c r="K275" s="4">
        <v>18254.16</v>
      </c>
      <c r="L275" s="4">
        <v>18608.58</v>
      </c>
      <c r="M275" s="4">
        <v>20119.95</v>
      </c>
      <c r="N275" s="4">
        <v>24153.57</v>
      </c>
      <c r="O275" s="4">
        <v>26660.7</v>
      </c>
      <c r="P275" s="4">
        <v>21047.13</v>
      </c>
      <c r="Q275" s="4">
        <v>28980.0</v>
      </c>
      <c r="R275" s="4">
        <v>29096.55</v>
      </c>
      <c r="S275" s="4">
        <v>20374.38</v>
      </c>
      <c r="T275" s="4">
        <v>26075.79</v>
      </c>
      <c r="U275" s="4">
        <v>19657.71</v>
      </c>
      <c r="V275" s="4">
        <v>14750.19</v>
      </c>
      <c r="W275" s="4">
        <v>16189.2</v>
      </c>
      <c r="X275" s="4">
        <v>19430.82</v>
      </c>
      <c r="Y275" s="4">
        <v>19277.28</v>
      </c>
      <c r="Z275" s="4">
        <v>21028.59</v>
      </c>
      <c r="AA275" s="4">
        <v>24926.04</v>
      </c>
      <c r="AB275" s="4">
        <v>103411.98</v>
      </c>
      <c r="AC275" s="4">
        <v>63716.49</v>
      </c>
      <c r="AD275" s="4">
        <v>37802.61</v>
      </c>
      <c r="AE275" s="4">
        <v>31498.74</v>
      </c>
      <c r="AF275" s="4">
        <v>22288.41</v>
      </c>
      <c r="AG275" s="4">
        <v>124829.1</v>
      </c>
      <c r="AH275" s="6">
        <f>Datos_originales!$H79/Datos_originales!$E79</f>
        <v>0.002066242507</v>
      </c>
      <c r="AI275" s="6">
        <f>Datos_originales!$I79/Datos_originales!$E79</f>
        <v>0.002536772979</v>
      </c>
      <c r="AJ275" s="6">
        <f>Datos_originales!$J79/Datos_originales!$E79</f>
        <v>0.002495857286</v>
      </c>
      <c r="AK275" s="6">
        <f>Datos_originales!$K79/Datos_originales!$E79</f>
        <v>0.001554796342</v>
      </c>
      <c r="AL275" s="6">
        <f>Datos_originales!$L79/Datos_originales!$E79</f>
        <v>0.001166097257</v>
      </c>
      <c r="AM275" s="6">
        <f>Datos_originales!$M79/Datos_originales!$E79</f>
        <v>0.001513880649</v>
      </c>
      <c r="AN275" s="6">
        <f>Datos_originales!$N79/Datos_originales!$E79</f>
        <v>0.002475399439</v>
      </c>
      <c r="AO275" s="6">
        <f>Datos_originales!$O79/Datos_originales!$E79</f>
        <v>0.00808084941</v>
      </c>
      <c r="AP275" s="6">
        <f>Datos_originales!$P79/Datos_originales!$E79</f>
        <v>0.00458255764</v>
      </c>
      <c r="AQ275" s="6">
        <f>Datos_originales!$Q79/Datos_originales!$E79</f>
        <v>0.003150508377</v>
      </c>
      <c r="AR275" s="6">
        <f>Datos_originales!$R79/Datos_originales!$E79</f>
        <v>0.004296147787</v>
      </c>
      <c r="AS275" s="6">
        <f>Datos_originales!$S79/Datos_originales!$E79</f>
        <v>0.05396779935</v>
      </c>
      <c r="AT275" s="6">
        <f>Datos_originales!$T79/Datos_originales!$E79</f>
        <v>0.01035167038</v>
      </c>
      <c r="AU275" s="6">
        <f>Datos_originales!$U79/Datos_originales!$E79</f>
        <v>0.01315439537</v>
      </c>
      <c r="AV275" s="6">
        <f>Datos_originales!$V79/Datos_originales!$E79</f>
        <v>0.01933266504</v>
      </c>
      <c r="AW275" s="6">
        <f>Datos_originales!$W79/Datos_originales!$E79</f>
        <v>0.01970090628</v>
      </c>
      <c r="AX275" s="6">
        <f>Datos_originales!$X79/Datos_originales!$E79</f>
        <v>0.009697019292</v>
      </c>
      <c r="AY275" s="6">
        <f>Datos_originales!$Y79/Datos_originales!$E79</f>
        <v>0.003968822242</v>
      </c>
      <c r="AZ275" s="6">
        <f>Datos_originales!$Z79/Datos_originales!$E79</f>
        <v>0.0045211841</v>
      </c>
      <c r="BA275" s="6">
        <f>Datos_originales!$AA79/Datos_originales!$E79</f>
        <v>0.009492440826</v>
      </c>
      <c r="BB275" s="6">
        <f>Datos_originales!$AB79/Datos_originales!$E79</f>
        <v>0.02608375442</v>
      </c>
      <c r="BC275" s="6">
        <f>Datos_originales!$AC79/Datos_originales!$E79</f>
        <v>0.02088746139</v>
      </c>
      <c r="BD275" s="6">
        <f>Datos_originales!$AD79/Datos_originales!$E79</f>
        <v>0.005953233363</v>
      </c>
      <c r="BE275" s="6">
        <f>Datos_originales!$AE79/Datos_originales!$E79</f>
        <v>0.004418894867</v>
      </c>
      <c r="BF275" s="6">
        <f>Datos_originales!$AF79/Datos_originales!$E79</f>
        <v>0.05861173053</v>
      </c>
      <c r="BG275" s="6">
        <f>Datos_originales!$AG79/Datos_originales!$E79</f>
        <v>0.03882899286</v>
      </c>
    </row>
    <row r="276" ht="15.75" customHeight="1">
      <c r="A276" s="2">
        <v>70703.0</v>
      </c>
      <c r="B276" s="3" t="s">
        <v>311</v>
      </c>
      <c r="C276" s="4" t="s">
        <v>334</v>
      </c>
      <c r="D276" s="4">
        <f>IF(Datos_originales!$E276&lt;1000,"Bosque menor a 1000 ha",Datos_originales!$E276)</f>
        <v>296407.53</v>
      </c>
      <c r="E276" s="4">
        <v>296407.53</v>
      </c>
      <c r="F276" s="5">
        <f>AVERAGE(Datos_originales!$H85:$J85)</f>
        <v>12.03</v>
      </c>
      <c r="G276" s="5">
        <f>AVERAGE(Datos_originales!$R85:$T85)</f>
        <v>69.48</v>
      </c>
      <c r="H276" s="4">
        <v>6098.76</v>
      </c>
      <c r="I276" s="4">
        <v>5035.14</v>
      </c>
      <c r="J276" s="4">
        <v>4967.64</v>
      </c>
      <c r="K276" s="4">
        <v>6030.9</v>
      </c>
      <c r="L276" s="4">
        <v>5195.61</v>
      </c>
      <c r="M276" s="4">
        <v>4967.55</v>
      </c>
      <c r="N276" s="4">
        <v>2803.05</v>
      </c>
      <c r="O276" s="4">
        <v>2971.17</v>
      </c>
      <c r="P276" s="4">
        <v>2837.7</v>
      </c>
      <c r="Q276" s="4">
        <v>6382.8</v>
      </c>
      <c r="R276" s="4">
        <v>2914.2</v>
      </c>
      <c r="S276" s="4">
        <v>5526.72</v>
      </c>
      <c r="T276" s="4">
        <v>5277.33</v>
      </c>
      <c r="U276" s="4">
        <v>6353.82</v>
      </c>
      <c r="V276" s="4">
        <v>5191.65</v>
      </c>
      <c r="W276" s="4">
        <v>5211.27</v>
      </c>
      <c r="X276" s="4">
        <v>6127.02</v>
      </c>
      <c r="Y276" s="4">
        <v>5271.03</v>
      </c>
      <c r="Z276" s="4">
        <v>5044.05</v>
      </c>
      <c r="AA276" s="4">
        <v>2956.95</v>
      </c>
      <c r="AB276" s="4">
        <v>3088.26</v>
      </c>
      <c r="AC276" s="4">
        <v>2980.8</v>
      </c>
      <c r="AD276" s="4">
        <v>6573.690000000001</v>
      </c>
      <c r="AE276" s="4">
        <v>3291.84</v>
      </c>
      <c r="AF276" s="4">
        <v>5694.75</v>
      </c>
      <c r="AG276" s="4">
        <v>5455.89</v>
      </c>
      <c r="AH276" s="6">
        <f>Datos_originales!$H85/Datos_originales!$E85</f>
        <v>0.0007533919014</v>
      </c>
      <c r="AI276" s="6">
        <f>Datos_originales!$I85/Datos_originales!$E85</f>
        <v>0.0008254554745</v>
      </c>
      <c r="AJ276" s="6">
        <f>Datos_originales!$J85/Datos_originales!$E85</f>
        <v>0.001048197428</v>
      </c>
      <c r="AK276" s="6">
        <f>Datos_originales!$K85/Datos_originales!$E85</f>
        <v>0.0005896110532</v>
      </c>
      <c r="AL276" s="6">
        <f>Datos_originales!$L85/Datos_originales!$E85</f>
        <v>0.0009433776852</v>
      </c>
      <c r="AM276" s="6">
        <f>Datos_originales!$M85/Datos_originales!$E85</f>
        <v>0.0007402894335</v>
      </c>
      <c r="AN276" s="6">
        <f>Datos_originales!$N85/Datos_originales!$E85</f>
        <v>0.0005306499479</v>
      </c>
      <c r="AO276" s="6">
        <f>Datos_originales!$O85/Datos_originales!$E85</f>
        <v>0.0006878795621</v>
      </c>
      <c r="AP276" s="6">
        <f>Datos_originales!$P85/Datos_originales!$E85</f>
        <v>0.0003734203337</v>
      </c>
      <c r="AQ276" s="6">
        <f>Datos_originales!$Q85/Datos_originales!$E85</f>
        <v>0.0005437524158</v>
      </c>
      <c r="AR276" s="6">
        <f>Datos_originales!$R85/Datos_originales!$E85</f>
        <v>0.000438932673</v>
      </c>
      <c r="AS276" s="6">
        <f>Datos_originales!$S85/Datos_originales!$E85</f>
        <v>0.003727652103</v>
      </c>
      <c r="AT276" s="6">
        <f>Datos_originales!$T85/Datos_originales!$E85</f>
        <v>0.01100607299</v>
      </c>
      <c r="AU276" s="6">
        <f>Datos_originales!$U85/Datos_originales!$E85</f>
        <v>0.00125128568</v>
      </c>
      <c r="AV276" s="6">
        <f>Datos_originales!$V85/Datos_originales!$E85</f>
        <v>0.00158539861</v>
      </c>
      <c r="AW276" s="6">
        <f>Datos_originales!$W85/Datos_originales!$E85</f>
        <v>0.003419744109</v>
      </c>
      <c r="AX276" s="6">
        <f>Datos_originales!$X85/Datos_originales!$E85</f>
        <v>0.0007337381996</v>
      </c>
      <c r="AY276" s="6">
        <f>Datos_originales!$Y85/Datos_originales!$E85</f>
        <v>0.001290593083</v>
      </c>
      <c r="AZ276" s="6">
        <f>Datos_originales!$Z85/Datos_originales!$E85</f>
        <v>0.0008647628781</v>
      </c>
      <c r="BA276" s="6">
        <f>Datos_originales!$AA85/Datos_originales!$E85</f>
        <v>0.0006289184568</v>
      </c>
      <c r="BB276" s="6">
        <f>Datos_originales!$AB85/Datos_originales!$E85</f>
        <v>0.0008516604102</v>
      </c>
      <c r="BC276" s="6">
        <f>Datos_originales!$AC85/Datos_originales!$E85</f>
        <v>0.0006682258603</v>
      </c>
      <c r="BD276" s="6">
        <f>Datos_originales!$AD85/Datos_originales!$E85</f>
        <v>0.0007206357317</v>
      </c>
      <c r="BE276" s="6">
        <f>Datos_originales!$AE85/Datos_originales!$E85</f>
        <v>0.0004913425444</v>
      </c>
      <c r="BF276" s="6">
        <f>Datos_originales!$AF85/Datos_originales!$E85</f>
        <v>0.004094521203</v>
      </c>
      <c r="BG276" s="6">
        <f>Datos_originales!$AG85/Datos_originales!$E85</f>
        <v>0.01904443702</v>
      </c>
    </row>
    <row r="277" ht="15.75" customHeight="1">
      <c r="A277" s="2">
        <v>70704.0</v>
      </c>
      <c r="B277" s="3" t="s">
        <v>311</v>
      </c>
      <c r="C277" s="4" t="s">
        <v>335</v>
      </c>
      <c r="D277" s="4">
        <f>IF(Datos_originales!$E277&lt;1000,"Bosque menor a 1000 ha",Datos_originales!$E277)</f>
        <v>71029.44</v>
      </c>
      <c r="E277" s="4">
        <v>71029.44</v>
      </c>
      <c r="F277" s="5">
        <f>AVERAGE(Datos_originales!$H207:$J207)</f>
        <v>0</v>
      </c>
      <c r="G277" s="5">
        <f>AVERAGE(Datos_originales!$R207:$T207)</f>
        <v>0</v>
      </c>
      <c r="H277" s="4">
        <v>67.68</v>
      </c>
      <c r="I277" s="4">
        <v>92.34</v>
      </c>
      <c r="J277" s="4">
        <v>152.82</v>
      </c>
      <c r="K277" s="4">
        <v>86.22</v>
      </c>
      <c r="L277" s="4">
        <v>69.66</v>
      </c>
      <c r="M277" s="4">
        <v>190.8</v>
      </c>
      <c r="N277" s="4">
        <v>89.91</v>
      </c>
      <c r="O277" s="4">
        <v>52.29</v>
      </c>
      <c r="P277" s="4">
        <v>84.6</v>
      </c>
      <c r="Q277" s="4">
        <v>271.44</v>
      </c>
      <c r="R277" s="4">
        <v>77.85</v>
      </c>
      <c r="S277" s="4">
        <v>501.12</v>
      </c>
      <c r="T277" s="4">
        <v>55.98</v>
      </c>
      <c r="U277" s="4">
        <v>144.72</v>
      </c>
      <c r="V277" s="4">
        <v>124.02</v>
      </c>
      <c r="W277" s="4">
        <v>405.63</v>
      </c>
      <c r="X277" s="4">
        <v>116.73</v>
      </c>
      <c r="Y277" s="4">
        <v>124.38</v>
      </c>
      <c r="Z277" s="4">
        <v>255.33</v>
      </c>
      <c r="AA277" s="4">
        <v>111.87</v>
      </c>
      <c r="AB277" s="4">
        <v>286.92</v>
      </c>
      <c r="AC277" s="4">
        <v>125.1</v>
      </c>
      <c r="AD277" s="4">
        <v>947.97</v>
      </c>
      <c r="AE277" s="4">
        <v>85.32000000000001</v>
      </c>
      <c r="AF277" s="4">
        <v>632.4300000000001</v>
      </c>
      <c r="AG277" s="4">
        <v>80.82000000000001</v>
      </c>
      <c r="AH277" s="6">
        <f>Datos_originales!$H207/Datos_originales!$E207</f>
        <v>0</v>
      </c>
      <c r="AI277" s="6">
        <f>Datos_originales!$I207/Datos_originales!$E207</f>
        <v>0</v>
      </c>
      <c r="AJ277" s="6">
        <f>Datos_originales!$J207/Datos_originales!$E207</f>
        <v>0</v>
      </c>
      <c r="AK277" s="6">
        <f>Datos_originales!$K207/Datos_originales!$E207</f>
        <v>0</v>
      </c>
      <c r="AL277" s="6">
        <f>Datos_originales!$L207/Datos_originales!$E207</f>
        <v>0</v>
      </c>
      <c r="AM277" s="6">
        <f>Datos_originales!$M207/Datos_originales!$E207</f>
        <v>0</v>
      </c>
      <c r="AN277" s="6">
        <f>Datos_originales!$N207/Datos_originales!$E207</f>
        <v>0</v>
      </c>
      <c r="AO277" s="6">
        <f>Datos_originales!$O207/Datos_originales!$E207</f>
        <v>0</v>
      </c>
      <c r="AP277" s="6">
        <f>Datos_originales!$P207/Datos_originales!$E207</f>
        <v>0</v>
      </c>
      <c r="AQ277" s="6">
        <f>Datos_originales!$Q207/Datos_originales!$E207</f>
        <v>0</v>
      </c>
      <c r="AR277" s="6">
        <f>Datos_originales!$R207/Datos_originales!$E207</f>
        <v>0</v>
      </c>
      <c r="AS277" s="6">
        <f>Datos_originales!$S207/Datos_originales!$E207</f>
        <v>0</v>
      </c>
      <c r="AT277" s="6">
        <f>Datos_originales!$T207/Datos_originales!$E207</f>
        <v>0</v>
      </c>
      <c r="AU277" s="6">
        <f>Datos_originales!$U207/Datos_originales!$E207</f>
        <v>0.004237288136</v>
      </c>
      <c r="AV277" s="6">
        <f>Datos_originales!$V207/Datos_originales!$E207</f>
        <v>0.01694915254</v>
      </c>
      <c r="AW277" s="6">
        <f>Datos_originales!$W207/Datos_originales!$E207</f>
        <v>0.04237288136</v>
      </c>
      <c r="AX277" s="6">
        <f>Datos_originales!$X207/Datos_originales!$E207</f>
        <v>0</v>
      </c>
      <c r="AY277" s="6">
        <f>Datos_originales!$Y207/Datos_originales!$E207</f>
        <v>0</v>
      </c>
      <c r="AZ277" s="6">
        <f>Datos_originales!$Z207/Datos_originales!$E207</f>
        <v>0.02542372881</v>
      </c>
      <c r="BA277" s="6">
        <f>Datos_originales!$AA207/Datos_originales!$E207</f>
        <v>0</v>
      </c>
      <c r="BB277" s="6">
        <f>Datos_originales!$AB207/Datos_originales!$E207</f>
        <v>0</v>
      </c>
      <c r="BC277" s="6">
        <f>Datos_originales!$AC207/Datos_originales!$E207</f>
        <v>0</v>
      </c>
      <c r="BD277" s="6">
        <f>Datos_originales!$AD207/Datos_originales!$E207</f>
        <v>0</v>
      </c>
      <c r="BE277" s="6">
        <f>Datos_originales!$AE207/Datos_originales!$E207</f>
        <v>0</v>
      </c>
      <c r="BF277" s="6">
        <f>Datos_originales!$AF207/Datos_originales!$E207</f>
        <v>0</v>
      </c>
      <c r="BG277" s="6">
        <f>Datos_originales!$AG207/Datos_originales!$E207</f>
        <v>0</v>
      </c>
    </row>
    <row r="278" ht="15.75" customHeight="1">
      <c r="A278" s="2">
        <v>70705.0</v>
      </c>
      <c r="B278" s="3" t="s">
        <v>311</v>
      </c>
      <c r="C278" s="4" t="s">
        <v>336</v>
      </c>
      <c r="D278" s="4">
        <f>IF(Datos_originales!$E278&lt;1000,"Bosque menor a 1000 ha",Datos_originales!$E278)</f>
        <v>244483.65</v>
      </c>
      <c r="E278" s="4">
        <v>244483.65</v>
      </c>
      <c r="F278" s="5">
        <f>AVERAGE(Datos_originales!$H146:$J146)</f>
        <v>3858.54</v>
      </c>
      <c r="G278" s="5">
        <f>AVERAGE(Datos_originales!$R146:$T146)</f>
        <v>6189.21</v>
      </c>
      <c r="H278" s="4">
        <v>3366.63</v>
      </c>
      <c r="I278" s="4">
        <v>2041.74</v>
      </c>
      <c r="J278" s="4">
        <v>1271.34</v>
      </c>
      <c r="K278" s="4">
        <v>1274.04</v>
      </c>
      <c r="L278" s="4">
        <v>1196.37</v>
      </c>
      <c r="M278" s="4">
        <v>975.51</v>
      </c>
      <c r="N278" s="4">
        <v>1556.55</v>
      </c>
      <c r="O278" s="4">
        <v>1402.38</v>
      </c>
      <c r="P278" s="4">
        <v>1069.65</v>
      </c>
      <c r="Q278" s="4">
        <v>1287.36</v>
      </c>
      <c r="R278" s="4">
        <v>1477.26</v>
      </c>
      <c r="S278" s="4">
        <v>2315.07</v>
      </c>
      <c r="T278" s="4">
        <v>1194.48</v>
      </c>
      <c r="U278" s="4">
        <v>3554.01</v>
      </c>
      <c r="V278" s="4">
        <v>2156.67</v>
      </c>
      <c r="W278" s="4">
        <v>1584.09</v>
      </c>
      <c r="X278" s="4">
        <v>1337.13</v>
      </c>
      <c r="Y278" s="4">
        <v>1277.37</v>
      </c>
      <c r="Z278" s="4">
        <v>1036.89</v>
      </c>
      <c r="AA278" s="4">
        <v>1638.27</v>
      </c>
      <c r="AB278" s="4">
        <v>1499.85</v>
      </c>
      <c r="AC278" s="4">
        <v>1120.77</v>
      </c>
      <c r="AD278" s="4">
        <v>1403.55</v>
      </c>
      <c r="AE278" s="4">
        <v>1509.93</v>
      </c>
      <c r="AF278" s="4">
        <v>2467.8</v>
      </c>
      <c r="AG278" s="4">
        <v>1229.76</v>
      </c>
      <c r="AH278" s="6">
        <f>Datos_originales!$H146/Datos_originales!$E146</f>
        <v>0.003596844481</v>
      </c>
      <c r="AI278" s="6">
        <f>Datos_originales!$I146/Datos_originales!$E146</f>
        <v>0.005258867363</v>
      </c>
      <c r="AJ278" s="6">
        <f>Datos_originales!$J146/Datos_originales!$E146</f>
        <v>0.005315057729</v>
      </c>
      <c r="AK278" s="6">
        <f>Datos_originales!$K146/Datos_originales!$E146</f>
        <v>0.004392103425</v>
      </c>
      <c r="AL278" s="6">
        <f>Datos_originales!$L146/Datos_originales!$E146</f>
        <v>0.003768610717</v>
      </c>
      <c r="AM278" s="6">
        <f>Datos_originales!$M146/Datos_originales!$E146</f>
        <v>0.005163013209</v>
      </c>
      <c r="AN278" s="6">
        <f>Datos_originales!$N146/Datos_originales!$E146</f>
        <v>0.004941006176</v>
      </c>
      <c r="AO278" s="6">
        <f>Datos_originales!$O146/Datos_originales!$E146</f>
        <v>0.004023009845</v>
      </c>
      <c r="AP278" s="6">
        <f>Datos_originales!$P146/Datos_originales!$E146</f>
        <v>0.006658778715</v>
      </c>
      <c r="AQ278" s="6">
        <f>Datos_originales!$Q146/Datos_originales!$E146</f>
        <v>0.007616769365</v>
      </c>
      <c r="AR278" s="6">
        <f>Datos_originales!$R146/Datos_originales!$E146</f>
        <v>0.001581042649</v>
      </c>
      <c r="AS278" s="6">
        <f>Datos_originales!$S146/Datos_originales!$E146</f>
        <v>0.01443717801</v>
      </c>
      <c r="AT278" s="6">
        <f>Datos_originales!$T146/Datos_originales!$E146</f>
        <v>0.006712104474</v>
      </c>
      <c r="AU278" s="6">
        <f>Datos_originales!$U146/Datos_originales!$E146</f>
        <v>0.01090104116</v>
      </c>
      <c r="AV278" s="6">
        <f>Datos_originales!$V146/Datos_originales!$E146</f>
        <v>0.008342396325</v>
      </c>
      <c r="AW278" s="6">
        <f>Datos_originales!$W146/Datos_originales!$E146</f>
        <v>0.008495542617</v>
      </c>
      <c r="AX278" s="6">
        <f>Datos_originales!$X146/Datos_originales!$E146</f>
        <v>0.007186086737</v>
      </c>
      <c r="AY278" s="6">
        <f>Datos_originales!$Y146/Datos_originales!$E146</f>
        <v>0.005318913931</v>
      </c>
      <c r="AZ278" s="6">
        <f>Datos_originales!$Z146/Datos_originales!$E146</f>
        <v>0.006594655591</v>
      </c>
      <c r="BA278" s="6">
        <f>Datos_originales!$AA146/Datos_originales!$E146</f>
        <v>0.006958570843</v>
      </c>
      <c r="BB278" s="6">
        <f>Datos_originales!$AB146/Datos_originales!$E146</f>
        <v>0.006419473862</v>
      </c>
      <c r="BC278" s="6">
        <f>Datos_originales!$AC146/Datos_originales!$E146</f>
        <v>0.009696363789</v>
      </c>
      <c r="BD278" s="6">
        <f>Datos_originales!$AD146/Datos_originales!$E146</f>
        <v>0.008330607366</v>
      </c>
      <c r="BE278" s="6">
        <f>Datos_originales!$AE146/Datos_originales!$E146</f>
        <v>0.002971368585</v>
      </c>
      <c r="BF278" s="6">
        <f>Datos_originales!$AF146/Datos_originales!$E146</f>
        <v>0.01757293096</v>
      </c>
      <c r="BG278" s="6">
        <f>Datos_originales!$AG146/Datos_originales!$E146</f>
        <v>0.01174191346</v>
      </c>
    </row>
    <row r="279" ht="15.75" customHeight="1">
      <c r="A279" s="2">
        <v>70706.0</v>
      </c>
      <c r="B279" s="3" t="s">
        <v>311</v>
      </c>
      <c r="C279" s="4" t="s">
        <v>337</v>
      </c>
      <c r="D279" s="4">
        <f>IF(Datos_originales!$E279&lt;1000,"Bosque menor a 1000 ha",Datos_originales!$E279)</f>
        <v>87469.74</v>
      </c>
      <c r="E279" s="4">
        <v>87469.74</v>
      </c>
      <c r="F279" s="5">
        <f>AVERAGE(Datos_originales!$H149:$J149)</f>
        <v>92.82</v>
      </c>
      <c r="G279" s="5">
        <f>AVERAGE(Datos_originales!$R149:$T149)</f>
        <v>216.51</v>
      </c>
      <c r="H279" s="4">
        <v>413.55</v>
      </c>
      <c r="I279" s="4">
        <v>476.19</v>
      </c>
      <c r="J279" s="4">
        <v>429.93</v>
      </c>
      <c r="K279" s="4">
        <v>237.15</v>
      </c>
      <c r="L279" s="4">
        <v>202.05</v>
      </c>
      <c r="M279" s="4">
        <v>151.29</v>
      </c>
      <c r="N279" s="4">
        <v>192.33</v>
      </c>
      <c r="O279" s="4">
        <v>80.55</v>
      </c>
      <c r="P279" s="4">
        <v>173.52</v>
      </c>
      <c r="Q279" s="4">
        <v>111.24</v>
      </c>
      <c r="R279" s="4">
        <v>195.75</v>
      </c>
      <c r="S279" s="4">
        <v>1053.63</v>
      </c>
      <c r="T279" s="4">
        <v>393.66</v>
      </c>
      <c r="U279" s="4">
        <v>477.45</v>
      </c>
      <c r="V279" s="4">
        <v>537.57</v>
      </c>
      <c r="W279" s="4">
        <v>809.46</v>
      </c>
      <c r="X279" s="4">
        <v>309.24</v>
      </c>
      <c r="Y279" s="4">
        <v>277.65</v>
      </c>
      <c r="Z279" s="4">
        <v>185.49</v>
      </c>
      <c r="AA279" s="4">
        <v>201.51</v>
      </c>
      <c r="AB279" s="4">
        <v>220.59</v>
      </c>
      <c r="AC279" s="4">
        <v>216.81</v>
      </c>
      <c r="AD279" s="4">
        <v>169.65</v>
      </c>
      <c r="AE279" s="4">
        <v>222.21</v>
      </c>
      <c r="AF279" s="4">
        <v>1170.81</v>
      </c>
      <c r="AG279" s="4">
        <v>424.8</v>
      </c>
      <c r="AH279" s="6">
        <f>Datos_originales!$H149/Datos_originales!$E149</f>
        <v>0.0007704185308</v>
      </c>
      <c r="AI279" s="6">
        <f>Datos_originales!$I149/Datos_originales!$E149</f>
        <v>0.0004451186586</v>
      </c>
      <c r="AJ279" s="6">
        <f>Datos_originales!$J149/Datos_originales!$E149</f>
        <v>0.0004619258186</v>
      </c>
      <c r="AK279" s="6">
        <f>Datos_originales!$K149/Datos_originales!$E149</f>
        <v>0.0006413829148</v>
      </c>
      <c r="AL279" s="6">
        <f>Datos_originales!$L149/Datos_originales!$E149</f>
        <v>0.0004830703103</v>
      </c>
      <c r="AM279" s="6">
        <f>Datos_originales!$M149/Datos_originales!$E149</f>
        <v>0.0008924059829</v>
      </c>
      <c r="AN279" s="6">
        <f>Datos_originales!$N149/Datos_originales!$E149</f>
        <v>0.001212284191</v>
      </c>
      <c r="AO279" s="6">
        <f>Datos_originales!$O149/Datos_originales!$E149</f>
        <v>0.000943911796</v>
      </c>
      <c r="AP279" s="6">
        <f>Datos_originales!$P149/Datos_originales!$E149</f>
        <v>0.001043670424</v>
      </c>
      <c r="AQ279" s="6">
        <f>Datos_originales!$Q149/Datos_originales!$E149</f>
        <v>0.0005253592937</v>
      </c>
      <c r="AR279" s="6">
        <f>Datos_originales!$R149/Datos_originales!$E149</f>
        <v>0.000949875627</v>
      </c>
      <c r="AS279" s="6">
        <f>Datos_originales!$S149/Datos_originales!$E149</f>
        <v>0.002311797759</v>
      </c>
      <c r="AT279" s="6">
        <f>Datos_originales!$T149/Datos_originales!$E149</f>
        <v>0.000651141911</v>
      </c>
      <c r="AU279" s="6">
        <f>Datos_originales!$U149/Datos_originales!$E149</f>
        <v>0.00336197418</v>
      </c>
      <c r="AV279" s="6">
        <f>Datos_originales!$V149/Datos_originales!$E149</f>
        <v>0.002151858655</v>
      </c>
      <c r="AW279" s="6">
        <f>Datos_originales!$W149/Datos_originales!$E149</f>
        <v>0.002999806989</v>
      </c>
      <c r="AX279" s="6">
        <f>Datos_originales!$X149/Datos_originales!$E149</f>
        <v>0.002059148191</v>
      </c>
      <c r="AY279" s="6">
        <f>Datos_originales!$Y149/Datos_originales!$E149</f>
        <v>0.001387403955</v>
      </c>
      <c r="AZ279" s="6">
        <f>Datos_originales!$Z149/Datos_originales!$E149</f>
        <v>0.00223372579</v>
      </c>
      <c r="BA279" s="6">
        <f>Datos_originales!$AA149/Datos_originales!$E149</f>
        <v>0.00276721758</v>
      </c>
      <c r="BB279" s="6">
        <f>Datos_originales!$AB149/Datos_originales!$E149</f>
        <v>0.003074083793</v>
      </c>
      <c r="BC279" s="6">
        <f>Datos_originales!$AC149/Datos_originales!$E149</f>
        <v>0.002445170707</v>
      </c>
      <c r="BD279" s="6">
        <f>Datos_originales!$AD149/Datos_originales!$E149</f>
        <v>0.0026311338</v>
      </c>
      <c r="BE279" s="6">
        <f>Datos_originales!$AE149/Datos_originales!$E149</f>
        <v>0.001329392145</v>
      </c>
      <c r="BF279" s="6">
        <f>Datos_originales!$AF149/Datos_originales!$E149</f>
        <v>0.003983839102</v>
      </c>
      <c r="BG279" s="6">
        <f>Datos_originales!$AG149/Datos_originales!$E149</f>
        <v>0.0006836718982</v>
      </c>
    </row>
    <row r="280" ht="15.75" customHeight="1">
      <c r="A280" s="2">
        <v>70707.0</v>
      </c>
      <c r="B280" s="3" t="s">
        <v>311</v>
      </c>
      <c r="C280" s="4" t="s">
        <v>338</v>
      </c>
      <c r="D280" s="4">
        <f>IF(Datos_originales!$E280&lt;1000,"Bosque menor a 1000 ha",Datos_originales!$E280)</f>
        <v>147199.14</v>
      </c>
      <c r="E280" s="4">
        <v>147199.14</v>
      </c>
      <c r="F280" s="5">
        <f>AVERAGE(Datos_originales!$H157:$J157)</f>
        <v>0</v>
      </c>
      <c r="G280" s="5">
        <f>AVERAGE(Datos_originales!$R157:$T157)</f>
        <v>0.39</v>
      </c>
      <c r="H280" s="4">
        <v>43.2</v>
      </c>
      <c r="I280" s="4">
        <v>77.22</v>
      </c>
      <c r="J280" s="4">
        <v>90.9</v>
      </c>
      <c r="K280" s="4">
        <v>110.52</v>
      </c>
      <c r="L280" s="4">
        <v>360.18</v>
      </c>
      <c r="M280" s="4">
        <v>324.72</v>
      </c>
      <c r="N280" s="4">
        <v>348.3</v>
      </c>
      <c r="O280" s="4">
        <v>569.43</v>
      </c>
      <c r="P280" s="4">
        <v>288.81</v>
      </c>
      <c r="Q280" s="4">
        <v>2776.95</v>
      </c>
      <c r="R280" s="4">
        <v>2023.02</v>
      </c>
      <c r="S280" s="4">
        <v>1288.8</v>
      </c>
      <c r="T280" s="4">
        <v>609.3</v>
      </c>
      <c r="U280" s="4">
        <v>82.35</v>
      </c>
      <c r="V280" s="4">
        <v>100.35</v>
      </c>
      <c r="W280" s="4">
        <v>344.97</v>
      </c>
      <c r="X280" s="4">
        <v>166.14</v>
      </c>
      <c r="Y280" s="4">
        <v>443.61</v>
      </c>
      <c r="Z280" s="4">
        <v>404.28</v>
      </c>
      <c r="AA280" s="4">
        <v>374.22</v>
      </c>
      <c r="AB280" s="4">
        <v>641.79</v>
      </c>
      <c r="AC280" s="4">
        <v>346.86</v>
      </c>
      <c r="AD280" s="4">
        <v>3685.41</v>
      </c>
      <c r="AE280" s="4">
        <v>2029.41</v>
      </c>
      <c r="AF280" s="4">
        <v>2905.65</v>
      </c>
      <c r="AG280" s="4">
        <v>638.5500000000001</v>
      </c>
      <c r="AH280" s="6">
        <f>Datos_originales!$H157/Datos_originales!$E157</f>
        <v>0</v>
      </c>
      <c r="AI280" s="6">
        <f>Datos_originales!$I157/Datos_originales!$E157</f>
        <v>0</v>
      </c>
      <c r="AJ280" s="6">
        <f>Datos_originales!$J157/Datos_originales!$E157</f>
        <v>0</v>
      </c>
      <c r="AK280" s="6">
        <f>Datos_originales!$K157/Datos_originales!$E157</f>
        <v>0</v>
      </c>
      <c r="AL280" s="6">
        <f>Datos_originales!$L157/Datos_originales!$E157</f>
        <v>0</v>
      </c>
      <c r="AM280" s="6">
        <f>Datos_originales!$M157/Datos_originales!$E157</f>
        <v>0.0000345670904</v>
      </c>
      <c r="AN280" s="6">
        <f>Datos_originales!$N157/Datos_originales!$E157</f>
        <v>0</v>
      </c>
      <c r="AO280" s="6">
        <f>Datos_originales!$O157/Datos_originales!$E157</f>
        <v>0</v>
      </c>
      <c r="AP280" s="6">
        <f>Datos_originales!$P157/Datos_originales!$E157</f>
        <v>0.000043208863</v>
      </c>
      <c r="AQ280" s="6">
        <f>Datos_originales!$Q157/Datos_originales!$E157</f>
        <v>0</v>
      </c>
      <c r="AR280" s="6">
        <f>Datos_originales!$R157/Datos_originales!$E157</f>
        <v>0</v>
      </c>
      <c r="AS280" s="6">
        <f>Datos_originales!$S157/Datos_originales!$E157</f>
        <v>0.0000777759534</v>
      </c>
      <c r="AT280" s="6">
        <f>Datos_originales!$T157/Datos_originales!$E157</f>
        <v>0.0000345670904</v>
      </c>
      <c r="AU280" s="6">
        <f>Datos_originales!$U157/Datos_originales!$E157</f>
        <v>0.00086417726</v>
      </c>
      <c r="AV280" s="6">
        <f>Datos_originales!$V157/Datos_originales!$E157</f>
        <v>0.001106146893</v>
      </c>
      <c r="AW280" s="6">
        <f>Datos_originales!$W157/Datos_originales!$E157</f>
        <v>0.008996085277</v>
      </c>
      <c r="AX280" s="6">
        <f>Datos_originales!$X157/Datos_originales!$E157</f>
        <v>0.0007431924436</v>
      </c>
      <c r="AY280" s="6">
        <f>Datos_originales!$Y157/Datos_originales!$E157</f>
        <v>0.0004148050848</v>
      </c>
      <c r="AZ280" s="6">
        <f>Datos_originales!$Z157/Datos_originales!$E157</f>
        <v>0.0007691177614</v>
      </c>
      <c r="BA280" s="6">
        <f>Datos_originales!$AA157/Datos_originales!$E157</f>
        <v>0.0007864013066</v>
      </c>
      <c r="BB280" s="6">
        <f>Datos_originales!$AB157/Datos_originales!$E157</f>
        <v>0.002627098871</v>
      </c>
      <c r="BC280" s="6">
        <f>Datos_originales!$AC157/Datos_originales!$E157</f>
        <v>0.006265285135</v>
      </c>
      <c r="BD280" s="6">
        <f>Datos_originales!$AD157/Datos_originales!$E157</f>
        <v>0.0000777759534</v>
      </c>
      <c r="BE280" s="6">
        <f>Datos_originales!$AE157/Datos_originales!$E157</f>
        <v>0.0000345670904</v>
      </c>
      <c r="BF280" s="6">
        <f>Datos_originales!$AF157/Datos_originales!$E157</f>
        <v>0.0009592367586</v>
      </c>
      <c r="BG280" s="6">
        <f>Datos_originales!$AG157/Datos_originales!$E157</f>
        <v>0.001434534252</v>
      </c>
    </row>
    <row r="281" ht="15.75" customHeight="1">
      <c r="A281" s="2">
        <v>70801.0</v>
      </c>
      <c r="B281" s="3" t="s">
        <v>311</v>
      </c>
      <c r="C281" s="4" t="s">
        <v>339</v>
      </c>
      <c r="D281" s="4">
        <f>IF(Datos_originales!$E281&lt;1000,"Bosque menor a 1000 ha",Datos_originales!$E281)</f>
        <v>269921.7</v>
      </c>
      <c r="E281" s="4">
        <v>269921.7</v>
      </c>
      <c r="F281" s="5">
        <f>AVERAGE(Datos_originales!$H158:$J158)</f>
        <v>0.78</v>
      </c>
      <c r="G281" s="5">
        <f>AVERAGE(Datos_originales!$R158:$T158)</f>
        <v>1.35</v>
      </c>
      <c r="H281" s="4">
        <v>537.21</v>
      </c>
      <c r="I281" s="4">
        <v>833.9399999999999</v>
      </c>
      <c r="J281" s="4">
        <v>548.37</v>
      </c>
      <c r="K281" s="4">
        <v>569.52</v>
      </c>
      <c r="L281" s="4">
        <v>669.51</v>
      </c>
      <c r="M281" s="4">
        <v>724.77</v>
      </c>
      <c r="N281" s="4">
        <v>696.15</v>
      </c>
      <c r="O281" s="4">
        <v>518.4</v>
      </c>
      <c r="P281" s="4">
        <v>999.09</v>
      </c>
      <c r="Q281" s="4">
        <v>1309.59</v>
      </c>
      <c r="R281" s="4">
        <v>486.72</v>
      </c>
      <c r="S281" s="4">
        <v>2434.23</v>
      </c>
      <c r="T281" s="4">
        <v>1093.23</v>
      </c>
      <c r="U281" s="4">
        <v>726.12</v>
      </c>
      <c r="V281" s="4">
        <v>1041.12</v>
      </c>
      <c r="W281" s="4">
        <v>1511.01</v>
      </c>
      <c r="X281" s="4">
        <v>707.04</v>
      </c>
      <c r="Y281" s="4">
        <v>789.48</v>
      </c>
      <c r="Z281" s="4">
        <v>842.67</v>
      </c>
      <c r="AA281" s="4">
        <v>820.08</v>
      </c>
      <c r="AB281" s="4">
        <v>816.6600000000001</v>
      </c>
      <c r="AC281" s="4">
        <v>1110.06</v>
      </c>
      <c r="AD281" s="4">
        <v>1590.39</v>
      </c>
      <c r="AE281" s="4">
        <v>670.6800000000001</v>
      </c>
      <c r="AF281" s="4">
        <v>2835.45</v>
      </c>
      <c r="AG281" s="4">
        <v>1157.76</v>
      </c>
      <c r="AH281" s="6">
        <f>Datos_originales!$H158/Datos_originales!$E158</f>
        <v>0.0390625</v>
      </c>
      <c r="AI281" s="6">
        <f>Datos_originales!$I158/Datos_originales!$E158</f>
        <v>0.0625</v>
      </c>
      <c r="AJ281" s="6">
        <f>Datos_originales!$J158/Datos_originales!$E158</f>
        <v>0</v>
      </c>
      <c r="AK281" s="6">
        <f>Datos_originales!$K158/Datos_originales!$E158</f>
        <v>0.0625</v>
      </c>
      <c r="AL281" s="6">
        <f>Datos_originales!$L158/Datos_originales!$E158</f>
        <v>0.04296875</v>
      </c>
      <c r="AM281" s="6">
        <f>Datos_originales!$M158/Datos_originales!$E158</f>
        <v>0.01171875</v>
      </c>
      <c r="AN281" s="6">
        <f>Datos_originales!$N158/Datos_originales!$E158</f>
        <v>0.02734375</v>
      </c>
      <c r="AO281" s="6">
        <f>Datos_originales!$O158/Datos_originales!$E158</f>
        <v>0.04296875</v>
      </c>
      <c r="AP281" s="6">
        <f>Datos_originales!$P158/Datos_originales!$E158</f>
        <v>0.06640625</v>
      </c>
      <c r="AQ281" s="6">
        <f>Datos_originales!$Q158/Datos_originales!$E158</f>
        <v>0.07421875</v>
      </c>
      <c r="AR281" s="6">
        <f>Datos_originales!$R158/Datos_originales!$E158</f>
        <v>0.08984375</v>
      </c>
      <c r="AS281" s="6">
        <f>Datos_originales!$S158/Datos_originales!$E158</f>
        <v>0.0859375</v>
      </c>
      <c r="AT281" s="6">
        <f>Datos_originales!$T158/Datos_originales!$E158</f>
        <v>0</v>
      </c>
      <c r="AU281" s="6">
        <f>Datos_originales!$U158/Datos_originales!$E158</f>
        <v>0.0390625</v>
      </c>
      <c r="AV281" s="6">
        <f>Datos_originales!$V158/Datos_originales!$E158</f>
        <v>0.0625</v>
      </c>
      <c r="AW281" s="6">
        <f>Datos_originales!$W158/Datos_originales!$E158</f>
        <v>0</v>
      </c>
      <c r="AX281" s="6">
        <f>Datos_originales!$X158/Datos_originales!$E158</f>
        <v>0.0703125</v>
      </c>
      <c r="AY281" s="6">
        <f>Datos_originales!$Y158/Datos_originales!$E158</f>
        <v>0.04296875</v>
      </c>
      <c r="AZ281" s="6">
        <f>Datos_originales!$Z158/Datos_originales!$E158</f>
        <v>0.01171875</v>
      </c>
      <c r="BA281" s="6">
        <f>Datos_originales!$AA158/Datos_originales!$E158</f>
        <v>0.03515625</v>
      </c>
      <c r="BB281" s="6">
        <f>Datos_originales!$AB158/Datos_originales!$E158</f>
        <v>0.04296875</v>
      </c>
      <c r="BC281" s="6">
        <f>Datos_originales!$AC158/Datos_originales!$E158</f>
        <v>0.06640625</v>
      </c>
      <c r="BD281" s="6">
        <f>Datos_originales!$AD158/Datos_originales!$E158</f>
        <v>0.07421875</v>
      </c>
      <c r="BE281" s="6">
        <f>Datos_originales!$AE158/Datos_originales!$E158</f>
        <v>0.08984375</v>
      </c>
      <c r="BF281" s="6">
        <f>Datos_originales!$AF158/Datos_originales!$E158</f>
        <v>0.1484375</v>
      </c>
      <c r="BG281" s="6">
        <f>Datos_originales!$AG158/Datos_originales!$E158</f>
        <v>0</v>
      </c>
    </row>
    <row r="282" ht="15.75" customHeight="1">
      <c r="A282" s="2">
        <v>70802.0</v>
      </c>
      <c r="B282" s="3" t="s">
        <v>311</v>
      </c>
      <c r="C282" s="4" t="s">
        <v>340</v>
      </c>
      <c r="D282" s="4">
        <f>IF(Datos_originales!$E282&lt;1000,"Bosque menor a 1000 ha",Datos_originales!$E282)</f>
        <v>24363.9</v>
      </c>
      <c r="E282" s="4">
        <v>24363.9</v>
      </c>
      <c r="F282" s="5">
        <f>AVERAGE(Datos_originales!$H190:$J190)</f>
        <v>0</v>
      </c>
      <c r="G282" s="5">
        <f>AVERAGE(Datos_originales!$R190:$T190)</f>
        <v>0</v>
      </c>
      <c r="H282" s="4">
        <v>59.67</v>
      </c>
      <c r="I282" s="4">
        <v>74.34</v>
      </c>
      <c r="J282" s="4">
        <v>49.59</v>
      </c>
      <c r="K282" s="4">
        <v>59.67</v>
      </c>
      <c r="L282" s="4">
        <v>109.62</v>
      </c>
      <c r="M282" s="4">
        <v>101.79</v>
      </c>
      <c r="N282" s="4">
        <v>69.21</v>
      </c>
      <c r="O282" s="4">
        <v>52.92</v>
      </c>
      <c r="P282" s="4">
        <v>34.65</v>
      </c>
      <c r="Q282" s="4">
        <v>37.53</v>
      </c>
      <c r="R282" s="4">
        <v>125.64</v>
      </c>
      <c r="S282" s="4">
        <v>239.85</v>
      </c>
      <c r="T282" s="4">
        <v>47.52</v>
      </c>
      <c r="U282" s="4">
        <v>108.81</v>
      </c>
      <c r="V282" s="4">
        <v>111.96</v>
      </c>
      <c r="W282" s="4">
        <v>193.05</v>
      </c>
      <c r="X282" s="4">
        <v>85.59</v>
      </c>
      <c r="Y282" s="4">
        <v>123.12</v>
      </c>
      <c r="Z282" s="4">
        <v>133.47</v>
      </c>
      <c r="AA282" s="4">
        <v>88.83</v>
      </c>
      <c r="AB282" s="4">
        <v>77.75999999999999</v>
      </c>
      <c r="AC282" s="4">
        <v>46.62</v>
      </c>
      <c r="AD282" s="4">
        <v>63.09</v>
      </c>
      <c r="AE282" s="4">
        <v>157.77</v>
      </c>
      <c r="AF282" s="4">
        <v>269.28</v>
      </c>
      <c r="AG282" s="4">
        <v>48.69</v>
      </c>
      <c r="AH282" s="6" t="str">
        <f>Datos_originales!$H190/Datos_originales!$E190</f>
        <v>#DIV/0!</v>
      </c>
      <c r="AI282" s="6" t="str">
        <f>Datos_originales!$I190/Datos_originales!$E190</f>
        <v>#DIV/0!</v>
      </c>
      <c r="AJ282" s="6" t="str">
        <f>Datos_originales!$J190/Datos_originales!$E190</f>
        <v>#DIV/0!</v>
      </c>
      <c r="AK282" s="6" t="str">
        <f>Datos_originales!$K190/Datos_originales!$E190</f>
        <v>#DIV/0!</v>
      </c>
      <c r="AL282" s="6" t="str">
        <f>Datos_originales!$L190/Datos_originales!$E190</f>
        <v>#DIV/0!</v>
      </c>
      <c r="AM282" s="6" t="str">
        <f>Datos_originales!$M190/Datos_originales!$E190</f>
        <v>#DIV/0!</v>
      </c>
      <c r="AN282" s="6" t="str">
        <f>Datos_originales!$N190/Datos_originales!$E190</f>
        <v>#DIV/0!</v>
      </c>
      <c r="AO282" s="6" t="str">
        <f>Datos_originales!$O190/Datos_originales!$E190</f>
        <v>#DIV/0!</v>
      </c>
      <c r="AP282" s="6" t="str">
        <f>Datos_originales!$P190/Datos_originales!$E190</f>
        <v>#DIV/0!</v>
      </c>
      <c r="AQ282" s="6" t="str">
        <f>Datos_originales!$Q190/Datos_originales!$E190</f>
        <v>#DIV/0!</v>
      </c>
      <c r="AR282" s="6" t="str">
        <f>Datos_originales!$R190/Datos_originales!$E190</f>
        <v>#DIV/0!</v>
      </c>
      <c r="AS282" s="6" t="str">
        <f>Datos_originales!$S190/Datos_originales!$E190</f>
        <v>#DIV/0!</v>
      </c>
      <c r="AT282" s="6" t="str">
        <f>Datos_originales!$T190/Datos_originales!$E190</f>
        <v>#DIV/0!</v>
      </c>
      <c r="AU282" s="6" t="str">
        <f>Datos_originales!$U190/Datos_originales!$E190</f>
        <v>#DIV/0!</v>
      </c>
      <c r="AV282" s="6" t="str">
        <f>Datos_originales!$V190/Datos_originales!$E190</f>
        <v>#DIV/0!</v>
      </c>
      <c r="AW282" s="6" t="str">
        <f>Datos_originales!$W190/Datos_originales!$E190</f>
        <v>#DIV/0!</v>
      </c>
      <c r="AX282" s="6" t="str">
        <f>Datos_originales!$X190/Datos_originales!$E190</f>
        <v>#DIV/0!</v>
      </c>
      <c r="AY282" s="6" t="str">
        <f>Datos_originales!$Y190/Datos_originales!$E190</f>
        <v>#DIV/0!</v>
      </c>
      <c r="AZ282" s="6" t="str">
        <f>Datos_originales!$Z190/Datos_originales!$E190</f>
        <v>#DIV/0!</v>
      </c>
      <c r="BA282" s="6" t="str">
        <f>Datos_originales!$AA190/Datos_originales!$E190</f>
        <v>#DIV/0!</v>
      </c>
      <c r="BB282" s="6" t="str">
        <f>Datos_originales!$AB190/Datos_originales!$E190</f>
        <v>#DIV/0!</v>
      </c>
      <c r="BC282" s="6" t="str">
        <f>Datos_originales!$AC190/Datos_originales!$E190</f>
        <v>#DIV/0!</v>
      </c>
      <c r="BD282" s="6" t="str">
        <f>Datos_originales!$AD190/Datos_originales!$E190</f>
        <v>#DIV/0!</v>
      </c>
      <c r="BE282" s="6" t="str">
        <f>Datos_originales!$AE190/Datos_originales!$E190</f>
        <v>#DIV/0!</v>
      </c>
      <c r="BF282" s="6" t="str">
        <f>Datos_originales!$AF190/Datos_originales!$E190</f>
        <v>#DIV/0!</v>
      </c>
      <c r="BG282" s="6" t="str">
        <f>Datos_originales!$AG190/Datos_originales!$E190</f>
        <v>#DIV/0!</v>
      </c>
    </row>
    <row r="283" ht="15.75" customHeight="1">
      <c r="A283" s="2">
        <v>70803.0</v>
      </c>
      <c r="B283" s="3" t="s">
        <v>311</v>
      </c>
      <c r="C283" s="4" t="s">
        <v>341</v>
      </c>
      <c r="D283" s="4">
        <f>IF(Datos_originales!$E283&lt;1000,"Bosque menor a 1000 ha",Datos_originales!$E283)</f>
        <v>40236.75</v>
      </c>
      <c r="E283" s="4">
        <v>40236.75</v>
      </c>
      <c r="F283" s="5">
        <f>AVERAGE(Datos_originales!$H183:$J183)</f>
        <v>0</v>
      </c>
      <c r="G283" s="5">
        <f>AVERAGE(Datos_originales!$R183:$T183)</f>
        <v>0</v>
      </c>
      <c r="H283" s="4">
        <v>27.27</v>
      </c>
      <c r="I283" s="4">
        <v>30.06</v>
      </c>
      <c r="J283" s="4">
        <v>32.94</v>
      </c>
      <c r="K283" s="4">
        <v>26.28</v>
      </c>
      <c r="L283" s="4">
        <v>39.69</v>
      </c>
      <c r="M283" s="4">
        <v>31.41</v>
      </c>
      <c r="N283" s="4">
        <v>45.09</v>
      </c>
      <c r="O283" s="4">
        <v>36.63</v>
      </c>
      <c r="P283" s="4">
        <v>44.19</v>
      </c>
      <c r="Q283" s="4">
        <v>47.61</v>
      </c>
      <c r="R283" s="4">
        <v>117.0</v>
      </c>
      <c r="S283" s="4">
        <v>412.2</v>
      </c>
      <c r="T283" s="4">
        <v>97.02</v>
      </c>
      <c r="U283" s="4">
        <v>46.26</v>
      </c>
      <c r="V283" s="4">
        <v>46.98</v>
      </c>
      <c r="W283" s="4">
        <v>928.4399999999999</v>
      </c>
      <c r="X283" s="4">
        <v>66.15</v>
      </c>
      <c r="Y283" s="4">
        <v>60.57</v>
      </c>
      <c r="Z283" s="4">
        <v>42.93</v>
      </c>
      <c r="AA283" s="4">
        <v>55.44</v>
      </c>
      <c r="AB283" s="4">
        <v>208.98</v>
      </c>
      <c r="AC283" s="4">
        <v>86.04</v>
      </c>
      <c r="AD283" s="4">
        <v>48.23999999999999</v>
      </c>
      <c r="AE283" s="4">
        <v>330.3</v>
      </c>
      <c r="AF283" s="4">
        <v>468.36</v>
      </c>
      <c r="AG283" s="4">
        <v>102.51</v>
      </c>
      <c r="AH283" s="6" t="str">
        <f>Datos_originales!$H183/Datos_originales!$E183</f>
        <v>#DIV/0!</v>
      </c>
      <c r="AI283" s="6" t="str">
        <f>Datos_originales!$I183/Datos_originales!$E183</f>
        <v>#DIV/0!</v>
      </c>
      <c r="AJ283" s="6" t="str">
        <f>Datos_originales!$J183/Datos_originales!$E183</f>
        <v>#DIV/0!</v>
      </c>
      <c r="AK283" s="6" t="str">
        <f>Datos_originales!$K183/Datos_originales!$E183</f>
        <v>#DIV/0!</v>
      </c>
      <c r="AL283" s="6" t="str">
        <f>Datos_originales!$L183/Datos_originales!$E183</f>
        <v>#DIV/0!</v>
      </c>
      <c r="AM283" s="6" t="str">
        <f>Datos_originales!$M183/Datos_originales!$E183</f>
        <v>#DIV/0!</v>
      </c>
      <c r="AN283" s="6" t="str">
        <f>Datos_originales!$N183/Datos_originales!$E183</f>
        <v>#DIV/0!</v>
      </c>
      <c r="AO283" s="6" t="str">
        <f>Datos_originales!$O183/Datos_originales!$E183</f>
        <v>#DIV/0!</v>
      </c>
      <c r="AP283" s="6" t="str">
        <f>Datos_originales!$P183/Datos_originales!$E183</f>
        <v>#DIV/0!</v>
      </c>
      <c r="AQ283" s="6" t="str">
        <f>Datos_originales!$Q183/Datos_originales!$E183</f>
        <v>#DIV/0!</v>
      </c>
      <c r="AR283" s="6" t="str">
        <f>Datos_originales!$R183/Datos_originales!$E183</f>
        <v>#DIV/0!</v>
      </c>
      <c r="AS283" s="6" t="str">
        <f>Datos_originales!$S183/Datos_originales!$E183</f>
        <v>#DIV/0!</v>
      </c>
      <c r="AT283" s="6" t="str">
        <f>Datos_originales!$T183/Datos_originales!$E183</f>
        <v>#DIV/0!</v>
      </c>
      <c r="AU283" s="6" t="str">
        <f>Datos_originales!$U183/Datos_originales!$E183</f>
        <v>#DIV/0!</v>
      </c>
      <c r="AV283" s="6" t="str">
        <f>Datos_originales!$V183/Datos_originales!$E183</f>
        <v>#DIV/0!</v>
      </c>
      <c r="AW283" s="6" t="str">
        <f>Datos_originales!$W183/Datos_originales!$E183</f>
        <v>#DIV/0!</v>
      </c>
      <c r="AX283" s="6" t="str">
        <f>Datos_originales!$X183/Datos_originales!$E183</f>
        <v>#DIV/0!</v>
      </c>
      <c r="AY283" s="6" t="str">
        <f>Datos_originales!$Y183/Datos_originales!$E183</f>
        <v>#DIV/0!</v>
      </c>
      <c r="AZ283" s="6" t="str">
        <f>Datos_originales!$Z183/Datos_originales!$E183</f>
        <v>#DIV/0!</v>
      </c>
      <c r="BA283" s="6" t="str">
        <f>Datos_originales!$AA183/Datos_originales!$E183</f>
        <v>#DIV/0!</v>
      </c>
      <c r="BB283" s="6" t="str">
        <f>Datos_originales!$AB183/Datos_originales!$E183</f>
        <v>#DIV/0!</v>
      </c>
      <c r="BC283" s="6" t="str">
        <f>Datos_originales!$AC183/Datos_originales!$E183</f>
        <v>#DIV/0!</v>
      </c>
      <c r="BD283" s="6" t="str">
        <f>Datos_originales!$AD183/Datos_originales!$E183</f>
        <v>#DIV/0!</v>
      </c>
      <c r="BE283" s="6" t="str">
        <f>Datos_originales!$AE183/Datos_originales!$E183</f>
        <v>#DIV/0!</v>
      </c>
      <c r="BF283" s="6" t="str">
        <f>Datos_originales!$AF183/Datos_originales!$E183</f>
        <v>#DIV/0!</v>
      </c>
      <c r="BG283" s="6" t="str">
        <f>Datos_originales!$AG183/Datos_originales!$E183</f>
        <v>#DIV/0!</v>
      </c>
    </row>
    <row r="284" ht="15.75" customHeight="1">
      <c r="A284" s="2">
        <v>70804.0</v>
      </c>
      <c r="B284" s="3" t="s">
        <v>311</v>
      </c>
      <c r="C284" s="4" t="s">
        <v>342</v>
      </c>
      <c r="D284" s="4">
        <f>IF(Datos_originales!$E284&lt;1000,"Bosque menor a 1000 ha",Datos_originales!$E284)</f>
        <v>102421.89</v>
      </c>
      <c r="E284" s="4">
        <v>102421.89</v>
      </c>
      <c r="F284" s="5">
        <f>AVERAGE(Datos_originales!$H132:$J132)</f>
        <v>0</v>
      </c>
      <c r="G284" s="5">
        <f>AVERAGE(Datos_originales!$R132:$T132)</f>
        <v>0.36</v>
      </c>
      <c r="H284" s="4">
        <v>290.52</v>
      </c>
      <c r="I284" s="4">
        <v>333.99</v>
      </c>
      <c r="J284" s="4">
        <v>237.96</v>
      </c>
      <c r="K284" s="4">
        <v>134.55</v>
      </c>
      <c r="L284" s="4">
        <v>287.28</v>
      </c>
      <c r="M284" s="4">
        <v>300.78</v>
      </c>
      <c r="N284" s="4">
        <v>266.31</v>
      </c>
      <c r="O284" s="4">
        <v>221.04</v>
      </c>
      <c r="P284" s="4">
        <v>299.07</v>
      </c>
      <c r="Q284" s="4">
        <v>623.34</v>
      </c>
      <c r="R284" s="4">
        <v>145.17</v>
      </c>
      <c r="S284" s="4">
        <v>567.63</v>
      </c>
      <c r="T284" s="4">
        <v>663.48</v>
      </c>
      <c r="U284" s="4">
        <v>317.16</v>
      </c>
      <c r="V284" s="4">
        <v>358.92</v>
      </c>
      <c r="W284" s="4">
        <v>362.34</v>
      </c>
      <c r="X284" s="4">
        <v>150.93</v>
      </c>
      <c r="Y284" s="4">
        <v>308.97</v>
      </c>
      <c r="Z284" s="4">
        <v>318.96</v>
      </c>
      <c r="AA284" s="4">
        <v>286.2</v>
      </c>
      <c r="AB284" s="4">
        <v>254.16</v>
      </c>
      <c r="AC284" s="4">
        <v>322.56</v>
      </c>
      <c r="AD284" s="4">
        <v>692.8199999999999</v>
      </c>
      <c r="AE284" s="4">
        <v>147.87</v>
      </c>
      <c r="AF284" s="4">
        <v>622.1700000000001</v>
      </c>
      <c r="AG284" s="4">
        <v>679.77</v>
      </c>
      <c r="AH284" s="6">
        <f>Datos_originales!$H132/Datos_originales!$E132</f>
        <v>0</v>
      </c>
      <c r="AI284" s="6">
        <f>Datos_originales!$I132/Datos_originales!$E132</f>
        <v>0</v>
      </c>
      <c r="AJ284" s="6">
        <f>Datos_originales!$J132/Datos_originales!$E132</f>
        <v>0</v>
      </c>
      <c r="AK284" s="6">
        <f>Datos_originales!$K132/Datos_originales!$E132</f>
        <v>0</v>
      </c>
      <c r="AL284" s="6">
        <f>Datos_originales!$L132/Datos_originales!$E132</f>
        <v>0</v>
      </c>
      <c r="AM284" s="6">
        <f>Datos_originales!$M132/Datos_originales!$E132</f>
        <v>0</v>
      </c>
      <c r="AN284" s="6">
        <f>Datos_originales!$N132/Datos_originales!$E132</f>
        <v>0</v>
      </c>
      <c r="AO284" s="6">
        <f>Datos_originales!$O132/Datos_originales!$E132</f>
        <v>0</v>
      </c>
      <c r="AP284" s="6">
        <f>Datos_originales!$P132/Datos_originales!$E132</f>
        <v>0</v>
      </c>
      <c r="AQ284" s="6">
        <f>Datos_originales!$Q132/Datos_originales!$E132</f>
        <v>0</v>
      </c>
      <c r="AR284" s="6">
        <f>Datos_originales!$R132/Datos_originales!$E132</f>
        <v>0</v>
      </c>
      <c r="AS284" s="6">
        <f>Datos_originales!$S132/Datos_originales!$E132</f>
        <v>0.01301518438</v>
      </c>
      <c r="AT284" s="6">
        <f>Datos_originales!$T132/Datos_originales!$E132</f>
        <v>0</v>
      </c>
      <c r="AU284" s="6">
        <f>Datos_originales!$U132/Datos_originales!$E132</f>
        <v>0.004338394794</v>
      </c>
      <c r="AV284" s="6">
        <f>Datos_originales!$V132/Datos_originales!$E132</f>
        <v>0.002169197397</v>
      </c>
      <c r="AW284" s="6">
        <f>Datos_originales!$W132/Datos_originales!$E132</f>
        <v>0.01518438178</v>
      </c>
      <c r="AX284" s="6">
        <f>Datos_originales!$X132/Datos_originales!$E132</f>
        <v>0.005422993492</v>
      </c>
      <c r="AY284" s="6">
        <f>Datos_originales!$Y132/Datos_originales!$E132</f>
        <v>0.006507592191</v>
      </c>
      <c r="AZ284" s="6">
        <f>Datos_originales!$Z132/Datos_originales!$E132</f>
        <v>0.01952277657</v>
      </c>
      <c r="BA284" s="6">
        <f>Datos_originales!$AA132/Datos_originales!$E132</f>
        <v>0.06507592191</v>
      </c>
      <c r="BB284" s="6">
        <f>Datos_originales!$AB132/Datos_originales!$E132</f>
        <v>0.006507592191</v>
      </c>
      <c r="BC284" s="6">
        <f>Datos_originales!$AC132/Datos_originales!$E132</f>
        <v>0.006507592191</v>
      </c>
      <c r="BD284" s="6">
        <f>Datos_originales!$AD132/Datos_originales!$E132</f>
        <v>0.001084598698</v>
      </c>
      <c r="BE284" s="6">
        <f>Datos_originales!$AE132/Datos_originales!$E132</f>
        <v>0.001084598698</v>
      </c>
      <c r="BF284" s="6">
        <f>Datos_originales!$AF132/Datos_originales!$E132</f>
        <v>0.03036876356</v>
      </c>
      <c r="BG284" s="6">
        <f>Datos_originales!$AG132/Datos_originales!$E132</f>
        <v>0</v>
      </c>
    </row>
    <row r="285" ht="15.75" customHeight="1">
      <c r="A285" s="2">
        <v>70805.0</v>
      </c>
      <c r="B285" s="3" t="s">
        <v>311</v>
      </c>
      <c r="C285" s="4" t="s">
        <v>343</v>
      </c>
      <c r="D285" s="4">
        <f>IF(Datos_originales!$E285&lt;1000,"Bosque menor a 1000 ha",Datos_originales!$E285)</f>
        <v>44864.64</v>
      </c>
      <c r="E285" s="4">
        <v>44864.64</v>
      </c>
      <c r="F285" s="5">
        <f>AVERAGE(Datos_originales!$H154:$J154)</f>
        <v>0.51</v>
      </c>
      <c r="G285" s="5">
        <f>AVERAGE(Datos_originales!$R154:$T154)</f>
        <v>9.06</v>
      </c>
      <c r="H285" s="4">
        <v>56.43</v>
      </c>
      <c r="I285" s="4">
        <v>64.17</v>
      </c>
      <c r="J285" s="4">
        <v>75.42</v>
      </c>
      <c r="K285" s="4">
        <v>58.41</v>
      </c>
      <c r="L285" s="4">
        <v>47.7</v>
      </c>
      <c r="M285" s="4">
        <v>69.75</v>
      </c>
      <c r="N285" s="4">
        <v>158.04</v>
      </c>
      <c r="O285" s="4">
        <v>97.74</v>
      </c>
      <c r="P285" s="4">
        <v>112.23</v>
      </c>
      <c r="Q285" s="4">
        <v>64.71000000000001</v>
      </c>
      <c r="R285" s="4">
        <v>134.73</v>
      </c>
      <c r="S285" s="4">
        <v>444.5099999999999</v>
      </c>
      <c r="T285" s="4">
        <v>192.24</v>
      </c>
      <c r="U285" s="4">
        <v>158.85</v>
      </c>
      <c r="V285" s="4">
        <v>183.69</v>
      </c>
      <c r="W285" s="4">
        <v>497.7</v>
      </c>
      <c r="X285" s="4">
        <v>108.36</v>
      </c>
      <c r="Y285" s="4">
        <v>95.03999999999999</v>
      </c>
      <c r="Z285" s="4">
        <v>107.82</v>
      </c>
      <c r="AA285" s="4">
        <v>203.67</v>
      </c>
      <c r="AB285" s="4">
        <v>198.27</v>
      </c>
      <c r="AC285" s="4">
        <v>166.86</v>
      </c>
      <c r="AD285" s="4">
        <v>181.8</v>
      </c>
      <c r="AE285" s="4">
        <v>213.3</v>
      </c>
      <c r="AF285" s="4">
        <v>541.98</v>
      </c>
      <c r="AG285" s="4">
        <v>199.53</v>
      </c>
      <c r="AH285" s="6">
        <f>Datos_originales!$H154/Datos_originales!$E154</f>
        <v>0.00005464263715</v>
      </c>
      <c r="AI285" s="6">
        <f>Datos_originales!$I154/Datos_originales!$E154</f>
        <v>0.000009935024937</v>
      </c>
      <c r="AJ285" s="6">
        <f>Datos_originales!$J154/Datos_originales!$E154</f>
        <v>0.00001987004987</v>
      </c>
      <c r="AK285" s="6">
        <f>Datos_originales!$K154/Datos_originales!$E154</f>
        <v>0.000004967512468</v>
      </c>
      <c r="AL285" s="6">
        <f>Datos_originales!$L154/Datos_originales!$E154</f>
        <v>0.000004967512468</v>
      </c>
      <c r="AM285" s="6">
        <f>Datos_originales!$M154/Datos_originales!$E154</f>
        <v>0.0001390903491</v>
      </c>
      <c r="AN285" s="6">
        <f>Datos_originales!$N154/Datos_originales!$E154</f>
        <v>0</v>
      </c>
      <c r="AO285" s="6">
        <f>Datos_originales!$O154/Datos_originales!$E154</f>
        <v>0.00003974009975</v>
      </c>
      <c r="AP285" s="6">
        <f>Datos_originales!$P154/Datos_originales!$E154</f>
        <v>0.0002036680112</v>
      </c>
      <c r="AQ285" s="6">
        <f>Datos_originales!$Q154/Datos_originales!$E154</f>
        <v>0.000009935024937</v>
      </c>
      <c r="AR285" s="6">
        <f>Datos_originales!$R154/Datos_originales!$E154</f>
        <v>0.0001887654738</v>
      </c>
      <c r="AS285" s="6">
        <f>Datos_originales!$S154/Datos_originales!$E154</f>
        <v>0.0009239573191</v>
      </c>
      <c r="AT285" s="6">
        <f>Datos_originales!$T154/Datos_originales!$E154</f>
        <v>0.0003874659725</v>
      </c>
      <c r="AU285" s="6">
        <f>Datos_originales!$U154/Datos_originales!$E154</f>
        <v>0.001117690305</v>
      </c>
      <c r="AV285" s="6">
        <f>Datos_originales!$V154/Datos_originales!$E154</f>
        <v>0.001480318716</v>
      </c>
      <c r="AW285" s="6">
        <f>Datos_originales!$W154/Datos_originales!$E154</f>
        <v>0.0135861466</v>
      </c>
      <c r="AX285" s="6">
        <f>Datos_originales!$X154/Datos_originales!$E154</f>
        <v>0.001604506527</v>
      </c>
      <c r="AY285" s="6">
        <f>Datos_originales!$Y154/Datos_originales!$E154</f>
        <v>0.0006408091084</v>
      </c>
      <c r="AZ285" s="6">
        <f>Datos_originales!$Z154/Datos_originales!$E154</f>
        <v>0.002732131858</v>
      </c>
      <c r="BA285" s="6">
        <f>Datos_originales!$AA154/Datos_originales!$E154</f>
        <v>0.004510501321</v>
      </c>
      <c r="BB285" s="6">
        <f>Datos_originales!$AB154/Datos_originales!$E154</f>
        <v>0.00672104437</v>
      </c>
      <c r="BC285" s="6">
        <f>Datos_originales!$AC154/Datos_originales!$E154</f>
        <v>0.006810459594</v>
      </c>
      <c r="BD285" s="6">
        <f>Datos_originales!$AD154/Datos_originales!$E154</f>
        <v>0.0001092852743</v>
      </c>
      <c r="BE285" s="6">
        <f>Datos_originales!$AE154/Datos_originales!$E154</f>
        <v>0.0004570111471</v>
      </c>
      <c r="BF285" s="6">
        <f>Datos_originales!$AF154/Datos_originales!$E154</f>
        <v>0.003710731814</v>
      </c>
      <c r="BG285" s="6">
        <f>Datos_originales!$AG154/Datos_originales!$E154</f>
        <v>0.000466946172</v>
      </c>
    </row>
    <row r="286" ht="15.75" customHeight="1">
      <c r="A286" s="2">
        <v>70901.0</v>
      </c>
      <c r="B286" s="3" t="s">
        <v>311</v>
      </c>
      <c r="C286" s="4" t="s">
        <v>344</v>
      </c>
      <c r="D286" s="4">
        <f>IF(Datos_originales!$E286&lt;1000,"Bosque menor a 1000 ha",Datos_originales!$E286)</f>
        <v>167194.08</v>
      </c>
      <c r="E286" s="4">
        <v>167194.08</v>
      </c>
      <c r="F286" s="5">
        <f>AVERAGE(Datos_originales!$H177:$J177)</f>
        <v>0</v>
      </c>
      <c r="G286" s="5">
        <f>AVERAGE(Datos_originales!$R177:$T177)</f>
        <v>0</v>
      </c>
      <c r="H286" s="4">
        <v>221.85</v>
      </c>
      <c r="I286" s="4">
        <v>360.09</v>
      </c>
      <c r="J286" s="4">
        <v>238.68</v>
      </c>
      <c r="K286" s="4">
        <v>301.5</v>
      </c>
      <c r="L286" s="4">
        <v>314.55</v>
      </c>
      <c r="M286" s="4">
        <v>339.12</v>
      </c>
      <c r="N286" s="4">
        <v>355.59</v>
      </c>
      <c r="O286" s="4">
        <v>197.46</v>
      </c>
      <c r="P286" s="4">
        <v>277.92</v>
      </c>
      <c r="Q286" s="4">
        <v>382.41</v>
      </c>
      <c r="R286" s="4">
        <v>360.0</v>
      </c>
      <c r="S286" s="4">
        <v>519.48</v>
      </c>
      <c r="T286" s="4">
        <v>437.94</v>
      </c>
      <c r="U286" s="4">
        <v>352.62</v>
      </c>
      <c r="V286" s="4">
        <v>480.87</v>
      </c>
      <c r="W286" s="4">
        <v>530.19</v>
      </c>
      <c r="X286" s="4">
        <v>388.62</v>
      </c>
      <c r="Y286" s="4">
        <v>415.98</v>
      </c>
      <c r="Z286" s="4">
        <v>449.37</v>
      </c>
      <c r="AA286" s="4">
        <v>420.39</v>
      </c>
      <c r="AB286" s="4">
        <v>287.55</v>
      </c>
      <c r="AC286" s="4">
        <v>354.87</v>
      </c>
      <c r="AD286" s="4">
        <v>522.45</v>
      </c>
      <c r="AE286" s="4">
        <v>393.48</v>
      </c>
      <c r="AF286" s="4">
        <v>662.4</v>
      </c>
      <c r="AG286" s="4">
        <v>457.65</v>
      </c>
      <c r="AH286" s="6" t="str">
        <f>Datos_originales!$H177/Datos_originales!$E177</f>
        <v>#DIV/0!</v>
      </c>
      <c r="AI286" s="6" t="str">
        <f>Datos_originales!$I177/Datos_originales!$E177</f>
        <v>#DIV/0!</v>
      </c>
      <c r="AJ286" s="6" t="str">
        <f>Datos_originales!$J177/Datos_originales!$E177</f>
        <v>#DIV/0!</v>
      </c>
      <c r="AK286" s="6" t="str">
        <f>Datos_originales!$K177/Datos_originales!$E177</f>
        <v>#DIV/0!</v>
      </c>
      <c r="AL286" s="6" t="str">
        <f>Datos_originales!$L177/Datos_originales!$E177</f>
        <v>#DIV/0!</v>
      </c>
      <c r="AM286" s="6" t="str">
        <f>Datos_originales!$M177/Datos_originales!$E177</f>
        <v>#DIV/0!</v>
      </c>
      <c r="AN286" s="6" t="str">
        <f>Datos_originales!$N177/Datos_originales!$E177</f>
        <v>#DIV/0!</v>
      </c>
      <c r="AO286" s="6" t="str">
        <f>Datos_originales!$O177/Datos_originales!$E177</f>
        <v>#DIV/0!</v>
      </c>
      <c r="AP286" s="6" t="str">
        <f>Datos_originales!$P177/Datos_originales!$E177</f>
        <v>#DIV/0!</v>
      </c>
      <c r="AQ286" s="6" t="str">
        <f>Datos_originales!$Q177/Datos_originales!$E177</f>
        <v>#DIV/0!</v>
      </c>
      <c r="AR286" s="6" t="str">
        <f>Datos_originales!$R177/Datos_originales!$E177</f>
        <v>#DIV/0!</v>
      </c>
      <c r="AS286" s="6" t="str">
        <f>Datos_originales!$S177/Datos_originales!$E177</f>
        <v>#DIV/0!</v>
      </c>
      <c r="AT286" s="6" t="str">
        <f>Datos_originales!$T177/Datos_originales!$E177</f>
        <v>#DIV/0!</v>
      </c>
      <c r="AU286" s="6" t="str">
        <f>Datos_originales!$U177/Datos_originales!$E177</f>
        <v>#DIV/0!</v>
      </c>
      <c r="AV286" s="6" t="str">
        <f>Datos_originales!$V177/Datos_originales!$E177</f>
        <v>#DIV/0!</v>
      </c>
      <c r="AW286" s="6" t="str">
        <f>Datos_originales!$W177/Datos_originales!$E177</f>
        <v>#DIV/0!</v>
      </c>
      <c r="AX286" s="6" t="str">
        <f>Datos_originales!$X177/Datos_originales!$E177</f>
        <v>#DIV/0!</v>
      </c>
      <c r="AY286" s="6" t="str">
        <f>Datos_originales!$Y177/Datos_originales!$E177</f>
        <v>#DIV/0!</v>
      </c>
      <c r="AZ286" s="6" t="str">
        <f>Datos_originales!$Z177/Datos_originales!$E177</f>
        <v>#DIV/0!</v>
      </c>
      <c r="BA286" s="6" t="str">
        <f>Datos_originales!$AA177/Datos_originales!$E177</f>
        <v>#DIV/0!</v>
      </c>
      <c r="BB286" s="6" t="str">
        <f>Datos_originales!$AB177/Datos_originales!$E177</f>
        <v>#DIV/0!</v>
      </c>
      <c r="BC286" s="6" t="str">
        <f>Datos_originales!$AC177/Datos_originales!$E177</f>
        <v>#DIV/0!</v>
      </c>
      <c r="BD286" s="6" t="str">
        <f>Datos_originales!$AD177/Datos_originales!$E177</f>
        <v>#DIV/0!</v>
      </c>
      <c r="BE286" s="6" t="str">
        <f>Datos_originales!$AE177/Datos_originales!$E177</f>
        <v>#DIV/0!</v>
      </c>
      <c r="BF286" s="6" t="str">
        <f>Datos_originales!$AF177/Datos_originales!$E177</f>
        <v>#DIV/0!</v>
      </c>
      <c r="BG286" s="6" t="str">
        <f>Datos_originales!$AG177/Datos_originales!$E177</f>
        <v>#DIV/0!</v>
      </c>
    </row>
    <row r="287" ht="15.75" customHeight="1">
      <c r="A287" s="2">
        <v>70902.0</v>
      </c>
      <c r="B287" s="3" t="s">
        <v>311</v>
      </c>
      <c r="C287" s="4" t="s">
        <v>345</v>
      </c>
      <c r="D287" s="4">
        <f>IF(Datos_originales!$E287&lt;1000,"Bosque menor a 1000 ha",Datos_originales!$E287)</f>
        <v>75895.11</v>
      </c>
      <c r="E287" s="4">
        <v>75895.11</v>
      </c>
      <c r="F287" s="5">
        <f>AVERAGE(Datos_originales!$H136:$J136)</f>
        <v>0</v>
      </c>
      <c r="G287" s="5">
        <f>AVERAGE(Datos_originales!$R136:$T136)</f>
        <v>0</v>
      </c>
      <c r="H287" s="4">
        <v>362.16</v>
      </c>
      <c r="I287" s="4">
        <v>264.51</v>
      </c>
      <c r="J287" s="4">
        <v>271.89</v>
      </c>
      <c r="K287" s="4">
        <v>132.66</v>
      </c>
      <c r="L287" s="4">
        <v>234.72</v>
      </c>
      <c r="M287" s="4">
        <v>227.97</v>
      </c>
      <c r="N287" s="4">
        <v>312.75</v>
      </c>
      <c r="O287" s="4">
        <v>232.92</v>
      </c>
      <c r="P287" s="4">
        <v>273.96</v>
      </c>
      <c r="Q287" s="4">
        <v>329.49</v>
      </c>
      <c r="R287" s="4">
        <v>263.25</v>
      </c>
      <c r="S287" s="4">
        <v>579.42</v>
      </c>
      <c r="T287" s="4">
        <v>452.07</v>
      </c>
      <c r="U287" s="4">
        <v>474.48</v>
      </c>
      <c r="V287" s="4">
        <v>352.8</v>
      </c>
      <c r="W287" s="4">
        <v>671.49</v>
      </c>
      <c r="X287" s="4">
        <v>184.14</v>
      </c>
      <c r="Y287" s="4">
        <v>298.98</v>
      </c>
      <c r="Z287" s="4">
        <v>294.93</v>
      </c>
      <c r="AA287" s="4">
        <v>340.2</v>
      </c>
      <c r="AB287" s="4">
        <v>285.66</v>
      </c>
      <c r="AC287" s="4">
        <v>311.22</v>
      </c>
      <c r="AD287" s="4">
        <v>446.76</v>
      </c>
      <c r="AE287" s="4">
        <v>284.04</v>
      </c>
      <c r="AF287" s="4">
        <v>616.59</v>
      </c>
      <c r="AG287" s="4">
        <v>461.25</v>
      </c>
      <c r="AH287" s="6" t="str">
        <f>Datos_originales!$H136/Datos_originales!$E136</f>
        <v>#DIV/0!</v>
      </c>
      <c r="AI287" s="6" t="str">
        <f>Datos_originales!$I136/Datos_originales!$E136</f>
        <v>#DIV/0!</v>
      </c>
      <c r="AJ287" s="6" t="str">
        <f>Datos_originales!$J136/Datos_originales!$E136</f>
        <v>#DIV/0!</v>
      </c>
      <c r="AK287" s="6" t="str">
        <f>Datos_originales!$K136/Datos_originales!$E136</f>
        <v>#DIV/0!</v>
      </c>
      <c r="AL287" s="6" t="str">
        <f>Datos_originales!$L136/Datos_originales!$E136</f>
        <v>#DIV/0!</v>
      </c>
      <c r="AM287" s="6" t="str">
        <f>Datos_originales!$M136/Datos_originales!$E136</f>
        <v>#DIV/0!</v>
      </c>
      <c r="AN287" s="6" t="str">
        <f>Datos_originales!$N136/Datos_originales!$E136</f>
        <v>#DIV/0!</v>
      </c>
      <c r="AO287" s="6" t="str">
        <f>Datos_originales!$O136/Datos_originales!$E136</f>
        <v>#DIV/0!</v>
      </c>
      <c r="AP287" s="6" t="str">
        <f>Datos_originales!$P136/Datos_originales!$E136</f>
        <v>#DIV/0!</v>
      </c>
      <c r="AQ287" s="6" t="str">
        <f>Datos_originales!$Q136/Datos_originales!$E136</f>
        <v>#DIV/0!</v>
      </c>
      <c r="AR287" s="6" t="str">
        <f>Datos_originales!$R136/Datos_originales!$E136</f>
        <v>#DIV/0!</v>
      </c>
      <c r="AS287" s="6" t="str">
        <f>Datos_originales!$S136/Datos_originales!$E136</f>
        <v>#DIV/0!</v>
      </c>
      <c r="AT287" s="6" t="str">
        <f>Datos_originales!$T136/Datos_originales!$E136</f>
        <v>#DIV/0!</v>
      </c>
      <c r="AU287" s="6" t="str">
        <f>Datos_originales!$U136/Datos_originales!$E136</f>
        <v>#DIV/0!</v>
      </c>
      <c r="AV287" s="6" t="str">
        <f>Datos_originales!$V136/Datos_originales!$E136</f>
        <v>#DIV/0!</v>
      </c>
      <c r="AW287" s="6" t="str">
        <f>Datos_originales!$W136/Datos_originales!$E136</f>
        <v>#DIV/0!</v>
      </c>
      <c r="AX287" s="6" t="str">
        <f>Datos_originales!$X136/Datos_originales!$E136</f>
        <v>#DIV/0!</v>
      </c>
      <c r="AY287" s="6" t="str">
        <f>Datos_originales!$Y136/Datos_originales!$E136</f>
        <v>#DIV/0!</v>
      </c>
      <c r="AZ287" s="6" t="str">
        <f>Datos_originales!$Z136/Datos_originales!$E136</f>
        <v>#DIV/0!</v>
      </c>
      <c r="BA287" s="6" t="str">
        <f>Datos_originales!$AA136/Datos_originales!$E136</f>
        <v>#DIV/0!</v>
      </c>
      <c r="BB287" s="6" t="str">
        <f>Datos_originales!$AB136/Datos_originales!$E136</f>
        <v>#DIV/0!</v>
      </c>
      <c r="BC287" s="6" t="str">
        <f>Datos_originales!$AC136/Datos_originales!$E136</f>
        <v>#DIV/0!</v>
      </c>
      <c r="BD287" s="6" t="str">
        <f>Datos_originales!$AD136/Datos_originales!$E136</f>
        <v>#DIV/0!</v>
      </c>
      <c r="BE287" s="6" t="str">
        <f>Datos_originales!$AE136/Datos_originales!$E136</f>
        <v>#DIV/0!</v>
      </c>
      <c r="BF287" s="6" t="str">
        <f>Datos_originales!$AF136/Datos_originales!$E136</f>
        <v>#DIV/0!</v>
      </c>
      <c r="BG287" s="6" t="str">
        <f>Datos_originales!$AG136/Datos_originales!$E136</f>
        <v>#DIV/0!</v>
      </c>
    </row>
    <row r="288" ht="15.75" customHeight="1">
      <c r="A288" s="2">
        <v>70903.0</v>
      </c>
      <c r="B288" s="3" t="s">
        <v>311</v>
      </c>
      <c r="C288" s="4" t="s">
        <v>346</v>
      </c>
      <c r="D288" s="4">
        <f>IF(Datos_originales!$E288&lt;1000,"Bosque menor a 1000 ha",Datos_originales!$E288)</f>
        <v>64372.41</v>
      </c>
      <c r="E288" s="4">
        <v>64372.41</v>
      </c>
      <c r="F288" s="5">
        <f>AVERAGE(Datos_originales!$H127:$J127)</f>
        <v>0.03</v>
      </c>
      <c r="G288" s="5">
        <f>AVERAGE(Datos_originales!$R127:$T127)</f>
        <v>4.5</v>
      </c>
      <c r="H288" s="4">
        <v>298.89</v>
      </c>
      <c r="I288" s="4">
        <v>153.36</v>
      </c>
      <c r="J288" s="4">
        <v>223.47</v>
      </c>
      <c r="K288" s="4">
        <v>203.4</v>
      </c>
      <c r="L288" s="4">
        <v>323.1</v>
      </c>
      <c r="M288" s="4">
        <v>365.58</v>
      </c>
      <c r="N288" s="4">
        <v>347.58</v>
      </c>
      <c r="O288" s="4">
        <v>212.94</v>
      </c>
      <c r="P288" s="4">
        <v>347.49</v>
      </c>
      <c r="Q288" s="4">
        <v>286.83</v>
      </c>
      <c r="R288" s="4">
        <v>229.32</v>
      </c>
      <c r="S288" s="4">
        <v>461.79</v>
      </c>
      <c r="T288" s="4">
        <v>453.42</v>
      </c>
      <c r="U288" s="4">
        <v>361.89</v>
      </c>
      <c r="V288" s="4">
        <v>200.43</v>
      </c>
      <c r="W288" s="4">
        <v>294.75</v>
      </c>
      <c r="X288" s="4">
        <v>259.65</v>
      </c>
      <c r="Y288" s="4">
        <v>402.12</v>
      </c>
      <c r="Z288" s="4">
        <v>437.22</v>
      </c>
      <c r="AA288" s="4">
        <v>384.03</v>
      </c>
      <c r="AB288" s="4">
        <v>276.93</v>
      </c>
      <c r="AC288" s="4">
        <v>393.39</v>
      </c>
      <c r="AD288" s="4">
        <v>354.96</v>
      </c>
      <c r="AE288" s="4">
        <v>234.81</v>
      </c>
      <c r="AF288" s="4">
        <v>477.18</v>
      </c>
      <c r="AG288" s="4">
        <v>458.1899999999999</v>
      </c>
      <c r="AH288" s="6">
        <f>Datos_originales!$H127/Datos_originales!$E127</f>
        <v>0</v>
      </c>
      <c r="AI288" s="6">
        <f>Datos_originales!$I127/Datos_originales!$E127</f>
        <v>0.001225490196</v>
      </c>
      <c r="AJ288" s="6">
        <f>Datos_originales!$J127/Datos_originales!$E127</f>
        <v>0</v>
      </c>
      <c r="AK288" s="6">
        <f>Datos_originales!$K127/Datos_originales!$E127</f>
        <v>0.001225490196</v>
      </c>
      <c r="AL288" s="6">
        <f>Datos_originales!$L127/Datos_originales!$E127</f>
        <v>0.001225490196</v>
      </c>
      <c r="AM288" s="6">
        <f>Datos_originales!$M127/Datos_originales!$E127</f>
        <v>0.002450980392</v>
      </c>
      <c r="AN288" s="6">
        <f>Datos_originales!$N127/Datos_originales!$E127</f>
        <v>0.007352941176</v>
      </c>
      <c r="AO288" s="6">
        <f>Datos_originales!$O127/Datos_originales!$E127</f>
        <v>0</v>
      </c>
      <c r="AP288" s="6">
        <f>Datos_originales!$P127/Datos_originales!$E127</f>
        <v>0.02450980392</v>
      </c>
      <c r="AQ288" s="6">
        <f>Datos_originales!$Q127/Datos_originales!$E127</f>
        <v>0.06740196078</v>
      </c>
      <c r="AR288" s="6">
        <f>Datos_originales!$R127/Datos_originales!$E127</f>
        <v>0.04044117647</v>
      </c>
      <c r="AS288" s="6">
        <f>Datos_originales!$S127/Datos_originales!$E127</f>
        <v>0.1397058824</v>
      </c>
      <c r="AT288" s="6">
        <f>Datos_originales!$T127/Datos_originales!$E127</f>
        <v>0.003676470588</v>
      </c>
      <c r="AU288" s="6">
        <f>Datos_originales!$U127/Datos_originales!$E127</f>
        <v>0</v>
      </c>
      <c r="AV288" s="6">
        <f>Datos_originales!$V127/Datos_originales!$E127</f>
        <v>0.001225490196</v>
      </c>
      <c r="AW288" s="6">
        <f>Datos_originales!$W127/Datos_originales!$E127</f>
        <v>0.03921568627</v>
      </c>
      <c r="AX288" s="6">
        <f>Datos_originales!$X127/Datos_originales!$E127</f>
        <v>0.00612745098</v>
      </c>
      <c r="AY288" s="6">
        <f>Datos_originales!$Y127/Datos_originales!$E127</f>
        <v>0.001225490196</v>
      </c>
      <c r="AZ288" s="6">
        <f>Datos_originales!$Z127/Datos_originales!$E127</f>
        <v>0.004901960784</v>
      </c>
      <c r="BA288" s="6">
        <f>Datos_originales!$AA127/Datos_originales!$E127</f>
        <v>0.01593137255</v>
      </c>
      <c r="BB288" s="6">
        <f>Datos_originales!$AB127/Datos_originales!$E127</f>
        <v>0.007352941176</v>
      </c>
      <c r="BC288" s="6">
        <f>Datos_originales!$AC127/Datos_originales!$E127</f>
        <v>0.02573529412</v>
      </c>
      <c r="BD288" s="6">
        <f>Datos_originales!$AD127/Datos_originales!$E127</f>
        <v>0.06862745098</v>
      </c>
      <c r="BE288" s="6">
        <f>Datos_originales!$AE127/Datos_originales!$E127</f>
        <v>0.04044117647</v>
      </c>
      <c r="BF288" s="6">
        <f>Datos_originales!$AF127/Datos_originales!$E127</f>
        <v>0.1446078431</v>
      </c>
      <c r="BG288" s="6">
        <f>Datos_originales!$AG127/Datos_originales!$E127</f>
        <v>0.003676470588</v>
      </c>
    </row>
    <row r="289" ht="15.75" customHeight="1">
      <c r="A289" s="2">
        <v>70904.0</v>
      </c>
      <c r="B289" s="3" t="s">
        <v>311</v>
      </c>
      <c r="C289" s="4" t="s">
        <v>347</v>
      </c>
      <c r="D289" s="4">
        <f>IF(Datos_originales!$E289&lt;1000,"Bosque menor a 1000 ha",Datos_originales!$E289)</f>
        <v>22582.71</v>
      </c>
      <c r="E289" s="4">
        <v>22582.71</v>
      </c>
      <c r="F289" s="5">
        <f>AVERAGE(Datos_originales!$H173:$J173)</f>
        <v>0</v>
      </c>
      <c r="G289" s="5">
        <f>AVERAGE(Datos_originales!$R173:$T173)</f>
        <v>0</v>
      </c>
      <c r="H289" s="4">
        <v>79.65</v>
      </c>
      <c r="I289" s="4">
        <v>79.28999999999999</v>
      </c>
      <c r="J289" s="4">
        <v>124.47</v>
      </c>
      <c r="K289" s="4">
        <v>38.79</v>
      </c>
      <c r="L289" s="4">
        <v>54.54</v>
      </c>
      <c r="M289" s="4">
        <v>50.66999999999999</v>
      </c>
      <c r="N289" s="4">
        <v>62.01</v>
      </c>
      <c r="O289" s="4">
        <v>238.23</v>
      </c>
      <c r="P289" s="4">
        <v>34.47</v>
      </c>
      <c r="Q289" s="4">
        <v>29.61</v>
      </c>
      <c r="R289" s="4">
        <v>146.61</v>
      </c>
      <c r="S289" s="4">
        <v>162.45</v>
      </c>
      <c r="T289" s="4">
        <v>70.92</v>
      </c>
      <c r="U289" s="4">
        <v>104.22</v>
      </c>
      <c r="V289" s="4">
        <v>96.66</v>
      </c>
      <c r="W289" s="4">
        <v>194.13</v>
      </c>
      <c r="X289" s="4">
        <v>53.28</v>
      </c>
      <c r="Y289" s="4">
        <v>74.34</v>
      </c>
      <c r="Z289" s="4">
        <v>71.37</v>
      </c>
      <c r="AA289" s="4">
        <v>77.04</v>
      </c>
      <c r="AB289" s="4">
        <v>246.69</v>
      </c>
      <c r="AC289" s="4">
        <v>44.1</v>
      </c>
      <c r="AD289" s="4">
        <v>61.73999999999999</v>
      </c>
      <c r="AE289" s="4">
        <v>151.47</v>
      </c>
      <c r="AF289" s="4">
        <v>171.72</v>
      </c>
      <c r="AG289" s="4">
        <v>71.28</v>
      </c>
      <c r="AH289" s="6" t="str">
        <f>Datos_originales!$H173/Datos_originales!$E173</f>
        <v>#DIV/0!</v>
      </c>
      <c r="AI289" s="6" t="str">
        <f>Datos_originales!$I173/Datos_originales!$E173</f>
        <v>#DIV/0!</v>
      </c>
      <c r="AJ289" s="6" t="str">
        <f>Datos_originales!$J173/Datos_originales!$E173</f>
        <v>#DIV/0!</v>
      </c>
      <c r="AK289" s="6" t="str">
        <f>Datos_originales!$K173/Datos_originales!$E173</f>
        <v>#DIV/0!</v>
      </c>
      <c r="AL289" s="6" t="str">
        <f>Datos_originales!$L173/Datos_originales!$E173</f>
        <v>#DIV/0!</v>
      </c>
      <c r="AM289" s="6" t="str">
        <f>Datos_originales!$M173/Datos_originales!$E173</f>
        <v>#DIV/0!</v>
      </c>
      <c r="AN289" s="6" t="str">
        <f>Datos_originales!$N173/Datos_originales!$E173</f>
        <v>#DIV/0!</v>
      </c>
      <c r="AO289" s="6" t="str">
        <f>Datos_originales!$O173/Datos_originales!$E173</f>
        <v>#DIV/0!</v>
      </c>
      <c r="AP289" s="6" t="str">
        <f>Datos_originales!$P173/Datos_originales!$E173</f>
        <v>#DIV/0!</v>
      </c>
      <c r="AQ289" s="6" t="str">
        <f>Datos_originales!$Q173/Datos_originales!$E173</f>
        <v>#DIV/0!</v>
      </c>
      <c r="AR289" s="6" t="str">
        <f>Datos_originales!$R173/Datos_originales!$E173</f>
        <v>#DIV/0!</v>
      </c>
      <c r="AS289" s="6" t="str">
        <f>Datos_originales!$S173/Datos_originales!$E173</f>
        <v>#DIV/0!</v>
      </c>
      <c r="AT289" s="6" t="str">
        <f>Datos_originales!$T173/Datos_originales!$E173</f>
        <v>#DIV/0!</v>
      </c>
      <c r="AU289" s="6" t="str">
        <f>Datos_originales!$U173/Datos_originales!$E173</f>
        <v>#DIV/0!</v>
      </c>
      <c r="AV289" s="6" t="str">
        <f>Datos_originales!$V173/Datos_originales!$E173</f>
        <v>#DIV/0!</v>
      </c>
      <c r="AW289" s="6" t="str">
        <f>Datos_originales!$W173/Datos_originales!$E173</f>
        <v>#DIV/0!</v>
      </c>
      <c r="AX289" s="6" t="str">
        <f>Datos_originales!$X173/Datos_originales!$E173</f>
        <v>#DIV/0!</v>
      </c>
      <c r="AY289" s="6" t="str">
        <f>Datos_originales!$Y173/Datos_originales!$E173</f>
        <v>#DIV/0!</v>
      </c>
      <c r="AZ289" s="6" t="str">
        <f>Datos_originales!$Z173/Datos_originales!$E173</f>
        <v>#DIV/0!</v>
      </c>
      <c r="BA289" s="6" t="str">
        <f>Datos_originales!$AA173/Datos_originales!$E173</f>
        <v>#DIV/0!</v>
      </c>
      <c r="BB289" s="6" t="str">
        <f>Datos_originales!$AB173/Datos_originales!$E173</f>
        <v>#DIV/0!</v>
      </c>
      <c r="BC289" s="6" t="str">
        <f>Datos_originales!$AC173/Datos_originales!$E173</f>
        <v>#DIV/0!</v>
      </c>
      <c r="BD289" s="6" t="str">
        <f>Datos_originales!$AD173/Datos_originales!$E173</f>
        <v>#DIV/0!</v>
      </c>
      <c r="BE289" s="6" t="str">
        <f>Datos_originales!$AE173/Datos_originales!$E173</f>
        <v>#DIV/0!</v>
      </c>
      <c r="BF289" s="6" t="str">
        <f>Datos_originales!$AF173/Datos_originales!$E173</f>
        <v>#DIV/0!</v>
      </c>
      <c r="BG289" s="6" t="str">
        <f>Datos_originales!$AG173/Datos_originales!$E173</f>
        <v>#DIV/0!</v>
      </c>
    </row>
    <row r="290" ht="15.75" customHeight="1">
      <c r="A290" s="2">
        <v>71001.0</v>
      </c>
      <c r="B290" s="3" t="s">
        <v>311</v>
      </c>
      <c r="C290" s="4" t="s">
        <v>348</v>
      </c>
      <c r="D290" s="4">
        <f>IF(Datos_originales!$E290&lt;1000,"Bosque menor a 1000 ha",Datos_originales!$E290)</f>
        <v>3696.57</v>
      </c>
      <c r="E290" s="4">
        <v>3696.57</v>
      </c>
      <c r="F290" s="5">
        <f>AVERAGE(Datos_originales!$H45:$J45)</f>
        <v>0</v>
      </c>
      <c r="G290" s="5">
        <f>AVERAGE(Datos_originales!$R45:$T45)</f>
        <v>0</v>
      </c>
      <c r="H290" s="4">
        <v>285.57</v>
      </c>
      <c r="I290" s="4">
        <v>179.01</v>
      </c>
      <c r="J290" s="4">
        <v>122.4</v>
      </c>
      <c r="K290" s="4">
        <v>103.59</v>
      </c>
      <c r="L290" s="4">
        <v>80.37</v>
      </c>
      <c r="M290" s="4">
        <v>130.95</v>
      </c>
      <c r="N290" s="4">
        <v>87.21000000000001</v>
      </c>
      <c r="O290" s="4">
        <v>58.41</v>
      </c>
      <c r="P290" s="4">
        <v>82.08</v>
      </c>
      <c r="Q290" s="4">
        <v>134.91</v>
      </c>
      <c r="R290" s="4">
        <v>5.58</v>
      </c>
      <c r="S290" s="4">
        <v>157.41</v>
      </c>
      <c r="T290" s="4">
        <v>150.93</v>
      </c>
      <c r="U290" s="4">
        <v>292.23</v>
      </c>
      <c r="V290" s="4">
        <v>189.27</v>
      </c>
      <c r="W290" s="4">
        <v>137.79</v>
      </c>
      <c r="X290" s="4">
        <v>111.06</v>
      </c>
      <c r="Y290" s="4">
        <v>83.25</v>
      </c>
      <c r="Z290" s="4">
        <v>136.53</v>
      </c>
      <c r="AA290" s="4">
        <v>91.62</v>
      </c>
      <c r="AB290" s="4">
        <v>59.85</v>
      </c>
      <c r="AC290" s="4">
        <v>86.13</v>
      </c>
      <c r="AD290" s="4">
        <v>136.26</v>
      </c>
      <c r="AE290" s="4">
        <v>6.48</v>
      </c>
      <c r="AF290" s="4">
        <v>158.04</v>
      </c>
      <c r="AG290" s="4">
        <v>151.2</v>
      </c>
      <c r="AH290" s="6" t="str">
        <f>Datos_originales!$H45/Datos_originales!$E45</f>
        <v>#DIV/0!</v>
      </c>
      <c r="AI290" s="6" t="str">
        <f>Datos_originales!$I45/Datos_originales!$E45</f>
        <v>#DIV/0!</v>
      </c>
      <c r="AJ290" s="6" t="str">
        <f>Datos_originales!$J45/Datos_originales!$E45</f>
        <v>#DIV/0!</v>
      </c>
      <c r="AK290" s="6" t="str">
        <f>Datos_originales!$K45/Datos_originales!$E45</f>
        <v>#DIV/0!</v>
      </c>
      <c r="AL290" s="6" t="str">
        <f>Datos_originales!$L45/Datos_originales!$E45</f>
        <v>#DIV/0!</v>
      </c>
      <c r="AM290" s="6" t="str">
        <f>Datos_originales!$M45/Datos_originales!$E45</f>
        <v>#DIV/0!</v>
      </c>
      <c r="AN290" s="6" t="str">
        <f>Datos_originales!$N45/Datos_originales!$E45</f>
        <v>#DIV/0!</v>
      </c>
      <c r="AO290" s="6" t="str">
        <f>Datos_originales!$O45/Datos_originales!$E45</f>
        <v>#DIV/0!</v>
      </c>
      <c r="AP290" s="6" t="str">
        <f>Datos_originales!$P45/Datos_originales!$E45</f>
        <v>#DIV/0!</v>
      </c>
      <c r="AQ290" s="6" t="str">
        <f>Datos_originales!$Q45/Datos_originales!$E45</f>
        <v>#DIV/0!</v>
      </c>
      <c r="AR290" s="6" t="str">
        <f>Datos_originales!$R45/Datos_originales!$E45</f>
        <v>#DIV/0!</v>
      </c>
      <c r="AS290" s="6" t="str">
        <f>Datos_originales!$S45/Datos_originales!$E45</f>
        <v>#DIV/0!</v>
      </c>
      <c r="AT290" s="6" t="str">
        <f>Datos_originales!$T45/Datos_originales!$E45</f>
        <v>#DIV/0!</v>
      </c>
      <c r="AU290" s="6" t="str">
        <f>Datos_originales!$U45/Datos_originales!$E45</f>
        <v>#DIV/0!</v>
      </c>
      <c r="AV290" s="6" t="str">
        <f>Datos_originales!$V45/Datos_originales!$E45</f>
        <v>#DIV/0!</v>
      </c>
      <c r="AW290" s="6" t="str">
        <f>Datos_originales!$W45/Datos_originales!$E45</f>
        <v>#DIV/0!</v>
      </c>
      <c r="AX290" s="6" t="str">
        <f>Datos_originales!$X45/Datos_originales!$E45</f>
        <v>#DIV/0!</v>
      </c>
      <c r="AY290" s="6" t="str">
        <f>Datos_originales!$Y45/Datos_originales!$E45</f>
        <v>#DIV/0!</v>
      </c>
      <c r="AZ290" s="6" t="str">
        <f>Datos_originales!$Z45/Datos_originales!$E45</f>
        <v>#DIV/0!</v>
      </c>
      <c r="BA290" s="6" t="str">
        <f>Datos_originales!$AA45/Datos_originales!$E45</f>
        <v>#DIV/0!</v>
      </c>
      <c r="BB290" s="6" t="str">
        <f>Datos_originales!$AB45/Datos_originales!$E45</f>
        <v>#DIV/0!</v>
      </c>
      <c r="BC290" s="6" t="str">
        <f>Datos_originales!$AC45/Datos_originales!$E45</f>
        <v>#DIV/0!</v>
      </c>
      <c r="BD290" s="6" t="str">
        <f>Datos_originales!$AD45/Datos_originales!$E45</f>
        <v>#DIV/0!</v>
      </c>
      <c r="BE290" s="6" t="str">
        <f>Datos_originales!$AE45/Datos_originales!$E45</f>
        <v>#DIV/0!</v>
      </c>
      <c r="BF290" s="6" t="str">
        <f>Datos_originales!$AF45/Datos_originales!$E45</f>
        <v>#DIV/0!</v>
      </c>
      <c r="BG290" s="6" t="str">
        <f>Datos_originales!$AG45/Datos_originales!$E45</f>
        <v>#DIV/0!</v>
      </c>
    </row>
    <row r="291" ht="15.75" customHeight="1">
      <c r="A291" s="2">
        <v>71002.0</v>
      </c>
      <c r="B291" s="3" t="s">
        <v>311</v>
      </c>
      <c r="C291" s="4" t="s">
        <v>349</v>
      </c>
      <c r="D291" s="4">
        <f>IF(Datos_originales!$E291&lt;1000,"Bosque menor a 1000 ha",Datos_originales!$E291)</f>
        <v>3788.19</v>
      </c>
      <c r="E291" s="4">
        <v>3788.19</v>
      </c>
      <c r="F291" s="5">
        <f>AVERAGE(Datos_originales!$H29:$J29)</f>
        <v>58.26</v>
      </c>
      <c r="G291" s="5">
        <f>AVERAGE(Datos_originales!$R29:$T29)</f>
        <v>120.45</v>
      </c>
      <c r="H291" s="4">
        <v>500.22</v>
      </c>
      <c r="I291" s="4">
        <v>176.4</v>
      </c>
      <c r="J291" s="4">
        <v>114.03</v>
      </c>
      <c r="K291" s="4">
        <v>104.13</v>
      </c>
      <c r="L291" s="4">
        <v>117.09</v>
      </c>
      <c r="M291" s="4">
        <v>104.85</v>
      </c>
      <c r="N291" s="4">
        <v>86.58</v>
      </c>
      <c r="O291" s="4">
        <v>83.25</v>
      </c>
      <c r="P291" s="4">
        <v>69.57</v>
      </c>
      <c r="Q291" s="4">
        <v>140.76</v>
      </c>
      <c r="R291" s="4">
        <v>15.12</v>
      </c>
      <c r="S291" s="4">
        <v>186.66</v>
      </c>
      <c r="T291" s="4">
        <v>292.59</v>
      </c>
      <c r="U291" s="4">
        <v>503.28</v>
      </c>
      <c r="V291" s="4">
        <v>181.62</v>
      </c>
      <c r="W291" s="4">
        <v>122.94</v>
      </c>
      <c r="X291" s="4">
        <v>109.8</v>
      </c>
      <c r="Y291" s="4">
        <v>122.22</v>
      </c>
      <c r="Z291" s="4">
        <v>117.36</v>
      </c>
      <c r="AA291" s="4">
        <v>104.94</v>
      </c>
      <c r="AB291" s="4">
        <v>91.53</v>
      </c>
      <c r="AC291" s="4">
        <v>87.03</v>
      </c>
      <c r="AD291" s="4">
        <v>179.01</v>
      </c>
      <c r="AE291" s="4">
        <v>29.7</v>
      </c>
      <c r="AF291" s="4">
        <v>205.29</v>
      </c>
      <c r="AG291" s="4">
        <v>293.22</v>
      </c>
      <c r="AH291" s="6">
        <f>Datos_originales!$H29/Datos_originales!$E29</f>
        <v>0.000301750822</v>
      </c>
      <c r="AI291" s="6">
        <f>Datos_originales!$I29/Datos_originales!$E29</f>
        <v>0.0006568826249</v>
      </c>
      <c r="AJ291" s="6">
        <f>Datos_originales!$J29/Datos_originales!$E29</f>
        <v>0.0004811702297</v>
      </c>
      <c r="AK291" s="6">
        <f>Datos_originales!$K29/Datos_originales!$E29</f>
        <v>0.000233541791</v>
      </c>
      <c r="AL291" s="6">
        <f>Datos_originales!$L29/Datos_originales!$E29</f>
        <v>0.0006383475621</v>
      </c>
      <c r="AM291" s="6">
        <f>Datos_originales!$M29/Datos_originales!$E29</f>
        <v>0.000929718749</v>
      </c>
      <c r="AN291" s="6">
        <f>Datos_originales!$N29/Datos_originales!$E29</f>
        <v>0.00131376525</v>
      </c>
      <c r="AO291" s="6">
        <f>Datos_originales!$O29/Datos_originales!$E29</f>
        <v>0.0004040643686</v>
      </c>
      <c r="AP291" s="6">
        <f>Datos_originales!$P29/Datos_originales!$E29</f>
        <v>0.0005931220089</v>
      </c>
      <c r="AQ291" s="6">
        <f>Datos_originales!$Q29/Datos_originales!$E29</f>
        <v>0.002400661331</v>
      </c>
      <c r="AR291" s="6">
        <f>Datos_originales!$R29/Datos_originales!$E29</f>
        <v>0.0005249129779</v>
      </c>
      <c r="AS291" s="6">
        <f>Datos_originales!$S29/Datos_originales!$E29</f>
        <v>0.0005434480407</v>
      </c>
      <c r="AT291" s="6">
        <f>Datos_originales!$T29/Datos_originales!$E29</f>
        <v>0.001908370064</v>
      </c>
      <c r="AU291" s="6">
        <f>Datos_originales!$U29/Datos_originales!$E29</f>
        <v>0.0005560518833</v>
      </c>
      <c r="AV291" s="6">
        <f>Datos_originales!$V29/Datos_originales!$E29</f>
        <v>0.0008073873346</v>
      </c>
      <c r="AW291" s="6">
        <f>Datos_originales!$W29/Datos_originales!$E29</f>
        <v>0.0009756857046</v>
      </c>
      <c r="AX291" s="6">
        <f>Datos_originales!$X29/Datos_originales!$E29</f>
        <v>0.0003484591802</v>
      </c>
      <c r="AY291" s="6">
        <f>Datos_originales!$Y29/Datos_originales!$E29</f>
        <v>0.0008392676426</v>
      </c>
      <c r="AZ291" s="6">
        <f>Datos_originales!$Z29/Datos_originales!$E29</f>
        <v>0.001093568704</v>
      </c>
      <c r="BA291" s="6">
        <f>Datos_originales!$AA29/Datos_originales!$E29</f>
        <v>0.001392353916</v>
      </c>
      <c r="BB291" s="6">
        <f>Datos_originales!$AB29/Datos_originales!$E29</f>
        <v>0.0005056365126</v>
      </c>
      <c r="BC291" s="6">
        <f>Datos_originales!$AC29/Datos_originales!$E29</f>
        <v>0.0007184190333</v>
      </c>
      <c r="BD291" s="6">
        <f>Datos_originales!$AD29/Datos_originales!$E29</f>
        <v>0.003018991025</v>
      </c>
      <c r="BE291" s="6">
        <f>Datos_originales!$AE29/Datos_originales!$E29</f>
        <v>0.0006806075052</v>
      </c>
      <c r="BF291" s="6">
        <f>Datos_originales!$AF29/Datos_originales!$E29</f>
        <v>0.001384939891</v>
      </c>
      <c r="BG291" s="6">
        <f>Datos_originales!$AG29/Datos_originales!$E29</f>
        <v>0.002285002539</v>
      </c>
    </row>
    <row r="292" ht="15.75" customHeight="1">
      <c r="A292" s="2">
        <v>71003.0</v>
      </c>
      <c r="B292" s="3" t="s">
        <v>311</v>
      </c>
      <c r="C292" s="4" t="s">
        <v>350</v>
      </c>
      <c r="D292" s="4">
        <f>IF(Datos_originales!$E292&lt;1000,"Bosque menor a 1000 ha",Datos_originales!$E292)</f>
        <v>3309.57</v>
      </c>
      <c r="E292" s="4">
        <v>3309.57</v>
      </c>
      <c r="F292" s="5">
        <f>AVERAGE(Datos_originales!$H24:$J24)</f>
        <v>100.71</v>
      </c>
      <c r="G292" s="5">
        <f>AVERAGE(Datos_originales!$R24:$T24)</f>
        <v>453.57</v>
      </c>
      <c r="H292" s="4">
        <v>433.08</v>
      </c>
      <c r="I292" s="4">
        <v>324.63</v>
      </c>
      <c r="J292" s="4">
        <v>134.91</v>
      </c>
      <c r="K292" s="4">
        <v>71.46000000000001</v>
      </c>
      <c r="L292" s="4">
        <v>199.35</v>
      </c>
      <c r="M292" s="4">
        <v>117.09</v>
      </c>
      <c r="N292" s="4">
        <v>90.27</v>
      </c>
      <c r="O292" s="4">
        <v>103.68</v>
      </c>
      <c r="P292" s="4">
        <v>77.58</v>
      </c>
      <c r="Q292" s="4">
        <v>141.03</v>
      </c>
      <c r="R292" s="4">
        <v>44.37</v>
      </c>
      <c r="S292" s="4">
        <v>272.34</v>
      </c>
      <c r="T292" s="4">
        <v>294.03</v>
      </c>
      <c r="U292" s="4">
        <v>443.07</v>
      </c>
      <c r="V292" s="4">
        <v>328.77</v>
      </c>
      <c r="W292" s="4">
        <v>141.12</v>
      </c>
      <c r="X292" s="4">
        <v>78.57000000000001</v>
      </c>
      <c r="Y292" s="4">
        <v>203.4</v>
      </c>
      <c r="Z292" s="4">
        <v>120.51</v>
      </c>
      <c r="AA292" s="4">
        <v>93.15</v>
      </c>
      <c r="AB292" s="4">
        <v>105.84</v>
      </c>
      <c r="AC292" s="4">
        <v>84.78</v>
      </c>
      <c r="AD292" s="4">
        <v>153.81</v>
      </c>
      <c r="AE292" s="4">
        <v>45.72</v>
      </c>
      <c r="AF292" s="4">
        <v>300.6</v>
      </c>
      <c r="AG292" s="4">
        <v>294.84</v>
      </c>
      <c r="AH292" s="6">
        <f>Datos_originales!$H24/Datos_originales!$E24</f>
        <v>0.0006939141826</v>
      </c>
      <c r="AI292" s="6">
        <f>Datos_originales!$I24/Datos_originales!$E24</f>
        <v>0.0009535665561</v>
      </c>
      <c r="AJ292" s="6">
        <f>Datos_originales!$J24/Datos_originales!$E24</f>
        <v>0.001389637789</v>
      </c>
      <c r="AK292" s="6">
        <f>Datos_originales!$K24/Datos_originales!$E24</f>
        <v>0.0009200922083</v>
      </c>
      <c r="AL292" s="6">
        <f>Datos_originales!$L24/Datos_originales!$E24</f>
        <v>0.0004514513392</v>
      </c>
      <c r="AM292" s="6">
        <f>Datos_originales!$M24/Datos_originales!$E24</f>
        <v>0.0008241927254</v>
      </c>
      <c r="AN292" s="6">
        <f>Datos_originales!$N24/Datos_originales!$E24</f>
        <v>0.001576913195</v>
      </c>
      <c r="AO292" s="6">
        <f>Datos_originales!$O24/Datos_originales!$E24</f>
        <v>0.001373352972</v>
      </c>
      <c r="AP292" s="6">
        <f>Datos_originales!$P24/Datos_originales!$E24</f>
        <v>0.001616720527</v>
      </c>
      <c r="AQ292" s="6">
        <f>Datos_originales!$Q24/Datos_originales!$E24</f>
        <v>0.001190601127</v>
      </c>
      <c r="AR292" s="6">
        <f>Datos_originales!$R24/Datos_originales!$E24</f>
        <v>0.001699049329</v>
      </c>
      <c r="AS292" s="6">
        <f>Datos_originales!$S24/Datos_originales!$E24</f>
        <v>0.007933420427</v>
      </c>
      <c r="AT292" s="6">
        <f>Datos_originales!$T24/Datos_originales!$E24</f>
        <v>0.004045872522</v>
      </c>
      <c r="AU292" s="6">
        <f>Datos_originales!$U24/Datos_originales!$E24</f>
        <v>0.002381202254</v>
      </c>
      <c r="AV292" s="6">
        <f>Datos_originales!$V24/Datos_originales!$E24</f>
        <v>0.00296926512</v>
      </c>
      <c r="AW292" s="6">
        <f>Datos_originales!$W24/Datos_originales!$E24</f>
        <v>0.01188067933</v>
      </c>
      <c r="AX292" s="6">
        <f>Datos_originales!$X24/Datos_originales!$E24</f>
        <v>0.001463824182</v>
      </c>
      <c r="AY292" s="6">
        <f>Datos_originales!$Y24/Datos_originales!$E24</f>
        <v>0.0008042890591</v>
      </c>
      <c r="AZ292" s="6">
        <f>Datos_originales!$Z24/Datos_originales!$E24</f>
        <v>0.001106462901</v>
      </c>
      <c r="BA292" s="6">
        <f>Datos_originales!$AA24/Datos_originales!$E24</f>
        <v>0.001995794898</v>
      </c>
      <c r="BB292" s="6">
        <f>Datos_originales!$AB24/Datos_originales!$E24</f>
        <v>0.002367631572</v>
      </c>
      <c r="BC292" s="6">
        <f>Datos_originales!$AC24/Datos_originales!$E24</f>
        <v>0.002247304863</v>
      </c>
      <c r="BD292" s="6">
        <f>Datos_originales!$AD24/Datos_originales!$E24</f>
        <v>0.001879991749</v>
      </c>
      <c r="BE292" s="6">
        <f>Datos_originales!$AE24/Datos_originales!$E24</f>
        <v>0.003209013828</v>
      </c>
      <c r="BF292" s="6">
        <f>Datos_originales!$AF24/Datos_originales!$E24</f>
        <v>0.01038157138</v>
      </c>
      <c r="BG292" s="6">
        <f>Datos_originales!$AG24/Datos_originales!$E24</f>
        <v>0.004167103944</v>
      </c>
    </row>
    <row r="293" ht="15.75" customHeight="1">
      <c r="A293" s="2">
        <v>71004.0</v>
      </c>
      <c r="B293" s="3" t="s">
        <v>311</v>
      </c>
      <c r="C293" s="4" t="s">
        <v>351</v>
      </c>
      <c r="D293" s="4">
        <f>IF(Datos_originales!$E293&lt;1000,"Bosque menor a 1000 ha",Datos_originales!$E293)</f>
        <v>4884.21</v>
      </c>
      <c r="E293" s="4">
        <v>4884.21</v>
      </c>
      <c r="F293" s="5">
        <f>AVERAGE(Datos_originales!$H52:$J52)</f>
        <v>0.06</v>
      </c>
      <c r="G293" s="5">
        <f>AVERAGE(Datos_originales!$R52:$T52)</f>
        <v>0.87</v>
      </c>
      <c r="H293" s="4">
        <v>445.32</v>
      </c>
      <c r="I293" s="4">
        <v>326.97</v>
      </c>
      <c r="J293" s="4">
        <v>155.97</v>
      </c>
      <c r="K293" s="4">
        <v>141.84</v>
      </c>
      <c r="L293" s="4">
        <v>486.18</v>
      </c>
      <c r="M293" s="4">
        <v>278.1</v>
      </c>
      <c r="N293" s="4">
        <v>186.21</v>
      </c>
      <c r="O293" s="4">
        <v>95.22</v>
      </c>
      <c r="P293" s="4">
        <v>109.98</v>
      </c>
      <c r="Q293" s="4">
        <v>183.87</v>
      </c>
      <c r="R293" s="4">
        <v>133.38</v>
      </c>
      <c r="S293" s="4">
        <v>379.17</v>
      </c>
      <c r="T293" s="4">
        <v>161.19</v>
      </c>
      <c r="U293" s="4">
        <v>525.6</v>
      </c>
      <c r="V293" s="4">
        <v>356.67</v>
      </c>
      <c r="W293" s="4">
        <v>193.23</v>
      </c>
      <c r="X293" s="4">
        <v>162.72</v>
      </c>
      <c r="Y293" s="4">
        <v>509.22</v>
      </c>
      <c r="Z293" s="4">
        <v>308.79</v>
      </c>
      <c r="AA293" s="4">
        <v>199.98</v>
      </c>
      <c r="AB293" s="4">
        <v>105.57</v>
      </c>
      <c r="AC293" s="4">
        <v>140.13</v>
      </c>
      <c r="AD293" s="4">
        <v>189.09</v>
      </c>
      <c r="AE293" s="4">
        <v>133.47</v>
      </c>
      <c r="AF293" s="4">
        <v>457.11</v>
      </c>
      <c r="AG293" s="4">
        <v>167.49</v>
      </c>
      <c r="AH293" s="6">
        <f>Datos_originales!$H52/Datos_originales!$E52</f>
        <v>0</v>
      </c>
      <c r="AI293" s="6">
        <f>Datos_originales!$I52/Datos_originales!$E52</f>
        <v>0</v>
      </c>
      <c r="AJ293" s="6">
        <f>Datos_originales!$J52/Datos_originales!$E52</f>
        <v>0.001054852321</v>
      </c>
      <c r="AK293" s="6">
        <f>Datos_originales!$K52/Datos_originales!$E52</f>
        <v>0</v>
      </c>
      <c r="AL293" s="6">
        <f>Datos_originales!$L52/Datos_originales!$E52</f>
        <v>0</v>
      </c>
      <c r="AM293" s="6">
        <f>Datos_originales!$M52/Datos_originales!$E52</f>
        <v>0</v>
      </c>
      <c r="AN293" s="6">
        <f>Datos_originales!$N52/Datos_originales!$E52</f>
        <v>0</v>
      </c>
      <c r="AO293" s="6">
        <f>Datos_originales!$O52/Datos_originales!$E52</f>
        <v>0.003691983122</v>
      </c>
      <c r="AP293" s="6">
        <f>Datos_originales!$P52/Datos_originales!$E52</f>
        <v>0.001054852321</v>
      </c>
      <c r="AQ293" s="6">
        <f>Datos_originales!$Q52/Datos_originales!$E52</f>
        <v>0</v>
      </c>
      <c r="AR293" s="6">
        <f>Datos_originales!$R52/Datos_originales!$E52</f>
        <v>0</v>
      </c>
      <c r="AS293" s="6">
        <f>Datos_originales!$S52/Datos_originales!$E52</f>
        <v>0.001054852321</v>
      </c>
      <c r="AT293" s="6">
        <f>Datos_originales!$T52/Datos_originales!$E52</f>
        <v>0.01424050633</v>
      </c>
      <c r="AU293" s="6">
        <f>Datos_originales!$U52/Datos_originales!$E52</f>
        <v>0.01687763713</v>
      </c>
      <c r="AV293" s="6">
        <f>Datos_originales!$V52/Datos_originales!$E52</f>
        <v>0.004746835443</v>
      </c>
      <c r="AW293" s="6">
        <f>Datos_originales!$W52/Datos_originales!$E52</f>
        <v>0.03270042194</v>
      </c>
      <c r="AX293" s="6">
        <f>Datos_originales!$X52/Datos_originales!$E52</f>
        <v>0.004219409283</v>
      </c>
      <c r="AY293" s="6">
        <f>Datos_originales!$Y52/Datos_originales!$E52</f>
        <v>0</v>
      </c>
      <c r="AZ293" s="6">
        <f>Datos_originales!$Z52/Datos_originales!$E52</f>
        <v>0.01002109705</v>
      </c>
      <c r="BA293" s="6">
        <f>Datos_originales!$AA52/Datos_originales!$E52</f>
        <v>0.002109704641</v>
      </c>
      <c r="BB293" s="6">
        <f>Datos_originales!$AB52/Datos_originales!$E52</f>
        <v>0.03533755274</v>
      </c>
      <c r="BC293" s="6">
        <f>Datos_originales!$AC52/Datos_originales!$E52</f>
        <v>0.001582278481</v>
      </c>
      <c r="BD293" s="6">
        <f>Datos_originales!$AD52/Datos_originales!$E52</f>
        <v>0.002109704641</v>
      </c>
      <c r="BE293" s="6">
        <f>Datos_originales!$AE52/Datos_originales!$E52</f>
        <v>0.002637130802</v>
      </c>
      <c r="BF293" s="6">
        <f>Datos_originales!$AF52/Datos_originales!$E52</f>
        <v>0.001054852321</v>
      </c>
      <c r="BG293" s="6">
        <f>Datos_originales!$AG52/Datos_originales!$E52</f>
        <v>0.08280590717</v>
      </c>
    </row>
    <row r="294" ht="15.75" customHeight="1">
      <c r="A294" s="2">
        <v>71005.0</v>
      </c>
      <c r="B294" s="3" t="s">
        <v>311</v>
      </c>
      <c r="C294" s="4" t="s">
        <v>275</v>
      </c>
      <c r="D294" s="4">
        <f>IF(Datos_originales!$E294&lt;1000,"Bosque menor a 1000 ha",Datos_originales!$E294)</f>
        <v>48195.36</v>
      </c>
      <c r="E294" s="4">
        <v>48195.36</v>
      </c>
      <c r="F294" s="5">
        <f>AVERAGE(Datos_originales!$H40:$J40)</f>
        <v>0</v>
      </c>
      <c r="G294" s="5">
        <f>AVERAGE(Datos_originales!$R40:$T40)</f>
        <v>0</v>
      </c>
      <c r="H294" s="4">
        <v>2547.18</v>
      </c>
      <c r="I294" s="4">
        <v>1864.98</v>
      </c>
      <c r="J294" s="4">
        <v>773.46</v>
      </c>
      <c r="K294" s="4">
        <v>329.85</v>
      </c>
      <c r="L294" s="4">
        <v>1754.01</v>
      </c>
      <c r="M294" s="4">
        <v>654.48</v>
      </c>
      <c r="N294" s="4">
        <v>652.95</v>
      </c>
      <c r="O294" s="4">
        <v>348.48</v>
      </c>
      <c r="P294" s="4">
        <v>415.71</v>
      </c>
      <c r="Q294" s="4">
        <v>451.26</v>
      </c>
      <c r="R294" s="4">
        <v>660.33</v>
      </c>
      <c r="S294" s="4">
        <v>999.72</v>
      </c>
      <c r="T294" s="4">
        <v>1389.69</v>
      </c>
      <c r="U294" s="4">
        <v>3596.58</v>
      </c>
      <c r="V294" s="4">
        <v>2199.51</v>
      </c>
      <c r="W294" s="4">
        <v>1057.23</v>
      </c>
      <c r="X294" s="4">
        <v>669.42</v>
      </c>
      <c r="Y294" s="4">
        <v>2072.34</v>
      </c>
      <c r="Z294" s="4">
        <v>858.78</v>
      </c>
      <c r="AA294" s="4">
        <v>824.4</v>
      </c>
      <c r="AB294" s="4">
        <v>561.6</v>
      </c>
      <c r="AC294" s="4">
        <v>596.0699999999999</v>
      </c>
      <c r="AD294" s="4">
        <v>575.01</v>
      </c>
      <c r="AE294" s="4">
        <v>672.3</v>
      </c>
      <c r="AF294" s="4">
        <v>1230.21</v>
      </c>
      <c r="AG294" s="4">
        <v>2080.53</v>
      </c>
      <c r="AH294" s="6" t="str">
        <f>Datos_originales!$H40/Datos_originales!$E40</f>
        <v>#DIV/0!</v>
      </c>
      <c r="AI294" s="6" t="str">
        <f>Datos_originales!$I40/Datos_originales!$E40</f>
        <v>#DIV/0!</v>
      </c>
      <c r="AJ294" s="6" t="str">
        <f>Datos_originales!$J40/Datos_originales!$E40</f>
        <v>#DIV/0!</v>
      </c>
      <c r="AK294" s="6" t="str">
        <f>Datos_originales!$K40/Datos_originales!$E40</f>
        <v>#DIV/0!</v>
      </c>
      <c r="AL294" s="6" t="str">
        <f>Datos_originales!$L40/Datos_originales!$E40</f>
        <v>#DIV/0!</v>
      </c>
      <c r="AM294" s="6" t="str">
        <f>Datos_originales!$M40/Datos_originales!$E40</f>
        <v>#DIV/0!</v>
      </c>
      <c r="AN294" s="6" t="str">
        <f>Datos_originales!$N40/Datos_originales!$E40</f>
        <v>#DIV/0!</v>
      </c>
      <c r="AO294" s="6" t="str">
        <f>Datos_originales!$O40/Datos_originales!$E40</f>
        <v>#DIV/0!</v>
      </c>
      <c r="AP294" s="6" t="str">
        <f>Datos_originales!$P40/Datos_originales!$E40</f>
        <v>#DIV/0!</v>
      </c>
      <c r="AQ294" s="6" t="str">
        <f>Datos_originales!$Q40/Datos_originales!$E40</f>
        <v>#DIV/0!</v>
      </c>
      <c r="AR294" s="6" t="str">
        <f>Datos_originales!$R40/Datos_originales!$E40</f>
        <v>#DIV/0!</v>
      </c>
      <c r="AS294" s="6" t="str">
        <f>Datos_originales!$S40/Datos_originales!$E40</f>
        <v>#DIV/0!</v>
      </c>
      <c r="AT294" s="6" t="str">
        <f>Datos_originales!$T40/Datos_originales!$E40</f>
        <v>#DIV/0!</v>
      </c>
      <c r="AU294" s="6" t="str">
        <f>Datos_originales!$U40/Datos_originales!$E40</f>
        <v>#DIV/0!</v>
      </c>
      <c r="AV294" s="6" t="str">
        <f>Datos_originales!$V40/Datos_originales!$E40</f>
        <v>#DIV/0!</v>
      </c>
      <c r="AW294" s="6" t="str">
        <f>Datos_originales!$W40/Datos_originales!$E40</f>
        <v>#DIV/0!</v>
      </c>
      <c r="AX294" s="6" t="str">
        <f>Datos_originales!$X40/Datos_originales!$E40</f>
        <v>#DIV/0!</v>
      </c>
      <c r="AY294" s="6" t="str">
        <f>Datos_originales!$Y40/Datos_originales!$E40</f>
        <v>#DIV/0!</v>
      </c>
      <c r="AZ294" s="6" t="str">
        <f>Datos_originales!$Z40/Datos_originales!$E40</f>
        <v>#DIV/0!</v>
      </c>
      <c r="BA294" s="6" t="str">
        <f>Datos_originales!$AA40/Datos_originales!$E40</f>
        <v>#DIV/0!</v>
      </c>
      <c r="BB294" s="6" t="str">
        <f>Datos_originales!$AB40/Datos_originales!$E40</f>
        <v>#DIV/0!</v>
      </c>
      <c r="BC294" s="6" t="str">
        <f>Datos_originales!$AC40/Datos_originales!$E40</f>
        <v>#DIV/0!</v>
      </c>
      <c r="BD294" s="6" t="str">
        <f>Datos_originales!$AD40/Datos_originales!$E40</f>
        <v>#DIV/0!</v>
      </c>
      <c r="BE294" s="6" t="str">
        <f>Datos_originales!$AE40/Datos_originales!$E40</f>
        <v>#DIV/0!</v>
      </c>
      <c r="BF294" s="6" t="str">
        <f>Datos_originales!$AF40/Datos_originales!$E40</f>
        <v>#DIV/0!</v>
      </c>
      <c r="BG294" s="6" t="str">
        <f>Datos_originales!$AG40/Datos_originales!$E40</f>
        <v>#DIV/0!</v>
      </c>
    </row>
    <row r="295" ht="15.75" customHeight="1">
      <c r="A295" s="2">
        <v>71101.0</v>
      </c>
      <c r="B295" s="3" t="s">
        <v>311</v>
      </c>
      <c r="C295" s="4" t="s">
        <v>352</v>
      </c>
      <c r="D295" s="4">
        <f>IF(Datos_originales!$E295&lt;1000,"Bosque menor a 1000 ha",Datos_originales!$E295)</f>
        <v>2713543.38</v>
      </c>
      <c r="E295" s="4">
        <v>2713543.38</v>
      </c>
      <c r="F295" s="5">
        <f>AVERAGE(Datos_originales!$H120:$J120)</f>
        <v>19.92</v>
      </c>
      <c r="G295" s="5">
        <f>AVERAGE(Datos_originales!$R120:$T120)</f>
        <v>79.86</v>
      </c>
      <c r="H295" s="4">
        <v>4595.49</v>
      </c>
      <c r="I295" s="4">
        <v>5604.21</v>
      </c>
      <c r="J295" s="4">
        <v>6115.23</v>
      </c>
      <c r="K295" s="4">
        <v>8079.66</v>
      </c>
      <c r="L295" s="4">
        <v>10206.09</v>
      </c>
      <c r="M295" s="4">
        <v>18001.08</v>
      </c>
      <c r="N295" s="4">
        <v>18982.8</v>
      </c>
      <c r="O295" s="4">
        <v>12270.42</v>
      </c>
      <c r="P295" s="4">
        <v>18318.6</v>
      </c>
      <c r="Q295" s="4">
        <v>26443.89</v>
      </c>
      <c r="R295" s="4">
        <v>20605.41</v>
      </c>
      <c r="S295" s="4">
        <v>30469.41</v>
      </c>
      <c r="T295" s="4">
        <v>24095.16</v>
      </c>
      <c r="U295" s="4">
        <v>8116.11</v>
      </c>
      <c r="V295" s="4">
        <v>8115.389999999999</v>
      </c>
      <c r="W295" s="4">
        <v>8620.2</v>
      </c>
      <c r="X295" s="4">
        <v>9669.78</v>
      </c>
      <c r="Y295" s="4">
        <v>11693.88</v>
      </c>
      <c r="Z295" s="4">
        <v>19015.74</v>
      </c>
      <c r="AA295" s="4">
        <v>19906.74</v>
      </c>
      <c r="AB295" s="4">
        <v>12886.29</v>
      </c>
      <c r="AC295" s="4">
        <v>18592.11</v>
      </c>
      <c r="AD295" s="4">
        <v>29871.54</v>
      </c>
      <c r="AE295" s="4">
        <v>21125.34</v>
      </c>
      <c r="AF295" s="4">
        <v>31114.89</v>
      </c>
      <c r="AG295" s="4">
        <v>24791.67</v>
      </c>
      <c r="AH295" s="6">
        <f>Datos_originales!$H120/Datos_originales!$E120</f>
        <v>0.0002253958283</v>
      </c>
      <c r="AI295" s="6">
        <f>Datos_originales!$I120/Datos_originales!$E120</f>
        <v>0.0001588855839</v>
      </c>
      <c r="AJ295" s="6">
        <f>Datos_originales!$J120/Datos_originales!$E120</f>
        <v>0.00043354826</v>
      </c>
      <c r="AK295" s="6">
        <f>Datos_originales!$K120/Datos_originales!$E120</f>
        <v>0.0001453372008</v>
      </c>
      <c r="AL295" s="6">
        <f>Datos_originales!$L120/Datos_originales!$E120</f>
        <v>0.0001441055296</v>
      </c>
      <c r="AM295" s="6">
        <f>Datos_originales!$M120/Datos_originales!$E120</f>
        <v>0.00007390027158</v>
      </c>
      <c r="AN295" s="6">
        <f>Datos_originales!$N120/Datos_originales!$E120</f>
        <v>0.0001748973094</v>
      </c>
      <c r="AO295" s="6">
        <f>Datos_originales!$O120/Datos_originales!$E120</f>
        <v>0.0001243987905</v>
      </c>
      <c r="AP295" s="6">
        <f>Datos_originales!$P120/Datos_originales!$E120</f>
        <v>0.0002081524316</v>
      </c>
      <c r="AQ295" s="6">
        <f>Datos_originales!$Q120/Datos_originales!$E120</f>
        <v>0.00003079177983</v>
      </c>
      <c r="AR295" s="6">
        <f>Datos_originales!$R120/Datos_originales!$E120</f>
        <v>0.0002389442115</v>
      </c>
      <c r="AS295" s="6">
        <f>Datos_originales!$S120/Datos_originales!$E120</f>
        <v>0.001485395459</v>
      </c>
      <c r="AT295" s="6">
        <f>Datos_originales!$T120/Datos_originales!$E120</f>
        <v>0.001554369046</v>
      </c>
      <c r="AU295" s="6">
        <f>Datos_originales!$U120/Datos_originales!$E120</f>
        <v>0.001453372008</v>
      </c>
      <c r="AV295" s="6">
        <f>Datos_originales!$V120/Datos_originales!$E120</f>
        <v>0.002207154778</v>
      </c>
      <c r="AW295" s="6">
        <f>Datos_originales!$W120/Datos_originales!$E120</f>
        <v>0.0142504357</v>
      </c>
      <c r="AX295" s="6">
        <f>Datos_originales!$X120/Datos_originales!$E120</f>
        <v>0.0013425216</v>
      </c>
      <c r="AY295" s="6">
        <f>Datos_originales!$Y120/Datos_originales!$E120</f>
        <v>0.001113430759</v>
      </c>
      <c r="AZ295" s="6">
        <f>Datos_originales!$Z120/Datos_originales!$E120</f>
        <v>0.001118357443</v>
      </c>
      <c r="BA295" s="6">
        <f>Datos_originales!$AA120/Datos_originales!$E120</f>
        <v>0.0009151316964</v>
      </c>
      <c r="BB295" s="6">
        <f>Datos_originales!$AB120/Datos_originales!$E120</f>
        <v>0.00299419267</v>
      </c>
      <c r="BC295" s="6">
        <f>Datos_originales!$AC120/Datos_originales!$E120</f>
        <v>0.003342755618</v>
      </c>
      <c r="BD295" s="6">
        <f>Datos_originales!$AD120/Datos_originales!$E120</f>
        <v>0.00004187682056</v>
      </c>
      <c r="BE295" s="6">
        <f>Datos_originales!$AE120/Datos_originales!$E120</f>
        <v>0.000599823871</v>
      </c>
      <c r="BF295" s="6">
        <f>Datos_originales!$AF120/Datos_originales!$E120</f>
        <v>0.003862520861</v>
      </c>
      <c r="BG295" s="6">
        <f>Datos_originales!$AG120/Datos_originales!$E120</f>
        <v>0.001953430512</v>
      </c>
    </row>
    <row r="296" ht="15.75" customHeight="1">
      <c r="A296" s="2">
        <v>71102.0</v>
      </c>
      <c r="B296" s="3" t="s">
        <v>311</v>
      </c>
      <c r="C296" s="4" t="s">
        <v>353</v>
      </c>
      <c r="D296" s="4">
        <f>IF(Datos_originales!$E296&lt;1000,"Bosque menor a 1000 ha",Datos_originales!$E296)</f>
        <v>144437.94</v>
      </c>
      <c r="E296" s="4">
        <v>144437.94</v>
      </c>
      <c r="F296" s="5">
        <f>AVERAGE(Datos_originales!$H82:$J82)</f>
        <v>84.96</v>
      </c>
      <c r="G296" s="5">
        <f>AVERAGE(Datos_originales!$R82:$T82)</f>
        <v>452.97</v>
      </c>
      <c r="H296" s="4">
        <v>2101.05</v>
      </c>
      <c r="I296" s="4">
        <v>1889.28</v>
      </c>
      <c r="J296" s="4">
        <v>1942.02</v>
      </c>
      <c r="K296" s="4">
        <v>1449.63</v>
      </c>
      <c r="L296" s="4">
        <v>1386.63</v>
      </c>
      <c r="M296" s="4">
        <v>2332.17</v>
      </c>
      <c r="N296" s="4">
        <v>1993.14</v>
      </c>
      <c r="O296" s="4">
        <v>3323.07</v>
      </c>
      <c r="P296" s="4">
        <v>2176.11</v>
      </c>
      <c r="Q296" s="4">
        <v>3396.78</v>
      </c>
      <c r="R296" s="4">
        <v>2731.95</v>
      </c>
      <c r="S296" s="4">
        <v>5335.29</v>
      </c>
      <c r="T296" s="4">
        <v>2745.09</v>
      </c>
      <c r="U296" s="4">
        <v>2414.61</v>
      </c>
      <c r="V296" s="4">
        <v>2028.15</v>
      </c>
      <c r="W296" s="4">
        <v>2257.83</v>
      </c>
      <c r="X296" s="4">
        <v>1844.91</v>
      </c>
      <c r="Y296" s="4">
        <v>1671.84</v>
      </c>
      <c r="Z296" s="4">
        <v>2630.52</v>
      </c>
      <c r="AA296" s="4">
        <v>2045.79</v>
      </c>
      <c r="AB296" s="4">
        <v>3344.22</v>
      </c>
      <c r="AC296" s="4">
        <v>2240.37</v>
      </c>
      <c r="AD296" s="4">
        <v>5103.9</v>
      </c>
      <c r="AE296" s="4">
        <v>2735.1</v>
      </c>
      <c r="AF296" s="4">
        <v>5414.4</v>
      </c>
      <c r="AG296" s="4">
        <v>2750.04</v>
      </c>
      <c r="AH296" s="6">
        <f>Datos_originales!$H82/Datos_originales!$E82</f>
        <v>0.001013815876</v>
      </c>
      <c r="AI296" s="6">
        <f>Datos_originales!$I82/Datos_originales!$E82</f>
        <v>0.001740160332</v>
      </c>
      <c r="AJ296" s="6">
        <f>Datos_originales!$J82/Datos_originales!$E82</f>
        <v>0.002673484211</v>
      </c>
      <c r="AK296" s="6">
        <f>Datos_originales!$K82/Datos_originales!$E82</f>
        <v>0.001462271293</v>
      </c>
      <c r="AL296" s="6">
        <f>Datos_originales!$L82/Datos_originales!$E82</f>
        <v>0.00143352415</v>
      </c>
      <c r="AM296" s="6">
        <f>Datos_originales!$M82/Datos_originales!$E82</f>
        <v>0.0009965675912</v>
      </c>
      <c r="AN296" s="6">
        <f>Datos_originales!$N82/Datos_originales!$E82</f>
        <v>0.001080892541</v>
      </c>
      <c r="AO296" s="6">
        <f>Datos_originales!$O82/Datos_originales!$E82</f>
        <v>0.00128020606</v>
      </c>
      <c r="AP296" s="6">
        <f>Datos_originales!$P82/Datos_originales!$E82</f>
        <v>0.001266790727</v>
      </c>
      <c r="AQ296" s="6">
        <f>Datos_originales!$Q82/Datos_originales!$E82</f>
        <v>0.002198198129</v>
      </c>
      <c r="AR296" s="6">
        <f>Datos_originales!$R82/Datos_originales!$E82</f>
        <v>0.003183266864</v>
      </c>
      <c r="AS296" s="6">
        <f>Datos_originales!$S82/Datos_originales!$E82</f>
        <v>0.008072197489</v>
      </c>
      <c r="AT296" s="6">
        <f>Datos_originales!$T82/Datos_originales!$E82</f>
        <v>0.01768140884</v>
      </c>
      <c r="AU296" s="6">
        <f>Datos_originales!$U82/Datos_originales!$E82</f>
        <v>0.002282523079</v>
      </c>
      <c r="AV296" s="6">
        <f>Datos_originales!$V82/Datos_originales!$E82</f>
        <v>0.003121939627</v>
      </c>
      <c r="AW296" s="6">
        <f>Datos_originales!$W82/Datos_originales!$E82</f>
        <v>0.005665103461</v>
      </c>
      <c r="AX296" s="6">
        <f>Datos_originales!$X82/Datos_originales!$E82</f>
        <v>0.001924142042</v>
      </c>
      <c r="AY296" s="6">
        <f>Datos_originales!$Y82/Datos_originales!$E82</f>
        <v>0.001759325094</v>
      </c>
      <c r="AZ296" s="6">
        <f>Datos_originales!$Z82/Datos_originales!$E82</f>
        <v>0.001174799872</v>
      </c>
      <c r="BA296" s="6">
        <f>Datos_originales!$AA82/Datos_originales!$E82</f>
        <v>0.001220795299</v>
      </c>
      <c r="BB296" s="6">
        <f>Datos_originales!$AB82/Datos_originales!$E82</f>
        <v>0.001730577952</v>
      </c>
      <c r="BC296" s="6">
        <f>Datos_originales!$AC82/Datos_originales!$E82</f>
        <v>0.001584925765</v>
      </c>
      <c r="BD296" s="6">
        <f>Datos_originales!$AD82/Datos_originales!$E82</f>
        <v>0.002403261076</v>
      </c>
      <c r="BE296" s="6">
        <f>Datos_originales!$AE82/Datos_originales!$E82</f>
        <v>0.003365332097</v>
      </c>
      <c r="BF296" s="6">
        <f>Datos_originales!$AF82/Datos_originales!$E82</f>
        <v>0.008691219281</v>
      </c>
      <c r="BG296" s="6">
        <f>Datos_originales!$AG82/Datos_originales!$E82</f>
        <v>0.02831401845</v>
      </c>
    </row>
    <row r="297" ht="15.75" customHeight="1">
      <c r="A297" s="2">
        <v>71103.0</v>
      </c>
      <c r="B297" s="3" t="s">
        <v>311</v>
      </c>
      <c r="C297" s="4" t="s">
        <v>354</v>
      </c>
      <c r="D297" s="4">
        <f>IF(Datos_originales!$E297&lt;1000,"Bosque menor a 1000 ha",Datos_originales!$E297)</f>
        <v>33668.82</v>
      </c>
      <c r="E297" s="4">
        <v>33668.82</v>
      </c>
      <c r="F297" s="5">
        <f>AVERAGE(Datos_originales!$H77:$J77)</f>
        <v>0</v>
      </c>
      <c r="G297" s="5">
        <f>AVERAGE(Datos_originales!$R77:$T77)</f>
        <v>0.09</v>
      </c>
      <c r="H297" s="4">
        <v>383.4</v>
      </c>
      <c r="I297" s="4">
        <v>503.1</v>
      </c>
      <c r="J297" s="4">
        <v>609.39</v>
      </c>
      <c r="K297" s="4">
        <v>425.88</v>
      </c>
      <c r="L297" s="4">
        <v>330.48</v>
      </c>
      <c r="M297" s="4">
        <v>300.33</v>
      </c>
      <c r="N297" s="4">
        <v>554.49</v>
      </c>
      <c r="O297" s="4">
        <v>708.6600000000001</v>
      </c>
      <c r="P297" s="4">
        <v>734.4</v>
      </c>
      <c r="Q297" s="4">
        <v>1545.75</v>
      </c>
      <c r="R297" s="4">
        <v>711.63</v>
      </c>
      <c r="S297" s="4">
        <v>1380.69</v>
      </c>
      <c r="T297" s="4">
        <v>686.52</v>
      </c>
      <c r="U297" s="4">
        <v>444.42</v>
      </c>
      <c r="V297" s="4">
        <v>538.02</v>
      </c>
      <c r="W297" s="4">
        <v>722.52</v>
      </c>
      <c r="X297" s="4">
        <v>504.36</v>
      </c>
      <c r="Y297" s="4">
        <v>410.13</v>
      </c>
      <c r="Z297" s="4">
        <v>335.16</v>
      </c>
      <c r="AA297" s="4">
        <v>570.51</v>
      </c>
      <c r="AB297" s="4">
        <v>726.84</v>
      </c>
      <c r="AC297" s="4">
        <v>759.06</v>
      </c>
      <c r="AD297" s="4">
        <v>1866.42</v>
      </c>
      <c r="AE297" s="4">
        <v>715.59</v>
      </c>
      <c r="AF297" s="4">
        <v>1435.05</v>
      </c>
      <c r="AG297" s="4">
        <v>687.24</v>
      </c>
      <c r="AH297" s="6">
        <f>Datos_originales!$H77/Datos_originales!$E77</f>
        <v>0</v>
      </c>
      <c r="AI297" s="6">
        <f>Datos_originales!$I77/Datos_originales!$E77</f>
        <v>0</v>
      </c>
      <c r="AJ297" s="6">
        <f>Datos_originales!$J77/Datos_originales!$E77</f>
        <v>0</v>
      </c>
      <c r="AK297" s="6">
        <f>Datos_originales!$K77/Datos_originales!$E77</f>
        <v>0</v>
      </c>
      <c r="AL297" s="6">
        <f>Datos_originales!$L77/Datos_originales!$E77</f>
        <v>0</v>
      </c>
      <c r="AM297" s="6">
        <f>Datos_originales!$M77/Datos_originales!$E77</f>
        <v>0</v>
      </c>
      <c r="AN297" s="6">
        <f>Datos_originales!$N77/Datos_originales!$E77</f>
        <v>0</v>
      </c>
      <c r="AO297" s="6">
        <f>Datos_originales!$O77/Datos_originales!$E77</f>
        <v>0</v>
      </c>
      <c r="AP297" s="6">
        <f>Datos_originales!$P77/Datos_originales!$E77</f>
        <v>0</v>
      </c>
      <c r="AQ297" s="6">
        <f>Datos_originales!$Q77/Datos_originales!$E77</f>
        <v>0</v>
      </c>
      <c r="AR297" s="6">
        <f>Datos_originales!$R77/Datos_originales!$E77</f>
        <v>0</v>
      </c>
      <c r="AS297" s="6">
        <f>Datos_originales!$S77/Datos_originales!$E77</f>
        <v>0.03296703297</v>
      </c>
      <c r="AT297" s="6">
        <f>Datos_originales!$T77/Datos_originales!$E77</f>
        <v>0</v>
      </c>
      <c r="AU297" s="6">
        <f>Datos_originales!$U77/Datos_originales!$E77</f>
        <v>0</v>
      </c>
      <c r="AV297" s="6">
        <f>Datos_originales!$V77/Datos_originales!$E77</f>
        <v>0</v>
      </c>
      <c r="AW297" s="6">
        <f>Datos_originales!$W77/Datos_originales!$E77</f>
        <v>0.01098901099</v>
      </c>
      <c r="AX297" s="6">
        <f>Datos_originales!$X77/Datos_originales!$E77</f>
        <v>0</v>
      </c>
      <c r="AY297" s="6">
        <f>Datos_originales!$Y77/Datos_originales!$E77</f>
        <v>0</v>
      </c>
      <c r="AZ297" s="6">
        <f>Datos_originales!$Z77/Datos_originales!$E77</f>
        <v>0.02197802198</v>
      </c>
      <c r="BA297" s="6">
        <f>Datos_originales!$AA77/Datos_originales!$E77</f>
        <v>0.02197802198</v>
      </c>
      <c r="BB297" s="6">
        <f>Datos_originales!$AB77/Datos_originales!$E77</f>
        <v>0.03296703297</v>
      </c>
      <c r="BC297" s="6">
        <f>Datos_originales!$AC77/Datos_originales!$E77</f>
        <v>0.1428571429</v>
      </c>
      <c r="BD297" s="6">
        <f>Datos_originales!$AD77/Datos_originales!$E77</f>
        <v>0</v>
      </c>
      <c r="BE297" s="6">
        <f>Datos_originales!$AE77/Datos_originales!$E77</f>
        <v>0</v>
      </c>
      <c r="BF297" s="6">
        <f>Datos_originales!$AF77/Datos_originales!$E77</f>
        <v>0.03296703297</v>
      </c>
      <c r="BG297" s="6">
        <f>Datos_originales!$AG77/Datos_originales!$E77</f>
        <v>0</v>
      </c>
    </row>
    <row r="298" ht="15.75" customHeight="1">
      <c r="A298" s="2">
        <v>71104.0</v>
      </c>
      <c r="B298" s="3" t="s">
        <v>311</v>
      </c>
      <c r="C298" s="4" t="s">
        <v>355</v>
      </c>
      <c r="D298" s="4">
        <f>IF(Datos_originales!$E298&lt;1000,"Bosque menor a 1000 ha",Datos_originales!$E298)</f>
        <v>119226.78</v>
      </c>
      <c r="E298" s="4">
        <v>119226.78</v>
      </c>
      <c r="F298" s="5">
        <f>AVERAGE(Datos_originales!$H56:$J56)</f>
        <v>37.29</v>
      </c>
      <c r="G298" s="5">
        <f>AVERAGE(Datos_originales!$R56:$T56)</f>
        <v>86.4</v>
      </c>
      <c r="H298" s="4">
        <v>21138.12</v>
      </c>
      <c r="I298" s="4">
        <v>8841.33</v>
      </c>
      <c r="J298" s="4">
        <v>8170.2</v>
      </c>
      <c r="K298" s="4">
        <v>3632.22</v>
      </c>
      <c r="L298" s="4">
        <v>4919.400000000001</v>
      </c>
      <c r="M298" s="4">
        <v>2968.2</v>
      </c>
      <c r="N298" s="4">
        <v>2700.0</v>
      </c>
      <c r="O298" s="4">
        <v>4270.23</v>
      </c>
      <c r="P298" s="4">
        <v>2542.32</v>
      </c>
      <c r="Q298" s="4">
        <v>4615.740000000001</v>
      </c>
      <c r="R298" s="4">
        <v>3076.65</v>
      </c>
      <c r="S298" s="4">
        <v>6271.02</v>
      </c>
      <c r="T298" s="4">
        <v>3128.94</v>
      </c>
      <c r="U298" s="4">
        <v>21680.82</v>
      </c>
      <c r="V298" s="4">
        <v>9136.53</v>
      </c>
      <c r="W298" s="4">
        <v>8329.95</v>
      </c>
      <c r="X298" s="4">
        <v>3785.13</v>
      </c>
      <c r="Y298" s="4">
        <v>5069.43</v>
      </c>
      <c r="Z298" s="4">
        <v>3045.6</v>
      </c>
      <c r="AA298" s="4">
        <v>2811.87</v>
      </c>
      <c r="AB298" s="4">
        <v>4530.78</v>
      </c>
      <c r="AC298" s="4">
        <v>2660.4</v>
      </c>
      <c r="AD298" s="4">
        <v>4703.85</v>
      </c>
      <c r="AE298" s="4">
        <v>3190.23</v>
      </c>
      <c r="AF298" s="4">
        <v>6556.68</v>
      </c>
      <c r="AG298" s="4">
        <v>3736.44</v>
      </c>
      <c r="AH298" s="6">
        <f>Datos_originales!$H56/Datos_originales!$E56</f>
        <v>0.001078759922</v>
      </c>
      <c r="AI298" s="6">
        <f>Datos_originales!$I56/Datos_originales!$E56</f>
        <v>0.001003011647</v>
      </c>
      <c r="AJ298" s="6">
        <f>Datos_originales!$J56/Datos_originales!$E56</f>
        <v>0.001164956236</v>
      </c>
      <c r="AK298" s="6">
        <f>Datos_originales!$K56/Datos_originales!$E56</f>
        <v>0.001099655998</v>
      </c>
      <c r="AL298" s="6">
        <f>Datos_originales!$L56/Datos_originales!$E56</f>
        <v>0.000966443514</v>
      </c>
      <c r="AM298" s="6">
        <f>Datos_originales!$M56/Datos_originales!$E56</f>
        <v>0.001590713784</v>
      </c>
      <c r="AN298" s="6">
        <f>Datos_originales!$N56/Datos_originales!$E56</f>
        <v>0.002115727693</v>
      </c>
      <c r="AO298" s="6">
        <f>Datos_originales!$O56/Datos_originales!$E56</f>
        <v>0.001995575256</v>
      </c>
      <c r="AP298" s="6">
        <f>Datos_originales!$P56/Datos_originales!$E56</f>
        <v>0.002928062646</v>
      </c>
      <c r="AQ298" s="6">
        <f>Datos_originales!$Q56/Datos_originales!$E56</f>
        <v>0.0006085982129</v>
      </c>
      <c r="AR298" s="6">
        <f>Datos_originales!$R56/Datos_originales!$E56</f>
        <v>0.0006738984503</v>
      </c>
      <c r="AS298" s="6">
        <f>Datos_originales!$S56/Datos_originales!$E56</f>
        <v>0.004205335291</v>
      </c>
      <c r="AT298" s="6">
        <f>Datos_originales!$T56/Datos_originales!$E56</f>
        <v>0.002643353611</v>
      </c>
      <c r="AU298" s="6">
        <f>Datos_originales!$U56/Datos_originales!$E56</f>
        <v>0.003110903311</v>
      </c>
      <c r="AV298" s="6">
        <f>Datos_originales!$V56/Datos_originales!$E56</f>
        <v>0.002175803911</v>
      </c>
      <c r="AW298" s="6">
        <f>Datos_originales!$W56/Datos_originales!$E56</f>
        <v>0.003839653961</v>
      </c>
      <c r="AX298" s="6">
        <f>Datos_originales!$X56/Datos_originales!$E56</f>
        <v>0.002196699987</v>
      </c>
      <c r="AY298" s="6">
        <f>Datos_originales!$Y56/Datos_originales!$E56</f>
        <v>0.001433993214</v>
      </c>
      <c r="AZ298" s="6">
        <f>Datos_originales!$Z56/Datos_originales!$E56</f>
        <v>0.001810122582</v>
      </c>
      <c r="BA298" s="6">
        <f>Datos_originales!$AA56/Datos_originales!$E56</f>
        <v>0.002421332804</v>
      </c>
      <c r="BB298" s="6">
        <f>Datos_originales!$AB56/Datos_originales!$E56</f>
        <v>0.002575441364</v>
      </c>
      <c r="BC298" s="6">
        <f>Datos_originales!$AC56/Datos_originales!$E56</f>
        <v>0.003573228992</v>
      </c>
      <c r="BD298" s="6">
        <f>Datos_originales!$AD56/Datos_originales!$E56</f>
        <v>0.0007104665833</v>
      </c>
      <c r="BE298" s="6">
        <f>Datos_originales!$AE56/Datos_originales!$E56</f>
        <v>0.0007052425643</v>
      </c>
      <c r="BF298" s="6">
        <f>Datos_originales!$AF56/Datos_originales!$E56</f>
        <v>0.004662436953</v>
      </c>
      <c r="BG298" s="6">
        <f>Datos_originales!$AG56/Datos_originales!$E56</f>
        <v>0.01575041727</v>
      </c>
    </row>
    <row r="299" ht="15.75" customHeight="1">
      <c r="A299" s="2">
        <v>71105.0</v>
      </c>
      <c r="B299" s="3" t="s">
        <v>311</v>
      </c>
      <c r="C299" s="4" t="s">
        <v>356</v>
      </c>
      <c r="D299" s="4">
        <f>IF(Datos_originales!$E299&lt;1000,"Bosque menor a 1000 ha",Datos_originales!$E299)</f>
        <v>168209.19</v>
      </c>
      <c r="E299" s="4">
        <v>168209.19</v>
      </c>
      <c r="F299" s="5">
        <f>AVERAGE(Datos_originales!$H130:$J130)</f>
        <v>0.06</v>
      </c>
      <c r="G299" s="5">
        <f>AVERAGE(Datos_originales!$R130:$T130)</f>
        <v>8.43</v>
      </c>
      <c r="H299" s="4">
        <v>134.37</v>
      </c>
      <c r="I299" s="4">
        <v>104.4</v>
      </c>
      <c r="J299" s="4">
        <v>123.75</v>
      </c>
      <c r="K299" s="4">
        <v>105.75</v>
      </c>
      <c r="L299" s="4">
        <v>70.2</v>
      </c>
      <c r="M299" s="4">
        <v>129.69</v>
      </c>
      <c r="N299" s="4">
        <v>252.81</v>
      </c>
      <c r="O299" s="4">
        <v>269.64</v>
      </c>
      <c r="P299" s="4">
        <v>237.33</v>
      </c>
      <c r="Q299" s="4">
        <v>221.94</v>
      </c>
      <c r="R299" s="4">
        <v>720.0</v>
      </c>
      <c r="S299" s="4">
        <v>2046.15</v>
      </c>
      <c r="T299" s="4">
        <v>1151.64</v>
      </c>
      <c r="U299" s="4">
        <v>758.25</v>
      </c>
      <c r="V299" s="4">
        <v>1137.69</v>
      </c>
      <c r="W299" s="4">
        <v>2150.1</v>
      </c>
      <c r="X299" s="4">
        <v>1058.31</v>
      </c>
      <c r="Y299" s="4">
        <v>564.93</v>
      </c>
      <c r="Z299" s="4">
        <v>602.1</v>
      </c>
      <c r="AA299" s="4">
        <v>1090.89</v>
      </c>
      <c r="AB299" s="4">
        <v>838.08</v>
      </c>
      <c r="AC299" s="4">
        <v>768.78</v>
      </c>
      <c r="AD299" s="4">
        <v>6981.660000000001</v>
      </c>
      <c r="AE299" s="4">
        <v>721.62</v>
      </c>
      <c r="AF299" s="4">
        <v>2098.98</v>
      </c>
      <c r="AG299" s="4">
        <v>1157.31</v>
      </c>
      <c r="AH299" s="6">
        <f>Datos_originales!$H130/Datos_originales!$E130</f>
        <v>0</v>
      </c>
      <c r="AI299" s="6">
        <f>Datos_originales!$I130/Datos_originales!$E130</f>
        <v>0.0003400204012</v>
      </c>
      <c r="AJ299" s="6">
        <f>Datos_originales!$J130/Datos_originales!$E130</f>
        <v>0</v>
      </c>
      <c r="AK299" s="6">
        <f>Datos_originales!$K130/Datos_originales!$E130</f>
        <v>0</v>
      </c>
      <c r="AL299" s="6">
        <f>Datos_originales!$L130/Datos_originales!$E130</f>
        <v>0.0003400204012</v>
      </c>
      <c r="AM299" s="6">
        <f>Datos_originales!$M130/Datos_originales!$E130</f>
        <v>0.0001700102006</v>
      </c>
      <c r="AN299" s="6">
        <f>Datos_originales!$N130/Datos_originales!$E130</f>
        <v>0.002040122407</v>
      </c>
      <c r="AO299" s="6">
        <f>Datos_originales!$O130/Datos_originales!$E130</f>
        <v>0.001190071404</v>
      </c>
      <c r="AP299" s="6">
        <f>Datos_originales!$P130/Datos_originales!$E130</f>
        <v>0</v>
      </c>
      <c r="AQ299" s="6">
        <f>Datos_originales!$Q130/Datos_originales!$E130</f>
        <v>0.005780346821</v>
      </c>
      <c r="AR299" s="6">
        <f>Datos_originales!$R130/Datos_originales!$E130</f>
        <v>0.0285617137</v>
      </c>
      <c r="AS299" s="6">
        <f>Datos_originales!$S130/Datos_originales!$E130</f>
        <v>0.01802108126</v>
      </c>
      <c r="AT299" s="6">
        <f>Datos_originales!$T130/Datos_originales!$E130</f>
        <v>0.001190071404</v>
      </c>
      <c r="AU299" s="6">
        <f>Datos_originales!$U130/Datos_originales!$E130</f>
        <v>0.002210132608</v>
      </c>
      <c r="AV299" s="6">
        <f>Datos_originales!$V130/Datos_originales!$E130</f>
        <v>0.002210132608</v>
      </c>
      <c r="AW299" s="6">
        <f>Datos_originales!$W130/Datos_originales!$E130</f>
        <v>0.01394083645</v>
      </c>
      <c r="AX299" s="6">
        <f>Datos_originales!$X130/Datos_originales!$E130</f>
        <v>0.002210132608</v>
      </c>
      <c r="AY299" s="6">
        <f>Datos_originales!$Y130/Datos_originales!$E130</f>
        <v>0.0008500510031</v>
      </c>
      <c r="AZ299" s="6">
        <f>Datos_originales!$Z130/Datos_originales!$E130</f>
        <v>0.002210132608</v>
      </c>
      <c r="BA299" s="6">
        <f>Datos_originales!$AA130/Datos_originales!$E130</f>
        <v>0.02397143829</v>
      </c>
      <c r="BB299" s="6">
        <f>Datos_originales!$AB130/Datos_originales!$E130</f>
        <v>0.03077184631</v>
      </c>
      <c r="BC299" s="6">
        <f>Datos_originales!$AC130/Datos_originales!$E130</f>
        <v>0.006290377423</v>
      </c>
      <c r="BD299" s="6">
        <f>Datos_originales!$AD130/Datos_originales!$E130</f>
        <v>0.006630397824</v>
      </c>
      <c r="BE299" s="6">
        <f>Datos_originales!$AE130/Datos_originales!$E130</f>
        <v>0.03145188711</v>
      </c>
      <c r="BF299" s="6">
        <f>Datos_originales!$AF130/Datos_originales!$E130</f>
        <v>0.09384563074</v>
      </c>
      <c r="BG299" s="6">
        <f>Datos_originales!$AG130/Datos_originales!$E130</f>
        <v>0.001530091806</v>
      </c>
    </row>
    <row r="300" ht="15.75" customHeight="1">
      <c r="A300" s="2">
        <v>71106.0</v>
      </c>
      <c r="B300" s="3" t="s">
        <v>311</v>
      </c>
      <c r="C300" s="4" t="s">
        <v>357</v>
      </c>
      <c r="D300" s="4">
        <f>IF(Datos_originales!$E300&lt;1000,"Bosque menor a 1000 ha",Datos_originales!$E300)</f>
        <v>123518.34</v>
      </c>
      <c r="E300" s="4">
        <v>123518.34</v>
      </c>
      <c r="F300" s="5">
        <f>AVERAGE(Datos_originales!$H72:$J72)</f>
        <v>0</v>
      </c>
      <c r="G300" s="5">
        <f>AVERAGE(Datos_originales!$R72:$T72)</f>
        <v>0</v>
      </c>
      <c r="H300" s="4">
        <v>6118.56</v>
      </c>
      <c r="I300" s="4">
        <v>5441.76</v>
      </c>
      <c r="J300" s="4">
        <v>6902.82</v>
      </c>
      <c r="K300" s="4">
        <v>9030.69</v>
      </c>
      <c r="L300" s="4">
        <v>7889.67</v>
      </c>
      <c r="M300" s="4">
        <v>11116.08</v>
      </c>
      <c r="N300" s="4">
        <v>7031.52</v>
      </c>
      <c r="O300" s="4">
        <v>6243.93</v>
      </c>
      <c r="P300" s="4">
        <v>3253.23</v>
      </c>
      <c r="Q300" s="4">
        <v>4026.6</v>
      </c>
      <c r="R300" s="4">
        <v>3835.71</v>
      </c>
      <c r="S300" s="4">
        <v>4067.82</v>
      </c>
      <c r="T300" s="4">
        <v>2772.36</v>
      </c>
      <c r="U300" s="4">
        <v>6287.49</v>
      </c>
      <c r="V300" s="4">
        <v>5668.29</v>
      </c>
      <c r="W300" s="4">
        <v>7055.55</v>
      </c>
      <c r="X300" s="4">
        <v>9090.36</v>
      </c>
      <c r="Y300" s="4">
        <v>7963.38</v>
      </c>
      <c r="Z300" s="4">
        <v>11136.96</v>
      </c>
      <c r="AA300" s="4">
        <v>7098.48</v>
      </c>
      <c r="AB300" s="4">
        <v>6284.52</v>
      </c>
      <c r="AC300" s="4">
        <v>3270.33</v>
      </c>
      <c r="AD300" s="4">
        <v>4147.11</v>
      </c>
      <c r="AE300" s="4">
        <v>3865.14</v>
      </c>
      <c r="AF300" s="4">
        <v>4085.46</v>
      </c>
      <c r="AG300" s="4">
        <v>2783.34</v>
      </c>
      <c r="AH300" s="6" t="str">
        <f>Datos_originales!$H72/Datos_originales!$E72</f>
        <v>#DIV/0!</v>
      </c>
      <c r="AI300" s="6" t="str">
        <f>Datos_originales!$I72/Datos_originales!$E72</f>
        <v>#DIV/0!</v>
      </c>
      <c r="AJ300" s="6" t="str">
        <f>Datos_originales!$J72/Datos_originales!$E72</f>
        <v>#DIV/0!</v>
      </c>
      <c r="AK300" s="6" t="str">
        <f>Datos_originales!$K72/Datos_originales!$E72</f>
        <v>#DIV/0!</v>
      </c>
      <c r="AL300" s="6" t="str">
        <f>Datos_originales!$L72/Datos_originales!$E72</f>
        <v>#DIV/0!</v>
      </c>
      <c r="AM300" s="6" t="str">
        <f>Datos_originales!$M72/Datos_originales!$E72</f>
        <v>#DIV/0!</v>
      </c>
      <c r="AN300" s="6" t="str">
        <f>Datos_originales!$N72/Datos_originales!$E72</f>
        <v>#DIV/0!</v>
      </c>
      <c r="AO300" s="6" t="str">
        <f>Datos_originales!$O72/Datos_originales!$E72</f>
        <v>#DIV/0!</v>
      </c>
      <c r="AP300" s="6" t="str">
        <f>Datos_originales!$P72/Datos_originales!$E72</f>
        <v>#DIV/0!</v>
      </c>
      <c r="AQ300" s="6" t="str">
        <f>Datos_originales!$Q72/Datos_originales!$E72</f>
        <v>#DIV/0!</v>
      </c>
      <c r="AR300" s="6" t="str">
        <f>Datos_originales!$R72/Datos_originales!$E72</f>
        <v>#DIV/0!</v>
      </c>
      <c r="AS300" s="6" t="str">
        <f>Datos_originales!$S72/Datos_originales!$E72</f>
        <v>#DIV/0!</v>
      </c>
      <c r="AT300" s="6" t="str">
        <f>Datos_originales!$T72/Datos_originales!$E72</f>
        <v>#DIV/0!</v>
      </c>
      <c r="AU300" s="6" t="str">
        <f>Datos_originales!$U72/Datos_originales!$E72</f>
        <v>#DIV/0!</v>
      </c>
      <c r="AV300" s="6" t="str">
        <f>Datos_originales!$V72/Datos_originales!$E72</f>
        <v>#DIV/0!</v>
      </c>
      <c r="AW300" s="6" t="str">
        <f>Datos_originales!$W72/Datos_originales!$E72</f>
        <v>#DIV/0!</v>
      </c>
      <c r="AX300" s="6" t="str">
        <f>Datos_originales!$X72/Datos_originales!$E72</f>
        <v>#DIV/0!</v>
      </c>
      <c r="AY300" s="6" t="str">
        <f>Datos_originales!$Y72/Datos_originales!$E72</f>
        <v>#DIV/0!</v>
      </c>
      <c r="AZ300" s="6" t="str">
        <f>Datos_originales!$Z72/Datos_originales!$E72</f>
        <v>#DIV/0!</v>
      </c>
      <c r="BA300" s="6" t="str">
        <f>Datos_originales!$AA72/Datos_originales!$E72</f>
        <v>#DIV/0!</v>
      </c>
      <c r="BB300" s="6" t="str">
        <f>Datos_originales!$AB72/Datos_originales!$E72</f>
        <v>#DIV/0!</v>
      </c>
      <c r="BC300" s="6" t="str">
        <f>Datos_originales!$AC72/Datos_originales!$E72</f>
        <v>#DIV/0!</v>
      </c>
      <c r="BD300" s="6" t="str">
        <f>Datos_originales!$AD72/Datos_originales!$E72</f>
        <v>#DIV/0!</v>
      </c>
      <c r="BE300" s="6" t="str">
        <f>Datos_originales!$AE72/Datos_originales!$E72</f>
        <v>#DIV/0!</v>
      </c>
      <c r="BF300" s="6" t="str">
        <f>Datos_originales!$AF72/Datos_originales!$E72</f>
        <v>#DIV/0!</v>
      </c>
      <c r="BG300" s="6" t="str">
        <f>Datos_originales!$AG72/Datos_originales!$E72</f>
        <v>#DIV/0!</v>
      </c>
    </row>
    <row r="301" ht="15.75" customHeight="1">
      <c r="A301" s="2">
        <v>71201.0</v>
      </c>
      <c r="B301" s="3" t="s">
        <v>311</v>
      </c>
      <c r="C301" s="4" t="s">
        <v>358</v>
      </c>
      <c r="D301" s="4">
        <f>IF(Datos_originales!$E301&lt;1000,"Bosque menor a 1000 ha",Datos_originales!$E301)</f>
        <v>1780795.71</v>
      </c>
      <c r="E301" s="4">
        <v>1780795.71</v>
      </c>
      <c r="F301" s="5">
        <f>AVERAGE(Datos_originales!$H168:$J168)</f>
        <v>0</v>
      </c>
      <c r="G301" s="5">
        <f>AVERAGE(Datos_originales!$R168:$T168)</f>
        <v>0</v>
      </c>
      <c r="H301" s="4">
        <v>1032.12</v>
      </c>
      <c r="I301" s="4">
        <v>881.73</v>
      </c>
      <c r="J301" s="4">
        <v>604.53</v>
      </c>
      <c r="K301" s="4">
        <v>1923.84</v>
      </c>
      <c r="L301" s="4">
        <v>1314.45</v>
      </c>
      <c r="M301" s="4">
        <v>1469.97</v>
      </c>
      <c r="N301" s="4">
        <v>2311.56</v>
      </c>
      <c r="O301" s="4">
        <v>3261.6</v>
      </c>
      <c r="P301" s="4">
        <v>2534.76</v>
      </c>
      <c r="Q301" s="4">
        <v>3507.48</v>
      </c>
      <c r="R301" s="4">
        <v>3920.13</v>
      </c>
      <c r="S301" s="4">
        <v>5433.03</v>
      </c>
      <c r="T301" s="4">
        <v>5768.82</v>
      </c>
      <c r="U301" s="4">
        <v>1861.11</v>
      </c>
      <c r="V301" s="4">
        <v>1580.85</v>
      </c>
      <c r="W301" s="4">
        <v>3711.69</v>
      </c>
      <c r="X301" s="4">
        <v>2653.2</v>
      </c>
      <c r="Y301" s="4">
        <v>1751.67</v>
      </c>
      <c r="Z301" s="4">
        <v>1779.3</v>
      </c>
      <c r="AA301" s="4">
        <v>2711.7</v>
      </c>
      <c r="AB301" s="4">
        <v>3590.37</v>
      </c>
      <c r="AC301" s="4">
        <v>3489.75</v>
      </c>
      <c r="AD301" s="4">
        <v>4461.84</v>
      </c>
      <c r="AE301" s="4">
        <v>4317.57</v>
      </c>
      <c r="AF301" s="4">
        <v>6201.27</v>
      </c>
      <c r="AG301" s="4">
        <v>6397.74</v>
      </c>
      <c r="AH301" s="6" t="str">
        <f>Datos_originales!$H168/Datos_originales!$E168</f>
        <v>#DIV/0!</v>
      </c>
      <c r="AI301" s="6" t="str">
        <f>Datos_originales!$I168/Datos_originales!$E168</f>
        <v>#DIV/0!</v>
      </c>
      <c r="AJ301" s="6" t="str">
        <f>Datos_originales!$J168/Datos_originales!$E168</f>
        <v>#DIV/0!</v>
      </c>
      <c r="AK301" s="6" t="str">
        <f>Datos_originales!$K168/Datos_originales!$E168</f>
        <v>#DIV/0!</v>
      </c>
      <c r="AL301" s="6" t="str">
        <f>Datos_originales!$L168/Datos_originales!$E168</f>
        <v>#DIV/0!</v>
      </c>
      <c r="AM301" s="6" t="str">
        <f>Datos_originales!$M168/Datos_originales!$E168</f>
        <v>#DIV/0!</v>
      </c>
      <c r="AN301" s="6" t="str">
        <f>Datos_originales!$N168/Datos_originales!$E168</f>
        <v>#DIV/0!</v>
      </c>
      <c r="AO301" s="6" t="str">
        <f>Datos_originales!$O168/Datos_originales!$E168</f>
        <v>#DIV/0!</v>
      </c>
      <c r="AP301" s="6" t="str">
        <f>Datos_originales!$P168/Datos_originales!$E168</f>
        <v>#DIV/0!</v>
      </c>
      <c r="AQ301" s="6" t="str">
        <f>Datos_originales!$Q168/Datos_originales!$E168</f>
        <v>#DIV/0!</v>
      </c>
      <c r="AR301" s="6" t="str">
        <f>Datos_originales!$R168/Datos_originales!$E168</f>
        <v>#DIV/0!</v>
      </c>
      <c r="AS301" s="6" t="str">
        <f>Datos_originales!$S168/Datos_originales!$E168</f>
        <v>#DIV/0!</v>
      </c>
      <c r="AT301" s="6" t="str">
        <f>Datos_originales!$T168/Datos_originales!$E168</f>
        <v>#DIV/0!</v>
      </c>
      <c r="AU301" s="6" t="str">
        <f>Datos_originales!$U168/Datos_originales!$E168</f>
        <v>#DIV/0!</v>
      </c>
      <c r="AV301" s="6" t="str">
        <f>Datos_originales!$V168/Datos_originales!$E168</f>
        <v>#DIV/0!</v>
      </c>
      <c r="AW301" s="6" t="str">
        <f>Datos_originales!$W168/Datos_originales!$E168</f>
        <v>#DIV/0!</v>
      </c>
      <c r="AX301" s="6" t="str">
        <f>Datos_originales!$X168/Datos_originales!$E168</f>
        <v>#DIV/0!</v>
      </c>
      <c r="AY301" s="6" t="str">
        <f>Datos_originales!$Y168/Datos_originales!$E168</f>
        <v>#DIV/0!</v>
      </c>
      <c r="AZ301" s="6" t="str">
        <f>Datos_originales!$Z168/Datos_originales!$E168</f>
        <v>#DIV/0!</v>
      </c>
      <c r="BA301" s="6" t="str">
        <f>Datos_originales!$AA168/Datos_originales!$E168</f>
        <v>#DIV/0!</v>
      </c>
      <c r="BB301" s="6" t="str">
        <f>Datos_originales!$AB168/Datos_originales!$E168</f>
        <v>#DIV/0!</v>
      </c>
      <c r="BC301" s="6" t="str">
        <f>Datos_originales!$AC168/Datos_originales!$E168</f>
        <v>#DIV/0!</v>
      </c>
      <c r="BD301" s="6" t="str">
        <f>Datos_originales!$AD168/Datos_originales!$E168</f>
        <v>#DIV/0!</v>
      </c>
      <c r="BE301" s="6" t="str">
        <f>Datos_originales!$AE168/Datos_originales!$E168</f>
        <v>#DIV/0!</v>
      </c>
      <c r="BF301" s="6" t="str">
        <f>Datos_originales!$AF168/Datos_originales!$E168</f>
        <v>#DIV/0!</v>
      </c>
      <c r="BG301" s="6" t="str">
        <f>Datos_originales!$AG168/Datos_originales!$E168</f>
        <v>#DIV/0!</v>
      </c>
    </row>
    <row r="302" ht="15.75" customHeight="1">
      <c r="A302" s="2">
        <v>71301.0</v>
      </c>
      <c r="B302" s="3" t="s">
        <v>311</v>
      </c>
      <c r="C302" s="4" t="s">
        <v>359</v>
      </c>
      <c r="D302" s="4">
        <f>IF(Datos_originales!$E302&lt;1000,"Bosque menor a 1000 ha",Datos_originales!$E302)</f>
        <v>254941.2</v>
      </c>
      <c r="E302" s="4">
        <v>254941.2</v>
      </c>
      <c r="F302" s="5">
        <f>AVERAGE(Datos_originales!$H184:$J184)</f>
        <v>0</v>
      </c>
      <c r="G302" s="5">
        <f>AVERAGE(Datos_originales!$R184:$T184)</f>
        <v>0</v>
      </c>
      <c r="H302" s="4">
        <v>286.38</v>
      </c>
      <c r="I302" s="4">
        <v>201.87</v>
      </c>
      <c r="J302" s="4">
        <v>234.54</v>
      </c>
      <c r="K302" s="4">
        <v>185.94</v>
      </c>
      <c r="L302" s="4">
        <v>218.61</v>
      </c>
      <c r="M302" s="4">
        <v>200.43</v>
      </c>
      <c r="N302" s="4">
        <v>350.28</v>
      </c>
      <c r="O302" s="4">
        <v>262.62</v>
      </c>
      <c r="P302" s="4">
        <v>303.03</v>
      </c>
      <c r="Q302" s="4">
        <v>291.33</v>
      </c>
      <c r="R302" s="4">
        <v>586.53</v>
      </c>
      <c r="S302" s="4">
        <v>1245.42</v>
      </c>
      <c r="T302" s="4">
        <v>613.8</v>
      </c>
      <c r="U302" s="4">
        <v>712.8</v>
      </c>
      <c r="V302" s="4">
        <v>754.8299999999999</v>
      </c>
      <c r="W302" s="4">
        <v>1662.84</v>
      </c>
      <c r="X302" s="4">
        <v>597.3299999999999</v>
      </c>
      <c r="Y302" s="4">
        <v>533.0699999999999</v>
      </c>
      <c r="Z302" s="4">
        <v>619.8299999999999</v>
      </c>
      <c r="AA302" s="4">
        <v>845.91</v>
      </c>
      <c r="AB302" s="4">
        <v>832.86</v>
      </c>
      <c r="AC302" s="4">
        <v>576.45</v>
      </c>
      <c r="AD302" s="4">
        <v>1772.01</v>
      </c>
      <c r="AE302" s="4">
        <v>848.61</v>
      </c>
      <c r="AF302" s="4">
        <v>1421.64</v>
      </c>
      <c r="AG302" s="4">
        <v>646.29</v>
      </c>
      <c r="AH302" s="6" t="str">
        <f>Datos_originales!$H184/Datos_originales!$E184</f>
        <v>#DIV/0!</v>
      </c>
      <c r="AI302" s="6" t="str">
        <f>Datos_originales!$I184/Datos_originales!$E184</f>
        <v>#DIV/0!</v>
      </c>
      <c r="AJ302" s="6" t="str">
        <f>Datos_originales!$J184/Datos_originales!$E184</f>
        <v>#DIV/0!</v>
      </c>
      <c r="AK302" s="6" t="str">
        <f>Datos_originales!$K184/Datos_originales!$E184</f>
        <v>#DIV/0!</v>
      </c>
      <c r="AL302" s="6" t="str">
        <f>Datos_originales!$L184/Datos_originales!$E184</f>
        <v>#DIV/0!</v>
      </c>
      <c r="AM302" s="6" t="str">
        <f>Datos_originales!$M184/Datos_originales!$E184</f>
        <v>#DIV/0!</v>
      </c>
      <c r="AN302" s="6" t="str">
        <f>Datos_originales!$N184/Datos_originales!$E184</f>
        <v>#DIV/0!</v>
      </c>
      <c r="AO302" s="6" t="str">
        <f>Datos_originales!$O184/Datos_originales!$E184</f>
        <v>#DIV/0!</v>
      </c>
      <c r="AP302" s="6" t="str">
        <f>Datos_originales!$P184/Datos_originales!$E184</f>
        <v>#DIV/0!</v>
      </c>
      <c r="AQ302" s="6" t="str">
        <f>Datos_originales!$Q184/Datos_originales!$E184</f>
        <v>#DIV/0!</v>
      </c>
      <c r="AR302" s="6" t="str">
        <f>Datos_originales!$R184/Datos_originales!$E184</f>
        <v>#DIV/0!</v>
      </c>
      <c r="AS302" s="6" t="str">
        <f>Datos_originales!$S184/Datos_originales!$E184</f>
        <v>#DIV/0!</v>
      </c>
      <c r="AT302" s="6" t="str">
        <f>Datos_originales!$T184/Datos_originales!$E184</f>
        <v>#DIV/0!</v>
      </c>
      <c r="AU302" s="6" t="str">
        <f>Datos_originales!$U184/Datos_originales!$E184</f>
        <v>#DIV/0!</v>
      </c>
      <c r="AV302" s="6" t="str">
        <f>Datos_originales!$V184/Datos_originales!$E184</f>
        <v>#DIV/0!</v>
      </c>
      <c r="AW302" s="6" t="str">
        <f>Datos_originales!$W184/Datos_originales!$E184</f>
        <v>#DIV/0!</v>
      </c>
      <c r="AX302" s="6" t="str">
        <f>Datos_originales!$X184/Datos_originales!$E184</f>
        <v>#DIV/0!</v>
      </c>
      <c r="AY302" s="6" t="str">
        <f>Datos_originales!$Y184/Datos_originales!$E184</f>
        <v>#DIV/0!</v>
      </c>
      <c r="AZ302" s="6" t="str">
        <f>Datos_originales!$Z184/Datos_originales!$E184</f>
        <v>#DIV/0!</v>
      </c>
      <c r="BA302" s="6" t="str">
        <f>Datos_originales!$AA184/Datos_originales!$E184</f>
        <v>#DIV/0!</v>
      </c>
      <c r="BB302" s="6" t="str">
        <f>Datos_originales!$AB184/Datos_originales!$E184</f>
        <v>#DIV/0!</v>
      </c>
      <c r="BC302" s="6" t="str">
        <f>Datos_originales!$AC184/Datos_originales!$E184</f>
        <v>#DIV/0!</v>
      </c>
      <c r="BD302" s="6" t="str">
        <f>Datos_originales!$AD184/Datos_originales!$E184</f>
        <v>#DIV/0!</v>
      </c>
      <c r="BE302" s="6" t="str">
        <f>Datos_originales!$AE184/Datos_originales!$E184</f>
        <v>#DIV/0!</v>
      </c>
      <c r="BF302" s="6" t="str">
        <f>Datos_originales!$AF184/Datos_originales!$E184</f>
        <v>#DIV/0!</v>
      </c>
      <c r="BG302" s="6" t="str">
        <f>Datos_originales!$AG184/Datos_originales!$E184</f>
        <v>#DIV/0!</v>
      </c>
    </row>
    <row r="303" ht="15.75" customHeight="1">
      <c r="A303" s="2">
        <v>71302.0</v>
      </c>
      <c r="B303" s="3" t="s">
        <v>311</v>
      </c>
      <c r="C303" s="4" t="s">
        <v>360</v>
      </c>
      <c r="D303" s="4">
        <f>IF(Datos_originales!$E303&lt;1000,"Bosque menor a 1000 ha",Datos_originales!$E303)</f>
        <v>21281.67</v>
      </c>
      <c r="E303" s="4">
        <v>21281.67</v>
      </c>
      <c r="F303" s="5">
        <f>AVERAGE(Datos_originales!$H129:$J129)</f>
        <v>0.03</v>
      </c>
      <c r="G303" s="5">
        <f>AVERAGE(Datos_originales!$R129:$T129)</f>
        <v>7.77</v>
      </c>
      <c r="H303" s="4">
        <v>34.47</v>
      </c>
      <c r="I303" s="4">
        <v>24.93</v>
      </c>
      <c r="J303" s="4">
        <v>22.77</v>
      </c>
      <c r="K303" s="4">
        <v>13.95</v>
      </c>
      <c r="L303" s="4">
        <v>12.78</v>
      </c>
      <c r="M303" s="4">
        <v>16.56</v>
      </c>
      <c r="N303" s="4">
        <v>19.8</v>
      </c>
      <c r="O303" s="4">
        <v>15.75</v>
      </c>
      <c r="P303" s="4">
        <v>32.4</v>
      </c>
      <c r="Q303" s="4">
        <v>14.67</v>
      </c>
      <c r="R303" s="4">
        <v>52.38</v>
      </c>
      <c r="S303" s="4">
        <v>203.49</v>
      </c>
      <c r="T303" s="4">
        <v>141.39</v>
      </c>
      <c r="U303" s="4">
        <v>39.96</v>
      </c>
      <c r="V303" s="4">
        <v>32.58</v>
      </c>
      <c r="W303" s="4">
        <v>170.01</v>
      </c>
      <c r="X303" s="4">
        <v>19.26</v>
      </c>
      <c r="Y303" s="4">
        <v>18.09</v>
      </c>
      <c r="Z303" s="4">
        <v>30.51</v>
      </c>
      <c r="AA303" s="4">
        <v>25.74</v>
      </c>
      <c r="AB303" s="4">
        <v>25.92</v>
      </c>
      <c r="AC303" s="4">
        <v>54.36</v>
      </c>
      <c r="AD303" s="4">
        <v>16.47</v>
      </c>
      <c r="AE303" s="4">
        <v>73.71</v>
      </c>
      <c r="AF303" s="4">
        <v>254.43</v>
      </c>
      <c r="AG303" s="4">
        <v>146.88</v>
      </c>
      <c r="AH303" s="6">
        <f>Datos_originales!$H129/Datos_originales!$E129</f>
        <v>0.000280033604</v>
      </c>
      <c r="AI303" s="6">
        <f>Datos_originales!$I129/Datos_originales!$E129</f>
        <v>0</v>
      </c>
      <c r="AJ303" s="6">
        <f>Datos_originales!$J129/Datos_originales!$E129</f>
        <v>0</v>
      </c>
      <c r="AK303" s="6">
        <f>Datos_originales!$K129/Datos_originales!$E129</f>
        <v>0</v>
      </c>
      <c r="AL303" s="6">
        <f>Datos_originales!$L129/Datos_originales!$E129</f>
        <v>0</v>
      </c>
      <c r="AM303" s="6">
        <f>Datos_originales!$M129/Datos_originales!$E129</f>
        <v>0</v>
      </c>
      <c r="AN303" s="6">
        <f>Datos_originales!$N129/Datos_originales!$E129</f>
        <v>0.000280033604</v>
      </c>
      <c r="AO303" s="6">
        <f>Datos_originales!$O129/Datos_originales!$E129</f>
        <v>0.0005600672081</v>
      </c>
      <c r="AP303" s="6">
        <f>Datos_originales!$P129/Datos_originales!$E129</f>
        <v>0.002520302436</v>
      </c>
      <c r="AQ303" s="6">
        <f>Datos_originales!$Q129/Datos_originales!$E129</f>
        <v>0.01176141137</v>
      </c>
      <c r="AR303" s="6">
        <f>Datos_originales!$R129/Datos_originales!$E129</f>
        <v>0.01120134416</v>
      </c>
      <c r="AS303" s="6">
        <f>Datos_originales!$S129/Datos_originales!$E129</f>
        <v>0.06048725847</v>
      </c>
      <c r="AT303" s="6">
        <f>Datos_originales!$T129/Datos_originales!$E129</f>
        <v>0.0008401008121</v>
      </c>
      <c r="AU303" s="6">
        <f>Datos_originales!$U129/Datos_originales!$E129</f>
        <v>0.005040604873</v>
      </c>
      <c r="AV303" s="6">
        <f>Datos_originales!$V129/Datos_originales!$E129</f>
        <v>0.00420050406</v>
      </c>
      <c r="AW303" s="6">
        <f>Datos_originales!$W129/Datos_originales!$E129</f>
        <v>0.02184262111</v>
      </c>
      <c r="AX303" s="6">
        <f>Datos_originales!$X129/Datos_originales!$E129</f>
        <v>0.01708204985</v>
      </c>
      <c r="AY303" s="6">
        <f>Datos_originales!$Y129/Datos_originales!$E129</f>
        <v>0.003360403248</v>
      </c>
      <c r="AZ303" s="6">
        <f>Datos_originales!$Z129/Datos_originales!$E129</f>
        <v>0.01596191543</v>
      </c>
      <c r="BA303" s="6">
        <f>Datos_originales!$AA129/Datos_originales!$E129</f>
        <v>0.03584430132</v>
      </c>
      <c r="BB303" s="6">
        <f>Datos_originales!$AB129/Datos_originales!$E129</f>
        <v>0.03360403248</v>
      </c>
      <c r="BC303" s="6">
        <f>Datos_originales!$AC129/Datos_originales!$E129</f>
        <v>0.01204144497</v>
      </c>
      <c r="BD303" s="6">
        <f>Datos_originales!$AD129/Datos_originales!$E129</f>
        <v>0.01204144497</v>
      </c>
      <c r="BE303" s="6">
        <f>Datos_originales!$AE129/Datos_originales!$E129</f>
        <v>0.01204144497</v>
      </c>
      <c r="BF303" s="6">
        <f>Datos_originales!$AF129/Datos_originales!$E129</f>
        <v>0.1024922991</v>
      </c>
      <c r="BG303" s="6">
        <f>Datos_originales!$AG129/Datos_originales!$E129</f>
        <v>0.004480537665</v>
      </c>
    </row>
    <row r="304" ht="15.75" customHeight="1">
      <c r="A304" s="2">
        <v>71401.0</v>
      </c>
      <c r="B304" s="3" t="s">
        <v>311</v>
      </c>
      <c r="C304" s="4" t="s">
        <v>361</v>
      </c>
      <c r="D304" s="4">
        <f>IF(Datos_originales!$E304&lt;1000,"Bosque menor a 1000 ha",Datos_originales!$E304)</f>
        <v>959463.72</v>
      </c>
      <c r="E304" s="4">
        <v>959463.72</v>
      </c>
      <c r="F304" s="5">
        <f>AVERAGE(Datos_originales!$H144:$J144)</f>
        <v>3.03</v>
      </c>
      <c r="G304" s="5">
        <f>AVERAGE(Datos_originales!$R144:$T144)</f>
        <v>43.41</v>
      </c>
      <c r="H304" s="4">
        <v>1895.49</v>
      </c>
      <c r="I304" s="4">
        <v>2268.0</v>
      </c>
      <c r="J304" s="4">
        <v>1760.04</v>
      </c>
      <c r="K304" s="4">
        <v>3131.64</v>
      </c>
      <c r="L304" s="4">
        <v>2266.92</v>
      </c>
      <c r="M304" s="4">
        <v>9053.46</v>
      </c>
      <c r="N304" s="4">
        <v>6057.45</v>
      </c>
      <c r="O304" s="4">
        <v>4506.48</v>
      </c>
      <c r="P304" s="4">
        <v>1439.73</v>
      </c>
      <c r="Q304" s="4">
        <v>2540.79</v>
      </c>
      <c r="R304" s="4">
        <v>2586.69</v>
      </c>
      <c r="S304" s="4">
        <v>1984.86</v>
      </c>
      <c r="T304" s="4">
        <v>3012.66</v>
      </c>
      <c r="U304" s="4">
        <v>2914.74</v>
      </c>
      <c r="V304" s="4">
        <v>3950.46</v>
      </c>
      <c r="W304" s="4">
        <v>3979.71</v>
      </c>
      <c r="X304" s="4">
        <v>4850.73</v>
      </c>
      <c r="Y304" s="4">
        <v>3031.92</v>
      </c>
      <c r="Z304" s="4">
        <v>9565.02</v>
      </c>
      <c r="AA304" s="4">
        <v>6533.01</v>
      </c>
      <c r="AB304" s="4">
        <v>5550.929999999999</v>
      </c>
      <c r="AC304" s="4">
        <v>2380.95</v>
      </c>
      <c r="AD304" s="4">
        <v>5156.91</v>
      </c>
      <c r="AE304" s="4">
        <v>2815.83</v>
      </c>
      <c r="AF304" s="4">
        <v>2310.84</v>
      </c>
      <c r="AG304" s="4">
        <v>5229.0</v>
      </c>
      <c r="AH304" s="6">
        <f>Datos_originales!$H144/Datos_originales!$E144</f>
        <v>0.001136428206</v>
      </c>
      <c r="AI304" s="6">
        <f>Datos_originales!$I144/Datos_originales!$E144</f>
        <v>0.001534178078</v>
      </c>
      <c r="AJ304" s="6">
        <f>Datos_originales!$J144/Datos_originales!$E144</f>
        <v>0.003068356157</v>
      </c>
      <c r="AK304" s="6">
        <f>Datos_originales!$K144/Datos_originales!$E144</f>
        <v>0.002443320643</v>
      </c>
      <c r="AL304" s="6">
        <f>Datos_originales!$L144/Datos_originales!$E144</f>
        <v>0.002841070515</v>
      </c>
      <c r="AM304" s="6">
        <f>Datos_originales!$M144/Datos_originales!$E144</f>
        <v>0.001420535258</v>
      </c>
      <c r="AN304" s="6">
        <f>Datos_originales!$N144/Datos_originales!$E144</f>
        <v>0.001590999489</v>
      </c>
      <c r="AO304" s="6">
        <f>Datos_originales!$O144/Datos_originales!$E144</f>
        <v>0.001590999489</v>
      </c>
      <c r="AP304" s="6">
        <f>Datos_originales!$P144/Datos_originales!$E144</f>
        <v>0.01079606796</v>
      </c>
      <c r="AQ304" s="6">
        <f>Datos_originales!$Q144/Datos_originales!$E144</f>
        <v>0.01181885334</v>
      </c>
      <c r="AR304" s="6">
        <f>Datos_originales!$R144/Datos_originales!$E144</f>
        <v>0.02091027899</v>
      </c>
      <c r="AS304" s="6">
        <f>Datos_originales!$S144/Datos_originales!$E144</f>
        <v>0.05903744531</v>
      </c>
      <c r="AT304" s="6">
        <f>Datos_originales!$T144/Datos_originales!$E144</f>
        <v>0.002272856412</v>
      </c>
      <c r="AU304" s="6">
        <f>Datos_originales!$U144/Datos_originales!$E144</f>
        <v>0.007841354622</v>
      </c>
      <c r="AV304" s="6">
        <f>Datos_originales!$V144/Datos_originales!$E144</f>
        <v>0.009034604239</v>
      </c>
      <c r="AW304" s="6">
        <f>Datos_originales!$W144/Datos_originales!$E144</f>
        <v>0.0242627422</v>
      </c>
      <c r="AX304" s="6">
        <f>Datos_originales!$X144/Datos_originales!$E144</f>
        <v>0.01613728053</v>
      </c>
      <c r="AY304" s="6">
        <f>Datos_originales!$Y144/Datos_originales!$E144</f>
        <v>0.01000056821</v>
      </c>
      <c r="AZ304" s="6">
        <f>Datos_originales!$Z144/Datos_originales!$E144</f>
        <v>0.02875163362</v>
      </c>
      <c r="BA304" s="6">
        <f>Datos_originales!$AA144/Datos_originales!$E144</f>
        <v>0.02971759759</v>
      </c>
      <c r="BB304" s="6">
        <f>Datos_originales!$AB144/Datos_originales!$E144</f>
        <v>0.04511619978</v>
      </c>
      <c r="BC304" s="6">
        <f>Datos_originales!$AC144/Datos_originales!$E144</f>
        <v>0.03227456105</v>
      </c>
      <c r="BD304" s="6">
        <f>Datos_originales!$AD144/Datos_originales!$E144</f>
        <v>0.01289846014</v>
      </c>
      <c r="BE304" s="6">
        <f>Datos_originales!$AE144/Datos_originales!$E144</f>
        <v>0.02806977669</v>
      </c>
      <c r="BF304" s="6">
        <f>Datos_originales!$AF144/Datos_originales!$E144</f>
        <v>0.1163134269</v>
      </c>
      <c r="BG304" s="6">
        <f>Datos_originales!$AG144/Datos_originales!$E144</f>
        <v>0.002784249105</v>
      </c>
    </row>
    <row r="305" ht="15.75" customHeight="1">
      <c r="A305" s="2">
        <v>71402.0</v>
      </c>
      <c r="B305" s="3" t="s">
        <v>311</v>
      </c>
      <c r="C305" s="4" t="s">
        <v>362</v>
      </c>
      <c r="D305" s="4">
        <f>IF(Datos_originales!$E305&lt;1000,"Bosque menor a 1000 ha",Datos_originales!$E305)</f>
        <v>102474.54</v>
      </c>
      <c r="E305" s="4">
        <v>102474.54</v>
      </c>
      <c r="F305" s="5">
        <f>AVERAGE(Datos_originales!$H181:$J181)</f>
        <v>0</v>
      </c>
      <c r="G305" s="5">
        <f>AVERAGE(Datos_originales!$R181:$T181)</f>
        <v>0</v>
      </c>
      <c r="H305" s="4">
        <v>193.59</v>
      </c>
      <c r="I305" s="4">
        <v>160.83</v>
      </c>
      <c r="J305" s="4">
        <v>88.11</v>
      </c>
      <c r="K305" s="4">
        <v>57.51000000000001</v>
      </c>
      <c r="L305" s="4">
        <v>119.88</v>
      </c>
      <c r="M305" s="4">
        <v>106.47</v>
      </c>
      <c r="N305" s="4">
        <v>80.19</v>
      </c>
      <c r="O305" s="4">
        <v>93.06</v>
      </c>
      <c r="P305" s="4">
        <v>284.67</v>
      </c>
      <c r="Q305" s="4">
        <v>341.19</v>
      </c>
      <c r="R305" s="4">
        <v>70.38</v>
      </c>
      <c r="S305" s="4">
        <v>136.89</v>
      </c>
      <c r="T305" s="4">
        <v>198.27</v>
      </c>
      <c r="U305" s="4">
        <v>366.12</v>
      </c>
      <c r="V305" s="4">
        <v>228.87</v>
      </c>
      <c r="W305" s="4">
        <v>225.9</v>
      </c>
      <c r="X305" s="4">
        <v>145.17</v>
      </c>
      <c r="Y305" s="4">
        <v>218.43</v>
      </c>
      <c r="Z305" s="4">
        <v>135.0</v>
      </c>
      <c r="AA305" s="4">
        <v>173.16</v>
      </c>
      <c r="AB305" s="4">
        <v>352.44</v>
      </c>
      <c r="AC305" s="4">
        <v>338.94</v>
      </c>
      <c r="AD305" s="4">
        <v>880.02</v>
      </c>
      <c r="AE305" s="4">
        <v>80.01</v>
      </c>
      <c r="AF305" s="4">
        <v>174.69</v>
      </c>
      <c r="AG305" s="4">
        <v>269.01</v>
      </c>
      <c r="AH305" s="6" t="str">
        <f>Datos_originales!$H181/Datos_originales!$E181</f>
        <v>#DIV/0!</v>
      </c>
      <c r="AI305" s="6" t="str">
        <f>Datos_originales!$I181/Datos_originales!$E181</f>
        <v>#DIV/0!</v>
      </c>
      <c r="AJ305" s="6" t="str">
        <f>Datos_originales!$J181/Datos_originales!$E181</f>
        <v>#DIV/0!</v>
      </c>
      <c r="AK305" s="6" t="str">
        <f>Datos_originales!$K181/Datos_originales!$E181</f>
        <v>#DIV/0!</v>
      </c>
      <c r="AL305" s="6" t="str">
        <f>Datos_originales!$L181/Datos_originales!$E181</f>
        <v>#DIV/0!</v>
      </c>
      <c r="AM305" s="6" t="str">
        <f>Datos_originales!$M181/Datos_originales!$E181</f>
        <v>#DIV/0!</v>
      </c>
      <c r="AN305" s="6" t="str">
        <f>Datos_originales!$N181/Datos_originales!$E181</f>
        <v>#DIV/0!</v>
      </c>
      <c r="AO305" s="6" t="str">
        <f>Datos_originales!$O181/Datos_originales!$E181</f>
        <v>#DIV/0!</v>
      </c>
      <c r="AP305" s="6" t="str">
        <f>Datos_originales!$P181/Datos_originales!$E181</f>
        <v>#DIV/0!</v>
      </c>
      <c r="AQ305" s="6" t="str">
        <f>Datos_originales!$Q181/Datos_originales!$E181</f>
        <v>#DIV/0!</v>
      </c>
      <c r="AR305" s="6" t="str">
        <f>Datos_originales!$R181/Datos_originales!$E181</f>
        <v>#DIV/0!</v>
      </c>
      <c r="AS305" s="6" t="str">
        <f>Datos_originales!$S181/Datos_originales!$E181</f>
        <v>#DIV/0!</v>
      </c>
      <c r="AT305" s="6" t="str">
        <f>Datos_originales!$T181/Datos_originales!$E181</f>
        <v>#DIV/0!</v>
      </c>
      <c r="AU305" s="6" t="str">
        <f>Datos_originales!$U181/Datos_originales!$E181</f>
        <v>#DIV/0!</v>
      </c>
      <c r="AV305" s="6" t="str">
        <f>Datos_originales!$V181/Datos_originales!$E181</f>
        <v>#DIV/0!</v>
      </c>
      <c r="AW305" s="6" t="str">
        <f>Datos_originales!$W181/Datos_originales!$E181</f>
        <v>#DIV/0!</v>
      </c>
      <c r="AX305" s="6" t="str">
        <f>Datos_originales!$X181/Datos_originales!$E181</f>
        <v>#DIV/0!</v>
      </c>
      <c r="AY305" s="6" t="str">
        <f>Datos_originales!$Y181/Datos_originales!$E181</f>
        <v>#DIV/0!</v>
      </c>
      <c r="AZ305" s="6" t="str">
        <f>Datos_originales!$Z181/Datos_originales!$E181</f>
        <v>#DIV/0!</v>
      </c>
      <c r="BA305" s="6" t="str">
        <f>Datos_originales!$AA181/Datos_originales!$E181</f>
        <v>#DIV/0!</v>
      </c>
      <c r="BB305" s="6" t="str">
        <f>Datos_originales!$AB181/Datos_originales!$E181</f>
        <v>#DIV/0!</v>
      </c>
      <c r="BC305" s="6" t="str">
        <f>Datos_originales!$AC181/Datos_originales!$E181</f>
        <v>#DIV/0!</v>
      </c>
      <c r="BD305" s="6" t="str">
        <f>Datos_originales!$AD181/Datos_originales!$E181</f>
        <v>#DIV/0!</v>
      </c>
      <c r="BE305" s="6" t="str">
        <f>Datos_originales!$AE181/Datos_originales!$E181</f>
        <v>#DIV/0!</v>
      </c>
      <c r="BF305" s="6" t="str">
        <f>Datos_originales!$AF181/Datos_originales!$E181</f>
        <v>#DIV/0!</v>
      </c>
      <c r="BG305" s="6" t="str">
        <f>Datos_originales!$AG181/Datos_originales!$E181</f>
        <v>#DIV/0!</v>
      </c>
    </row>
    <row r="306" ht="15.75" customHeight="1">
      <c r="A306" s="2">
        <v>71403.0</v>
      </c>
      <c r="B306" s="3" t="s">
        <v>311</v>
      </c>
      <c r="C306" s="4" t="s">
        <v>363</v>
      </c>
      <c r="D306" s="4">
        <f>IF(Datos_originales!$E306&lt;1000,"Bosque menor a 1000 ha",Datos_originales!$E306)</f>
        <v>858557.52</v>
      </c>
      <c r="E306" s="4">
        <v>858557.52</v>
      </c>
      <c r="F306" s="5">
        <f>AVERAGE(Datos_originales!$H94:$J94)</f>
        <v>0</v>
      </c>
      <c r="G306" s="5">
        <f>AVERAGE(Datos_originales!$R94:$T94)</f>
        <v>0</v>
      </c>
      <c r="H306" s="4">
        <v>3883.23</v>
      </c>
      <c r="I306" s="4">
        <v>2029.59</v>
      </c>
      <c r="J306" s="4">
        <v>957.15</v>
      </c>
      <c r="K306" s="4">
        <v>1358.91</v>
      </c>
      <c r="L306" s="4">
        <v>8880.84</v>
      </c>
      <c r="M306" s="4">
        <v>12737.97</v>
      </c>
      <c r="N306" s="4">
        <v>14564.52</v>
      </c>
      <c r="O306" s="4">
        <v>21757.05</v>
      </c>
      <c r="P306" s="4">
        <v>12130.2</v>
      </c>
      <c r="Q306" s="4">
        <v>14231.07</v>
      </c>
      <c r="R306" s="4">
        <v>11249.82</v>
      </c>
      <c r="S306" s="4">
        <v>3884.13</v>
      </c>
      <c r="T306" s="4">
        <v>11818.17</v>
      </c>
      <c r="U306" s="4">
        <v>4557.6</v>
      </c>
      <c r="V306" s="4">
        <v>2531.34</v>
      </c>
      <c r="W306" s="4">
        <v>2362.05</v>
      </c>
      <c r="X306" s="4">
        <v>1909.08</v>
      </c>
      <c r="Y306" s="4">
        <v>9214.2</v>
      </c>
      <c r="Z306" s="4">
        <v>13208.31</v>
      </c>
      <c r="AA306" s="4">
        <v>15105.6</v>
      </c>
      <c r="AB306" s="4">
        <v>22836.33</v>
      </c>
      <c r="AC306" s="4">
        <v>12413.88</v>
      </c>
      <c r="AD306" s="4">
        <v>15446.97</v>
      </c>
      <c r="AE306" s="4">
        <v>11805.12</v>
      </c>
      <c r="AF306" s="4">
        <v>3964.14</v>
      </c>
      <c r="AG306" s="4">
        <v>13583.25</v>
      </c>
      <c r="AH306" s="6" t="str">
        <f>Datos_originales!$H94/Datos_originales!$E94</f>
        <v>#DIV/0!</v>
      </c>
      <c r="AI306" s="6" t="str">
        <f>Datos_originales!$I94/Datos_originales!$E94</f>
        <v>#DIV/0!</v>
      </c>
      <c r="AJ306" s="6" t="str">
        <f>Datos_originales!$J94/Datos_originales!$E94</f>
        <v>#DIV/0!</v>
      </c>
      <c r="AK306" s="6" t="str">
        <f>Datos_originales!$K94/Datos_originales!$E94</f>
        <v>#DIV/0!</v>
      </c>
      <c r="AL306" s="6" t="str">
        <f>Datos_originales!$L94/Datos_originales!$E94</f>
        <v>#DIV/0!</v>
      </c>
      <c r="AM306" s="6" t="str">
        <f>Datos_originales!$M94/Datos_originales!$E94</f>
        <v>#DIV/0!</v>
      </c>
      <c r="AN306" s="6" t="str">
        <f>Datos_originales!$N94/Datos_originales!$E94</f>
        <v>#DIV/0!</v>
      </c>
      <c r="AO306" s="6" t="str">
        <f>Datos_originales!$O94/Datos_originales!$E94</f>
        <v>#DIV/0!</v>
      </c>
      <c r="AP306" s="6" t="str">
        <f>Datos_originales!$P94/Datos_originales!$E94</f>
        <v>#DIV/0!</v>
      </c>
      <c r="AQ306" s="6" t="str">
        <f>Datos_originales!$Q94/Datos_originales!$E94</f>
        <v>#DIV/0!</v>
      </c>
      <c r="AR306" s="6" t="str">
        <f>Datos_originales!$R94/Datos_originales!$E94</f>
        <v>#DIV/0!</v>
      </c>
      <c r="AS306" s="6" t="str">
        <f>Datos_originales!$S94/Datos_originales!$E94</f>
        <v>#DIV/0!</v>
      </c>
      <c r="AT306" s="6" t="str">
        <f>Datos_originales!$T94/Datos_originales!$E94</f>
        <v>#DIV/0!</v>
      </c>
      <c r="AU306" s="6" t="str">
        <f>Datos_originales!$U94/Datos_originales!$E94</f>
        <v>#DIV/0!</v>
      </c>
      <c r="AV306" s="6" t="str">
        <f>Datos_originales!$V94/Datos_originales!$E94</f>
        <v>#DIV/0!</v>
      </c>
      <c r="AW306" s="6" t="str">
        <f>Datos_originales!$W94/Datos_originales!$E94</f>
        <v>#DIV/0!</v>
      </c>
      <c r="AX306" s="6" t="str">
        <f>Datos_originales!$X94/Datos_originales!$E94</f>
        <v>#DIV/0!</v>
      </c>
      <c r="AY306" s="6" t="str">
        <f>Datos_originales!$Y94/Datos_originales!$E94</f>
        <v>#DIV/0!</v>
      </c>
      <c r="AZ306" s="6" t="str">
        <f>Datos_originales!$Z94/Datos_originales!$E94</f>
        <v>#DIV/0!</v>
      </c>
      <c r="BA306" s="6" t="str">
        <f>Datos_originales!$AA94/Datos_originales!$E94</f>
        <v>#DIV/0!</v>
      </c>
      <c r="BB306" s="6" t="str">
        <f>Datos_originales!$AB94/Datos_originales!$E94</f>
        <v>#DIV/0!</v>
      </c>
      <c r="BC306" s="6" t="str">
        <f>Datos_originales!$AC94/Datos_originales!$E94</f>
        <v>#DIV/0!</v>
      </c>
      <c r="BD306" s="6" t="str">
        <f>Datos_originales!$AD94/Datos_originales!$E94</f>
        <v>#DIV/0!</v>
      </c>
      <c r="BE306" s="6" t="str">
        <f>Datos_originales!$AE94/Datos_originales!$E94</f>
        <v>#DIV/0!</v>
      </c>
      <c r="BF306" s="6" t="str">
        <f>Datos_originales!$AF94/Datos_originales!$E94</f>
        <v>#DIV/0!</v>
      </c>
      <c r="BG306" s="6" t="str">
        <f>Datos_originales!$AG94/Datos_originales!$E94</f>
        <v>#DIV/0!</v>
      </c>
    </row>
    <row r="307" ht="15.75" customHeight="1">
      <c r="A307" s="2">
        <v>71501.0</v>
      </c>
      <c r="B307" s="3" t="s">
        <v>311</v>
      </c>
      <c r="C307" s="4" t="s">
        <v>364</v>
      </c>
      <c r="D307" s="4">
        <f>IF(Datos_originales!$E307&lt;1000,"Bosque menor a 1000 ha",Datos_originales!$E307)</f>
        <v>707265.36</v>
      </c>
      <c r="E307" s="4">
        <v>707265.36</v>
      </c>
      <c r="F307" s="5">
        <f>AVERAGE(Datos_originales!$H43:$J43)</f>
        <v>0</v>
      </c>
      <c r="G307" s="5">
        <f>AVERAGE(Datos_originales!$R43:$T43)</f>
        <v>0</v>
      </c>
      <c r="H307" s="4">
        <v>6665.67</v>
      </c>
      <c r="I307" s="4">
        <v>5420.43</v>
      </c>
      <c r="J307" s="4">
        <v>8932.95</v>
      </c>
      <c r="K307" s="4">
        <v>4007.61</v>
      </c>
      <c r="L307" s="4">
        <v>10606.68</v>
      </c>
      <c r="M307" s="4">
        <v>10287.0</v>
      </c>
      <c r="N307" s="4">
        <v>7907.58</v>
      </c>
      <c r="O307" s="4">
        <v>9283.41</v>
      </c>
      <c r="P307" s="4">
        <v>10115.73</v>
      </c>
      <c r="Q307" s="4">
        <v>11061.9</v>
      </c>
      <c r="R307" s="4">
        <v>10897.74</v>
      </c>
      <c r="S307" s="4">
        <v>17150.13</v>
      </c>
      <c r="T307" s="4">
        <v>17334.18</v>
      </c>
      <c r="U307" s="4">
        <v>9355.77</v>
      </c>
      <c r="V307" s="4">
        <v>7587.45</v>
      </c>
      <c r="W307" s="4">
        <v>14311.8</v>
      </c>
      <c r="X307" s="4">
        <v>5741.82</v>
      </c>
      <c r="Y307" s="4">
        <v>12599.28</v>
      </c>
      <c r="Z307" s="4">
        <v>15897.33</v>
      </c>
      <c r="AA307" s="4">
        <v>8945.91</v>
      </c>
      <c r="AB307" s="4">
        <v>10971.0</v>
      </c>
      <c r="AC307" s="4">
        <v>14993.1</v>
      </c>
      <c r="AD307" s="4">
        <v>11292.48</v>
      </c>
      <c r="AE307" s="4">
        <v>11047.41</v>
      </c>
      <c r="AF307" s="4">
        <v>17998.38</v>
      </c>
      <c r="AG307" s="4">
        <v>29664.45</v>
      </c>
      <c r="AH307" s="6" t="str">
        <f>Datos_originales!$H43/Datos_originales!$E43</f>
        <v>#DIV/0!</v>
      </c>
      <c r="AI307" s="6" t="str">
        <f>Datos_originales!$I43/Datos_originales!$E43</f>
        <v>#DIV/0!</v>
      </c>
      <c r="AJ307" s="6" t="str">
        <f>Datos_originales!$J43/Datos_originales!$E43</f>
        <v>#DIV/0!</v>
      </c>
      <c r="AK307" s="6" t="str">
        <f>Datos_originales!$K43/Datos_originales!$E43</f>
        <v>#DIV/0!</v>
      </c>
      <c r="AL307" s="6" t="str">
        <f>Datos_originales!$L43/Datos_originales!$E43</f>
        <v>#DIV/0!</v>
      </c>
      <c r="AM307" s="6" t="str">
        <f>Datos_originales!$M43/Datos_originales!$E43</f>
        <v>#DIV/0!</v>
      </c>
      <c r="AN307" s="6" t="str">
        <f>Datos_originales!$N43/Datos_originales!$E43</f>
        <v>#DIV/0!</v>
      </c>
      <c r="AO307" s="6" t="str">
        <f>Datos_originales!$O43/Datos_originales!$E43</f>
        <v>#DIV/0!</v>
      </c>
      <c r="AP307" s="6" t="str">
        <f>Datos_originales!$P43/Datos_originales!$E43</f>
        <v>#DIV/0!</v>
      </c>
      <c r="AQ307" s="6" t="str">
        <f>Datos_originales!$Q43/Datos_originales!$E43</f>
        <v>#DIV/0!</v>
      </c>
      <c r="AR307" s="6" t="str">
        <f>Datos_originales!$R43/Datos_originales!$E43</f>
        <v>#DIV/0!</v>
      </c>
      <c r="AS307" s="6" t="str">
        <f>Datos_originales!$S43/Datos_originales!$E43</f>
        <v>#DIV/0!</v>
      </c>
      <c r="AT307" s="6" t="str">
        <f>Datos_originales!$T43/Datos_originales!$E43</f>
        <v>#DIV/0!</v>
      </c>
      <c r="AU307" s="6" t="str">
        <f>Datos_originales!$U43/Datos_originales!$E43</f>
        <v>#DIV/0!</v>
      </c>
      <c r="AV307" s="6" t="str">
        <f>Datos_originales!$V43/Datos_originales!$E43</f>
        <v>#DIV/0!</v>
      </c>
      <c r="AW307" s="6" t="str">
        <f>Datos_originales!$W43/Datos_originales!$E43</f>
        <v>#DIV/0!</v>
      </c>
      <c r="AX307" s="6" t="str">
        <f>Datos_originales!$X43/Datos_originales!$E43</f>
        <v>#DIV/0!</v>
      </c>
      <c r="AY307" s="6" t="str">
        <f>Datos_originales!$Y43/Datos_originales!$E43</f>
        <v>#DIV/0!</v>
      </c>
      <c r="AZ307" s="6" t="str">
        <f>Datos_originales!$Z43/Datos_originales!$E43</f>
        <v>#DIV/0!</v>
      </c>
      <c r="BA307" s="6" t="str">
        <f>Datos_originales!$AA43/Datos_originales!$E43</f>
        <v>#DIV/0!</v>
      </c>
      <c r="BB307" s="6" t="str">
        <f>Datos_originales!$AB43/Datos_originales!$E43</f>
        <v>#DIV/0!</v>
      </c>
      <c r="BC307" s="6" t="str">
        <f>Datos_originales!$AC43/Datos_originales!$E43</f>
        <v>#DIV/0!</v>
      </c>
      <c r="BD307" s="6" t="str">
        <f>Datos_originales!$AD43/Datos_originales!$E43</f>
        <v>#DIV/0!</v>
      </c>
      <c r="BE307" s="6" t="str">
        <f>Datos_originales!$AE43/Datos_originales!$E43</f>
        <v>#DIV/0!</v>
      </c>
      <c r="BF307" s="6" t="str">
        <f>Datos_originales!$AF43/Datos_originales!$E43</f>
        <v>#DIV/0!</v>
      </c>
      <c r="BG307" s="6" t="str">
        <f>Datos_originales!$AG43/Datos_originales!$E43</f>
        <v>#DIV/0!</v>
      </c>
    </row>
    <row r="308" ht="15.75" customHeight="1">
      <c r="A308" s="2">
        <v>71502.0</v>
      </c>
      <c r="B308" s="3" t="s">
        <v>311</v>
      </c>
      <c r="C308" s="4" t="s">
        <v>365</v>
      </c>
      <c r="D308" s="4">
        <f>IF(Datos_originales!$E308&lt;1000,"Bosque menor a 1000 ha",Datos_originales!$E308)</f>
        <v>1533241.71</v>
      </c>
      <c r="E308" s="4">
        <v>1533241.71</v>
      </c>
      <c r="F308" s="5">
        <f>AVERAGE(Datos_originales!$H126:$J126)</f>
        <v>0.09</v>
      </c>
      <c r="G308" s="5">
        <f>AVERAGE(Datos_originales!$R126:$T126)</f>
        <v>2.46</v>
      </c>
      <c r="H308" s="4">
        <v>243.54</v>
      </c>
      <c r="I308" s="4">
        <v>270.99</v>
      </c>
      <c r="J308" s="4">
        <v>496.62</v>
      </c>
      <c r="K308" s="4">
        <v>293.49</v>
      </c>
      <c r="L308" s="4">
        <v>654.93</v>
      </c>
      <c r="M308" s="4">
        <v>497.34</v>
      </c>
      <c r="N308" s="4">
        <v>461.25</v>
      </c>
      <c r="O308" s="4">
        <v>626.5799999999999</v>
      </c>
      <c r="P308" s="4">
        <v>524.61</v>
      </c>
      <c r="Q308" s="4">
        <v>1431.27</v>
      </c>
      <c r="R308" s="4">
        <v>839.97</v>
      </c>
      <c r="S308" s="4">
        <v>3545.19</v>
      </c>
      <c r="T308" s="4">
        <v>3485.16</v>
      </c>
      <c r="U308" s="4">
        <v>5737.68</v>
      </c>
      <c r="V308" s="4">
        <v>4284.81</v>
      </c>
      <c r="W308" s="4">
        <v>3578.22</v>
      </c>
      <c r="X308" s="4">
        <v>1719.0</v>
      </c>
      <c r="Y308" s="4">
        <v>2903.31</v>
      </c>
      <c r="Z308" s="4">
        <v>2596.68</v>
      </c>
      <c r="AA308" s="4">
        <v>1704.69</v>
      </c>
      <c r="AB308" s="4">
        <v>2219.58</v>
      </c>
      <c r="AC308" s="4">
        <v>2632.32</v>
      </c>
      <c r="AD308" s="4">
        <v>1584.81</v>
      </c>
      <c r="AE308" s="4">
        <v>1343.43</v>
      </c>
      <c r="AF308" s="4">
        <v>4910.76</v>
      </c>
      <c r="AG308" s="4">
        <v>10967.31</v>
      </c>
      <c r="AH308" s="6">
        <f>Datos_originales!$H126/Datos_originales!$E126</f>
        <v>0.00004588208305</v>
      </c>
      <c r="AI308" s="6">
        <f>Datos_originales!$I126/Datos_originales!$E126</f>
        <v>0</v>
      </c>
      <c r="AJ308" s="6">
        <f>Datos_originales!$J126/Datos_originales!$E126</f>
        <v>0.00009176416609</v>
      </c>
      <c r="AK308" s="6">
        <f>Datos_originales!$K126/Datos_originales!$E126</f>
        <v>0.00004588208305</v>
      </c>
      <c r="AL308" s="6">
        <f>Datos_originales!$L126/Datos_originales!$E126</f>
        <v>0.00004588208305</v>
      </c>
      <c r="AM308" s="6">
        <f>Datos_originales!$M126/Datos_originales!$E126</f>
        <v>0.00004588208305</v>
      </c>
      <c r="AN308" s="6">
        <f>Datos_originales!$N126/Datos_originales!$E126</f>
        <v>0</v>
      </c>
      <c r="AO308" s="6">
        <f>Datos_originales!$O126/Datos_originales!$E126</f>
        <v>0</v>
      </c>
      <c r="AP308" s="6">
        <f>Datos_originales!$P126/Datos_originales!$E126</f>
        <v>0.0005505849966</v>
      </c>
      <c r="AQ308" s="6">
        <f>Datos_originales!$Q126/Datos_originales!$E126</f>
        <v>0.0004588208305</v>
      </c>
      <c r="AR308" s="6">
        <f>Datos_originales!$R126/Datos_originales!$E126</f>
        <v>0.0001835283322</v>
      </c>
      <c r="AS308" s="6">
        <f>Datos_originales!$S126/Datos_originales!$E126</f>
        <v>0.003578802478</v>
      </c>
      <c r="AT308" s="6">
        <f>Datos_originales!$T126/Datos_originales!$E126</f>
        <v>0</v>
      </c>
      <c r="AU308" s="6">
        <f>Datos_originales!$U126/Datos_originales!$E126</f>
        <v>0.002523514568</v>
      </c>
      <c r="AV308" s="6">
        <f>Datos_originales!$V126/Datos_originales!$E126</f>
        <v>0.001835283322</v>
      </c>
      <c r="AW308" s="6">
        <f>Datos_originales!$W126/Datos_originales!$E126</f>
        <v>0.02367515485</v>
      </c>
      <c r="AX308" s="6">
        <f>Datos_originales!$X126/Datos_originales!$E126</f>
        <v>0.009176416609</v>
      </c>
      <c r="AY308" s="6">
        <f>Datos_originales!$Y126/Datos_originales!$E126</f>
        <v>0.004083505391</v>
      </c>
      <c r="AZ308" s="6">
        <f>Datos_originales!$Z126/Datos_originales!$E126</f>
        <v>0.01133287451</v>
      </c>
      <c r="BA308" s="6">
        <f>Datos_originales!$AA126/Datos_originales!$E126</f>
        <v>0.006423491627</v>
      </c>
      <c r="BB308" s="6">
        <f>Datos_originales!$AB126/Datos_originales!$E126</f>
        <v>0.02840100941</v>
      </c>
      <c r="BC308" s="6">
        <f>Datos_originales!$AC126/Datos_originales!$E126</f>
        <v>0.02826336316</v>
      </c>
      <c r="BD308" s="6">
        <f>Datos_originales!$AD126/Datos_originales!$E126</f>
        <v>0.0006882312457</v>
      </c>
      <c r="BE308" s="6">
        <f>Datos_originales!$AE126/Datos_originales!$E126</f>
        <v>0.0003211745813</v>
      </c>
      <c r="BF308" s="6">
        <f>Datos_originales!$AF126/Datos_originales!$E126</f>
        <v>0.00692819454</v>
      </c>
      <c r="BG308" s="6">
        <f>Datos_originales!$AG126/Datos_originales!$E126</f>
        <v>0.0001835283322</v>
      </c>
    </row>
    <row r="309" ht="15.75" customHeight="1">
      <c r="A309" s="2">
        <v>71503.0</v>
      </c>
      <c r="B309" s="3" t="s">
        <v>311</v>
      </c>
      <c r="C309" s="4" t="s">
        <v>310</v>
      </c>
      <c r="D309" s="4">
        <f>IF(Datos_originales!$E309&lt;1000,"Bosque menor a 1000 ha",Datos_originales!$E309)</f>
        <v>510386.49</v>
      </c>
      <c r="E309" s="4">
        <v>510386.49</v>
      </c>
      <c r="F309" s="5">
        <f>AVERAGE(Datos_originales!$H46:$J46)</f>
        <v>0</v>
      </c>
      <c r="G309" s="5">
        <f>AVERAGE(Datos_originales!$R46:$T46)</f>
        <v>0</v>
      </c>
      <c r="H309" s="4">
        <v>15236.28</v>
      </c>
      <c r="I309" s="4">
        <v>8314.65</v>
      </c>
      <c r="J309" s="4">
        <v>11244.69</v>
      </c>
      <c r="K309" s="4">
        <v>4313.7</v>
      </c>
      <c r="L309" s="4">
        <v>14021.19</v>
      </c>
      <c r="M309" s="4">
        <v>9323.82</v>
      </c>
      <c r="N309" s="4">
        <v>6845.13</v>
      </c>
      <c r="O309" s="4">
        <v>6126.57</v>
      </c>
      <c r="P309" s="4">
        <v>10240.29</v>
      </c>
      <c r="Q309" s="4">
        <v>11431.53</v>
      </c>
      <c r="R309" s="4">
        <v>11861.73</v>
      </c>
      <c r="S309" s="4">
        <v>15912.45</v>
      </c>
      <c r="T309" s="4">
        <v>15922.53</v>
      </c>
      <c r="U309" s="4">
        <v>23825.52</v>
      </c>
      <c r="V309" s="4">
        <v>13485.96</v>
      </c>
      <c r="W309" s="4">
        <v>14507.01</v>
      </c>
      <c r="X309" s="4">
        <v>6713.1</v>
      </c>
      <c r="Y309" s="4">
        <v>15859.8</v>
      </c>
      <c r="Z309" s="4">
        <v>10500.57</v>
      </c>
      <c r="AA309" s="4">
        <v>8526.78</v>
      </c>
      <c r="AB309" s="4">
        <v>8269.74</v>
      </c>
      <c r="AC309" s="4">
        <v>12306.96</v>
      </c>
      <c r="AD309" s="4">
        <v>11681.37</v>
      </c>
      <c r="AE309" s="4">
        <v>11948.13</v>
      </c>
      <c r="AF309" s="4">
        <v>16453.53</v>
      </c>
      <c r="AG309" s="4">
        <v>20580.3</v>
      </c>
      <c r="AH309" s="6" t="str">
        <f>Datos_originales!$H46/Datos_originales!$E46</f>
        <v>#DIV/0!</v>
      </c>
      <c r="AI309" s="6" t="str">
        <f>Datos_originales!$I46/Datos_originales!$E46</f>
        <v>#DIV/0!</v>
      </c>
      <c r="AJ309" s="6" t="str">
        <f>Datos_originales!$J46/Datos_originales!$E46</f>
        <v>#DIV/0!</v>
      </c>
      <c r="AK309" s="6" t="str">
        <f>Datos_originales!$K46/Datos_originales!$E46</f>
        <v>#DIV/0!</v>
      </c>
      <c r="AL309" s="6" t="str">
        <f>Datos_originales!$L46/Datos_originales!$E46</f>
        <v>#DIV/0!</v>
      </c>
      <c r="AM309" s="6" t="str">
        <f>Datos_originales!$M46/Datos_originales!$E46</f>
        <v>#DIV/0!</v>
      </c>
      <c r="AN309" s="6" t="str">
        <f>Datos_originales!$N46/Datos_originales!$E46</f>
        <v>#DIV/0!</v>
      </c>
      <c r="AO309" s="6" t="str">
        <f>Datos_originales!$O46/Datos_originales!$E46</f>
        <v>#DIV/0!</v>
      </c>
      <c r="AP309" s="6" t="str">
        <f>Datos_originales!$P46/Datos_originales!$E46</f>
        <v>#DIV/0!</v>
      </c>
      <c r="AQ309" s="6" t="str">
        <f>Datos_originales!$Q46/Datos_originales!$E46</f>
        <v>#DIV/0!</v>
      </c>
      <c r="AR309" s="6" t="str">
        <f>Datos_originales!$R46/Datos_originales!$E46</f>
        <v>#DIV/0!</v>
      </c>
      <c r="AS309" s="6" t="str">
        <f>Datos_originales!$S46/Datos_originales!$E46</f>
        <v>#DIV/0!</v>
      </c>
      <c r="AT309" s="6" t="str">
        <f>Datos_originales!$T46/Datos_originales!$E46</f>
        <v>#DIV/0!</v>
      </c>
      <c r="AU309" s="6" t="str">
        <f>Datos_originales!$U46/Datos_originales!$E46</f>
        <v>#DIV/0!</v>
      </c>
      <c r="AV309" s="6" t="str">
        <f>Datos_originales!$V46/Datos_originales!$E46</f>
        <v>#DIV/0!</v>
      </c>
      <c r="AW309" s="6" t="str">
        <f>Datos_originales!$W46/Datos_originales!$E46</f>
        <v>#DIV/0!</v>
      </c>
      <c r="AX309" s="6" t="str">
        <f>Datos_originales!$X46/Datos_originales!$E46</f>
        <v>#DIV/0!</v>
      </c>
      <c r="AY309" s="6" t="str">
        <f>Datos_originales!$Y46/Datos_originales!$E46</f>
        <v>#DIV/0!</v>
      </c>
      <c r="AZ309" s="6" t="str">
        <f>Datos_originales!$Z46/Datos_originales!$E46</f>
        <v>#DIV/0!</v>
      </c>
      <c r="BA309" s="6" t="str">
        <f>Datos_originales!$AA46/Datos_originales!$E46</f>
        <v>#DIV/0!</v>
      </c>
      <c r="BB309" s="6" t="str">
        <f>Datos_originales!$AB46/Datos_originales!$E46</f>
        <v>#DIV/0!</v>
      </c>
      <c r="BC309" s="6" t="str">
        <f>Datos_originales!$AC46/Datos_originales!$E46</f>
        <v>#DIV/0!</v>
      </c>
      <c r="BD309" s="6" t="str">
        <f>Datos_originales!$AD46/Datos_originales!$E46</f>
        <v>#DIV/0!</v>
      </c>
      <c r="BE309" s="6" t="str">
        <f>Datos_originales!$AE46/Datos_originales!$E46</f>
        <v>#DIV/0!</v>
      </c>
      <c r="BF309" s="6" t="str">
        <f>Datos_originales!$AF46/Datos_originales!$E46</f>
        <v>#DIV/0!</v>
      </c>
      <c r="BG309" s="6" t="str">
        <f>Datos_originales!$AG46/Datos_originales!$E46</f>
        <v>#DIV/0!</v>
      </c>
    </row>
    <row r="310" ht="15.75" customHeight="1">
      <c r="A310" s="2">
        <v>80101.0</v>
      </c>
      <c r="B310" s="3" t="s">
        <v>366</v>
      </c>
      <c r="C310" s="4" t="s">
        <v>367</v>
      </c>
      <c r="D310" s="4">
        <f>IF(Datos_originales!$E310&lt;1000,"Bosque menor a 1000 ha",Datos_originales!$E310)</f>
        <v>60176.43</v>
      </c>
      <c r="E310" s="4">
        <v>60176.43</v>
      </c>
      <c r="F310" s="5">
        <f>AVERAGE(Datos_originales!$H41:$J41)</f>
        <v>0</v>
      </c>
      <c r="G310" s="5">
        <f>AVERAGE(Datos_originales!$R41:$T41)</f>
        <v>0</v>
      </c>
      <c r="H310" s="4">
        <v>85.77</v>
      </c>
      <c r="I310" s="4">
        <v>75.15</v>
      </c>
      <c r="J310" s="4">
        <v>98.37</v>
      </c>
      <c r="K310" s="4">
        <v>81.99000000000001</v>
      </c>
      <c r="L310" s="4">
        <v>42.66</v>
      </c>
      <c r="M310" s="4">
        <v>60.21</v>
      </c>
      <c r="N310" s="4">
        <v>67.5</v>
      </c>
      <c r="O310" s="4">
        <v>90.18</v>
      </c>
      <c r="P310" s="4">
        <v>85.68</v>
      </c>
      <c r="Q310" s="4">
        <v>89.19</v>
      </c>
      <c r="R310" s="4">
        <v>59.84999999999999</v>
      </c>
      <c r="S310" s="4">
        <v>235.62</v>
      </c>
      <c r="T310" s="4">
        <v>226.26</v>
      </c>
      <c r="U310" s="4">
        <v>923.49</v>
      </c>
      <c r="V310" s="4">
        <v>576.0</v>
      </c>
      <c r="W310" s="4">
        <v>782.73</v>
      </c>
      <c r="X310" s="4">
        <v>409.6799999999999</v>
      </c>
      <c r="Y310" s="4">
        <v>167.67</v>
      </c>
      <c r="Z310" s="4">
        <v>219.42</v>
      </c>
      <c r="AA310" s="4">
        <v>207.0</v>
      </c>
      <c r="AB310" s="4">
        <v>294.66</v>
      </c>
      <c r="AC310" s="4">
        <v>219.51</v>
      </c>
      <c r="AD310" s="4">
        <v>322.83</v>
      </c>
      <c r="AE310" s="4">
        <v>609.03</v>
      </c>
      <c r="AF310" s="4">
        <v>780.03</v>
      </c>
      <c r="AG310" s="4">
        <v>2544.75</v>
      </c>
      <c r="AH310" s="6" t="str">
        <f>Datos_originales!$H41/Datos_originales!$E41</f>
        <v>#DIV/0!</v>
      </c>
      <c r="AI310" s="6" t="str">
        <f>Datos_originales!$I41/Datos_originales!$E41</f>
        <v>#DIV/0!</v>
      </c>
      <c r="AJ310" s="6" t="str">
        <f>Datos_originales!$J41/Datos_originales!$E41</f>
        <v>#DIV/0!</v>
      </c>
      <c r="AK310" s="6" t="str">
        <f>Datos_originales!$K41/Datos_originales!$E41</f>
        <v>#DIV/0!</v>
      </c>
      <c r="AL310" s="6" t="str">
        <f>Datos_originales!$L41/Datos_originales!$E41</f>
        <v>#DIV/0!</v>
      </c>
      <c r="AM310" s="6" t="str">
        <f>Datos_originales!$M41/Datos_originales!$E41</f>
        <v>#DIV/0!</v>
      </c>
      <c r="AN310" s="6" t="str">
        <f>Datos_originales!$N41/Datos_originales!$E41</f>
        <v>#DIV/0!</v>
      </c>
      <c r="AO310" s="6" t="str">
        <f>Datos_originales!$O41/Datos_originales!$E41</f>
        <v>#DIV/0!</v>
      </c>
      <c r="AP310" s="6" t="str">
        <f>Datos_originales!$P41/Datos_originales!$E41</f>
        <v>#DIV/0!</v>
      </c>
      <c r="AQ310" s="6" t="str">
        <f>Datos_originales!$Q41/Datos_originales!$E41</f>
        <v>#DIV/0!</v>
      </c>
      <c r="AR310" s="6" t="str">
        <f>Datos_originales!$R41/Datos_originales!$E41</f>
        <v>#DIV/0!</v>
      </c>
      <c r="AS310" s="6" t="str">
        <f>Datos_originales!$S41/Datos_originales!$E41</f>
        <v>#DIV/0!</v>
      </c>
      <c r="AT310" s="6" t="str">
        <f>Datos_originales!$T41/Datos_originales!$E41</f>
        <v>#DIV/0!</v>
      </c>
      <c r="AU310" s="6" t="str">
        <f>Datos_originales!$U41/Datos_originales!$E41</f>
        <v>#DIV/0!</v>
      </c>
      <c r="AV310" s="6" t="str">
        <f>Datos_originales!$V41/Datos_originales!$E41</f>
        <v>#DIV/0!</v>
      </c>
      <c r="AW310" s="6" t="str">
        <f>Datos_originales!$W41/Datos_originales!$E41</f>
        <v>#DIV/0!</v>
      </c>
      <c r="AX310" s="6" t="str">
        <f>Datos_originales!$X41/Datos_originales!$E41</f>
        <v>#DIV/0!</v>
      </c>
      <c r="AY310" s="6" t="str">
        <f>Datos_originales!$Y41/Datos_originales!$E41</f>
        <v>#DIV/0!</v>
      </c>
      <c r="AZ310" s="6" t="str">
        <f>Datos_originales!$Z41/Datos_originales!$E41</f>
        <v>#DIV/0!</v>
      </c>
      <c r="BA310" s="6" t="str">
        <f>Datos_originales!$AA41/Datos_originales!$E41</f>
        <v>#DIV/0!</v>
      </c>
      <c r="BB310" s="6" t="str">
        <f>Datos_originales!$AB41/Datos_originales!$E41</f>
        <v>#DIV/0!</v>
      </c>
      <c r="BC310" s="6" t="str">
        <f>Datos_originales!$AC41/Datos_originales!$E41</f>
        <v>#DIV/0!</v>
      </c>
      <c r="BD310" s="6" t="str">
        <f>Datos_originales!$AD41/Datos_originales!$E41</f>
        <v>#DIV/0!</v>
      </c>
      <c r="BE310" s="6" t="str">
        <f>Datos_originales!$AE41/Datos_originales!$E41</f>
        <v>#DIV/0!</v>
      </c>
      <c r="BF310" s="6" t="str">
        <f>Datos_originales!$AF41/Datos_originales!$E41</f>
        <v>#DIV/0!</v>
      </c>
      <c r="BG310" s="6" t="str">
        <f>Datos_originales!$AG41/Datos_originales!$E41</f>
        <v>#DIV/0!</v>
      </c>
    </row>
    <row r="311" ht="15.75" customHeight="1">
      <c r="A311" s="2">
        <v>80102.0</v>
      </c>
      <c r="B311" s="3" t="s">
        <v>366</v>
      </c>
      <c r="C311" s="4" t="s">
        <v>353</v>
      </c>
      <c r="D311" s="4">
        <f>IF(Datos_originales!$E311&lt;1000,"Bosque menor a 1000 ha",Datos_originales!$E311)</f>
        <v>334434.24</v>
      </c>
      <c r="E311" s="4">
        <v>334434.24</v>
      </c>
      <c r="F311" s="5">
        <f>AVERAGE(Datos_originales!$H44:$J44)</f>
        <v>0.63</v>
      </c>
      <c r="G311" s="5">
        <f>AVERAGE(Datos_originales!$R44:$T44)</f>
        <v>0</v>
      </c>
      <c r="H311" s="4">
        <v>652.5</v>
      </c>
      <c r="I311" s="4">
        <v>462.42</v>
      </c>
      <c r="J311" s="4">
        <v>489.6</v>
      </c>
      <c r="K311" s="4">
        <v>1235.97</v>
      </c>
      <c r="L311" s="4">
        <v>777.24</v>
      </c>
      <c r="M311" s="4">
        <v>2388.6</v>
      </c>
      <c r="N311" s="4">
        <v>2213.28</v>
      </c>
      <c r="O311" s="4">
        <v>2565.99</v>
      </c>
      <c r="P311" s="4">
        <v>2011.68</v>
      </c>
      <c r="Q311" s="4">
        <v>1411.02</v>
      </c>
      <c r="R311" s="4">
        <v>1925.19</v>
      </c>
      <c r="S311" s="4">
        <v>4627.17</v>
      </c>
      <c r="T311" s="4">
        <v>3526.92</v>
      </c>
      <c r="U311" s="4">
        <v>7365.690000000001</v>
      </c>
      <c r="V311" s="4">
        <v>2780.91</v>
      </c>
      <c r="W311" s="4">
        <v>3033.45</v>
      </c>
      <c r="X311" s="4">
        <v>2496.96</v>
      </c>
      <c r="Y311" s="4">
        <v>1256.04</v>
      </c>
      <c r="Z311" s="4">
        <v>3185.1</v>
      </c>
      <c r="AA311" s="4">
        <v>3185.37</v>
      </c>
      <c r="AB311" s="4">
        <v>3984.21</v>
      </c>
      <c r="AC311" s="4">
        <v>3581.1</v>
      </c>
      <c r="AD311" s="4">
        <v>1700.01</v>
      </c>
      <c r="AE311" s="4">
        <v>2290.05</v>
      </c>
      <c r="AF311" s="4">
        <v>5715.18</v>
      </c>
      <c r="AG311" s="4">
        <v>14024.7</v>
      </c>
      <c r="AH311" s="6">
        <f>Datos_originales!$H44/Datos_originales!$E44</f>
        <v>0</v>
      </c>
      <c r="AI311" s="6">
        <f>Datos_originales!$I44/Datos_originales!$E44</f>
        <v>0</v>
      </c>
      <c r="AJ311" s="6">
        <f>Datos_originales!$J44/Datos_originales!$E44</f>
        <v>0.1810344828</v>
      </c>
      <c r="AK311" s="6">
        <f>Datos_originales!$K44/Datos_originales!$E44</f>
        <v>0</v>
      </c>
      <c r="AL311" s="6">
        <f>Datos_originales!$L44/Datos_originales!$E44</f>
        <v>0</v>
      </c>
      <c r="AM311" s="6">
        <f>Datos_originales!$M44/Datos_originales!$E44</f>
        <v>0</v>
      </c>
      <c r="AN311" s="6">
        <f>Datos_originales!$N44/Datos_originales!$E44</f>
        <v>0</v>
      </c>
      <c r="AO311" s="6">
        <f>Datos_originales!$O44/Datos_originales!$E44</f>
        <v>0</v>
      </c>
      <c r="AP311" s="6">
        <f>Datos_originales!$P44/Datos_originales!$E44</f>
        <v>0</v>
      </c>
      <c r="AQ311" s="6">
        <f>Datos_originales!$Q44/Datos_originales!$E44</f>
        <v>0</v>
      </c>
      <c r="AR311" s="6">
        <f>Datos_originales!$R44/Datos_originales!$E44</f>
        <v>0</v>
      </c>
      <c r="AS311" s="6">
        <f>Datos_originales!$S44/Datos_originales!$E44</f>
        <v>0</v>
      </c>
      <c r="AT311" s="6">
        <f>Datos_originales!$T44/Datos_originales!$E44</f>
        <v>0</v>
      </c>
      <c r="AU311" s="6">
        <f>Datos_originales!$U44/Datos_originales!$E44</f>
        <v>0.8189655172</v>
      </c>
      <c r="AV311" s="6">
        <f>Datos_originales!$V44/Datos_originales!$E44</f>
        <v>0</v>
      </c>
      <c r="AW311" s="6">
        <f>Datos_originales!$W44/Datos_originales!$E44</f>
        <v>0.1810344828</v>
      </c>
      <c r="AX311" s="6">
        <f>Datos_originales!$X44/Datos_originales!$E44</f>
        <v>0</v>
      </c>
      <c r="AY311" s="6">
        <f>Datos_originales!$Y44/Datos_originales!$E44</f>
        <v>0</v>
      </c>
      <c r="AZ311" s="6">
        <f>Datos_originales!$Z44/Datos_originales!$E44</f>
        <v>0</v>
      </c>
      <c r="BA311" s="6">
        <f>Datos_originales!$AA44/Datos_originales!$E44</f>
        <v>0</v>
      </c>
      <c r="BB311" s="6">
        <f>Datos_originales!$AB44/Datos_originales!$E44</f>
        <v>0</v>
      </c>
      <c r="BC311" s="6">
        <f>Datos_originales!$AC44/Datos_originales!$E44</f>
        <v>0</v>
      </c>
      <c r="BD311" s="6">
        <f>Datos_originales!$AD44/Datos_originales!$E44</f>
        <v>0</v>
      </c>
      <c r="BE311" s="6">
        <f>Datos_originales!$AE44/Datos_originales!$E44</f>
        <v>0</v>
      </c>
      <c r="BF311" s="6">
        <f>Datos_originales!$AF44/Datos_originales!$E44</f>
        <v>0</v>
      </c>
      <c r="BG311" s="6">
        <f>Datos_originales!$AG44/Datos_originales!$E44</f>
        <v>0</v>
      </c>
    </row>
    <row r="312" ht="15.75" customHeight="1">
      <c r="A312" s="2">
        <v>80201.0</v>
      </c>
      <c r="B312" s="3" t="s">
        <v>366</v>
      </c>
      <c r="C312" s="4" t="s">
        <v>368</v>
      </c>
      <c r="D312" s="4">
        <f>IF(Datos_originales!$E312&lt;1000,"Bosque menor a 1000 ha",Datos_originales!$E312)</f>
        <v>1063728</v>
      </c>
      <c r="E312" s="4">
        <v>1063728.0</v>
      </c>
      <c r="F312" s="5">
        <f>AVERAGE(Datos_originales!$H189:$J189)</f>
        <v>0</v>
      </c>
      <c r="G312" s="5">
        <f>AVERAGE(Datos_originales!$R189:$T189)</f>
        <v>0</v>
      </c>
      <c r="H312" s="4">
        <v>3663.09</v>
      </c>
      <c r="I312" s="4">
        <v>2020.77</v>
      </c>
      <c r="J312" s="4">
        <v>1460.34</v>
      </c>
      <c r="K312" s="4">
        <v>1342.35</v>
      </c>
      <c r="L312" s="4">
        <v>2236.05</v>
      </c>
      <c r="M312" s="4">
        <v>2471.76</v>
      </c>
      <c r="N312" s="4">
        <v>1556.37</v>
      </c>
      <c r="O312" s="4">
        <v>1363.77</v>
      </c>
      <c r="P312" s="4">
        <v>1750.59</v>
      </c>
      <c r="Q312" s="4">
        <v>3444.03</v>
      </c>
      <c r="R312" s="4">
        <v>1208.43</v>
      </c>
      <c r="S312" s="4">
        <v>1871.46</v>
      </c>
      <c r="T312" s="4">
        <v>1367.19</v>
      </c>
      <c r="U312" s="4">
        <v>6211.98</v>
      </c>
      <c r="V312" s="4">
        <v>3331.26</v>
      </c>
      <c r="W312" s="4">
        <v>5851.89</v>
      </c>
      <c r="X312" s="4">
        <v>2274.57</v>
      </c>
      <c r="Y312" s="4">
        <v>2996.01</v>
      </c>
      <c r="Z312" s="4">
        <v>3051.45</v>
      </c>
      <c r="AA312" s="4">
        <v>2088.0</v>
      </c>
      <c r="AB312" s="4">
        <v>2156.49</v>
      </c>
      <c r="AC312" s="4">
        <v>2376.99</v>
      </c>
      <c r="AD312" s="4">
        <v>3754.44</v>
      </c>
      <c r="AE312" s="4">
        <v>1397.43</v>
      </c>
      <c r="AF312" s="4">
        <v>2820.15</v>
      </c>
      <c r="AG312" s="4">
        <v>2405.25</v>
      </c>
      <c r="AH312" s="6" t="str">
        <f>Datos_originales!$H189/Datos_originales!$E189</f>
        <v>#DIV/0!</v>
      </c>
      <c r="AI312" s="6" t="str">
        <f>Datos_originales!$I189/Datos_originales!$E189</f>
        <v>#DIV/0!</v>
      </c>
      <c r="AJ312" s="6" t="str">
        <f>Datos_originales!$J189/Datos_originales!$E189</f>
        <v>#DIV/0!</v>
      </c>
      <c r="AK312" s="6" t="str">
        <f>Datos_originales!$K189/Datos_originales!$E189</f>
        <v>#DIV/0!</v>
      </c>
      <c r="AL312" s="6" t="str">
        <f>Datos_originales!$L189/Datos_originales!$E189</f>
        <v>#DIV/0!</v>
      </c>
      <c r="AM312" s="6" t="str">
        <f>Datos_originales!$M189/Datos_originales!$E189</f>
        <v>#DIV/0!</v>
      </c>
      <c r="AN312" s="6" t="str">
        <f>Datos_originales!$N189/Datos_originales!$E189</f>
        <v>#DIV/0!</v>
      </c>
      <c r="AO312" s="6" t="str">
        <f>Datos_originales!$O189/Datos_originales!$E189</f>
        <v>#DIV/0!</v>
      </c>
      <c r="AP312" s="6" t="str">
        <f>Datos_originales!$P189/Datos_originales!$E189</f>
        <v>#DIV/0!</v>
      </c>
      <c r="AQ312" s="6" t="str">
        <f>Datos_originales!$Q189/Datos_originales!$E189</f>
        <v>#DIV/0!</v>
      </c>
      <c r="AR312" s="6" t="str">
        <f>Datos_originales!$R189/Datos_originales!$E189</f>
        <v>#DIV/0!</v>
      </c>
      <c r="AS312" s="6" t="str">
        <f>Datos_originales!$S189/Datos_originales!$E189</f>
        <v>#DIV/0!</v>
      </c>
      <c r="AT312" s="6" t="str">
        <f>Datos_originales!$T189/Datos_originales!$E189</f>
        <v>#DIV/0!</v>
      </c>
      <c r="AU312" s="6" t="str">
        <f>Datos_originales!$U189/Datos_originales!$E189</f>
        <v>#DIV/0!</v>
      </c>
      <c r="AV312" s="6" t="str">
        <f>Datos_originales!$V189/Datos_originales!$E189</f>
        <v>#DIV/0!</v>
      </c>
      <c r="AW312" s="6" t="str">
        <f>Datos_originales!$W189/Datos_originales!$E189</f>
        <v>#DIV/0!</v>
      </c>
      <c r="AX312" s="6" t="str">
        <f>Datos_originales!$X189/Datos_originales!$E189</f>
        <v>#DIV/0!</v>
      </c>
      <c r="AY312" s="6" t="str">
        <f>Datos_originales!$Y189/Datos_originales!$E189</f>
        <v>#DIV/0!</v>
      </c>
      <c r="AZ312" s="6" t="str">
        <f>Datos_originales!$Z189/Datos_originales!$E189</f>
        <v>#DIV/0!</v>
      </c>
      <c r="BA312" s="6" t="str">
        <f>Datos_originales!$AA189/Datos_originales!$E189</f>
        <v>#DIV/0!</v>
      </c>
      <c r="BB312" s="6" t="str">
        <f>Datos_originales!$AB189/Datos_originales!$E189</f>
        <v>#DIV/0!</v>
      </c>
      <c r="BC312" s="6" t="str">
        <f>Datos_originales!$AC189/Datos_originales!$E189</f>
        <v>#DIV/0!</v>
      </c>
      <c r="BD312" s="6" t="str">
        <f>Datos_originales!$AD189/Datos_originales!$E189</f>
        <v>#DIV/0!</v>
      </c>
      <c r="BE312" s="6" t="str">
        <f>Datos_originales!$AE189/Datos_originales!$E189</f>
        <v>#DIV/0!</v>
      </c>
      <c r="BF312" s="6" t="str">
        <f>Datos_originales!$AF189/Datos_originales!$E189</f>
        <v>#DIV/0!</v>
      </c>
      <c r="BG312" s="6" t="str">
        <f>Datos_originales!$AG189/Datos_originales!$E189</f>
        <v>#DIV/0!</v>
      </c>
    </row>
    <row r="313" ht="15.75" customHeight="1">
      <c r="A313" s="2">
        <v>80202.0</v>
      </c>
      <c r="B313" s="3" t="s">
        <v>366</v>
      </c>
      <c r="C313" s="4" t="s">
        <v>369</v>
      </c>
      <c r="D313" s="4">
        <f>IF(Datos_originales!$E313&lt;1000,"Bosque menor a 1000 ha",Datos_originales!$E313)</f>
        <v>491534.73</v>
      </c>
      <c r="E313" s="4">
        <v>491534.73</v>
      </c>
      <c r="F313" s="5">
        <f>AVERAGE(Datos_originales!$H163:$J163)</f>
        <v>0</v>
      </c>
      <c r="G313" s="5">
        <f>AVERAGE(Datos_originales!$R163:$T163)</f>
        <v>0</v>
      </c>
      <c r="H313" s="4">
        <v>5037.57</v>
      </c>
      <c r="I313" s="4">
        <v>2055.24</v>
      </c>
      <c r="J313" s="4">
        <v>2136.87</v>
      </c>
      <c r="K313" s="4">
        <v>1538.1</v>
      </c>
      <c r="L313" s="4">
        <v>2603.16</v>
      </c>
      <c r="M313" s="4">
        <v>3002.4</v>
      </c>
      <c r="N313" s="4">
        <v>1766.07</v>
      </c>
      <c r="O313" s="4">
        <v>941.31</v>
      </c>
      <c r="P313" s="4">
        <v>1881.72</v>
      </c>
      <c r="Q313" s="4">
        <v>3545.82</v>
      </c>
      <c r="R313" s="4">
        <v>482.22</v>
      </c>
      <c r="S313" s="4">
        <v>1036.08</v>
      </c>
      <c r="T313" s="4">
        <v>1319.04</v>
      </c>
      <c r="U313" s="4">
        <v>7356.24</v>
      </c>
      <c r="V313" s="4">
        <v>3266.19</v>
      </c>
      <c r="W313" s="4">
        <v>9524.34</v>
      </c>
      <c r="X313" s="4">
        <v>2156.22</v>
      </c>
      <c r="Y313" s="4">
        <v>3521.88</v>
      </c>
      <c r="Z313" s="4">
        <v>3422.16</v>
      </c>
      <c r="AA313" s="4">
        <v>2101.95</v>
      </c>
      <c r="AB313" s="4">
        <v>1298.25</v>
      </c>
      <c r="AC313" s="4">
        <v>2626.47</v>
      </c>
      <c r="AD313" s="4">
        <v>3764.43</v>
      </c>
      <c r="AE313" s="4">
        <v>599.76</v>
      </c>
      <c r="AF313" s="4">
        <v>1899.72</v>
      </c>
      <c r="AG313" s="4">
        <v>1936.62</v>
      </c>
      <c r="AH313" s="6">
        <f>Datos_originales!$H163/Datos_originales!$E163</f>
        <v>0</v>
      </c>
      <c r="AI313" s="6">
        <f>Datos_originales!$I163/Datos_originales!$E163</f>
        <v>0</v>
      </c>
      <c r="AJ313" s="6">
        <f>Datos_originales!$J163/Datos_originales!$E163</f>
        <v>0</v>
      </c>
      <c r="AK313" s="6">
        <f>Datos_originales!$K163/Datos_originales!$E163</f>
        <v>0</v>
      </c>
      <c r="AL313" s="6">
        <f>Datos_originales!$L163/Datos_originales!$E163</f>
        <v>0</v>
      </c>
      <c r="AM313" s="6">
        <f>Datos_originales!$M163/Datos_originales!$E163</f>
        <v>0</v>
      </c>
      <c r="AN313" s="6">
        <f>Datos_originales!$N163/Datos_originales!$E163</f>
        <v>0</v>
      </c>
      <c r="AO313" s="6">
        <f>Datos_originales!$O163/Datos_originales!$E163</f>
        <v>0</v>
      </c>
      <c r="AP313" s="6">
        <f>Datos_originales!$P163/Datos_originales!$E163</f>
        <v>0</v>
      </c>
      <c r="AQ313" s="6">
        <f>Datos_originales!$Q163/Datos_originales!$E163</f>
        <v>0</v>
      </c>
      <c r="AR313" s="6">
        <f>Datos_originales!$R163/Datos_originales!$E163</f>
        <v>0</v>
      </c>
      <c r="AS313" s="6">
        <f>Datos_originales!$S163/Datos_originales!$E163</f>
        <v>0</v>
      </c>
      <c r="AT313" s="6">
        <f>Datos_originales!$T163/Datos_originales!$E163</f>
        <v>0</v>
      </c>
      <c r="AU313" s="6">
        <f>Datos_originales!$U163/Datos_originales!$E163</f>
        <v>0</v>
      </c>
      <c r="AV313" s="6">
        <f>Datos_originales!$V163/Datos_originales!$E163</f>
        <v>0</v>
      </c>
      <c r="AW313" s="6">
        <f>Datos_originales!$W163/Datos_originales!$E163</f>
        <v>0.02857142857</v>
      </c>
      <c r="AX313" s="6">
        <f>Datos_originales!$X163/Datos_originales!$E163</f>
        <v>0</v>
      </c>
      <c r="AY313" s="6">
        <f>Datos_originales!$Y163/Datos_originales!$E163</f>
        <v>0</v>
      </c>
      <c r="AZ313" s="6">
        <f>Datos_originales!$Z163/Datos_originales!$E163</f>
        <v>0</v>
      </c>
      <c r="BA313" s="6">
        <f>Datos_originales!$AA163/Datos_originales!$E163</f>
        <v>0</v>
      </c>
      <c r="BB313" s="6">
        <f>Datos_originales!$AB163/Datos_originales!$E163</f>
        <v>0</v>
      </c>
      <c r="BC313" s="6">
        <f>Datos_originales!$AC163/Datos_originales!$E163</f>
        <v>0</v>
      </c>
      <c r="BD313" s="6">
        <f>Datos_originales!$AD163/Datos_originales!$E163</f>
        <v>0</v>
      </c>
      <c r="BE313" s="6">
        <f>Datos_originales!$AE163/Datos_originales!$E163</f>
        <v>0</v>
      </c>
      <c r="BF313" s="6">
        <f>Datos_originales!$AF163/Datos_originales!$E163</f>
        <v>0.05</v>
      </c>
      <c r="BG313" s="6">
        <f>Datos_originales!$AG163/Datos_originales!$E163</f>
        <v>0</v>
      </c>
    </row>
    <row r="314" ht="15.75" customHeight="1">
      <c r="A314" s="2">
        <v>80301.0</v>
      </c>
      <c r="B314" s="3" t="s">
        <v>366</v>
      </c>
      <c r="C314" s="4" t="s">
        <v>370</v>
      </c>
      <c r="D314" s="4">
        <f>IF(Datos_originales!$E314&lt;1000,"Bosque menor a 1000 ha",Datos_originales!$E314)</f>
        <v>603961.47</v>
      </c>
      <c r="E314" s="4">
        <v>603961.47</v>
      </c>
      <c r="F314" s="5">
        <f>AVERAGE(Datos_originales!$H67:$J67)</f>
        <v>0.78</v>
      </c>
      <c r="G314" s="5">
        <f>AVERAGE(Datos_originales!$R67:$T67)</f>
        <v>52.44</v>
      </c>
      <c r="H314" s="4">
        <v>676.1700000000001</v>
      </c>
      <c r="I314" s="4">
        <v>512.91</v>
      </c>
      <c r="J314" s="4">
        <v>434.88</v>
      </c>
      <c r="K314" s="4">
        <v>312.84</v>
      </c>
      <c r="L314" s="4">
        <v>245.79</v>
      </c>
      <c r="M314" s="4">
        <v>328.32</v>
      </c>
      <c r="N314" s="4">
        <v>336.06</v>
      </c>
      <c r="O314" s="4">
        <v>392.31</v>
      </c>
      <c r="P314" s="4">
        <v>276.93</v>
      </c>
      <c r="Q314" s="4">
        <v>229.41</v>
      </c>
      <c r="R314" s="4">
        <v>735.12</v>
      </c>
      <c r="S314" s="4">
        <v>416.97</v>
      </c>
      <c r="T314" s="4">
        <v>1662.03</v>
      </c>
      <c r="U314" s="4">
        <v>9737.01</v>
      </c>
      <c r="V314" s="4">
        <v>3540.78</v>
      </c>
      <c r="W314" s="4">
        <v>4527.360000000001</v>
      </c>
      <c r="X314" s="4">
        <v>2651.4</v>
      </c>
      <c r="Y314" s="4">
        <v>1462.5</v>
      </c>
      <c r="Z314" s="4">
        <v>1627.56</v>
      </c>
      <c r="AA314" s="4">
        <v>2100.51</v>
      </c>
      <c r="AB314" s="4">
        <v>1984.32</v>
      </c>
      <c r="AC314" s="4">
        <v>1984.59</v>
      </c>
      <c r="AD314" s="4">
        <v>1893.51</v>
      </c>
      <c r="AE314" s="4">
        <v>2584.08</v>
      </c>
      <c r="AF314" s="4">
        <v>1852.92</v>
      </c>
      <c r="AG314" s="4">
        <v>14850.81</v>
      </c>
      <c r="AH314" s="6">
        <f>Datos_originales!$H67/Datos_originales!$E67</f>
        <v>0.0000127808798</v>
      </c>
      <c r="AI314" s="6">
        <f>Datos_originales!$I67/Datos_originales!$E67</f>
        <v>0.00001597609975</v>
      </c>
      <c r="AJ314" s="6">
        <f>Datos_originales!$J67/Datos_originales!$E67</f>
        <v>0.0000127808798</v>
      </c>
      <c r="AK314" s="6">
        <f>Datos_originales!$K67/Datos_originales!$E67</f>
        <v>0.00003994024939</v>
      </c>
      <c r="AL314" s="6">
        <f>Datos_originales!$L67/Datos_originales!$E67</f>
        <v>0.000006390439902</v>
      </c>
      <c r="AM314" s="6">
        <f>Datos_originales!$M67/Datos_originales!$E67</f>
        <v>0.000006390439902</v>
      </c>
      <c r="AN314" s="6">
        <f>Datos_originales!$N67/Datos_originales!$E67</f>
        <v>0.00002875697956</v>
      </c>
      <c r="AO314" s="6">
        <f>Datos_originales!$O67/Datos_originales!$E67</f>
        <v>0.00001118326983</v>
      </c>
      <c r="AP314" s="6">
        <f>Datos_originales!$P67/Datos_originales!$E67</f>
        <v>0.00003514741946</v>
      </c>
      <c r="AQ314" s="6">
        <f>Datos_originales!$Q67/Datos_originales!$E67</f>
        <v>0.000006390439902</v>
      </c>
      <c r="AR314" s="6">
        <f>Datos_originales!$R67/Datos_originales!$E67</f>
        <v>0.0002140797367</v>
      </c>
      <c r="AS314" s="6">
        <f>Datos_originales!$S67/Datos_originales!$E67</f>
        <v>0.001102350883</v>
      </c>
      <c r="AT314" s="6">
        <f>Datos_originales!$T67/Datos_originales!$E67</f>
        <v>0.001476191617</v>
      </c>
      <c r="AU314" s="6">
        <f>Datos_originales!$U67/Datos_originales!$E67</f>
        <v>0.00588719276</v>
      </c>
      <c r="AV314" s="6">
        <f>Datos_originales!$V67/Datos_originales!$E67</f>
        <v>0.008120651505</v>
      </c>
      <c r="AW314" s="6">
        <f>Datos_originales!$W67/Datos_originales!$E67</f>
        <v>0.005372762348</v>
      </c>
      <c r="AX314" s="6">
        <f>Datos_originales!$X67/Datos_originales!$E67</f>
        <v>0.004823184516</v>
      </c>
      <c r="AY314" s="6">
        <f>Datos_originales!$Y67/Datos_originales!$E67</f>
        <v>0.003134510772</v>
      </c>
      <c r="AZ314" s="6">
        <f>Datos_originales!$Z67/Datos_originales!$E67</f>
        <v>0.003179243851</v>
      </c>
      <c r="BA314" s="6">
        <f>Datos_originales!$AA67/Datos_originales!$E67</f>
        <v>0.004279997124</v>
      </c>
      <c r="BB314" s="6">
        <f>Datos_originales!$AB67/Datos_originales!$E67</f>
        <v>0.005072411672</v>
      </c>
      <c r="BC314" s="6">
        <f>Datos_originales!$AC67/Datos_originales!$E67</f>
        <v>0.002973152164</v>
      </c>
      <c r="BD314" s="6">
        <f>Datos_originales!$AD67/Datos_originales!$E67</f>
        <v>0.005300869899</v>
      </c>
      <c r="BE314" s="6">
        <f>Datos_originales!$AE67/Datos_originales!$E67</f>
        <v>0.002108845168</v>
      </c>
      <c r="BF314" s="6">
        <f>Datos_originales!$AF67/Datos_originales!$E67</f>
        <v>0.001412287218</v>
      </c>
      <c r="BG314" s="6">
        <f>Datos_originales!$AG67/Datos_originales!$E67</f>
        <v>0.001608793245</v>
      </c>
    </row>
    <row r="315" ht="15.75" customHeight="1">
      <c r="A315" s="2">
        <v>80302.0</v>
      </c>
      <c r="B315" s="3" t="s">
        <v>366</v>
      </c>
      <c r="C315" s="4" t="s">
        <v>371</v>
      </c>
      <c r="D315" s="4">
        <f>IF(Datos_originales!$E315&lt;1000,"Bosque menor a 1000 ha",Datos_originales!$E315)</f>
        <v>558977.13</v>
      </c>
      <c r="E315" s="4">
        <v>558977.13</v>
      </c>
      <c r="F315" s="5">
        <f>AVERAGE(Datos_originales!$H109:$J109)</f>
        <v>0</v>
      </c>
      <c r="G315" s="5">
        <f>AVERAGE(Datos_originales!$R109:$T109)</f>
        <v>0</v>
      </c>
      <c r="H315" s="4">
        <v>2608.2</v>
      </c>
      <c r="I315" s="4">
        <v>2687.31</v>
      </c>
      <c r="J315" s="4">
        <v>3460.05</v>
      </c>
      <c r="K315" s="4">
        <v>1977.21</v>
      </c>
      <c r="L315" s="4">
        <v>3133.71</v>
      </c>
      <c r="M315" s="4">
        <v>3203.28</v>
      </c>
      <c r="N315" s="4">
        <v>2623.32</v>
      </c>
      <c r="O315" s="4">
        <v>3605.04</v>
      </c>
      <c r="P315" s="4">
        <v>5488.02</v>
      </c>
      <c r="Q315" s="4">
        <v>4464.09</v>
      </c>
      <c r="R315" s="4">
        <v>1038.6</v>
      </c>
      <c r="S315" s="4">
        <v>3200.85</v>
      </c>
      <c r="T315" s="4">
        <v>3035.07</v>
      </c>
      <c r="U315" s="4">
        <v>4325.58</v>
      </c>
      <c r="V315" s="4">
        <v>3793.14</v>
      </c>
      <c r="W315" s="4">
        <v>5846.49</v>
      </c>
      <c r="X315" s="4">
        <v>3526.83</v>
      </c>
      <c r="Y315" s="4">
        <v>3967.11</v>
      </c>
      <c r="Z315" s="4">
        <v>3644.82</v>
      </c>
      <c r="AA315" s="4">
        <v>3022.92</v>
      </c>
      <c r="AB315" s="4">
        <v>4491.63</v>
      </c>
      <c r="AC315" s="4">
        <v>6045.66</v>
      </c>
      <c r="AD315" s="4">
        <v>5328.99</v>
      </c>
      <c r="AE315" s="4">
        <v>1588.86</v>
      </c>
      <c r="AF315" s="4">
        <v>3449.79</v>
      </c>
      <c r="AG315" s="4">
        <v>6747.48</v>
      </c>
      <c r="AH315" s="6" t="str">
        <f>Datos_originales!$H109/Datos_originales!$E109</f>
        <v>#DIV/0!</v>
      </c>
      <c r="AI315" s="6" t="str">
        <f>Datos_originales!$I109/Datos_originales!$E109</f>
        <v>#DIV/0!</v>
      </c>
      <c r="AJ315" s="6" t="str">
        <f>Datos_originales!$J109/Datos_originales!$E109</f>
        <v>#DIV/0!</v>
      </c>
      <c r="AK315" s="6" t="str">
        <f>Datos_originales!$K109/Datos_originales!$E109</f>
        <v>#DIV/0!</v>
      </c>
      <c r="AL315" s="6" t="str">
        <f>Datos_originales!$L109/Datos_originales!$E109</f>
        <v>#DIV/0!</v>
      </c>
      <c r="AM315" s="6" t="str">
        <f>Datos_originales!$M109/Datos_originales!$E109</f>
        <v>#DIV/0!</v>
      </c>
      <c r="AN315" s="6" t="str">
        <f>Datos_originales!$N109/Datos_originales!$E109</f>
        <v>#DIV/0!</v>
      </c>
      <c r="AO315" s="6" t="str">
        <f>Datos_originales!$O109/Datos_originales!$E109</f>
        <v>#DIV/0!</v>
      </c>
      <c r="AP315" s="6" t="str">
        <f>Datos_originales!$P109/Datos_originales!$E109</f>
        <v>#DIV/0!</v>
      </c>
      <c r="AQ315" s="6" t="str">
        <f>Datos_originales!$Q109/Datos_originales!$E109</f>
        <v>#DIV/0!</v>
      </c>
      <c r="AR315" s="6" t="str">
        <f>Datos_originales!$R109/Datos_originales!$E109</f>
        <v>#DIV/0!</v>
      </c>
      <c r="AS315" s="6" t="str">
        <f>Datos_originales!$S109/Datos_originales!$E109</f>
        <v>#DIV/0!</v>
      </c>
      <c r="AT315" s="6" t="str">
        <f>Datos_originales!$T109/Datos_originales!$E109</f>
        <v>#DIV/0!</v>
      </c>
      <c r="AU315" s="6" t="str">
        <f>Datos_originales!$U109/Datos_originales!$E109</f>
        <v>#DIV/0!</v>
      </c>
      <c r="AV315" s="6" t="str">
        <f>Datos_originales!$V109/Datos_originales!$E109</f>
        <v>#DIV/0!</v>
      </c>
      <c r="AW315" s="6" t="str">
        <f>Datos_originales!$W109/Datos_originales!$E109</f>
        <v>#DIV/0!</v>
      </c>
      <c r="AX315" s="6" t="str">
        <f>Datos_originales!$X109/Datos_originales!$E109</f>
        <v>#DIV/0!</v>
      </c>
      <c r="AY315" s="6" t="str">
        <f>Datos_originales!$Y109/Datos_originales!$E109</f>
        <v>#DIV/0!</v>
      </c>
      <c r="AZ315" s="6" t="str">
        <f>Datos_originales!$Z109/Datos_originales!$E109</f>
        <v>#DIV/0!</v>
      </c>
      <c r="BA315" s="6" t="str">
        <f>Datos_originales!$AA109/Datos_originales!$E109</f>
        <v>#DIV/0!</v>
      </c>
      <c r="BB315" s="6" t="str">
        <f>Datos_originales!$AB109/Datos_originales!$E109</f>
        <v>#DIV/0!</v>
      </c>
      <c r="BC315" s="6" t="str">
        <f>Datos_originales!$AC109/Datos_originales!$E109</f>
        <v>#DIV/0!</v>
      </c>
      <c r="BD315" s="6" t="str">
        <f>Datos_originales!$AD109/Datos_originales!$E109</f>
        <v>#DIV/0!</v>
      </c>
      <c r="BE315" s="6" t="str">
        <f>Datos_originales!$AE109/Datos_originales!$E109</f>
        <v>#DIV/0!</v>
      </c>
      <c r="BF315" s="6" t="str">
        <f>Datos_originales!$AF109/Datos_originales!$E109</f>
        <v>#DIV/0!</v>
      </c>
      <c r="BG315" s="6" t="str">
        <f>Datos_originales!$AG109/Datos_originales!$E109</f>
        <v>#DIV/0!</v>
      </c>
    </row>
    <row r="316" ht="15.75" customHeight="1">
      <c r="A316" s="2">
        <v>80303.0</v>
      </c>
      <c r="B316" s="3" t="s">
        <v>366</v>
      </c>
      <c r="C316" s="4" t="s">
        <v>372</v>
      </c>
      <c r="D316" s="4">
        <f>IF(Datos_originales!$E316&lt;1000,"Bosque menor a 1000 ha",Datos_originales!$E316)</f>
        <v>201943.35</v>
      </c>
      <c r="E316" s="4">
        <v>201943.35</v>
      </c>
      <c r="F316" s="5">
        <f>AVERAGE(Datos_originales!$H78:$J78)</f>
        <v>0.03</v>
      </c>
      <c r="G316" s="5">
        <f>AVERAGE(Datos_originales!$R78:$T78)</f>
        <v>4.77</v>
      </c>
      <c r="H316" s="4">
        <v>191.07</v>
      </c>
      <c r="I316" s="4">
        <v>142.83</v>
      </c>
      <c r="J316" s="4">
        <v>171.27</v>
      </c>
      <c r="K316" s="4">
        <v>127.08</v>
      </c>
      <c r="L316" s="4">
        <v>67.5</v>
      </c>
      <c r="M316" s="4">
        <v>115.02</v>
      </c>
      <c r="N316" s="4">
        <v>71.46</v>
      </c>
      <c r="O316" s="4">
        <v>92.52</v>
      </c>
      <c r="P316" s="4">
        <v>166.77</v>
      </c>
      <c r="Q316" s="4">
        <v>165.87</v>
      </c>
      <c r="R316" s="4">
        <v>420.66</v>
      </c>
      <c r="S316" s="4">
        <v>143.73</v>
      </c>
      <c r="T316" s="4">
        <v>769.86</v>
      </c>
      <c r="U316" s="4">
        <v>1146.06</v>
      </c>
      <c r="V316" s="4">
        <v>578.97</v>
      </c>
      <c r="W316" s="4">
        <v>1156.14</v>
      </c>
      <c r="X316" s="4">
        <v>468.1799999999999</v>
      </c>
      <c r="Y316" s="4">
        <v>222.66</v>
      </c>
      <c r="Z316" s="4">
        <v>288.36</v>
      </c>
      <c r="AA316" s="4">
        <v>216.72</v>
      </c>
      <c r="AB316" s="4">
        <v>235.26</v>
      </c>
      <c r="AC316" s="4">
        <v>448.92</v>
      </c>
      <c r="AD316" s="4">
        <v>294.39</v>
      </c>
      <c r="AE316" s="4">
        <v>1116.09</v>
      </c>
      <c r="AF316" s="4">
        <v>615.4200000000001</v>
      </c>
      <c r="AG316" s="4">
        <v>4005.45</v>
      </c>
      <c r="AH316" s="6">
        <f>Datos_originales!$H78/Datos_originales!$E78</f>
        <v>0.0004053506283</v>
      </c>
      <c r="AI316" s="6">
        <f>Datos_originales!$I78/Datos_originales!$E78</f>
        <v>0</v>
      </c>
      <c r="AJ316" s="6">
        <f>Datos_originales!$J78/Datos_originales!$E78</f>
        <v>0</v>
      </c>
      <c r="AK316" s="6">
        <f>Datos_originales!$K78/Datos_originales!$E78</f>
        <v>0</v>
      </c>
      <c r="AL316" s="6">
        <f>Datos_originales!$L78/Datos_originales!$E78</f>
        <v>0</v>
      </c>
      <c r="AM316" s="6">
        <f>Datos_originales!$M78/Datos_originales!$E78</f>
        <v>0</v>
      </c>
      <c r="AN316" s="6">
        <f>Datos_originales!$N78/Datos_originales!$E78</f>
        <v>0.0004053506283</v>
      </c>
      <c r="AO316" s="6">
        <f>Datos_originales!$O78/Datos_originales!$E78</f>
        <v>0.002026753141</v>
      </c>
      <c r="AP316" s="6">
        <f>Datos_originales!$P78/Datos_originales!$E78</f>
        <v>0.003242805026</v>
      </c>
      <c r="AQ316" s="6">
        <f>Datos_originales!$Q78/Datos_originales!$E78</f>
        <v>0.001216051885</v>
      </c>
      <c r="AR316" s="6">
        <f>Datos_originales!$R78/Datos_originales!$E78</f>
        <v>0</v>
      </c>
      <c r="AS316" s="6">
        <f>Datos_originales!$S78/Datos_originales!$E78</f>
        <v>0.04742602351</v>
      </c>
      <c r="AT316" s="6">
        <f>Datos_originales!$T78/Datos_originales!$E78</f>
        <v>0.01702472639</v>
      </c>
      <c r="AU316" s="6">
        <f>Datos_originales!$U78/Datos_originales!$E78</f>
        <v>0.006485610053</v>
      </c>
      <c r="AV316" s="6">
        <f>Datos_originales!$V78/Datos_originales!$E78</f>
        <v>0.0008107012566</v>
      </c>
      <c r="AW316" s="6">
        <f>Datos_originales!$W78/Datos_originales!$E78</f>
        <v>0.01053911634</v>
      </c>
      <c r="AX316" s="6">
        <f>Datos_originales!$X78/Datos_originales!$E78</f>
        <v>0.001216051885</v>
      </c>
      <c r="AY316" s="6">
        <f>Datos_originales!$Y78/Datos_originales!$E78</f>
        <v>0.0004053506283</v>
      </c>
      <c r="AZ316" s="6">
        <f>Datos_originales!$Z78/Datos_originales!$E78</f>
        <v>0.00486420754</v>
      </c>
      <c r="BA316" s="6">
        <f>Datos_originales!$AA78/Datos_originales!$E78</f>
        <v>0.005674908796</v>
      </c>
      <c r="BB316" s="6">
        <f>Datos_originales!$AB78/Datos_originales!$E78</f>
        <v>0.02675314147</v>
      </c>
      <c r="BC316" s="6">
        <f>Datos_originales!$AC78/Datos_originales!$E78</f>
        <v>0.03931901094</v>
      </c>
      <c r="BD316" s="6">
        <f>Datos_originales!$AD78/Datos_originales!$E78</f>
        <v>0.001216051885</v>
      </c>
      <c r="BE316" s="6">
        <f>Datos_originales!$AE78/Datos_originales!$E78</f>
        <v>0</v>
      </c>
      <c r="BF316" s="6">
        <f>Datos_originales!$AF78/Datos_originales!$E78</f>
        <v>0.05391163356</v>
      </c>
      <c r="BG316" s="6">
        <f>Datos_originales!$AG78/Datos_originales!$E78</f>
        <v>0.01702472639</v>
      </c>
    </row>
    <row r="317" ht="15.75" customHeight="1">
      <c r="A317" s="2">
        <v>80304.0</v>
      </c>
      <c r="B317" s="3" t="s">
        <v>366</v>
      </c>
      <c r="C317" s="4" t="s">
        <v>373</v>
      </c>
      <c r="D317" s="4">
        <f>IF(Datos_originales!$E317&lt;1000,"Bosque menor a 1000 ha",Datos_originales!$E317)</f>
        <v>206885.16</v>
      </c>
      <c r="E317" s="4">
        <v>206885.16</v>
      </c>
      <c r="F317" s="5">
        <f>AVERAGE(Datos_originales!$H112:$J112)</f>
        <v>0</v>
      </c>
      <c r="G317" s="5">
        <f>AVERAGE(Datos_originales!$R112:$T112)</f>
        <v>0</v>
      </c>
      <c r="H317" s="4">
        <v>891.36</v>
      </c>
      <c r="I317" s="4">
        <v>1391.31</v>
      </c>
      <c r="J317" s="4">
        <v>2228.22</v>
      </c>
      <c r="K317" s="4">
        <v>1089.45</v>
      </c>
      <c r="L317" s="4">
        <v>1283.58</v>
      </c>
      <c r="M317" s="4">
        <v>1181.88</v>
      </c>
      <c r="N317" s="4">
        <v>1657.62</v>
      </c>
      <c r="O317" s="4">
        <v>2256.93</v>
      </c>
      <c r="P317" s="4">
        <v>2179.53</v>
      </c>
      <c r="Q317" s="4">
        <v>1656.09</v>
      </c>
      <c r="R317" s="4">
        <v>666.09</v>
      </c>
      <c r="S317" s="4">
        <v>1982.61</v>
      </c>
      <c r="T317" s="4">
        <v>1255.14</v>
      </c>
      <c r="U317" s="4">
        <v>1865.79</v>
      </c>
      <c r="V317" s="4">
        <v>2359.62</v>
      </c>
      <c r="W317" s="4">
        <v>6890.76</v>
      </c>
      <c r="X317" s="4">
        <v>3538.62</v>
      </c>
      <c r="Y317" s="4">
        <v>1912.77</v>
      </c>
      <c r="Z317" s="4">
        <v>1625.31</v>
      </c>
      <c r="AA317" s="4">
        <v>2070.72</v>
      </c>
      <c r="AB317" s="4">
        <v>2643.75</v>
      </c>
      <c r="AC317" s="4">
        <v>2483.19</v>
      </c>
      <c r="AD317" s="4">
        <v>2354.31</v>
      </c>
      <c r="AE317" s="4">
        <v>774.36</v>
      </c>
      <c r="AF317" s="4">
        <v>2184.03</v>
      </c>
      <c r="AG317" s="4">
        <v>2426.58</v>
      </c>
      <c r="AH317" s="6" t="str">
        <f>Datos_originales!$H112/Datos_originales!$E112</f>
        <v>#DIV/0!</v>
      </c>
      <c r="AI317" s="6" t="str">
        <f>Datos_originales!$I112/Datos_originales!$E112</f>
        <v>#DIV/0!</v>
      </c>
      <c r="AJ317" s="6" t="str">
        <f>Datos_originales!$J112/Datos_originales!$E112</f>
        <v>#DIV/0!</v>
      </c>
      <c r="AK317" s="6" t="str">
        <f>Datos_originales!$K112/Datos_originales!$E112</f>
        <v>#DIV/0!</v>
      </c>
      <c r="AL317" s="6" t="str">
        <f>Datos_originales!$L112/Datos_originales!$E112</f>
        <v>#DIV/0!</v>
      </c>
      <c r="AM317" s="6" t="str">
        <f>Datos_originales!$M112/Datos_originales!$E112</f>
        <v>#DIV/0!</v>
      </c>
      <c r="AN317" s="6" t="str">
        <f>Datos_originales!$N112/Datos_originales!$E112</f>
        <v>#DIV/0!</v>
      </c>
      <c r="AO317" s="6" t="str">
        <f>Datos_originales!$O112/Datos_originales!$E112</f>
        <v>#DIV/0!</v>
      </c>
      <c r="AP317" s="6" t="str">
        <f>Datos_originales!$P112/Datos_originales!$E112</f>
        <v>#DIV/0!</v>
      </c>
      <c r="AQ317" s="6" t="str">
        <f>Datos_originales!$Q112/Datos_originales!$E112</f>
        <v>#DIV/0!</v>
      </c>
      <c r="AR317" s="6" t="str">
        <f>Datos_originales!$R112/Datos_originales!$E112</f>
        <v>#DIV/0!</v>
      </c>
      <c r="AS317" s="6" t="str">
        <f>Datos_originales!$S112/Datos_originales!$E112</f>
        <v>#DIV/0!</v>
      </c>
      <c r="AT317" s="6" t="str">
        <f>Datos_originales!$T112/Datos_originales!$E112</f>
        <v>#DIV/0!</v>
      </c>
      <c r="AU317" s="6" t="str">
        <f>Datos_originales!$U112/Datos_originales!$E112</f>
        <v>#DIV/0!</v>
      </c>
      <c r="AV317" s="6" t="str">
        <f>Datos_originales!$V112/Datos_originales!$E112</f>
        <v>#DIV/0!</v>
      </c>
      <c r="AW317" s="6" t="str">
        <f>Datos_originales!$W112/Datos_originales!$E112</f>
        <v>#DIV/0!</v>
      </c>
      <c r="AX317" s="6" t="str">
        <f>Datos_originales!$X112/Datos_originales!$E112</f>
        <v>#DIV/0!</v>
      </c>
      <c r="AY317" s="6" t="str">
        <f>Datos_originales!$Y112/Datos_originales!$E112</f>
        <v>#DIV/0!</v>
      </c>
      <c r="AZ317" s="6" t="str">
        <f>Datos_originales!$Z112/Datos_originales!$E112</f>
        <v>#DIV/0!</v>
      </c>
      <c r="BA317" s="6" t="str">
        <f>Datos_originales!$AA112/Datos_originales!$E112</f>
        <v>#DIV/0!</v>
      </c>
      <c r="BB317" s="6" t="str">
        <f>Datos_originales!$AB112/Datos_originales!$E112</f>
        <v>#DIV/0!</v>
      </c>
      <c r="BC317" s="6" t="str">
        <f>Datos_originales!$AC112/Datos_originales!$E112</f>
        <v>#DIV/0!</v>
      </c>
      <c r="BD317" s="6" t="str">
        <f>Datos_originales!$AD112/Datos_originales!$E112</f>
        <v>#DIV/0!</v>
      </c>
      <c r="BE317" s="6" t="str">
        <f>Datos_originales!$AE112/Datos_originales!$E112</f>
        <v>#DIV/0!</v>
      </c>
      <c r="BF317" s="6" t="str">
        <f>Datos_originales!$AF112/Datos_originales!$E112</f>
        <v>#DIV/0!</v>
      </c>
      <c r="BG317" s="6" t="str">
        <f>Datos_originales!$AG112/Datos_originales!$E112</f>
        <v>#DIV/0!</v>
      </c>
    </row>
    <row r="318" ht="15.75" customHeight="1">
      <c r="A318" s="2">
        <v>80401.0</v>
      </c>
      <c r="B318" s="3" t="s">
        <v>366</v>
      </c>
      <c r="C318" s="4" t="s">
        <v>374</v>
      </c>
      <c r="D318" s="4">
        <f>IF(Datos_originales!$E318&lt;1000,"Bosque menor a 1000 ha",Datos_originales!$E318)</f>
        <v>453998.25</v>
      </c>
      <c r="E318" s="4">
        <v>453998.25</v>
      </c>
      <c r="F318" s="5">
        <f>AVERAGE(Datos_originales!$H93:$J93)</f>
        <v>0</v>
      </c>
      <c r="G318" s="5">
        <f>AVERAGE(Datos_originales!$R93:$T93)</f>
        <v>0.18</v>
      </c>
      <c r="H318" s="4">
        <v>1002.51</v>
      </c>
      <c r="I318" s="4">
        <v>761.85</v>
      </c>
      <c r="J318" s="4">
        <v>1061.37</v>
      </c>
      <c r="K318" s="4">
        <v>494.55</v>
      </c>
      <c r="L318" s="4">
        <v>822.87</v>
      </c>
      <c r="M318" s="4">
        <v>546.84</v>
      </c>
      <c r="N318" s="4">
        <v>520.47</v>
      </c>
      <c r="O318" s="4">
        <v>1875.69</v>
      </c>
      <c r="P318" s="4">
        <v>797.13</v>
      </c>
      <c r="Q318" s="4">
        <v>461.43</v>
      </c>
      <c r="R318" s="4">
        <v>287.01</v>
      </c>
      <c r="S318" s="4">
        <v>504.72</v>
      </c>
      <c r="T318" s="4">
        <v>1070.19</v>
      </c>
      <c r="U318" s="4">
        <v>11979.45</v>
      </c>
      <c r="V318" s="4">
        <v>4686.57</v>
      </c>
      <c r="W318" s="4">
        <v>8220.06</v>
      </c>
      <c r="X318" s="4">
        <v>3505.86</v>
      </c>
      <c r="Y318" s="4">
        <v>3842.91</v>
      </c>
      <c r="Z318" s="4">
        <v>1951.47</v>
      </c>
      <c r="AA318" s="4">
        <v>1638.9</v>
      </c>
      <c r="AB318" s="4">
        <v>5758.74</v>
      </c>
      <c r="AC318" s="4">
        <v>3263.13</v>
      </c>
      <c r="AD318" s="4">
        <v>1290.15</v>
      </c>
      <c r="AE318" s="4">
        <v>2391.39</v>
      </c>
      <c r="AF318" s="4">
        <v>1475.91</v>
      </c>
      <c r="AG318" s="4">
        <v>7290.809999999999</v>
      </c>
      <c r="AH318" s="6">
        <f>Datos_originales!$H93/Datos_originales!$E93</f>
        <v>0</v>
      </c>
      <c r="AI318" s="6">
        <f>Datos_originales!$I93/Datos_originales!$E93</f>
        <v>0</v>
      </c>
      <c r="AJ318" s="6">
        <f>Datos_originales!$J93/Datos_originales!$E93</f>
        <v>0</v>
      </c>
      <c r="AK318" s="6">
        <f>Datos_originales!$K93/Datos_originales!$E93</f>
        <v>0</v>
      </c>
      <c r="AL318" s="6">
        <f>Datos_originales!$L93/Datos_originales!$E93</f>
        <v>0</v>
      </c>
      <c r="AM318" s="6">
        <f>Datos_originales!$M93/Datos_originales!$E93</f>
        <v>0</v>
      </c>
      <c r="AN318" s="6">
        <f>Datos_originales!$N93/Datos_originales!$E93</f>
        <v>0</v>
      </c>
      <c r="AO318" s="6">
        <f>Datos_originales!$O93/Datos_originales!$E93</f>
        <v>0</v>
      </c>
      <c r="AP318" s="6">
        <f>Datos_originales!$P93/Datos_originales!$E93</f>
        <v>0</v>
      </c>
      <c r="AQ318" s="6">
        <f>Datos_originales!$Q93/Datos_originales!$E93</f>
        <v>0</v>
      </c>
      <c r="AR318" s="6">
        <f>Datos_originales!$R93/Datos_originales!$E93</f>
        <v>0</v>
      </c>
      <c r="AS318" s="6">
        <f>Datos_originales!$S93/Datos_originales!$E93</f>
        <v>0.07317073171</v>
      </c>
      <c r="AT318" s="6">
        <f>Datos_originales!$T93/Datos_originales!$E93</f>
        <v>0</v>
      </c>
      <c r="AU318" s="6">
        <f>Datos_originales!$U93/Datos_originales!$E93</f>
        <v>0</v>
      </c>
      <c r="AV318" s="6">
        <f>Datos_originales!$V93/Datos_originales!$E93</f>
        <v>0</v>
      </c>
      <c r="AW318" s="6">
        <f>Datos_originales!$W93/Datos_originales!$E93</f>
        <v>0.0487804878</v>
      </c>
      <c r="AX318" s="6">
        <f>Datos_originales!$X93/Datos_originales!$E93</f>
        <v>0</v>
      </c>
      <c r="AY318" s="6">
        <f>Datos_originales!$Y93/Datos_originales!$E93</f>
        <v>0</v>
      </c>
      <c r="AZ318" s="6">
        <f>Datos_originales!$Z93/Datos_originales!$E93</f>
        <v>0</v>
      </c>
      <c r="BA318" s="6">
        <f>Datos_originales!$AA93/Datos_originales!$E93</f>
        <v>0.0243902439</v>
      </c>
      <c r="BB318" s="6">
        <f>Datos_originales!$AB93/Datos_originales!$E93</f>
        <v>0</v>
      </c>
      <c r="BC318" s="6">
        <f>Datos_originales!$AC93/Datos_originales!$E93</f>
        <v>0</v>
      </c>
      <c r="BD318" s="6">
        <f>Datos_originales!$AD93/Datos_originales!$E93</f>
        <v>0</v>
      </c>
      <c r="BE318" s="6">
        <f>Datos_originales!$AE93/Datos_originales!$E93</f>
        <v>0.01219512195</v>
      </c>
      <c r="BF318" s="6">
        <f>Datos_originales!$AF93/Datos_originales!$E93</f>
        <v>0.07317073171</v>
      </c>
      <c r="BG318" s="6">
        <f>Datos_originales!$AG93/Datos_originales!$E93</f>
        <v>0</v>
      </c>
    </row>
    <row r="319" ht="15.75" customHeight="1">
      <c r="A319" s="2">
        <v>80402.0</v>
      </c>
      <c r="B319" s="3" t="s">
        <v>366</v>
      </c>
      <c r="C319" s="4" t="s">
        <v>375</v>
      </c>
      <c r="D319" s="4">
        <f>IF(Datos_originales!$E319&lt;1000,"Bosque menor a 1000 ha",Datos_originales!$E319)</f>
        <v>554632.11</v>
      </c>
      <c r="E319" s="4">
        <v>554632.11</v>
      </c>
      <c r="F319" s="5">
        <f>AVERAGE(Datos_originales!$H114:$J114)</f>
        <v>0</v>
      </c>
      <c r="G319" s="5">
        <f>AVERAGE(Datos_originales!$R114:$T114)</f>
        <v>0</v>
      </c>
      <c r="H319" s="4">
        <v>235.89</v>
      </c>
      <c r="I319" s="4">
        <v>176.85</v>
      </c>
      <c r="J319" s="4">
        <v>127.71</v>
      </c>
      <c r="K319" s="4">
        <v>103.5</v>
      </c>
      <c r="L319" s="4">
        <v>115.65</v>
      </c>
      <c r="M319" s="4">
        <v>104.04</v>
      </c>
      <c r="N319" s="4">
        <v>73.17</v>
      </c>
      <c r="O319" s="4">
        <v>106.2</v>
      </c>
      <c r="P319" s="4">
        <v>149.85</v>
      </c>
      <c r="Q319" s="4">
        <v>473.04</v>
      </c>
      <c r="R319" s="4">
        <v>508.77</v>
      </c>
      <c r="S319" s="4">
        <v>178.47</v>
      </c>
      <c r="T319" s="4">
        <v>855.72</v>
      </c>
      <c r="U319" s="4">
        <v>4398.57</v>
      </c>
      <c r="V319" s="4">
        <v>2054.43</v>
      </c>
      <c r="W319" s="4">
        <v>5584.41</v>
      </c>
      <c r="X319" s="4">
        <v>935.19</v>
      </c>
      <c r="Y319" s="4">
        <v>1892.52</v>
      </c>
      <c r="Z319" s="4">
        <v>854.46</v>
      </c>
      <c r="AA319" s="4">
        <v>476.55</v>
      </c>
      <c r="AB319" s="4">
        <v>637.47</v>
      </c>
      <c r="AC319" s="4">
        <v>1409.22</v>
      </c>
      <c r="AD319" s="4">
        <v>903.06</v>
      </c>
      <c r="AE319" s="4">
        <v>1602.63</v>
      </c>
      <c r="AF319" s="4">
        <v>1440.63</v>
      </c>
      <c r="AG319" s="4">
        <v>6385.77</v>
      </c>
      <c r="AH319" s="6" t="str">
        <f>Datos_originales!$H114/Datos_originales!$E114</f>
        <v>#DIV/0!</v>
      </c>
      <c r="AI319" s="6" t="str">
        <f>Datos_originales!$I114/Datos_originales!$E114</f>
        <v>#DIV/0!</v>
      </c>
      <c r="AJ319" s="6" t="str">
        <f>Datos_originales!$J114/Datos_originales!$E114</f>
        <v>#DIV/0!</v>
      </c>
      <c r="AK319" s="6" t="str">
        <f>Datos_originales!$K114/Datos_originales!$E114</f>
        <v>#DIV/0!</v>
      </c>
      <c r="AL319" s="6" t="str">
        <f>Datos_originales!$L114/Datos_originales!$E114</f>
        <v>#DIV/0!</v>
      </c>
      <c r="AM319" s="6" t="str">
        <f>Datos_originales!$M114/Datos_originales!$E114</f>
        <v>#DIV/0!</v>
      </c>
      <c r="AN319" s="6" t="str">
        <f>Datos_originales!$N114/Datos_originales!$E114</f>
        <v>#DIV/0!</v>
      </c>
      <c r="AO319" s="6" t="str">
        <f>Datos_originales!$O114/Datos_originales!$E114</f>
        <v>#DIV/0!</v>
      </c>
      <c r="AP319" s="6" t="str">
        <f>Datos_originales!$P114/Datos_originales!$E114</f>
        <v>#DIV/0!</v>
      </c>
      <c r="AQ319" s="6" t="str">
        <f>Datos_originales!$Q114/Datos_originales!$E114</f>
        <v>#DIV/0!</v>
      </c>
      <c r="AR319" s="6" t="str">
        <f>Datos_originales!$R114/Datos_originales!$E114</f>
        <v>#DIV/0!</v>
      </c>
      <c r="AS319" s="6" t="str">
        <f>Datos_originales!$S114/Datos_originales!$E114</f>
        <v>#DIV/0!</v>
      </c>
      <c r="AT319" s="6" t="str">
        <f>Datos_originales!$T114/Datos_originales!$E114</f>
        <v>#DIV/0!</v>
      </c>
      <c r="AU319" s="6" t="str">
        <f>Datos_originales!$U114/Datos_originales!$E114</f>
        <v>#DIV/0!</v>
      </c>
      <c r="AV319" s="6" t="str">
        <f>Datos_originales!$V114/Datos_originales!$E114</f>
        <v>#DIV/0!</v>
      </c>
      <c r="AW319" s="6" t="str">
        <f>Datos_originales!$W114/Datos_originales!$E114</f>
        <v>#DIV/0!</v>
      </c>
      <c r="AX319" s="6" t="str">
        <f>Datos_originales!$X114/Datos_originales!$E114</f>
        <v>#DIV/0!</v>
      </c>
      <c r="AY319" s="6" t="str">
        <f>Datos_originales!$Y114/Datos_originales!$E114</f>
        <v>#DIV/0!</v>
      </c>
      <c r="AZ319" s="6" t="str">
        <f>Datos_originales!$Z114/Datos_originales!$E114</f>
        <v>#DIV/0!</v>
      </c>
      <c r="BA319" s="6" t="str">
        <f>Datos_originales!$AA114/Datos_originales!$E114</f>
        <v>#DIV/0!</v>
      </c>
      <c r="BB319" s="6" t="str">
        <f>Datos_originales!$AB114/Datos_originales!$E114</f>
        <v>#DIV/0!</v>
      </c>
      <c r="BC319" s="6" t="str">
        <f>Datos_originales!$AC114/Datos_originales!$E114</f>
        <v>#DIV/0!</v>
      </c>
      <c r="BD319" s="6" t="str">
        <f>Datos_originales!$AD114/Datos_originales!$E114</f>
        <v>#DIV/0!</v>
      </c>
      <c r="BE319" s="6" t="str">
        <f>Datos_originales!$AE114/Datos_originales!$E114</f>
        <v>#DIV/0!</v>
      </c>
      <c r="BF319" s="6" t="str">
        <f>Datos_originales!$AF114/Datos_originales!$E114</f>
        <v>#DIV/0!</v>
      </c>
      <c r="BG319" s="6" t="str">
        <f>Datos_originales!$AG114/Datos_originales!$E114</f>
        <v>#DIV/0!</v>
      </c>
    </row>
    <row r="320" ht="15.75" customHeight="1">
      <c r="A320" s="2">
        <v>80501.0</v>
      </c>
      <c r="B320" s="3" t="s">
        <v>366</v>
      </c>
      <c r="C320" s="4" t="s">
        <v>376</v>
      </c>
      <c r="D320" s="4">
        <f>IF(Datos_originales!$E320&lt;1000,"Bosque menor a 1000 ha",Datos_originales!$E320)</f>
        <v>1079191.8</v>
      </c>
      <c r="E320" s="4">
        <v>1079191.8</v>
      </c>
      <c r="F320" s="5">
        <f>AVERAGE(Datos_originales!$H113:$J113)</f>
        <v>0</v>
      </c>
      <c r="G320" s="5">
        <f>AVERAGE(Datos_originales!$R113:$T113)</f>
        <v>0</v>
      </c>
      <c r="H320" s="4">
        <v>413.28</v>
      </c>
      <c r="I320" s="4">
        <v>603.45</v>
      </c>
      <c r="J320" s="4">
        <v>488.16</v>
      </c>
      <c r="K320" s="4">
        <v>428.4</v>
      </c>
      <c r="L320" s="4">
        <v>439.11</v>
      </c>
      <c r="M320" s="4">
        <v>862.92</v>
      </c>
      <c r="N320" s="4">
        <v>371.7</v>
      </c>
      <c r="O320" s="4">
        <v>532.35</v>
      </c>
      <c r="P320" s="4">
        <v>894.6</v>
      </c>
      <c r="Q320" s="4">
        <v>1017.81</v>
      </c>
      <c r="R320" s="4">
        <v>517.5</v>
      </c>
      <c r="S320" s="4">
        <v>1803.87</v>
      </c>
      <c r="T320" s="4">
        <v>1322.37</v>
      </c>
      <c r="U320" s="4">
        <v>10452.42</v>
      </c>
      <c r="V320" s="4">
        <v>5697.27</v>
      </c>
      <c r="W320" s="4">
        <v>7201.35</v>
      </c>
      <c r="X320" s="4">
        <v>4242.059999999999</v>
      </c>
      <c r="Y320" s="4">
        <v>2016.36</v>
      </c>
      <c r="Z320" s="4">
        <v>2693.61</v>
      </c>
      <c r="AA320" s="4">
        <v>2849.13</v>
      </c>
      <c r="AB320" s="4">
        <v>2332.8</v>
      </c>
      <c r="AC320" s="4">
        <v>2026.26</v>
      </c>
      <c r="AD320" s="4">
        <v>2164.77</v>
      </c>
      <c r="AE320" s="4">
        <v>3260.34</v>
      </c>
      <c r="AF320" s="4">
        <v>4909.5</v>
      </c>
      <c r="AG320" s="4">
        <v>12492.09</v>
      </c>
      <c r="AH320" s="6" t="str">
        <f>Datos_originales!$H113/Datos_originales!$E113</f>
        <v>#DIV/0!</v>
      </c>
      <c r="AI320" s="6" t="str">
        <f>Datos_originales!$I113/Datos_originales!$E113</f>
        <v>#DIV/0!</v>
      </c>
      <c r="AJ320" s="6" t="str">
        <f>Datos_originales!$J113/Datos_originales!$E113</f>
        <v>#DIV/0!</v>
      </c>
      <c r="AK320" s="6" t="str">
        <f>Datos_originales!$K113/Datos_originales!$E113</f>
        <v>#DIV/0!</v>
      </c>
      <c r="AL320" s="6" t="str">
        <f>Datos_originales!$L113/Datos_originales!$E113</f>
        <v>#DIV/0!</v>
      </c>
      <c r="AM320" s="6" t="str">
        <f>Datos_originales!$M113/Datos_originales!$E113</f>
        <v>#DIV/0!</v>
      </c>
      <c r="AN320" s="6" t="str">
        <f>Datos_originales!$N113/Datos_originales!$E113</f>
        <v>#DIV/0!</v>
      </c>
      <c r="AO320" s="6" t="str">
        <f>Datos_originales!$O113/Datos_originales!$E113</f>
        <v>#DIV/0!</v>
      </c>
      <c r="AP320" s="6" t="str">
        <f>Datos_originales!$P113/Datos_originales!$E113</f>
        <v>#DIV/0!</v>
      </c>
      <c r="AQ320" s="6" t="str">
        <f>Datos_originales!$Q113/Datos_originales!$E113</f>
        <v>#DIV/0!</v>
      </c>
      <c r="AR320" s="6" t="str">
        <f>Datos_originales!$R113/Datos_originales!$E113</f>
        <v>#DIV/0!</v>
      </c>
      <c r="AS320" s="6" t="str">
        <f>Datos_originales!$S113/Datos_originales!$E113</f>
        <v>#DIV/0!</v>
      </c>
      <c r="AT320" s="6" t="str">
        <f>Datos_originales!$T113/Datos_originales!$E113</f>
        <v>#DIV/0!</v>
      </c>
      <c r="AU320" s="6" t="str">
        <f>Datos_originales!$U113/Datos_originales!$E113</f>
        <v>#DIV/0!</v>
      </c>
      <c r="AV320" s="6" t="str">
        <f>Datos_originales!$V113/Datos_originales!$E113</f>
        <v>#DIV/0!</v>
      </c>
      <c r="AW320" s="6" t="str">
        <f>Datos_originales!$W113/Datos_originales!$E113</f>
        <v>#DIV/0!</v>
      </c>
      <c r="AX320" s="6" t="str">
        <f>Datos_originales!$X113/Datos_originales!$E113</f>
        <v>#DIV/0!</v>
      </c>
      <c r="AY320" s="6" t="str">
        <f>Datos_originales!$Y113/Datos_originales!$E113</f>
        <v>#DIV/0!</v>
      </c>
      <c r="AZ320" s="6" t="str">
        <f>Datos_originales!$Z113/Datos_originales!$E113</f>
        <v>#DIV/0!</v>
      </c>
      <c r="BA320" s="6" t="str">
        <f>Datos_originales!$AA113/Datos_originales!$E113</f>
        <v>#DIV/0!</v>
      </c>
      <c r="BB320" s="6" t="str">
        <f>Datos_originales!$AB113/Datos_originales!$E113</f>
        <v>#DIV/0!</v>
      </c>
      <c r="BC320" s="6" t="str">
        <f>Datos_originales!$AC113/Datos_originales!$E113</f>
        <v>#DIV/0!</v>
      </c>
      <c r="BD320" s="6" t="str">
        <f>Datos_originales!$AD113/Datos_originales!$E113</f>
        <v>#DIV/0!</v>
      </c>
      <c r="BE320" s="6" t="str">
        <f>Datos_originales!$AE113/Datos_originales!$E113</f>
        <v>#DIV/0!</v>
      </c>
      <c r="BF320" s="6" t="str">
        <f>Datos_originales!$AF113/Datos_originales!$E113</f>
        <v>#DIV/0!</v>
      </c>
      <c r="BG320" s="6" t="str">
        <f>Datos_originales!$AG113/Datos_originales!$E113</f>
        <v>#DIV/0!</v>
      </c>
    </row>
    <row r="321" ht="15.75" customHeight="1">
      <c r="A321" s="2">
        <v>80601.0</v>
      </c>
      <c r="B321" s="3" t="s">
        <v>366</v>
      </c>
      <c r="C321" s="4" t="s">
        <v>377</v>
      </c>
      <c r="D321" s="4">
        <f>IF(Datos_originales!$E321&lt;1000,"Bosque menor a 1000 ha",Datos_originales!$E321)</f>
        <v>267892.65</v>
      </c>
      <c r="E321" s="4">
        <v>267892.65</v>
      </c>
      <c r="F321" s="5">
        <f>AVERAGE(Datos_originales!$H49:$J49)</f>
        <v>0</v>
      </c>
      <c r="G321" s="5">
        <f>AVERAGE(Datos_originales!$R49:$T49)</f>
        <v>0</v>
      </c>
      <c r="H321" s="4">
        <v>75.51</v>
      </c>
      <c r="I321" s="4">
        <v>33.66</v>
      </c>
      <c r="J321" s="4">
        <v>30.96</v>
      </c>
      <c r="K321" s="4">
        <v>14.76</v>
      </c>
      <c r="L321" s="4">
        <v>19.53</v>
      </c>
      <c r="M321" s="4">
        <v>22.41</v>
      </c>
      <c r="N321" s="4">
        <v>28.62</v>
      </c>
      <c r="O321" s="4">
        <v>18.27</v>
      </c>
      <c r="P321" s="4">
        <v>42.39</v>
      </c>
      <c r="Q321" s="4">
        <v>132.48</v>
      </c>
      <c r="R321" s="4">
        <v>31.77</v>
      </c>
      <c r="S321" s="4">
        <v>194.13</v>
      </c>
      <c r="T321" s="4">
        <v>344.25</v>
      </c>
      <c r="U321" s="4">
        <v>8147.16</v>
      </c>
      <c r="V321" s="4">
        <v>2517.39</v>
      </c>
      <c r="W321" s="4">
        <v>3193.2</v>
      </c>
      <c r="X321" s="4">
        <v>1632.69</v>
      </c>
      <c r="Y321" s="4">
        <v>763.2</v>
      </c>
      <c r="Z321" s="4">
        <v>764.1</v>
      </c>
      <c r="AA321" s="4">
        <v>1235.88</v>
      </c>
      <c r="AB321" s="4">
        <v>1533.78</v>
      </c>
      <c r="AC321" s="4">
        <v>1239.12</v>
      </c>
      <c r="AD321" s="4">
        <v>656.9100000000001</v>
      </c>
      <c r="AE321" s="4">
        <v>540.36</v>
      </c>
      <c r="AF321" s="4">
        <v>1326.96</v>
      </c>
      <c r="AG321" s="4">
        <v>10383.84</v>
      </c>
      <c r="AH321" s="6" t="str">
        <f>Datos_originales!$H49/Datos_originales!$E49</f>
        <v>#DIV/0!</v>
      </c>
      <c r="AI321" s="6" t="str">
        <f>Datos_originales!$I49/Datos_originales!$E49</f>
        <v>#DIV/0!</v>
      </c>
      <c r="AJ321" s="6" t="str">
        <f>Datos_originales!$J49/Datos_originales!$E49</f>
        <v>#DIV/0!</v>
      </c>
      <c r="AK321" s="6" t="str">
        <f>Datos_originales!$K49/Datos_originales!$E49</f>
        <v>#DIV/0!</v>
      </c>
      <c r="AL321" s="6" t="str">
        <f>Datos_originales!$L49/Datos_originales!$E49</f>
        <v>#DIV/0!</v>
      </c>
      <c r="AM321" s="6" t="str">
        <f>Datos_originales!$M49/Datos_originales!$E49</f>
        <v>#DIV/0!</v>
      </c>
      <c r="AN321" s="6" t="str">
        <f>Datos_originales!$N49/Datos_originales!$E49</f>
        <v>#DIV/0!</v>
      </c>
      <c r="AO321" s="6" t="str">
        <f>Datos_originales!$O49/Datos_originales!$E49</f>
        <v>#DIV/0!</v>
      </c>
      <c r="AP321" s="6" t="str">
        <f>Datos_originales!$P49/Datos_originales!$E49</f>
        <v>#DIV/0!</v>
      </c>
      <c r="AQ321" s="6" t="str">
        <f>Datos_originales!$Q49/Datos_originales!$E49</f>
        <v>#DIV/0!</v>
      </c>
      <c r="AR321" s="6" t="str">
        <f>Datos_originales!$R49/Datos_originales!$E49</f>
        <v>#DIV/0!</v>
      </c>
      <c r="AS321" s="6" t="str">
        <f>Datos_originales!$S49/Datos_originales!$E49</f>
        <v>#DIV/0!</v>
      </c>
      <c r="AT321" s="6" t="str">
        <f>Datos_originales!$T49/Datos_originales!$E49</f>
        <v>#DIV/0!</v>
      </c>
      <c r="AU321" s="6" t="str">
        <f>Datos_originales!$U49/Datos_originales!$E49</f>
        <v>#DIV/0!</v>
      </c>
      <c r="AV321" s="6" t="str">
        <f>Datos_originales!$V49/Datos_originales!$E49</f>
        <v>#DIV/0!</v>
      </c>
      <c r="AW321" s="6" t="str">
        <f>Datos_originales!$W49/Datos_originales!$E49</f>
        <v>#DIV/0!</v>
      </c>
      <c r="AX321" s="6" t="str">
        <f>Datos_originales!$X49/Datos_originales!$E49</f>
        <v>#DIV/0!</v>
      </c>
      <c r="AY321" s="6" t="str">
        <f>Datos_originales!$Y49/Datos_originales!$E49</f>
        <v>#DIV/0!</v>
      </c>
      <c r="AZ321" s="6" t="str">
        <f>Datos_originales!$Z49/Datos_originales!$E49</f>
        <v>#DIV/0!</v>
      </c>
      <c r="BA321" s="6" t="str">
        <f>Datos_originales!$AA49/Datos_originales!$E49</f>
        <v>#DIV/0!</v>
      </c>
      <c r="BB321" s="6" t="str">
        <f>Datos_originales!$AB49/Datos_originales!$E49</f>
        <v>#DIV/0!</v>
      </c>
      <c r="BC321" s="6" t="str">
        <f>Datos_originales!$AC49/Datos_originales!$E49</f>
        <v>#DIV/0!</v>
      </c>
      <c r="BD321" s="6" t="str">
        <f>Datos_originales!$AD49/Datos_originales!$E49</f>
        <v>#DIV/0!</v>
      </c>
      <c r="BE321" s="6" t="str">
        <f>Datos_originales!$AE49/Datos_originales!$E49</f>
        <v>#DIV/0!</v>
      </c>
      <c r="BF321" s="6" t="str">
        <f>Datos_originales!$AF49/Datos_originales!$E49</f>
        <v>#DIV/0!</v>
      </c>
      <c r="BG321" s="6" t="str">
        <f>Datos_originales!$AG49/Datos_originales!$E49</f>
        <v>#DIV/0!</v>
      </c>
    </row>
    <row r="322" ht="15.75" customHeight="1">
      <c r="A322" s="2">
        <v>80602.0</v>
      </c>
      <c r="B322" s="3" t="s">
        <v>366</v>
      </c>
      <c r="C322" s="4" t="s">
        <v>378</v>
      </c>
      <c r="D322" s="4">
        <f>IF(Datos_originales!$E322&lt;1000,"Bosque menor a 1000 ha",Datos_originales!$E322)</f>
        <v>485036.55</v>
      </c>
      <c r="E322" s="4">
        <v>485036.55</v>
      </c>
      <c r="F322" s="5">
        <f>AVERAGE(Datos_originales!$H38:$J38)</f>
        <v>0</v>
      </c>
      <c r="G322" s="5">
        <f>AVERAGE(Datos_originales!$R38:$T38)</f>
        <v>0</v>
      </c>
      <c r="H322" s="4">
        <v>2207.52</v>
      </c>
      <c r="I322" s="4">
        <v>1620.54</v>
      </c>
      <c r="J322" s="4">
        <v>4654.440000000001</v>
      </c>
      <c r="K322" s="4">
        <v>2907.54</v>
      </c>
      <c r="L322" s="4">
        <v>5281.2</v>
      </c>
      <c r="M322" s="4">
        <v>5191.29</v>
      </c>
      <c r="N322" s="4">
        <v>3543.84</v>
      </c>
      <c r="O322" s="4">
        <v>3908.61</v>
      </c>
      <c r="P322" s="4">
        <v>3595.59</v>
      </c>
      <c r="Q322" s="4">
        <v>5459.49</v>
      </c>
      <c r="R322" s="4">
        <v>4716.09</v>
      </c>
      <c r="S322" s="4">
        <v>7590.42</v>
      </c>
      <c r="T322" s="4">
        <v>8829.18</v>
      </c>
      <c r="U322" s="4">
        <v>8475.21</v>
      </c>
      <c r="V322" s="4">
        <v>4002.03</v>
      </c>
      <c r="W322" s="4">
        <v>7084.62</v>
      </c>
      <c r="X322" s="4">
        <v>4248.54</v>
      </c>
      <c r="Y322" s="4">
        <v>6889.68</v>
      </c>
      <c r="Z322" s="4">
        <v>6253.559999999999</v>
      </c>
      <c r="AA322" s="4">
        <v>4620.24</v>
      </c>
      <c r="AB322" s="4">
        <v>5135.4</v>
      </c>
      <c r="AC322" s="4">
        <v>5412.059999999999</v>
      </c>
      <c r="AD322" s="4">
        <v>6032.79</v>
      </c>
      <c r="AE322" s="4">
        <v>6141.33</v>
      </c>
      <c r="AF322" s="4">
        <v>8202.06</v>
      </c>
      <c r="AG322" s="4">
        <v>21828.15</v>
      </c>
      <c r="AH322" s="6" t="str">
        <f>Datos_originales!$H38/Datos_originales!$E38</f>
        <v>#DIV/0!</v>
      </c>
      <c r="AI322" s="6" t="str">
        <f>Datos_originales!$I38/Datos_originales!$E38</f>
        <v>#DIV/0!</v>
      </c>
      <c r="AJ322" s="6" t="str">
        <f>Datos_originales!$J38/Datos_originales!$E38</f>
        <v>#DIV/0!</v>
      </c>
      <c r="AK322" s="6" t="str">
        <f>Datos_originales!$K38/Datos_originales!$E38</f>
        <v>#DIV/0!</v>
      </c>
      <c r="AL322" s="6" t="str">
        <f>Datos_originales!$L38/Datos_originales!$E38</f>
        <v>#DIV/0!</v>
      </c>
      <c r="AM322" s="6" t="str">
        <f>Datos_originales!$M38/Datos_originales!$E38</f>
        <v>#DIV/0!</v>
      </c>
      <c r="AN322" s="6" t="str">
        <f>Datos_originales!$N38/Datos_originales!$E38</f>
        <v>#DIV/0!</v>
      </c>
      <c r="AO322" s="6" t="str">
        <f>Datos_originales!$O38/Datos_originales!$E38</f>
        <v>#DIV/0!</v>
      </c>
      <c r="AP322" s="6" t="str">
        <f>Datos_originales!$P38/Datos_originales!$E38</f>
        <v>#DIV/0!</v>
      </c>
      <c r="AQ322" s="6" t="str">
        <f>Datos_originales!$Q38/Datos_originales!$E38</f>
        <v>#DIV/0!</v>
      </c>
      <c r="AR322" s="6" t="str">
        <f>Datos_originales!$R38/Datos_originales!$E38</f>
        <v>#DIV/0!</v>
      </c>
      <c r="AS322" s="6" t="str">
        <f>Datos_originales!$S38/Datos_originales!$E38</f>
        <v>#DIV/0!</v>
      </c>
      <c r="AT322" s="6" t="str">
        <f>Datos_originales!$T38/Datos_originales!$E38</f>
        <v>#DIV/0!</v>
      </c>
      <c r="AU322" s="6" t="str">
        <f>Datos_originales!$U38/Datos_originales!$E38</f>
        <v>#DIV/0!</v>
      </c>
      <c r="AV322" s="6" t="str">
        <f>Datos_originales!$V38/Datos_originales!$E38</f>
        <v>#DIV/0!</v>
      </c>
      <c r="AW322" s="6" t="str">
        <f>Datos_originales!$W38/Datos_originales!$E38</f>
        <v>#DIV/0!</v>
      </c>
      <c r="AX322" s="6" t="str">
        <f>Datos_originales!$X38/Datos_originales!$E38</f>
        <v>#DIV/0!</v>
      </c>
      <c r="AY322" s="6" t="str">
        <f>Datos_originales!$Y38/Datos_originales!$E38</f>
        <v>#DIV/0!</v>
      </c>
      <c r="AZ322" s="6" t="str">
        <f>Datos_originales!$Z38/Datos_originales!$E38</f>
        <v>#DIV/0!</v>
      </c>
      <c r="BA322" s="6" t="str">
        <f>Datos_originales!$AA38/Datos_originales!$E38</f>
        <v>#DIV/0!</v>
      </c>
      <c r="BB322" s="6" t="str">
        <f>Datos_originales!$AB38/Datos_originales!$E38</f>
        <v>#DIV/0!</v>
      </c>
      <c r="BC322" s="6" t="str">
        <f>Datos_originales!$AC38/Datos_originales!$E38</f>
        <v>#DIV/0!</v>
      </c>
      <c r="BD322" s="6" t="str">
        <f>Datos_originales!$AD38/Datos_originales!$E38</f>
        <v>#DIV/0!</v>
      </c>
      <c r="BE322" s="6" t="str">
        <f>Datos_originales!$AE38/Datos_originales!$E38</f>
        <v>#DIV/0!</v>
      </c>
      <c r="BF322" s="6" t="str">
        <f>Datos_originales!$AF38/Datos_originales!$E38</f>
        <v>#DIV/0!</v>
      </c>
      <c r="BG322" s="6" t="str">
        <f>Datos_originales!$AG38/Datos_originales!$E38</f>
        <v>#DIV/0!</v>
      </c>
    </row>
    <row r="323" ht="15.75" customHeight="1">
      <c r="A323" s="2">
        <v>80701.0</v>
      </c>
      <c r="B323" s="3" t="s">
        <v>366</v>
      </c>
      <c r="C323" s="4" t="s">
        <v>379</v>
      </c>
      <c r="D323" s="4">
        <f>IF(Datos_originales!$E323&lt;1000,"Bosque menor a 1000 ha",Datos_originales!$E323)</f>
        <v>265375.17</v>
      </c>
      <c r="E323" s="4">
        <v>265375.17</v>
      </c>
      <c r="F323" s="5">
        <f>AVERAGE(Datos_originales!$H60:$J60)</f>
        <v>46.56</v>
      </c>
      <c r="G323" s="5">
        <f>AVERAGE(Datos_originales!$R60:$T60)</f>
        <v>253.29</v>
      </c>
      <c r="H323" s="4">
        <v>246.96</v>
      </c>
      <c r="I323" s="4">
        <v>134.73</v>
      </c>
      <c r="J323" s="4">
        <v>222.48</v>
      </c>
      <c r="K323" s="4">
        <v>124.38</v>
      </c>
      <c r="L323" s="4">
        <v>105.12</v>
      </c>
      <c r="M323" s="4">
        <v>69.39</v>
      </c>
      <c r="N323" s="4">
        <v>78.48</v>
      </c>
      <c r="O323" s="4">
        <v>126.9</v>
      </c>
      <c r="P323" s="4">
        <v>110.52</v>
      </c>
      <c r="Q323" s="4">
        <v>220.41</v>
      </c>
      <c r="R323" s="4">
        <v>105.93</v>
      </c>
      <c r="S323" s="4">
        <v>199.89</v>
      </c>
      <c r="T323" s="4">
        <v>408.15</v>
      </c>
      <c r="U323" s="4">
        <v>4831.83</v>
      </c>
      <c r="V323" s="4">
        <v>2160.63</v>
      </c>
      <c r="W323" s="4">
        <v>4587.93</v>
      </c>
      <c r="X323" s="4">
        <v>1743.66</v>
      </c>
      <c r="Y323" s="4">
        <v>1102.86</v>
      </c>
      <c r="Z323" s="4">
        <v>1326.24</v>
      </c>
      <c r="AA323" s="4">
        <v>693.27</v>
      </c>
      <c r="AB323" s="4">
        <v>913.05</v>
      </c>
      <c r="AC323" s="4">
        <v>930.3299999999999</v>
      </c>
      <c r="AD323" s="4">
        <v>497.25</v>
      </c>
      <c r="AE323" s="4">
        <v>560.97</v>
      </c>
      <c r="AF323" s="4">
        <v>992.97</v>
      </c>
      <c r="AG323" s="4">
        <v>7752.42</v>
      </c>
      <c r="AH323" s="6">
        <f>Datos_originales!$H60/Datos_originales!$E60</f>
        <v>0.0008477832911</v>
      </c>
      <c r="AI323" s="6">
        <f>Datos_originales!$I60/Datos_originales!$E60</f>
        <v>0.0009337414379</v>
      </c>
      <c r="AJ323" s="6">
        <f>Datos_originales!$J60/Datos_originales!$E60</f>
        <v>0.0008342996602</v>
      </c>
      <c r="AK323" s="6">
        <f>Datos_originales!$K60/Datos_originales!$E60</f>
        <v>0.0006842942668</v>
      </c>
      <c r="AL323" s="6">
        <f>Datos_originales!$L60/Datos_originales!$E60</f>
        <v>0.0004820398037</v>
      </c>
      <c r="AM323" s="6">
        <f>Datos_originales!$M60/Datos_originales!$E60</f>
        <v>0.0002663017097</v>
      </c>
      <c r="AN323" s="6">
        <f>Datos_originales!$N60/Datos_originales!$E60</f>
        <v>0.001117455909</v>
      </c>
      <c r="AO323" s="6">
        <f>Datos_originales!$O60/Datos_originales!$E60</f>
        <v>0.0006135052047</v>
      </c>
      <c r="AP323" s="6">
        <f>Datos_originales!$P60/Datos_originales!$E60</f>
        <v>0.001565786635</v>
      </c>
      <c r="AQ323" s="6">
        <f>Datos_originales!$Q60/Datos_originales!$E60</f>
        <v>0.00116633407</v>
      </c>
      <c r="AR323" s="6">
        <f>Datos_originales!$R60/Datos_originales!$E60</f>
        <v>0.000429790734</v>
      </c>
      <c r="AS323" s="6">
        <f>Datos_originales!$S60/Datos_originales!$E60</f>
        <v>0.007434536972</v>
      </c>
      <c r="AT323" s="6">
        <f>Datos_originales!$T60/Datos_originales!$E60</f>
        <v>0.006365959226</v>
      </c>
      <c r="AU323" s="6">
        <f>Datos_originales!$U60/Datos_originales!$E60</f>
        <v>0.003868116606</v>
      </c>
      <c r="AV323" s="6">
        <f>Datos_originales!$V60/Datos_originales!$E60</f>
        <v>0.002032657354</v>
      </c>
      <c r="AW323" s="6">
        <f>Datos_originales!$W60/Datos_originales!$E60</f>
        <v>0.002754031606</v>
      </c>
      <c r="AX323" s="6">
        <f>Datos_originales!$X60/Datos_originales!$E60</f>
        <v>0.001141052263</v>
      </c>
      <c r="AY323" s="6">
        <f>Datos_originales!$Y60/Datos_originales!$E60</f>
        <v>0.0008056469446</v>
      </c>
      <c r="AZ323" s="6">
        <f>Datos_originales!$Z60/Datos_originales!$E60</f>
        <v>0.0005764252198</v>
      </c>
      <c r="BA323" s="6">
        <f>Datos_originales!$AA60/Datos_originales!$E60</f>
        <v>0.001596124804</v>
      </c>
      <c r="BB323" s="6">
        <f>Datos_originales!$AB60/Datos_originales!$E60</f>
        <v>0.001238808586</v>
      </c>
      <c r="BC323" s="6">
        <f>Datos_originales!$AC60/Datos_originales!$E60</f>
        <v>0.001953441023</v>
      </c>
      <c r="BD323" s="6">
        <f>Datos_originales!$AD60/Datos_originales!$E60</f>
        <v>0.001960182838</v>
      </c>
      <c r="BE323" s="6">
        <f>Datos_originales!$AE60/Datos_originales!$E60</f>
        <v>0.0006236179278</v>
      </c>
      <c r="BF323" s="6">
        <f>Datos_originales!$AF60/Datos_originales!$E60</f>
        <v>0.008546936519</v>
      </c>
      <c r="BG323" s="6">
        <f>Datos_originales!$AG60/Datos_originales!$E60</f>
        <v>0.01379712529</v>
      </c>
    </row>
    <row r="324" ht="15.75" customHeight="1">
      <c r="A324" s="2">
        <v>80702.0</v>
      </c>
      <c r="B324" s="3" t="s">
        <v>366</v>
      </c>
      <c r="C324" s="4" t="s">
        <v>354</v>
      </c>
      <c r="D324" s="4">
        <f>IF(Datos_originales!$E324&lt;1000,"Bosque menor a 1000 ha",Datos_originales!$E324)</f>
        <v>80279.91</v>
      </c>
      <c r="E324" s="4">
        <v>80279.91</v>
      </c>
      <c r="F324" s="5">
        <f>AVERAGE(Datos_originales!$H26:$J26)</f>
        <v>495.27</v>
      </c>
      <c r="G324" s="5">
        <f>AVERAGE(Datos_originales!$R26:$T26)</f>
        <v>1180.86</v>
      </c>
      <c r="H324" s="4">
        <v>150.84</v>
      </c>
      <c r="I324" s="4">
        <v>139.05</v>
      </c>
      <c r="J324" s="4">
        <v>158.49</v>
      </c>
      <c r="K324" s="4">
        <v>66.42</v>
      </c>
      <c r="L324" s="4">
        <v>70.74</v>
      </c>
      <c r="M324" s="4">
        <v>78.47999999999999</v>
      </c>
      <c r="N324" s="4">
        <v>39.87</v>
      </c>
      <c r="O324" s="4">
        <v>57.6</v>
      </c>
      <c r="P324" s="4">
        <v>63.36</v>
      </c>
      <c r="Q324" s="4">
        <v>59.85</v>
      </c>
      <c r="R324" s="4">
        <v>17.28</v>
      </c>
      <c r="S324" s="4">
        <v>383.49</v>
      </c>
      <c r="T324" s="4">
        <v>260.91</v>
      </c>
      <c r="U324" s="4">
        <v>2648.07</v>
      </c>
      <c r="V324" s="4">
        <v>1004.31</v>
      </c>
      <c r="W324" s="4">
        <v>1420.02</v>
      </c>
      <c r="X324" s="4">
        <v>585.0</v>
      </c>
      <c r="Y324" s="4">
        <v>327.96</v>
      </c>
      <c r="Z324" s="4">
        <v>1023.12</v>
      </c>
      <c r="AA324" s="4">
        <v>248.4</v>
      </c>
      <c r="AB324" s="4">
        <v>358.29</v>
      </c>
      <c r="AC324" s="4">
        <v>292.32</v>
      </c>
      <c r="AD324" s="4">
        <v>242.82</v>
      </c>
      <c r="AE324" s="4">
        <v>202.14</v>
      </c>
      <c r="AF324" s="4">
        <v>836.73</v>
      </c>
      <c r="AG324" s="4">
        <v>6733.62</v>
      </c>
      <c r="AH324" s="6">
        <f>Datos_originales!$H26/Datos_originales!$E26</f>
        <v>0.001801695309</v>
      </c>
      <c r="AI324" s="6">
        <f>Datos_originales!$I26/Datos_originales!$E26</f>
        <v>0.002409728846</v>
      </c>
      <c r="AJ324" s="6">
        <f>Datos_originales!$J26/Datos_originales!$E26</f>
        <v>0.002165974613</v>
      </c>
      <c r="AK324" s="6">
        <f>Datos_originales!$K26/Datos_originales!$E26</f>
        <v>0.001058071066</v>
      </c>
      <c r="AL324" s="6">
        <f>Datos_originales!$L26/Datos_originales!$E26</f>
        <v>0.001656060847</v>
      </c>
      <c r="AM324" s="6">
        <f>Datos_originales!$M26/Datos_originales!$E26</f>
        <v>0.002835043283</v>
      </c>
      <c r="AN324" s="6">
        <f>Datos_originales!$N26/Datos_originales!$E26</f>
        <v>0.001419646282</v>
      </c>
      <c r="AO324" s="6">
        <f>Datos_originales!$O26/Datos_originales!$E26</f>
        <v>0.003919382633</v>
      </c>
      <c r="AP324" s="6">
        <f>Datos_originales!$P26/Datos_originales!$E26</f>
        <v>0.002724561967</v>
      </c>
      <c r="AQ324" s="6">
        <f>Datos_originales!$Q26/Datos_originales!$E26</f>
        <v>0.002145500803</v>
      </c>
      <c r="AR324" s="6">
        <f>Datos_originales!$R26/Datos_originales!$E26</f>
        <v>0.001203705528</v>
      </c>
      <c r="AS324" s="6">
        <f>Datos_originales!$S26/Datos_originales!$E26</f>
        <v>0.01031571002</v>
      </c>
      <c r="AT324" s="6">
        <f>Datos_originales!$T26/Datos_originales!$E26</f>
        <v>0.003686058455</v>
      </c>
      <c r="AU324" s="6">
        <f>Datos_originales!$U26/Datos_originales!$E26</f>
        <v>0.001976688442</v>
      </c>
      <c r="AV324" s="6">
        <f>Datos_originales!$V26/Datos_originales!$E26</f>
        <v>0.00256617966</v>
      </c>
      <c r="AW324" s="6">
        <f>Datos_originales!$W26/Datos_originales!$E26</f>
        <v>0.003548922556</v>
      </c>
      <c r="AX324" s="6">
        <f>Datos_originales!$X26/Datos_originales!$E26</f>
        <v>0.001270535135</v>
      </c>
      <c r="AY324" s="6">
        <f>Datos_originales!$Y26/Datos_originales!$E26</f>
        <v>0.001804785695</v>
      </c>
      <c r="AZ324" s="6">
        <f>Datos_originales!$Z26/Datos_originales!$E26</f>
        <v>0.002961749128</v>
      </c>
      <c r="BA324" s="6">
        <f>Datos_originales!$AA26/Datos_originales!$E26</f>
        <v>0.001548283619</v>
      </c>
      <c r="BB324" s="6">
        <f>Datos_originales!$AB26/Datos_originales!$E26</f>
        <v>0.004044929584</v>
      </c>
      <c r="BC324" s="6">
        <f>Datos_originales!$AC26/Datos_originales!$E26</f>
        <v>0.002809547594</v>
      </c>
      <c r="BD324" s="6">
        <f>Datos_originales!$AD26/Datos_originales!$E26</f>
        <v>0.002303496811</v>
      </c>
      <c r="BE324" s="6">
        <f>Datos_originales!$AE26/Datos_originales!$E26</f>
        <v>0.001217612267</v>
      </c>
      <c r="BF324" s="6">
        <f>Datos_originales!$AF26/Datos_originales!$E26</f>
        <v>0.01070316722</v>
      </c>
      <c r="BG324" s="6">
        <f>Datos_originales!$AG26/Datos_originales!$E26</f>
        <v>0.00435628602</v>
      </c>
    </row>
    <row r="325" ht="15.75" customHeight="1">
      <c r="A325" s="2">
        <v>80703.0</v>
      </c>
      <c r="B325" s="3" t="s">
        <v>366</v>
      </c>
      <c r="C325" s="4" t="s">
        <v>380</v>
      </c>
      <c r="D325" s="4">
        <f>IF(Datos_originales!$E325&lt;1000,"Bosque menor a 1000 ha",Datos_originales!$E325)</f>
        <v>85748.4</v>
      </c>
      <c r="E325" s="4">
        <v>85748.40000000001</v>
      </c>
      <c r="F325" s="5">
        <f>AVERAGE(Datos_originales!$H87:$J87)</f>
        <v>74.16</v>
      </c>
      <c r="G325" s="5">
        <f>AVERAGE(Datos_originales!$R87:$T87)</f>
        <v>809.34</v>
      </c>
      <c r="H325" s="4">
        <v>88.74000000000001</v>
      </c>
      <c r="I325" s="4">
        <v>44.55</v>
      </c>
      <c r="J325" s="4">
        <v>117.0</v>
      </c>
      <c r="K325" s="4">
        <v>153.99</v>
      </c>
      <c r="L325" s="4">
        <v>125.01</v>
      </c>
      <c r="M325" s="4">
        <v>62.55</v>
      </c>
      <c r="N325" s="4">
        <v>18.0</v>
      </c>
      <c r="O325" s="4">
        <v>30.42</v>
      </c>
      <c r="P325" s="4">
        <v>118.53</v>
      </c>
      <c r="Q325" s="4">
        <v>191.7</v>
      </c>
      <c r="R325" s="4">
        <v>45.18</v>
      </c>
      <c r="S325" s="4">
        <v>108.9</v>
      </c>
      <c r="T325" s="4">
        <v>394.47</v>
      </c>
      <c r="U325" s="4">
        <v>1965.6</v>
      </c>
      <c r="V325" s="4">
        <v>1055.97</v>
      </c>
      <c r="W325" s="4">
        <v>3889.71</v>
      </c>
      <c r="X325" s="4">
        <v>482.4</v>
      </c>
      <c r="Y325" s="4">
        <v>619.29</v>
      </c>
      <c r="Z325" s="4">
        <v>323.1</v>
      </c>
      <c r="AA325" s="4">
        <v>230.85</v>
      </c>
      <c r="AB325" s="4">
        <v>269.1</v>
      </c>
      <c r="AC325" s="4">
        <v>536.94</v>
      </c>
      <c r="AD325" s="4">
        <v>379.26</v>
      </c>
      <c r="AE325" s="4">
        <v>273.24</v>
      </c>
      <c r="AF325" s="4">
        <v>410.67</v>
      </c>
      <c r="AG325" s="4">
        <v>1529.28</v>
      </c>
      <c r="AH325" s="6">
        <f>Datos_originales!$H87/Datos_originales!$E87</f>
        <v>0.0005898813763</v>
      </c>
      <c r="AI325" s="6">
        <f>Datos_originales!$I87/Datos_originales!$E87</f>
        <v>0.0009999208696</v>
      </c>
      <c r="AJ325" s="6">
        <f>Datos_originales!$J87/Datos_originales!$E87</f>
        <v>0.001373991986</v>
      </c>
      <c r="AK325" s="6">
        <f>Datos_originales!$K87/Datos_originales!$E87</f>
        <v>0.0008008958524</v>
      </c>
      <c r="AL325" s="6">
        <f>Datos_originales!$L87/Datos_originales!$E87</f>
        <v>0.0006917917767</v>
      </c>
      <c r="AM325" s="6">
        <f>Datos_originales!$M87/Datos_originales!$E87</f>
        <v>0.0007037812355</v>
      </c>
      <c r="AN325" s="6">
        <f>Datos_originales!$N87/Datos_originales!$E87</f>
        <v>0.0007889063935</v>
      </c>
      <c r="AO325" s="6">
        <f>Datos_originales!$O87/Datos_originales!$E87</f>
        <v>0.0003932542509</v>
      </c>
      <c r="AP325" s="6">
        <f>Datos_originales!$P87/Datos_originales!$E87</f>
        <v>0.0006917917767</v>
      </c>
      <c r="AQ325" s="6">
        <f>Datos_originales!$Q87/Datos_originales!$E87</f>
        <v>0.0004927667595</v>
      </c>
      <c r="AR325" s="6">
        <f>Datos_originales!$R87/Datos_originales!$E87</f>
        <v>0.0009903293025</v>
      </c>
      <c r="AS325" s="6">
        <f>Datos_originales!$S87/Datos_originales!$E87</f>
        <v>0.01211295029</v>
      </c>
      <c r="AT325" s="6">
        <f>Datos_originales!$T87/Datos_originales!$E87</f>
        <v>0.01924188254</v>
      </c>
      <c r="AU325" s="6">
        <f>Datos_originales!$U87/Datos_originales!$E87</f>
        <v>0.002267206672</v>
      </c>
      <c r="AV325" s="6">
        <f>Datos_originales!$V87/Datos_originales!$E87</f>
        <v>0.002677246165</v>
      </c>
      <c r="AW325" s="6">
        <f>Datos_originales!$W87/Datos_originales!$E87</f>
        <v>0.004221488467</v>
      </c>
      <c r="AX325" s="6">
        <f>Datos_originales!$X87/Datos_originales!$E87</f>
        <v>0.001495085521</v>
      </c>
      <c r="AY325" s="6">
        <f>Datos_originales!$Y87/Datos_originales!$E87</f>
        <v>0.0009867324648</v>
      </c>
      <c r="AZ325" s="6">
        <f>Datos_originales!$Z87/Datos_originales!$E87</f>
        <v>0.0008716336597</v>
      </c>
      <c r="BA325" s="6">
        <f>Datos_originales!$AA87/Datos_originales!$E87</f>
        <v>0.001008313491</v>
      </c>
      <c r="BB325" s="6">
        <f>Datos_originales!$AB87/Datos_originales!$E87</f>
        <v>0.0005706982421</v>
      </c>
      <c r="BC325" s="6">
        <f>Datos_originales!$AC87/Datos_originales!$E87</f>
        <v>0.0008944136315</v>
      </c>
      <c r="BD325" s="6">
        <f>Datos_originales!$AD87/Datos_originales!$E87</f>
        <v>0.00080449269</v>
      </c>
      <c r="BE325" s="6">
        <f>Datos_originales!$AE87/Datos_originales!$E87</f>
        <v>0.001100632324</v>
      </c>
      <c r="BF325" s="6">
        <f>Datos_originales!$AF87/Datos_originales!$E87</f>
        <v>0.01296180398</v>
      </c>
      <c r="BG325" s="6">
        <f>Datos_originales!$AG87/Datos_originales!$E87</f>
        <v>0.02944251414</v>
      </c>
    </row>
    <row r="326" ht="15.75" customHeight="1">
      <c r="A326" s="2">
        <v>80801.0</v>
      </c>
      <c r="B326" s="3" t="s">
        <v>366</v>
      </c>
      <c r="C326" s="4" t="s">
        <v>381</v>
      </c>
      <c r="D326" s="4">
        <f>IF(Datos_originales!$E326&lt;1000,"Bosque menor a 1000 ha",Datos_originales!$E326)</f>
        <v>762624.45</v>
      </c>
      <c r="E326" s="4">
        <v>762624.45</v>
      </c>
      <c r="F326" s="5">
        <f>AVERAGE(Datos_originales!$H73:$J73)</f>
        <v>0</v>
      </c>
      <c r="G326" s="5">
        <f>AVERAGE(Datos_originales!$R73:$T73)</f>
        <v>0</v>
      </c>
      <c r="H326" s="4">
        <v>223.65</v>
      </c>
      <c r="I326" s="4">
        <v>207.36</v>
      </c>
      <c r="J326" s="4">
        <v>427.77</v>
      </c>
      <c r="K326" s="4">
        <v>297.81</v>
      </c>
      <c r="L326" s="4">
        <v>217.71</v>
      </c>
      <c r="M326" s="4">
        <v>363.51</v>
      </c>
      <c r="N326" s="4">
        <v>144.0</v>
      </c>
      <c r="O326" s="4">
        <v>203.49</v>
      </c>
      <c r="P326" s="4">
        <v>357.75</v>
      </c>
      <c r="Q326" s="4">
        <v>616.6800000000001</v>
      </c>
      <c r="R326" s="4">
        <v>261.9</v>
      </c>
      <c r="S326" s="4">
        <v>743.49</v>
      </c>
      <c r="T326" s="4">
        <v>501.66</v>
      </c>
      <c r="U326" s="4">
        <v>7223.76</v>
      </c>
      <c r="V326" s="4">
        <v>2466.27</v>
      </c>
      <c r="W326" s="4">
        <v>3128.31</v>
      </c>
      <c r="X326" s="4">
        <v>1683.36</v>
      </c>
      <c r="Y326" s="4">
        <v>1967.85</v>
      </c>
      <c r="Z326" s="4">
        <v>2811.78</v>
      </c>
      <c r="AA326" s="4">
        <v>1242.45</v>
      </c>
      <c r="AB326" s="4">
        <v>2079.09</v>
      </c>
      <c r="AC326" s="4">
        <v>1614.06</v>
      </c>
      <c r="AD326" s="4">
        <v>891.36</v>
      </c>
      <c r="AE326" s="4">
        <v>1069.92</v>
      </c>
      <c r="AF326" s="4">
        <v>2182.59</v>
      </c>
      <c r="AG326" s="4">
        <v>16606.71</v>
      </c>
      <c r="AH326" s="6" t="str">
        <f>Datos_originales!$H73/Datos_originales!$E73</f>
        <v>#DIV/0!</v>
      </c>
      <c r="AI326" s="6" t="str">
        <f>Datos_originales!$I73/Datos_originales!$E73</f>
        <v>#DIV/0!</v>
      </c>
      <c r="AJ326" s="6" t="str">
        <f>Datos_originales!$J73/Datos_originales!$E73</f>
        <v>#DIV/0!</v>
      </c>
      <c r="AK326" s="6" t="str">
        <f>Datos_originales!$K73/Datos_originales!$E73</f>
        <v>#DIV/0!</v>
      </c>
      <c r="AL326" s="6" t="str">
        <f>Datos_originales!$L73/Datos_originales!$E73</f>
        <v>#DIV/0!</v>
      </c>
      <c r="AM326" s="6" t="str">
        <f>Datos_originales!$M73/Datos_originales!$E73</f>
        <v>#DIV/0!</v>
      </c>
      <c r="AN326" s="6" t="str">
        <f>Datos_originales!$N73/Datos_originales!$E73</f>
        <v>#DIV/0!</v>
      </c>
      <c r="AO326" s="6" t="str">
        <f>Datos_originales!$O73/Datos_originales!$E73</f>
        <v>#DIV/0!</v>
      </c>
      <c r="AP326" s="6" t="str">
        <f>Datos_originales!$P73/Datos_originales!$E73</f>
        <v>#DIV/0!</v>
      </c>
      <c r="AQ326" s="6" t="str">
        <f>Datos_originales!$Q73/Datos_originales!$E73</f>
        <v>#DIV/0!</v>
      </c>
      <c r="AR326" s="6" t="str">
        <f>Datos_originales!$R73/Datos_originales!$E73</f>
        <v>#DIV/0!</v>
      </c>
      <c r="AS326" s="6" t="str">
        <f>Datos_originales!$S73/Datos_originales!$E73</f>
        <v>#DIV/0!</v>
      </c>
      <c r="AT326" s="6" t="str">
        <f>Datos_originales!$T73/Datos_originales!$E73</f>
        <v>#DIV/0!</v>
      </c>
      <c r="AU326" s="6" t="str">
        <f>Datos_originales!$U73/Datos_originales!$E73</f>
        <v>#DIV/0!</v>
      </c>
      <c r="AV326" s="6" t="str">
        <f>Datos_originales!$V73/Datos_originales!$E73</f>
        <v>#DIV/0!</v>
      </c>
      <c r="AW326" s="6" t="str">
        <f>Datos_originales!$W73/Datos_originales!$E73</f>
        <v>#DIV/0!</v>
      </c>
      <c r="AX326" s="6" t="str">
        <f>Datos_originales!$X73/Datos_originales!$E73</f>
        <v>#DIV/0!</v>
      </c>
      <c r="AY326" s="6" t="str">
        <f>Datos_originales!$Y73/Datos_originales!$E73</f>
        <v>#DIV/0!</v>
      </c>
      <c r="AZ326" s="6" t="str">
        <f>Datos_originales!$Z73/Datos_originales!$E73</f>
        <v>#DIV/0!</v>
      </c>
      <c r="BA326" s="6" t="str">
        <f>Datos_originales!$AA73/Datos_originales!$E73</f>
        <v>#DIV/0!</v>
      </c>
      <c r="BB326" s="6" t="str">
        <f>Datos_originales!$AB73/Datos_originales!$E73</f>
        <v>#DIV/0!</v>
      </c>
      <c r="BC326" s="6" t="str">
        <f>Datos_originales!$AC73/Datos_originales!$E73</f>
        <v>#DIV/0!</v>
      </c>
      <c r="BD326" s="6" t="str">
        <f>Datos_originales!$AD73/Datos_originales!$E73</f>
        <v>#DIV/0!</v>
      </c>
      <c r="BE326" s="6" t="str">
        <f>Datos_originales!$AE73/Datos_originales!$E73</f>
        <v>#DIV/0!</v>
      </c>
      <c r="BF326" s="6" t="str">
        <f>Datos_originales!$AF73/Datos_originales!$E73</f>
        <v>#DIV/0!</v>
      </c>
      <c r="BG326" s="6" t="str">
        <f>Datos_originales!$AG73/Datos_originales!$E73</f>
        <v>#DIV/0!</v>
      </c>
    </row>
    <row r="327" ht="15.75" customHeight="1">
      <c r="A327" s="2">
        <v>80802.0</v>
      </c>
      <c r="B327" s="3" t="s">
        <v>366</v>
      </c>
      <c r="C327" s="4" t="s">
        <v>382</v>
      </c>
      <c r="D327" s="4">
        <f>IF(Datos_originales!$E327&lt;1000,"Bosque menor a 1000 ha",Datos_originales!$E327)</f>
        <v>1158756.84</v>
      </c>
      <c r="E327" s="4">
        <v>1158756.84</v>
      </c>
      <c r="F327" s="5">
        <f>AVERAGE(Datos_originales!$H88:$J88)</f>
        <v>7.65</v>
      </c>
      <c r="G327" s="5">
        <f>AVERAGE(Datos_originales!$R88:$T88)</f>
        <v>79.05</v>
      </c>
      <c r="H327" s="4">
        <v>279.45</v>
      </c>
      <c r="I327" s="4">
        <v>141.66</v>
      </c>
      <c r="J327" s="4">
        <v>253.35</v>
      </c>
      <c r="K327" s="4">
        <v>189.27</v>
      </c>
      <c r="L327" s="4">
        <v>137.7</v>
      </c>
      <c r="M327" s="4">
        <v>276.84</v>
      </c>
      <c r="N327" s="4">
        <v>307.71</v>
      </c>
      <c r="O327" s="4">
        <v>383.31</v>
      </c>
      <c r="P327" s="4">
        <v>437.49</v>
      </c>
      <c r="Q327" s="4">
        <v>404.01</v>
      </c>
      <c r="R327" s="4">
        <v>793.71</v>
      </c>
      <c r="S327" s="4">
        <v>1089.54</v>
      </c>
      <c r="T327" s="4">
        <v>1480.59</v>
      </c>
      <c r="U327" s="4">
        <v>8257.68</v>
      </c>
      <c r="V327" s="4">
        <v>3152.34</v>
      </c>
      <c r="W327" s="4">
        <v>2736.9</v>
      </c>
      <c r="X327" s="4">
        <v>1391.76</v>
      </c>
      <c r="Y327" s="4">
        <v>1634.67</v>
      </c>
      <c r="Z327" s="4">
        <v>4236.03</v>
      </c>
      <c r="AA327" s="4">
        <v>1163.88</v>
      </c>
      <c r="AB327" s="4">
        <v>2065.14</v>
      </c>
      <c r="AC327" s="4">
        <v>2221.29</v>
      </c>
      <c r="AD327" s="4">
        <v>639.54</v>
      </c>
      <c r="AE327" s="4">
        <v>2014.02</v>
      </c>
      <c r="AF327" s="4">
        <v>2198.7</v>
      </c>
      <c r="AG327" s="4">
        <v>20389.95</v>
      </c>
      <c r="AH327" s="6">
        <f>Datos_originales!$H88/Datos_originales!$E88</f>
        <v>0.0003757008265</v>
      </c>
      <c r="AI327" s="6">
        <f>Datos_originales!$I88/Datos_originales!$E88</f>
        <v>0.0001073430933</v>
      </c>
      <c r="AJ327" s="6">
        <f>Datos_originales!$J88/Datos_originales!$E88</f>
        <v>0.0005697441106</v>
      </c>
      <c r="AK327" s="6">
        <f>Datos_originales!$K88/Datos_originales!$E88</f>
        <v>0.0004293723732</v>
      </c>
      <c r="AL327" s="6">
        <f>Datos_originales!$L88/Datos_originales!$E88</f>
        <v>0.0006770872039</v>
      </c>
      <c r="AM327" s="6">
        <f>Datos_originales!$M88/Datos_originales!$E88</f>
        <v>0.0002229433476</v>
      </c>
      <c r="AN327" s="6">
        <f>Datos_originales!$N88/Datos_originales!$E88</f>
        <v>0.0005656155301</v>
      </c>
      <c r="AO327" s="6">
        <f>Datos_originales!$O88/Datos_originales!$E88</f>
        <v>0.0003179006994</v>
      </c>
      <c r="AP327" s="6">
        <f>Datos_originales!$P88/Datos_originales!$E88</f>
        <v>0.001820704006</v>
      </c>
      <c r="AQ327" s="6">
        <f>Datos_originales!$Q88/Datos_originales!$E88</f>
        <v>0.0002807434748</v>
      </c>
      <c r="AR327" s="6">
        <f>Datos_originales!$R88/Datos_originales!$E88</f>
        <v>0.0002188147671</v>
      </c>
      <c r="AS327" s="6">
        <f>Datos_originales!$S88/Datos_originales!$E88</f>
        <v>0.00871543346</v>
      </c>
      <c r="AT327" s="6">
        <f>Datos_originales!$T88/Datos_originales!$E88</f>
        <v>0.001944561421</v>
      </c>
      <c r="AU327" s="6">
        <f>Datos_originales!$U88/Datos_originales!$E88</f>
        <v>0.003612507948</v>
      </c>
      <c r="AV327" s="6">
        <f>Datos_originales!$V88/Datos_originales!$E88</f>
        <v>0.001345917247</v>
      </c>
      <c r="AW327" s="6">
        <f>Datos_originales!$W88/Datos_originales!$E88</f>
        <v>0.004219409283</v>
      </c>
      <c r="AX327" s="6">
        <f>Datos_originales!$X88/Datos_originales!$E88</f>
        <v>0.001164259704</v>
      </c>
      <c r="AY327" s="6">
        <f>Datos_originales!$Y88/Datos_originales!$E88</f>
        <v>0.001069302352</v>
      </c>
      <c r="AZ327" s="6">
        <f>Datos_originales!$Z88/Datos_originales!$E88</f>
        <v>0.0006399299793</v>
      </c>
      <c r="BA327" s="6">
        <f>Datos_originales!$AA88/Datos_originales!$E88</f>
        <v>0.002126218963</v>
      </c>
      <c r="BB327" s="6">
        <f>Datos_originales!$AB88/Datos_originales!$E88</f>
        <v>0.001168388285</v>
      </c>
      <c r="BC327" s="6">
        <f>Datos_originales!$AC88/Datos_originales!$E88</f>
        <v>0.002427605341</v>
      </c>
      <c r="BD327" s="6">
        <f>Datos_originales!$AD88/Datos_originales!$E88</f>
        <v>0.0006358013988</v>
      </c>
      <c r="BE327" s="6">
        <f>Datos_originales!$AE88/Datos_originales!$E88</f>
        <v>0.0002807434748</v>
      </c>
      <c r="BF327" s="6">
        <f>Datos_originales!$AF88/Datos_originales!$E88</f>
        <v>0.009660878397</v>
      </c>
      <c r="BG327" s="6">
        <f>Datos_originales!$AG88/Datos_originales!$E88</f>
        <v>0.01465646082</v>
      </c>
    </row>
    <row r="328" ht="15.75" customHeight="1">
      <c r="A328" s="2">
        <v>80803.0</v>
      </c>
      <c r="B328" s="3" t="s">
        <v>366</v>
      </c>
      <c r="C328" s="4" t="s">
        <v>383</v>
      </c>
      <c r="D328" s="4">
        <f>IF(Datos_originales!$E328&lt;1000,"Bosque menor a 1000 ha",Datos_originales!$E328)</f>
        <v>116038.53</v>
      </c>
      <c r="E328" s="4">
        <v>116038.53</v>
      </c>
      <c r="F328" s="5">
        <f>AVERAGE(Datos_originales!$H39:$J39)</f>
        <v>0</v>
      </c>
      <c r="G328" s="5">
        <f>AVERAGE(Datos_originales!$R39:$T39)</f>
        <v>0</v>
      </c>
      <c r="H328" s="4">
        <v>56.52</v>
      </c>
      <c r="I328" s="4">
        <v>59.31</v>
      </c>
      <c r="J328" s="4">
        <v>46.71</v>
      </c>
      <c r="K328" s="4">
        <v>27.09</v>
      </c>
      <c r="L328" s="4">
        <v>9.719999999999999</v>
      </c>
      <c r="M328" s="4">
        <v>28.71</v>
      </c>
      <c r="N328" s="4">
        <v>34.56</v>
      </c>
      <c r="O328" s="4">
        <v>24.57</v>
      </c>
      <c r="P328" s="4">
        <v>21.6</v>
      </c>
      <c r="Q328" s="4">
        <v>59.13</v>
      </c>
      <c r="R328" s="4">
        <v>186.03</v>
      </c>
      <c r="S328" s="4">
        <v>190.53</v>
      </c>
      <c r="T328" s="4">
        <v>599.76</v>
      </c>
      <c r="U328" s="4">
        <v>5345.28</v>
      </c>
      <c r="V328" s="4">
        <v>2118.87</v>
      </c>
      <c r="W328" s="4">
        <v>1430.55</v>
      </c>
      <c r="X328" s="4">
        <v>1072.44</v>
      </c>
      <c r="Y328" s="4">
        <v>642.33</v>
      </c>
      <c r="Z328" s="4">
        <v>683.28</v>
      </c>
      <c r="AA328" s="4">
        <v>1202.76</v>
      </c>
      <c r="AB328" s="4">
        <v>862.8299999999999</v>
      </c>
      <c r="AC328" s="4">
        <v>1082.07</v>
      </c>
      <c r="AD328" s="4">
        <v>278.37</v>
      </c>
      <c r="AE328" s="4">
        <v>343.89</v>
      </c>
      <c r="AF328" s="4">
        <v>615.87</v>
      </c>
      <c r="AG328" s="4">
        <v>5136.75</v>
      </c>
      <c r="AH328" s="6" t="str">
        <f>Datos_originales!$H39/Datos_originales!$E39</f>
        <v>#DIV/0!</v>
      </c>
      <c r="AI328" s="6" t="str">
        <f>Datos_originales!$I39/Datos_originales!$E39</f>
        <v>#DIV/0!</v>
      </c>
      <c r="AJ328" s="6" t="str">
        <f>Datos_originales!$J39/Datos_originales!$E39</f>
        <v>#DIV/0!</v>
      </c>
      <c r="AK328" s="6" t="str">
        <f>Datos_originales!$K39/Datos_originales!$E39</f>
        <v>#DIV/0!</v>
      </c>
      <c r="AL328" s="6" t="str">
        <f>Datos_originales!$L39/Datos_originales!$E39</f>
        <v>#DIV/0!</v>
      </c>
      <c r="AM328" s="6" t="str">
        <f>Datos_originales!$M39/Datos_originales!$E39</f>
        <v>#DIV/0!</v>
      </c>
      <c r="AN328" s="6" t="str">
        <f>Datos_originales!$N39/Datos_originales!$E39</f>
        <v>#DIV/0!</v>
      </c>
      <c r="AO328" s="6" t="str">
        <f>Datos_originales!$O39/Datos_originales!$E39</f>
        <v>#DIV/0!</v>
      </c>
      <c r="AP328" s="6" t="str">
        <f>Datos_originales!$P39/Datos_originales!$E39</f>
        <v>#DIV/0!</v>
      </c>
      <c r="AQ328" s="6" t="str">
        <f>Datos_originales!$Q39/Datos_originales!$E39</f>
        <v>#DIV/0!</v>
      </c>
      <c r="AR328" s="6" t="str">
        <f>Datos_originales!$R39/Datos_originales!$E39</f>
        <v>#DIV/0!</v>
      </c>
      <c r="AS328" s="6" t="str">
        <f>Datos_originales!$S39/Datos_originales!$E39</f>
        <v>#DIV/0!</v>
      </c>
      <c r="AT328" s="6" t="str">
        <f>Datos_originales!$T39/Datos_originales!$E39</f>
        <v>#DIV/0!</v>
      </c>
      <c r="AU328" s="6" t="str">
        <f>Datos_originales!$U39/Datos_originales!$E39</f>
        <v>#DIV/0!</v>
      </c>
      <c r="AV328" s="6" t="str">
        <f>Datos_originales!$V39/Datos_originales!$E39</f>
        <v>#DIV/0!</v>
      </c>
      <c r="AW328" s="6" t="str">
        <f>Datos_originales!$W39/Datos_originales!$E39</f>
        <v>#DIV/0!</v>
      </c>
      <c r="AX328" s="6" t="str">
        <f>Datos_originales!$X39/Datos_originales!$E39</f>
        <v>#DIV/0!</v>
      </c>
      <c r="AY328" s="6" t="str">
        <f>Datos_originales!$Y39/Datos_originales!$E39</f>
        <v>#DIV/0!</v>
      </c>
      <c r="AZ328" s="6" t="str">
        <f>Datos_originales!$Z39/Datos_originales!$E39</f>
        <v>#DIV/0!</v>
      </c>
      <c r="BA328" s="6" t="str">
        <f>Datos_originales!$AA39/Datos_originales!$E39</f>
        <v>#DIV/0!</v>
      </c>
      <c r="BB328" s="6" t="str">
        <f>Datos_originales!$AB39/Datos_originales!$E39</f>
        <v>#DIV/0!</v>
      </c>
      <c r="BC328" s="6" t="str">
        <f>Datos_originales!$AC39/Datos_originales!$E39</f>
        <v>#DIV/0!</v>
      </c>
      <c r="BD328" s="6" t="str">
        <f>Datos_originales!$AD39/Datos_originales!$E39</f>
        <v>#DIV/0!</v>
      </c>
      <c r="BE328" s="6" t="str">
        <f>Datos_originales!$AE39/Datos_originales!$E39</f>
        <v>#DIV/0!</v>
      </c>
      <c r="BF328" s="6" t="str">
        <f>Datos_originales!$AF39/Datos_originales!$E39</f>
        <v>#DIV/0!</v>
      </c>
      <c r="BG328" s="6" t="str">
        <f>Datos_originales!$AG39/Datos_originales!$E39</f>
        <v>#DIV/0!</v>
      </c>
    </row>
    <row r="329" ht="15.75" customHeight="1">
      <c r="A329" s="2">
        <v>80901.0</v>
      </c>
      <c r="B329" s="3" t="s">
        <v>366</v>
      </c>
      <c r="C329" s="4" t="s">
        <v>384</v>
      </c>
      <c r="D329" s="4">
        <f>IF(Datos_originales!$E329&lt;1000,"Bosque menor a 1000 ha",Datos_originales!$E329)</f>
        <v>531983.97</v>
      </c>
      <c r="E329" s="4">
        <v>531983.97</v>
      </c>
      <c r="F329" s="5">
        <f>AVERAGE(Datos_originales!$H133:$J133)</f>
        <v>0.63</v>
      </c>
      <c r="G329" s="5">
        <f>AVERAGE(Datos_originales!$R133:$T133)</f>
        <v>13.35</v>
      </c>
      <c r="H329" s="4">
        <v>120.78</v>
      </c>
      <c r="I329" s="4">
        <v>99.45</v>
      </c>
      <c r="J329" s="4">
        <v>73.26</v>
      </c>
      <c r="K329" s="4">
        <v>64.44</v>
      </c>
      <c r="L329" s="4">
        <v>192.69</v>
      </c>
      <c r="M329" s="4">
        <v>104.04</v>
      </c>
      <c r="N329" s="4">
        <v>93.69</v>
      </c>
      <c r="O329" s="4">
        <v>81.53999999999999</v>
      </c>
      <c r="P329" s="4">
        <v>407.7</v>
      </c>
      <c r="Q329" s="4">
        <v>447.39</v>
      </c>
      <c r="R329" s="4">
        <v>156.78</v>
      </c>
      <c r="S329" s="4">
        <v>41.4</v>
      </c>
      <c r="T329" s="4">
        <v>467.64</v>
      </c>
      <c r="U329" s="4">
        <v>6079.32</v>
      </c>
      <c r="V329" s="4">
        <v>1829.97</v>
      </c>
      <c r="W329" s="4">
        <v>2131.83</v>
      </c>
      <c r="X329" s="4">
        <v>2277.27</v>
      </c>
      <c r="Y329" s="4">
        <v>2120.04</v>
      </c>
      <c r="Z329" s="4">
        <v>1854.72</v>
      </c>
      <c r="AA329" s="4">
        <v>1359.18</v>
      </c>
      <c r="AB329" s="4">
        <v>2182.32</v>
      </c>
      <c r="AC329" s="4">
        <v>3096.63</v>
      </c>
      <c r="AD329" s="4">
        <v>1121.13</v>
      </c>
      <c r="AE329" s="4">
        <v>780.12</v>
      </c>
      <c r="AF329" s="4">
        <v>252.9</v>
      </c>
      <c r="AG329" s="4">
        <v>3450.06</v>
      </c>
      <c r="AH329" s="6">
        <f>Datos_originales!$H133/Datos_originales!$E133</f>
        <v>0.0004727387331</v>
      </c>
      <c r="AI329" s="6">
        <f>Datos_originales!$I133/Datos_originales!$E133</f>
        <v>0.001418216199</v>
      </c>
      <c r="AJ329" s="6">
        <f>Datos_originales!$J133/Datos_originales!$E133</f>
        <v>0.001418216199</v>
      </c>
      <c r="AK329" s="6">
        <f>Datos_originales!$K133/Datos_originales!$E133</f>
        <v>0.001418216199</v>
      </c>
      <c r="AL329" s="6">
        <f>Datos_originales!$L133/Datos_originales!$E133</f>
        <v>0.001575795777</v>
      </c>
      <c r="AM329" s="6">
        <f>Datos_originales!$M133/Datos_originales!$E133</f>
        <v>0.0007878978884</v>
      </c>
      <c r="AN329" s="6">
        <f>Datos_originales!$N133/Datos_originales!$E133</f>
        <v>0.01181846833</v>
      </c>
      <c r="AO329" s="6">
        <f>Datos_originales!$O133/Datos_originales!$E133</f>
        <v>0.001890954932</v>
      </c>
      <c r="AP329" s="6">
        <f>Datos_originales!$P133/Datos_originales!$E133</f>
        <v>0.02111566341</v>
      </c>
      <c r="AQ329" s="6">
        <f>Datos_originales!$Q133/Datos_originales!$E133</f>
        <v>0.01260636621</v>
      </c>
      <c r="AR329" s="6">
        <f>Datos_originales!$R133/Datos_originales!$E133</f>
        <v>0.0381342578</v>
      </c>
      <c r="AS329" s="6">
        <f>Datos_originales!$S133/Datos_originales!$E133</f>
        <v>0.02978254018</v>
      </c>
      <c r="AT329" s="6">
        <f>Datos_originales!$T133/Datos_originales!$E133</f>
        <v>0.002206114088</v>
      </c>
      <c r="AU329" s="6">
        <f>Datos_originales!$U133/Datos_originales!$E133</f>
        <v>0.001418216199</v>
      </c>
      <c r="AV329" s="6">
        <f>Datos_originales!$V133/Datos_originales!$E133</f>
        <v>0.006933501418</v>
      </c>
      <c r="AW329" s="6">
        <f>Datos_originales!$W133/Datos_originales!$E133</f>
        <v>0.01875196974</v>
      </c>
      <c r="AX329" s="6">
        <f>Datos_originales!$X133/Datos_originales!$E133</f>
        <v>0.004412228175</v>
      </c>
      <c r="AY329" s="6">
        <f>Datos_originales!$Y133/Datos_originales!$E133</f>
        <v>0.01134572959</v>
      </c>
      <c r="AZ329" s="6">
        <f>Datos_originales!$Z133/Datos_originales!$E133</f>
        <v>0.01465490072</v>
      </c>
      <c r="BA329" s="6">
        <f>Datos_originales!$AA133/Datos_originales!$E133</f>
        <v>0.02521273243</v>
      </c>
      <c r="BB329" s="6">
        <f>Datos_originales!$AB133/Datos_originales!$E133</f>
        <v>0.039552474</v>
      </c>
      <c r="BC329" s="6">
        <f>Datos_originales!$AC133/Datos_originales!$E133</f>
        <v>0.04349196344</v>
      </c>
      <c r="BD329" s="6">
        <f>Datos_originales!$AD133/Datos_originales!$E133</f>
        <v>0.01260636621</v>
      </c>
      <c r="BE329" s="6">
        <f>Datos_originales!$AE133/Datos_originales!$E133</f>
        <v>0.03907973527</v>
      </c>
      <c r="BF329" s="6">
        <f>Datos_originales!$AF133/Datos_originales!$E133</f>
        <v>0.03372202962</v>
      </c>
      <c r="BG329" s="6">
        <f>Datos_originales!$AG133/Datos_originales!$E133</f>
        <v>0.002678852821</v>
      </c>
    </row>
    <row r="330" ht="15.75" customHeight="1">
      <c r="A330" s="2">
        <v>90101.0</v>
      </c>
      <c r="B330" s="3" t="s">
        <v>385</v>
      </c>
      <c r="C330" s="4" t="s">
        <v>386</v>
      </c>
      <c r="D330" s="4">
        <f>IF(Datos_originales!$E330&lt;1000,"Bosque menor a 1000 ha",Datos_originales!$E330)</f>
        <v>23278.41</v>
      </c>
      <c r="E330" s="4">
        <v>23278.41</v>
      </c>
      <c r="F330" s="5">
        <f>AVERAGE(Datos_originales!$H68:$J68)</f>
        <v>0</v>
      </c>
      <c r="G330" s="5">
        <f>AVERAGE(Datos_originales!$R68:$T68)</f>
        <v>0</v>
      </c>
      <c r="H330" s="4">
        <v>465.21</v>
      </c>
      <c r="I330" s="4">
        <v>407.61</v>
      </c>
      <c r="J330" s="4">
        <v>387.09</v>
      </c>
      <c r="K330" s="4">
        <v>353.34</v>
      </c>
      <c r="L330" s="4">
        <v>437.67</v>
      </c>
      <c r="M330" s="4">
        <v>447.75</v>
      </c>
      <c r="N330" s="4">
        <v>442.26</v>
      </c>
      <c r="O330" s="4">
        <v>244.44</v>
      </c>
      <c r="P330" s="4">
        <v>273.87</v>
      </c>
      <c r="Q330" s="4">
        <v>415.62</v>
      </c>
      <c r="R330" s="4">
        <v>41.4</v>
      </c>
      <c r="S330" s="4">
        <v>660.3299999999999</v>
      </c>
      <c r="T330" s="4">
        <v>549.72</v>
      </c>
      <c r="U330" s="4">
        <v>493.74</v>
      </c>
      <c r="V330" s="4">
        <v>431.82</v>
      </c>
      <c r="W330" s="4">
        <v>409.95</v>
      </c>
      <c r="X330" s="4">
        <v>429.5700000000001</v>
      </c>
      <c r="Y330" s="4">
        <v>460.08</v>
      </c>
      <c r="Z330" s="4">
        <v>461.61</v>
      </c>
      <c r="AA330" s="4">
        <v>446.67</v>
      </c>
      <c r="AB330" s="4">
        <v>264.24</v>
      </c>
      <c r="AC330" s="4">
        <v>282.69</v>
      </c>
      <c r="AD330" s="4">
        <v>417.6</v>
      </c>
      <c r="AE330" s="4">
        <v>41.67</v>
      </c>
      <c r="AF330" s="4">
        <v>677.97</v>
      </c>
      <c r="AG330" s="4">
        <v>558.45</v>
      </c>
      <c r="AH330" s="6" t="str">
        <f>Datos_originales!$H68/Datos_originales!$E68</f>
        <v>#DIV/0!</v>
      </c>
      <c r="AI330" s="6" t="str">
        <f>Datos_originales!$I68/Datos_originales!$E68</f>
        <v>#DIV/0!</v>
      </c>
      <c r="AJ330" s="6" t="str">
        <f>Datos_originales!$J68/Datos_originales!$E68</f>
        <v>#DIV/0!</v>
      </c>
      <c r="AK330" s="6" t="str">
        <f>Datos_originales!$K68/Datos_originales!$E68</f>
        <v>#DIV/0!</v>
      </c>
      <c r="AL330" s="6" t="str">
        <f>Datos_originales!$L68/Datos_originales!$E68</f>
        <v>#DIV/0!</v>
      </c>
      <c r="AM330" s="6" t="str">
        <f>Datos_originales!$M68/Datos_originales!$E68</f>
        <v>#DIV/0!</v>
      </c>
      <c r="AN330" s="6" t="str">
        <f>Datos_originales!$N68/Datos_originales!$E68</f>
        <v>#DIV/0!</v>
      </c>
      <c r="AO330" s="6" t="str">
        <f>Datos_originales!$O68/Datos_originales!$E68</f>
        <v>#DIV/0!</v>
      </c>
      <c r="AP330" s="6" t="str">
        <f>Datos_originales!$P68/Datos_originales!$E68</f>
        <v>#DIV/0!</v>
      </c>
      <c r="AQ330" s="6" t="str">
        <f>Datos_originales!$Q68/Datos_originales!$E68</f>
        <v>#DIV/0!</v>
      </c>
      <c r="AR330" s="6" t="str">
        <f>Datos_originales!$R68/Datos_originales!$E68</f>
        <v>#DIV/0!</v>
      </c>
      <c r="AS330" s="6" t="str">
        <f>Datos_originales!$S68/Datos_originales!$E68</f>
        <v>#DIV/0!</v>
      </c>
      <c r="AT330" s="6" t="str">
        <f>Datos_originales!$T68/Datos_originales!$E68</f>
        <v>#DIV/0!</v>
      </c>
      <c r="AU330" s="6" t="str">
        <f>Datos_originales!$U68/Datos_originales!$E68</f>
        <v>#DIV/0!</v>
      </c>
      <c r="AV330" s="6" t="str">
        <f>Datos_originales!$V68/Datos_originales!$E68</f>
        <v>#DIV/0!</v>
      </c>
      <c r="AW330" s="6" t="str">
        <f>Datos_originales!$W68/Datos_originales!$E68</f>
        <v>#DIV/0!</v>
      </c>
      <c r="AX330" s="6" t="str">
        <f>Datos_originales!$X68/Datos_originales!$E68</f>
        <v>#DIV/0!</v>
      </c>
      <c r="AY330" s="6" t="str">
        <f>Datos_originales!$Y68/Datos_originales!$E68</f>
        <v>#DIV/0!</v>
      </c>
      <c r="AZ330" s="6" t="str">
        <f>Datos_originales!$Z68/Datos_originales!$E68</f>
        <v>#DIV/0!</v>
      </c>
      <c r="BA330" s="6" t="str">
        <f>Datos_originales!$AA68/Datos_originales!$E68</f>
        <v>#DIV/0!</v>
      </c>
      <c r="BB330" s="6" t="str">
        <f>Datos_originales!$AB68/Datos_originales!$E68</f>
        <v>#DIV/0!</v>
      </c>
      <c r="BC330" s="6" t="str">
        <f>Datos_originales!$AC68/Datos_originales!$E68</f>
        <v>#DIV/0!</v>
      </c>
      <c r="BD330" s="6" t="str">
        <f>Datos_originales!$AD68/Datos_originales!$E68</f>
        <v>#DIV/0!</v>
      </c>
      <c r="BE330" s="6" t="str">
        <f>Datos_originales!$AE68/Datos_originales!$E68</f>
        <v>#DIV/0!</v>
      </c>
      <c r="BF330" s="6" t="str">
        <f>Datos_originales!$AF68/Datos_originales!$E68</f>
        <v>#DIV/0!</v>
      </c>
      <c r="BG330" s="6" t="str">
        <f>Datos_originales!$AG68/Datos_originales!$E68</f>
        <v>#DIV/0!</v>
      </c>
    </row>
    <row r="331" ht="15.75" customHeight="1">
      <c r="A331" s="2">
        <v>90102.0</v>
      </c>
      <c r="B331" s="3" t="s">
        <v>385</v>
      </c>
      <c r="C331" s="4" t="s">
        <v>387</v>
      </c>
      <c r="D331" s="4">
        <f>IF(Datos_originales!$E331&lt;1000,"Bosque menor a 1000 ha",Datos_originales!$E331)</f>
        <v>76866.75</v>
      </c>
      <c r="E331" s="4">
        <v>76866.75</v>
      </c>
      <c r="F331" s="5">
        <f>AVERAGE(Datos_originales!$H118:$J118)</f>
        <v>5.01</v>
      </c>
      <c r="G331" s="5">
        <f>AVERAGE(Datos_originales!$R118:$T118)</f>
        <v>56.73</v>
      </c>
      <c r="H331" s="4">
        <v>591.84</v>
      </c>
      <c r="I331" s="4">
        <v>511.2</v>
      </c>
      <c r="J331" s="4">
        <v>575.46</v>
      </c>
      <c r="K331" s="4">
        <v>579.69</v>
      </c>
      <c r="L331" s="4">
        <v>432.9</v>
      </c>
      <c r="M331" s="4">
        <v>569.97</v>
      </c>
      <c r="N331" s="4">
        <v>500.85</v>
      </c>
      <c r="O331" s="4">
        <v>403.56</v>
      </c>
      <c r="P331" s="4">
        <v>529.38</v>
      </c>
      <c r="Q331" s="4">
        <v>729.9</v>
      </c>
      <c r="R331" s="4">
        <v>85.32000000000001</v>
      </c>
      <c r="S331" s="4">
        <v>626.76</v>
      </c>
      <c r="T331" s="4">
        <v>732.6899999999999</v>
      </c>
      <c r="U331" s="4">
        <v>690.39</v>
      </c>
      <c r="V331" s="4">
        <v>593.8199999999999</v>
      </c>
      <c r="W331" s="4">
        <v>662.58</v>
      </c>
      <c r="X331" s="4">
        <v>703.62</v>
      </c>
      <c r="Y331" s="4">
        <v>470.97</v>
      </c>
      <c r="Z331" s="4">
        <v>582.12</v>
      </c>
      <c r="AA331" s="4">
        <v>539.64</v>
      </c>
      <c r="AB331" s="4">
        <v>426.24</v>
      </c>
      <c r="AC331" s="4">
        <v>575.73</v>
      </c>
      <c r="AD331" s="4">
        <v>759.06</v>
      </c>
      <c r="AE331" s="4">
        <v>94.23</v>
      </c>
      <c r="AF331" s="4">
        <v>705.51</v>
      </c>
      <c r="AG331" s="4">
        <v>779.76</v>
      </c>
      <c r="AH331" s="6">
        <f>Datos_originales!$H118/Datos_originales!$E118</f>
        <v>0.00376331635</v>
      </c>
      <c r="AI331" s="6">
        <f>Datos_originales!$I118/Datos_originales!$E118</f>
        <v>0.003531727652</v>
      </c>
      <c r="AJ331" s="6">
        <f>Datos_originales!$J118/Datos_originales!$E118</f>
        <v>0.002373784159</v>
      </c>
      <c r="AK331" s="6">
        <f>Datos_originales!$K118/Datos_originales!$E118</f>
        <v>0.00990041686</v>
      </c>
      <c r="AL331" s="6">
        <f>Datos_originales!$L118/Datos_originales!$E118</f>
        <v>0.01221630384</v>
      </c>
      <c r="AM331" s="6">
        <f>Datos_originales!$M118/Datos_originales!$E118</f>
        <v>0.01146364057</v>
      </c>
      <c r="AN331" s="6">
        <f>Datos_originales!$N118/Datos_originales!$E118</f>
        <v>0.1111625753</v>
      </c>
      <c r="AO331" s="6">
        <f>Datos_originales!$O118/Datos_originales!$E118</f>
        <v>0.02813802686</v>
      </c>
      <c r="AP331" s="6">
        <f>Datos_originales!$P118/Datos_originales!$E118</f>
        <v>0.0196271422</v>
      </c>
      <c r="AQ331" s="6">
        <f>Datos_originales!$Q118/Datos_originales!$E118</f>
        <v>0.02698008337</v>
      </c>
      <c r="AR331" s="6">
        <f>Datos_originales!$R118/Datos_originales!$E118</f>
        <v>0.04869152385</v>
      </c>
      <c r="AS331" s="6">
        <f>Datos_originales!$S118/Datos_originales!$E118</f>
        <v>0.05662343678</v>
      </c>
      <c r="AT331" s="6">
        <f>Datos_originales!$T118/Datos_originales!$E118</f>
        <v>0.004168596572</v>
      </c>
      <c r="AU331" s="6">
        <f>Datos_originales!$U118/Datos_originales!$E118</f>
        <v>0.007121352478</v>
      </c>
      <c r="AV331" s="6">
        <f>Datos_originales!$V118/Datos_originales!$E118</f>
        <v>0.01013200556</v>
      </c>
      <c r="AW331" s="6">
        <f>Datos_originales!$W118/Datos_originales!$E118</f>
        <v>0.006600277906</v>
      </c>
      <c r="AX331" s="6">
        <f>Datos_originales!$X118/Datos_originales!$E118</f>
        <v>0.01331635016</v>
      </c>
      <c r="AY331" s="6">
        <f>Datos_originales!$Y118/Datos_originales!$E118</f>
        <v>0.01615331172</v>
      </c>
      <c r="AZ331" s="6">
        <f>Datos_originales!$Z118/Datos_originales!$E118</f>
        <v>0.01858499305</v>
      </c>
      <c r="BA331" s="6">
        <f>Datos_originales!$AA118/Datos_originales!$E118</f>
        <v>0.1228578045</v>
      </c>
      <c r="BB331" s="6">
        <f>Datos_originales!$AB118/Datos_originales!$E118</f>
        <v>0.06710282538</v>
      </c>
      <c r="BC331" s="6">
        <f>Datos_originales!$AC118/Datos_originales!$E118</f>
        <v>0.07046086151</v>
      </c>
      <c r="BD331" s="6">
        <f>Datos_originales!$AD118/Datos_originales!$E118</f>
        <v>0.02750115794</v>
      </c>
      <c r="BE331" s="6">
        <f>Datos_originales!$AE118/Datos_originales!$E118</f>
        <v>0.04909680408</v>
      </c>
      <c r="BF331" s="6">
        <f>Datos_originales!$AF118/Datos_originales!$E118</f>
        <v>0.064323761</v>
      </c>
      <c r="BG331" s="6">
        <f>Datos_originales!$AG118/Datos_originales!$E118</f>
        <v>0.004747568319</v>
      </c>
    </row>
    <row r="332" ht="15.75" customHeight="1">
      <c r="A332" s="2">
        <v>90103.0</v>
      </c>
      <c r="B332" s="3" t="s">
        <v>385</v>
      </c>
      <c r="C332" s="4" t="s">
        <v>388</v>
      </c>
      <c r="D332" s="4">
        <f>IF(Datos_originales!$E332&lt;1000,"Bosque menor a 1000 ha",Datos_originales!$E332)</f>
        <v>232518.15</v>
      </c>
      <c r="E332" s="4">
        <v>232518.15</v>
      </c>
      <c r="F332" s="5">
        <f>AVERAGE(Datos_originales!$H137:$J137)</f>
        <v>0</v>
      </c>
      <c r="G332" s="5">
        <f>AVERAGE(Datos_originales!$R137:$T137)</f>
        <v>0</v>
      </c>
      <c r="H332" s="4">
        <v>758.7</v>
      </c>
      <c r="I332" s="4">
        <v>793.53</v>
      </c>
      <c r="J332" s="4">
        <v>802.0799999999999</v>
      </c>
      <c r="K332" s="4">
        <v>799.47</v>
      </c>
      <c r="L332" s="4">
        <v>871.2</v>
      </c>
      <c r="M332" s="4">
        <v>1083.24</v>
      </c>
      <c r="N332" s="4">
        <v>1360.98</v>
      </c>
      <c r="O332" s="4">
        <v>970.56</v>
      </c>
      <c r="P332" s="4">
        <v>1095.03</v>
      </c>
      <c r="Q332" s="4">
        <v>886.77</v>
      </c>
      <c r="R332" s="4">
        <v>357.9299999999999</v>
      </c>
      <c r="S332" s="4">
        <v>703.98</v>
      </c>
      <c r="T332" s="4">
        <v>1335.06</v>
      </c>
      <c r="U332" s="4">
        <v>856.53</v>
      </c>
      <c r="V332" s="4">
        <v>858.87</v>
      </c>
      <c r="W332" s="4">
        <v>858.96</v>
      </c>
      <c r="X332" s="4">
        <v>915.9300000000001</v>
      </c>
      <c r="Y332" s="4">
        <v>906.21</v>
      </c>
      <c r="Z332" s="4">
        <v>1101.69</v>
      </c>
      <c r="AA332" s="4">
        <v>1382.85</v>
      </c>
      <c r="AB332" s="4">
        <v>1000.35</v>
      </c>
      <c r="AC332" s="4">
        <v>1126.8</v>
      </c>
      <c r="AD332" s="4">
        <v>912.51</v>
      </c>
      <c r="AE332" s="4">
        <v>374.58</v>
      </c>
      <c r="AF332" s="4">
        <v>781.2</v>
      </c>
      <c r="AG332" s="4">
        <v>1393.47</v>
      </c>
      <c r="AH332" s="6">
        <f>Datos_originales!$H137/Datos_originales!$E137</f>
        <v>0</v>
      </c>
      <c r="AI332" s="6">
        <f>Datos_originales!$I137/Datos_originales!$E137</f>
        <v>0</v>
      </c>
      <c r="AJ332" s="6">
        <f>Datos_originales!$J137/Datos_originales!$E137</f>
        <v>0</v>
      </c>
      <c r="AK332" s="6">
        <f>Datos_originales!$K137/Datos_originales!$E137</f>
        <v>0</v>
      </c>
      <c r="AL332" s="6">
        <f>Datos_originales!$L137/Datos_originales!$E137</f>
        <v>0</v>
      </c>
      <c r="AM332" s="6">
        <f>Datos_originales!$M137/Datos_originales!$E137</f>
        <v>0</v>
      </c>
      <c r="AN332" s="6">
        <f>Datos_originales!$N137/Datos_originales!$E137</f>
        <v>0</v>
      </c>
      <c r="AO332" s="6">
        <f>Datos_originales!$O137/Datos_originales!$E137</f>
        <v>0</v>
      </c>
      <c r="AP332" s="6">
        <f>Datos_originales!$P137/Datos_originales!$E137</f>
        <v>0</v>
      </c>
      <c r="AQ332" s="6">
        <f>Datos_originales!$Q137/Datos_originales!$E137</f>
        <v>0</v>
      </c>
      <c r="AR332" s="6">
        <f>Datos_originales!$R137/Datos_originales!$E137</f>
        <v>0</v>
      </c>
      <c r="AS332" s="6">
        <f>Datos_originales!$S137/Datos_originales!$E137</f>
        <v>0</v>
      </c>
      <c r="AT332" s="6">
        <f>Datos_originales!$T137/Datos_originales!$E137</f>
        <v>0</v>
      </c>
      <c r="AU332" s="6">
        <f>Datos_originales!$U137/Datos_originales!$E137</f>
        <v>0</v>
      </c>
      <c r="AV332" s="6">
        <f>Datos_originales!$V137/Datos_originales!$E137</f>
        <v>0</v>
      </c>
      <c r="AW332" s="6">
        <f>Datos_originales!$W137/Datos_originales!$E137</f>
        <v>0.0412371134</v>
      </c>
      <c r="AX332" s="6">
        <f>Datos_originales!$X137/Datos_originales!$E137</f>
        <v>0</v>
      </c>
      <c r="AY332" s="6">
        <f>Datos_originales!$Y137/Datos_originales!$E137</f>
        <v>0</v>
      </c>
      <c r="AZ332" s="6">
        <f>Datos_originales!$Z137/Datos_originales!$E137</f>
        <v>0.01030927835</v>
      </c>
      <c r="BA332" s="6">
        <f>Datos_originales!$AA137/Datos_originales!$E137</f>
        <v>0</v>
      </c>
      <c r="BB332" s="6">
        <f>Datos_originales!$AB137/Datos_originales!$E137</f>
        <v>0.03092783505</v>
      </c>
      <c r="BC332" s="6">
        <f>Datos_originales!$AC137/Datos_originales!$E137</f>
        <v>0</v>
      </c>
      <c r="BD332" s="6">
        <f>Datos_originales!$AD137/Datos_originales!$E137</f>
        <v>0</v>
      </c>
      <c r="BE332" s="6">
        <f>Datos_originales!$AE137/Datos_originales!$E137</f>
        <v>0</v>
      </c>
      <c r="BF332" s="6">
        <f>Datos_originales!$AF137/Datos_originales!$E137</f>
        <v>0</v>
      </c>
      <c r="BG332" s="6">
        <f>Datos_originales!$AG137/Datos_originales!$E137</f>
        <v>0</v>
      </c>
    </row>
    <row r="333" ht="15.75" customHeight="1">
      <c r="A333" s="2">
        <v>90104.0</v>
      </c>
      <c r="B333" s="3" t="s">
        <v>385</v>
      </c>
      <c r="C333" s="4" t="s">
        <v>389</v>
      </c>
      <c r="D333" s="4">
        <f>IF(Datos_originales!$E333&lt;1000,"Bosque menor a 1000 ha",Datos_originales!$E333)</f>
        <v>481176.99</v>
      </c>
      <c r="E333" s="4">
        <v>481176.99</v>
      </c>
      <c r="F333" s="5">
        <f>AVERAGE(Datos_originales!$H145:$J145)</f>
        <v>73.38</v>
      </c>
      <c r="G333" s="5">
        <f>AVERAGE(Datos_originales!$R145:$T145)</f>
        <v>219.06</v>
      </c>
      <c r="H333" s="4">
        <v>1360.71</v>
      </c>
      <c r="I333" s="4">
        <v>1752.39</v>
      </c>
      <c r="J333" s="4">
        <v>980.73</v>
      </c>
      <c r="K333" s="4">
        <v>1263.87</v>
      </c>
      <c r="L333" s="4">
        <v>1808.46</v>
      </c>
      <c r="M333" s="4">
        <v>2225.25</v>
      </c>
      <c r="N333" s="4">
        <v>1820.88</v>
      </c>
      <c r="O333" s="4">
        <v>1024.65</v>
      </c>
      <c r="P333" s="4">
        <v>1629.09</v>
      </c>
      <c r="Q333" s="4">
        <v>3184.56</v>
      </c>
      <c r="R333" s="4">
        <v>625.14</v>
      </c>
      <c r="S333" s="4">
        <v>2086.38</v>
      </c>
      <c r="T333" s="4">
        <v>2292.75</v>
      </c>
      <c r="U333" s="4">
        <v>1575.63</v>
      </c>
      <c r="V333" s="4">
        <v>2038.23</v>
      </c>
      <c r="W333" s="4">
        <v>1196.55</v>
      </c>
      <c r="X333" s="4">
        <v>1455.39</v>
      </c>
      <c r="Y333" s="4">
        <v>1941.84</v>
      </c>
      <c r="Z333" s="4">
        <v>2283.21</v>
      </c>
      <c r="AA333" s="4">
        <v>1912.86</v>
      </c>
      <c r="AB333" s="4">
        <v>1122.21</v>
      </c>
      <c r="AC333" s="4">
        <v>1887.48</v>
      </c>
      <c r="AD333" s="4">
        <v>3295.26</v>
      </c>
      <c r="AE333" s="4">
        <v>655.9200000000001</v>
      </c>
      <c r="AF333" s="4">
        <v>2310.12</v>
      </c>
      <c r="AG333" s="4">
        <v>2428.92</v>
      </c>
      <c r="AH333" s="6">
        <f>Datos_originales!$H145/Datos_originales!$E145</f>
        <v>0.004441620598</v>
      </c>
      <c r="AI333" s="6">
        <f>Datos_originales!$I145/Datos_originales!$E145</f>
        <v>0.005023544152</v>
      </c>
      <c r="AJ333" s="6">
        <f>Datos_originales!$J145/Datos_originales!$E145</f>
        <v>0.005059172125</v>
      </c>
      <c r="AK333" s="6">
        <f>Datos_originales!$K145/Datos_originales!$E145</f>
        <v>0.006864322742</v>
      </c>
      <c r="AL333" s="6">
        <f>Datos_originales!$L145/Datos_originales!$E145</f>
        <v>0.006294275179</v>
      </c>
      <c r="AM333" s="6">
        <f>Datos_originales!$M145/Datos_originales!$E145</f>
        <v>0.01230946457</v>
      </c>
      <c r="AN333" s="6">
        <f>Datos_originales!$N145/Datos_originales!$E145</f>
        <v>0.01224414662</v>
      </c>
      <c r="AO333" s="6">
        <f>Datos_originales!$O145/Datos_originales!$E145</f>
        <v>0.01170378903</v>
      </c>
      <c r="AP333" s="6">
        <f>Datos_originales!$P145/Datos_originales!$E145</f>
        <v>0.01621666558</v>
      </c>
      <c r="AQ333" s="6">
        <f>Datos_originales!$Q145/Datos_originales!$E145</f>
        <v>0.009524544704</v>
      </c>
      <c r="AR333" s="6">
        <f>Datos_originales!$R145/Datos_originales!$E145</f>
        <v>0.00690588871</v>
      </c>
      <c r="AS333" s="6">
        <f>Datos_originales!$S145/Datos_originales!$E145</f>
        <v>0.03251646309</v>
      </c>
      <c r="AT333" s="6">
        <f>Datos_originales!$T145/Datos_originales!$E145</f>
        <v>0.003936890984</v>
      </c>
      <c r="AU333" s="6">
        <f>Datos_originales!$U145/Datos_originales!$E145</f>
        <v>0.009180140968</v>
      </c>
      <c r="AV333" s="6">
        <f>Datos_originales!$V145/Datos_originales!$E145</f>
        <v>0.008800109259</v>
      </c>
      <c r="AW333" s="6">
        <f>Datos_originales!$W145/Datos_originales!$E145</f>
        <v>0.008841675227</v>
      </c>
      <c r="AX333" s="6">
        <f>Datos_originales!$X145/Datos_originales!$E145</f>
        <v>0.009815506481</v>
      </c>
      <c r="AY333" s="6">
        <f>Datos_originales!$Y145/Datos_originales!$E145</f>
        <v>0.009037629077</v>
      </c>
      <c r="AZ333" s="6">
        <f>Datos_originales!$Z145/Datos_originales!$E145</f>
        <v>0.01823558403</v>
      </c>
      <c r="BA333" s="6">
        <f>Datos_originales!$AA145/Datos_originales!$E145</f>
        <v>0.01850873182</v>
      </c>
      <c r="BB333" s="6">
        <f>Datos_originales!$AB145/Datos_originales!$E145</f>
        <v>0.02024856449</v>
      </c>
      <c r="BC333" s="6">
        <f>Datos_originales!$AC145/Datos_originales!$E145</f>
        <v>0.02074141811</v>
      </c>
      <c r="BD333" s="6">
        <f>Datos_originales!$AD145/Datos_originales!$E145</f>
        <v>0.01124062539</v>
      </c>
      <c r="BE333" s="6">
        <f>Datos_originales!$AE145/Datos_originales!$E145</f>
        <v>0.01179879696</v>
      </c>
      <c r="BF333" s="6">
        <f>Datos_originales!$AF145/Datos_originales!$E145</f>
        <v>0.03582392656</v>
      </c>
      <c r="BG333" s="6">
        <f>Datos_originales!$AG145/Datos_originales!$E145</f>
        <v>0.003972518957</v>
      </c>
    </row>
    <row r="334" ht="15.75" customHeight="1">
      <c r="A334" s="2">
        <v>90201.0</v>
      </c>
      <c r="B334" s="3" t="s">
        <v>385</v>
      </c>
      <c r="C334" s="4" t="s">
        <v>390</v>
      </c>
      <c r="D334" s="4">
        <f>IF(Datos_originales!$E334&lt;1000,"Bosque menor a 1000 ha",Datos_originales!$E334)</f>
        <v>493769.52</v>
      </c>
      <c r="E334" s="4">
        <v>493769.52</v>
      </c>
      <c r="F334" s="5">
        <f>AVERAGE(Datos_originales!$H204:$J204)</f>
        <v>0</v>
      </c>
      <c r="G334" s="5">
        <f>AVERAGE(Datos_originales!$R204:$T204)</f>
        <v>0</v>
      </c>
      <c r="H334" s="4">
        <v>505.17</v>
      </c>
      <c r="I334" s="4">
        <v>359.55</v>
      </c>
      <c r="J334" s="4">
        <v>307.35</v>
      </c>
      <c r="K334" s="4">
        <v>437.94</v>
      </c>
      <c r="L334" s="4">
        <v>352.26</v>
      </c>
      <c r="M334" s="4">
        <v>1748.07</v>
      </c>
      <c r="N334" s="4">
        <v>387.8099999999999</v>
      </c>
      <c r="O334" s="4">
        <v>236.88</v>
      </c>
      <c r="P334" s="4">
        <v>451.71</v>
      </c>
      <c r="Q334" s="4">
        <v>962.28</v>
      </c>
      <c r="R334" s="4">
        <v>96.66</v>
      </c>
      <c r="S334" s="4">
        <v>254.88</v>
      </c>
      <c r="T334" s="4">
        <v>354.78</v>
      </c>
      <c r="U334" s="4">
        <v>2741.13</v>
      </c>
      <c r="V334" s="4">
        <v>1685.88</v>
      </c>
      <c r="W334" s="4">
        <v>1121.58</v>
      </c>
      <c r="X334" s="4">
        <v>887.1299999999999</v>
      </c>
      <c r="Y334" s="4">
        <v>707.6700000000001</v>
      </c>
      <c r="Z334" s="4">
        <v>2116.71</v>
      </c>
      <c r="AA334" s="4">
        <v>726.03</v>
      </c>
      <c r="AB334" s="4">
        <v>561.1500000000001</v>
      </c>
      <c r="AC334" s="4">
        <v>1167.93</v>
      </c>
      <c r="AD334" s="4">
        <v>1174.68</v>
      </c>
      <c r="AE334" s="4">
        <v>216.18</v>
      </c>
      <c r="AF334" s="4">
        <v>623.4300000000001</v>
      </c>
      <c r="AG334" s="4">
        <v>627.9300000000001</v>
      </c>
      <c r="AH334" s="6">
        <f>Datos_originales!$H204/Datos_originales!$E204</f>
        <v>0</v>
      </c>
      <c r="AI334" s="6">
        <f>Datos_originales!$I204/Datos_originales!$E204</f>
        <v>0</v>
      </c>
      <c r="AJ334" s="6">
        <f>Datos_originales!$J204/Datos_originales!$E204</f>
        <v>0</v>
      </c>
      <c r="AK334" s="6">
        <f>Datos_originales!$K204/Datos_originales!$E204</f>
        <v>0</v>
      </c>
      <c r="AL334" s="6">
        <f>Datos_originales!$L204/Datos_originales!$E204</f>
        <v>0</v>
      </c>
      <c r="AM334" s="6">
        <f>Datos_originales!$M204/Datos_originales!$E204</f>
        <v>0</v>
      </c>
      <c r="AN334" s="6">
        <f>Datos_originales!$N204/Datos_originales!$E204</f>
        <v>0</v>
      </c>
      <c r="AO334" s="6">
        <f>Datos_originales!$O204/Datos_originales!$E204</f>
        <v>0</v>
      </c>
      <c r="AP334" s="6">
        <f>Datos_originales!$P204/Datos_originales!$E204</f>
        <v>0</v>
      </c>
      <c r="AQ334" s="6">
        <f>Datos_originales!$Q204/Datos_originales!$E204</f>
        <v>0</v>
      </c>
      <c r="AR334" s="6">
        <f>Datos_originales!$R204/Datos_originales!$E204</f>
        <v>0</v>
      </c>
      <c r="AS334" s="6">
        <f>Datos_originales!$S204/Datos_originales!$E204</f>
        <v>0</v>
      </c>
      <c r="AT334" s="6">
        <f>Datos_originales!$T204/Datos_originales!$E204</f>
        <v>0</v>
      </c>
      <c r="AU334" s="6">
        <f>Datos_originales!$U204/Datos_originales!$E204</f>
        <v>0</v>
      </c>
      <c r="AV334" s="6">
        <f>Datos_originales!$V204/Datos_originales!$E204</f>
        <v>0</v>
      </c>
      <c r="AW334" s="6">
        <f>Datos_originales!$W204/Datos_originales!$E204</f>
        <v>0</v>
      </c>
      <c r="AX334" s="6">
        <f>Datos_originales!$X204/Datos_originales!$E204</f>
        <v>0</v>
      </c>
      <c r="AY334" s="6">
        <f>Datos_originales!$Y204/Datos_originales!$E204</f>
        <v>0</v>
      </c>
      <c r="AZ334" s="6">
        <f>Datos_originales!$Z204/Datos_originales!$E204</f>
        <v>0</v>
      </c>
      <c r="BA334" s="6">
        <f>Datos_originales!$AA204/Datos_originales!$E204</f>
        <v>0</v>
      </c>
      <c r="BB334" s="6">
        <f>Datos_originales!$AB204/Datos_originales!$E204</f>
        <v>0</v>
      </c>
      <c r="BC334" s="6">
        <f>Datos_originales!$AC204/Datos_originales!$E204</f>
        <v>0</v>
      </c>
      <c r="BD334" s="6">
        <f>Datos_originales!$AD204/Datos_originales!$E204</f>
        <v>0</v>
      </c>
      <c r="BE334" s="6">
        <f>Datos_originales!$AE204/Datos_originales!$E204</f>
        <v>0</v>
      </c>
      <c r="BF334" s="6">
        <f>Datos_originales!$AF204/Datos_originales!$E204</f>
        <v>0</v>
      </c>
      <c r="BG334" s="6">
        <f>Datos_originales!$AG204/Datos_originales!$E204</f>
        <v>0.8333333333</v>
      </c>
    </row>
    <row r="335" ht="15.75" customHeight="1">
      <c r="A335" s="2">
        <v>90202.0</v>
      </c>
      <c r="B335" s="3" t="s">
        <v>385</v>
      </c>
      <c r="C335" s="4" t="s">
        <v>275</v>
      </c>
      <c r="D335" s="4">
        <f>IF(Datos_originales!$E335&lt;1000,"Bosque menor a 1000 ha",Datos_originales!$E335)</f>
        <v>240183.99</v>
      </c>
      <c r="E335" s="4">
        <v>240183.99</v>
      </c>
      <c r="F335" s="5">
        <f>AVERAGE(Datos_originales!$H182:$J182)</f>
        <v>0</v>
      </c>
      <c r="G335" s="5">
        <f>AVERAGE(Datos_originales!$R182:$T182)</f>
        <v>0</v>
      </c>
      <c r="H335" s="4">
        <v>351.0</v>
      </c>
      <c r="I335" s="4">
        <v>283.77</v>
      </c>
      <c r="J335" s="4">
        <v>112.5</v>
      </c>
      <c r="K335" s="4">
        <v>74.61</v>
      </c>
      <c r="L335" s="4">
        <v>95.85000000000001</v>
      </c>
      <c r="M335" s="4">
        <v>226.35</v>
      </c>
      <c r="N335" s="4">
        <v>120.87</v>
      </c>
      <c r="O335" s="4">
        <v>88.74000000000001</v>
      </c>
      <c r="P335" s="4">
        <v>248.49</v>
      </c>
      <c r="Q335" s="4">
        <v>576.54</v>
      </c>
      <c r="R335" s="4">
        <v>32.04</v>
      </c>
      <c r="S335" s="4">
        <v>138.33</v>
      </c>
      <c r="T335" s="4">
        <v>241.65</v>
      </c>
      <c r="U335" s="4">
        <v>1624.5</v>
      </c>
      <c r="V335" s="4">
        <v>1045.62</v>
      </c>
      <c r="W335" s="4">
        <v>1617.93</v>
      </c>
      <c r="X335" s="4">
        <v>1006.92</v>
      </c>
      <c r="Y335" s="4">
        <v>502.29</v>
      </c>
      <c r="Z335" s="4">
        <v>685.08</v>
      </c>
      <c r="AA335" s="4">
        <v>509.13</v>
      </c>
      <c r="AB335" s="4">
        <v>566.91</v>
      </c>
      <c r="AC335" s="4">
        <v>821.25</v>
      </c>
      <c r="AD335" s="4">
        <v>931.05</v>
      </c>
      <c r="AE335" s="4">
        <v>254.88</v>
      </c>
      <c r="AF335" s="4">
        <v>944.1</v>
      </c>
      <c r="AG335" s="4">
        <v>621.1800000000001</v>
      </c>
      <c r="AH335" s="6" t="str">
        <f>Datos_originales!$H182/Datos_originales!$E182</f>
        <v>#DIV/0!</v>
      </c>
      <c r="AI335" s="6" t="str">
        <f>Datos_originales!$I182/Datos_originales!$E182</f>
        <v>#DIV/0!</v>
      </c>
      <c r="AJ335" s="6" t="str">
        <f>Datos_originales!$J182/Datos_originales!$E182</f>
        <v>#DIV/0!</v>
      </c>
      <c r="AK335" s="6" t="str">
        <f>Datos_originales!$K182/Datos_originales!$E182</f>
        <v>#DIV/0!</v>
      </c>
      <c r="AL335" s="6" t="str">
        <f>Datos_originales!$L182/Datos_originales!$E182</f>
        <v>#DIV/0!</v>
      </c>
      <c r="AM335" s="6" t="str">
        <f>Datos_originales!$M182/Datos_originales!$E182</f>
        <v>#DIV/0!</v>
      </c>
      <c r="AN335" s="6" t="str">
        <f>Datos_originales!$N182/Datos_originales!$E182</f>
        <v>#DIV/0!</v>
      </c>
      <c r="AO335" s="6" t="str">
        <f>Datos_originales!$O182/Datos_originales!$E182</f>
        <v>#DIV/0!</v>
      </c>
      <c r="AP335" s="6" t="str">
        <f>Datos_originales!$P182/Datos_originales!$E182</f>
        <v>#DIV/0!</v>
      </c>
      <c r="AQ335" s="6" t="str">
        <f>Datos_originales!$Q182/Datos_originales!$E182</f>
        <v>#DIV/0!</v>
      </c>
      <c r="AR335" s="6" t="str">
        <f>Datos_originales!$R182/Datos_originales!$E182</f>
        <v>#DIV/0!</v>
      </c>
      <c r="AS335" s="6" t="str">
        <f>Datos_originales!$S182/Datos_originales!$E182</f>
        <v>#DIV/0!</v>
      </c>
      <c r="AT335" s="6" t="str">
        <f>Datos_originales!$T182/Datos_originales!$E182</f>
        <v>#DIV/0!</v>
      </c>
      <c r="AU335" s="6" t="str">
        <f>Datos_originales!$U182/Datos_originales!$E182</f>
        <v>#DIV/0!</v>
      </c>
      <c r="AV335" s="6" t="str">
        <f>Datos_originales!$V182/Datos_originales!$E182</f>
        <v>#DIV/0!</v>
      </c>
      <c r="AW335" s="6" t="str">
        <f>Datos_originales!$W182/Datos_originales!$E182</f>
        <v>#DIV/0!</v>
      </c>
      <c r="AX335" s="6" t="str">
        <f>Datos_originales!$X182/Datos_originales!$E182</f>
        <v>#DIV/0!</v>
      </c>
      <c r="AY335" s="6" t="str">
        <f>Datos_originales!$Y182/Datos_originales!$E182</f>
        <v>#DIV/0!</v>
      </c>
      <c r="AZ335" s="6" t="str">
        <f>Datos_originales!$Z182/Datos_originales!$E182</f>
        <v>#DIV/0!</v>
      </c>
      <c r="BA335" s="6" t="str">
        <f>Datos_originales!$AA182/Datos_originales!$E182</f>
        <v>#DIV/0!</v>
      </c>
      <c r="BB335" s="6" t="str">
        <f>Datos_originales!$AB182/Datos_originales!$E182</f>
        <v>#DIV/0!</v>
      </c>
      <c r="BC335" s="6" t="str">
        <f>Datos_originales!$AC182/Datos_originales!$E182</f>
        <v>#DIV/0!</v>
      </c>
      <c r="BD335" s="6" t="str">
        <f>Datos_originales!$AD182/Datos_originales!$E182</f>
        <v>#DIV/0!</v>
      </c>
      <c r="BE335" s="6" t="str">
        <f>Datos_originales!$AE182/Datos_originales!$E182</f>
        <v>#DIV/0!</v>
      </c>
      <c r="BF335" s="6" t="str">
        <f>Datos_originales!$AF182/Datos_originales!$E182</f>
        <v>#DIV/0!</v>
      </c>
      <c r="BG335" s="6" t="str">
        <f>Datos_originales!$AG182/Datos_originales!$E182</f>
        <v>#DIV/0!</v>
      </c>
    </row>
    <row r="336" ht="15.75" customHeight="1">
      <c r="A336" s="2">
        <v>90203.0</v>
      </c>
      <c r="B336" s="3" t="s">
        <v>385</v>
      </c>
      <c r="C336" s="4" t="s">
        <v>391</v>
      </c>
      <c r="D336" s="4">
        <f>IF(Datos_originales!$E336&lt;1000,"Bosque menor a 1000 ha",Datos_originales!$E336)</f>
        <v>1144670.4</v>
      </c>
      <c r="E336" s="4">
        <v>1144670.4</v>
      </c>
      <c r="F336" s="5">
        <f>AVERAGE(Datos_originales!$H186:$J186)</f>
        <v>0</v>
      </c>
      <c r="G336" s="5">
        <f>AVERAGE(Datos_originales!$R186:$T186)</f>
        <v>0</v>
      </c>
      <c r="H336" s="4">
        <v>1237.5</v>
      </c>
      <c r="I336" s="4">
        <v>1163.16</v>
      </c>
      <c r="J336" s="4">
        <v>1274.49</v>
      </c>
      <c r="K336" s="4">
        <v>1031.58</v>
      </c>
      <c r="L336" s="4">
        <v>1504.89</v>
      </c>
      <c r="M336" s="4">
        <v>1506.69</v>
      </c>
      <c r="N336" s="4">
        <v>1235.25</v>
      </c>
      <c r="O336" s="4">
        <v>1031.94</v>
      </c>
      <c r="P336" s="4">
        <v>1720.53</v>
      </c>
      <c r="Q336" s="4">
        <v>1949.31</v>
      </c>
      <c r="R336" s="4">
        <v>397.8</v>
      </c>
      <c r="S336" s="4">
        <v>1661.85</v>
      </c>
      <c r="T336" s="4">
        <v>2422.62</v>
      </c>
      <c r="U336" s="4">
        <v>2373.12</v>
      </c>
      <c r="V336" s="4">
        <v>1731.6</v>
      </c>
      <c r="W336" s="4">
        <v>1939.59</v>
      </c>
      <c r="X336" s="4">
        <v>1656.99</v>
      </c>
      <c r="Y336" s="4">
        <v>1783.08</v>
      </c>
      <c r="Z336" s="4">
        <v>1720.89</v>
      </c>
      <c r="AA336" s="4">
        <v>1474.92</v>
      </c>
      <c r="AB336" s="4">
        <v>1199.88</v>
      </c>
      <c r="AC336" s="4">
        <v>2027.52</v>
      </c>
      <c r="AD336" s="4">
        <v>2128.86</v>
      </c>
      <c r="AE336" s="4">
        <v>598.05</v>
      </c>
      <c r="AF336" s="4">
        <v>2015.55</v>
      </c>
      <c r="AG336" s="4">
        <v>2797.47</v>
      </c>
      <c r="AH336" s="6" t="str">
        <f>Datos_originales!$H186/Datos_originales!$E186</f>
        <v>#DIV/0!</v>
      </c>
      <c r="AI336" s="6" t="str">
        <f>Datos_originales!$I186/Datos_originales!$E186</f>
        <v>#DIV/0!</v>
      </c>
      <c r="AJ336" s="6" t="str">
        <f>Datos_originales!$J186/Datos_originales!$E186</f>
        <v>#DIV/0!</v>
      </c>
      <c r="AK336" s="6" t="str">
        <f>Datos_originales!$K186/Datos_originales!$E186</f>
        <v>#DIV/0!</v>
      </c>
      <c r="AL336" s="6" t="str">
        <f>Datos_originales!$L186/Datos_originales!$E186</f>
        <v>#DIV/0!</v>
      </c>
      <c r="AM336" s="6" t="str">
        <f>Datos_originales!$M186/Datos_originales!$E186</f>
        <v>#DIV/0!</v>
      </c>
      <c r="AN336" s="6" t="str">
        <f>Datos_originales!$N186/Datos_originales!$E186</f>
        <v>#DIV/0!</v>
      </c>
      <c r="AO336" s="6" t="str">
        <f>Datos_originales!$O186/Datos_originales!$E186</f>
        <v>#DIV/0!</v>
      </c>
      <c r="AP336" s="6" t="str">
        <f>Datos_originales!$P186/Datos_originales!$E186</f>
        <v>#DIV/0!</v>
      </c>
      <c r="AQ336" s="6" t="str">
        <f>Datos_originales!$Q186/Datos_originales!$E186</f>
        <v>#DIV/0!</v>
      </c>
      <c r="AR336" s="6" t="str">
        <f>Datos_originales!$R186/Datos_originales!$E186</f>
        <v>#DIV/0!</v>
      </c>
      <c r="AS336" s="6" t="str">
        <f>Datos_originales!$S186/Datos_originales!$E186</f>
        <v>#DIV/0!</v>
      </c>
      <c r="AT336" s="6" t="str">
        <f>Datos_originales!$T186/Datos_originales!$E186</f>
        <v>#DIV/0!</v>
      </c>
      <c r="AU336" s="6" t="str">
        <f>Datos_originales!$U186/Datos_originales!$E186</f>
        <v>#DIV/0!</v>
      </c>
      <c r="AV336" s="6" t="str">
        <f>Datos_originales!$V186/Datos_originales!$E186</f>
        <v>#DIV/0!</v>
      </c>
      <c r="AW336" s="6" t="str">
        <f>Datos_originales!$W186/Datos_originales!$E186</f>
        <v>#DIV/0!</v>
      </c>
      <c r="AX336" s="6" t="str">
        <f>Datos_originales!$X186/Datos_originales!$E186</f>
        <v>#DIV/0!</v>
      </c>
      <c r="AY336" s="6" t="str">
        <f>Datos_originales!$Y186/Datos_originales!$E186</f>
        <v>#DIV/0!</v>
      </c>
      <c r="AZ336" s="6" t="str">
        <f>Datos_originales!$Z186/Datos_originales!$E186</f>
        <v>#DIV/0!</v>
      </c>
      <c r="BA336" s="6" t="str">
        <f>Datos_originales!$AA186/Datos_originales!$E186</f>
        <v>#DIV/0!</v>
      </c>
      <c r="BB336" s="6" t="str">
        <f>Datos_originales!$AB186/Datos_originales!$E186</f>
        <v>#DIV/0!</v>
      </c>
      <c r="BC336" s="6" t="str">
        <f>Datos_originales!$AC186/Datos_originales!$E186</f>
        <v>#DIV/0!</v>
      </c>
      <c r="BD336" s="6" t="str">
        <f>Datos_originales!$AD186/Datos_originales!$E186</f>
        <v>#DIV/0!</v>
      </c>
      <c r="BE336" s="6" t="str">
        <f>Datos_originales!$AE186/Datos_originales!$E186</f>
        <v>#DIV/0!</v>
      </c>
      <c r="BF336" s="6" t="str">
        <f>Datos_originales!$AF186/Datos_originales!$E186</f>
        <v>#DIV/0!</v>
      </c>
      <c r="BG336" s="6" t="str">
        <f>Datos_originales!$AG186/Datos_originales!$E186</f>
        <v>#DIV/0!</v>
      </c>
    </row>
    <row r="337" ht="15.75" customHeight="1">
      <c r="A337" s="2">
        <v>90301.0</v>
      </c>
      <c r="B337" s="3" t="s">
        <v>385</v>
      </c>
      <c r="C337" s="4" t="s">
        <v>392</v>
      </c>
      <c r="D337" s="4">
        <f>IF(Datos_originales!$E337&lt;1000,"Bosque menor a 1000 ha",Datos_originales!$E337)</f>
        <v>109327.14</v>
      </c>
      <c r="E337" s="4">
        <v>109327.14</v>
      </c>
      <c r="F337" s="5">
        <f>AVERAGE(Datos_originales!$H143:$J143)</f>
        <v>3.06</v>
      </c>
      <c r="G337" s="5">
        <f>AVERAGE(Datos_originales!$R143:$T143)</f>
        <v>54.45</v>
      </c>
      <c r="H337" s="4">
        <v>264.78</v>
      </c>
      <c r="I337" s="4">
        <v>183.24</v>
      </c>
      <c r="J337" s="4">
        <v>245.16</v>
      </c>
      <c r="K337" s="4">
        <v>192.6</v>
      </c>
      <c r="L337" s="4">
        <v>271.71</v>
      </c>
      <c r="M337" s="4">
        <v>411.75</v>
      </c>
      <c r="N337" s="4">
        <v>156.15</v>
      </c>
      <c r="O337" s="4">
        <v>99.45</v>
      </c>
      <c r="P337" s="4">
        <v>231.39</v>
      </c>
      <c r="Q337" s="4">
        <v>571.95</v>
      </c>
      <c r="R337" s="4">
        <v>171.09</v>
      </c>
      <c r="S337" s="4">
        <v>224.46</v>
      </c>
      <c r="T337" s="4">
        <v>417.51</v>
      </c>
      <c r="U337" s="4">
        <v>1185.21</v>
      </c>
      <c r="V337" s="4">
        <v>558.18</v>
      </c>
      <c r="W337" s="4">
        <v>1971.99</v>
      </c>
      <c r="X337" s="4">
        <v>568.26</v>
      </c>
      <c r="Y337" s="4">
        <v>504.54</v>
      </c>
      <c r="Z337" s="4">
        <v>640.62</v>
      </c>
      <c r="AA337" s="4">
        <v>328.68</v>
      </c>
      <c r="AB337" s="4">
        <v>350.01</v>
      </c>
      <c r="AC337" s="4">
        <v>467.64</v>
      </c>
      <c r="AD337" s="4">
        <v>732.4200000000001</v>
      </c>
      <c r="AE337" s="4">
        <v>231.12</v>
      </c>
      <c r="AF337" s="4">
        <v>547.74</v>
      </c>
      <c r="AG337" s="4">
        <v>597.51</v>
      </c>
      <c r="AH337" s="6">
        <f>Datos_originales!$H143/Datos_originales!$E143</f>
        <v>0.004487856389</v>
      </c>
      <c r="AI337" s="6">
        <f>Datos_originales!$I143/Datos_originales!$E143</f>
        <v>0.01135163675</v>
      </c>
      <c r="AJ337" s="6">
        <f>Datos_originales!$J143/Datos_originales!$E143</f>
        <v>0.0110876452</v>
      </c>
      <c r="AK337" s="6">
        <f>Datos_originales!$K143/Datos_originales!$E143</f>
        <v>0.02164730729</v>
      </c>
      <c r="AL337" s="6">
        <f>Datos_originales!$L143/Datos_originales!$E143</f>
        <v>0.01504751848</v>
      </c>
      <c r="AM337" s="6">
        <f>Datos_originales!$M143/Datos_originales!$E143</f>
        <v>0.05174234424</v>
      </c>
      <c r="AN337" s="6">
        <f>Datos_originales!$N143/Datos_originales!$E143</f>
        <v>0.2745512144</v>
      </c>
      <c r="AO337" s="6">
        <f>Datos_originales!$O143/Datos_originales!$E143</f>
        <v>0.02191129884</v>
      </c>
      <c r="AP337" s="6">
        <f>Datos_originales!$P143/Datos_originales!$E143</f>
        <v>0.03273495248</v>
      </c>
      <c r="AQ337" s="6">
        <f>Datos_originales!$Q143/Datos_originales!$E143</f>
        <v>0.0409186906</v>
      </c>
      <c r="AR337" s="6">
        <f>Datos_originales!$R143/Datos_originales!$E143</f>
        <v>0.2415522703</v>
      </c>
      <c r="AS337" s="6">
        <f>Datos_originales!$S143/Datos_originales!$E143</f>
        <v>0.2360084477</v>
      </c>
      <c r="AT337" s="6">
        <f>Datos_originales!$T143/Datos_originales!$E143</f>
        <v>0.001583949314</v>
      </c>
      <c r="AU337" s="6">
        <f>Datos_originales!$U143/Datos_originales!$E143</f>
        <v>0.004487856389</v>
      </c>
      <c r="AV337" s="6">
        <f>Datos_originales!$V143/Datos_originales!$E143</f>
        <v>0.01135163675</v>
      </c>
      <c r="AW337" s="6">
        <f>Datos_originales!$W143/Datos_originales!$E143</f>
        <v>0.01135163675</v>
      </c>
      <c r="AX337" s="6">
        <f>Datos_originales!$X143/Datos_originales!$E143</f>
        <v>0.02164730729</v>
      </c>
      <c r="AY337" s="6">
        <f>Datos_originales!$Y143/Datos_originales!$E143</f>
        <v>0.01504751848</v>
      </c>
      <c r="AZ337" s="6">
        <f>Datos_originales!$Z143/Datos_originales!$E143</f>
        <v>0.05174234424</v>
      </c>
      <c r="BA337" s="6">
        <f>Datos_originales!$AA143/Datos_originales!$E143</f>
        <v>0.2761351637</v>
      </c>
      <c r="BB337" s="6">
        <f>Datos_originales!$AB143/Datos_originales!$E143</f>
        <v>0.02191129884</v>
      </c>
      <c r="BC337" s="6">
        <f>Datos_originales!$AC143/Datos_originales!$E143</f>
        <v>0.03273495248</v>
      </c>
      <c r="BD337" s="6">
        <f>Datos_originales!$AD143/Datos_originales!$E143</f>
        <v>0.04329461457</v>
      </c>
      <c r="BE337" s="6">
        <f>Datos_originales!$AE143/Datos_originales!$E143</f>
        <v>0.242344245</v>
      </c>
      <c r="BF337" s="6">
        <f>Datos_originales!$AF143/Datos_originales!$E143</f>
        <v>0.2362724393</v>
      </c>
      <c r="BG337" s="6">
        <f>Datos_originales!$AG143/Datos_originales!$E143</f>
        <v>0.001583949314</v>
      </c>
    </row>
    <row r="338" ht="15.75" customHeight="1">
      <c r="A338" s="2">
        <v>90302.0</v>
      </c>
      <c r="B338" s="3" t="s">
        <v>385</v>
      </c>
      <c r="C338" s="4" t="s">
        <v>309</v>
      </c>
      <c r="D338" s="4">
        <f>IF(Datos_originales!$E338&lt;1000,"Bosque menor a 1000 ha",Datos_originales!$E338)</f>
        <v>286931.43</v>
      </c>
      <c r="E338" s="4">
        <v>286931.43</v>
      </c>
      <c r="F338" s="5">
        <f>AVERAGE(Datos_originales!$H192:$J192)</f>
        <v>0</v>
      </c>
      <c r="G338" s="5">
        <f>AVERAGE(Datos_originales!$R192:$T192)</f>
        <v>0</v>
      </c>
      <c r="H338" s="4">
        <v>276.57</v>
      </c>
      <c r="I338" s="4">
        <v>280.53</v>
      </c>
      <c r="J338" s="4">
        <v>341.28</v>
      </c>
      <c r="K338" s="4">
        <v>250.56</v>
      </c>
      <c r="L338" s="4">
        <v>248.49</v>
      </c>
      <c r="M338" s="4">
        <v>545.13</v>
      </c>
      <c r="N338" s="4">
        <v>328.23</v>
      </c>
      <c r="O338" s="4">
        <v>237.33</v>
      </c>
      <c r="P338" s="4">
        <v>476.1899999999999</v>
      </c>
      <c r="Q338" s="4">
        <v>637.2</v>
      </c>
      <c r="R338" s="4">
        <v>152.28</v>
      </c>
      <c r="S338" s="4">
        <v>240.48</v>
      </c>
      <c r="T338" s="4">
        <v>270.81</v>
      </c>
      <c r="U338" s="4">
        <v>1417.59</v>
      </c>
      <c r="V338" s="4">
        <v>926.1899999999999</v>
      </c>
      <c r="W338" s="4">
        <v>2246.04</v>
      </c>
      <c r="X338" s="4">
        <v>790.47</v>
      </c>
      <c r="Y338" s="4">
        <v>587.79</v>
      </c>
      <c r="Z338" s="4">
        <v>820.53</v>
      </c>
      <c r="AA338" s="4">
        <v>556.2</v>
      </c>
      <c r="AB338" s="4">
        <v>585.09</v>
      </c>
      <c r="AC338" s="4">
        <v>764.8199999999999</v>
      </c>
      <c r="AD338" s="4">
        <v>885.24</v>
      </c>
      <c r="AE338" s="4">
        <v>270.36</v>
      </c>
      <c r="AF338" s="4">
        <v>738.36</v>
      </c>
      <c r="AG338" s="4">
        <v>528.9300000000001</v>
      </c>
      <c r="AH338" s="6" t="str">
        <f>Datos_originales!$H192/Datos_originales!$E192</f>
        <v>#DIV/0!</v>
      </c>
      <c r="AI338" s="6" t="str">
        <f>Datos_originales!$I192/Datos_originales!$E192</f>
        <v>#DIV/0!</v>
      </c>
      <c r="AJ338" s="6" t="str">
        <f>Datos_originales!$J192/Datos_originales!$E192</f>
        <v>#DIV/0!</v>
      </c>
      <c r="AK338" s="6" t="str">
        <f>Datos_originales!$K192/Datos_originales!$E192</f>
        <v>#DIV/0!</v>
      </c>
      <c r="AL338" s="6" t="str">
        <f>Datos_originales!$L192/Datos_originales!$E192</f>
        <v>#DIV/0!</v>
      </c>
      <c r="AM338" s="6" t="str">
        <f>Datos_originales!$M192/Datos_originales!$E192</f>
        <v>#DIV/0!</v>
      </c>
      <c r="AN338" s="6" t="str">
        <f>Datos_originales!$N192/Datos_originales!$E192</f>
        <v>#DIV/0!</v>
      </c>
      <c r="AO338" s="6" t="str">
        <f>Datos_originales!$O192/Datos_originales!$E192</f>
        <v>#DIV/0!</v>
      </c>
      <c r="AP338" s="6" t="str">
        <f>Datos_originales!$P192/Datos_originales!$E192</f>
        <v>#DIV/0!</v>
      </c>
      <c r="AQ338" s="6" t="str">
        <f>Datos_originales!$Q192/Datos_originales!$E192</f>
        <v>#DIV/0!</v>
      </c>
      <c r="AR338" s="6" t="str">
        <f>Datos_originales!$R192/Datos_originales!$E192</f>
        <v>#DIV/0!</v>
      </c>
      <c r="AS338" s="6" t="str">
        <f>Datos_originales!$S192/Datos_originales!$E192</f>
        <v>#DIV/0!</v>
      </c>
      <c r="AT338" s="6" t="str">
        <f>Datos_originales!$T192/Datos_originales!$E192</f>
        <v>#DIV/0!</v>
      </c>
      <c r="AU338" s="6" t="str">
        <f>Datos_originales!$U192/Datos_originales!$E192</f>
        <v>#DIV/0!</v>
      </c>
      <c r="AV338" s="6" t="str">
        <f>Datos_originales!$V192/Datos_originales!$E192</f>
        <v>#DIV/0!</v>
      </c>
      <c r="AW338" s="6" t="str">
        <f>Datos_originales!$W192/Datos_originales!$E192</f>
        <v>#DIV/0!</v>
      </c>
      <c r="AX338" s="6" t="str">
        <f>Datos_originales!$X192/Datos_originales!$E192</f>
        <v>#DIV/0!</v>
      </c>
      <c r="AY338" s="6" t="str">
        <f>Datos_originales!$Y192/Datos_originales!$E192</f>
        <v>#DIV/0!</v>
      </c>
      <c r="AZ338" s="6" t="str">
        <f>Datos_originales!$Z192/Datos_originales!$E192</f>
        <v>#DIV/0!</v>
      </c>
      <c r="BA338" s="6" t="str">
        <f>Datos_originales!$AA192/Datos_originales!$E192</f>
        <v>#DIV/0!</v>
      </c>
      <c r="BB338" s="6" t="str">
        <f>Datos_originales!$AB192/Datos_originales!$E192</f>
        <v>#DIV/0!</v>
      </c>
      <c r="BC338" s="6" t="str">
        <f>Datos_originales!$AC192/Datos_originales!$E192</f>
        <v>#DIV/0!</v>
      </c>
      <c r="BD338" s="6" t="str">
        <f>Datos_originales!$AD192/Datos_originales!$E192</f>
        <v>#DIV/0!</v>
      </c>
      <c r="BE338" s="6" t="str">
        <f>Datos_originales!$AE192/Datos_originales!$E192</f>
        <v>#DIV/0!</v>
      </c>
      <c r="BF338" s="6" t="str">
        <f>Datos_originales!$AF192/Datos_originales!$E192</f>
        <v>#DIV/0!</v>
      </c>
      <c r="BG338" s="6" t="str">
        <f>Datos_originales!$AG192/Datos_originales!$E192</f>
        <v>#DIV/0!</v>
      </c>
    </row>
    <row r="339" ht="15.75" customHeight="1">
      <c r="A339" s="2">
        <v>90303.0</v>
      </c>
      <c r="B339" s="3" t="s">
        <v>385</v>
      </c>
      <c r="C339" s="4" t="s">
        <v>393</v>
      </c>
      <c r="D339" s="4">
        <f>IF(Datos_originales!$E339&lt;1000,"Bosque menor a 1000 ha",Datos_originales!$E339)</f>
        <v>717293.34</v>
      </c>
      <c r="E339" s="4">
        <v>717293.34</v>
      </c>
      <c r="F339" s="5">
        <f>AVERAGE(Datos_originales!$H210:$J210)</f>
        <v>0.03</v>
      </c>
      <c r="G339" s="5">
        <f>AVERAGE(Datos_originales!$R210:$T210)</f>
        <v>0.06</v>
      </c>
      <c r="H339" s="4">
        <v>309.33</v>
      </c>
      <c r="I339" s="4">
        <v>364.3200000000001</v>
      </c>
      <c r="J339" s="4">
        <v>336.06</v>
      </c>
      <c r="K339" s="4">
        <v>250.92</v>
      </c>
      <c r="L339" s="4">
        <v>735.75</v>
      </c>
      <c r="M339" s="4">
        <v>822.3299999999999</v>
      </c>
      <c r="N339" s="4">
        <v>353.43</v>
      </c>
      <c r="O339" s="4">
        <v>523.53</v>
      </c>
      <c r="P339" s="4">
        <v>524.61</v>
      </c>
      <c r="Q339" s="4">
        <v>1027.26</v>
      </c>
      <c r="R339" s="4">
        <v>270.36</v>
      </c>
      <c r="S339" s="4">
        <v>315.72</v>
      </c>
      <c r="T339" s="4">
        <v>491.94</v>
      </c>
      <c r="U339" s="4">
        <v>1169.82</v>
      </c>
      <c r="V339" s="4">
        <v>959.6700000000001</v>
      </c>
      <c r="W339" s="4">
        <v>955.62</v>
      </c>
      <c r="X339" s="4">
        <v>455.31</v>
      </c>
      <c r="Y339" s="4">
        <v>969.66</v>
      </c>
      <c r="Z339" s="4">
        <v>1007.19</v>
      </c>
      <c r="AA339" s="4">
        <v>469.53</v>
      </c>
      <c r="AB339" s="4">
        <v>634.95</v>
      </c>
      <c r="AC339" s="4">
        <v>736.56</v>
      </c>
      <c r="AD339" s="4">
        <v>1205.19</v>
      </c>
      <c r="AE339" s="4">
        <v>371.7</v>
      </c>
      <c r="AF339" s="4">
        <v>553.32</v>
      </c>
      <c r="AG339" s="4">
        <v>765.45</v>
      </c>
      <c r="AH339" s="6">
        <f>Datos_originales!$H210/Datos_originales!$E210</f>
        <v>0</v>
      </c>
      <c r="AI339" s="6">
        <f>Datos_originales!$I210/Datos_originales!$E210</f>
        <v>0.02272727273</v>
      </c>
      <c r="AJ339" s="6">
        <f>Datos_originales!$J210/Datos_originales!$E210</f>
        <v>0</v>
      </c>
      <c r="AK339" s="6">
        <f>Datos_originales!$K210/Datos_originales!$E210</f>
        <v>0</v>
      </c>
      <c r="AL339" s="6">
        <f>Datos_originales!$L210/Datos_originales!$E210</f>
        <v>0</v>
      </c>
      <c r="AM339" s="6">
        <f>Datos_originales!$M210/Datos_originales!$E210</f>
        <v>0</v>
      </c>
      <c r="AN339" s="6">
        <f>Datos_originales!$N210/Datos_originales!$E210</f>
        <v>0.1363636364</v>
      </c>
      <c r="AO339" s="6">
        <f>Datos_originales!$O210/Datos_originales!$E210</f>
        <v>0</v>
      </c>
      <c r="AP339" s="6">
        <f>Datos_originales!$P210/Datos_originales!$E210</f>
        <v>0</v>
      </c>
      <c r="AQ339" s="6">
        <f>Datos_originales!$Q210/Datos_originales!$E210</f>
        <v>0</v>
      </c>
      <c r="AR339" s="6">
        <f>Datos_originales!$R210/Datos_originales!$E210</f>
        <v>0</v>
      </c>
      <c r="AS339" s="6">
        <f>Datos_originales!$S210/Datos_originales!$E210</f>
        <v>0</v>
      </c>
      <c r="AT339" s="6">
        <f>Datos_originales!$T210/Datos_originales!$E210</f>
        <v>0.04545454545</v>
      </c>
      <c r="AU339" s="6">
        <f>Datos_originales!$U210/Datos_originales!$E210</f>
        <v>0.09090909091</v>
      </c>
      <c r="AV339" s="6">
        <f>Datos_originales!$V210/Datos_originales!$E210</f>
        <v>0.02272727273</v>
      </c>
      <c r="AW339" s="6">
        <f>Datos_originales!$W210/Datos_originales!$E210</f>
        <v>0.02272727273</v>
      </c>
      <c r="AX339" s="6">
        <f>Datos_originales!$X210/Datos_originales!$E210</f>
        <v>0</v>
      </c>
      <c r="AY339" s="6">
        <f>Datos_originales!$Y210/Datos_originales!$E210</f>
        <v>0</v>
      </c>
      <c r="AZ339" s="6">
        <f>Datos_originales!$Z210/Datos_originales!$E210</f>
        <v>0</v>
      </c>
      <c r="BA339" s="6">
        <f>Datos_originales!$AA210/Datos_originales!$E210</f>
        <v>0.1363636364</v>
      </c>
      <c r="BB339" s="6">
        <f>Datos_originales!$AB210/Datos_originales!$E210</f>
        <v>0</v>
      </c>
      <c r="BC339" s="6">
        <f>Datos_originales!$AC210/Datos_originales!$E210</f>
        <v>0</v>
      </c>
      <c r="BD339" s="6">
        <f>Datos_originales!$AD210/Datos_originales!$E210</f>
        <v>0</v>
      </c>
      <c r="BE339" s="6">
        <f>Datos_originales!$AE210/Datos_originales!$E210</f>
        <v>0</v>
      </c>
      <c r="BF339" s="6">
        <f>Datos_originales!$AF210/Datos_originales!$E210</f>
        <v>0</v>
      </c>
      <c r="BG339" s="6">
        <f>Datos_originales!$AG210/Datos_originales!$E210</f>
        <v>0.25</v>
      </c>
    </row>
    <row r="340" ht="15.75" customHeight="1">
      <c r="A340" s="2">
        <v>90401.0</v>
      </c>
      <c r="B340" s="3" t="s">
        <v>385</v>
      </c>
      <c r="C340" s="4" t="s">
        <v>372</v>
      </c>
      <c r="D340" s="4">
        <f>IF(Datos_originales!$E340&lt;1000,"Bosque menor a 1000 ha",Datos_originales!$E340)</f>
        <v>434458.62</v>
      </c>
      <c r="E340" s="4">
        <v>434458.62</v>
      </c>
      <c r="F340" s="5">
        <f>AVERAGE(Datos_originales!$H212:$J212)</f>
        <v>0.33</v>
      </c>
      <c r="G340" s="5">
        <f>AVERAGE(Datos_originales!$R212:$T212)</f>
        <v>0.66</v>
      </c>
      <c r="H340" s="4">
        <v>359.1</v>
      </c>
      <c r="I340" s="4">
        <v>585.1800000000001</v>
      </c>
      <c r="J340" s="4">
        <v>363.24</v>
      </c>
      <c r="K340" s="4">
        <v>311.31</v>
      </c>
      <c r="L340" s="4">
        <v>501.9300000000001</v>
      </c>
      <c r="M340" s="4">
        <v>569.88</v>
      </c>
      <c r="N340" s="4">
        <v>199.53</v>
      </c>
      <c r="O340" s="4">
        <v>138.69</v>
      </c>
      <c r="P340" s="4">
        <v>495.72</v>
      </c>
      <c r="Q340" s="4">
        <v>1002.33</v>
      </c>
      <c r="R340" s="4">
        <v>156.96</v>
      </c>
      <c r="S340" s="4">
        <v>319.41</v>
      </c>
      <c r="T340" s="4">
        <v>331.29</v>
      </c>
      <c r="U340" s="4">
        <v>540.8100000000001</v>
      </c>
      <c r="V340" s="4">
        <v>742.6800000000001</v>
      </c>
      <c r="W340" s="4">
        <v>483.12</v>
      </c>
      <c r="X340" s="4">
        <v>377.37</v>
      </c>
      <c r="Y340" s="4">
        <v>560.34</v>
      </c>
      <c r="Z340" s="4">
        <v>605.34</v>
      </c>
      <c r="AA340" s="4">
        <v>235.35</v>
      </c>
      <c r="AB340" s="4">
        <v>190.53</v>
      </c>
      <c r="AC340" s="4">
        <v>624.51</v>
      </c>
      <c r="AD340" s="4">
        <v>1069.65</v>
      </c>
      <c r="AE340" s="4">
        <v>218.88</v>
      </c>
      <c r="AF340" s="4">
        <v>445.23</v>
      </c>
      <c r="AG340" s="4">
        <v>420.39</v>
      </c>
      <c r="AH340" s="6">
        <f>Datos_originales!$H212/Datos_originales!$E212</f>
        <v>0.0002022790102</v>
      </c>
      <c r="AI340" s="6">
        <f>Datos_originales!$I212/Datos_originales!$E212</f>
        <v>0.0005394106938</v>
      </c>
      <c r="AJ340" s="6">
        <f>Datos_originales!$J212/Datos_originales!$E212</f>
        <v>0</v>
      </c>
      <c r="AK340" s="6">
        <f>Datos_originales!$K212/Datos_originales!$E212</f>
        <v>0.0002697053469</v>
      </c>
      <c r="AL340" s="6">
        <f>Datos_originales!$L212/Datos_originales!$E212</f>
        <v>0</v>
      </c>
      <c r="AM340" s="6">
        <f>Datos_originales!$M212/Datos_originales!$E212</f>
        <v>0</v>
      </c>
      <c r="AN340" s="6">
        <f>Datos_originales!$N212/Datos_originales!$E212</f>
        <v>0</v>
      </c>
      <c r="AO340" s="6">
        <f>Datos_originales!$O212/Datos_originales!$E212</f>
        <v>0.0003371316836</v>
      </c>
      <c r="AP340" s="6">
        <f>Datos_originales!$P212/Datos_originales!$E212</f>
        <v>0.0004719843571</v>
      </c>
      <c r="AQ340" s="6">
        <f>Datos_originales!$Q212/Datos_originales!$E212</f>
        <v>0.00006742633673</v>
      </c>
      <c r="AR340" s="6">
        <f>Datos_originales!$R212/Datos_originales!$E212</f>
        <v>0.0001348526735</v>
      </c>
      <c r="AS340" s="6">
        <f>Datos_originales!$S212/Datos_originales!$E212</f>
        <v>0.001348526735</v>
      </c>
      <c r="AT340" s="6">
        <f>Datos_originales!$T212/Datos_originales!$E212</f>
        <v>0</v>
      </c>
      <c r="AU340" s="6">
        <f>Datos_originales!$U212/Datos_originales!$E212</f>
        <v>0.004854696244</v>
      </c>
      <c r="AV340" s="6">
        <f>Datos_originales!$V212/Datos_originales!$E212</f>
        <v>0.002764479806</v>
      </c>
      <c r="AW340" s="6">
        <f>Datos_originales!$W212/Datos_originales!$E212</f>
        <v>0.01847481626</v>
      </c>
      <c r="AX340" s="6">
        <f>Datos_originales!$X212/Datos_originales!$E212</f>
        <v>0.001753084755</v>
      </c>
      <c r="AY340" s="6">
        <f>Datos_originales!$Y212/Datos_originales!$E212</f>
        <v>0.001281100398</v>
      </c>
      <c r="AZ340" s="6">
        <f>Datos_originales!$Z212/Datos_originales!$E212</f>
        <v>0.0004719843571</v>
      </c>
      <c r="BA340" s="6">
        <f>Datos_originales!$AA212/Datos_originales!$E212</f>
        <v>0.001550805745</v>
      </c>
      <c r="BB340" s="6">
        <f>Datos_originales!$AB212/Datos_originales!$E212</f>
        <v>0.008495718428</v>
      </c>
      <c r="BC340" s="6">
        <f>Datos_originales!$AC212/Datos_originales!$E212</f>
        <v>0.0251500236</v>
      </c>
      <c r="BD340" s="6">
        <f>Datos_originales!$AD212/Datos_originales!$E212</f>
        <v>0.0001348526735</v>
      </c>
      <c r="BE340" s="6">
        <f>Datos_originales!$AE212/Datos_originales!$E212</f>
        <v>0.0006742633673</v>
      </c>
      <c r="BF340" s="6">
        <f>Datos_originales!$AF212/Datos_originales!$E212</f>
        <v>0.003573595847</v>
      </c>
      <c r="BG340" s="6">
        <f>Datos_originales!$AG212/Datos_originales!$E212</f>
        <v>0</v>
      </c>
    </row>
    <row r="341" ht="15.75" customHeight="1">
      <c r="A341" s="2">
        <v>90402.0</v>
      </c>
      <c r="B341" s="3" t="s">
        <v>385</v>
      </c>
      <c r="C341" s="4" t="s">
        <v>394</v>
      </c>
      <c r="D341" s="4">
        <f>IF(Datos_originales!$E341&lt;1000,"Bosque menor a 1000 ha",Datos_originales!$E341)</f>
        <v>538625.16</v>
      </c>
      <c r="E341" s="4">
        <v>538625.16</v>
      </c>
      <c r="F341" s="5">
        <f>AVERAGE(Datos_originales!$H219:$J219)</f>
        <v>3.57</v>
      </c>
      <c r="G341" s="5">
        <f>AVERAGE(Datos_originales!$R219:$T219)</f>
        <v>15.72</v>
      </c>
      <c r="H341" s="4">
        <v>118.17</v>
      </c>
      <c r="I341" s="4">
        <v>226.62</v>
      </c>
      <c r="J341" s="4">
        <v>346.23</v>
      </c>
      <c r="K341" s="4">
        <v>121.14</v>
      </c>
      <c r="L341" s="4">
        <v>134.64</v>
      </c>
      <c r="M341" s="4">
        <v>237.69</v>
      </c>
      <c r="N341" s="4">
        <v>77.13</v>
      </c>
      <c r="O341" s="4">
        <v>98.72999999999999</v>
      </c>
      <c r="P341" s="4">
        <v>210.33</v>
      </c>
      <c r="Q341" s="4">
        <v>424.44</v>
      </c>
      <c r="R341" s="4">
        <v>52.02</v>
      </c>
      <c r="S341" s="4">
        <v>124.29</v>
      </c>
      <c r="T341" s="4">
        <v>161.37</v>
      </c>
      <c r="U341" s="4">
        <v>497.97</v>
      </c>
      <c r="V341" s="4">
        <v>356.31</v>
      </c>
      <c r="W341" s="4">
        <v>479.7</v>
      </c>
      <c r="X341" s="4">
        <v>237.87</v>
      </c>
      <c r="Y341" s="4">
        <v>324.45</v>
      </c>
      <c r="Z341" s="4">
        <v>301.05</v>
      </c>
      <c r="AA341" s="4">
        <v>128.97</v>
      </c>
      <c r="AB341" s="4">
        <v>148.14</v>
      </c>
      <c r="AC341" s="4">
        <v>296.82</v>
      </c>
      <c r="AD341" s="4">
        <v>453.42</v>
      </c>
      <c r="AE341" s="4">
        <v>306.63</v>
      </c>
      <c r="AF341" s="4">
        <v>246.69</v>
      </c>
      <c r="AG341" s="4">
        <v>267.3</v>
      </c>
      <c r="AH341" s="6">
        <f>Datos_originales!$H219/Datos_originales!$E219</f>
        <v>0.007671781187</v>
      </c>
      <c r="AI341" s="6">
        <f>Datos_originales!$I219/Datos_originales!$E219</f>
        <v>0.01667778519</v>
      </c>
      <c r="AJ341" s="6">
        <f>Datos_originales!$J219/Datos_originales!$E219</f>
        <v>0.01534356237</v>
      </c>
      <c r="AK341" s="6">
        <f>Datos_originales!$K219/Datos_originales!$E219</f>
        <v>0.009339559706</v>
      </c>
      <c r="AL341" s="6">
        <f>Datos_originales!$L219/Datos_originales!$E219</f>
        <v>0.007338225484</v>
      </c>
      <c r="AM341" s="6">
        <f>Datos_originales!$M219/Datos_originales!$E219</f>
        <v>0.005336891261</v>
      </c>
      <c r="AN341" s="6">
        <f>Datos_originales!$N219/Datos_originales!$E219</f>
        <v>0.007338225484</v>
      </c>
      <c r="AO341" s="6">
        <f>Datos_originales!$O219/Datos_originales!$E219</f>
        <v>0.00700466978</v>
      </c>
      <c r="AP341" s="6">
        <f>Datos_originales!$P219/Datos_originales!$E219</f>
        <v>0.00700466978</v>
      </c>
      <c r="AQ341" s="6">
        <f>Datos_originales!$Q219/Datos_originales!$E219</f>
        <v>0.006671114076</v>
      </c>
      <c r="AR341" s="6">
        <f>Datos_originales!$R219/Datos_originales!$E219</f>
        <v>0.0003335557038</v>
      </c>
      <c r="AS341" s="6">
        <f>Datos_originales!$S219/Datos_originales!$E219</f>
        <v>0.01000667111</v>
      </c>
      <c r="AT341" s="6">
        <f>Datos_originales!$T219/Datos_originales!$E219</f>
        <v>0.164442962</v>
      </c>
      <c r="AU341" s="6">
        <f>Datos_originales!$U219/Datos_originales!$E219</f>
        <v>0.02101400934</v>
      </c>
      <c r="AV341" s="6">
        <f>Datos_originales!$V219/Datos_originales!$E219</f>
        <v>0.03035356905</v>
      </c>
      <c r="AW341" s="6">
        <f>Datos_originales!$W219/Datos_originales!$E219</f>
        <v>0.04769846564</v>
      </c>
      <c r="AX341" s="6">
        <f>Datos_originales!$X219/Datos_originales!$E219</f>
        <v>0.01534356237</v>
      </c>
      <c r="AY341" s="6">
        <f>Datos_originales!$Y219/Datos_originales!$E219</f>
        <v>0.01034022682</v>
      </c>
      <c r="AZ341" s="6">
        <f>Datos_originales!$Z219/Datos_originales!$E219</f>
        <v>0.008338892595</v>
      </c>
      <c r="BA341" s="6">
        <f>Datos_originales!$AA219/Datos_originales!$E219</f>
        <v>0.01300867245</v>
      </c>
      <c r="BB341" s="6">
        <f>Datos_originales!$AB219/Datos_originales!$E219</f>
        <v>0.00967311541</v>
      </c>
      <c r="BC341" s="6">
        <f>Datos_originales!$AC219/Datos_originales!$E219</f>
        <v>0.009339559706</v>
      </c>
      <c r="BD341" s="6">
        <f>Datos_originales!$AD219/Datos_originales!$E219</f>
        <v>0.01434289526</v>
      </c>
      <c r="BE341" s="6">
        <f>Datos_originales!$AE219/Datos_originales!$E219</f>
        <v>0.002001334223</v>
      </c>
      <c r="BF341" s="6">
        <f>Datos_originales!$AF219/Datos_originales!$E219</f>
        <v>0.01267511674</v>
      </c>
      <c r="BG341" s="6">
        <f>Datos_originales!$AG219/Datos_originales!$E219</f>
        <v>0.3462308205</v>
      </c>
    </row>
    <row r="342" ht="15.75" customHeight="1">
      <c r="A342" s="2">
        <v>90501.0</v>
      </c>
      <c r="B342" s="3" t="s">
        <v>385</v>
      </c>
      <c r="C342" s="4" t="s">
        <v>395</v>
      </c>
      <c r="D342" s="4">
        <f>IF(Datos_originales!$E342&lt;1000,"Bosque menor a 1000 ha",Datos_originales!$E342)</f>
        <v>359182.98</v>
      </c>
      <c r="E342" s="4">
        <v>359182.98</v>
      </c>
      <c r="F342" s="5">
        <f>AVERAGE(Datos_originales!$H215:$J215)</f>
        <v>0.03</v>
      </c>
      <c r="G342" s="5">
        <f>AVERAGE(Datos_originales!$R215:$T215)</f>
        <v>2.55</v>
      </c>
      <c r="H342" s="4">
        <v>137.7</v>
      </c>
      <c r="I342" s="4">
        <v>130.41</v>
      </c>
      <c r="J342" s="4">
        <v>286.92</v>
      </c>
      <c r="K342" s="4">
        <v>212.49</v>
      </c>
      <c r="L342" s="4">
        <v>300.06</v>
      </c>
      <c r="M342" s="4">
        <v>291.33</v>
      </c>
      <c r="N342" s="4">
        <v>234.72</v>
      </c>
      <c r="O342" s="4">
        <v>182.25</v>
      </c>
      <c r="P342" s="4">
        <v>147.87</v>
      </c>
      <c r="Q342" s="4">
        <v>229.41</v>
      </c>
      <c r="R342" s="4">
        <v>34.74</v>
      </c>
      <c r="S342" s="4">
        <v>174.15</v>
      </c>
      <c r="T342" s="4">
        <v>118.53</v>
      </c>
      <c r="U342" s="4">
        <v>195.03</v>
      </c>
      <c r="V342" s="4">
        <v>179.82</v>
      </c>
      <c r="W342" s="4">
        <v>1107.63</v>
      </c>
      <c r="X342" s="4">
        <v>421.11</v>
      </c>
      <c r="Y342" s="4">
        <v>435.87</v>
      </c>
      <c r="Z342" s="4">
        <v>337.95</v>
      </c>
      <c r="AA342" s="4">
        <v>294.93</v>
      </c>
      <c r="AB342" s="4">
        <v>232.29</v>
      </c>
      <c r="AC342" s="4">
        <v>183.78</v>
      </c>
      <c r="AD342" s="4">
        <v>236.7</v>
      </c>
      <c r="AE342" s="4">
        <v>39.51000000000001</v>
      </c>
      <c r="AF342" s="4">
        <v>229.86</v>
      </c>
      <c r="AG342" s="4">
        <v>232.11</v>
      </c>
      <c r="AH342" s="6">
        <f>Datos_originales!$H215/Datos_originales!$E215</f>
        <v>0</v>
      </c>
      <c r="AI342" s="6">
        <f>Datos_originales!$I215/Datos_originales!$E215</f>
        <v>0.0003716090673</v>
      </c>
      <c r="AJ342" s="6">
        <f>Datos_originales!$J215/Datos_originales!$E215</f>
        <v>0</v>
      </c>
      <c r="AK342" s="6">
        <f>Datos_originales!$K215/Datos_originales!$E215</f>
        <v>0</v>
      </c>
      <c r="AL342" s="6">
        <f>Datos_originales!$L215/Datos_originales!$E215</f>
        <v>0</v>
      </c>
      <c r="AM342" s="6">
        <f>Datos_originales!$M215/Datos_originales!$E215</f>
        <v>0.0003716090673</v>
      </c>
      <c r="AN342" s="6">
        <f>Datos_originales!$N215/Datos_originales!$E215</f>
        <v>0</v>
      </c>
      <c r="AO342" s="6">
        <f>Datos_originales!$O215/Datos_originales!$E215</f>
        <v>0</v>
      </c>
      <c r="AP342" s="6">
        <f>Datos_originales!$P215/Datos_originales!$E215</f>
        <v>0</v>
      </c>
      <c r="AQ342" s="6">
        <f>Datos_originales!$Q215/Datos_originales!$E215</f>
        <v>0</v>
      </c>
      <c r="AR342" s="6">
        <f>Datos_originales!$R215/Datos_originales!$E215</f>
        <v>0</v>
      </c>
      <c r="AS342" s="6">
        <f>Datos_originales!$S215/Datos_originales!$E215</f>
        <v>0.006317354143</v>
      </c>
      <c r="AT342" s="6">
        <f>Datos_originales!$T215/Datos_originales!$E215</f>
        <v>0.02526941657</v>
      </c>
      <c r="AU342" s="6">
        <f>Datos_originales!$U215/Datos_originales!$E215</f>
        <v>0.002972872538</v>
      </c>
      <c r="AV342" s="6">
        <f>Datos_originales!$V215/Datos_originales!$E215</f>
        <v>0.001114827202</v>
      </c>
      <c r="AW342" s="6">
        <f>Datos_originales!$W215/Datos_originales!$E215</f>
        <v>0.009661835749</v>
      </c>
      <c r="AX342" s="6">
        <f>Datos_originales!$X215/Datos_originales!$E215</f>
        <v>0.004459308807</v>
      </c>
      <c r="AY342" s="6">
        <f>Datos_originales!$Y215/Datos_originales!$E215</f>
        <v>0.0007432181345</v>
      </c>
      <c r="AZ342" s="6">
        <f>Datos_originales!$Z215/Datos_originales!$E215</f>
        <v>0.001858045336</v>
      </c>
      <c r="BA342" s="6">
        <f>Datos_originales!$AA215/Datos_originales!$E215</f>
        <v>0.004830917874</v>
      </c>
      <c r="BB342" s="6">
        <f>Datos_originales!$AB215/Datos_originales!$E215</f>
        <v>0.005574136009</v>
      </c>
      <c r="BC342" s="6">
        <f>Datos_originales!$AC215/Datos_originales!$E215</f>
        <v>0.03158677072</v>
      </c>
      <c r="BD342" s="6">
        <f>Datos_originales!$AD215/Datos_originales!$E215</f>
        <v>0</v>
      </c>
      <c r="BE342" s="6">
        <f>Datos_originales!$AE215/Datos_originales!$E215</f>
        <v>0.0003716090673</v>
      </c>
      <c r="BF342" s="6">
        <f>Datos_originales!$AF215/Datos_originales!$E215</f>
        <v>0.007803790412</v>
      </c>
      <c r="BG342" s="6">
        <f>Datos_originales!$AG215/Datos_originales!$E215</f>
        <v>0.03939056113</v>
      </c>
    </row>
    <row r="343" ht="15.75" customHeight="1">
      <c r="A343" s="2">
        <v>90502.0</v>
      </c>
      <c r="B343" s="3" t="s">
        <v>385</v>
      </c>
      <c r="C343" s="4" t="s">
        <v>396</v>
      </c>
      <c r="D343" s="4">
        <f>IF(Datos_originales!$E343&lt;1000,"Bosque menor a 1000 ha",Datos_originales!$E343)</f>
        <v>273027.06</v>
      </c>
      <c r="E343" s="4">
        <v>273027.06</v>
      </c>
      <c r="F343" s="5">
        <f>AVERAGE(Datos_originales!$H218:$J218)</f>
        <v>0.36</v>
      </c>
      <c r="G343" s="5">
        <f>AVERAGE(Datos_originales!$R218:$T218)</f>
        <v>4.17</v>
      </c>
      <c r="H343" s="4">
        <v>130.41</v>
      </c>
      <c r="I343" s="4">
        <v>122.85</v>
      </c>
      <c r="J343" s="4">
        <v>129.78</v>
      </c>
      <c r="K343" s="4">
        <v>361.35</v>
      </c>
      <c r="L343" s="4">
        <v>275.22</v>
      </c>
      <c r="M343" s="4">
        <v>202.68</v>
      </c>
      <c r="N343" s="4">
        <v>157.23</v>
      </c>
      <c r="O343" s="4">
        <v>179.73</v>
      </c>
      <c r="P343" s="4">
        <v>260.82</v>
      </c>
      <c r="Q343" s="4">
        <v>314.01</v>
      </c>
      <c r="R343" s="4">
        <v>44.28</v>
      </c>
      <c r="S343" s="4">
        <v>272.52</v>
      </c>
      <c r="T343" s="4">
        <v>58.41</v>
      </c>
      <c r="U343" s="4">
        <v>417.6</v>
      </c>
      <c r="V343" s="4">
        <v>245.97</v>
      </c>
      <c r="W343" s="4">
        <v>509.4</v>
      </c>
      <c r="X343" s="4">
        <v>494.73</v>
      </c>
      <c r="Y343" s="4">
        <v>438.39</v>
      </c>
      <c r="Z343" s="4">
        <v>310.23</v>
      </c>
      <c r="AA343" s="4">
        <v>248.49</v>
      </c>
      <c r="AB343" s="4">
        <v>245.97</v>
      </c>
      <c r="AC343" s="4">
        <v>389.52</v>
      </c>
      <c r="AD343" s="4">
        <v>353.16</v>
      </c>
      <c r="AE343" s="4">
        <v>88.74000000000001</v>
      </c>
      <c r="AF343" s="4">
        <v>489.51</v>
      </c>
      <c r="AG343" s="4">
        <v>148.95</v>
      </c>
      <c r="AH343" s="6">
        <f>Datos_originales!$H218/Datos_originales!$E218</f>
        <v>0.00006022614919</v>
      </c>
      <c r="AI343" s="6">
        <f>Datos_originales!$I218/Datos_originales!$E218</f>
        <v>0</v>
      </c>
      <c r="AJ343" s="6">
        <f>Datos_originales!$J218/Datos_originales!$E218</f>
        <v>0</v>
      </c>
      <c r="AK343" s="6">
        <f>Datos_originales!$K218/Datos_originales!$E218</f>
        <v>0.00002007538306</v>
      </c>
      <c r="AL343" s="6">
        <f>Datos_originales!$L218/Datos_originales!$E218</f>
        <v>0.00002509422883</v>
      </c>
      <c r="AM343" s="6">
        <f>Datos_originales!$M218/Datos_originales!$E218</f>
        <v>0</v>
      </c>
      <c r="AN343" s="6">
        <f>Datos_originales!$N218/Datos_originales!$E218</f>
        <v>0.00001003769153</v>
      </c>
      <c r="AO343" s="6">
        <f>Datos_originales!$O218/Datos_originales!$E218</f>
        <v>0.0000301130746</v>
      </c>
      <c r="AP343" s="6">
        <f>Datos_originales!$P218/Datos_originales!$E218</f>
        <v>0.0000150565373</v>
      </c>
      <c r="AQ343" s="6">
        <f>Datos_originales!$Q218/Datos_originales!$E218</f>
        <v>0</v>
      </c>
      <c r="AR343" s="6">
        <f>Datos_originales!$R218/Datos_originales!$E218</f>
        <v>0.00007026384072</v>
      </c>
      <c r="AS343" s="6">
        <f>Datos_originales!$S218/Datos_originales!$E218</f>
        <v>0.0006122991834</v>
      </c>
      <c r="AT343" s="6">
        <f>Datos_originales!$T218/Datos_originales!$E218</f>
        <v>0.0000150565373</v>
      </c>
      <c r="AU343" s="6">
        <f>Datos_originales!$U218/Datos_originales!$E218</f>
        <v>0.001922217928</v>
      </c>
      <c r="AV343" s="6">
        <f>Datos_originales!$V218/Datos_originales!$E218</f>
        <v>0.001595992954</v>
      </c>
      <c r="AW343" s="6">
        <f>Datos_originales!$W218/Datos_originales!$E218</f>
        <v>0.009284864667</v>
      </c>
      <c r="AX343" s="6">
        <f>Datos_originales!$X218/Datos_originales!$E218</f>
        <v>0.0008732791633</v>
      </c>
      <c r="AY343" s="6">
        <f>Datos_originales!$Y218/Datos_originales!$E218</f>
        <v>0.0007478080191</v>
      </c>
      <c r="AZ343" s="6">
        <f>Datos_originales!$Z218/Datos_originales!$E218</f>
        <v>0.000963618387</v>
      </c>
      <c r="BA343" s="6">
        <f>Datos_originales!$AA218/Datos_originales!$E218</f>
        <v>0.0007327514818</v>
      </c>
      <c r="BB343" s="6">
        <f>Datos_originales!$AB218/Datos_originales!$E218</f>
        <v>0.00265496941</v>
      </c>
      <c r="BC343" s="6">
        <f>Datos_originales!$AC218/Datos_originales!$E218</f>
        <v>0.005018845766</v>
      </c>
      <c r="BD343" s="6">
        <f>Datos_originales!$AD218/Datos_originales!$E218</f>
        <v>0.0001003769153</v>
      </c>
      <c r="BE343" s="6">
        <f>Datos_originales!$AE218/Datos_originales!$E218</f>
        <v>0.0003262249748</v>
      </c>
      <c r="BF343" s="6">
        <f>Datos_originales!$AF218/Datos_originales!$E218</f>
        <v>0.003944812772</v>
      </c>
      <c r="BG343" s="6">
        <f>Datos_originales!$AG218/Datos_originales!$E218</f>
        <v>0.0002609799798</v>
      </c>
    </row>
    <row r="344" ht="15.75" customHeight="1">
      <c r="A344" s="2">
        <v>90503.0</v>
      </c>
      <c r="B344" s="3" t="s">
        <v>385</v>
      </c>
      <c r="C344" s="4" t="s">
        <v>397</v>
      </c>
      <c r="D344" s="4">
        <f>IF(Datos_originales!$E344&lt;1000,"Bosque menor a 1000 ha",Datos_originales!$E344)</f>
        <v>662358.15</v>
      </c>
      <c r="E344" s="4">
        <v>662358.15</v>
      </c>
      <c r="F344" s="5">
        <f>AVERAGE(Datos_originales!$H225:$J225)</f>
        <v>0</v>
      </c>
      <c r="G344" s="5">
        <f>AVERAGE(Datos_originales!$R225:$T225)</f>
        <v>0</v>
      </c>
      <c r="H344" s="4">
        <v>69.84</v>
      </c>
      <c r="I344" s="4">
        <v>57.59999999999999</v>
      </c>
      <c r="J344" s="4">
        <v>62.37</v>
      </c>
      <c r="K344" s="4">
        <v>40.86</v>
      </c>
      <c r="L344" s="4">
        <v>43.92</v>
      </c>
      <c r="M344" s="4">
        <v>91.08</v>
      </c>
      <c r="N344" s="4">
        <v>36.63</v>
      </c>
      <c r="O344" s="4">
        <v>21.51</v>
      </c>
      <c r="P344" s="4">
        <v>138.69</v>
      </c>
      <c r="Q344" s="4">
        <v>204.93</v>
      </c>
      <c r="R344" s="4">
        <v>38.7</v>
      </c>
      <c r="S344" s="4">
        <v>117.72</v>
      </c>
      <c r="T344" s="4">
        <v>41.13</v>
      </c>
      <c r="U344" s="4">
        <v>112.95</v>
      </c>
      <c r="V344" s="4">
        <v>74.43</v>
      </c>
      <c r="W344" s="4">
        <v>119.61</v>
      </c>
      <c r="X344" s="4">
        <v>58.77</v>
      </c>
      <c r="Y344" s="4">
        <v>53.81999999999999</v>
      </c>
      <c r="Z344" s="4">
        <v>97.38</v>
      </c>
      <c r="AA344" s="4">
        <v>52.29</v>
      </c>
      <c r="AB344" s="4">
        <v>39.69</v>
      </c>
      <c r="AC344" s="4">
        <v>167.58</v>
      </c>
      <c r="AD344" s="4">
        <v>223.29</v>
      </c>
      <c r="AE344" s="4">
        <v>48.06</v>
      </c>
      <c r="AF344" s="4">
        <v>145.35</v>
      </c>
      <c r="AG344" s="4">
        <v>151.38</v>
      </c>
      <c r="AH344" s="6" t="str">
        <f>Datos_originales!$H225/Datos_originales!$E225</f>
        <v>#DIV/0!</v>
      </c>
      <c r="AI344" s="6" t="str">
        <f>Datos_originales!$I225/Datos_originales!$E225</f>
        <v>#DIV/0!</v>
      </c>
      <c r="AJ344" s="6" t="str">
        <f>Datos_originales!$J225/Datos_originales!$E225</f>
        <v>#DIV/0!</v>
      </c>
      <c r="AK344" s="6" t="str">
        <f>Datos_originales!$K225/Datos_originales!$E225</f>
        <v>#DIV/0!</v>
      </c>
      <c r="AL344" s="6" t="str">
        <f>Datos_originales!$L225/Datos_originales!$E225</f>
        <v>#DIV/0!</v>
      </c>
      <c r="AM344" s="6" t="str">
        <f>Datos_originales!$M225/Datos_originales!$E225</f>
        <v>#DIV/0!</v>
      </c>
      <c r="AN344" s="6" t="str">
        <f>Datos_originales!$N225/Datos_originales!$E225</f>
        <v>#DIV/0!</v>
      </c>
      <c r="AO344" s="6" t="str">
        <f>Datos_originales!$O225/Datos_originales!$E225</f>
        <v>#DIV/0!</v>
      </c>
      <c r="AP344" s="6" t="str">
        <f>Datos_originales!$P225/Datos_originales!$E225</f>
        <v>#DIV/0!</v>
      </c>
      <c r="AQ344" s="6" t="str">
        <f>Datos_originales!$Q225/Datos_originales!$E225</f>
        <v>#DIV/0!</v>
      </c>
      <c r="AR344" s="6" t="str">
        <f>Datos_originales!$R225/Datos_originales!$E225</f>
        <v>#DIV/0!</v>
      </c>
      <c r="AS344" s="6" t="str">
        <f>Datos_originales!$S225/Datos_originales!$E225</f>
        <v>#DIV/0!</v>
      </c>
      <c r="AT344" s="6" t="str">
        <f>Datos_originales!$T225/Datos_originales!$E225</f>
        <v>#DIV/0!</v>
      </c>
      <c r="AU344" s="6" t="str">
        <f>Datos_originales!$U225/Datos_originales!$E225</f>
        <v>#DIV/0!</v>
      </c>
      <c r="AV344" s="6" t="str">
        <f>Datos_originales!$V225/Datos_originales!$E225</f>
        <v>#DIV/0!</v>
      </c>
      <c r="AW344" s="6" t="str">
        <f>Datos_originales!$W225/Datos_originales!$E225</f>
        <v>#DIV/0!</v>
      </c>
      <c r="AX344" s="6" t="str">
        <f>Datos_originales!$X225/Datos_originales!$E225</f>
        <v>#DIV/0!</v>
      </c>
      <c r="AY344" s="6" t="str">
        <f>Datos_originales!$Y225/Datos_originales!$E225</f>
        <v>#DIV/0!</v>
      </c>
      <c r="AZ344" s="6" t="str">
        <f>Datos_originales!$Z225/Datos_originales!$E225</f>
        <v>#DIV/0!</v>
      </c>
      <c r="BA344" s="6" t="str">
        <f>Datos_originales!$AA225/Datos_originales!$E225</f>
        <v>#DIV/0!</v>
      </c>
      <c r="BB344" s="6" t="str">
        <f>Datos_originales!$AB225/Datos_originales!$E225</f>
        <v>#DIV/0!</v>
      </c>
      <c r="BC344" s="6" t="str">
        <f>Datos_originales!$AC225/Datos_originales!$E225</f>
        <v>#DIV/0!</v>
      </c>
      <c r="BD344" s="6" t="str">
        <f>Datos_originales!$AD225/Datos_originales!$E225</f>
        <v>#DIV/0!</v>
      </c>
      <c r="BE344" s="6" t="str">
        <f>Datos_originales!$AE225/Datos_originales!$E225</f>
        <v>#DIV/0!</v>
      </c>
      <c r="BF344" s="6" t="str">
        <f>Datos_originales!$AF225/Datos_originales!$E225</f>
        <v>#DIV/0!</v>
      </c>
      <c r="BG344" s="6" t="str">
        <f>Datos_originales!$AG225/Datos_originales!$E225</f>
        <v>#DIV/0!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10.63"/>
  </cols>
  <sheetData>
    <row r="1">
      <c r="A1" s="7" t="s">
        <v>398</v>
      </c>
      <c r="B1" s="7" t="s">
        <v>2</v>
      </c>
      <c r="C1" s="8" t="s">
        <v>3</v>
      </c>
      <c r="D1" s="7" t="s">
        <v>4</v>
      </c>
      <c r="E1" s="7" t="s">
        <v>20</v>
      </c>
      <c r="F1" s="7" t="s">
        <v>21</v>
      </c>
      <c r="G1" s="7" t="s">
        <v>22</v>
      </c>
      <c r="H1" s="9" t="s">
        <v>399</v>
      </c>
      <c r="I1" s="7" t="s">
        <v>30</v>
      </c>
      <c r="J1" s="7" t="s">
        <v>31</v>
      </c>
      <c r="K1" s="7" t="s">
        <v>32</v>
      </c>
      <c r="L1" s="9" t="s">
        <v>400</v>
      </c>
      <c r="M1" s="10" t="s">
        <v>401</v>
      </c>
      <c r="N1" s="10" t="s">
        <v>402</v>
      </c>
      <c r="O1" s="7"/>
      <c r="P1" s="7" t="s">
        <v>1</v>
      </c>
      <c r="Q1" s="7" t="s">
        <v>4</v>
      </c>
      <c r="R1" s="9" t="s">
        <v>399</v>
      </c>
      <c r="S1" s="9" t="s">
        <v>400</v>
      </c>
      <c r="T1" s="10" t="s">
        <v>401</v>
      </c>
      <c r="U1" s="10" t="s">
        <v>402</v>
      </c>
      <c r="V1" s="7"/>
      <c r="W1" s="7"/>
      <c r="X1" s="7"/>
      <c r="Y1" s="7"/>
      <c r="Z1" s="7"/>
      <c r="AA1" s="7"/>
    </row>
    <row r="2">
      <c r="A2" s="11">
        <v>10101.0</v>
      </c>
      <c r="B2" s="11" t="s">
        <v>60</v>
      </c>
      <c r="C2" s="12">
        <f>IF(D2&lt;1000,"Bosque menor a 1000 ha",D2)</f>
        <v>17890.56</v>
      </c>
      <c r="D2" s="11">
        <v>17890.56</v>
      </c>
      <c r="E2" s="11">
        <v>34.56</v>
      </c>
      <c r="F2" s="11">
        <v>19.53</v>
      </c>
      <c r="G2" s="11">
        <v>233.73</v>
      </c>
      <c r="H2" s="11">
        <f t="shared" ref="H2:H344" si="1">AVERAGE(E2:G2)</f>
        <v>95.94</v>
      </c>
      <c r="I2" s="11">
        <v>1.08</v>
      </c>
      <c r="J2" s="11">
        <v>44.64</v>
      </c>
      <c r="K2" s="11">
        <v>527.5799999999999</v>
      </c>
      <c r="L2" s="11">
        <f t="shared" ref="L2:L344" si="2">AVERAGE(I2:K2)</f>
        <v>191.1</v>
      </c>
      <c r="M2" s="13">
        <f t="shared" ref="M2:M344" si="3">IF(D2&lt;1000,"",(H2/D2)*100)</f>
        <v>0.5362604636</v>
      </c>
      <c r="N2" s="13">
        <f t="shared" ref="N2:N344" si="4">IF(D2&lt;1000,"",(L2/D2)*100)</f>
        <v>1.068161086</v>
      </c>
      <c r="P2" s="11" t="s">
        <v>59</v>
      </c>
      <c r="Q2" s="14">
        <f>SUM(D2:D30)</f>
        <v>2722839.75</v>
      </c>
      <c r="R2" s="14">
        <f>SUM(H2:H30)</f>
        <v>7056.54</v>
      </c>
      <c r="S2" s="14">
        <f>SUM(L2:L30)</f>
        <v>15128.85</v>
      </c>
      <c r="T2" s="13">
        <f t="shared" ref="T2:T12" si="5">IF(Q2=0,0,(R2/Q2)*100)</f>
        <v>0.2591610468</v>
      </c>
      <c r="U2" s="13">
        <f t="shared" ref="U2:U12" si="6">IF(Q2=0,0,(S2/Q2)*100)</f>
        <v>0.555627631</v>
      </c>
    </row>
    <row r="3">
      <c r="A3" s="11">
        <v>10102.0</v>
      </c>
      <c r="B3" s="11" t="s">
        <v>61</v>
      </c>
      <c r="C3" s="15">
        <f>IF(Datos_originales!$E3&lt;1000,"Bosque menor a 1000 ha",Datos_originales!$E3)</f>
        <v>1252.89</v>
      </c>
      <c r="D3" s="11">
        <v>1252.89</v>
      </c>
      <c r="E3" s="11">
        <v>3.69</v>
      </c>
      <c r="F3" s="11">
        <v>3.96</v>
      </c>
      <c r="G3" s="11">
        <v>24.03</v>
      </c>
      <c r="H3" s="11">
        <f t="shared" si="1"/>
        <v>10.56</v>
      </c>
      <c r="I3" s="11">
        <v>0.18</v>
      </c>
      <c r="J3" s="11">
        <v>2.52</v>
      </c>
      <c r="K3" s="11">
        <v>8.73</v>
      </c>
      <c r="L3" s="11">
        <f t="shared" si="2"/>
        <v>3.81</v>
      </c>
      <c r="M3" s="13">
        <f t="shared" si="3"/>
        <v>0.8428513277</v>
      </c>
      <c r="N3" s="13">
        <f t="shared" si="4"/>
        <v>0.3040969279</v>
      </c>
      <c r="P3" s="11" t="s">
        <v>89</v>
      </c>
      <c r="Q3" s="14">
        <f>SUM(D31:D117)</f>
        <v>6682190.13</v>
      </c>
      <c r="R3" s="14">
        <f>SUM(H31:H117)</f>
        <v>22673.07</v>
      </c>
      <c r="S3" s="14">
        <f>SUM(L31:L117)</f>
        <v>37850.85</v>
      </c>
      <c r="T3" s="13">
        <f t="shared" si="5"/>
        <v>0.3393059694</v>
      </c>
      <c r="U3" s="13">
        <f t="shared" si="6"/>
        <v>0.5664437746</v>
      </c>
    </row>
    <row r="4">
      <c r="A4" s="11">
        <v>10103.0</v>
      </c>
      <c r="B4" s="11" t="s">
        <v>62</v>
      </c>
      <c r="C4" s="12">
        <f>IF(Datos_originales!$E4&lt;1000,"Bosque menor a 1000 ha",Datos_originales!$E4)</f>
        <v>26070.66</v>
      </c>
      <c r="D4" s="11">
        <v>26070.66</v>
      </c>
      <c r="E4" s="11">
        <v>53.46</v>
      </c>
      <c r="F4" s="11">
        <v>32.49</v>
      </c>
      <c r="G4" s="11">
        <v>270.0</v>
      </c>
      <c r="H4" s="11">
        <f t="shared" si="1"/>
        <v>118.65</v>
      </c>
      <c r="I4" s="11">
        <v>1.98</v>
      </c>
      <c r="J4" s="11">
        <v>67.23</v>
      </c>
      <c r="K4" s="11">
        <v>3.51</v>
      </c>
      <c r="L4" s="11">
        <f t="shared" si="2"/>
        <v>24.24</v>
      </c>
      <c r="M4" s="13">
        <f t="shared" si="3"/>
        <v>0.4551093068</v>
      </c>
      <c r="N4" s="13">
        <f t="shared" si="4"/>
        <v>0.09297808341</v>
      </c>
      <c r="P4" s="11" t="s">
        <v>177</v>
      </c>
      <c r="Q4" s="14">
        <f>SUM(D118:D165)</f>
        <v>2540511</v>
      </c>
      <c r="R4" s="14">
        <f>SUM(H118:H165)</f>
        <v>19222.95</v>
      </c>
      <c r="S4" s="14">
        <f>SUM(L118:L165)</f>
        <v>20813.22</v>
      </c>
      <c r="T4" s="13">
        <f t="shared" si="5"/>
        <v>0.7566568301</v>
      </c>
      <c r="U4" s="13">
        <f t="shared" si="6"/>
        <v>0.819253292</v>
      </c>
    </row>
    <row r="5">
      <c r="A5" s="11">
        <v>10201.0</v>
      </c>
      <c r="B5" s="11" t="s">
        <v>63</v>
      </c>
      <c r="C5" s="15">
        <f>IF(Datos_originales!$E5&lt;1000,"Bosque menor a 1000 ha",Datos_originales!$E5)</f>
        <v>93727.26</v>
      </c>
      <c r="D5" s="11">
        <v>93727.26</v>
      </c>
      <c r="E5" s="11">
        <v>43.74</v>
      </c>
      <c r="F5" s="11">
        <v>80.46000000000001</v>
      </c>
      <c r="G5" s="11">
        <v>544.41</v>
      </c>
      <c r="H5" s="11">
        <f t="shared" si="1"/>
        <v>222.87</v>
      </c>
      <c r="I5" s="11">
        <v>174.51</v>
      </c>
      <c r="J5" s="11">
        <v>572.31</v>
      </c>
      <c r="K5" s="11">
        <v>252.36</v>
      </c>
      <c r="L5" s="11">
        <f t="shared" si="2"/>
        <v>333.06</v>
      </c>
      <c r="M5" s="13">
        <f t="shared" si="3"/>
        <v>0.2377856773</v>
      </c>
      <c r="N5" s="13">
        <f t="shared" si="4"/>
        <v>0.3553501937</v>
      </c>
      <c r="P5" s="11" t="s">
        <v>225</v>
      </c>
      <c r="Q5" s="11">
        <f>SUM(D166:D200)</f>
        <v>0</v>
      </c>
      <c r="R5" s="11">
        <f>SUM(H166:H200)</f>
        <v>0</v>
      </c>
      <c r="S5" s="11">
        <f>SUM(L166:L200)</f>
        <v>0</v>
      </c>
      <c r="T5" s="13">
        <f t="shared" si="5"/>
        <v>0</v>
      </c>
      <c r="U5" s="13">
        <f t="shared" si="6"/>
        <v>0</v>
      </c>
    </row>
    <row r="6">
      <c r="A6" s="11">
        <v>10202.0</v>
      </c>
      <c r="B6" s="11" t="s">
        <v>64</v>
      </c>
      <c r="C6" s="12">
        <f>IF(Datos_originales!$E6&lt;1000,"Bosque menor a 1000 ha",Datos_originales!$E6)</f>
        <v>39639.24</v>
      </c>
      <c r="D6" s="11">
        <v>39639.24</v>
      </c>
      <c r="E6" s="11">
        <v>20.52</v>
      </c>
      <c r="F6" s="11">
        <v>43.11</v>
      </c>
      <c r="G6" s="11">
        <v>417.69</v>
      </c>
      <c r="H6" s="11">
        <f t="shared" si="1"/>
        <v>160.44</v>
      </c>
      <c r="I6" s="11">
        <v>169.74</v>
      </c>
      <c r="J6" s="11">
        <v>182.88</v>
      </c>
      <c r="K6" s="11">
        <v>45.0</v>
      </c>
      <c r="L6" s="11">
        <f t="shared" si="2"/>
        <v>132.54</v>
      </c>
      <c r="M6" s="13">
        <f t="shared" si="3"/>
        <v>0.4047504443</v>
      </c>
      <c r="N6" s="13">
        <f t="shared" si="4"/>
        <v>0.3343656437</v>
      </c>
      <c r="P6" s="11" t="s">
        <v>403</v>
      </c>
      <c r="Q6" s="11">
        <f>SUM(D201:D242)</f>
        <v>42890.04</v>
      </c>
      <c r="R6" s="11">
        <f>SUM(H201:H242)</f>
        <v>274.32</v>
      </c>
      <c r="S6" s="11">
        <f>SUM(L201:L242)</f>
        <v>240.12</v>
      </c>
      <c r="T6" s="13">
        <f t="shared" si="5"/>
        <v>0.6395890514</v>
      </c>
      <c r="U6" s="13">
        <f t="shared" si="6"/>
        <v>0.5598502589</v>
      </c>
    </row>
    <row r="7">
      <c r="A7" s="11">
        <v>10301.0</v>
      </c>
      <c r="B7" s="11" t="s">
        <v>65</v>
      </c>
      <c r="C7" s="15">
        <f>IF(Datos_originales!$E7&lt;1000,"Bosque menor a 1000 ha",Datos_originales!$E7)</f>
        <v>9395.1</v>
      </c>
      <c r="D7" s="11">
        <v>9395.1</v>
      </c>
      <c r="E7" s="11">
        <v>8.73</v>
      </c>
      <c r="F7" s="11">
        <v>6.93</v>
      </c>
      <c r="G7" s="11">
        <v>143.28</v>
      </c>
      <c r="H7" s="11">
        <f t="shared" si="1"/>
        <v>52.98</v>
      </c>
      <c r="I7" s="11">
        <v>0.8099999999999999</v>
      </c>
      <c r="J7" s="11">
        <v>39.15</v>
      </c>
      <c r="K7" s="11">
        <v>4.32</v>
      </c>
      <c r="L7" s="11">
        <f t="shared" si="2"/>
        <v>14.76</v>
      </c>
      <c r="M7" s="13">
        <f t="shared" si="3"/>
        <v>0.5639109749</v>
      </c>
      <c r="N7" s="13">
        <f t="shared" si="4"/>
        <v>0.1571031708</v>
      </c>
      <c r="P7" s="11" t="s">
        <v>301</v>
      </c>
      <c r="Q7" s="14">
        <f>SUM(D243:D253)</f>
        <v>2593653.84</v>
      </c>
      <c r="R7" s="14">
        <f>SUM(H243:H253)</f>
        <v>11051.19</v>
      </c>
      <c r="S7" s="14">
        <f>SUM(L243:L253)</f>
        <v>26395.92</v>
      </c>
      <c r="T7" s="13">
        <f t="shared" si="5"/>
        <v>0.4260857725</v>
      </c>
      <c r="U7" s="13">
        <f t="shared" si="6"/>
        <v>1.017711754</v>
      </c>
    </row>
    <row r="8">
      <c r="A8" s="11">
        <v>10302.0</v>
      </c>
      <c r="B8" s="11" t="s">
        <v>66</v>
      </c>
      <c r="C8" s="12">
        <f>IF(Datos_originales!$E8&lt;1000,"Bosque menor a 1000 ha",Datos_originales!$E8)</f>
        <v>33133.32</v>
      </c>
      <c r="D8" s="11">
        <v>33133.32</v>
      </c>
      <c r="E8" s="11">
        <v>61.38</v>
      </c>
      <c r="F8" s="11">
        <v>25.56</v>
      </c>
      <c r="G8" s="11">
        <v>319.5</v>
      </c>
      <c r="H8" s="11">
        <f t="shared" si="1"/>
        <v>135.48</v>
      </c>
      <c r="I8" s="11">
        <v>0.45</v>
      </c>
      <c r="J8" s="11">
        <v>52.83</v>
      </c>
      <c r="K8" s="11">
        <v>3.15</v>
      </c>
      <c r="L8" s="11">
        <f t="shared" si="2"/>
        <v>18.81</v>
      </c>
      <c r="M8" s="13">
        <f t="shared" si="3"/>
        <v>0.4088935247</v>
      </c>
      <c r="N8" s="13">
        <f t="shared" si="4"/>
        <v>0.05677064659</v>
      </c>
      <c r="P8" s="11" t="s">
        <v>311</v>
      </c>
      <c r="Q8" s="14">
        <f>SUM(D254:D309)</f>
        <v>28178854.47</v>
      </c>
      <c r="R8" s="14">
        <f>SUM(H254:H309)</f>
        <v>207751.95</v>
      </c>
      <c r="S8" s="14">
        <f>SUM(L254:L309)</f>
        <v>348136.11</v>
      </c>
      <c r="T8" s="13">
        <f t="shared" si="5"/>
        <v>0.7372618721</v>
      </c>
      <c r="U8" s="13">
        <f t="shared" si="6"/>
        <v>1.235451606</v>
      </c>
    </row>
    <row r="9">
      <c r="A9" s="11">
        <v>10303.0</v>
      </c>
      <c r="B9" s="11" t="s">
        <v>67</v>
      </c>
      <c r="C9" s="15">
        <f>IF(Datos_originales!$E9&lt;1000,"Bosque menor a 1000 ha",Datos_originales!$E9)</f>
        <v>30785.4</v>
      </c>
      <c r="D9" s="11">
        <v>30785.4</v>
      </c>
      <c r="E9" s="11">
        <v>16.74</v>
      </c>
      <c r="F9" s="11">
        <v>17.1</v>
      </c>
      <c r="G9" s="11">
        <v>283.59</v>
      </c>
      <c r="H9" s="11">
        <f t="shared" si="1"/>
        <v>105.81</v>
      </c>
      <c r="I9" s="11">
        <v>54.09</v>
      </c>
      <c r="J9" s="11">
        <v>116.73</v>
      </c>
      <c r="K9" s="11">
        <v>36.72</v>
      </c>
      <c r="L9" s="11">
        <f t="shared" si="2"/>
        <v>69.18</v>
      </c>
      <c r="M9" s="13">
        <f t="shared" si="3"/>
        <v>0.3437018847</v>
      </c>
      <c r="N9" s="13">
        <f t="shared" si="4"/>
        <v>0.2247169113</v>
      </c>
      <c r="P9" s="11" t="s">
        <v>366</v>
      </c>
      <c r="Q9" s="14">
        <f>SUM(D310:D329)</f>
        <v>9363199.14</v>
      </c>
      <c r="R9" s="14">
        <f>SUM(H310:H329)</f>
        <v>86643.72</v>
      </c>
      <c r="S9" s="14">
        <f>SUM(L310:L329)</f>
        <v>81074.61</v>
      </c>
      <c r="T9" s="13">
        <f t="shared" si="5"/>
        <v>0.9253644903</v>
      </c>
      <c r="U9" s="13">
        <f t="shared" si="6"/>
        <v>0.865885781</v>
      </c>
    </row>
    <row r="10">
      <c r="A10" s="11">
        <v>10304.0</v>
      </c>
      <c r="B10" s="11" t="s">
        <v>68</v>
      </c>
      <c r="C10" s="12">
        <f>IF(Datos_originales!$E10&lt;1000,"Bosque menor a 1000 ha",Datos_originales!$E10)</f>
        <v>2886.39</v>
      </c>
      <c r="D10" s="11">
        <v>2886.39</v>
      </c>
      <c r="E10" s="11">
        <v>4.86</v>
      </c>
      <c r="F10" s="11">
        <v>5.49</v>
      </c>
      <c r="G10" s="11">
        <v>50.58</v>
      </c>
      <c r="H10" s="11">
        <f t="shared" si="1"/>
        <v>20.31</v>
      </c>
      <c r="I10" s="11">
        <v>0.81</v>
      </c>
      <c r="J10" s="11">
        <v>2.79</v>
      </c>
      <c r="K10" s="11">
        <v>1.62</v>
      </c>
      <c r="L10" s="11">
        <f t="shared" si="2"/>
        <v>1.74</v>
      </c>
      <c r="M10" s="13">
        <f t="shared" si="3"/>
        <v>0.7036471163</v>
      </c>
      <c r="N10" s="13">
        <f t="shared" si="4"/>
        <v>0.06028291395</v>
      </c>
      <c r="P10" s="11" t="s">
        <v>385</v>
      </c>
      <c r="Q10" s="14">
        <f>SUM(D330:D344)</f>
        <v>6073668.09</v>
      </c>
      <c r="R10" s="14">
        <f>SUM(H330:H344)</f>
        <v>14667.12</v>
      </c>
      <c r="S10" s="14">
        <f>SUM(L330:L344)</f>
        <v>9194.55</v>
      </c>
      <c r="T10" s="13">
        <f t="shared" si="5"/>
        <v>0.2414870188</v>
      </c>
      <c r="U10" s="13">
        <f t="shared" si="6"/>
        <v>0.1513838073</v>
      </c>
    </row>
    <row r="11">
      <c r="A11" s="11">
        <v>10401.0</v>
      </c>
      <c r="B11" s="11" t="s">
        <v>69</v>
      </c>
      <c r="C11" s="15">
        <f>IF(Datos_originales!$E11&lt;1000,"Bosque menor a 1000 ha",Datos_originales!$E11)</f>
        <v>117418.41</v>
      </c>
      <c r="D11" s="11">
        <v>117418.41</v>
      </c>
      <c r="E11" s="11">
        <v>289.89</v>
      </c>
      <c r="F11" s="11">
        <v>340.65</v>
      </c>
      <c r="G11" s="11">
        <v>488.52</v>
      </c>
      <c r="H11" s="11">
        <f t="shared" si="1"/>
        <v>373.02</v>
      </c>
      <c r="I11" s="11">
        <v>247.32</v>
      </c>
      <c r="J11" s="11">
        <v>1132.29</v>
      </c>
      <c r="K11" s="11">
        <v>291.42</v>
      </c>
      <c r="L11" s="11">
        <f t="shared" si="2"/>
        <v>557.01</v>
      </c>
      <c r="M11" s="13">
        <f t="shared" si="3"/>
        <v>0.3176844244</v>
      </c>
      <c r="N11" s="13">
        <f t="shared" si="4"/>
        <v>0.4743804656</v>
      </c>
      <c r="P11" s="11" t="s">
        <v>404</v>
      </c>
      <c r="Q11" s="14">
        <f t="shared" ref="Q11:S11" si="7">SUM(Q2:Q10)</f>
        <v>58197806.46</v>
      </c>
      <c r="R11" s="14">
        <f t="shared" si="7"/>
        <v>369340.86</v>
      </c>
      <c r="S11" s="14">
        <f t="shared" si="7"/>
        <v>538834.23</v>
      </c>
      <c r="T11" s="13">
        <f t="shared" si="5"/>
        <v>0.6346302077</v>
      </c>
      <c r="U11" s="13">
        <f t="shared" si="6"/>
        <v>0.9258669059</v>
      </c>
    </row>
    <row r="12">
      <c r="A12" s="11">
        <v>10402.0</v>
      </c>
      <c r="B12" s="11" t="s">
        <v>70</v>
      </c>
      <c r="C12" s="12">
        <f>IF(Datos_originales!$E12&lt;1000,"Bosque menor a 1000 ha",Datos_originales!$E12)</f>
        <v>22272.39</v>
      </c>
      <c r="D12" s="11">
        <v>22272.39</v>
      </c>
      <c r="E12" s="11">
        <v>16.56</v>
      </c>
      <c r="F12" s="11">
        <v>18.99</v>
      </c>
      <c r="G12" s="11">
        <v>294.66</v>
      </c>
      <c r="H12" s="11">
        <f t="shared" si="1"/>
        <v>110.07</v>
      </c>
      <c r="I12" s="11">
        <v>40.05</v>
      </c>
      <c r="J12" s="11">
        <v>133.47</v>
      </c>
      <c r="K12" s="11">
        <v>20.79</v>
      </c>
      <c r="L12" s="11">
        <f t="shared" si="2"/>
        <v>64.77</v>
      </c>
      <c r="M12" s="13">
        <f t="shared" si="3"/>
        <v>0.4941993203</v>
      </c>
      <c r="N12" s="13">
        <f t="shared" si="4"/>
        <v>0.2908084853</v>
      </c>
      <c r="P12" s="11" t="s">
        <v>405</v>
      </c>
      <c r="Q12" s="16">
        <f>SUM(D246:D248)</f>
        <v>1546460.01</v>
      </c>
      <c r="R12" s="16">
        <f>SUM(H246:H248)</f>
        <v>8819.04</v>
      </c>
      <c r="S12" s="16">
        <f>SUM(L246:L248)</f>
        <v>20931.12</v>
      </c>
      <c r="T12" s="13">
        <f t="shared" si="5"/>
        <v>0.5702727483</v>
      </c>
      <c r="U12" s="13">
        <f t="shared" si="6"/>
        <v>1.353486017</v>
      </c>
    </row>
    <row r="13">
      <c r="A13" s="11">
        <v>10403.0</v>
      </c>
      <c r="B13" s="11" t="s">
        <v>71</v>
      </c>
      <c r="C13" s="15">
        <f>IF(Datos_originales!$E13&lt;1000,"Bosque menor a 1000 ha",Datos_originales!$E13)</f>
        <v>23945.58</v>
      </c>
      <c r="D13" s="11">
        <v>23945.58</v>
      </c>
      <c r="E13" s="11">
        <v>20.52</v>
      </c>
      <c r="F13" s="11">
        <v>55.08</v>
      </c>
      <c r="G13" s="11">
        <v>238.59</v>
      </c>
      <c r="H13" s="11">
        <f t="shared" si="1"/>
        <v>104.73</v>
      </c>
      <c r="I13" s="11">
        <v>114.03</v>
      </c>
      <c r="J13" s="11">
        <v>448.29</v>
      </c>
      <c r="K13" s="11">
        <v>82.53</v>
      </c>
      <c r="L13" s="11">
        <f t="shared" si="2"/>
        <v>214.95</v>
      </c>
      <c r="M13" s="13">
        <f t="shared" si="3"/>
        <v>0.4373667291</v>
      </c>
      <c r="N13" s="13">
        <f t="shared" si="4"/>
        <v>0.8976604451</v>
      </c>
    </row>
    <row r="14">
      <c r="A14" s="11">
        <v>10404.0</v>
      </c>
      <c r="B14" s="11" t="s">
        <v>72</v>
      </c>
      <c r="C14" s="12">
        <f>IF(Datos_originales!$E14&lt;1000,"Bosque menor a 1000 ha",Datos_originales!$E14)</f>
        <v>8220.87</v>
      </c>
      <c r="D14" s="11">
        <v>8220.87</v>
      </c>
      <c r="E14" s="11">
        <v>3.6</v>
      </c>
      <c r="F14" s="11">
        <v>3.96</v>
      </c>
      <c r="G14" s="11">
        <v>79.38</v>
      </c>
      <c r="H14" s="11">
        <f t="shared" si="1"/>
        <v>28.98</v>
      </c>
      <c r="I14" s="11">
        <v>14.58</v>
      </c>
      <c r="J14" s="11">
        <v>75.33000000000001</v>
      </c>
      <c r="K14" s="11">
        <v>12.69</v>
      </c>
      <c r="L14" s="11">
        <f t="shared" si="2"/>
        <v>34.2</v>
      </c>
      <c r="M14" s="13">
        <f t="shared" si="3"/>
        <v>0.3525174343</v>
      </c>
      <c r="N14" s="13">
        <f t="shared" si="4"/>
        <v>0.4160143634</v>
      </c>
    </row>
    <row r="15">
      <c r="A15" s="11">
        <v>10405.0</v>
      </c>
      <c r="B15" s="11" t="s">
        <v>73</v>
      </c>
      <c r="C15" s="15">
        <f>IF(Datos_originales!$E15&lt;1000,"Bosque menor a 1000 ha",Datos_originales!$E15)</f>
        <v>50038.29</v>
      </c>
      <c r="D15" s="11">
        <v>50038.29</v>
      </c>
      <c r="E15" s="11">
        <v>55.8</v>
      </c>
      <c r="F15" s="11">
        <v>89.1</v>
      </c>
      <c r="G15" s="11">
        <v>444.15</v>
      </c>
      <c r="H15" s="11">
        <f t="shared" si="1"/>
        <v>196.35</v>
      </c>
      <c r="I15" s="11">
        <v>100.8</v>
      </c>
      <c r="J15" s="11">
        <v>365.31</v>
      </c>
      <c r="K15" s="11">
        <v>91.08</v>
      </c>
      <c r="L15" s="11">
        <f t="shared" si="2"/>
        <v>185.73</v>
      </c>
      <c r="M15" s="13">
        <f t="shared" si="3"/>
        <v>0.3923995005</v>
      </c>
      <c r="N15" s="13">
        <f t="shared" si="4"/>
        <v>0.3711757536</v>
      </c>
    </row>
    <row r="16">
      <c r="A16" s="11">
        <v>10501.0</v>
      </c>
      <c r="B16" s="11" t="s">
        <v>74</v>
      </c>
      <c r="C16" s="12">
        <f>IF(Datos_originales!$E16&lt;1000,"Bosque menor a 1000 ha",Datos_originales!$E16)</f>
        <v>290186.28</v>
      </c>
      <c r="D16" s="11">
        <v>290186.28</v>
      </c>
      <c r="E16" s="11">
        <v>1048.5</v>
      </c>
      <c r="F16" s="11">
        <v>1645.29</v>
      </c>
      <c r="G16" s="11">
        <v>1286.91</v>
      </c>
      <c r="H16" s="11">
        <f t="shared" si="1"/>
        <v>1326.9</v>
      </c>
      <c r="I16" s="11">
        <v>334.17</v>
      </c>
      <c r="J16" s="11">
        <v>2577.15</v>
      </c>
      <c r="K16" s="11">
        <v>2427.39</v>
      </c>
      <c r="L16" s="11">
        <f t="shared" si="2"/>
        <v>1779.57</v>
      </c>
      <c r="M16" s="13">
        <f t="shared" si="3"/>
        <v>0.4572580068</v>
      </c>
      <c r="N16" s="13">
        <f t="shared" si="4"/>
        <v>0.613250909</v>
      </c>
    </row>
    <row r="17">
      <c r="A17" s="11">
        <v>10502.0</v>
      </c>
      <c r="B17" s="11" t="s">
        <v>75</v>
      </c>
      <c r="C17" s="15">
        <f>IF(Datos_originales!$E17&lt;1000,"Bosque menor a 1000 ha",Datos_originales!$E17)</f>
        <v>280002.24</v>
      </c>
      <c r="D17" s="11">
        <v>280002.24</v>
      </c>
      <c r="E17" s="11">
        <v>433.8</v>
      </c>
      <c r="F17" s="11">
        <v>544.77</v>
      </c>
      <c r="G17" s="11">
        <v>550.53</v>
      </c>
      <c r="H17" s="11">
        <f t="shared" si="1"/>
        <v>509.7</v>
      </c>
      <c r="I17" s="11">
        <v>572.04</v>
      </c>
      <c r="J17" s="11">
        <v>1921.32</v>
      </c>
      <c r="K17" s="11">
        <v>3200.31</v>
      </c>
      <c r="L17" s="11">
        <f t="shared" si="2"/>
        <v>1897.89</v>
      </c>
      <c r="M17" s="13">
        <f t="shared" si="3"/>
        <v>0.182034258</v>
      </c>
      <c r="N17" s="13">
        <f t="shared" si="4"/>
        <v>0.6778124346</v>
      </c>
    </row>
    <row r="18">
      <c r="A18" s="11">
        <v>10601.0</v>
      </c>
      <c r="B18" s="11" t="s">
        <v>76</v>
      </c>
      <c r="C18" s="12">
        <f>IF(Datos_originales!$E18&lt;1000,"Bosque menor a 1000 ha",Datos_originales!$E18)</f>
        <v>4594.5</v>
      </c>
      <c r="D18" s="11">
        <v>4594.5</v>
      </c>
      <c r="E18" s="11">
        <v>9.99</v>
      </c>
      <c r="F18" s="11">
        <v>9.629999999999999</v>
      </c>
      <c r="G18" s="11">
        <v>75.42</v>
      </c>
      <c r="H18" s="11">
        <f t="shared" si="1"/>
        <v>31.68</v>
      </c>
      <c r="I18" s="11">
        <v>3.24</v>
      </c>
      <c r="J18" s="11">
        <v>13.41</v>
      </c>
      <c r="K18" s="11">
        <v>2.52</v>
      </c>
      <c r="L18" s="11">
        <f t="shared" si="2"/>
        <v>6.39</v>
      </c>
      <c r="M18" s="13">
        <f t="shared" si="3"/>
        <v>0.6895200784</v>
      </c>
      <c r="N18" s="13">
        <f t="shared" si="4"/>
        <v>0.139079334</v>
      </c>
    </row>
    <row r="19">
      <c r="A19" s="11">
        <v>10602.0</v>
      </c>
      <c r="B19" s="11" t="s">
        <v>77</v>
      </c>
      <c r="C19" s="15" t="str">
        <f>IF(Datos_originales!$E19&lt;1000,"Bosque menor a 1000 ha",Datos_originales!$E19)</f>
        <v>Bosque menor a 1000 ha</v>
      </c>
      <c r="D19" s="11">
        <v>694.26</v>
      </c>
      <c r="E19" s="11">
        <v>1.62</v>
      </c>
      <c r="F19" s="11">
        <v>1.44</v>
      </c>
      <c r="G19" s="11">
        <v>14.04</v>
      </c>
      <c r="H19" s="11">
        <f t="shared" si="1"/>
        <v>5.7</v>
      </c>
      <c r="I19" s="11">
        <v>0.09</v>
      </c>
      <c r="J19" s="11">
        <v>0.72</v>
      </c>
      <c r="K19" s="11">
        <v>0.09</v>
      </c>
      <c r="L19" s="11">
        <f t="shared" si="2"/>
        <v>0.3</v>
      </c>
      <c r="M19" s="13" t="str">
        <f t="shared" si="3"/>
        <v/>
      </c>
      <c r="N19" s="13" t="str">
        <f t="shared" si="4"/>
        <v/>
      </c>
    </row>
    <row r="20">
      <c r="A20" s="11">
        <v>10701.0</v>
      </c>
      <c r="B20" s="11" t="s">
        <v>78</v>
      </c>
      <c r="C20" s="12" t="str">
        <f>IF(Datos_originales!$E20&lt;1000,"Bosque menor a 1000 ha",Datos_originales!$E20)</f>
        <v>Bosque menor a 1000 ha</v>
      </c>
      <c r="D20" s="11">
        <v>0.0</v>
      </c>
      <c r="E20" s="11">
        <v>0.0</v>
      </c>
      <c r="F20" s="11">
        <v>0.0</v>
      </c>
      <c r="G20" s="11">
        <v>0.0</v>
      </c>
      <c r="H20" s="11">
        <f t="shared" si="1"/>
        <v>0</v>
      </c>
      <c r="I20" s="11">
        <v>0.0</v>
      </c>
      <c r="J20" s="11">
        <v>0.0</v>
      </c>
      <c r="K20" s="11">
        <v>0.0</v>
      </c>
      <c r="L20" s="11">
        <f t="shared" si="2"/>
        <v>0</v>
      </c>
      <c r="M20" s="13" t="str">
        <f t="shared" si="3"/>
        <v/>
      </c>
      <c r="N20" s="13" t="str">
        <f t="shared" si="4"/>
        <v/>
      </c>
    </row>
    <row r="21" ht="15.75" customHeight="1">
      <c r="A21" s="11">
        <v>10702.0</v>
      </c>
      <c r="B21" s="11" t="s">
        <v>79</v>
      </c>
      <c r="C21" s="15">
        <f>IF(Datos_originales!$E21&lt;1000,"Bosque menor a 1000 ha",Datos_originales!$E21)</f>
        <v>40473.81</v>
      </c>
      <c r="D21" s="11">
        <v>40473.81</v>
      </c>
      <c r="E21" s="11">
        <v>33.03</v>
      </c>
      <c r="F21" s="11">
        <v>51.93</v>
      </c>
      <c r="G21" s="11">
        <v>279.0</v>
      </c>
      <c r="H21" s="11">
        <f t="shared" si="1"/>
        <v>121.32</v>
      </c>
      <c r="I21" s="11">
        <v>11.34</v>
      </c>
      <c r="J21" s="11">
        <v>13.59</v>
      </c>
      <c r="K21" s="11">
        <v>829.44</v>
      </c>
      <c r="L21" s="11">
        <f t="shared" si="2"/>
        <v>284.79</v>
      </c>
      <c r="M21" s="13">
        <f t="shared" si="3"/>
        <v>0.2997493935</v>
      </c>
      <c r="N21" s="13">
        <f t="shared" si="4"/>
        <v>0.7036402059</v>
      </c>
    </row>
    <row r="22" ht="15.75" customHeight="1">
      <c r="A22" s="11">
        <v>10703.0</v>
      </c>
      <c r="B22" s="11" t="s">
        <v>80</v>
      </c>
      <c r="C22" s="12">
        <f>IF(Datos_originales!$E22&lt;1000,"Bosque menor a 1000 ha",Datos_originales!$E22)</f>
        <v>53681.22</v>
      </c>
      <c r="D22" s="11">
        <v>53681.22</v>
      </c>
      <c r="E22" s="11">
        <v>64.53</v>
      </c>
      <c r="F22" s="11">
        <v>166.86</v>
      </c>
      <c r="G22" s="11">
        <v>259.2</v>
      </c>
      <c r="H22" s="11">
        <f t="shared" si="1"/>
        <v>163.53</v>
      </c>
      <c r="I22" s="11">
        <v>198.18</v>
      </c>
      <c r="J22" s="11">
        <v>669.24</v>
      </c>
      <c r="K22" s="11">
        <v>457.65</v>
      </c>
      <c r="L22" s="11">
        <f t="shared" si="2"/>
        <v>441.69</v>
      </c>
      <c r="M22" s="13">
        <f t="shared" si="3"/>
        <v>0.3046316757</v>
      </c>
      <c r="N22" s="13">
        <f t="shared" si="4"/>
        <v>0.8228017172</v>
      </c>
    </row>
    <row r="23" ht="15.75" customHeight="1">
      <c r="A23" s="11">
        <v>10704.0</v>
      </c>
      <c r="B23" s="11" t="s">
        <v>81</v>
      </c>
      <c r="C23" s="15">
        <f>IF(Datos_originales!$E23&lt;1000,"Bosque menor a 1000 ha",Datos_originales!$E23)</f>
        <v>10740.24</v>
      </c>
      <c r="D23" s="11">
        <v>10740.24</v>
      </c>
      <c r="E23" s="11">
        <v>8.1</v>
      </c>
      <c r="F23" s="11">
        <v>14.13</v>
      </c>
      <c r="G23" s="11">
        <v>106.2</v>
      </c>
      <c r="H23" s="11">
        <f t="shared" si="1"/>
        <v>42.81</v>
      </c>
      <c r="I23" s="11">
        <v>1.62</v>
      </c>
      <c r="J23" s="11">
        <v>5.94</v>
      </c>
      <c r="K23" s="11">
        <v>36.54</v>
      </c>
      <c r="L23" s="11">
        <f t="shared" si="2"/>
        <v>14.7</v>
      </c>
      <c r="M23" s="13">
        <f t="shared" si="3"/>
        <v>0.3985944448</v>
      </c>
      <c r="N23" s="13">
        <f t="shared" si="4"/>
        <v>0.1368684499</v>
      </c>
    </row>
    <row r="24" ht="15.75" customHeight="1">
      <c r="A24" s="11">
        <v>10801.0</v>
      </c>
      <c r="B24" s="11" t="s">
        <v>82</v>
      </c>
      <c r="C24" s="12">
        <f>IF(Datos_originales!$E24&lt;1000,"Bosque menor a 1000 ha",Datos_originales!$E24)</f>
        <v>99479.16</v>
      </c>
      <c r="D24" s="11">
        <v>99479.15999999999</v>
      </c>
      <c r="E24" s="11">
        <v>236.88</v>
      </c>
      <c r="F24" s="11">
        <v>295.38</v>
      </c>
      <c r="G24" s="11">
        <v>1181.88</v>
      </c>
      <c r="H24" s="11">
        <f t="shared" si="1"/>
        <v>571.38</v>
      </c>
      <c r="I24" s="11">
        <v>319.23</v>
      </c>
      <c r="J24" s="11">
        <v>1032.75</v>
      </c>
      <c r="K24" s="11">
        <v>414.54</v>
      </c>
      <c r="L24" s="11">
        <f t="shared" si="2"/>
        <v>588.84</v>
      </c>
      <c r="M24" s="13">
        <f t="shared" si="3"/>
        <v>0.5743715568</v>
      </c>
      <c r="N24" s="13">
        <f t="shared" si="4"/>
        <v>0.5919229716</v>
      </c>
    </row>
    <row r="25" ht="15.75" customHeight="1">
      <c r="A25" s="11">
        <v>10901.0</v>
      </c>
      <c r="B25" s="11" t="s">
        <v>83</v>
      </c>
      <c r="C25" s="15" t="str">
        <f>IF(Datos_originales!$E25&lt;1000,"Bosque menor a 1000 ha",Datos_originales!$E25)</f>
        <v>Bosque menor a 1000 ha</v>
      </c>
      <c r="D25" s="11">
        <v>0.0</v>
      </c>
      <c r="E25" s="11">
        <v>0.0</v>
      </c>
      <c r="F25" s="11">
        <v>0.0</v>
      </c>
      <c r="G25" s="11">
        <v>0.0</v>
      </c>
      <c r="H25" s="11">
        <f t="shared" si="1"/>
        <v>0</v>
      </c>
      <c r="I25" s="11">
        <v>0.0</v>
      </c>
      <c r="J25" s="11">
        <v>0.0</v>
      </c>
      <c r="K25" s="11">
        <v>0.0</v>
      </c>
      <c r="L25" s="11">
        <f t="shared" si="2"/>
        <v>0</v>
      </c>
      <c r="M25" s="13" t="str">
        <f t="shared" si="3"/>
        <v/>
      </c>
      <c r="N25" s="13" t="str">
        <f t="shared" si="4"/>
        <v/>
      </c>
    </row>
    <row r="26" ht="15.75" customHeight="1">
      <c r="A26" s="11">
        <v>10902.0</v>
      </c>
      <c r="B26" s="11" t="s">
        <v>84</v>
      </c>
      <c r="C26" s="12">
        <f>IF(Datos_originales!$E26&lt;1000,"Bosque menor a 1000 ha",Datos_originales!$E26)</f>
        <v>232980.57</v>
      </c>
      <c r="D26" s="11">
        <v>232980.57</v>
      </c>
      <c r="E26" s="11">
        <v>460.53</v>
      </c>
      <c r="F26" s="11">
        <v>597.87</v>
      </c>
      <c r="G26" s="11">
        <v>826.83</v>
      </c>
      <c r="H26" s="11">
        <f t="shared" si="1"/>
        <v>628.41</v>
      </c>
      <c r="I26" s="11">
        <v>283.68</v>
      </c>
      <c r="J26" s="11">
        <v>2493.63</v>
      </c>
      <c r="K26" s="11">
        <v>1014.93</v>
      </c>
      <c r="L26" s="11">
        <f t="shared" si="2"/>
        <v>1264.08</v>
      </c>
      <c r="M26" s="13">
        <f t="shared" si="3"/>
        <v>0.2697263553</v>
      </c>
      <c r="N26" s="13">
        <f t="shared" si="4"/>
        <v>0.5425688503</v>
      </c>
    </row>
    <row r="27" ht="15.75" customHeight="1">
      <c r="A27" s="11">
        <v>10903.0</v>
      </c>
      <c r="B27" s="11" t="s">
        <v>85</v>
      </c>
      <c r="C27" s="15" t="str">
        <f>IF(Datos_originales!$E27&lt;1000,"Bosque menor a 1000 ha",Datos_originales!$E27)</f>
        <v>Bosque menor a 1000 ha</v>
      </c>
      <c r="D27" s="11">
        <v>0.0</v>
      </c>
      <c r="E27" s="11">
        <v>0.0</v>
      </c>
      <c r="F27" s="11">
        <v>0.0</v>
      </c>
      <c r="G27" s="11">
        <v>0.0</v>
      </c>
      <c r="H27" s="11">
        <f t="shared" si="1"/>
        <v>0</v>
      </c>
      <c r="I27" s="11">
        <v>0.0</v>
      </c>
      <c r="J27" s="11">
        <v>0.0</v>
      </c>
      <c r="K27" s="11">
        <v>0.0</v>
      </c>
      <c r="L27" s="11">
        <f t="shared" si="2"/>
        <v>0</v>
      </c>
      <c r="M27" s="13" t="str">
        <f t="shared" si="3"/>
        <v/>
      </c>
      <c r="N27" s="13" t="str">
        <f t="shared" si="4"/>
        <v/>
      </c>
    </row>
    <row r="28" ht="15.75" customHeight="1">
      <c r="A28" s="11">
        <v>11001.0</v>
      </c>
      <c r="B28" s="11" t="s">
        <v>86</v>
      </c>
      <c r="C28" s="12">
        <f>IF(Datos_originales!$E28&lt;1000,"Bosque menor a 1000 ha",Datos_originales!$E28)</f>
        <v>345973.68</v>
      </c>
      <c r="D28" s="11">
        <v>345973.68</v>
      </c>
      <c r="E28" s="11">
        <v>677.97</v>
      </c>
      <c r="F28" s="11">
        <v>1210.5</v>
      </c>
      <c r="G28" s="11">
        <v>1082.52</v>
      </c>
      <c r="H28" s="11">
        <f t="shared" si="1"/>
        <v>990.33</v>
      </c>
      <c r="I28" s="11">
        <v>412.11</v>
      </c>
      <c r="J28" s="11">
        <v>2467.17</v>
      </c>
      <c r="K28" s="11">
        <v>1100.43</v>
      </c>
      <c r="L28" s="11">
        <f t="shared" si="2"/>
        <v>1326.57</v>
      </c>
      <c r="M28" s="13">
        <f t="shared" si="3"/>
        <v>0.2862443178</v>
      </c>
      <c r="N28" s="13">
        <f t="shared" si="4"/>
        <v>0.3834309014</v>
      </c>
    </row>
    <row r="29" ht="15.75" customHeight="1">
      <c r="A29" s="11">
        <v>11002.0</v>
      </c>
      <c r="B29" s="11" t="s">
        <v>87</v>
      </c>
      <c r="C29" s="15">
        <f>IF(Datos_originales!$E29&lt;1000,"Bosque menor a 1000 ha",Datos_originales!$E29)</f>
        <v>121391.55</v>
      </c>
      <c r="D29" s="11">
        <v>121391.55</v>
      </c>
      <c r="E29" s="11">
        <v>67.5</v>
      </c>
      <c r="F29" s="11">
        <v>98.01</v>
      </c>
      <c r="G29" s="11">
        <v>118.44</v>
      </c>
      <c r="H29" s="11">
        <f t="shared" si="1"/>
        <v>94.65</v>
      </c>
      <c r="I29" s="11">
        <v>82.62</v>
      </c>
      <c r="J29" s="11">
        <v>168.12</v>
      </c>
      <c r="K29" s="11">
        <v>277.38</v>
      </c>
      <c r="L29" s="11">
        <f t="shared" si="2"/>
        <v>176.04</v>
      </c>
      <c r="M29" s="13">
        <f t="shared" si="3"/>
        <v>0.07797083075</v>
      </c>
      <c r="N29" s="13">
        <f t="shared" si="4"/>
        <v>0.1450183312</v>
      </c>
    </row>
    <row r="30" ht="15.75" customHeight="1">
      <c r="A30" s="11">
        <v>11003.0</v>
      </c>
      <c r="B30" s="11" t="s">
        <v>88</v>
      </c>
      <c r="C30" s="12">
        <f>IF(Datos_originales!$E30&lt;1000,"Bosque menor a 1000 ha",Datos_originales!$E30)</f>
        <v>765965.88</v>
      </c>
      <c r="D30" s="11">
        <v>765965.88</v>
      </c>
      <c r="E30" s="11">
        <v>781.38</v>
      </c>
      <c r="F30" s="11">
        <v>929.52</v>
      </c>
      <c r="G30" s="11">
        <v>790.92</v>
      </c>
      <c r="H30" s="11">
        <f t="shared" si="1"/>
        <v>833.94</v>
      </c>
      <c r="I30" s="11">
        <v>4392.45</v>
      </c>
      <c r="J30" s="11">
        <v>9302.22</v>
      </c>
      <c r="K30" s="11">
        <v>2811.6</v>
      </c>
      <c r="L30" s="11">
        <f t="shared" si="2"/>
        <v>5502.09</v>
      </c>
      <c r="M30" s="13">
        <f t="shared" si="3"/>
        <v>0.1088743013</v>
      </c>
      <c r="N30" s="13">
        <f t="shared" si="4"/>
        <v>0.718320508</v>
      </c>
    </row>
    <row r="31" ht="15.75" customHeight="1">
      <c r="A31" s="11">
        <v>20101.0</v>
      </c>
      <c r="B31" s="11" t="s">
        <v>90</v>
      </c>
      <c r="C31" s="15">
        <f>IF(Datos_originales!$E31&lt;1000,"Bosque menor a 1000 ha",Datos_originales!$E31)</f>
        <v>88330.41</v>
      </c>
      <c r="D31" s="11">
        <v>88330.41</v>
      </c>
      <c r="E31" s="11">
        <v>110.61</v>
      </c>
      <c r="F31" s="11">
        <v>76.68</v>
      </c>
      <c r="G31" s="11">
        <v>101.16</v>
      </c>
      <c r="H31" s="11">
        <f t="shared" si="1"/>
        <v>96.15</v>
      </c>
      <c r="I31" s="11">
        <v>34.38</v>
      </c>
      <c r="J31" s="11">
        <v>447.66</v>
      </c>
      <c r="K31" s="11">
        <v>512.64</v>
      </c>
      <c r="L31" s="11">
        <f t="shared" si="2"/>
        <v>331.56</v>
      </c>
      <c r="M31" s="13">
        <f t="shared" si="3"/>
        <v>0.108852659</v>
      </c>
      <c r="N31" s="13">
        <f t="shared" si="4"/>
        <v>0.3753633658</v>
      </c>
    </row>
    <row r="32" ht="15.75" customHeight="1">
      <c r="A32" s="11">
        <v>20102.0</v>
      </c>
      <c r="B32" s="11" t="s">
        <v>91</v>
      </c>
      <c r="C32" s="12">
        <f>IF(Datos_originales!$E32&lt;1000,"Bosque menor a 1000 ha",Datos_originales!$E32)</f>
        <v>1751.13</v>
      </c>
      <c r="D32" s="11">
        <v>1751.13</v>
      </c>
      <c r="E32" s="11">
        <v>5.67</v>
      </c>
      <c r="F32" s="11">
        <v>23.76</v>
      </c>
      <c r="G32" s="11">
        <v>53.55</v>
      </c>
      <c r="H32" s="11">
        <f t="shared" si="1"/>
        <v>27.66</v>
      </c>
      <c r="I32" s="11">
        <v>23.13</v>
      </c>
      <c r="J32" s="11">
        <v>152.19</v>
      </c>
      <c r="K32" s="11">
        <v>132.57</v>
      </c>
      <c r="L32" s="11">
        <f t="shared" si="2"/>
        <v>102.63</v>
      </c>
      <c r="M32" s="13">
        <f t="shared" si="3"/>
        <v>1.57955149</v>
      </c>
      <c r="N32" s="13">
        <f t="shared" si="4"/>
        <v>5.860787035</v>
      </c>
    </row>
    <row r="33" ht="15.75" customHeight="1">
      <c r="A33" s="11">
        <v>20103.0</v>
      </c>
      <c r="B33" s="11" t="s">
        <v>92</v>
      </c>
      <c r="C33" s="15" t="str">
        <f>IF(Datos_originales!$E33&lt;1000,"Bosque menor a 1000 ha",Datos_originales!$E33)</f>
        <v>Bosque menor a 1000 ha</v>
      </c>
      <c r="D33" s="11">
        <v>0.0</v>
      </c>
      <c r="E33" s="11">
        <v>0.0</v>
      </c>
      <c r="F33" s="11">
        <v>0.0</v>
      </c>
      <c r="G33" s="11">
        <v>0.0</v>
      </c>
      <c r="H33" s="11">
        <f t="shared" si="1"/>
        <v>0</v>
      </c>
      <c r="I33" s="11">
        <v>0.0</v>
      </c>
      <c r="J33" s="11">
        <v>0.0</v>
      </c>
      <c r="K33" s="11">
        <v>0.0</v>
      </c>
      <c r="L33" s="11">
        <f t="shared" si="2"/>
        <v>0</v>
      </c>
      <c r="M33" s="13" t="str">
        <f t="shared" si="3"/>
        <v/>
      </c>
      <c r="N33" s="13" t="str">
        <f t="shared" si="4"/>
        <v/>
      </c>
    </row>
    <row r="34" ht="15.75" customHeight="1">
      <c r="A34" s="11">
        <v>20104.0</v>
      </c>
      <c r="B34" s="11" t="s">
        <v>93</v>
      </c>
      <c r="C34" s="12" t="str">
        <f>IF(Datos_originales!$E34&lt;1000,"Bosque menor a 1000 ha",Datos_originales!$E34)</f>
        <v>Bosque menor a 1000 ha</v>
      </c>
      <c r="D34" s="11">
        <v>0.0</v>
      </c>
      <c r="E34" s="11">
        <v>0.0</v>
      </c>
      <c r="F34" s="11">
        <v>0.0</v>
      </c>
      <c r="G34" s="11">
        <v>0.0</v>
      </c>
      <c r="H34" s="11">
        <f t="shared" si="1"/>
        <v>0</v>
      </c>
      <c r="I34" s="11">
        <v>0.0</v>
      </c>
      <c r="J34" s="11">
        <v>0.0</v>
      </c>
      <c r="K34" s="11">
        <v>0.0</v>
      </c>
      <c r="L34" s="11">
        <f t="shared" si="2"/>
        <v>0</v>
      </c>
      <c r="M34" s="13" t="str">
        <f t="shared" si="3"/>
        <v/>
      </c>
      <c r="N34" s="13" t="str">
        <f t="shared" si="4"/>
        <v/>
      </c>
    </row>
    <row r="35" ht="15.75" customHeight="1">
      <c r="A35" s="11">
        <v>20105.0</v>
      </c>
      <c r="B35" s="11" t="s">
        <v>94</v>
      </c>
      <c r="C35" s="15" t="str">
        <f>IF(Datos_originales!$E35&lt;1000,"Bosque menor a 1000 ha",Datos_originales!$E35)</f>
        <v>Bosque menor a 1000 ha</v>
      </c>
      <c r="D35" s="11">
        <v>0.0</v>
      </c>
      <c r="E35" s="11">
        <v>0.0</v>
      </c>
      <c r="F35" s="11">
        <v>0.0</v>
      </c>
      <c r="G35" s="11">
        <v>0.0</v>
      </c>
      <c r="H35" s="11">
        <f t="shared" si="1"/>
        <v>0</v>
      </c>
      <c r="I35" s="11">
        <v>0.0</v>
      </c>
      <c r="J35" s="11">
        <v>0.0</v>
      </c>
      <c r="K35" s="11">
        <v>0.0</v>
      </c>
      <c r="L35" s="11">
        <f t="shared" si="2"/>
        <v>0</v>
      </c>
      <c r="M35" s="13" t="str">
        <f t="shared" si="3"/>
        <v/>
      </c>
      <c r="N35" s="13" t="str">
        <f t="shared" si="4"/>
        <v/>
      </c>
    </row>
    <row r="36" ht="15.75" customHeight="1">
      <c r="A36" s="11">
        <v>20201.0</v>
      </c>
      <c r="B36" s="11" t="s">
        <v>95</v>
      </c>
      <c r="C36" s="12" t="str">
        <f>IF(Datos_originales!$E36&lt;1000,"Bosque menor a 1000 ha",Datos_originales!$E36)</f>
        <v>Bosque menor a 1000 ha</v>
      </c>
      <c r="D36" s="11">
        <v>0.0</v>
      </c>
      <c r="E36" s="11">
        <v>0.0</v>
      </c>
      <c r="F36" s="11">
        <v>0.0</v>
      </c>
      <c r="G36" s="11">
        <v>0.0</v>
      </c>
      <c r="H36" s="11">
        <f t="shared" si="1"/>
        <v>0</v>
      </c>
      <c r="I36" s="11">
        <v>0.0</v>
      </c>
      <c r="J36" s="11">
        <v>0.0</v>
      </c>
      <c r="K36" s="11">
        <v>0.0</v>
      </c>
      <c r="L36" s="11">
        <f t="shared" si="2"/>
        <v>0</v>
      </c>
      <c r="M36" s="13" t="str">
        <f t="shared" si="3"/>
        <v/>
      </c>
      <c r="N36" s="13" t="str">
        <f t="shared" si="4"/>
        <v/>
      </c>
    </row>
    <row r="37" ht="15.75" customHeight="1">
      <c r="A37" s="11">
        <v>20202.0</v>
      </c>
      <c r="B37" s="11" t="s">
        <v>96</v>
      </c>
      <c r="C37" s="15" t="str">
        <f>IF(Datos_originales!$E37&lt;1000,"Bosque menor a 1000 ha",Datos_originales!$E37)</f>
        <v>Bosque menor a 1000 ha</v>
      </c>
      <c r="D37" s="11">
        <v>0.0</v>
      </c>
      <c r="E37" s="11">
        <v>0.0</v>
      </c>
      <c r="F37" s="11">
        <v>0.0</v>
      </c>
      <c r="G37" s="11">
        <v>0.0</v>
      </c>
      <c r="H37" s="11">
        <f t="shared" si="1"/>
        <v>0</v>
      </c>
      <c r="I37" s="11">
        <v>0.0</v>
      </c>
      <c r="J37" s="11">
        <v>0.0</v>
      </c>
      <c r="K37" s="11">
        <v>0.0</v>
      </c>
      <c r="L37" s="11">
        <f t="shared" si="2"/>
        <v>0</v>
      </c>
      <c r="M37" s="13" t="str">
        <f t="shared" si="3"/>
        <v/>
      </c>
      <c r="N37" s="13" t="str">
        <f t="shared" si="4"/>
        <v/>
      </c>
    </row>
    <row r="38" ht="15.75" customHeight="1">
      <c r="A38" s="11">
        <v>20203.0</v>
      </c>
      <c r="B38" s="11" t="s">
        <v>97</v>
      </c>
      <c r="C38" s="12" t="str">
        <f>IF(Datos_originales!$E38&lt;1000,"Bosque menor a 1000 ha",Datos_originales!$E38)</f>
        <v>Bosque menor a 1000 ha</v>
      </c>
      <c r="D38" s="11">
        <v>0.0</v>
      </c>
      <c r="E38" s="11">
        <v>0.0</v>
      </c>
      <c r="F38" s="11">
        <v>0.0</v>
      </c>
      <c r="G38" s="11">
        <v>0.0</v>
      </c>
      <c r="H38" s="11">
        <f t="shared" si="1"/>
        <v>0</v>
      </c>
      <c r="I38" s="11">
        <v>0.0</v>
      </c>
      <c r="J38" s="11">
        <v>0.0</v>
      </c>
      <c r="K38" s="11">
        <v>0.0</v>
      </c>
      <c r="L38" s="11">
        <f t="shared" si="2"/>
        <v>0</v>
      </c>
      <c r="M38" s="13" t="str">
        <f t="shared" si="3"/>
        <v/>
      </c>
      <c r="N38" s="13" t="str">
        <f t="shared" si="4"/>
        <v/>
      </c>
    </row>
    <row r="39" ht="15.75" customHeight="1">
      <c r="A39" s="11">
        <v>20204.0</v>
      </c>
      <c r="B39" s="11" t="s">
        <v>98</v>
      </c>
      <c r="C39" s="15" t="str">
        <f>IF(Datos_originales!$E39&lt;1000,"Bosque menor a 1000 ha",Datos_originales!$E39)</f>
        <v>Bosque menor a 1000 ha</v>
      </c>
      <c r="D39" s="11">
        <v>0.0</v>
      </c>
      <c r="E39" s="11">
        <v>0.0</v>
      </c>
      <c r="F39" s="11">
        <v>0.0</v>
      </c>
      <c r="G39" s="11">
        <v>0.0</v>
      </c>
      <c r="H39" s="11">
        <f t="shared" si="1"/>
        <v>0</v>
      </c>
      <c r="I39" s="11">
        <v>0.0</v>
      </c>
      <c r="J39" s="11">
        <v>0.0</v>
      </c>
      <c r="K39" s="11">
        <v>0.0</v>
      </c>
      <c r="L39" s="11">
        <f t="shared" si="2"/>
        <v>0</v>
      </c>
      <c r="M39" s="13" t="str">
        <f t="shared" si="3"/>
        <v/>
      </c>
      <c r="N39" s="13" t="str">
        <f t="shared" si="4"/>
        <v/>
      </c>
    </row>
    <row r="40" ht="15.75" customHeight="1">
      <c r="A40" s="11">
        <v>20205.0</v>
      </c>
      <c r="B40" s="11" t="s">
        <v>99</v>
      </c>
      <c r="C40" s="12" t="str">
        <f>IF(Datos_originales!$E40&lt;1000,"Bosque menor a 1000 ha",Datos_originales!$E40)</f>
        <v>Bosque menor a 1000 ha</v>
      </c>
      <c r="D40" s="11">
        <v>0.0</v>
      </c>
      <c r="E40" s="11">
        <v>0.0</v>
      </c>
      <c r="F40" s="11">
        <v>0.0</v>
      </c>
      <c r="G40" s="11">
        <v>0.0</v>
      </c>
      <c r="H40" s="11">
        <f t="shared" si="1"/>
        <v>0</v>
      </c>
      <c r="I40" s="11">
        <v>0.0</v>
      </c>
      <c r="J40" s="11">
        <v>0.0</v>
      </c>
      <c r="K40" s="11">
        <v>0.0</v>
      </c>
      <c r="L40" s="11">
        <f t="shared" si="2"/>
        <v>0</v>
      </c>
      <c r="M40" s="13" t="str">
        <f t="shared" si="3"/>
        <v/>
      </c>
      <c r="N40" s="13" t="str">
        <f t="shared" si="4"/>
        <v/>
      </c>
    </row>
    <row r="41" ht="15.75" customHeight="1">
      <c r="A41" s="11">
        <v>20206.0</v>
      </c>
      <c r="B41" s="11" t="s">
        <v>100</v>
      </c>
      <c r="C41" s="15" t="str">
        <f>IF(Datos_originales!$E41&lt;1000,"Bosque menor a 1000 ha",Datos_originales!$E41)</f>
        <v>Bosque menor a 1000 ha</v>
      </c>
      <c r="D41" s="11">
        <v>0.0</v>
      </c>
      <c r="E41" s="11">
        <v>0.0</v>
      </c>
      <c r="F41" s="11">
        <v>0.0</v>
      </c>
      <c r="G41" s="11">
        <v>0.0</v>
      </c>
      <c r="H41" s="11">
        <f t="shared" si="1"/>
        <v>0</v>
      </c>
      <c r="I41" s="11">
        <v>0.0</v>
      </c>
      <c r="J41" s="11">
        <v>0.0</v>
      </c>
      <c r="K41" s="11">
        <v>0.0</v>
      </c>
      <c r="L41" s="11">
        <f t="shared" si="2"/>
        <v>0</v>
      </c>
      <c r="M41" s="13" t="str">
        <f t="shared" si="3"/>
        <v/>
      </c>
      <c r="N41" s="13" t="str">
        <f t="shared" si="4"/>
        <v/>
      </c>
    </row>
    <row r="42" ht="15.75" customHeight="1">
      <c r="A42" s="11">
        <v>20301.0</v>
      </c>
      <c r="B42" s="11" t="s">
        <v>101</v>
      </c>
      <c r="C42" s="12" t="str">
        <f>IF(Datos_originales!$E42&lt;1000,"Bosque menor a 1000 ha",Datos_originales!$E42)</f>
        <v>Bosque menor a 1000 ha</v>
      </c>
      <c r="D42" s="11">
        <v>0.0</v>
      </c>
      <c r="E42" s="11">
        <v>0.0</v>
      </c>
      <c r="F42" s="11">
        <v>0.0</v>
      </c>
      <c r="G42" s="11">
        <v>0.0</v>
      </c>
      <c r="H42" s="11">
        <f t="shared" si="1"/>
        <v>0</v>
      </c>
      <c r="I42" s="11">
        <v>0.0</v>
      </c>
      <c r="J42" s="11">
        <v>0.0</v>
      </c>
      <c r="K42" s="11">
        <v>0.0</v>
      </c>
      <c r="L42" s="11">
        <f t="shared" si="2"/>
        <v>0</v>
      </c>
      <c r="M42" s="13" t="str">
        <f t="shared" si="3"/>
        <v/>
      </c>
      <c r="N42" s="13" t="str">
        <f t="shared" si="4"/>
        <v/>
      </c>
    </row>
    <row r="43" ht="15.75" customHeight="1">
      <c r="A43" s="11">
        <v>20302.0</v>
      </c>
      <c r="B43" s="11" t="s">
        <v>102</v>
      </c>
      <c r="C43" s="15" t="str">
        <f>IF(Datos_originales!$E43&lt;1000,"Bosque menor a 1000 ha",Datos_originales!$E43)</f>
        <v>Bosque menor a 1000 ha</v>
      </c>
      <c r="D43" s="11">
        <v>0.0</v>
      </c>
      <c r="E43" s="11">
        <v>0.0</v>
      </c>
      <c r="F43" s="11">
        <v>0.0</v>
      </c>
      <c r="G43" s="11">
        <v>0.0</v>
      </c>
      <c r="H43" s="11">
        <f t="shared" si="1"/>
        <v>0</v>
      </c>
      <c r="I43" s="11">
        <v>0.0</v>
      </c>
      <c r="J43" s="11">
        <v>0.0</v>
      </c>
      <c r="K43" s="11">
        <v>0.0</v>
      </c>
      <c r="L43" s="11">
        <f t="shared" si="2"/>
        <v>0</v>
      </c>
      <c r="M43" s="13" t="str">
        <f t="shared" si="3"/>
        <v/>
      </c>
      <c r="N43" s="13" t="str">
        <f t="shared" si="4"/>
        <v/>
      </c>
    </row>
    <row r="44" ht="15.75" customHeight="1">
      <c r="A44" s="11">
        <v>20303.0</v>
      </c>
      <c r="B44" s="11" t="s">
        <v>103</v>
      </c>
      <c r="C44" s="12" t="str">
        <f>IF(Datos_originales!$E44&lt;1000,"Bosque menor a 1000 ha",Datos_originales!$E44)</f>
        <v>Bosque menor a 1000 ha</v>
      </c>
      <c r="D44" s="11">
        <v>0.0</v>
      </c>
      <c r="E44" s="11">
        <v>0.0</v>
      </c>
      <c r="F44" s="11">
        <v>0.0</v>
      </c>
      <c r="G44" s="11">
        <v>0.0</v>
      </c>
      <c r="H44" s="11">
        <f t="shared" si="1"/>
        <v>0</v>
      </c>
      <c r="I44" s="11">
        <v>0.0</v>
      </c>
      <c r="J44" s="11">
        <v>0.0</v>
      </c>
      <c r="K44" s="11">
        <v>0.0</v>
      </c>
      <c r="L44" s="11">
        <f t="shared" si="2"/>
        <v>0</v>
      </c>
      <c r="M44" s="13" t="str">
        <f t="shared" si="3"/>
        <v/>
      </c>
      <c r="N44" s="13" t="str">
        <f t="shared" si="4"/>
        <v/>
      </c>
    </row>
    <row r="45" ht="15.75" customHeight="1">
      <c r="A45" s="11">
        <v>20304.0</v>
      </c>
      <c r="B45" s="11" t="s">
        <v>104</v>
      </c>
      <c r="C45" s="15" t="str">
        <f>IF(Datos_originales!$E45&lt;1000,"Bosque menor a 1000 ha",Datos_originales!$E45)</f>
        <v>Bosque menor a 1000 ha</v>
      </c>
      <c r="D45" s="11">
        <v>0.0</v>
      </c>
      <c r="E45" s="11">
        <v>0.0</v>
      </c>
      <c r="F45" s="11">
        <v>0.0</v>
      </c>
      <c r="G45" s="11">
        <v>0.0</v>
      </c>
      <c r="H45" s="11">
        <f t="shared" si="1"/>
        <v>0</v>
      </c>
      <c r="I45" s="11">
        <v>0.0</v>
      </c>
      <c r="J45" s="11">
        <v>0.0</v>
      </c>
      <c r="K45" s="11">
        <v>0.0</v>
      </c>
      <c r="L45" s="11">
        <f t="shared" si="2"/>
        <v>0</v>
      </c>
      <c r="M45" s="13" t="str">
        <f t="shared" si="3"/>
        <v/>
      </c>
      <c r="N45" s="13" t="str">
        <f t="shared" si="4"/>
        <v/>
      </c>
    </row>
    <row r="46" ht="15.75" customHeight="1">
      <c r="A46" s="11">
        <v>20305.0</v>
      </c>
      <c r="B46" s="11" t="s">
        <v>105</v>
      </c>
      <c r="C46" s="12" t="str">
        <f>IF(Datos_originales!$E46&lt;1000,"Bosque menor a 1000 ha",Datos_originales!$E46)</f>
        <v>Bosque menor a 1000 ha</v>
      </c>
      <c r="D46" s="11">
        <v>0.0</v>
      </c>
      <c r="E46" s="11">
        <v>0.0</v>
      </c>
      <c r="F46" s="11">
        <v>0.0</v>
      </c>
      <c r="G46" s="11">
        <v>0.0</v>
      </c>
      <c r="H46" s="11">
        <f t="shared" si="1"/>
        <v>0</v>
      </c>
      <c r="I46" s="11">
        <v>0.0</v>
      </c>
      <c r="J46" s="11">
        <v>0.0</v>
      </c>
      <c r="K46" s="11">
        <v>0.0</v>
      </c>
      <c r="L46" s="11">
        <f t="shared" si="2"/>
        <v>0</v>
      </c>
      <c r="M46" s="13" t="str">
        <f t="shared" si="3"/>
        <v/>
      </c>
      <c r="N46" s="13" t="str">
        <f t="shared" si="4"/>
        <v/>
      </c>
    </row>
    <row r="47" ht="15.75" customHeight="1">
      <c r="A47" s="11">
        <v>20306.0</v>
      </c>
      <c r="B47" s="11" t="s">
        <v>106</v>
      </c>
      <c r="C47" s="15" t="str">
        <f>IF(Datos_originales!$E47&lt;1000,"Bosque menor a 1000 ha",Datos_originales!$E47)</f>
        <v>Bosque menor a 1000 ha</v>
      </c>
      <c r="D47" s="11">
        <v>0.0</v>
      </c>
      <c r="E47" s="11">
        <v>0.0</v>
      </c>
      <c r="F47" s="11">
        <v>0.0</v>
      </c>
      <c r="G47" s="11">
        <v>0.0</v>
      </c>
      <c r="H47" s="11">
        <f t="shared" si="1"/>
        <v>0</v>
      </c>
      <c r="I47" s="11">
        <v>0.0</v>
      </c>
      <c r="J47" s="11">
        <v>0.0</v>
      </c>
      <c r="K47" s="11">
        <v>0.0</v>
      </c>
      <c r="L47" s="11">
        <f t="shared" si="2"/>
        <v>0</v>
      </c>
      <c r="M47" s="13" t="str">
        <f t="shared" si="3"/>
        <v/>
      </c>
      <c r="N47" s="13" t="str">
        <f t="shared" si="4"/>
        <v/>
      </c>
    </row>
    <row r="48" ht="15.75" customHeight="1">
      <c r="A48" s="11">
        <v>20307.0</v>
      </c>
      <c r="B48" s="11" t="s">
        <v>107</v>
      </c>
      <c r="C48" s="12" t="str">
        <f>IF(Datos_originales!$E48&lt;1000,"Bosque menor a 1000 ha",Datos_originales!$E48)</f>
        <v>Bosque menor a 1000 ha</v>
      </c>
      <c r="D48" s="11">
        <v>0.0</v>
      </c>
      <c r="E48" s="11">
        <v>0.0</v>
      </c>
      <c r="F48" s="11">
        <v>0.0</v>
      </c>
      <c r="G48" s="11">
        <v>0.0</v>
      </c>
      <c r="H48" s="11">
        <f t="shared" si="1"/>
        <v>0</v>
      </c>
      <c r="I48" s="11">
        <v>0.0</v>
      </c>
      <c r="J48" s="11">
        <v>0.0</v>
      </c>
      <c r="K48" s="11">
        <v>0.0</v>
      </c>
      <c r="L48" s="11">
        <f t="shared" si="2"/>
        <v>0</v>
      </c>
      <c r="M48" s="13" t="str">
        <f t="shared" si="3"/>
        <v/>
      </c>
      <c r="N48" s="13" t="str">
        <f t="shared" si="4"/>
        <v/>
      </c>
    </row>
    <row r="49" ht="15.75" customHeight="1">
      <c r="A49" s="11">
        <v>20308.0</v>
      </c>
      <c r="B49" s="11" t="s">
        <v>108</v>
      </c>
      <c r="C49" s="15" t="str">
        <f>IF(Datos_originales!$E49&lt;1000,"Bosque menor a 1000 ha",Datos_originales!$E49)</f>
        <v>Bosque menor a 1000 ha</v>
      </c>
      <c r="D49" s="11">
        <v>0.0</v>
      </c>
      <c r="E49" s="11">
        <v>0.0</v>
      </c>
      <c r="F49" s="11">
        <v>0.0</v>
      </c>
      <c r="G49" s="11">
        <v>0.0</v>
      </c>
      <c r="H49" s="11">
        <f t="shared" si="1"/>
        <v>0</v>
      </c>
      <c r="I49" s="11">
        <v>0.0</v>
      </c>
      <c r="J49" s="11">
        <v>0.0</v>
      </c>
      <c r="K49" s="11">
        <v>0.0</v>
      </c>
      <c r="L49" s="11">
        <f t="shared" si="2"/>
        <v>0</v>
      </c>
      <c r="M49" s="13" t="str">
        <f t="shared" si="3"/>
        <v/>
      </c>
      <c r="N49" s="13" t="str">
        <f t="shared" si="4"/>
        <v/>
      </c>
    </row>
    <row r="50" ht="15.75" customHeight="1">
      <c r="A50" s="11">
        <v>20401.0</v>
      </c>
      <c r="B50" s="11" t="s">
        <v>109</v>
      </c>
      <c r="C50" s="12" t="str">
        <f>IF(Datos_originales!$E50&lt;1000,"Bosque menor a 1000 ha",Datos_originales!$E50)</f>
        <v>Bosque menor a 1000 ha</v>
      </c>
      <c r="D50" s="11">
        <v>0.0</v>
      </c>
      <c r="E50" s="11">
        <v>0.0</v>
      </c>
      <c r="F50" s="11">
        <v>0.0</v>
      </c>
      <c r="G50" s="11">
        <v>0.0</v>
      </c>
      <c r="H50" s="11">
        <f t="shared" si="1"/>
        <v>0</v>
      </c>
      <c r="I50" s="11">
        <v>0.0</v>
      </c>
      <c r="J50" s="11">
        <v>0.0</v>
      </c>
      <c r="K50" s="11">
        <v>0.0</v>
      </c>
      <c r="L50" s="11">
        <f t="shared" si="2"/>
        <v>0</v>
      </c>
      <c r="M50" s="13" t="str">
        <f t="shared" si="3"/>
        <v/>
      </c>
      <c r="N50" s="13" t="str">
        <f t="shared" si="4"/>
        <v/>
      </c>
    </row>
    <row r="51" ht="15.75" customHeight="1">
      <c r="A51" s="11">
        <v>20402.0</v>
      </c>
      <c r="B51" s="11" t="s">
        <v>110</v>
      </c>
      <c r="C51" s="15">
        <f>IF(Datos_originales!$E51&lt;1000,"Bosque menor a 1000 ha",Datos_originales!$E51)</f>
        <v>3005.1</v>
      </c>
      <c r="D51" s="11">
        <v>3005.1</v>
      </c>
      <c r="E51" s="11">
        <v>22.95</v>
      </c>
      <c r="F51" s="11">
        <v>20.7</v>
      </c>
      <c r="G51" s="11">
        <v>56.16</v>
      </c>
      <c r="H51" s="11">
        <f t="shared" si="1"/>
        <v>33.27</v>
      </c>
      <c r="I51" s="11">
        <v>0.72</v>
      </c>
      <c r="J51" s="11">
        <v>15.84</v>
      </c>
      <c r="K51" s="11">
        <v>44.09999999999999</v>
      </c>
      <c r="L51" s="11">
        <f t="shared" si="2"/>
        <v>20.22</v>
      </c>
      <c r="M51" s="13">
        <f t="shared" si="3"/>
        <v>1.1071179</v>
      </c>
      <c r="N51" s="13">
        <f t="shared" si="4"/>
        <v>0.6728561446</v>
      </c>
    </row>
    <row r="52" ht="15.75" customHeight="1">
      <c r="A52" s="11">
        <v>20403.0</v>
      </c>
      <c r="B52" s="11" t="s">
        <v>111</v>
      </c>
      <c r="C52" s="12" t="str">
        <f>IF(Datos_originales!$E52&lt;1000,"Bosque menor a 1000 ha",Datos_originales!$E52)</f>
        <v>Bosque menor a 1000 ha</v>
      </c>
      <c r="D52" s="11">
        <v>0.0</v>
      </c>
      <c r="E52" s="11">
        <v>0.0</v>
      </c>
      <c r="F52" s="11">
        <v>0.0</v>
      </c>
      <c r="G52" s="11">
        <v>0.0</v>
      </c>
      <c r="H52" s="11">
        <f t="shared" si="1"/>
        <v>0</v>
      </c>
      <c r="I52" s="11">
        <v>0.0</v>
      </c>
      <c r="J52" s="11">
        <v>0.0</v>
      </c>
      <c r="K52" s="11">
        <v>0.0</v>
      </c>
      <c r="L52" s="11">
        <f t="shared" si="2"/>
        <v>0</v>
      </c>
      <c r="M52" s="13" t="str">
        <f t="shared" si="3"/>
        <v/>
      </c>
      <c r="N52" s="13" t="str">
        <f t="shared" si="4"/>
        <v/>
      </c>
    </row>
    <row r="53" ht="15.75" customHeight="1">
      <c r="A53" s="11">
        <v>20404.0</v>
      </c>
      <c r="B53" s="11" t="s">
        <v>112</v>
      </c>
      <c r="C53" s="15" t="str">
        <f>IF(Datos_originales!$E53&lt;1000,"Bosque menor a 1000 ha",Datos_originales!$E53)</f>
        <v>Bosque menor a 1000 ha</v>
      </c>
      <c r="D53" s="11">
        <v>0.0</v>
      </c>
      <c r="E53" s="11">
        <v>0.0</v>
      </c>
      <c r="F53" s="11">
        <v>0.0</v>
      </c>
      <c r="G53" s="11">
        <v>0.0</v>
      </c>
      <c r="H53" s="11">
        <f t="shared" si="1"/>
        <v>0</v>
      </c>
      <c r="I53" s="11">
        <v>0.0</v>
      </c>
      <c r="J53" s="11">
        <v>0.0</v>
      </c>
      <c r="K53" s="11">
        <v>0.0</v>
      </c>
      <c r="L53" s="11">
        <f t="shared" si="2"/>
        <v>0</v>
      </c>
      <c r="M53" s="13" t="str">
        <f t="shared" si="3"/>
        <v/>
      </c>
      <c r="N53" s="13" t="str">
        <f t="shared" si="4"/>
        <v/>
      </c>
    </row>
    <row r="54" ht="15.75" customHeight="1">
      <c r="A54" s="11">
        <v>20405.0</v>
      </c>
      <c r="B54" s="11" t="s">
        <v>113</v>
      </c>
      <c r="C54" s="12" t="str">
        <f>IF(Datos_originales!$E54&lt;1000,"Bosque menor a 1000 ha",Datos_originales!$E54)</f>
        <v>Bosque menor a 1000 ha</v>
      </c>
      <c r="D54" s="11">
        <v>0.0</v>
      </c>
      <c r="E54" s="11">
        <v>0.0</v>
      </c>
      <c r="F54" s="11">
        <v>0.0</v>
      </c>
      <c r="G54" s="11">
        <v>0.0</v>
      </c>
      <c r="H54" s="11">
        <f t="shared" si="1"/>
        <v>0</v>
      </c>
      <c r="I54" s="11">
        <v>0.0</v>
      </c>
      <c r="J54" s="11">
        <v>0.0</v>
      </c>
      <c r="K54" s="11">
        <v>0.0</v>
      </c>
      <c r="L54" s="11">
        <f t="shared" si="2"/>
        <v>0</v>
      </c>
      <c r="M54" s="13" t="str">
        <f t="shared" si="3"/>
        <v/>
      </c>
      <c r="N54" s="13" t="str">
        <f t="shared" si="4"/>
        <v/>
      </c>
    </row>
    <row r="55" ht="15.75" customHeight="1">
      <c r="A55" s="11">
        <v>20501.0</v>
      </c>
      <c r="B55" s="11" t="s">
        <v>114</v>
      </c>
      <c r="C55" s="15">
        <f>IF(Datos_originales!$E55&lt;1000,"Bosque menor a 1000 ha",Datos_originales!$E55)</f>
        <v>5788.62</v>
      </c>
      <c r="D55" s="11">
        <v>5788.62</v>
      </c>
      <c r="E55" s="11">
        <v>23.49</v>
      </c>
      <c r="F55" s="11">
        <v>25.38</v>
      </c>
      <c r="G55" s="11">
        <v>49.5</v>
      </c>
      <c r="H55" s="11">
        <f t="shared" si="1"/>
        <v>32.79</v>
      </c>
      <c r="I55" s="11">
        <v>6.75</v>
      </c>
      <c r="J55" s="11">
        <v>35.46</v>
      </c>
      <c r="K55" s="11">
        <v>156.78</v>
      </c>
      <c r="L55" s="11">
        <f t="shared" si="2"/>
        <v>66.33</v>
      </c>
      <c r="M55" s="13">
        <f t="shared" si="3"/>
        <v>0.5664562538</v>
      </c>
      <c r="N55" s="13">
        <f t="shared" si="4"/>
        <v>1.145868964</v>
      </c>
    </row>
    <row r="56" ht="15.75" customHeight="1">
      <c r="A56" s="11">
        <v>20502.0</v>
      </c>
      <c r="B56" s="11" t="s">
        <v>115</v>
      </c>
      <c r="C56" s="12">
        <f>IF(Datos_originales!$E56&lt;1000,"Bosque menor a 1000 ha",Datos_originales!$E56)</f>
        <v>34456.23</v>
      </c>
      <c r="D56" s="11">
        <v>34456.23</v>
      </c>
      <c r="E56" s="11">
        <v>107.19</v>
      </c>
      <c r="F56" s="11">
        <v>74.97</v>
      </c>
      <c r="G56" s="11">
        <v>132.3</v>
      </c>
      <c r="H56" s="11">
        <f t="shared" si="1"/>
        <v>104.82</v>
      </c>
      <c r="I56" s="11">
        <v>24.3</v>
      </c>
      <c r="J56" s="11">
        <v>160.65</v>
      </c>
      <c r="K56" s="11">
        <v>542.7</v>
      </c>
      <c r="L56" s="11">
        <f t="shared" si="2"/>
        <v>242.55</v>
      </c>
      <c r="M56" s="13">
        <f t="shared" si="3"/>
        <v>0.3042120394</v>
      </c>
      <c r="N56" s="13">
        <f t="shared" si="4"/>
        <v>0.7039365595</v>
      </c>
    </row>
    <row r="57" ht="15.75" customHeight="1">
      <c r="A57" s="11">
        <v>20503.0</v>
      </c>
      <c r="B57" s="11" t="s">
        <v>116</v>
      </c>
      <c r="C57" s="15">
        <f>IF(Datos_originales!$E57&lt;1000,"Bosque menor a 1000 ha",Datos_originales!$E57)</f>
        <v>5304.06</v>
      </c>
      <c r="D57" s="11">
        <v>5304.06</v>
      </c>
      <c r="E57" s="11">
        <v>83.07</v>
      </c>
      <c r="F57" s="11">
        <v>34.2</v>
      </c>
      <c r="G57" s="11">
        <v>46.34999999999999</v>
      </c>
      <c r="H57" s="11">
        <f t="shared" si="1"/>
        <v>54.54</v>
      </c>
      <c r="I57" s="11">
        <v>2.43</v>
      </c>
      <c r="J57" s="11">
        <v>15.03</v>
      </c>
      <c r="K57" s="11">
        <v>181.8</v>
      </c>
      <c r="L57" s="11">
        <f t="shared" si="2"/>
        <v>66.42</v>
      </c>
      <c r="M57" s="13">
        <f t="shared" si="3"/>
        <v>1.028268911</v>
      </c>
      <c r="N57" s="13">
        <f t="shared" si="4"/>
        <v>1.252248278</v>
      </c>
    </row>
    <row r="58" ht="15.75" customHeight="1">
      <c r="A58" s="11">
        <v>20601.0</v>
      </c>
      <c r="B58" s="11" t="s">
        <v>117</v>
      </c>
      <c r="C58" s="12">
        <f>IF(Datos_originales!$E58&lt;1000,"Bosque menor a 1000 ha",Datos_originales!$E58)</f>
        <v>57828.96</v>
      </c>
      <c r="D58" s="11">
        <v>57828.96</v>
      </c>
      <c r="E58" s="11">
        <v>330.66</v>
      </c>
      <c r="F58" s="11">
        <v>131.22</v>
      </c>
      <c r="G58" s="11">
        <v>189.18</v>
      </c>
      <c r="H58" s="11">
        <f t="shared" si="1"/>
        <v>217.02</v>
      </c>
      <c r="I58" s="11">
        <v>32.76</v>
      </c>
      <c r="J58" s="11">
        <v>239.85</v>
      </c>
      <c r="K58" s="11">
        <v>947.0699999999999</v>
      </c>
      <c r="L58" s="11">
        <f t="shared" si="2"/>
        <v>406.56</v>
      </c>
      <c r="M58" s="13">
        <f t="shared" si="3"/>
        <v>0.3752790989</v>
      </c>
      <c r="N58" s="13">
        <f t="shared" si="4"/>
        <v>0.7030387543</v>
      </c>
    </row>
    <row r="59" ht="15.75" customHeight="1">
      <c r="A59" s="11">
        <v>20602.0</v>
      </c>
      <c r="B59" s="11" t="s">
        <v>118</v>
      </c>
      <c r="C59" s="15">
        <f>IF(Datos_originales!$E59&lt;1000,"Bosque menor a 1000 ha",Datos_originales!$E59)</f>
        <v>267264.18</v>
      </c>
      <c r="D59" s="11">
        <v>267264.18</v>
      </c>
      <c r="E59" s="11">
        <v>402.93</v>
      </c>
      <c r="F59" s="11">
        <v>574.2</v>
      </c>
      <c r="G59" s="11">
        <v>795.06</v>
      </c>
      <c r="H59" s="11">
        <f t="shared" si="1"/>
        <v>590.73</v>
      </c>
      <c r="I59" s="11">
        <v>255.69</v>
      </c>
      <c r="J59" s="11">
        <v>4809.06</v>
      </c>
      <c r="K59" s="11">
        <v>2025.63</v>
      </c>
      <c r="L59" s="11">
        <f t="shared" si="2"/>
        <v>2363.46</v>
      </c>
      <c r="M59" s="13">
        <f t="shared" si="3"/>
        <v>0.221028497</v>
      </c>
      <c r="N59" s="13">
        <f t="shared" si="4"/>
        <v>0.8843160352</v>
      </c>
    </row>
    <row r="60" ht="15.75" customHeight="1">
      <c r="A60" s="11">
        <v>20603.0</v>
      </c>
      <c r="B60" s="11" t="s">
        <v>119</v>
      </c>
      <c r="C60" s="12">
        <f>IF(Datos_originales!$E60&lt;1000,"Bosque menor a 1000 ha",Datos_originales!$E60)</f>
        <v>53398.08</v>
      </c>
      <c r="D60" s="11">
        <v>53398.08</v>
      </c>
      <c r="E60" s="11">
        <v>206.55</v>
      </c>
      <c r="F60" s="11">
        <v>108.54</v>
      </c>
      <c r="G60" s="11">
        <v>147.06</v>
      </c>
      <c r="H60" s="11">
        <f t="shared" si="1"/>
        <v>154.05</v>
      </c>
      <c r="I60" s="11">
        <v>33.3</v>
      </c>
      <c r="J60" s="11">
        <v>456.39</v>
      </c>
      <c r="K60" s="11">
        <v>736.74</v>
      </c>
      <c r="L60" s="11">
        <f t="shared" si="2"/>
        <v>408.81</v>
      </c>
      <c r="M60" s="13">
        <f t="shared" si="3"/>
        <v>0.2884935189</v>
      </c>
      <c r="N60" s="13">
        <f t="shared" si="4"/>
        <v>0.7655893246</v>
      </c>
    </row>
    <row r="61" ht="15.75" customHeight="1">
      <c r="A61" s="11">
        <v>20604.0</v>
      </c>
      <c r="B61" s="11" t="s">
        <v>120</v>
      </c>
      <c r="C61" s="15" t="str">
        <f>IF(Datos_originales!$E61&lt;1000,"Bosque menor a 1000 ha",Datos_originales!$E61)</f>
        <v>Bosque menor a 1000 ha</v>
      </c>
      <c r="D61" s="11">
        <v>958.5</v>
      </c>
      <c r="E61" s="11">
        <v>10.71</v>
      </c>
      <c r="F61" s="11">
        <v>5.85</v>
      </c>
      <c r="G61" s="11">
        <v>12.69</v>
      </c>
      <c r="H61" s="11">
        <f t="shared" si="1"/>
        <v>9.75</v>
      </c>
      <c r="I61" s="11">
        <v>0.27</v>
      </c>
      <c r="J61" s="11">
        <v>5.4</v>
      </c>
      <c r="K61" s="11">
        <v>59.94</v>
      </c>
      <c r="L61" s="11">
        <f t="shared" si="2"/>
        <v>21.87</v>
      </c>
      <c r="M61" s="13" t="str">
        <f t="shared" si="3"/>
        <v/>
      </c>
      <c r="N61" s="13" t="str">
        <f t="shared" si="4"/>
        <v/>
      </c>
    </row>
    <row r="62" ht="15.75" customHeight="1">
      <c r="A62" s="11">
        <v>20605.0</v>
      </c>
      <c r="B62" s="11" t="s">
        <v>121</v>
      </c>
      <c r="C62" s="12" t="str">
        <f>IF(Datos_originales!$E62&lt;1000,"Bosque menor a 1000 ha",Datos_originales!$E62)</f>
        <v>Bosque menor a 1000 ha</v>
      </c>
      <c r="D62" s="11">
        <v>367.56</v>
      </c>
      <c r="E62" s="11">
        <v>3.51</v>
      </c>
      <c r="F62" s="11">
        <v>2.79</v>
      </c>
      <c r="G62" s="11">
        <v>6.48</v>
      </c>
      <c r="H62" s="11">
        <f t="shared" si="1"/>
        <v>4.26</v>
      </c>
      <c r="I62" s="11">
        <v>0.0</v>
      </c>
      <c r="J62" s="11">
        <v>0.18</v>
      </c>
      <c r="K62" s="11">
        <v>1.62</v>
      </c>
      <c r="L62" s="11">
        <f t="shared" si="2"/>
        <v>0.6</v>
      </c>
      <c r="M62" s="13" t="str">
        <f t="shared" si="3"/>
        <v/>
      </c>
      <c r="N62" s="13" t="str">
        <f t="shared" si="4"/>
        <v/>
      </c>
    </row>
    <row r="63" ht="15.75" customHeight="1">
      <c r="A63" s="11">
        <v>20606.0</v>
      </c>
      <c r="B63" s="11" t="s">
        <v>122</v>
      </c>
      <c r="C63" s="15">
        <f>IF(Datos_originales!$E63&lt;1000,"Bosque menor a 1000 ha",Datos_originales!$E63)</f>
        <v>21546.36</v>
      </c>
      <c r="D63" s="11">
        <v>21546.36</v>
      </c>
      <c r="E63" s="11">
        <v>70.11</v>
      </c>
      <c r="F63" s="11">
        <v>100.35</v>
      </c>
      <c r="G63" s="11">
        <v>122.04</v>
      </c>
      <c r="H63" s="11">
        <f t="shared" si="1"/>
        <v>97.5</v>
      </c>
      <c r="I63" s="11">
        <v>26.01</v>
      </c>
      <c r="J63" s="11">
        <v>597.69</v>
      </c>
      <c r="K63" s="11">
        <v>136.08</v>
      </c>
      <c r="L63" s="11">
        <f t="shared" si="2"/>
        <v>253.26</v>
      </c>
      <c r="M63" s="13">
        <f t="shared" si="3"/>
        <v>0.4525126286</v>
      </c>
      <c r="N63" s="13">
        <f t="shared" si="4"/>
        <v>1.175418957</v>
      </c>
    </row>
    <row r="64" ht="15.75" customHeight="1">
      <c r="A64" s="11">
        <v>20607.0</v>
      </c>
      <c r="B64" s="11" t="s">
        <v>123</v>
      </c>
      <c r="C64" s="12">
        <f>IF(Datos_originales!$E64&lt;1000,"Bosque menor a 1000 ha",Datos_originales!$E64)</f>
        <v>137183.94</v>
      </c>
      <c r="D64" s="11">
        <v>137183.94</v>
      </c>
      <c r="E64" s="11">
        <v>388.8</v>
      </c>
      <c r="F64" s="11">
        <v>410.58</v>
      </c>
      <c r="G64" s="11">
        <v>581.31</v>
      </c>
      <c r="H64" s="11">
        <f t="shared" si="1"/>
        <v>460.23</v>
      </c>
      <c r="I64" s="11">
        <v>150.48</v>
      </c>
      <c r="J64" s="11">
        <v>2974.68</v>
      </c>
      <c r="K64" s="11">
        <v>2165.04</v>
      </c>
      <c r="L64" s="11">
        <f t="shared" si="2"/>
        <v>1763.4</v>
      </c>
      <c r="M64" s="13">
        <f t="shared" si="3"/>
        <v>0.3354838766</v>
      </c>
      <c r="N64" s="13">
        <f t="shared" si="4"/>
        <v>1.285427434</v>
      </c>
    </row>
    <row r="65" ht="15.75" customHeight="1">
      <c r="A65" s="11">
        <v>20608.0</v>
      </c>
      <c r="B65" s="11" t="s">
        <v>124</v>
      </c>
      <c r="C65" s="15">
        <f>IF(Datos_originales!$E65&lt;1000,"Bosque menor a 1000 ha",Datos_originales!$E65)</f>
        <v>122949.99</v>
      </c>
      <c r="D65" s="11">
        <v>122949.99</v>
      </c>
      <c r="E65" s="11">
        <v>733.5</v>
      </c>
      <c r="F65" s="11">
        <v>740.0699999999999</v>
      </c>
      <c r="G65" s="11">
        <v>1042.29</v>
      </c>
      <c r="H65" s="11">
        <f t="shared" si="1"/>
        <v>838.62</v>
      </c>
      <c r="I65" s="11">
        <v>813.78</v>
      </c>
      <c r="J65" s="11">
        <v>3823.29</v>
      </c>
      <c r="K65" s="11">
        <v>1659.06</v>
      </c>
      <c r="L65" s="11">
        <f t="shared" si="2"/>
        <v>2098.71</v>
      </c>
      <c r="M65" s="13">
        <f t="shared" si="3"/>
        <v>0.6820822027</v>
      </c>
      <c r="N65" s="13">
        <f t="shared" si="4"/>
        <v>1.706962319</v>
      </c>
    </row>
    <row r="66" ht="15.75" customHeight="1">
      <c r="A66" s="11">
        <v>20701.0</v>
      </c>
      <c r="B66" s="11" t="s">
        <v>125</v>
      </c>
      <c r="C66" s="12">
        <f>IF(Datos_originales!$E66&lt;1000,"Bosque menor a 1000 ha",Datos_originales!$E66)</f>
        <v>1253903.31</v>
      </c>
      <c r="D66" s="11">
        <v>1253903.31</v>
      </c>
      <c r="E66" s="11">
        <v>2612.7</v>
      </c>
      <c r="F66" s="11">
        <v>2975.4</v>
      </c>
      <c r="G66" s="11">
        <v>5211.18</v>
      </c>
      <c r="H66" s="11">
        <f t="shared" si="1"/>
        <v>3599.76</v>
      </c>
      <c r="I66" s="11">
        <v>1316.7</v>
      </c>
      <c r="J66" s="11">
        <v>1349.28</v>
      </c>
      <c r="K66" s="11">
        <v>5048.73</v>
      </c>
      <c r="L66" s="11">
        <f t="shared" si="2"/>
        <v>2571.57</v>
      </c>
      <c r="M66" s="13">
        <f t="shared" si="3"/>
        <v>0.2870843367</v>
      </c>
      <c r="N66" s="13">
        <f t="shared" si="4"/>
        <v>0.2050851911</v>
      </c>
    </row>
    <row r="67" ht="15.75" customHeight="1">
      <c r="A67" s="11">
        <v>20702.0</v>
      </c>
      <c r="B67" s="11" t="s">
        <v>126</v>
      </c>
      <c r="C67" s="15">
        <f>IF(Datos_originales!$E67&lt;1000,"Bosque menor a 1000 ha",Datos_originales!$E67)</f>
        <v>56334.15</v>
      </c>
      <c r="D67" s="11">
        <v>56334.15</v>
      </c>
      <c r="E67" s="11">
        <v>331.65</v>
      </c>
      <c r="F67" s="11">
        <v>457.47</v>
      </c>
      <c r="G67" s="11">
        <v>302.67</v>
      </c>
      <c r="H67" s="11">
        <f t="shared" si="1"/>
        <v>363.93</v>
      </c>
      <c r="I67" s="11">
        <v>118.8</v>
      </c>
      <c r="J67" s="11">
        <v>79.56</v>
      </c>
      <c r="K67" s="11">
        <v>90.63000000000001</v>
      </c>
      <c r="L67" s="11">
        <f t="shared" si="2"/>
        <v>96.33</v>
      </c>
      <c r="M67" s="13">
        <f t="shared" si="3"/>
        <v>0.6460202204</v>
      </c>
      <c r="N67" s="13">
        <f t="shared" si="4"/>
        <v>0.170997521</v>
      </c>
    </row>
    <row r="68" ht="15.75" customHeight="1">
      <c r="A68" s="11">
        <v>20801.0</v>
      </c>
      <c r="B68" s="11" t="s">
        <v>127</v>
      </c>
      <c r="C68" s="12" t="str">
        <f>IF(Datos_originales!$E68&lt;1000,"Bosque menor a 1000 ha",Datos_originales!$E68)</f>
        <v>Bosque menor a 1000 ha</v>
      </c>
      <c r="D68" s="11">
        <v>0.0</v>
      </c>
      <c r="E68" s="11">
        <v>0.0</v>
      </c>
      <c r="F68" s="11">
        <v>0.0</v>
      </c>
      <c r="G68" s="11">
        <v>0.0</v>
      </c>
      <c r="H68" s="11">
        <f t="shared" si="1"/>
        <v>0</v>
      </c>
      <c r="I68" s="11">
        <v>0.0</v>
      </c>
      <c r="J68" s="11">
        <v>0.0</v>
      </c>
      <c r="K68" s="11">
        <v>0.0</v>
      </c>
      <c r="L68" s="11">
        <f t="shared" si="2"/>
        <v>0</v>
      </c>
      <c r="M68" s="13" t="str">
        <f t="shared" si="3"/>
        <v/>
      </c>
      <c r="N68" s="13" t="str">
        <f t="shared" si="4"/>
        <v/>
      </c>
    </row>
    <row r="69" ht="15.75" customHeight="1">
      <c r="A69" s="11">
        <v>20802.0</v>
      </c>
      <c r="B69" s="11" t="s">
        <v>128</v>
      </c>
      <c r="C69" s="15" t="str">
        <f>IF(Datos_originales!$E69&lt;1000,"Bosque menor a 1000 ha",Datos_originales!$E69)</f>
        <v>Bosque menor a 1000 ha</v>
      </c>
      <c r="D69" s="11">
        <v>0.0</v>
      </c>
      <c r="E69" s="11">
        <v>0.0</v>
      </c>
      <c r="F69" s="11">
        <v>0.0</v>
      </c>
      <c r="G69" s="11">
        <v>0.0</v>
      </c>
      <c r="H69" s="11">
        <f t="shared" si="1"/>
        <v>0</v>
      </c>
      <c r="I69" s="11">
        <v>0.0</v>
      </c>
      <c r="J69" s="11">
        <v>0.0</v>
      </c>
      <c r="K69" s="11">
        <v>0.0</v>
      </c>
      <c r="L69" s="11">
        <f t="shared" si="2"/>
        <v>0</v>
      </c>
      <c r="M69" s="13" t="str">
        <f t="shared" si="3"/>
        <v/>
      </c>
      <c r="N69" s="13" t="str">
        <f t="shared" si="4"/>
        <v/>
      </c>
    </row>
    <row r="70" ht="15.75" customHeight="1">
      <c r="A70" s="11">
        <v>20803.0</v>
      </c>
      <c r="B70" s="11" t="s">
        <v>129</v>
      </c>
      <c r="C70" s="12" t="str">
        <f>IF(Datos_originales!$E70&lt;1000,"Bosque menor a 1000 ha",Datos_originales!$E70)</f>
        <v>Bosque menor a 1000 ha</v>
      </c>
      <c r="D70" s="11">
        <v>0.0</v>
      </c>
      <c r="E70" s="11">
        <v>0.0</v>
      </c>
      <c r="F70" s="11">
        <v>0.0</v>
      </c>
      <c r="G70" s="11">
        <v>0.0</v>
      </c>
      <c r="H70" s="11">
        <f t="shared" si="1"/>
        <v>0</v>
      </c>
      <c r="I70" s="11">
        <v>0.0</v>
      </c>
      <c r="J70" s="11">
        <v>0.0</v>
      </c>
      <c r="K70" s="11">
        <v>0.0</v>
      </c>
      <c r="L70" s="11">
        <f t="shared" si="2"/>
        <v>0</v>
      </c>
      <c r="M70" s="13" t="str">
        <f t="shared" si="3"/>
        <v/>
      </c>
      <c r="N70" s="13" t="str">
        <f t="shared" si="4"/>
        <v/>
      </c>
    </row>
    <row r="71" ht="15.75" customHeight="1">
      <c r="A71" s="11">
        <v>20804.0</v>
      </c>
      <c r="B71" s="11" t="s">
        <v>130</v>
      </c>
      <c r="C71" s="15" t="str">
        <f>IF(Datos_originales!$E71&lt;1000,"Bosque menor a 1000 ha",Datos_originales!$E71)</f>
        <v>Bosque menor a 1000 ha</v>
      </c>
      <c r="D71" s="11">
        <v>0.0</v>
      </c>
      <c r="E71" s="11">
        <v>0.0</v>
      </c>
      <c r="F71" s="11">
        <v>0.0</v>
      </c>
      <c r="G71" s="11">
        <v>0.0</v>
      </c>
      <c r="H71" s="11">
        <f t="shared" si="1"/>
        <v>0</v>
      </c>
      <c r="I71" s="11">
        <v>0.0</v>
      </c>
      <c r="J71" s="11">
        <v>0.0</v>
      </c>
      <c r="K71" s="11">
        <v>0.0</v>
      </c>
      <c r="L71" s="11">
        <f t="shared" si="2"/>
        <v>0</v>
      </c>
      <c r="M71" s="13" t="str">
        <f t="shared" si="3"/>
        <v/>
      </c>
      <c r="N71" s="13" t="str">
        <f t="shared" si="4"/>
        <v/>
      </c>
    </row>
    <row r="72" ht="15.75" customHeight="1">
      <c r="A72" s="11">
        <v>20805.0</v>
      </c>
      <c r="B72" s="11" t="s">
        <v>131</v>
      </c>
      <c r="C72" s="12" t="str">
        <f>IF(Datos_originales!$E72&lt;1000,"Bosque menor a 1000 ha",Datos_originales!$E72)</f>
        <v>Bosque menor a 1000 ha</v>
      </c>
      <c r="D72" s="11">
        <v>0.0</v>
      </c>
      <c r="E72" s="11">
        <v>0.0</v>
      </c>
      <c r="F72" s="11">
        <v>0.0</v>
      </c>
      <c r="G72" s="11">
        <v>0.0</v>
      </c>
      <c r="H72" s="11">
        <f t="shared" si="1"/>
        <v>0</v>
      </c>
      <c r="I72" s="11">
        <v>0.0</v>
      </c>
      <c r="J72" s="11">
        <v>0.0</v>
      </c>
      <c r="K72" s="11">
        <v>0.0</v>
      </c>
      <c r="L72" s="11">
        <f t="shared" si="2"/>
        <v>0</v>
      </c>
      <c r="M72" s="13" t="str">
        <f t="shared" si="3"/>
        <v/>
      </c>
      <c r="N72" s="13" t="str">
        <f t="shared" si="4"/>
        <v/>
      </c>
    </row>
    <row r="73" ht="15.75" customHeight="1">
      <c r="A73" s="11">
        <v>20806.0</v>
      </c>
      <c r="B73" s="11" t="s">
        <v>132</v>
      </c>
      <c r="C73" s="15" t="str">
        <f>IF(Datos_originales!$E73&lt;1000,"Bosque menor a 1000 ha",Datos_originales!$E73)</f>
        <v>Bosque menor a 1000 ha</v>
      </c>
      <c r="D73" s="11">
        <v>0.0</v>
      </c>
      <c r="E73" s="11">
        <v>0.0</v>
      </c>
      <c r="F73" s="11">
        <v>0.0</v>
      </c>
      <c r="G73" s="11">
        <v>0.0</v>
      </c>
      <c r="H73" s="11">
        <f t="shared" si="1"/>
        <v>0</v>
      </c>
      <c r="I73" s="11">
        <v>0.0</v>
      </c>
      <c r="J73" s="11">
        <v>0.0</v>
      </c>
      <c r="K73" s="11">
        <v>0.0</v>
      </c>
      <c r="L73" s="11">
        <f t="shared" si="2"/>
        <v>0</v>
      </c>
      <c r="M73" s="13" t="str">
        <f t="shared" si="3"/>
        <v/>
      </c>
      <c r="N73" s="13" t="str">
        <f t="shared" si="4"/>
        <v/>
      </c>
    </row>
    <row r="74" ht="15.75" customHeight="1">
      <c r="A74" s="11">
        <v>20807.0</v>
      </c>
      <c r="B74" s="11" t="s">
        <v>133</v>
      </c>
      <c r="C74" s="12" t="str">
        <f>IF(Datos_originales!$E74&lt;1000,"Bosque menor a 1000 ha",Datos_originales!$E74)</f>
        <v>Bosque menor a 1000 ha</v>
      </c>
      <c r="D74" s="11">
        <v>0.0</v>
      </c>
      <c r="E74" s="11">
        <v>0.0</v>
      </c>
      <c r="F74" s="11">
        <v>0.0</v>
      </c>
      <c r="G74" s="11">
        <v>0.0</v>
      </c>
      <c r="H74" s="11">
        <f t="shared" si="1"/>
        <v>0</v>
      </c>
      <c r="I74" s="11">
        <v>0.0</v>
      </c>
      <c r="J74" s="11">
        <v>0.0</v>
      </c>
      <c r="K74" s="11">
        <v>0.0</v>
      </c>
      <c r="L74" s="11">
        <f t="shared" si="2"/>
        <v>0</v>
      </c>
      <c r="M74" s="13" t="str">
        <f t="shared" si="3"/>
        <v/>
      </c>
      <c r="N74" s="13" t="str">
        <f t="shared" si="4"/>
        <v/>
      </c>
    </row>
    <row r="75" ht="15.75" customHeight="1">
      <c r="A75" s="11">
        <v>20901.0</v>
      </c>
      <c r="B75" s="11" t="s">
        <v>134</v>
      </c>
      <c r="C75" s="15" t="str">
        <f>IF(Datos_originales!$E75&lt;1000,"Bosque menor a 1000 ha",Datos_originales!$E75)</f>
        <v>Bosque menor a 1000 ha</v>
      </c>
      <c r="D75" s="11">
        <v>468.09</v>
      </c>
      <c r="E75" s="11">
        <v>0.54</v>
      </c>
      <c r="F75" s="11">
        <v>0.81</v>
      </c>
      <c r="G75" s="11">
        <v>8.46</v>
      </c>
      <c r="H75" s="11">
        <f t="shared" si="1"/>
        <v>3.27</v>
      </c>
      <c r="I75" s="11">
        <v>2.88</v>
      </c>
      <c r="J75" s="11">
        <v>17.37</v>
      </c>
      <c r="K75" s="11">
        <v>9.719999999999999</v>
      </c>
      <c r="L75" s="11">
        <f t="shared" si="2"/>
        <v>9.99</v>
      </c>
      <c r="M75" s="13" t="str">
        <f t="shared" si="3"/>
        <v/>
      </c>
      <c r="N75" s="13" t="str">
        <f t="shared" si="4"/>
        <v/>
      </c>
    </row>
    <row r="76" ht="15.75" customHeight="1">
      <c r="A76" s="11">
        <v>20902.0</v>
      </c>
      <c r="B76" s="11" t="s">
        <v>135</v>
      </c>
      <c r="C76" s="12" t="str">
        <f>IF(Datos_originales!$E76&lt;1000,"Bosque menor a 1000 ha",Datos_originales!$E76)</f>
        <v>Bosque menor a 1000 ha</v>
      </c>
      <c r="D76" s="11">
        <v>841.86</v>
      </c>
      <c r="E76" s="11">
        <v>3.87</v>
      </c>
      <c r="F76" s="11">
        <v>3.06</v>
      </c>
      <c r="G76" s="11">
        <v>17.91</v>
      </c>
      <c r="H76" s="11">
        <f t="shared" si="1"/>
        <v>8.28</v>
      </c>
      <c r="I76" s="11">
        <v>9.99</v>
      </c>
      <c r="J76" s="11">
        <v>73.08</v>
      </c>
      <c r="K76" s="11">
        <v>15.03</v>
      </c>
      <c r="L76" s="11">
        <f t="shared" si="2"/>
        <v>32.7</v>
      </c>
      <c r="M76" s="13" t="str">
        <f t="shared" si="3"/>
        <v/>
      </c>
      <c r="N76" s="13" t="str">
        <f t="shared" si="4"/>
        <v/>
      </c>
    </row>
    <row r="77" ht="15.75" customHeight="1">
      <c r="A77" s="11">
        <v>20903.0</v>
      </c>
      <c r="B77" s="11" t="s">
        <v>136</v>
      </c>
      <c r="C77" s="15" t="str">
        <f>IF(Datos_originales!$E77&lt;1000,"Bosque menor a 1000 ha",Datos_originales!$E77)</f>
        <v>Bosque menor a 1000 ha</v>
      </c>
      <c r="D77" s="11">
        <v>0.0</v>
      </c>
      <c r="E77" s="11">
        <v>0.0</v>
      </c>
      <c r="F77" s="11">
        <v>0.0</v>
      </c>
      <c r="G77" s="11">
        <v>0.0</v>
      </c>
      <c r="H77" s="11">
        <f t="shared" si="1"/>
        <v>0</v>
      </c>
      <c r="I77" s="11">
        <v>0.0</v>
      </c>
      <c r="J77" s="11">
        <v>0.0</v>
      </c>
      <c r="K77" s="11">
        <v>0.0</v>
      </c>
      <c r="L77" s="11">
        <f t="shared" si="2"/>
        <v>0</v>
      </c>
      <c r="M77" s="13" t="str">
        <f t="shared" si="3"/>
        <v/>
      </c>
      <c r="N77" s="13" t="str">
        <f t="shared" si="4"/>
        <v/>
      </c>
    </row>
    <row r="78" ht="15.75" customHeight="1">
      <c r="A78" s="11">
        <v>20904.0</v>
      </c>
      <c r="B78" s="11" t="s">
        <v>137</v>
      </c>
      <c r="C78" s="12" t="str">
        <f>IF(Datos_originales!$E78&lt;1000,"Bosque menor a 1000 ha",Datos_originales!$E78)</f>
        <v>Bosque menor a 1000 ha</v>
      </c>
      <c r="D78" s="11">
        <v>0.0</v>
      </c>
      <c r="E78" s="11">
        <v>0.0</v>
      </c>
      <c r="F78" s="11">
        <v>0.0</v>
      </c>
      <c r="G78" s="11">
        <v>0.0</v>
      </c>
      <c r="H78" s="11">
        <f t="shared" si="1"/>
        <v>0</v>
      </c>
      <c r="I78" s="11">
        <v>0.0</v>
      </c>
      <c r="J78" s="11">
        <v>0.0</v>
      </c>
      <c r="K78" s="11">
        <v>0.0</v>
      </c>
      <c r="L78" s="11">
        <f t="shared" si="2"/>
        <v>0</v>
      </c>
      <c r="M78" s="13" t="str">
        <f t="shared" si="3"/>
        <v/>
      </c>
      <c r="N78" s="13" t="str">
        <f t="shared" si="4"/>
        <v/>
      </c>
    </row>
    <row r="79" ht="15.75" customHeight="1">
      <c r="A79" s="11">
        <v>20905.0</v>
      </c>
      <c r="B79" s="11" t="s">
        <v>138</v>
      </c>
      <c r="C79" s="15">
        <f>IF(Datos_originales!$E79&lt;1000,"Bosque menor a 1000 ha",Datos_originales!$E79)</f>
        <v>4399.29</v>
      </c>
      <c r="D79" s="11">
        <v>4399.29</v>
      </c>
      <c r="E79" s="11">
        <v>57.87</v>
      </c>
      <c r="F79" s="11">
        <v>85.05</v>
      </c>
      <c r="G79" s="11">
        <v>86.66999999999999</v>
      </c>
      <c r="H79" s="11">
        <f t="shared" si="1"/>
        <v>76.53</v>
      </c>
      <c r="I79" s="11">
        <v>19.44</v>
      </c>
      <c r="J79" s="11">
        <v>257.85</v>
      </c>
      <c r="K79" s="11">
        <v>170.82</v>
      </c>
      <c r="L79" s="11">
        <f t="shared" si="2"/>
        <v>149.37</v>
      </c>
      <c r="M79" s="13">
        <f t="shared" si="3"/>
        <v>1.73959889</v>
      </c>
      <c r="N79" s="13">
        <f t="shared" si="4"/>
        <v>3.395320609</v>
      </c>
    </row>
    <row r="80" ht="15.75" customHeight="1">
      <c r="A80" s="11">
        <v>21001.0</v>
      </c>
      <c r="B80" s="11" t="s">
        <v>139</v>
      </c>
      <c r="C80" s="12">
        <f>IF(Datos_originales!$E80&lt;1000,"Bosque menor a 1000 ha",Datos_originales!$E80)</f>
        <v>174734.82</v>
      </c>
      <c r="D80" s="11">
        <v>174734.82</v>
      </c>
      <c r="E80" s="11">
        <v>301.05</v>
      </c>
      <c r="F80" s="11">
        <v>299.97</v>
      </c>
      <c r="G80" s="11">
        <v>621.99</v>
      </c>
      <c r="H80" s="11">
        <f t="shared" si="1"/>
        <v>407.67</v>
      </c>
      <c r="I80" s="11">
        <v>211.68</v>
      </c>
      <c r="J80" s="11">
        <v>762.5699999999999</v>
      </c>
      <c r="K80" s="11">
        <v>4410.18</v>
      </c>
      <c r="L80" s="11">
        <f t="shared" si="2"/>
        <v>1794.81</v>
      </c>
      <c r="M80" s="13">
        <f t="shared" si="3"/>
        <v>0.2333078204</v>
      </c>
      <c r="N80" s="13">
        <f t="shared" si="4"/>
        <v>1.027162188</v>
      </c>
    </row>
    <row r="81" ht="15.75" customHeight="1">
      <c r="A81" s="11">
        <v>21002.0</v>
      </c>
      <c r="B81" s="11" t="s">
        <v>140</v>
      </c>
      <c r="C81" s="15">
        <f>IF(Datos_originales!$E81&lt;1000,"Bosque menor a 1000 ha",Datos_originales!$E81)</f>
        <v>23813.64</v>
      </c>
      <c r="D81" s="11">
        <v>23813.64</v>
      </c>
      <c r="E81" s="11">
        <v>102.87</v>
      </c>
      <c r="F81" s="11">
        <v>95.76</v>
      </c>
      <c r="G81" s="11">
        <v>163.71</v>
      </c>
      <c r="H81" s="11">
        <f t="shared" si="1"/>
        <v>120.78</v>
      </c>
      <c r="I81" s="11">
        <v>30.78</v>
      </c>
      <c r="J81" s="11">
        <v>223.02</v>
      </c>
      <c r="K81" s="11">
        <v>633.33</v>
      </c>
      <c r="L81" s="11">
        <f t="shared" si="2"/>
        <v>295.71</v>
      </c>
      <c r="M81" s="13">
        <f t="shared" si="3"/>
        <v>0.5071883173</v>
      </c>
      <c r="N81" s="13">
        <f t="shared" si="4"/>
        <v>1.241767323</v>
      </c>
    </row>
    <row r="82" ht="15.75" customHeight="1">
      <c r="A82" s="11">
        <v>21003.0</v>
      </c>
      <c r="B82" s="11" t="s">
        <v>141</v>
      </c>
      <c r="C82" s="12">
        <f>IF(Datos_originales!$E82&lt;1000,"Bosque menor a 1000 ha",Datos_originales!$E82)</f>
        <v>46961.19</v>
      </c>
      <c r="D82" s="11">
        <v>46961.19</v>
      </c>
      <c r="E82" s="11">
        <v>107.19</v>
      </c>
      <c r="F82" s="11">
        <v>146.61</v>
      </c>
      <c r="G82" s="11">
        <v>266.04</v>
      </c>
      <c r="H82" s="11">
        <f t="shared" si="1"/>
        <v>173.28</v>
      </c>
      <c r="I82" s="11">
        <v>158.04</v>
      </c>
      <c r="J82" s="11">
        <v>408.15</v>
      </c>
      <c r="K82" s="11">
        <v>1329.66</v>
      </c>
      <c r="L82" s="11">
        <f t="shared" si="2"/>
        <v>631.95</v>
      </c>
      <c r="M82" s="13">
        <f t="shared" si="3"/>
        <v>0.3689855389</v>
      </c>
      <c r="N82" s="13">
        <f t="shared" si="4"/>
        <v>1.345685661</v>
      </c>
    </row>
    <row r="83" ht="15.75" customHeight="1">
      <c r="A83" s="11">
        <v>21004.0</v>
      </c>
      <c r="B83" s="11" t="s">
        <v>142</v>
      </c>
      <c r="C83" s="15" t="str">
        <f>IF(Datos_originales!$E83&lt;1000,"Bosque menor a 1000 ha",Datos_originales!$E83)</f>
        <v>Bosque menor a 1000 ha</v>
      </c>
      <c r="D83" s="11">
        <v>366.03</v>
      </c>
      <c r="E83" s="11">
        <v>9.99</v>
      </c>
      <c r="F83" s="11">
        <v>4.319999999999999</v>
      </c>
      <c r="G83" s="11">
        <v>6.93</v>
      </c>
      <c r="H83" s="11">
        <f t="shared" si="1"/>
        <v>7.08</v>
      </c>
      <c r="I83" s="11">
        <v>0.36</v>
      </c>
      <c r="J83" s="11">
        <v>0.9</v>
      </c>
      <c r="K83" s="11">
        <v>12.51</v>
      </c>
      <c r="L83" s="11">
        <f t="shared" si="2"/>
        <v>4.59</v>
      </c>
      <c r="M83" s="13" t="str">
        <f t="shared" si="3"/>
        <v/>
      </c>
      <c r="N83" s="13" t="str">
        <f t="shared" si="4"/>
        <v/>
      </c>
    </row>
    <row r="84" ht="15.75" customHeight="1">
      <c r="A84" s="11">
        <v>21005.0</v>
      </c>
      <c r="B84" s="11" t="s">
        <v>143</v>
      </c>
      <c r="C84" s="12">
        <f>IF(Datos_originales!$E84&lt;1000,"Bosque menor a 1000 ha",Datos_originales!$E84)</f>
        <v>1748.52</v>
      </c>
      <c r="D84" s="11">
        <v>1748.52</v>
      </c>
      <c r="E84" s="11">
        <v>14.94</v>
      </c>
      <c r="F84" s="11">
        <v>9.63</v>
      </c>
      <c r="G84" s="11">
        <v>18.09</v>
      </c>
      <c r="H84" s="11">
        <f t="shared" si="1"/>
        <v>14.22</v>
      </c>
      <c r="I84" s="11">
        <v>3.78</v>
      </c>
      <c r="J84" s="11">
        <v>11.97</v>
      </c>
      <c r="K84" s="11">
        <v>152.82</v>
      </c>
      <c r="L84" s="11">
        <f t="shared" si="2"/>
        <v>56.19</v>
      </c>
      <c r="M84" s="13">
        <f t="shared" si="3"/>
        <v>0.8132592135</v>
      </c>
      <c r="N84" s="13">
        <f t="shared" si="4"/>
        <v>3.213574909</v>
      </c>
    </row>
    <row r="85" ht="15.75" customHeight="1">
      <c r="A85" s="11">
        <v>21006.0</v>
      </c>
      <c r="B85" s="11" t="s">
        <v>144</v>
      </c>
      <c r="C85" s="15">
        <f>IF(Datos_originales!$E85&lt;1000,"Bosque menor a 1000 ha",Datos_originales!$E85)</f>
        <v>13737.87</v>
      </c>
      <c r="D85" s="11">
        <v>13737.87</v>
      </c>
      <c r="E85" s="11">
        <v>17.19</v>
      </c>
      <c r="F85" s="11">
        <v>21.78</v>
      </c>
      <c r="G85" s="11">
        <v>46.98</v>
      </c>
      <c r="H85" s="11">
        <f t="shared" si="1"/>
        <v>28.65</v>
      </c>
      <c r="I85" s="11">
        <v>6.75</v>
      </c>
      <c r="J85" s="11">
        <v>56.25</v>
      </c>
      <c r="K85" s="11">
        <v>261.63</v>
      </c>
      <c r="L85" s="11">
        <f t="shared" si="2"/>
        <v>108.21</v>
      </c>
      <c r="M85" s="13">
        <f t="shared" si="3"/>
        <v>0.2085476133</v>
      </c>
      <c r="N85" s="13">
        <f t="shared" si="4"/>
        <v>0.7876766922</v>
      </c>
    </row>
    <row r="86" ht="15.75" customHeight="1">
      <c r="A86" s="11">
        <v>21101.0</v>
      </c>
      <c r="B86" s="11" t="s">
        <v>145</v>
      </c>
      <c r="C86" s="12">
        <f>IF(Datos_originales!$E86&lt;1000,"Bosque menor a 1000 ha",Datos_originales!$E86)</f>
        <v>18963.09</v>
      </c>
      <c r="D86" s="11">
        <v>18963.09</v>
      </c>
      <c r="E86" s="11">
        <v>53.28</v>
      </c>
      <c r="F86" s="11">
        <v>37.98</v>
      </c>
      <c r="G86" s="11">
        <v>110.34</v>
      </c>
      <c r="H86" s="11">
        <f t="shared" si="1"/>
        <v>67.2</v>
      </c>
      <c r="I86" s="11">
        <v>16.92</v>
      </c>
      <c r="J86" s="11">
        <v>1094.31</v>
      </c>
      <c r="K86" s="11">
        <v>241.47</v>
      </c>
      <c r="L86" s="11">
        <f t="shared" si="2"/>
        <v>450.9</v>
      </c>
      <c r="M86" s="13">
        <f t="shared" si="3"/>
        <v>0.354372626</v>
      </c>
      <c r="N86" s="13">
        <f t="shared" si="4"/>
        <v>2.37777704</v>
      </c>
    </row>
    <row r="87" ht="15.75" customHeight="1">
      <c r="A87" s="11">
        <v>21102.0</v>
      </c>
      <c r="B87" s="11" t="s">
        <v>146</v>
      </c>
      <c r="C87" s="15">
        <f>IF(Datos_originales!$E87&lt;1000,"Bosque menor a 1000 ha",Datos_originales!$E87)</f>
        <v>75065.94</v>
      </c>
      <c r="D87" s="11">
        <v>75065.94</v>
      </c>
      <c r="E87" s="11">
        <v>170.19</v>
      </c>
      <c r="F87" s="11">
        <v>200.97</v>
      </c>
      <c r="G87" s="11">
        <v>316.89</v>
      </c>
      <c r="H87" s="11">
        <f t="shared" si="1"/>
        <v>229.35</v>
      </c>
      <c r="I87" s="11">
        <v>82.62</v>
      </c>
      <c r="J87" s="11">
        <v>972.99</v>
      </c>
      <c r="K87" s="11">
        <v>2210.13</v>
      </c>
      <c r="L87" s="11">
        <f t="shared" si="2"/>
        <v>1088.58</v>
      </c>
      <c r="M87" s="13">
        <f t="shared" si="3"/>
        <v>0.3055313768</v>
      </c>
      <c r="N87" s="13">
        <f t="shared" si="4"/>
        <v>1.450165015</v>
      </c>
    </row>
    <row r="88" ht="15.75" customHeight="1">
      <c r="A88" s="11">
        <v>21103.0</v>
      </c>
      <c r="B88" s="11" t="s">
        <v>147</v>
      </c>
      <c r="C88" s="12">
        <f>IF(Datos_originales!$E88&lt;1000,"Bosque menor a 1000 ha",Datos_originales!$E88)</f>
        <v>21799.26</v>
      </c>
      <c r="D88" s="11">
        <v>21799.26</v>
      </c>
      <c r="E88" s="11">
        <v>78.75</v>
      </c>
      <c r="F88" s="11">
        <v>29.34</v>
      </c>
      <c r="G88" s="11">
        <v>91.98</v>
      </c>
      <c r="H88" s="11">
        <f t="shared" si="1"/>
        <v>66.69</v>
      </c>
      <c r="I88" s="11">
        <v>6.119999999999999</v>
      </c>
      <c r="J88" s="11">
        <v>210.6</v>
      </c>
      <c r="K88" s="11">
        <v>319.5</v>
      </c>
      <c r="L88" s="11">
        <f t="shared" si="2"/>
        <v>178.74</v>
      </c>
      <c r="M88" s="13">
        <f t="shared" si="3"/>
        <v>0.3059278159</v>
      </c>
      <c r="N88" s="13">
        <f t="shared" si="4"/>
        <v>0.8199360896</v>
      </c>
    </row>
    <row r="89" ht="15.75" customHeight="1">
      <c r="A89" s="11">
        <v>21104.0</v>
      </c>
      <c r="B89" s="11" t="s">
        <v>148</v>
      </c>
      <c r="C89" s="15">
        <f>IF(Datos_originales!$E89&lt;1000,"Bosque menor a 1000 ha",Datos_originales!$E89)</f>
        <v>348032.16</v>
      </c>
      <c r="D89" s="11">
        <v>348032.16</v>
      </c>
      <c r="E89" s="11">
        <v>1413.36</v>
      </c>
      <c r="F89" s="11">
        <v>1815.93</v>
      </c>
      <c r="G89" s="11">
        <v>2702.16</v>
      </c>
      <c r="H89" s="11">
        <f t="shared" si="1"/>
        <v>1977.15</v>
      </c>
      <c r="I89" s="11">
        <v>866.52</v>
      </c>
      <c r="J89" s="11">
        <v>4544.19</v>
      </c>
      <c r="K89" s="11">
        <v>4602.96</v>
      </c>
      <c r="L89" s="11">
        <f t="shared" si="2"/>
        <v>3337.89</v>
      </c>
      <c r="M89" s="13">
        <f t="shared" si="3"/>
        <v>0.568094052</v>
      </c>
      <c r="N89" s="13">
        <f t="shared" si="4"/>
        <v>0.9590751613</v>
      </c>
    </row>
    <row r="90" ht="15.75" customHeight="1">
      <c r="A90" s="11">
        <v>21105.0</v>
      </c>
      <c r="B90" s="11" t="s">
        <v>149</v>
      </c>
      <c r="C90" s="12">
        <f>IF(Datos_originales!$E90&lt;1000,"Bosque menor a 1000 ha",Datos_originales!$E90)</f>
        <v>263953.26</v>
      </c>
      <c r="D90" s="11">
        <v>263953.26</v>
      </c>
      <c r="E90" s="11">
        <v>414.45</v>
      </c>
      <c r="F90" s="11">
        <v>841.59</v>
      </c>
      <c r="G90" s="11">
        <v>948.87</v>
      </c>
      <c r="H90" s="11">
        <f t="shared" si="1"/>
        <v>734.97</v>
      </c>
      <c r="I90" s="11">
        <v>233.82</v>
      </c>
      <c r="J90" s="11">
        <v>4739.04</v>
      </c>
      <c r="K90" s="11">
        <v>2920.14</v>
      </c>
      <c r="L90" s="11">
        <f t="shared" si="2"/>
        <v>2631</v>
      </c>
      <c r="M90" s="13">
        <f t="shared" si="3"/>
        <v>0.2784470251</v>
      </c>
      <c r="N90" s="13">
        <f t="shared" si="4"/>
        <v>0.9967673822</v>
      </c>
    </row>
    <row r="91" ht="15.75" customHeight="1">
      <c r="A91" s="11">
        <v>21201.0</v>
      </c>
      <c r="B91" s="11" t="s">
        <v>150</v>
      </c>
      <c r="C91" s="15" t="str">
        <f>IF(Datos_originales!$E91&lt;1000,"Bosque menor a 1000 ha",Datos_originales!$E91)</f>
        <v>Bosque menor a 1000 ha</v>
      </c>
      <c r="D91" s="11">
        <v>0.0</v>
      </c>
      <c r="E91" s="11">
        <v>0.0</v>
      </c>
      <c r="F91" s="11">
        <v>0.0</v>
      </c>
      <c r="G91" s="11">
        <v>0.0</v>
      </c>
      <c r="H91" s="11">
        <f t="shared" si="1"/>
        <v>0</v>
      </c>
      <c r="I91" s="11">
        <v>0.0</v>
      </c>
      <c r="J91" s="11">
        <v>0.0</v>
      </c>
      <c r="K91" s="11">
        <v>0.0</v>
      </c>
      <c r="L91" s="11">
        <f t="shared" si="2"/>
        <v>0</v>
      </c>
      <c r="M91" s="13" t="str">
        <f t="shared" si="3"/>
        <v/>
      </c>
      <c r="N91" s="13" t="str">
        <f t="shared" si="4"/>
        <v/>
      </c>
    </row>
    <row r="92" ht="15.75" customHeight="1">
      <c r="A92" s="11">
        <v>21202.0</v>
      </c>
      <c r="B92" s="11" t="s">
        <v>151</v>
      </c>
      <c r="C92" s="12" t="str">
        <f>IF(Datos_originales!$E92&lt;1000,"Bosque menor a 1000 ha",Datos_originales!$E92)</f>
        <v>Bosque menor a 1000 ha</v>
      </c>
      <c r="D92" s="11">
        <v>0.0</v>
      </c>
      <c r="E92" s="11">
        <v>0.0</v>
      </c>
      <c r="F92" s="11">
        <v>0.0</v>
      </c>
      <c r="G92" s="11">
        <v>0.0</v>
      </c>
      <c r="H92" s="11">
        <f t="shared" si="1"/>
        <v>0</v>
      </c>
      <c r="I92" s="11">
        <v>0.0</v>
      </c>
      <c r="J92" s="11">
        <v>0.0</v>
      </c>
      <c r="K92" s="11">
        <v>0.0</v>
      </c>
      <c r="L92" s="11">
        <f t="shared" si="2"/>
        <v>0</v>
      </c>
      <c r="M92" s="13" t="str">
        <f t="shared" si="3"/>
        <v/>
      </c>
      <c r="N92" s="13" t="str">
        <f t="shared" si="4"/>
        <v/>
      </c>
    </row>
    <row r="93" ht="15.75" customHeight="1">
      <c r="A93" s="11">
        <v>21203.0</v>
      </c>
      <c r="B93" s="11" t="s">
        <v>152</v>
      </c>
      <c r="C93" s="15" t="str">
        <f>IF(Datos_originales!$E93&lt;1000,"Bosque menor a 1000 ha",Datos_originales!$E93)</f>
        <v>Bosque menor a 1000 ha</v>
      </c>
      <c r="D93" s="11">
        <v>0.0</v>
      </c>
      <c r="E93" s="11">
        <v>0.0</v>
      </c>
      <c r="F93" s="11">
        <v>0.0</v>
      </c>
      <c r="G93" s="11">
        <v>0.0</v>
      </c>
      <c r="H93" s="11">
        <f t="shared" si="1"/>
        <v>0</v>
      </c>
      <c r="I93" s="11">
        <v>0.0</v>
      </c>
      <c r="J93" s="11">
        <v>0.0</v>
      </c>
      <c r="K93" s="11">
        <v>0.0</v>
      </c>
      <c r="L93" s="11">
        <f t="shared" si="2"/>
        <v>0</v>
      </c>
      <c r="M93" s="13" t="str">
        <f t="shared" si="3"/>
        <v/>
      </c>
      <c r="N93" s="13" t="str">
        <f t="shared" si="4"/>
        <v/>
      </c>
    </row>
    <row r="94" ht="15.75" customHeight="1">
      <c r="A94" s="11">
        <v>21204.0</v>
      </c>
      <c r="B94" s="11" t="s">
        <v>153</v>
      </c>
      <c r="C94" s="12" t="str">
        <f>IF(Datos_originales!$E94&lt;1000,"Bosque menor a 1000 ha",Datos_originales!$E94)</f>
        <v>Bosque menor a 1000 ha</v>
      </c>
      <c r="D94" s="11">
        <v>0.0</v>
      </c>
      <c r="E94" s="11">
        <v>0.0</v>
      </c>
      <c r="F94" s="11">
        <v>0.0</v>
      </c>
      <c r="G94" s="11">
        <v>0.0</v>
      </c>
      <c r="H94" s="11">
        <f t="shared" si="1"/>
        <v>0</v>
      </c>
      <c r="I94" s="11">
        <v>0.0</v>
      </c>
      <c r="J94" s="11">
        <v>0.0</v>
      </c>
      <c r="K94" s="11">
        <v>0.0</v>
      </c>
      <c r="L94" s="11">
        <f t="shared" si="2"/>
        <v>0</v>
      </c>
      <c r="M94" s="13" t="str">
        <f t="shared" si="3"/>
        <v/>
      </c>
      <c r="N94" s="13" t="str">
        <f t="shared" si="4"/>
        <v/>
      </c>
    </row>
    <row r="95" ht="15.75" customHeight="1">
      <c r="A95" s="11">
        <v>21301.0</v>
      </c>
      <c r="B95" s="11" t="s">
        <v>154</v>
      </c>
      <c r="C95" s="15" t="str">
        <f>IF(Datos_originales!$E95&lt;1000,"Bosque menor a 1000 ha",Datos_originales!$E95)</f>
        <v>Bosque menor a 1000 ha</v>
      </c>
      <c r="D95" s="11">
        <v>0.0</v>
      </c>
      <c r="E95" s="11">
        <v>0.0</v>
      </c>
      <c r="F95" s="11">
        <v>0.0</v>
      </c>
      <c r="G95" s="11">
        <v>0.0</v>
      </c>
      <c r="H95" s="11">
        <f t="shared" si="1"/>
        <v>0</v>
      </c>
      <c r="I95" s="11">
        <v>0.0</v>
      </c>
      <c r="J95" s="11">
        <v>0.0</v>
      </c>
      <c r="K95" s="11">
        <v>0.0</v>
      </c>
      <c r="L95" s="11">
        <f t="shared" si="2"/>
        <v>0</v>
      </c>
      <c r="M95" s="13" t="str">
        <f t="shared" si="3"/>
        <v/>
      </c>
      <c r="N95" s="13" t="str">
        <f t="shared" si="4"/>
        <v/>
      </c>
    </row>
    <row r="96" ht="15.75" customHeight="1">
      <c r="A96" s="11">
        <v>21302.0</v>
      </c>
      <c r="B96" s="11" t="s">
        <v>155</v>
      </c>
      <c r="C96" s="12" t="str">
        <f>IF(Datos_originales!$E96&lt;1000,"Bosque menor a 1000 ha",Datos_originales!$E96)</f>
        <v>Bosque menor a 1000 ha</v>
      </c>
      <c r="D96" s="11">
        <v>0.0</v>
      </c>
      <c r="E96" s="11">
        <v>0.0</v>
      </c>
      <c r="F96" s="11">
        <v>0.0</v>
      </c>
      <c r="G96" s="11">
        <v>0.0</v>
      </c>
      <c r="H96" s="11">
        <f t="shared" si="1"/>
        <v>0</v>
      </c>
      <c r="I96" s="11">
        <v>0.0</v>
      </c>
      <c r="J96" s="11">
        <v>0.0</v>
      </c>
      <c r="K96" s="11">
        <v>0.0</v>
      </c>
      <c r="L96" s="11">
        <f t="shared" si="2"/>
        <v>0</v>
      </c>
      <c r="M96" s="13" t="str">
        <f t="shared" si="3"/>
        <v/>
      </c>
      <c r="N96" s="13" t="str">
        <f t="shared" si="4"/>
        <v/>
      </c>
    </row>
    <row r="97" ht="15.75" customHeight="1">
      <c r="A97" s="11">
        <v>21303.0</v>
      </c>
      <c r="B97" s="11" t="s">
        <v>156</v>
      </c>
      <c r="C97" s="15" t="str">
        <f>IF(Datos_originales!$E97&lt;1000,"Bosque menor a 1000 ha",Datos_originales!$E97)</f>
        <v>Bosque menor a 1000 ha</v>
      </c>
      <c r="D97" s="11">
        <v>0.0</v>
      </c>
      <c r="E97" s="11">
        <v>0.0</v>
      </c>
      <c r="F97" s="11">
        <v>0.0</v>
      </c>
      <c r="G97" s="11">
        <v>0.0</v>
      </c>
      <c r="H97" s="11">
        <f t="shared" si="1"/>
        <v>0</v>
      </c>
      <c r="I97" s="11">
        <v>0.0</v>
      </c>
      <c r="J97" s="11">
        <v>0.0</v>
      </c>
      <c r="K97" s="11">
        <v>0.0</v>
      </c>
      <c r="L97" s="11">
        <f t="shared" si="2"/>
        <v>0</v>
      </c>
      <c r="M97" s="13" t="str">
        <f t="shared" si="3"/>
        <v/>
      </c>
      <c r="N97" s="13" t="str">
        <f t="shared" si="4"/>
        <v/>
      </c>
    </row>
    <row r="98" ht="15.75" customHeight="1">
      <c r="A98" s="11">
        <v>21304.0</v>
      </c>
      <c r="B98" s="11" t="s">
        <v>157</v>
      </c>
      <c r="C98" s="12" t="str">
        <f>IF(Datos_originales!$E98&lt;1000,"Bosque menor a 1000 ha",Datos_originales!$E98)</f>
        <v>Bosque menor a 1000 ha</v>
      </c>
      <c r="D98" s="11">
        <v>0.0</v>
      </c>
      <c r="E98" s="11">
        <v>0.0</v>
      </c>
      <c r="F98" s="11">
        <v>0.0</v>
      </c>
      <c r="G98" s="11">
        <v>0.0</v>
      </c>
      <c r="H98" s="11">
        <f t="shared" si="1"/>
        <v>0</v>
      </c>
      <c r="I98" s="11">
        <v>0.0</v>
      </c>
      <c r="J98" s="11">
        <v>0.0</v>
      </c>
      <c r="K98" s="11">
        <v>0.0</v>
      </c>
      <c r="L98" s="11">
        <f t="shared" si="2"/>
        <v>0</v>
      </c>
      <c r="M98" s="13" t="str">
        <f t="shared" si="3"/>
        <v/>
      </c>
      <c r="N98" s="13" t="str">
        <f t="shared" si="4"/>
        <v/>
      </c>
    </row>
    <row r="99" ht="15.75" customHeight="1">
      <c r="A99" s="11">
        <v>21305.0</v>
      </c>
      <c r="B99" s="11" t="s">
        <v>158</v>
      </c>
      <c r="C99" s="15" t="str">
        <f>IF(Datos_originales!$E99&lt;1000,"Bosque menor a 1000 ha",Datos_originales!$E99)</f>
        <v>Bosque menor a 1000 ha</v>
      </c>
      <c r="D99" s="11">
        <v>0.0</v>
      </c>
      <c r="E99" s="11">
        <v>0.0</v>
      </c>
      <c r="F99" s="11">
        <v>0.0</v>
      </c>
      <c r="G99" s="11">
        <v>0.0</v>
      </c>
      <c r="H99" s="11">
        <f t="shared" si="1"/>
        <v>0</v>
      </c>
      <c r="I99" s="11">
        <v>0.0</v>
      </c>
      <c r="J99" s="11">
        <v>0.0</v>
      </c>
      <c r="K99" s="11">
        <v>0.0</v>
      </c>
      <c r="L99" s="11">
        <f t="shared" si="2"/>
        <v>0</v>
      </c>
      <c r="M99" s="13" t="str">
        <f t="shared" si="3"/>
        <v/>
      </c>
      <c r="N99" s="13" t="str">
        <f t="shared" si="4"/>
        <v/>
      </c>
    </row>
    <row r="100" ht="15.75" customHeight="1">
      <c r="A100" s="11">
        <v>21306.0</v>
      </c>
      <c r="B100" s="11" t="s">
        <v>159</v>
      </c>
      <c r="C100" s="12" t="str">
        <f>IF(Datos_originales!$E100&lt;1000,"Bosque menor a 1000 ha",Datos_originales!$E100)</f>
        <v>Bosque menor a 1000 ha</v>
      </c>
      <c r="D100" s="11">
        <v>0.0</v>
      </c>
      <c r="E100" s="11">
        <v>0.0</v>
      </c>
      <c r="F100" s="11">
        <v>0.0</v>
      </c>
      <c r="G100" s="11">
        <v>0.0</v>
      </c>
      <c r="H100" s="11">
        <f t="shared" si="1"/>
        <v>0</v>
      </c>
      <c r="I100" s="11">
        <v>0.0</v>
      </c>
      <c r="J100" s="11">
        <v>0.0</v>
      </c>
      <c r="K100" s="11">
        <v>0.0</v>
      </c>
      <c r="L100" s="11">
        <f t="shared" si="2"/>
        <v>0</v>
      </c>
      <c r="M100" s="13" t="str">
        <f t="shared" si="3"/>
        <v/>
      </c>
      <c r="N100" s="13" t="str">
        <f t="shared" si="4"/>
        <v/>
      </c>
    </row>
    <row r="101" ht="15.75" customHeight="1">
      <c r="A101" s="11">
        <v>21307.0</v>
      </c>
      <c r="B101" s="11" t="s">
        <v>160</v>
      </c>
      <c r="C101" s="15" t="str">
        <f>IF(Datos_originales!$E101&lt;1000,"Bosque menor a 1000 ha",Datos_originales!$E101)</f>
        <v>Bosque menor a 1000 ha</v>
      </c>
      <c r="D101" s="11">
        <v>0.0</v>
      </c>
      <c r="E101" s="11">
        <v>0.0</v>
      </c>
      <c r="F101" s="11">
        <v>0.0</v>
      </c>
      <c r="G101" s="11">
        <v>0.0</v>
      </c>
      <c r="H101" s="11">
        <f t="shared" si="1"/>
        <v>0</v>
      </c>
      <c r="I101" s="11">
        <v>0.0</v>
      </c>
      <c r="J101" s="11">
        <v>0.0</v>
      </c>
      <c r="K101" s="11">
        <v>0.0</v>
      </c>
      <c r="L101" s="11">
        <f t="shared" si="2"/>
        <v>0</v>
      </c>
      <c r="M101" s="13" t="str">
        <f t="shared" si="3"/>
        <v/>
      </c>
      <c r="N101" s="13" t="str">
        <f t="shared" si="4"/>
        <v/>
      </c>
    </row>
    <row r="102" ht="15.75" customHeight="1">
      <c r="A102" s="11">
        <v>21401.0</v>
      </c>
      <c r="B102" s="11" t="s">
        <v>161</v>
      </c>
      <c r="C102" s="12">
        <f>IF(Datos_originales!$E102&lt;1000,"Bosque menor a 1000 ha",Datos_originales!$E102)</f>
        <v>97249.23</v>
      </c>
      <c r="D102" s="11">
        <v>97249.23000000001</v>
      </c>
      <c r="E102" s="11">
        <v>118.53</v>
      </c>
      <c r="F102" s="11">
        <v>102.33</v>
      </c>
      <c r="G102" s="11">
        <v>192.6</v>
      </c>
      <c r="H102" s="11">
        <f t="shared" si="1"/>
        <v>137.82</v>
      </c>
      <c r="I102" s="11">
        <v>155.16</v>
      </c>
      <c r="J102" s="11">
        <v>1976.67</v>
      </c>
      <c r="K102" s="11">
        <v>381.96</v>
      </c>
      <c r="L102" s="11">
        <f t="shared" si="2"/>
        <v>837.93</v>
      </c>
      <c r="M102" s="13">
        <f t="shared" si="3"/>
        <v>0.1417183457</v>
      </c>
      <c r="N102" s="13">
        <f t="shared" si="4"/>
        <v>0.8616315008</v>
      </c>
    </row>
    <row r="103" ht="15.75" customHeight="1">
      <c r="A103" s="11">
        <v>21402.0</v>
      </c>
      <c r="B103" s="11" t="s">
        <v>162</v>
      </c>
      <c r="C103" s="15">
        <f>IF(Datos_originales!$E103&lt;1000,"Bosque menor a 1000 ha",Datos_originales!$E103)</f>
        <v>59270.67</v>
      </c>
      <c r="D103" s="11">
        <v>59270.67</v>
      </c>
      <c r="E103" s="11">
        <v>78.21</v>
      </c>
      <c r="F103" s="11">
        <v>41.58</v>
      </c>
      <c r="G103" s="11">
        <v>149.85</v>
      </c>
      <c r="H103" s="11">
        <f t="shared" si="1"/>
        <v>89.88</v>
      </c>
      <c r="I103" s="11">
        <v>46.53</v>
      </c>
      <c r="J103" s="11">
        <v>1142.19</v>
      </c>
      <c r="K103" s="11">
        <v>155.79</v>
      </c>
      <c r="L103" s="11">
        <f t="shared" si="2"/>
        <v>448.17</v>
      </c>
      <c r="M103" s="13">
        <f t="shared" si="3"/>
        <v>0.1516433001</v>
      </c>
      <c r="N103" s="13">
        <f t="shared" si="4"/>
        <v>0.7561412753</v>
      </c>
    </row>
    <row r="104" ht="15.75" customHeight="1">
      <c r="A104" s="11">
        <v>21501.0</v>
      </c>
      <c r="B104" s="11" t="s">
        <v>163</v>
      </c>
      <c r="C104" s="12">
        <f>IF(Datos_originales!$E104&lt;1000,"Bosque menor a 1000 ha",Datos_originales!$E104)</f>
        <v>2770533.45</v>
      </c>
      <c r="D104" s="11">
        <v>2770533.45</v>
      </c>
      <c r="E104" s="11">
        <v>7678.89</v>
      </c>
      <c r="F104" s="11">
        <v>5774.940000000001</v>
      </c>
      <c r="G104" s="11">
        <v>8716.23</v>
      </c>
      <c r="H104" s="11">
        <f t="shared" si="1"/>
        <v>7390.02</v>
      </c>
      <c r="I104" s="11">
        <v>2827.44</v>
      </c>
      <c r="J104" s="11">
        <v>5534.37</v>
      </c>
      <c r="K104" s="11">
        <v>16877.97</v>
      </c>
      <c r="L104" s="11">
        <f t="shared" si="2"/>
        <v>8413.26</v>
      </c>
      <c r="M104" s="13">
        <f t="shared" si="3"/>
        <v>0.2667363572</v>
      </c>
      <c r="N104" s="13">
        <f t="shared" si="4"/>
        <v>0.3036693168</v>
      </c>
    </row>
    <row r="105" ht="15.75" customHeight="1">
      <c r="A105" s="11">
        <v>21502.0</v>
      </c>
      <c r="B105" s="11" t="s">
        <v>164</v>
      </c>
      <c r="C105" s="15">
        <f>IF(Datos_originales!$E105&lt;1000,"Bosque menor a 1000 ha",Datos_originales!$E105)</f>
        <v>264913.2</v>
      </c>
      <c r="D105" s="11">
        <v>264913.2</v>
      </c>
      <c r="E105" s="11">
        <v>2191.5</v>
      </c>
      <c r="F105" s="11">
        <v>1751.31</v>
      </c>
      <c r="G105" s="11">
        <v>3904.83</v>
      </c>
      <c r="H105" s="11">
        <f t="shared" si="1"/>
        <v>2615.88</v>
      </c>
      <c r="I105" s="11">
        <v>739.98</v>
      </c>
      <c r="J105" s="11">
        <v>4072.05</v>
      </c>
      <c r="K105" s="11">
        <v>1196.37</v>
      </c>
      <c r="L105" s="11">
        <f t="shared" si="2"/>
        <v>2002.8</v>
      </c>
      <c r="M105" s="13">
        <f t="shared" si="3"/>
        <v>0.9874479641</v>
      </c>
      <c r="N105" s="13">
        <f t="shared" si="4"/>
        <v>0.7560212175</v>
      </c>
    </row>
    <row r="106" ht="15.75" customHeight="1">
      <c r="A106" s="11">
        <v>21601.0</v>
      </c>
      <c r="B106" s="11" t="s">
        <v>165</v>
      </c>
      <c r="C106" s="12">
        <f>IF(Datos_originales!$E106&lt;1000,"Bosque menor a 1000 ha",Datos_originales!$E106)</f>
        <v>140944.05</v>
      </c>
      <c r="D106" s="11">
        <v>140944.05</v>
      </c>
      <c r="E106" s="11">
        <v>387.72</v>
      </c>
      <c r="F106" s="11">
        <v>390.69</v>
      </c>
      <c r="G106" s="11">
        <v>562.86</v>
      </c>
      <c r="H106" s="11">
        <f t="shared" si="1"/>
        <v>447.09</v>
      </c>
      <c r="I106" s="11">
        <v>75.87</v>
      </c>
      <c r="J106" s="11">
        <v>162.0</v>
      </c>
      <c r="K106" s="11">
        <v>969.39</v>
      </c>
      <c r="L106" s="11">
        <f t="shared" si="2"/>
        <v>402.42</v>
      </c>
      <c r="M106" s="13">
        <f t="shared" si="3"/>
        <v>0.3172109784</v>
      </c>
      <c r="N106" s="13">
        <f t="shared" si="4"/>
        <v>0.2855175511</v>
      </c>
    </row>
    <row r="107" ht="15.75" customHeight="1">
      <c r="A107" s="11">
        <v>21602.0</v>
      </c>
      <c r="B107" s="11" t="s">
        <v>166</v>
      </c>
      <c r="C107" s="15">
        <f>IF(Datos_originales!$E107&lt;1000,"Bosque menor a 1000 ha",Datos_originales!$E107)</f>
        <v>8584.74</v>
      </c>
      <c r="D107" s="11">
        <v>8584.74</v>
      </c>
      <c r="E107" s="11">
        <v>83.7</v>
      </c>
      <c r="F107" s="11">
        <v>97.74</v>
      </c>
      <c r="G107" s="11">
        <v>57.6</v>
      </c>
      <c r="H107" s="11">
        <f t="shared" si="1"/>
        <v>79.68</v>
      </c>
      <c r="I107" s="11">
        <v>14.94</v>
      </c>
      <c r="J107" s="11">
        <v>15.21</v>
      </c>
      <c r="K107" s="11">
        <v>15.48</v>
      </c>
      <c r="L107" s="11">
        <f t="shared" si="2"/>
        <v>15.21</v>
      </c>
      <c r="M107" s="13">
        <f t="shared" si="3"/>
        <v>0.9281585697</v>
      </c>
      <c r="N107" s="13">
        <f t="shared" si="4"/>
        <v>0.1771748475</v>
      </c>
    </row>
    <row r="108" ht="15.75" customHeight="1">
      <c r="A108" s="11">
        <v>21701.0</v>
      </c>
      <c r="B108" s="11" t="s">
        <v>167</v>
      </c>
      <c r="C108" s="12" t="str">
        <f>IF(Datos_originales!$E108&lt;1000,"Bosque menor a 1000 ha",Datos_originales!$E108)</f>
        <v>Bosque menor a 1000 ha</v>
      </c>
      <c r="D108" s="11">
        <v>0.0</v>
      </c>
      <c r="E108" s="11">
        <v>0.0</v>
      </c>
      <c r="F108" s="11">
        <v>0.0</v>
      </c>
      <c r="G108" s="11">
        <v>0.0</v>
      </c>
      <c r="H108" s="11">
        <f t="shared" si="1"/>
        <v>0</v>
      </c>
      <c r="I108" s="11">
        <v>0.0</v>
      </c>
      <c r="J108" s="11">
        <v>0.0</v>
      </c>
      <c r="K108" s="11">
        <v>0.0</v>
      </c>
      <c r="L108" s="11">
        <f t="shared" si="2"/>
        <v>0</v>
      </c>
      <c r="M108" s="13" t="str">
        <f t="shared" si="3"/>
        <v/>
      </c>
      <c r="N108" s="13" t="str">
        <f t="shared" si="4"/>
        <v/>
      </c>
    </row>
    <row r="109" ht="15.75" customHeight="1">
      <c r="A109" s="11">
        <v>21702.0</v>
      </c>
      <c r="B109" s="11" t="s">
        <v>168</v>
      </c>
      <c r="C109" s="15" t="str">
        <f>IF(Datos_originales!$E109&lt;1000,"Bosque menor a 1000 ha",Datos_originales!$E109)</f>
        <v>Bosque menor a 1000 ha</v>
      </c>
      <c r="D109" s="11">
        <v>0.0</v>
      </c>
      <c r="E109" s="11">
        <v>0.0</v>
      </c>
      <c r="F109" s="11">
        <v>0.0</v>
      </c>
      <c r="G109" s="11">
        <v>0.0</v>
      </c>
      <c r="H109" s="11">
        <f t="shared" si="1"/>
        <v>0</v>
      </c>
      <c r="I109" s="11">
        <v>0.0</v>
      </c>
      <c r="J109" s="11">
        <v>0.0</v>
      </c>
      <c r="K109" s="11">
        <v>0.0</v>
      </c>
      <c r="L109" s="11">
        <f t="shared" si="2"/>
        <v>0</v>
      </c>
      <c r="M109" s="13" t="str">
        <f t="shared" si="3"/>
        <v/>
      </c>
      <c r="N109" s="13" t="str">
        <f t="shared" si="4"/>
        <v/>
      </c>
    </row>
    <row r="110" ht="15.75" customHeight="1">
      <c r="A110" s="11">
        <v>21703.0</v>
      </c>
      <c r="B110" s="11" t="s">
        <v>169</v>
      </c>
      <c r="C110" s="12" t="str">
        <f>IF(Datos_originales!$E110&lt;1000,"Bosque menor a 1000 ha",Datos_originales!$E110)</f>
        <v>Bosque menor a 1000 ha</v>
      </c>
      <c r="D110" s="11">
        <v>0.0</v>
      </c>
      <c r="E110" s="11">
        <v>0.0</v>
      </c>
      <c r="F110" s="11">
        <v>0.0</v>
      </c>
      <c r="G110" s="11">
        <v>0.0</v>
      </c>
      <c r="H110" s="11">
        <f t="shared" si="1"/>
        <v>0</v>
      </c>
      <c r="I110" s="11">
        <v>0.0</v>
      </c>
      <c r="J110" s="11">
        <v>0.0</v>
      </c>
      <c r="K110" s="11">
        <v>0.0</v>
      </c>
      <c r="L110" s="11">
        <f t="shared" si="2"/>
        <v>0</v>
      </c>
      <c r="M110" s="13" t="str">
        <f t="shared" si="3"/>
        <v/>
      </c>
      <c r="N110" s="13" t="str">
        <f t="shared" si="4"/>
        <v/>
      </c>
    </row>
    <row r="111" ht="15.75" customHeight="1">
      <c r="A111" s="11">
        <v>21801.0</v>
      </c>
      <c r="B111" s="11" t="s">
        <v>170</v>
      </c>
      <c r="C111" s="15" t="str">
        <f>IF(Datos_originales!$E111&lt;1000,"Bosque menor a 1000 ha",Datos_originales!$E111)</f>
        <v>Bosque menor a 1000 ha</v>
      </c>
      <c r="D111" s="11">
        <v>0.0</v>
      </c>
      <c r="E111" s="11">
        <v>0.0</v>
      </c>
      <c r="F111" s="11">
        <v>0.0</v>
      </c>
      <c r="G111" s="11">
        <v>0.0</v>
      </c>
      <c r="H111" s="11">
        <f t="shared" si="1"/>
        <v>0</v>
      </c>
      <c r="I111" s="11">
        <v>0.0</v>
      </c>
      <c r="J111" s="11">
        <v>0.0</v>
      </c>
      <c r="K111" s="11">
        <v>0.0</v>
      </c>
      <c r="L111" s="11">
        <f t="shared" si="2"/>
        <v>0</v>
      </c>
      <c r="M111" s="13" t="str">
        <f t="shared" si="3"/>
        <v/>
      </c>
      <c r="N111" s="13" t="str">
        <f t="shared" si="4"/>
        <v/>
      </c>
    </row>
    <row r="112" ht="15.75" customHeight="1">
      <c r="A112" s="11">
        <v>21802.0</v>
      </c>
      <c r="B112" s="11" t="s">
        <v>171</v>
      </c>
      <c r="C112" s="12" t="str">
        <f>IF(Datos_originales!$E112&lt;1000,"Bosque menor a 1000 ha",Datos_originales!$E112)</f>
        <v>Bosque menor a 1000 ha</v>
      </c>
      <c r="D112" s="11">
        <v>0.0</v>
      </c>
      <c r="E112" s="11">
        <v>0.0</v>
      </c>
      <c r="F112" s="11">
        <v>0.0</v>
      </c>
      <c r="G112" s="11">
        <v>0.0</v>
      </c>
      <c r="H112" s="11">
        <f t="shared" si="1"/>
        <v>0</v>
      </c>
      <c r="I112" s="11">
        <v>0.0</v>
      </c>
      <c r="J112" s="11">
        <v>0.0</v>
      </c>
      <c r="K112" s="11">
        <v>0.0</v>
      </c>
      <c r="L112" s="11">
        <f t="shared" si="2"/>
        <v>0</v>
      </c>
      <c r="M112" s="13" t="str">
        <f t="shared" si="3"/>
        <v/>
      </c>
      <c r="N112" s="13" t="str">
        <f t="shared" si="4"/>
        <v/>
      </c>
    </row>
    <row r="113" ht="15.75" customHeight="1">
      <c r="A113" s="11">
        <v>21803.0</v>
      </c>
      <c r="B113" s="11" t="s">
        <v>172</v>
      </c>
      <c r="C113" s="15" t="str">
        <f>IF(Datos_originales!$E113&lt;1000,"Bosque menor a 1000 ha",Datos_originales!$E113)</f>
        <v>Bosque menor a 1000 ha</v>
      </c>
      <c r="D113" s="11">
        <v>0.0</v>
      </c>
      <c r="E113" s="11">
        <v>0.0</v>
      </c>
      <c r="F113" s="11">
        <v>0.0</v>
      </c>
      <c r="G113" s="11">
        <v>0.0</v>
      </c>
      <c r="H113" s="11">
        <f t="shared" si="1"/>
        <v>0</v>
      </c>
      <c r="I113" s="11">
        <v>0.0</v>
      </c>
      <c r="J113" s="11">
        <v>0.0</v>
      </c>
      <c r="K113" s="11">
        <v>0.0</v>
      </c>
      <c r="L113" s="11">
        <f t="shared" si="2"/>
        <v>0</v>
      </c>
      <c r="M113" s="13" t="str">
        <f t="shared" si="3"/>
        <v/>
      </c>
      <c r="N113" s="13" t="str">
        <f t="shared" si="4"/>
        <v/>
      </c>
    </row>
    <row r="114" ht="15.75" customHeight="1">
      <c r="A114" s="11">
        <v>21901.0</v>
      </c>
      <c r="B114" s="11" t="s">
        <v>173</v>
      </c>
      <c r="C114" s="12" t="str">
        <f>IF(Datos_originales!$E114&lt;1000,"Bosque menor a 1000 ha",Datos_originales!$E114)</f>
        <v>Bosque menor a 1000 ha</v>
      </c>
      <c r="D114" s="11">
        <v>0.0</v>
      </c>
      <c r="E114" s="11">
        <v>0.0</v>
      </c>
      <c r="F114" s="11">
        <v>0.0</v>
      </c>
      <c r="G114" s="11">
        <v>0.0</v>
      </c>
      <c r="H114" s="11">
        <f t="shared" si="1"/>
        <v>0</v>
      </c>
      <c r="I114" s="11">
        <v>0.0</v>
      </c>
      <c r="J114" s="11">
        <v>0.0</v>
      </c>
      <c r="K114" s="11">
        <v>0.0</v>
      </c>
      <c r="L114" s="11">
        <f t="shared" si="2"/>
        <v>0</v>
      </c>
      <c r="M114" s="13" t="str">
        <f t="shared" si="3"/>
        <v/>
      </c>
      <c r="N114" s="13" t="str">
        <f t="shared" si="4"/>
        <v/>
      </c>
    </row>
    <row r="115" ht="15.75" customHeight="1">
      <c r="A115" s="11">
        <v>21902.0</v>
      </c>
      <c r="B115" s="11" t="s">
        <v>174</v>
      </c>
      <c r="C115" s="15" t="str">
        <f>IF(Datos_originales!$E115&lt;1000,"Bosque menor a 1000 ha",Datos_originales!$E115)</f>
        <v>Bosque menor a 1000 ha</v>
      </c>
      <c r="D115" s="11">
        <v>0.0</v>
      </c>
      <c r="E115" s="11">
        <v>0.0</v>
      </c>
      <c r="F115" s="11">
        <v>0.0</v>
      </c>
      <c r="G115" s="11">
        <v>0.0</v>
      </c>
      <c r="H115" s="11">
        <f t="shared" si="1"/>
        <v>0</v>
      </c>
      <c r="I115" s="11">
        <v>0.0</v>
      </c>
      <c r="J115" s="11">
        <v>0.0</v>
      </c>
      <c r="K115" s="11">
        <v>0.0</v>
      </c>
      <c r="L115" s="11">
        <f t="shared" si="2"/>
        <v>0</v>
      </c>
      <c r="M115" s="13" t="str">
        <f t="shared" si="3"/>
        <v/>
      </c>
      <c r="N115" s="13" t="str">
        <f t="shared" si="4"/>
        <v/>
      </c>
    </row>
    <row r="116" ht="15.75" customHeight="1">
      <c r="A116" s="11">
        <v>22001.0</v>
      </c>
      <c r="B116" s="11" t="s">
        <v>175</v>
      </c>
      <c r="C116" s="12">
        <f>IF(Datos_originales!$E116&lt;1000,"Bosque menor a 1000 ha",Datos_originales!$E116)</f>
        <v>141188.94</v>
      </c>
      <c r="D116" s="11">
        <v>141188.94</v>
      </c>
      <c r="E116" s="11">
        <v>387.0</v>
      </c>
      <c r="F116" s="11">
        <v>386.46</v>
      </c>
      <c r="G116" s="11">
        <v>656.91</v>
      </c>
      <c r="H116" s="11">
        <f t="shared" si="1"/>
        <v>476.79</v>
      </c>
      <c r="I116" s="11">
        <v>59.22</v>
      </c>
      <c r="J116" s="11">
        <v>6429.42</v>
      </c>
      <c r="K116" s="11">
        <v>780.12</v>
      </c>
      <c r="L116" s="11">
        <f t="shared" si="2"/>
        <v>2422.92</v>
      </c>
      <c r="M116" s="13">
        <f t="shared" si="3"/>
        <v>0.337696423</v>
      </c>
      <c r="N116" s="13">
        <f t="shared" si="4"/>
        <v>1.716083427</v>
      </c>
    </row>
    <row r="117" ht="15.75" customHeight="1">
      <c r="A117" s="11">
        <v>22002.0</v>
      </c>
      <c r="B117" s="11" t="s">
        <v>176</v>
      </c>
      <c r="C117" s="15">
        <f>IF(Datos_originales!$E117&lt;1000,"Bosque menor a 1000 ha",Datos_originales!$E117)</f>
        <v>94250.25</v>
      </c>
      <c r="D117" s="11">
        <v>94250.25</v>
      </c>
      <c r="E117" s="11">
        <v>623.43</v>
      </c>
      <c r="F117" s="11">
        <v>882.72</v>
      </c>
      <c r="G117" s="11">
        <v>1000.98</v>
      </c>
      <c r="H117" s="11">
        <f t="shared" si="1"/>
        <v>835.71</v>
      </c>
      <c r="I117" s="11">
        <v>383.13</v>
      </c>
      <c r="J117" s="11">
        <v>2332.62</v>
      </c>
      <c r="K117" s="11">
        <v>2453.94</v>
      </c>
      <c r="L117" s="11">
        <f t="shared" si="2"/>
        <v>1723.23</v>
      </c>
      <c r="M117" s="13">
        <f t="shared" si="3"/>
        <v>0.8866926082</v>
      </c>
      <c r="N117" s="13">
        <f t="shared" si="4"/>
        <v>1.828355893</v>
      </c>
    </row>
    <row r="118" ht="15.75" customHeight="1">
      <c r="A118" s="11">
        <v>30101.0</v>
      </c>
      <c r="B118" s="11" t="s">
        <v>177</v>
      </c>
      <c r="C118" s="12">
        <f>IF(Datos_originales!$E118&lt;1000,"Bosque menor a 1000 ha",Datos_originales!$E118)</f>
        <v>1554.48</v>
      </c>
      <c r="D118" s="11">
        <v>1554.48</v>
      </c>
      <c r="E118" s="11">
        <v>11.07</v>
      </c>
      <c r="F118" s="11">
        <v>15.75</v>
      </c>
      <c r="G118" s="11">
        <v>10.26</v>
      </c>
      <c r="H118" s="11">
        <f t="shared" si="1"/>
        <v>12.36</v>
      </c>
      <c r="I118" s="11">
        <v>76.32</v>
      </c>
      <c r="J118" s="11">
        <v>99.99000000000001</v>
      </c>
      <c r="K118" s="11">
        <v>7.380000000000001</v>
      </c>
      <c r="L118" s="11">
        <f t="shared" si="2"/>
        <v>61.23</v>
      </c>
      <c r="M118" s="13">
        <f t="shared" si="3"/>
        <v>0.7951211981</v>
      </c>
      <c r="N118" s="13">
        <f t="shared" si="4"/>
        <v>3.93893778</v>
      </c>
    </row>
    <row r="119" ht="15.75" customHeight="1">
      <c r="A119" s="11">
        <v>30201.0</v>
      </c>
      <c r="B119" s="11" t="s">
        <v>178</v>
      </c>
      <c r="C119" s="15">
        <f>IF(Datos_originales!$E119&lt;1000,"Bosque menor a 1000 ha",Datos_originales!$E119)</f>
        <v>64407.96</v>
      </c>
      <c r="D119" s="11">
        <v>64407.96</v>
      </c>
      <c r="E119" s="11">
        <v>65.61</v>
      </c>
      <c r="F119" s="11">
        <v>54.9</v>
      </c>
      <c r="G119" s="11">
        <v>726.3</v>
      </c>
      <c r="H119" s="11">
        <f t="shared" si="1"/>
        <v>282.27</v>
      </c>
      <c r="I119" s="11">
        <v>1.8</v>
      </c>
      <c r="J119" s="11">
        <v>46.71</v>
      </c>
      <c r="K119" s="11">
        <v>14.94</v>
      </c>
      <c r="L119" s="11">
        <f t="shared" si="2"/>
        <v>21.15</v>
      </c>
      <c r="M119" s="13">
        <f t="shared" si="3"/>
        <v>0.4382532842</v>
      </c>
      <c r="N119" s="13">
        <f t="shared" si="4"/>
        <v>0.0328375561</v>
      </c>
    </row>
    <row r="120" ht="15.75" customHeight="1">
      <c r="A120" s="11">
        <v>30202.0</v>
      </c>
      <c r="B120" s="11" t="s">
        <v>179</v>
      </c>
      <c r="C120" s="12">
        <f>IF(Datos_originales!$E120&lt;1000,"Bosque menor a 1000 ha",Datos_originales!$E120)</f>
        <v>73071.45</v>
      </c>
      <c r="D120" s="11">
        <v>73071.45</v>
      </c>
      <c r="E120" s="11">
        <v>106.2</v>
      </c>
      <c r="F120" s="11">
        <v>161.28</v>
      </c>
      <c r="G120" s="11">
        <v>1041.3</v>
      </c>
      <c r="H120" s="11">
        <f t="shared" si="1"/>
        <v>436.26</v>
      </c>
      <c r="I120" s="11">
        <v>43.83</v>
      </c>
      <c r="J120" s="11">
        <v>282.24</v>
      </c>
      <c r="K120" s="11">
        <v>142.74</v>
      </c>
      <c r="L120" s="11">
        <f t="shared" si="2"/>
        <v>156.27</v>
      </c>
      <c r="M120" s="13">
        <f t="shared" si="3"/>
        <v>0.597032083</v>
      </c>
      <c r="N120" s="13">
        <f t="shared" si="4"/>
        <v>0.2138591748</v>
      </c>
    </row>
    <row r="121" ht="15.75" customHeight="1">
      <c r="A121" s="11">
        <v>30203.0</v>
      </c>
      <c r="B121" s="11" t="s">
        <v>180</v>
      </c>
      <c r="C121" s="15">
        <f>IF(Datos_originales!$E121&lt;1000,"Bosque menor a 1000 ha",Datos_originales!$E121)</f>
        <v>13046.13</v>
      </c>
      <c r="D121" s="11">
        <v>13046.13</v>
      </c>
      <c r="E121" s="11">
        <v>5.49</v>
      </c>
      <c r="F121" s="11">
        <v>11.07</v>
      </c>
      <c r="G121" s="11">
        <v>147.96</v>
      </c>
      <c r="H121" s="11">
        <f t="shared" si="1"/>
        <v>54.84</v>
      </c>
      <c r="I121" s="11">
        <v>27.63</v>
      </c>
      <c r="J121" s="11">
        <v>39.15</v>
      </c>
      <c r="K121" s="11">
        <v>18.09</v>
      </c>
      <c r="L121" s="11">
        <f t="shared" si="2"/>
        <v>28.29</v>
      </c>
      <c r="M121" s="13">
        <f t="shared" si="3"/>
        <v>0.4203545419</v>
      </c>
      <c r="N121" s="13">
        <f t="shared" si="4"/>
        <v>0.2168459152</v>
      </c>
    </row>
    <row r="122" ht="15.75" customHeight="1">
      <c r="A122" s="11">
        <v>30301.0</v>
      </c>
      <c r="B122" s="11" t="s">
        <v>181</v>
      </c>
      <c r="C122" s="12">
        <f>IF(Datos_originales!$E122&lt;1000,"Bosque menor a 1000 ha",Datos_originales!$E122)</f>
        <v>22230.99</v>
      </c>
      <c r="D122" s="11">
        <v>22230.99</v>
      </c>
      <c r="E122" s="11">
        <v>110.25</v>
      </c>
      <c r="F122" s="11">
        <v>71.1</v>
      </c>
      <c r="G122" s="11">
        <v>247.68</v>
      </c>
      <c r="H122" s="11">
        <f t="shared" si="1"/>
        <v>143.01</v>
      </c>
      <c r="I122" s="11">
        <v>16.83</v>
      </c>
      <c r="J122" s="11">
        <v>111.15</v>
      </c>
      <c r="K122" s="11">
        <v>461.07</v>
      </c>
      <c r="L122" s="11">
        <f t="shared" si="2"/>
        <v>196.35</v>
      </c>
      <c r="M122" s="13">
        <f t="shared" si="3"/>
        <v>0.6432911895</v>
      </c>
      <c r="N122" s="13">
        <f t="shared" si="4"/>
        <v>0.883226523</v>
      </c>
    </row>
    <row r="123" ht="15.75" customHeight="1">
      <c r="A123" s="11">
        <v>30302.0</v>
      </c>
      <c r="B123" s="11" t="s">
        <v>182</v>
      </c>
      <c r="C123" s="15">
        <f>IF(Datos_originales!$E123&lt;1000,"Bosque menor a 1000 ha",Datos_originales!$E123)</f>
        <v>7965.45</v>
      </c>
      <c r="D123" s="11">
        <v>7965.449999999999</v>
      </c>
      <c r="E123" s="11">
        <v>51.75</v>
      </c>
      <c r="F123" s="11">
        <v>18.63</v>
      </c>
      <c r="G123" s="11">
        <v>98.46</v>
      </c>
      <c r="H123" s="11">
        <f t="shared" si="1"/>
        <v>56.28</v>
      </c>
      <c r="I123" s="11">
        <v>3.15</v>
      </c>
      <c r="J123" s="11">
        <v>22.5</v>
      </c>
      <c r="K123" s="11">
        <v>153.36</v>
      </c>
      <c r="L123" s="11">
        <f t="shared" si="2"/>
        <v>59.67</v>
      </c>
      <c r="M123" s="13">
        <f t="shared" si="3"/>
        <v>0.7065514189</v>
      </c>
      <c r="N123" s="13">
        <f t="shared" si="4"/>
        <v>0.7491102198</v>
      </c>
    </row>
    <row r="124" ht="15.75" customHeight="1">
      <c r="A124" s="11">
        <v>30303.0</v>
      </c>
      <c r="B124" s="11" t="s">
        <v>183</v>
      </c>
      <c r="C124" s="12">
        <f>IF(Datos_originales!$E124&lt;1000,"Bosque menor a 1000 ha",Datos_originales!$E124)</f>
        <v>527519.88</v>
      </c>
      <c r="D124" s="11">
        <v>527519.88</v>
      </c>
      <c r="E124" s="11">
        <v>661.86</v>
      </c>
      <c r="F124" s="11">
        <v>600.66</v>
      </c>
      <c r="G124" s="11">
        <v>970.38</v>
      </c>
      <c r="H124" s="11">
        <f t="shared" si="1"/>
        <v>744.3</v>
      </c>
      <c r="I124" s="11">
        <v>609.57</v>
      </c>
      <c r="J124" s="11">
        <v>2108.07</v>
      </c>
      <c r="K124" s="11">
        <v>2199.33</v>
      </c>
      <c r="L124" s="11">
        <f t="shared" si="2"/>
        <v>1638.99</v>
      </c>
      <c r="M124" s="13">
        <f t="shared" si="3"/>
        <v>0.1410942086</v>
      </c>
      <c r="N124" s="13">
        <f t="shared" si="4"/>
        <v>0.3106972954</v>
      </c>
    </row>
    <row r="125" ht="15.75" customHeight="1">
      <c r="A125" s="11">
        <v>30401.0</v>
      </c>
      <c r="B125" s="11" t="s">
        <v>184</v>
      </c>
      <c r="C125" s="15" t="str">
        <f>IF(Datos_originales!$E125&lt;1000,"Bosque menor a 1000 ha",Datos_originales!$E125)</f>
        <v>Bosque menor a 1000 ha</v>
      </c>
      <c r="D125" s="11">
        <v>496.98</v>
      </c>
      <c r="E125" s="11">
        <v>0.81</v>
      </c>
      <c r="F125" s="11">
        <v>0.72</v>
      </c>
      <c r="G125" s="11">
        <v>11.52</v>
      </c>
      <c r="H125" s="11">
        <f t="shared" si="1"/>
        <v>4.35</v>
      </c>
      <c r="I125" s="11">
        <v>0.9</v>
      </c>
      <c r="J125" s="11">
        <v>3.33</v>
      </c>
      <c r="K125" s="11">
        <v>0.09</v>
      </c>
      <c r="L125" s="11">
        <f t="shared" si="2"/>
        <v>1.44</v>
      </c>
      <c r="M125" s="13" t="str">
        <f t="shared" si="3"/>
        <v/>
      </c>
      <c r="N125" s="13" t="str">
        <f t="shared" si="4"/>
        <v/>
      </c>
    </row>
    <row r="126" ht="15.75" customHeight="1">
      <c r="A126" s="11">
        <v>30402.0</v>
      </c>
      <c r="B126" s="11" t="s">
        <v>185</v>
      </c>
      <c r="C126" s="12">
        <f>IF(Datos_originales!$E126&lt;1000,"Bosque menor a 1000 ha",Datos_originales!$E126)</f>
        <v>1961.55</v>
      </c>
      <c r="D126" s="11">
        <v>1961.55</v>
      </c>
      <c r="E126" s="11">
        <v>4.949999999999999</v>
      </c>
      <c r="F126" s="11">
        <v>3.6</v>
      </c>
      <c r="G126" s="11">
        <v>46.44</v>
      </c>
      <c r="H126" s="11">
        <f t="shared" si="1"/>
        <v>18.33</v>
      </c>
      <c r="I126" s="11">
        <v>0.63</v>
      </c>
      <c r="J126" s="11">
        <v>13.59</v>
      </c>
      <c r="K126" s="11">
        <v>0.36</v>
      </c>
      <c r="L126" s="11">
        <f t="shared" si="2"/>
        <v>4.86</v>
      </c>
      <c r="M126" s="13">
        <f t="shared" si="3"/>
        <v>0.9344650914</v>
      </c>
      <c r="N126" s="13">
        <f t="shared" si="4"/>
        <v>0.2477632485</v>
      </c>
    </row>
    <row r="127" ht="15.75" customHeight="1">
      <c r="A127" s="11">
        <v>30403.0</v>
      </c>
      <c r="B127" s="11" t="s">
        <v>186</v>
      </c>
      <c r="C127" s="15" t="str">
        <f>IF(Datos_originales!$E127&lt;1000,"Bosque menor a 1000 ha",Datos_originales!$E127)</f>
        <v>Bosque menor a 1000 ha</v>
      </c>
      <c r="D127" s="11">
        <v>0.0</v>
      </c>
      <c r="E127" s="11">
        <v>0.0</v>
      </c>
      <c r="F127" s="11">
        <v>0.0</v>
      </c>
      <c r="G127" s="11">
        <v>0.0</v>
      </c>
      <c r="H127" s="11">
        <f t="shared" si="1"/>
        <v>0</v>
      </c>
      <c r="I127" s="11">
        <v>0.0</v>
      </c>
      <c r="J127" s="11">
        <v>0.0</v>
      </c>
      <c r="K127" s="11">
        <v>0.0</v>
      </c>
      <c r="L127" s="11">
        <f t="shared" si="2"/>
        <v>0</v>
      </c>
      <c r="M127" s="13" t="str">
        <f t="shared" si="3"/>
        <v/>
      </c>
      <c r="N127" s="13" t="str">
        <f t="shared" si="4"/>
        <v/>
      </c>
    </row>
    <row r="128" ht="15.75" customHeight="1">
      <c r="A128" s="11">
        <v>30404.0</v>
      </c>
      <c r="B128" s="11" t="s">
        <v>187</v>
      </c>
      <c r="C128" s="12" t="str">
        <f>IF(Datos_originales!$E128&lt;1000,"Bosque menor a 1000 ha",Datos_originales!$E128)</f>
        <v>Bosque menor a 1000 ha</v>
      </c>
      <c r="D128" s="11">
        <v>0.0</v>
      </c>
      <c r="E128" s="11">
        <v>0.0</v>
      </c>
      <c r="F128" s="11">
        <v>0.0</v>
      </c>
      <c r="G128" s="11">
        <v>0.0</v>
      </c>
      <c r="H128" s="11">
        <f t="shared" si="1"/>
        <v>0</v>
      </c>
      <c r="I128" s="11">
        <v>0.0</v>
      </c>
      <c r="J128" s="11">
        <v>0.0</v>
      </c>
      <c r="K128" s="11">
        <v>0.0</v>
      </c>
      <c r="L128" s="11">
        <f t="shared" si="2"/>
        <v>0</v>
      </c>
      <c r="M128" s="13" t="str">
        <f t="shared" si="3"/>
        <v/>
      </c>
      <c r="N128" s="13" t="str">
        <f t="shared" si="4"/>
        <v/>
      </c>
    </row>
    <row r="129" ht="15.75" customHeight="1">
      <c r="A129" s="11">
        <v>30501.0</v>
      </c>
      <c r="B129" s="11" t="s">
        <v>188</v>
      </c>
      <c r="C129" s="15" t="str">
        <f>IF(Datos_originales!$E129&lt;1000,"Bosque menor a 1000 ha",Datos_originales!$E129)</f>
        <v>Bosque menor a 1000 ha</v>
      </c>
      <c r="D129" s="11">
        <v>321.39</v>
      </c>
      <c r="E129" s="11">
        <v>1.62</v>
      </c>
      <c r="F129" s="11">
        <v>1.35</v>
      </c>
      <c r="G129" s="11">
        <v>7.02</v>
      </c>
      <c r="H129" s="11">
        <f t="shared" si="1"/>
        <v>3.33</v>
      </c>
      <c r="I129" s="11">
        <v>3.87</v>
      </c>
      <c r="J129" s="11">
        <v>32.94</v>
      </c>
      <c r="K129" s="11">
        <v>1.44</v>
      </c>
      <c r="L129" s="11">
        <f t="shared" si="2"/>
        <v>12.75</v>
      </c>
      <c r="M129" s="13" t="str">
        <f t="shared" si="3"/>
        <v/>
      </c>
      <c r="N129" s="13" t="str">
        <f t="shared" si="4"/>
        <v/>
      </c>
    </row>
    <row r="130" ht="15.75" customHeight="1">
      <c r="A130" s="11">
        <v>30502.0</v>
      </c>
      <c r="B130" s="11" t="s">
        <v>189</v>
      </c>
      <c r="C130" s="12" t="str">
        <f>IF(Datos_originales!$E130&lt;1000,"Bosque menor a 1000 ha",Datos_originales!$E130)</f>
        <v>Bosque menor a 1000 ha</v>
      </c>
      <c r="D130" s="11">
        <v>529.38</v>
      </c>
      <c r="E130" s="11">
        <v>1.17</v>
      </c>
      <c r="F130" s="11">
        <v>1.17</v>
      </c>
      <c r="G130" s="11">
        <v>7.38</v>
      </c>
      <c r="H130" s="11">
        <f t="shared" si="1"/>
        <v>3.24</v>
      </c>
      <c r="I130" s="11">
        <v>16.65</v>
      </c>
      <c r="J130" s="11">
        <v>49.68</v>
      </c>
      <c r="K130" s="11">
        <v>0.8099999999999999</v>
      </c>
      <c r="L130" s="11">
        <f t="shared" si="2"/>
        <v>22.38</v>
      </c>
      <c r="M130" s="13" t="str">
        <f t="shared" si="3"/>
        <v/>
      </c>
      <c r="N130" s="13" t="str">
        <f t="shared" si="4"/>
        <v/>
      </c>
    </row>
    <row r="131" ht="15.75" customHeight="1">
      <c r="A131" s="11">
        <v>30601.0</v>
      </c>
      <c r="B131" s="11" t="s">
        <v>190</v>
      </c>
      <c r="C131" s="15" t="str">
        <f>IF(Datos_originales!$E131&lt;1000,"Bosque menor a 1000 ha",Datos_originales!$E131)</f>
        <v>Bosque menor a 1000 ha</v>
      </c>
      <c r="D131" s="11">
        <v>0.0</v>
      </c>
      <c r="E131" s="11">
        <v>0.0</v>
      </c>
      <c r="F131" s="11">
        <v>0.0</v>
      </c>
      <c r="G131" s="11">
        <v>0.0</v>
      </c>
      <c r="H131" s="11">
        <f t="shared" si="1"/>
        <v>0</v>
      </c>
      <c r="I131" s="11">
        <v>0.0</v>
      </c>
      <c r="J131" s="11">
        <v>0.0</v>
      </c>
      <c r="K131" s="11">
        <v>0.0</v>
      </c>
      <c r="L131" s="11">
        <f t="shared" si="2"/>
        <v>0</v>
      </c>
      <c r="M131" s="13" t="str">
        <f t="shared" si="3"/>
        <v/>
      </c>
      <c r="N131" s="13" t="str">
        <f t="shared" si="4"/>
        <v/>
      </c>
    </row>
    <row r="132" ht="15.75" customHeight="1">
      <c r="A132" s="11">
        <v>30602.0</v>
      </c>
      <c r="B132" s="11" t="s">
        <v>191</v>
      </c>
      <c r="C132" s="12" t="str">
        <f>IF(Datos_originales!$E132&lt;1000,"Bosque menor a 1000 ha",Datos_originales!$E132)</f>
        <v>Bosque menor a 1000 ha</v>
      </c>
      <c r="D132" s="11">
        <v>0.0</v>
      </c>
      <c r="E132" s="11">
        <v>0.0</v>
      </c>
      <c r="F132" s="11">
        <v>0.0</v>
      </c>
      <c r="G132" s="11">
        <v>0.0</v>
      </c>
      <c r="H132" s="11">
        <f t="shared" si="1"/>
        <v>0</v>
      </c>
      <c r="I132" s="11">
        <v>0.0</v>
      </c>
      <c r="J132" s="11">
        <v>0.0</v>
      </c>
      <c r="K132" s="11">
        <v>0.0</v>
      </c>
      <c r="L132" s="11">
        <f t="shared" si="2"/>
        <v>0</v>
      </c>
      <c r="M132" s="13" t="str">
        <f t="shared" si="3"/>
        <v/>
      </c>
      <c r="N132" s="13" t="str">
        <f t="shared" si="4"/>
        <v/>
      </c>
    </row>
    <row r="133" ht="15.75" customHeight="1">
      <c r="A133" s="11">
        <v>30701.0</v>
      </c>
      <c r="B133" s="11" t="s">
        <v>192</v>
      </c>
      <c r="C133" s="15" t="str">
        <f>IF(Datos_originales!$E133&lt;1000,"Bosque menor a 1000 ha",Datos_originales!$E133)</f>
        <v>Bosque menor a 1000 ha</v>
      </c>
      <c r="D133" s="11">
        <v>571.14</v>
      </c>
      <c r="E133" s="11">
        <v>0.81</v>
      </c>
      <c r="F133" s="11">
        <v>3.96</v>
      </c>
      <c r="G133" s="11">
        <v>10.71</v>
      </c>
      <c r="H133" s="11">
        <f t="shared" si="1"/>
        <v>5.16</v>
      </c>
      <c r="I133" s="11">
        <v>22.32</v>
      </c>
      <c r="J133" s="11">
        <v>19.26</v>
      </c>
      <c r="K133" s="11">
        <v>1.53</v>
      </c>
      <c r="L133" s="11">
        <f t="shared" si="2"/>
        <v>14.37</v>
      </c>
      <c r="M133" s="13" t="str">
        <f t="shared" si="3"/>
        <v/>
      </c>
      <c r="N133" s="13" t="str">
        <f t="shared" si="4"/>
        <v/>
      </c>
    </row>
    <row r="134" ht="15.75" customHeight="1">
      <c r="A134" s="11">
        <v>30702.0</v>
      </c>
      <c r="B134" s="11" t="s">
        <v>193</v>
      </c>
      <c r="C134" s="12">
        <f>IF(Datos_originales!$E134&lt;1000,"Bosque menor a 1000 ha",Datos_originales!$E134)</f>
        <v>1261.35</v>
      </c>
      <c r="D134" s="11">
        <v>1261.35</v>
      </c>
      <c r="E134" s="11">
        <v>0.72</v>
      </c>
      <c r="F134" s="11">
        <v>1.17</v>
      </c>
      <c r="G134" s="11">
        <v>30.33</v>
      </c>
      <c r="H134" s="11">
        <f t="shared" si="1"/>
        <v>10.74</v>
      </c>
      <c r="I134" s="11">
        <v>9.9</v>
      </c>
      <c r="J134" s="11">
        <v>6.66</v>
      </c>
      <c r="K134" s="11">
        <v>0.18</v>
      </c>
      <c r="L134" s="11">
        <f t="shared" si="2"/>
        <v>5.58</v>
      </c>
      <c r="M134" s="13">
        <f t="shared" si="3"/>
        <v>0.8514686645</v>
      </c>
      <c r="N134" s="13">
        <f t="shared" si="4"/>
        <v>0.4423831609</v>
      </c>
    </row>
    <row r="135" ht="15.75" customHeight="1">
      <c r="A135" s="11">
        <v>30703.0</v>
      </c>
      <c r="B135" s="11" t="s">
        <v>194</v>
      </c>
      <c r="C135" s="15" t="str">
        <f>IF(Datos_originales!$E135&lt;1000,"Bosque menor a 1000 ha",Datos_originales!$E135)</f>
        <v>Bosque menor a 1000 ha</v>
      </c>
      <c r="D135" s="11">
        <v>0.0</v>
      </c>
      <c r="E135" s="11">
        <v>0.0</v>
      </c>
      <c r="F135" s="11">
        <v>0.0</v>
      </c>
      <c r="G135" s="11">
        <v>0.0</v>
      </c>
      <c r="H135" s="11">
        <f t="shared" si="1"/>
        <v>0</v>
      </c>
      <c r="I135" s="11">
        <v>0.0</v>
      </c>
      <c r="J135" s="11">
        <v>0.0</v>
      </c>
      <c r="K135" s="11">
        <v>0.0</v>
      </c>
      <c r="L135" s="11">
        <f t="shared" si="2"/>
        <v>0</v>
      </c>
      <c r="M135" s="13" t="str">
        <f t="shared" si="3"/>
        <v/>
      </c>
      <c r="N135" s="13" t="str">
        <f t="shared" si="4"/>
        <v/>
      </c>
    </row>
    <row r="136" ht="15.75" customHeight="1">
      <c r="A136" s="11">
        <v>30801.0</v>
      </c>
      <c r="B136" s="11" t="s">
        <v>195</v>
      </c>
      <c r="C136" s="12" t="str">
        <f>IF(Datos_originales!$E136&lt;1000,"Bosque menor a 1000 ha",Datos_originales!$E136)</f>
        <v>Bosque menor a 1000 ha</v>
      </c>
      <c r="D136" s="11">
        <v>0.0</v>
      </c>
      <c r="E136" s="11">
        <v>0.0</v>
      </c>
      <c r="F136" s="11">
        <v>0.0</v>
      </c>
      <c r="G136" s="11">
        <v>0.0</v>
      </c>
      <c r="H136" s="11">
        <f t="shared" si="1"/>
        <v>0</v>
      </c>
      <c r="I136" s="11">
        <v>0.0</v>
      </c>
      <c r="J136" s="11">
        <v>0.0</v>
      </c>
      <c r="K136" s="11">
        <v>0.0</v>
      </c>
      <c r="L136" s="11">
        <f t="shared" si="2"/>
        <v>0</v>
      </c>
      <c r="M136" s="13" t="str">
        <f t="shared" si="3"/>
        <v/>
      </c>
      <c r="N136" s="13" t="str">
        <f t="shared" si="4"/>
        <v/>
      </c>
    </row>
    <row r="137" ht="15.75" customHeight="1">
      <c r="A137" s="11">
        <v>30802.0</v>
      </c>
      <c r="B137" s="11" t="s">
        <v>196</v>
      </c>
      <c r="C137" s="15" t="str">
        <f>IF(Datos_originales!$E137&lt;1000,"Bosque menor a 1000 ha",Datos_originales!$E137)</f>
        <v>Bosque menor a 1000 ha</v>
      </c>
      <c r="D137" s="11">
        <v>0.0</v>
      </c>
      <c r="E137" s="11">
        <v>0.0</v>
      </c>
      <c r="F137" s="11">
        <v>0.0</v>
      </c>
      <c r="G137" s="11">
        <v>0.0</v>
      </c>
      <c r="H137" s="11">
        <f t="shared" si="1"/>
        <v>0</v>
      </c>
      <c r="I137" s="11">
        <v>0.0</v>
      </c>
      <c r="J137" s="11">
        <v>0.0</v>
      </c>
      <c r="K137" s="11">
        <v>0.0</v>
      </c>
      <c r="L137" s="11">
        <f t="shared" si="2"/>
        <v>0</v>
      </c>
      <c r="M137" s="13" t="str">
        <f t="shared" si="3"/>
        <v/>
      </c>
      <c r="N137" s="13" t="str">
        <f t="shared" si="4"/>
        <v/>
      </c>
    </row>
    <row r="138" ht="15.75" customHeight="1">
      <c r="A138" s="11">
        <v>30803.0</v>
      </c>
      <c r="B138" s="11" t="s">
        <v>197</v>
      </c>
      <c r="C138" s="12" t="str">
        <f>IF(Datos_originales!$E138&lt;1000,"Bosque menor a 1000 ha",Datos_originales!$E138)</f>
        <v>Bosque menor a 1000 ha</v>
      </c>
      <c r="D138" s="11">
        <v>0.0</v>
      </c>
      <c r="E138" s="11">
        <v>0.0</v>
      </c>
      <c r="F138" s="11">
        <v>0.0</v>
      </c>
      <c r="G138" s="11">
        <v>0.0</v>
      </c>
      <c r="H138" s="11">
        <f t="shared" si="1"/>
        <v>0</v>
      </c>
      <c r="I138" s="11">
        <v>0.0</v>
      </c>
      <c r="J138" s="11">
        <v>0.0</v>
      </c>
      <c r="K138" s="11">
        <v>0.0</v>
      </c>
      <c r="L138" s="11">
        <f t="shared" si="2"/>
        <v>0</v>
      </c>
      <c r="M138" s="13" t="str">
        <f t="shared" si="3"/>
        <v/>
      </c>
      <c r="N138" s="13" t="str">
        <f t="shared" si="4"/>
        <v/>
      </c>
    </row>
    <row r="139" ht="15.75" customHeight="1">
      <c r="A139" s="11">
        <v>30901.0</v>
      </c>
      <c r="B139" s="11" t="s">
        <v>198</v>
      </c>
      <c r="C139" s="15">
        <f>IF(Datos_originales!$E139&lt;1000,"Bosque menor a 1000 ha",Datos_originales!$E139)</f>
        <v>1477.98</v>
      </c>
      <c r="D139" s="11">
        <v>1477.98</v>
      </c>
      <c r="E139" s="11">
        <v>7.47</v>
      </c>
      <c r="F139" s="11">
        <v>9.72</v>
      </c>
      <c r="G139" s="11">
        <v>22.05</v>
      </c>
      <c r="H139" s="11">
        <f t="shared" si="1"/>
        <v>13.08</v>
      </c>
      <c r="I139" s="11">
        <v>154.26</v>
      </c>
      <c r="J139" s="11">
        <v>149.49</v>
      </c>
      <c r="K139" s="11">
        <v>1.8</v>
      </c>
      <c r="L139" s="11">
        <f t="shared" si="2"/>
        <v>101.85</v>
      </c>
      <c r="M139" s="13">
        <f t="shared" si="3"/>
        <v>0.8849916778</v>
      </c>
      <c r="N139" s="13">
        <f t="shared" si="4"/>
        <v>6.891162262</v>
      </c>
    </row>
    <row r="140" ht="15.75" customHeight="1">
      <c r="A140" s="11">
        <v>30902.0</v>
      </c>
      <c r="B140" s="11" t="s">
        <v>199</v>
      </c>
      <c r="C140" s="12">
        <f>IF(Datos_originales!$E140&lt;1000,"Bosque menor a 1000 ha",Datos_originales!$E140)</f>
        <v>1239.75</v>
      </c>
      <c r="D140" s="11">
        <v>1239.75</v>
      </c>
      <c r="E140" s="11">
        <v>1.44</v>
      </c>
      <c r="F140" s="11">
        <v>3.24</v>
      </c>
      <c r="G140" s="11">
        <v>17.28</v>
      </c>
      <c r="H140" s="11">
        <f t="shared" si="1"/>
        <v>7.32</v>
      </c>
      <c r="I140" s="11">
        <v>72.44999999999999</v>
      </c>
      <c r="J140" s="11">
        <v>75.42</v>
      </c>
      <c r="K140" s="11">
        <v>3.42</v>
      </c>
      <c r="L140" s="11">
        <f t="shared" si="2"/>
        <v>50.43</v>
      </c>
      <c r="M140" s="13">
        <f t="shared" si="3"/>
        <v>0.5904416213</v>
      </c>
      <c r="N140" s="13">
        <f t="shared" si="4"/>
        <v>4.067755596</v>
      </c>
    </row>
    <row r="141" ht="15.75" customHeight="1">
      <c r="A141" s="11">
        <v>30903.0</v>
      </c>
      <c r="B141" s="11" t="s">
        <v>200</v>
      </c>
      <c r="C141" s="15">
        <f>IF(Datos_originales!$E141&lt;1000,"Bosque menor a 1000 ha",Datos_originales!$E141)</f>
        <v>1077.12</v>
      </c>
      <c r="D141" s="11">
        <v>1077.12</v>
      </c>
      <c r="E141" s="11">
        <v>4.41</v>
      </c>
      <c r="F141" s="11">
        <v>9.45</v>
      </c>
      <c r="G141" s="11">
        <v>21.24</v>
      </c>
      <c r="H141" s="11">
        <f t="shared" si="1"/>
        <v>11.7</v>
      </c>
      <c r="I141" s="11">
        <v>179.82</v>
      </c>
      <c r="J141" s="11">
        <v>225.18</v>
      </c>
      <c r="K141" s="11">
        <v>3.78</v>
      </c>
      <c r="L141" s="11">
        <f t="shared" si="2"/>
        <v>136.26</v>
      </c>
      <c r="M141" s="13">
        <f t="shared" si="3"/>
        <v>1.086229947</v>
      </c>
      <c r="N141" s="13">
        <f t="shared" si="4"/>
        <v>12.65040107</v>
      </c>
    </row>
    <row r="142" ht="15.75" customHeight="1">
      <c r="A142" s="11">
        <v>30904.0</v>
      </c>
      <c r="B142" s="11" t="s">
        <v>201</v>
      </c>
      <c r="C142" s="12">
        <f>IF(Datos_originales!$E142&lt;1000,"Bosque menor a 1000 ha",Datos_originales!$E142)</f>
        <v>1631.61</v>
      </c>
      <c r="D142" s="11">
        <v>1631.61</v>
      </c>
      <c r="E142" s="11">
        <v>2.97</v>
      </c>
      <c r="F142" s="11">
        <v>12.06</v>
      </c>
      <c r="G142" s="11">
        <v>24.12</v>
      </c>
      <c r="H142" s="11">
        <f t="shared" si="1"/>
        <v>13.05</v>
      </c>
      <c r="I142" s="11">
        <v>140.94</v>
      </c>
      <c r="J142" s="11">
        <v>133.92</v>
      </c>
      <c r="K142" s="11">
        <v>3.87</v>
      </c>
      <c r="L142" s="11">
        <f t="shared" si="2"/>
        <v>92.91</v>
      </c>
      <c r="M142" s="13">
        <f t="shared" si="3"/>
        <v>0.7998234872</v>
      </c>
      <c r="N142" s="13">
        <f t="shared" si="4"/>
        <v>5.694375494</v>
      </c>
    </row>
    <row r="143" ht="15.75" customHeight="1">
      <c r="A143" s="11">
        <v>30905.0</v>
      </c>
      <c r="B143" s="11" t="s">
        <v>202</v>
      </c>
      <c r="C143" s="15" t="str">
        <f>IF(Datos_originales!$E143&lt;1000,"Bosque menor a 1000 ha",Datos_originales!$E143)</f>
        <v>Bosque menor a 1000 ha</v>
      </c>
      <c r="D143" s="11">
        <v>340.92</v>
      </c>
      <c r="E143" s="11">
        <v>1.53</v>
      </c>
      <c r="F143" s="11">
        <v>3.87</v>
      </c>
      <c r="G143" s="11">
        <v>3.87</v>
      </c>
      <c r="H143" s="11">
        <f t="shared" si="1"/>
        <v>3.09</v>
      </c>
      <c r="I143" s="11">
        <v>82.62</v>
      </c>
      <c r="J143" s="11">
        <v>80.55</v>
      </c>
      <c r="K143" s="11">
        <v>0.54</v>
      </c>
      <c r="L143" s="11">
        <f t="shared" si="2"/>
        <v>54.57</v>
      </c>
      <c r="M143" s="13" t="str">
        <f t="shared" si="3"/>
        <v/>
      </c>
      <c r="N143" s="13" t="str">
        <f t="shared" si="4"/>
        <v/>
      </c>
    </row>
    <row r="144" ht="15.75" customHeight="1">
      <c r="A144" s="11">
        <v>31001.0</v>
      </c>
      <c r="B144" s="11" t="s">
        <v>203</v>
      </c>
      <c r="C144" s="12">
        <f>IF(Datos_originales!$E144&lt;1000,"Bosque menor a 1000 ha",Datos_originales!$E144)</f>
        <v>1583.91</v>
      </c>
      <c r="D144" s="11">
        <v>1583.91</v>
      </c>
      <c r="E144" s="11">
        <v>12.42</v>
      </c>
      <c r="F144" s="11">
        <v>14.31</v>
      </c>
      <c r="G144" s="11">
        <v>38.43</v>
      </c>
      <c r="H144" s="11">
        <f t="shared" si="1"/>
        <v>21.72</v>
      </c>
      <c r="I144" s="11">
        <v>44.46</v>
      </c>
      <c r="J144" s="11">
        <v>184.23</v>
      </c>
      <c r="K144" s="11">
        <v>4.41</v>
      </c>
      <c r="L144" s="11">
        <f t="shared" si="2"/>
        <v>77.7</v>
      </c>
      <c r="M144" s="13">
        <f t="shared" si="3"/>
        <v>1.371290035</v>
      </c>
      <c r="N144" s="13">
        <f t="shared" si="4"/>
        <v>4.905581757</v>
      </c>
    </row>
    <row r="145" ht="15.75" customHeight="1">
      <c r="A145" s="11">
        <v>31002.0</v>
      </c>
      <c r="B145" s="11" t="s">
        <v>204</v>
      </c>
      <c r="C145" s="15">
        <f>IF(Datos_originales!$E145&lt;1000,"Bosque menor a 1000 ha",Datos_originales!$E145)</f>
        <v>15156.63</v>
      </c>
      <c r="D145" s="11">
        <v>15156.63</v>
      </c>
      <c r="E145" s="11">
        <v>139.14</v>
      </c>
      <c r="F145" s="11">
        <v>133.38</v>
      </c>
      <c r="G145" s="11">
        <v>134.01</v>
      </c>
      <c r="H145" s="11">
        <f t="shared" si="1"/>
        <v>135.51</v>
      </c>
      <c r="I145" s="11">
        <v>178.83</v>
      </c>
      <c r="J145" s="11">
        <v>542.97</v>
      </c>
      <c r="K145" s="11">
        <v>60.21</v>
      </c>
      <c r="L145" s="11">
        <f t="shared" si="2"/>
        <v>260.67</v>
      </c>
      <c r="M145" s="13">
        <f t="shared" si="3"/>
        <v>0.8940641818</v>
      </c>
      <c r="N145" s="13">
        <f t="shared" si="4"/>
        <v>1.719841416</v>
      </c>
    </row>
    <row r="146" ht="15.75" customHeight="1">
      <c r="A146" s="11">
        <v>31003.0</v>
      </c>
      <c r="B146" s="11" t="s">
        <v>205</v>
      </c>
      <c r="C146" s="12">
        <f>IF(Datos_originales!$E146&lt;1000,"Bosque menor a 1000 ha",Datos_originales!$E146)</f>
        <v>816866.01</v>
      </c>
      <c r="D146" s="11">
        <v>816866.01</v>
      </c>
      <c r="E146" s="11">
        <v>8904.689999999999</v>
      </c>
      <c r="F146" s="11">
        <v>6814.62</v>
      </c>
      <c r="G146" s="11">
        <v>6939.719999999999</v>
      </c>
      <c r="H146" s="11">
        <f t="shared" si="1"/>
        <v>7553.01</v>
      </c>
      <c r="I146" s="11">
        <v>2427.21</v>
      </c>
      <c r="J146" s="11">
        <v>14354.73</v>
      </c>
      <c r="K146" s="11">
        <v>9591.57</v>
      </c>
      <c r="L146" s="11">
        <f t="shared" si="2"/>
        <v>8791.17</v>
      </c>
      <c r="M146" s="13">
        <f t="shared" si="3"/>
        <v>0.9246326702</v>
      </c>
      <c r="N146" s="13">
        <f t="shared" si="4"/>
        <v>1.0762071</v>
      </c>
    </row>
    <row r="147" ht="15.75" customHeight="1">
      <c r="A147" s="11">
        <v>31101.0</v>
      </c>
      <c r="B147" s="11" t="s">
        <v>206</v>
      </c>
      <c r="C147" s="15" t="str">
        <f>IF(Datos_originales!$E147&lt;1000,"Bosque menor a 1000 ha",Datos_originales!$E147)</f>
        <v>Bosque menor a 1000 ha</v>
      </c>
      <c r="D147" s="11">
        <v>869.04</v>
      </c>
      <c r="E147" s="11">
        <v>1.62</v>
      </c>
      <c r="F147" s="11">
        <v>0.9</v>
      </c>
      <c r="G147" s="11">
        <v>26.1</v>
      </c>
      <c r="H147" s="11">
        <f t="shared" si="1"/>
        <v>9.54</v>
      </c>
      <c r="I147" s="11">
        <v>3.06</v>
      </c>
      <c r="J147" s="11">
        <v>8.28</v>
      </c>
      <c r="K147" s="11">
        <v>4.77</v>
      </c>
      <c r="L147" s="11">
        <f t="shared" si="2"/>
        <v>5.37</v>
      </c>
      <c r="M147" s="13" t="str">
        <f t="shared" si="3"/>
        <v/>
      </c>
      <c r="N147" s="13" t="str">
        <f t="shared" si="4"/>
        <v/>
      </c>
    </row>
    <row r="148" ht="15.75" customHeight="1">
      <c r="A148" s="11">
        <v>31201.0</v>
      </c>
      <c r="B148" s="11" t="s">
        <v>207</v>
      </c>
      <c r="C148" s="12">
        <f>IF(Datos_originales!$E148&lt;1000,"Bosque menor a 1000 ha",Datos_originales!$E148)</f>
        <v>112411.35</v>
      </c>
      <c r="D148" s="11">
        <v>112411.35</v>
      </c>
      <c r="E148" s="11">
        <v>555.39</v>
      </c>
      <c r="F148" s="11">
        <v>316.8</v>
      </c>
      <c r="G148" s="11">
        <v>531.1800000000001</v>
      </c>
      <c r="H148" s="11">
        <f t="shared" si="1"/>
        <v>467.79</v>
      </c>
      <c r="I148" s="11">
        <v>253.35</v>
      </c>
      <c r="J148" s="11">
        <v>780.12</v>
      </c>
      <c r="K148" s="11">
        <v>157.77</v>
      </c>
      <c r="L148" s="11">
        <f t="shared" si="2"/>
        <v>397.08</v>
      </c>
      <c r="M148" s="13">
        <f t="shared" si="3"/>
        <v>0.4161412526</v>
      </c>
      <c r="N148" s="13">
        <f t="shared" si="4"/>
        <v>0.3532383518</v>
      </c>
    </row>
    <row r="149" ht="15.75" customHeight="1">
      <c r="A149" s="11">
        <v>31202.0</v>
      </c>
      <c r="B149" s="11" t="s">
        <v>208</v>
      </c>
      <c r="C149" s="15">
        <f>IF(Datos_originales!$E149&lt;1000,"Bosque menor a 1000 ha",Datos_originales!$E149)</f>
        <v>166000.68</v>
      </c>
      <c r="D149" s="11">
        <v>166000.68</v>
      </c>
      <c r="E149" s="11">
        <v>558.0899999999999</v>
      </c>
      <c r="F149" s="11">
        <v>357.21</v>
      </c>
      <c r="G149" s="11">
        <v>497.97</v>
      </c>
      <c r="H149" s="11">
        <f t="shared" si="1"/>
        <v>471.09</v>
      </c>
      <c r="I149" s="11">
        <v>220.68</v>
      </c>
      <c r="J149" s="11">
        <v>661.32</v>
      </c>
      <c r="K149" s="11">
        <v>113.49</v>
      </c>
      <c r="L149" s="11">
        <f t="shared" si="2"/>
        <v>331.83</v>
      </c>
      <c r="M149" s="13">
        <f t="shared" si="3"/>
        <v>0.2837879941</v>
      </c>
      <c r="N149" s="13">
        <f t="shared" si="4"/>
        <v>0.1998967715</v>
      </c>
    </row>
    <row r="150" ht="15.75" customHeight="1">
      <c r="A150" s="11">
        <v>31203.0</v>
      </c>
      <c r="B150" s="11" t="s">
        <v>209</v>
      </c>
      <c r="C150" s="12">
        <f>IF(Datos_originales!$E150&lt;1000,"Bosque menor a 1000 ha",Datos_originales!$E150)</f>
        <v>10098.81</v>
      </c>
      <c r="D150" s="11">
        <v>10098.81</v>
      </c>
      <c r="E150" s="11">
        <v>22.95</v>
      </c>
      <c r="F150" s="11">
        <v>19.08</v>
      </c>
      <c r="G150" s="11">
        <v>167.85</v>
      </c>
      <c r="H150" s="11">
        <f t="shared" si="1"/>
        <v>69.96</v>
      </c>
      <c r="I150" s="11">
        <v>32.31</v>
      </c>
      <c r="J150" s="11">
        <v>322.02</v>
      </c>
      <c r="K150" s="11">
        <v>17.91</v>
      </c>
      <c r="L150" s="11">
        <f t="shared" si="2"/>
        <v>124.08</v>
      </c>
      <c r="M150" s="13">
        <f t="shared" si="3"/>
        <v>0.6927548889</v>
      </c>
      <c r="N150" s="13">
        <f t="shared" si="4"/>
        <v>1.228659614</v>
      </c>
    </row>
    <row r="151" ht="15.75" customHeight="1">
      <c r="A151" s="11">
        <v>31204.0</v>
      </c>
      <c r="B151" s="11" t="s">
        <v>210</v>
      </c>
      <c r="C151" s="15">
        <f>IF(Datos_originales!$E151&lt;1000,"Bosque menor a 1000 ha",Datos_originales!$E151)</f>
        <v>207111.51</v>
      </c>
      <c r="D151" s="11">
        <v>207111.51</v>
      </c>
      <c r="E151" s="11">
        <v>3354.48</v>
      </c>
      <c r="F151" s="11">
        <v>2905.38</v>
      </c>
      <c r="G151" s="11">
        <v>3168.72</v>
      </c>
      <c r="H151" s="11">
        <f t="shared" si="1"/>
        <v>3142.86</v>
      </c>
      <c r="I151" s="11">
        <v>565.47</v>
      </c>
      <c r="J151" s="11">
        <v>2681.46</v>
      </c>
      <c r="K151" s="11">
        <v>4749.75</v>
      </c>
      <c r="L151" s="11">
        <f t="shared" si="2"/>
        <v>2665.56</v>
      </c>
      <c r="M151" s="13">
        <f t="shared" si="3"/>
        <v>1.517472399</v>
      </c>
      <c r="N151" s="13">
        <f t="shared" si="4"/>
        <v>1.287016835</v>
      </c>
    </row>
    <row r="152" ht="15.75" customHeight="1">
      <c r="A152" s="11">
        <v>31205.0</v>
      </c>
      <c r="B152" s="11" t="s">
        <v>211</v>
      </c>
      <c r="C152" s="12">
        <f>IF(Datos_originales!$E152&lt;1000,"Bosque menor a 1000 ha",Datos_originales!$E152)</f>
        <v>123398.37</v>
      </c>
      <c r="D152" s="11">
        <v>123398.37</v>
      </c>
      <c r="E152" s="11">
        <v>1999.89</v>
      </c>
      <c r="F152" s="11">
        <v>1995.48</v>
      </c>
      <c r="G152" s="11">
        <v>2780.73</v>
      </c>
      <c r="H152" s="11">
        <f t="shared" si="1"/>
        <v>2258.7</v>
      </c>
      <c r="I152" s="11">
        <v>580.77</v>
      </c>
      <c r="J152" s="11">
        <v>3755.79</v>
      </c>
      <c r="K152" s="11">
        <v>2308.59</v>
      </c>
      <c r="L152" s="11">
        <f t="shared" si="2"/>
        <v>2215.05</v>
      </c>
      <c r="M152" s="13">
        <f t="shared" si="3"/>
        <v>1.830413157</v>
      </c>
      <c r="N152" s="13">
        <f t="shared" si="4"/>
        <v>1.795039918</v>
      </c>
    </row>
    <row r="153" ht="15.75" customHeight="1">
      <c r="A153" s="11">
        <v>31206.0</v>
      </c>
      <c r="B153" s="11" t="s">
        <v>212</v>
      </c>
      <c r="C153" s="15">
        <f>IF(Datos_originales!$E153&lt;1000,"Bosque menor a 1000 ha",Datos_originales!$E153)</f>
        <v>171517.41</v>
      </c>
      <c r="D153" s="11">
        <v>171517.41</v>
      </c>
      <c r="E153" s="11">
        <v>2471.31</v>
      </c>
      <c r="F153" s="11">
        <v>1616.58</v>
      </c>
      <c r="G153" s="11">
        <v>1980.09</v>
      </c>
      <c r="H153" s="11">
        <f t="shared" si="1"/>
        <v>2022.66</v>
      </c>
      <c r="I153" s="11">
        <v>347.67</v>
      </c>
      <c r="J153" s="11">
        <v>3510.54</v>
      </c>
      <c r="K153" s="11">
        <v>2345.85</v>
      </c>
      <c r="L153" s="11">
        <f t="shared" si="2"/>
        <v>2068.02</v>
      </c>
      <c r="M153" s="13">
        <f t="shared" si="3"/>
        <v>1.179273871</v>
      </c>
      <c r="N153" s="13">
        <f t="shared" si="4"/>
        <v>1.205720166</v>
      </c>
    </row>
    <row r="154" ht="15.75" customHeight="1">
      <c r="A154" s="11">
        <v>31301.0</v>
      </c>
      <c r="B154" s="11" t="s">
        <v>213</v>
      </c>
      <c r="C154" s="12">
        <f>IF(Datos_originales!$E154&lt;1000,"Bosque menor a 1000 ha",Datos_originales!$E154)</f>
        <v>18117.72</v>
      </c>
      <c r="D154" s="11">
        <v>18117.72</v>
      </c>
      <c r="E154" s="11">
        <v>20.25</v>
      </c>
      <c r="F154" s="11">
        <v>26.82</v>
      </c>
      <c r="G154" s="11">
        <v>246.15</v>
      </c>
      <c r="H154" s="11">
        <f t="shared" si="1"/>
        <v>97.74</v>
      </c>
      <c r="I154" s="11">
        <v>8.28</v>
      </c>
      <c r="J154" s="11">
        <v>67.23</v>
      </c>
      <c r="K154" s="11">
        <v>8.46</v>
      </c>
      <c r="L154" s="11">
        <f t="shared" si="2"/>
        <v>27.99</v>
      </c>
      <c r="M154" s="13">
        <f t="shared" si="3"/>
        <v>0.5394718541</v>
      </c>
      <c r="N154" s="13">
        <f t="shared" si="4"/>
        <v>0.1544896378</v>
      </c>
    </row>
    <row r="155" ht="15.75" customHeight="1">
      <c r="A155" s="11">
        <v>31302.0</v>
      </c>
      <c r="B155" s="11" t="s">
        <v>214</v>
      </c>
      <c r="C155" s="15">
        <f>IF(Datos_originales!$E155&lt;1000,"Bosque menor a 1000 ha",Datos_originales!$E155)</f>
        <v>4788.45</v>
      </c>
      <c r="D155" s="11">
        <v>4788.45</v>
      </c>
      <c r="E155" s="11">
        <v>11.52</v>
      </c>
      <c r="F155" s="11">
        <v>17.73</v>
      </c>
      <c r="G155" s="11">
        <v>78.39</v>
      </c>
      <c r="H155" s="11">
        <f t="shared" si="1"/>
        <v>35.88</v>
      </c>
      <c r="I155" s="11">
        <v>5.67</v>
      </c>
      <c r="J155" s="11">
        <v>31.23</v>
      </c>
      <c r="K155" s="11">
        <v>0.36</v>
      </c>
      <c r="L155" s="11">
        <f t="shared" si="2"/>
        <v>12.42</v>
      </c>
      <c r="M155" s="13">
        <f t="shared" si="3"/>
        <v>0.7493030104</v>
      </c>
      <c r="N155" s="13">
        <f t="shared" si="4"/>
        <v>0.259374119</v>
      </c>
    </row>
    <row r="156" ht="15.75" customHeight="1">
      <c r="A156" s="11">
        <v>31303.0</v>
      </c>
      <c r="B156" s="11" t="s">
        <v>215</v>
      </c>
      <c r="C156" s="12" t="str">
        <f>IF(Datos_originales!$E156&lt;1000,"Bosque menor a 1000 ha",Datos_originales!$E156)</f>
        <v>Bosque menor a 1000 ha</v>
      </c>
      <c r="D156" s="11">
        <v>688.14</v>
      </c>
      <c r="E156" s="11">
        <v>1.26</v>
      </c>
      <c r="F156" s="11">
        <v>2.43</v>
      </c>
      <c r="G156" s="11">
        <v>13.41</v>
      </c>
      <c r="H156" s="11">
        <f t="shared" si="1"/>
        <v>5.7</v>
      </c>
      <c r="I156" s="11">
        <v>2.43</v>
      </c>
      <c r="J156" s="11">
        <v>28.62</v>
      </c>
      <c r="K156" s="11">
        <v>0.18</v>
      </c>
      <c r="L156" s="11">
        <f t="shared" si="2"/>
        <v>10.41</v>
      </c>
      <c r="M156" s="13" t="str">
        <f t="shared" si="3"/>
        <v/>
      </c>
      <c r="N156" s="13" t="str">
        <f t="shared" si="4"/>
        <v/>
      </c>
    </row>
    <row r="157" ht="15.75" customHeight="1">
      <c r="A157" s="11">
        <v>31304.0</v>
      </c>
      <c r="B157" s="11" t="s">
        <v>216</v>
      </c>
      <c r="C157" s="15">
        <f>IF(Datos_originales!$E157&lt;1000,"Bosque menor a 1000 ha",Datos_originales!$E157)</f>
        <v>10414.53</v>
      </c>
      <c r="D157" s="11">
        <v>10414.53</v>
      </c>
      <c r="E157" s="11">
        <v>9.0</v>
      </c>
      <c r="F157" s="11">
        <v>11.52</v>
      </c>
      <c r="G157" s="11">
        <v>93.69</v>
      </c>
      <c r="H157" s="11">
        <f t="shared" si="1"/>
        <v>38.07</v>
      </c>
      <c r="I157" s="11">
        <v>0.36</v>
      </c>
      <c r="J157" s="11">
        <v>9.99</v>
      </c>
      <c r="K157" s="11">
        <v>14.94</v>
      </c>
      <c r="L157" s="11">
        <f t="shared" si="2"/>
        <v>8.43</v>
      </c>
      <c r="M157" s="13">
        <f t="shared" si="3"/>
        <v>0.365546981</v>
      </c>
      <c r="N157" s="13">
        <f t="shared" si="4"/>
        <v>0.08094460336</v>
      </c>
    </row>
    <row r="158" ht="15.75" customHeight="1">
      <c r="A158" s="11">
        <v>31401.0</v>
      </c>
      <c r="B158" s="11" t="s">
        <v>217</v>
      </c>
      <c r="C158" s="12" t="str">
        <f>IF(Datos_originales!$E158&lt;1000,"Bosque menor a 1000 ha",Datos_originales!$E158)</f>
        <v>Bosque menor a 1000 ha</v>
      </c>
      <c r="D158" s="11">
        <v>0.0</v>
      </c>
      <c r="E158" s="11">
        <v>0.0</v>
      </c>
      <c r="F158" s="11">
        <v>0.0</v>
      </c>
      <c r="G158" s="11">
        <v>0.0</v>
      </c>
      <c r="H158" s="11">
        <f t="shared" si="1"/>
        <v>0</v>
      </c>
      <c r="I158" s="11">
        <v>0.0</v>
      </c>
      <c r="J158" s="11">
        <v>0.0</v>
      </c>
      <c r="K158" s="11">
        <v>0.0</v>
      </c>
      <c r="L158" s="11">
        <f t="shared" si="2"/>
        <v>0</v>
      </c>
      <c r="M158" s="13" t="str">
        <f t="shared" si="3"/>
        <v/>
      </c>
      <c r="N158" s="13" t="str">
        <f t="shared" si="4"/>
        <v/>
      </c>
    </row>
    <row r="159" ht="15.75" customHeight="1">
      <c r="A159" s="11">
        <v>31402.0</v>
      </c>
      <c r="B159" s="11" t="s">
        <v>218</v>
      </c>
      <c r="C159" s="15" t="str">
        <f>IF(Datos_originales!$E159&lt;1000,"Bosque menor a 1000 ha",Datos_originales!$E159)</f>
        <v>Bosque menor a 1000 ha</v>
      </c>
      <c r="D159" s="11">
        <v>0.0</v>
      </c>
      <c r="E159" s="11">
        <v>0.0</v>
      </c>
      <c r="F159" s="11">
        <v>0.0</v>
      </c>
      <c r="G159" s="11">
        <v>0.0</v>
      </c>
      <c r="H159" s="11">
        <f t="shared" si="1"/>
        <v>0</v>
      </c>
      <c r="I159" s="11">
        <v>0.0</v>
      </c>
      <c r="J159" s="11">
        <v>0.0</v>
      </c>
      <c r="K159" s="11">
        <v>0.0</v>
      </c>
      <c r="L159" s="11">
        <f t="shared" si="2"/>
        <v>0</v>
      </c>
      <c r="M159" s="13" t="str">
        <f t="shared" si="3"/>
        <v/>
      </c>
      <c r="N159" s="13" t="str">
        <f t="shared" si="4"/>
        <v/>
      </c>
    </row>
    <row r="160" ht="15.75" customHeight="1">
      <c r="A160" s="11">
        <v>31403.0</v>
      </c>
      <c r="B160" s="11" t="s">
        <v>219</v>
      </c>
      <c r="C160" s="12" t="str">
        <f>IF(Datos_originales!$E160&lt;1000,"Bosque menor a 1000 ha",Datos_originales!$E160)</f>
        <v>Bosque menor a 1000 ha</v>
      </c>
      <c r="D160" s="11">
        <v>478.89</v>
      </c>
      <c r="E160" s="11">
        <v>2.88</v>
      </c>
      <c r="F160" s="11">
        <v>2.43</v>
      </c>
      <c r="G160" s="11">
        <v>9.719999999999999</v>
      </c>
      <c r="H160" s="11">
        <f t="shared" si="1"/>
        <v>5.01</v>
      </c>
      <c r="I160" s="11">
        <v>1.44</v>
      </c>
      <c r="J160" s="11">
        <v>39.51000000000001</v>
      </c>
      <c r="K160" s="11">
        <v>0.0</v>
      </c>
      <c r="L160" s="11">
        <f t="shared" si="2"/>
        <v>13.65</v>
      </c>
      <c r="M160" s="13" t="str">
        <f t="shared" si="3"/>
        <v/>
      </c>
      <c r="N160" s="13" t="str">
        <f t="shared" si="4"/>
        <v/>
      </c>
    </row>
    <row r="161" ht="15.75" customHeight="1">
      <c r="A161" s="11">
        <v>31404.0</v>
      </c>
      <c r="B161" s="11" t="s">
        <v>220</v>
      </c>
      <c r="C161" s="15" t="str">
        <f>IF(Datos_originales!$E161&lt;1000,"Bosque menor a 1000 ha",Datos_originales!$E161)</f>
        <v>Bosque menor a 1000 ha</v>
      </c>
      <c r="D161" s="11">
        <v>0.0</v>
      </c>
      <c r="E161" s="11">
        <v>0.0</v>
      </c>
      <c r="F161" s="11">
        <v>0.0</v>
      </c>
      <c r="G161" s="11">
        <v>0.0</v>
      </c>
      <c r="H161" s="11">
        <f t="shared" si="1"/>
        <v>0</v>
      </c>
      <c r="I161" s="11">
        <v>0.0</v>
      </c>
      <c r="J161" s="11">
        <v>0.0</v>
      </c>
      <c r="K161" s="11">
        <v>0.0</v>
      </c>
      <c r="L161" s="11">
        <f t="shared" si="2"/>
        <v>0</v>
      </c>
      <c r="M161" s="13" t="str">
        <f t="shared" si="3"/>
        <v/>
      </c>
      <c r="N161" s="13" t="str">
        <f t="shared" si="4"/>
        <v/>
      </c>
    </row>
    <row r="162" ht="15.75" customHeight="1">
      <c r="A162" s="11">
        <v>31405.0</v>
      </c>
      <c r="B162" s="11" t="s">
        <v>221</v>
      </c>
      <c r="C162" s="12" t="str">
        <f>IF(Datos_originales!$E162&lt;1000,"Bosque menor a 1000 ha",Datos_originales!$E162)</f>
        <v>Bosque menor a 1000 ha</v>
      </c>
      <c r="D162" s="11">
        <v>0.0</v>
      </c>
      <c r="E162" s="11">
        <v>0.0</v>
      </c>
      <c r="F162" s="11">
        <v>0.0</v>
      </c>
      <c r="G162" s="11">
        <v>0.0</v>
      </c>
      <c r="H162" s="11">
        <f t="shared" si="1"/>
        <v>0</v>
      </c>
      <c r="I162" s="11">
        <v>0.0</v>
      </c>
      <c r="J162" s="11">
        <v>0.0</v>
      </c>
      <c r="K162" s="11">
        <v>0.0</v>
      </c>
      <c r="L162" s="11">
        <f t="shared" si="2"/>
        <v>0</v>
      </c>
      <c r="M162" s="13" t="str">
        <f t="shared" si="3"/>
        <v/>
      </c>
      <c r="N162" s="13" t="str">
        <f t="shared" si="4"/>
        <v/>
      </c>
    </row>
    <row r="163" ht="15.75" customHeight="1">
      <c r="A163" s="11">
        <v>31501.0</v>
      </c>
      <c r="B163" s="11" t="s">
        <v>222</v>
      </c>
      <c r="C163" s="15" t="str">
        <f>IF(Datos_originales!$E163&lt;1000,"Bosque menor a 1000 ha",Datos_originales!$E163)</f>
        <v>Bosque menor a 1000 ha</v>
      </c>
      <c r="D163" s="11">
        <v>0.0</v>
      </c>
      <c r="E163" s="11">
        <v>0.0</v>
      </c>
      <c r="F163" s="11">
        <v>0.0</v>
      </c>
      <c r="G163" s="11">
        <v>0.0</v>
      </c>
      <c r="H163" s="11">
        <f t="shared" si="1"/>
        <v>0</v>
      </c>
      <c r="I163" s="11">
        <v>0.0</v>
      </c>
      <c r="J163" s="11">
        <v>0.0</v>
      </c>
      <c r="K163" s="11">
        <v>0.0</v>
      </c>
      <c r="L163" s="11">
        <f t="shared" si="2"/>
        <v>0</v>
      </c>
      <c r="M163" s="13" t="str">
        <f t="shared" si="3"/>
        <v/>
      </c>
      <c r="N163" s="13" t="str">
        <f t="shared" si="4"/>
        <v/>
      </c>
    </row>
    <row r="164" ht="15.75" customHeight="1">
      <c r="A164" s="11">
        <v>31601.0</v>
      </c>
      <c r="B164" s="11" t="s">
        <v>223</v>
      </c>
      <c r="C164" s="12">
        <f>IF(Datos_originales!$E164&lt;1000,"Bosque menor a 1000 ha",Datos_originales!$E164)</f>
        <v>105730.2</v>
      </c>
      <c r="D164" s="11">
        <v>105730.2</v>
      </c>
      <c r="E164" s="11">
        <v>524.79</v>
      </c>
      <c r="F164" s="11">
        <v>279.27</v>
      </c>
      <c r="G164" s="11">
        <v>281.61</v>
      </c>
      <c r="H164" s="11">
        <f t="shared" si="1"/>
        <v>361.89</v>
      </c>
      <c r="I164" s="11">
        <v>145.98</v>
      </c>
      <c r="J164" s="11">
        <v>760.59</v>
      </c>
      <c r="K164" s="11">
        <v>115.74</v>
      </c>
      <c r="L164" s="11">
        <f t="shared" si="2"/>
        <v>340.77</v>
      </c>
      <c r="M164" s="13">
        <f t="shared" si="3"/>
        <v>0.3422768518</v>
      </c>
      <c r="N164" s="13">
        <f t="shared" si="4"/>
        <v>0.3223014806</v>
      </c>
    </row>
    <row r="165" ht="15.75" customHeight="1">
      <c r="A165" s="11">
        <v>31602.0</v>
      </c>
      <c r="B165" s="11" t="s">
        <v>224</v>
      </c>
      <c r="C165" s="15">
        <f>IF(Datos_originales!$E165&lt;1000,"Bosque menor a 1000 ha",Datos_originales!$E165)</f>
        <v>54573.84</v>
      </c>
      <c r="D165" s="11">
        <v>54573.84</v>
      </c>
      <c r="E165" s="11">
        <v>666.8100000000001</v>
      </c>
      <c r="F165" s="11">
        <v>663.66</v>
      </c>
      <c r="G165" s="11">
        <v>778.86</v>
      </c>
      <c r="H165" s="11">
        <f t="shared" si="1"/>
        <v>703.11</v>
      </c>
      <c r="I165" s="11">
        <v>220.05</v>
      </c>
      <c r="J165" s="11">
        <v>955.98</v>
      </c>
      <c r="K165" s="11">
        <v>1234.98</v>
      </c>
      <c r="L165" s="11">
        <f t="shared" si="2"/>
        <v>803.67</v>
      </c>
      <c r="M165" s="13">
        <f t="shared" si="3"/>
        <v>1.288364535</v>
      </c>
      <c r="N165" s="13">
        <f t="shared" si="4"/>
        <v>1.472628644</v>
      </c>
    </row>
    <row r="166" ht="15.75" customHeight="1">
      <c r="A166" s="11">
        <v>40101.0</v>
      </c>
      <c r="B166" s="11" t="s">
        <v>225</v>
      </c>
      <c r="C166" s="12" t="str">
        <f>IF(Datos_originales!$E166&lt;1000,"Bosque menor a 1000 ha",Datos_originales!$E166)</f>
        <v>Bosque menor a 1000 ha</v>
      </c>
      <c r="D166" s="11">
        <v>0.0</v>
      </c>
      <c r="E166" s="11">
        <v>0.0</v>
      </c>
      <c r="F166" s="11">
        <v>0.0</v>
      </c>
      <c r="G166" s="11">
        <v>0.0</v>
      </c>
      <c r="H166" s="11">
        <f t="shared" si="1"/>
        <v>0</v>
      </c>
      <c r="I166" s="11">
        <v>0.0</v>
      </c>
      <c r="J166" s="11">
        <v>0.0</v>
      </c>
      <c r="K166" s="11">
        <v>0.0</v>
      </c>
      <c r="L166" s="11">
        <f t="shared" si="2"/>
        <v>0</v>
      </c>
      <c r="M166" s="13" t="str">
        <f t="shared" si="3"/>
        <v/>
      </c>
      <c r="N166" s="13" t="str">
        <f t="shared" si="4"/>
        <v/>
      </c>
    </row>
    <row r="167" ht="15.75" customHeight="1">
      <c r="A167" s="11">
        <v>40102.0</v>
      </c>
      <c r="B167" s="11" t="s">
        <v>226</v>
      </c>
      <c r="C167" s="15" t="str">
        <f>IF(Datos_originales!$E167&lt;1000,"Bosque menor a 1000 ha",Datos_originales!$E167)</f>
        <v>Bosque menor a 1000 ha</v>
      </c>
      <c r="D167" s="11">
        <v>0.0</v>
      </c>
      <c r="E167" s="11">
        <v>0.0</v>
      </c>
      <c r="F167" s="11">
        <v>0.0</v>
      </c>
      <c r="G167" s="11">
        <v>0.0</v>
      </c>
      <c r="H167" s="11">
        <f t="shared" si="1"/>
        <v>0</v>
      </c>
      <c r="I167" s="11">
        <v>0.0</v>
      </c>
      <c r="J167" s="11">
        <v>0.0</v>
      </c>
      <c r="K167" s="11">
        <v>0.0</v>
      </c>
      <c r="L167" s="11">
        <f t="shared" si="2"/>
        <v>0</v>
      </c>
      <c r="M167" s="13" t="str">
        <f t="shared" si="3"/>
        <v/>
      </c>
      <c r="N167" s="13" t="str">
        <f t="shared" si="4"/>
        <v/>
      </c>
    </row>
    <row r="168" ht="15.75" customHeight="1">
      <c r="A168" s="11">
        <v>40103.0</v>
      </c>
      <c r="B168" s="11" t="s">
        <v>227</v>
      </c>
      <c r="C168" s="12" t="str">
        <f>IF(Datos_originales!$E168&lt;1000,"Bosque menor a 1000 ha",Datos_originales!$E168)</f>
        <v>Bosque menor a 1000 ha</v>
      </c>
      <c r="D168" s="11">
        <v>0.0</v>
      </c>
      <c r="E168" s="11">
        <v>0.0</v>
      </c>
      <c r="F168" s="11">
        <v>0.0</v>
      </c>
      <c r="G168" s="11">
        <v>0.0</v>
      </c>
      <c r="H168" s="11">
        <f t="shared" si="1"/>
        <v>0</v>
      </c>
      <c r="I168" s="11">
        <v>0.0</v>
      </c>
      <c r="J168" s="11">
        <v>0.0</v>
      </c>
      <c r="K168" s="11">
        <v>0.0</v>
      </c>
      <c r="L168" s="11">
        <f t="shared" si="2"/>
        <v>0</v>
      </c>
      <c r="M168" s="13" t="str">
        <f t="shared" si="3"/>
        <v/>
      </c>
      <c r="N168" s="13" t="str">
        <f t="shared" si="4"/>
        <v/>
      </c>
    </row>
    <row r="169" ht="15.75" customHeight="1">
      <c r="A169" s="11">
        <v>40104.0</v>
      </c>
      <c r="B169" s="11" t="s">
        <v>228</v>
      </c>
      <c r="C169" s="15" t="str">
        <f>IF(Datos_originales!$E169&lt;1000,"Bosque menor a 1000 ha",Datos_originales!$E169)</f>
        <v>Bosque menor a 1000 ha</v>
      </c>
      <c r="D169" s="11">
        <v>0.0</v>
      </c>
      <c r="E169" s="11">
        <v>0.0</v>
      </c>
      <c r="F169" s="11">
        <v>0.0</v>
      </c>
      <c r="G169" s="11">
        <v>0.0</v>
      </c>
      <c r="H169" s="11">
        <f t="shared" si="1"/>
        <v>0</v>
      </c>
      <c r="I169" s="11">
        <v>0.0</v>
      </c>
      <c r="J169" s="11">
        <v>0.0</v>
      </c>
      <c r="K169" s="11">
        <v>0.0</v>
      </c>
      <c r="L169" s="11">
        <f t="shared" si="2"/>
        <v>0</v>
      </c>
      <c r="M169" s="13" t="str">
        <f t="shared" si="3"/>
        <v/>
      </c>
      <c r="N169" s="13" t="str">
        <f t="shared" si="4"/>
        <v/>
      </c>
    </row>
    <row r="170" ht="15.75" customHeight="1">
      <c r="A170" s="11">
        <v>40201.0</v>
      </c>
      <c r="B170" s="11" t="s">
        <v>229</v>
      </c>
      <c r="C170" s="12" t="str">
        <f>IF(Datos_originales!$E170&lt;1000,"Bosque menor a 1000 ha",Datos_originales!$E170)</f>
        <v>Bosque menor a 1000 ha</v>
      </c>
      <c r="D170" s="11">
        <v>0.0</v>
      </c>
      <c r="E170" s="11">
        <v>0.0</v>
      </c>
      <c r="F170" s="11">
        <v>0.0</v>
      </c>
      <c r="G170" s="11">
        <v>0.0</v>
      </c>
      <c r="H170" s="11">
        <f t="shared" si="1"/>
        <v>0</v>
      </c>
      <c r="I170" s="11">
        <v>0.0</v>
      </c>
      <c r="J170" s="11">
        <v>0.0</v>
      </c>
      <c r="K170" s="11">
        <v>0.0</v>
      </c>
      <c r="L170" s="11">
        <f t="shared" si="2"/>
        <v>0</v>
      </c>
      <c r="M170" s="13" t="str">
        <f t="shared" si="3"/>
        <v/>
      </c>
      <c r="N170" s="13" t="str">
        <f t="shared" si="4"/>
        <v/>
      </c>
    </row>
    <row r="171" ht="15.75" customHeight="1">
      <c r="A171" s="11">
        <v>40202.0</v>
      </c>
      <c r="B171" s="11" t="s">
        <v>230</v>
      </c>
      <c r="C171" s="15" t="str">
        <f>IF(Datos_originales!$E171&lt;1000,"Bosque menor a 1000 ha",Datos_originales!$E171)</f>
        <v>Bosque menor a 1000 ha</v>
      </c>
      <c r="D171" s="11">
        <v>0.0</v>
      </c>
      <c r="E171" s="11">
        <v>0.0</v>
      </c>
      <c r="F171" s="11">
        <v>0.0</v>
      </c>
      <c r="G171" s="11">
        <v>0.0</v>
      </c>
      <c r="H171" s="11">
        <f t="shared" si="1"/>
        <v>0</v>
      </c>
      <c r="I171" s="11">
        <v>0.0</v>
      </c>
      <c r="J171" s="11">
        <v>0.0</v>
      </c>
      <c r="K171" s="11">
        <v>0.0</v>
      </c>
      <c r="L171" s="11">
        <f t="shared" si="2"/>
        <v>0</v>
      </c>
      <c r="M171" s="13" t="str">
        <f t="shared" si="3"/>
        <v/>
      </c>
      <c r="N171" s="13" t="str">
        <f t="shared" si="4"/>
        <v/>
      </c>
    </row>
    <row r="172" ht="15.75" customHeight="1">
      <c r="A172" s="11">
        <v>40301.0</v>
      </c>
      <c r="B172" s="11" t="s">
        <v>231</v>
      </c>
      <c r="C172" s="12" t="str">
        <f>IF(Datos_originales!$E172&lt;1000,"Bosque menor a 1000 ha",Datos_originales!$E172)</f>
        <v>Bosque menor a 1000 ha</v>
      </c>
      <c r="D172" s="11">
        <v>0.0</v>
      </c>
      <c r="E172" s="11">
        <v>0.0</v>
      </c>
      <c r="F172" s="11">
        <v>0.0</v>
      </c>
      <c r="G172" s="11">
        <v>0.0</v>
      </c>
      <c r="H172" s="11">
        <f t="shared" si="1"/>
        <v>0</v>
      </c>
      <c r="I172" s="11">
        <v>0.0</v>
      </c>
      <c r="J172" s="11">
        <v>0.0</v>
      </c>
      <c r="K172" s="11">
        <v>0.0</v>
      </c>
      <c r="L172" s="11">
        <f t="shared" si="2"/>
        <v>0</v>
      </c>
      <c r="M172" s="13" t="str">
        <f t="shared" si="3"/>
        <v/>
      </c>
      <c r="N172" s="13" t="str">
        <f t="shared" si="4"/>
        <v/>
      </c>
    </row>
    <row r="173" ht="15.75" customHeight="1">
      <c r="A173" s="11">
        <v>40302.0</v>
      </c>
      <c r="B173" s="11" t="s">
        <v>232</v>
      </c>
      <c r="C173" s="15" t="str">
        <f>IF(Datos_originales!$E173&lt;1000,"Bosque menor a 1000 ha",Datos_originales!$E173)</f>
        <v>Bosque menor a 1000 ha</v>
      </c>
      <c r="D173" s="11">
        <v>0.0</v>
      </c>
      <c r="E173" s="11">
        <v>0.0</v>
      </c>
      <c r="F173" s="11">
        <v>0.0</v>
      </c>
      <c r="G173" s="11">
        <v>0.0</v>
      </c>
      <c r="H173" s="11">
        <f t="shared" si="1"/>
        <v>0</v>
      </c>
      <c r="I173" s="11">
        <v>0.0</v>
      </c>
      <c r="J173" s="11">
        <v>0.0</v>
      </c>
      <c r="K173" s="11">
        <v>0.0</v>
      </c>
      <c r="L173" s="11">
        <f t="shared" si="2"/>
        <v>0</v>
      </c>
      <c r="M173" s="13" t="str">
        <f t="shared" si="3"/>
        <v/>
      </c>
      <c r="N173" s="13" t="str">
        <f t="shared" si="4"/>
        <v/>
      </c>
    </row>
    <row r="174" ht="15.75" customHeight="1">
      <c r="A174" s="11">
        <v>40401.0</v>
      </c>
      <c r="B174" s="11" t="s">
        <v>233</v>
      </c>
      <c r="C174" s="12" t="str">
        <f>IF(Datos_originales!$E174&lt;1000,"Bosque menor a 1000 ha",Datos_originales!$E174)</f>
        <v>Bosque menor a 1000 ha</v>
      </c>
      <c r="D174" s="11">
        <v>0.0</v>
      </c>
      <c r="E174" s="11">
        <v>0.0</v>
      </c>
      <c r="F174" s="11">
        <v>0.0</v>
      </c>
      <c r="G174" s="11">
        <v>0.0</v>
      </c>
      <c r="H174" s="11">
        <f t="shared" si="1"/>
        <v>0</v>
      </c>
      <c r="I174" s="11">
        <v>0.0</v>
      </c>
      <c r="J174" s="11">
        <v>0.0</v>
      </c>
      <c r="K174" s="11">
        <v>0.0</v>
      </c>
      <c r="L174" s="11">
        <f t="shared" si="2"/>
        <v>0</v>
      </c>
      <c r="M174" s="13" t="str">
        <f t="shared" si="3"/>
        <v/>
      </c>
      <c r="N174" s="13" t="str">
        <f t="shared" si="4"/>
        <v/>
      </c>
    </row>
    <row r="175" ht="15.75" customHeight="1">
      <c r="A175" s="11">
        <v>40402.0</v>
      </c>
      <c r="B175" s="11" t="s">
        <v>234</v>
      </c>
      <c r="C175" s="15" t="str">
        <f>IF(Datos_originales!$E175&lt;1000,"Bosque menor a 1000 ha",Datos_originales!$E175)</f>
        <v>Bosque menor a 1000 ha</v>
      </c>
      <c r="D175" s="11">
        <v>0.0</v>
      </c>
      <c r="E175" s="11">
        <v>0.0</v>
      </c>
      <c r="F175" s="11">
        <v>0.0</v>
      </c>
      <c r="G175" s="11">
        <v>0.0</v>
      </c>
      <c r="H175" s="11">
        <f t="shared" si="1"/>
        <v>0</v>
      </c>
      <c r="I175" s="11">
        <v>0.0</v>
      </c>
      <c r="J175" s="11">
        <v>0.0</v>
      </c>
      <c r="K175" s="11">
        <v>0.0</v>
      </c>
      <c r="L175" s="11">
        <f t="shared" si="2"/>
        <v>0</v>
      </c>
      <c r="M175" s="13" t="str">
        <f t="shared" si="3"/>
        <v/>
      </c>
      <c r="N175" s="13" t="str">
        <f t="shared" si="4"/>
        <v/>
      </c>
    </row>
    <row r="176" ht="15.75" customHeight="1">
      <c r="A176" s="11">
        <v>40501.0</v>
      </c>
      <c r="B176" s="11" t="s">
        <v>235</v>
      </c>
      <c r="C176" s="12" t="str">
        <f>IF(Datos_originales!$E176&lt;1000,"Bosque menor a 1000 ha",Datos_originales!$E176)</f>
        <v>Bosque menor a 1000 ha</v>
      </c>
      <c r="D176" s="11">
        <v>0.0</v>
      </c>
      <c r="E176" s="11">
        <v>0.0</v>
      </c>
      <c r="F176" s="11">
        <v>0.0</v>
      </c>
      <c r="G176" s="11">
        <v>0.0</v>
      </c>
      <c r="H176" s="11">
        <f t="shared" si="1"/>
        <v>0</v>
      </c>
      <c r="I176" s="11">
        <v>0.0</v>
      </c>
      <c r="J176" s="11">
        <v>0.0</v>
      </c>
      <c r="K176" s="11">
        <v>0.0</v>
      </c>
      <c r="L176" s="11">
        <f t="shared" si="2"/>
        <v>0</v>
      </c>
      <c r="M176" s="13" t="str">
        <f t="shared" si="3"/>
        <v/>
      </c>
      <c r="N176" s="13" t="str">
        <f t="shared" si="4"/>
        <v/>
      </c>
    </row>
    <row r="177" ht="15.75" customHeight="1">
      <c r="A177" s="11">
        <v>40502.0</v>
      </c>
      <c r="B177" s="11" t="s">
        <v>236</v>
      </c>
      <c r="C177" s="15" t="str">
        <f>IF(Datos_originales!$E177&lt;1000,"Bosque menor a 1000 ha",Datos_originales!$E177)</f>
        <v>Bosque menor a 1000 ha</v>
      </c>
      <c r="D177" s="11">
        <v>0.0</v>
      </c>
      <c r="E177" s="11">
        <v>0.0</v>
      </c>
      <c r="F177" s="11">
        <v>0.0</v>
      </c>
      <c r="G177" s="11">
        <v>0.0</v>
      </c>
      <c r="H177" s="11">
        <f t="shared" si="1"/>
        <v>0</v>
      </c>
      <c r="I177" s="11">
        <v>0.0</v>
      </c>
      <c r="J177" s="11">
        <v>0.0</v>
      </c>
      <c r="K177" s="11">
        <v>0.0</v>
      </c>
      <c r="L177" s="11">
        <f t="shared" si="2"/>
        <v>0</v>
      </c>
      <c r="M177" s="13" t="str">
        <f t="shared" si="3"/>
        <v/>
      </c>
      <c r="N177" s="13" t="str">
        <f t="shared" si="4"/>
        <v/>
      </c>
    </row>
    <row r="178" ht="15.75" customHeight="1">
      <c r="A178" s="11">
        <v>40503.0</v>
      </c>
      <c r="B178" s="11" t="s">
        <v>237</v>
      </c>
      <c r="C178" s="12" t="str">
        <f>IF(Datos_originales!$E178&lt;1000,"Bosque menor a 1000 ha",Datos_originales!$E178)</f>
        <v>Bosque menor a 1000 ha</v>
      </c>
      <c r="D178" s="11">
        <v>0.0</v>
      </c>
      <c r="E178" s="11">
        <v>0.0</v>
      </c>
      <c r="F178" s="11">
        <v>0.0</v>
      </c>
      <c r="G178" s="11">
        <v>0.0</v>
      </c>
      <c r="H178" s="11">
        <f t="shared" si="1"/>
        <v>0</v>
      </c>
      <c r="I178" s="11">
        <v>0.0</v>
      </c>
      <c r="J178" s="11">
        <v>0.0</v>
      </c>
      <c r="K178" s="11">
        <v>0.0</v>
      </c>
      <c r="L178" s="11">
        <f t="shared" si="2"/>
        <v>0</v>
      </c>
      <c r="M178" s="13" t="str">
        <f t="shared" si="3"/>
        <v/>
      </c>
      <c r="N178" s="13" t="str">
        <f t="shared" si="4"/>
        <v/>
      </c>
    </row>
    <row r="179" ht="15.75" customHeight="1">
      <c r="A179" s="11">
        <v>40504.0</v>
      </c>
      <c r="B179" s="11" t="s">
        <v>238</v>
      </c>
      <c r="C179" s="15" t="str">
        <f>IF(Datos_originales!$E179&lt;1000,"Bosque menor a 1000 ha",Datos_originales!$E179)</f>
        <v>Bosque menor a 1000 ha</v>
      </c>
      <c r="D179" s="11">
        <v>0.0</v>
      </c>
      <c r="E179" s="11">
        <v>0.0</v>
      </c>
      <c r="F179" s="11">
        <v>0.0</v>
      </c>
      <c r="G179" s="11">
        <v>0.0</v>
      </c>
      <c r="H179" s="11">
        <f t="shared" si="1"/>
        <v>0</v>
      </c>
      <c r="I179" s="11">
        <v>0.0</v>
      </c>
      <c r="J179" s="11">
        <v>0.0</v>
      </c>
      <c r="K179" s="11">
        <v>0.0</v>
      </c>
      <c r="L179" s="11">
        <f t="shared" si="2"/>
        <v>0</v>
      </c>
      <c r="M179" s="13" t="str">
        <f t="shared" si="3"/>
        <v/>
      </c>
      <c r="N179" s="13" t="str">
        <f t="shared" si="4"/>
        <v/>
      </c>
    </row>
    <row r="180" ht="15.75" customHeight="1">
      <c r="A180" s="11">
        <v>40505.0</v>
      </c>
      <c r="B180" s="11" t="s">
        <v>239</v>
      </c>
      <c r="C180" s="12" t="str">
        <f>IF(Datos_originales!$E180&lt;1000,"Bosque menor a 1000 ha",Datos_originales!$E180)</f>
        <v>Bosque menor a 1000 ha</v>
      </c>
      <c r="D180" s="11">
        <v>0.0</v>
      </c>
      <c r="E180" s="11">
        <v>0.0</v>
      </c>
      <c r="F180" s="11">
        <v>0.0</v>
      </c>
      <c r="G180" s="11">
        <v>0.0</v>
      </c>
      <c r="H180" s="11">
        <f t="shared" si="1"/>
        <v>0</v>
      </c>
      <c r="I180" s="11">
        <v>0.0</v>
      </c>
      <c r="J180" s="11">
        <v>0.0</v>
      </c>
      <c r="K180" s="11">
        <v>0.0</v>
      </c>
      <c r="L180" s="11">
        <f t="shared" si="2"/>
        <v>0</v>
      </c>
      <c r="M180" s="13" t="str">
        <f t="shared" si="3"/>
        <v/>
      </c>
      <c r="N180" s="13" t="str">
        <f t="shared" si="4"/>
        <v/>
      </c>
    </row>
    <row r="181" ht="15.75" customHeight="1">
      <c r="A181" s="11">
        <v>40601.0</v>
      </c>
      <c r="B181" s="11" t="s">
        <v>240</v>
      </c>
      <c r="C181" s="15" t="str">
        <f>IF(Datos_originales!$E181&lt;1000,"Bosque menor a 1000 ha",Datos_originales!$E181)</f>
        <v>Bosque menor a 1000 ha</v>
      </c>
      <c r="D181" s="11">
        <v>0.0</v>
      </c>
      <c r="E181" s="11">
        <v>0.0</v>
      </c>
      <c r="F181" s="11">
        <v>0.0</v>
      </c>
      <c r="G181" s="11">
        <v>0.0</v>
      </c>
      <c r="H181" s="11">
        <f t="shared" si="1"/>
        <v>0</v>
      </c>
      <c r="I181" s="11">
        <v>0.0</v>
      </c>
      <c r="J181" s="11">
        <v>0.0</v>
      </c>
      <c r="K181" s="11">
        <v>0.0</v>
      </c>
      <c r="L181" s="11">
        <f t="shared" si="2"/>
        <v>0</v>
      </c>
      <c r="M181" s="13" t="str">
        <f t="shared" si="3"/>
        <v/>
      </c>
      <c r="N181" s="13" t="str">
        <f t="shared" si="4"/>
        <v/>
      </c>
    </row>
    <row r="182" ht="15.75" customHeight="1">
      <c r="A182" s="11">
        <v>40602.0</v>
      </c>
      <c r="B182" s="11" t="s">
        <v>241</v>
      </c>
      <c r="C182" s="12" t="str">
        <f>IF(Datos_originales!$E182&lt;1000,"Bosque menor a 1000 ha",Datos_originales!$E182)</f>
        <v>Bosque menor a 1000 ha</v>
      </c>
      <c r="D182" s="11">
        <v>0.0</v>
      </c>
      <c r="E182" s="11">
        <v>0.0</v>
      </c>
      <c r="F182" s="11">
        <v>0.0</v>
      </c>
      <c r="G182" s="11">
        <v>0.0</v>
      </c>
      <c r="H182" s="11">
        <f t="shared" si="1"/>
        <v>0</v>
      </c>
      <c r="I182" s="11">
        <v>0.0</v>
      </c>
      <c r="J182" s="11">
        <v>0.0</v>
      </c>
      <c r="K182" s="11">
        <v>0.0</v>
      </c>
      <c r="L182" s="11">
        <f t="shared" si="2"/>
        <v>0</v>
      </c>
      <c r="M182" s="13" t="str">
        <f t="shared" si="3"/>
        <v/>
      </c>
      <c r="N182" s="13" t="str">
        <f t="shared" si="4"/>
        <v/>
      </c>
    </row>
    <row r="183" ht="15.75" customHeight="1">
      <c r="A183" s="11">
        <v>40603.0</v>
      </c>
      <c r="B183" s="11" t="s">
        <v>242</v>
      </c>
      <c r="C183" s="15" t="str">
        <f>IF(Datos_originales!$E183&lt;1000,"Bosque menor a 1000 ha",Datos_originales!$E183)</f>
        <v>Bosque menor a 1000 ha</v>
      </c>
      <c r="D183" s="11">
        <v>0.0</v>
      </c>
      <c r="E183" s="11">
        <v>0.0</v>
      </c>
      <c r="F183" s="11">
        <v>0.0</v>
      </c>
      <c r="G183" s="11">
        <v>0.0</v>
      </c>
      <c r="H183" s="11">
        <f t="shared" si="1"/>
        <v>0</v>
      </c>
      <c r="I183" s="11">
        <v>0.0</v>
      </c>
      <c r="J183" s="11">
        <v>0.0</v>
      </c>
      <c r="K183" s="11">
        <v>0.0</v>
      </c>
      <c r="L183" s="11">
        <f t="shared" si="2"/>
        <v>0</v>
      </c>
      <c r="M183" s="13" t="str">
        <f t="shared" si="3"/>
        <v/>
      </c>
      <c r="N183" s="13" t="str">
        <f t="shared" si="4"/>
        <v/>
      </c>
    </row>
    <row r="184" ht="15.75" customHeight="1">
      <c r="A184" s="11">
        <v>40701.0</v>
      </c>
      <c r="B184" s="11" t="s">
        <v>243</v>
      </c>
      <c r="C184" s="12" t="str">
        <f>IF(Datos_originales!$E184&lt;1000,"Bosque menor a 1000 ha",Datos_originales!$E184)</f>
        <v>Bosque menor a 1000 ha</v>
      </c>
      <c r="D184" s="11">
        <v>0.0</v>
      </c>
      <c r="E184" s="11">
        <v>0.0</v>
      </c>
      <c r="F184" s="11">
        <v>0.0</v>
      </c>
      <c r="G184" s="11">
        <v>0.0</v>
      </c>
      <c r="H184" s="11">
        <f t="shared" si="1"/>
        <v>0</v>
      </c>
      <c r="I184" s="11">
        <v>0.0</v>
      </c>
      <c r="J184" s="11">
        <v>0.0</v>
      </c>
      <c r="K184" s="11">
        <v>0.0</v>
      </c>
      <c r="L184" s="11">
        <f t="shared" si="2"/>
        <v>0</v>
      </c>
      <c r="M184" s="13" t="str">
        <f t="shared" si="3"/>
        <v/>
      </c>
      <c r="N184" s="13" t="str">
        <f t="shared" si="4"/>
        <v/>
      </c>
    </row>
    <row r="185" ht="15.75" customHeight="1">
      <c r="A185" s="11">
        <v>40702.0</v>
      </c>
      <c r="B185" s="11" t="s">
        <v>244</v>
      </c>
      <c r="C185" s="15" t="str">
        <f>IF(Datos_originales!$E185&lt;1000,"Bosque menor a 1000 ha",Datos_originales!$E185)</f>
        <v>Bosque menor a 1000 ha</v>
      </c>
      <c r="D185" s="11">
        <v>0.0</v>
      </c>
      <c r="E185" s="11">
        <v>0.0</v>
      </c>
      <c r="F185" s="11">
        <v>0.0</v>
      </c>
      <c r="G185" s="11">
        <v>0.0</v>
      </c>
      <c r="H185" s="11">
        <f t="shared" si="1"/>
        <v>0</v>
      </c>
      <c r="I185" s="11">
        <v>0.0</v>
      </c>
      <c r="J185" s="11">
        <v>0.0</v>
      </c>
      <c r="K185" s="11">
        <v>0.0</v>
      </c>
      <c r="L185" s="11">
        <f t="shared" si="2"/>
        <v>0</v>
      </c>
      <c r="M185" s="13" t="str">
        <f t="shared" si="3"/>
        <v/>
      </c>
      <c r="N185" s="13" t="str">
        <f t="shared" si="4"/>
        <v/>
      </c>
    </row>
    <row r="186" ht="15.75" customHeight="1">
      <c r="A186" s="11">
        <v>40801.0</v>
      </c>
      <c r="B186" s="11" t="s">
        <v>245</v>
      </c>
      <c r="C186" s="12" t="str">
        <f>IF(Datos_originales!$E186&lt;1000,"Bosque menor a 1000 ha",Datos_originales!$E186)</f>
        <v>Bosque menor a 1000 ha</v>
      </c>
      <c r="D186" s="11">
        <v>0.0</v>
      </c>
      <c r="E186" s="11">
        <v>0.0</v>
      </c>
      <c r="F186" s="11">
        <v>0.0</v>
      </c>
      <c r="G186" s="11">
        <v>0.0</v>
      </c>
      <c r="H186" s="11">
        <f t="shared" si="1"/>
        <v>0</v>
      </c>
      <c r="I186" s="11">
        <v>0.0</v>
      </c>
      <c r="J186" s="11">
        <v>0.0</v>
      </c>
      <c r="K186" s="11">
        <v>0.0</v>
      </c>
      <c r="L186" s="11">
        <f t="shared" si="2"/>
        <v>0</v>
      </c>
      <c r="M186" s="13" t="str">
        <f t="shared" si="3"/>
        <v/>
      </c>
      <c r="N186" s="13" t="str">
        <f t="shared" si="4"/>
        <v/>
      </c>
    </row>
    <row r="187" ht="15.75" customHeight="1">
      <c r="A187" s="11">
        <v>40802.0</v>
      </c>
      <c r="B187" s="11" t="s">
        <v>246</v>
      </c>
      <c r="C187" s="15" t="str">
        <f>IF(Datos_originales!$E187&lt;1000,"Bosque menor a 1000 ha",Datos_originales!$E187)</f>
        <v>Bosque menor a 1000 ha</v>
      </c>
      <c r="D187" s="11">
        <v>0.0</v>
      </c>
      <c r="E187" s="11">
        <v>0.0</v>
      </c>
      <c r="F187" s="11">
        <v>0.0</v>
      </c>
      <c r="G187" s="11">
        <v>0.0</v>
      </c>
      <c r="H187" s="11">
        <f t="shared" si="1"/>
        <v>0</v>
      </c>
      <c r="I187" s="11">
        <v>0.0</v>
      </c>
      <c r="J187" s="11">
        <v>0.0</v>
      </c>
      <c r="K187" s="11">
        <v>0.0</v>
      </c>
      <c r="L187" s="11">
        <f t="shared" si="2"/>
        <v>0</v>
      </c>
      <c r="M187" s="13" t="str">
        <f t="shared" si="3"/>
        <v/>
      </c>
      <c r="N187" s="13" t="str">
        <f t="shared" si="4"/>
        <v/>
      </c>
    </row>
    <row r="188" ht="15.75" customHeight="1">
      <c r="A188" s="11">
        <v>40901.0</v>
      </c>
      <c r="B188" s="11" t="s">
        <v>247</v>
      </c>
      <c r="C188" s="12" t="str">
        <f>IF(Datos_originales!$E188&lt;1000,"Bosque menor a 1000 ha",Datos_originales!$E188)</f>
        <v>Bosque menor a 1000 ha</v>
      </c>
      <c r="D188" s="11">
        <v>0.0</v>
      </c>
      <c r="E188" s="11">
        <v>0.0</v>
      </c>
      <c r="F188" s="11">
        <v>0.0</v>
      </c>
      <c r="G188" s="11">
        <v>0.0</v>
      </c>
      <c r="H188" s="11">
        <f t="shared" si="1"/>
        <v>0</v>
      </c>
      <c r="I188" s="11">
        <v>0.0</v>
      </c>
      <c r="J188" s="11">
        <v>0.0</v>
      </c>
      <c r="K188" s="11">
        <v>0.0</v>
      </c>
      <c r="L188" s="11">
        <f t="shared" si="2"/>
        <v>0</v>
      </c>
      <c r="M188" s="13" t="str">
        <f t="shared" si="3"/>
        <v/>
      </c>
      <c r="N188" s="13" t="str">
        <f t="shared" si="4"/>
        <v/>
      </c>
    </row>
    <row r="189" ht="15.75" customHeight="1">
      <c r="A189" s="11">
        <v>40902.0</v>
      </c>
      <c r="B189" s="11" t="s">
        <v>248</v>
      </c>
      <c r="C189" s="15" t="str">
        <f>IF(Datos_originales!$E189&lt;1000,"Bosque menor a 1000 ha",Datos_originales!$E189)</f>
        <v>Bosque menor a 1000 ha</v>
      </c>
      <c r="D189" s="11">
        <v>0.0</v>
      </c>
      <c r="E189" s="11">
        <v>0.0</v>
      </c>
      <c r="F189" s="11">
        <v>0.0</v>
      </c>
      <c r="G189" s="11">
        <v>0.0</v>
      </c>
      <c r="H189" s="11">
        <f t="shared" si="1"/>
        <v>0</v>
      </c>
      <c r="I189" s="11">
        <v>0.0</v>
      </c>
      <c r="J189" s="11">
        <v>0.0</v>
      </c>
      <c r="K189" s="11">
        <v>0.0</v>
      </c>
      <c r="L189" s="11">
        <f t="shared" si="2"/>
        <v>0</v>
      </c>
      <c r="M189" s="13" t="str">
        <f t="shared" si="3"/>
        <v/>
      </c>
      <c r="N189" s="13" t="str">
        <f t="shared" si="4"/>
        <v/>
      </c>
    </row>
    <row r="190" ht="15.75" customHeight="1">
      <c r="A190" s="11">
        <v>40903.0</v>
      </c>
      <c r="B190" s="11" t="s">
        <v>249</v>
      </c>
      <c r="C190" s="12" t="str">
        <f>IF(Datos_originales!$E190&lt;1000,"Bosque menor a 1000 ha",Datos_originales!$E190)</f>
        <v>Bosque menor a 1000 ha</v>
      </c>
      <c r="D190" s="11">
        <v>0.0</v>
      </c>
      <c r="E190" s="11">
        <v>0.0</v>
      </c>
      <c r="F190" s="11">
        <v>0.0</v>
      </c>
      <c r="G190" s="11">
        <v>0.0</v>
      </c>
      <c r="H190" s="11">
        <f t="shared" si="1"/>
        <v>0</v>
      </c>
      <c r="I190" s="11">
        <v>0.0</v>
      </c>
      <c r="J190" s="11">
        <v>0.0</v>
      </c>
      <c r="K190" s="11">
        <v>0.0</v>
      </c>
      <c r="L190" s="11">
        <f t="shared" si="2"/>
        <v>0</v>
      </c>
      <c r="M190" s="13" t="str">
        <f t="shared" si="3"/>
        <v/>
      </c>
      <c r="N190" s="13" t="str">
        <f t="shared" si="4"/>
        <v/>
      </c>
    </row>
    <row r="191" ht="15.75" customHeight="1">
      <c r="A191" s="11">
        <v>41001.0</v>
      </c>
      <c r="B191" s="11" t="s">
        <v>250</v>
      </c>
      <c r="C191" s="15" t="str">
        <f>IF(Datos_originales!$E191&lt;1000,"Bosque menor a 1000 ha",Datos_originales!$E191)</f>
        <v>Bosque menor a 1000 ha</v>
      </c>
      <c r="D191" s="11">
        <v>0.0</v>
      </c>
      <c r="E191" s="11">
        <v>0.0</v>
      </c>
      <c r="F191" s="11">
        <v>0.0</v>
      </c>
      <c r="G191" s="11">
        <v>0.0</v>
      </c>
      <c r="H191" s="11">
        <f t="shared" si="1"/>
        <v>0</v>
      </c>
      <c r="I191" s="11">
        <v>0.0</v>
      </c>
      <c r="J191" s="11">
        <v>0.0</v>
      </c>
      <c r="K191" s="11">
        <v>0.0</v>
      </c>
      <c r="L191" s="11">
        <f t="shared" si="2"/>
        <v>0</v>
      </c>
      <c r="M191" s="13" t="str">
        <f t="shared" si="3"/>
        <v/>
      </c>
      <c r="N191" s="13" t="str">
        <f t="shared" si="4"/>
        <v/>
      </c>
    </row>
    <row r="192" ht="15.75" customHeight="1">
      <c r="A192" s="11">
        <v>41101.0</v>
      </c>
      <c r="B192" s="11" t="s">
        <v>251</v>
      </c>
      <c r="C192" s="12" t="str">
        <f>IF(Datos_originales!$E192&lt;1000,"Bosque menor a 1000 ha",Datos_originales!$E192)</f>
        <v>Bosque menor a 1000 ha</v>
      </c>
      <c r="D192" s="11">
        <v>0.0</v>
      </c>
      <c r="E192" s="11">
        <v>0.0</v>
      </c>
      <c r="F192" s="11">
        <v>0.0</v>
      </c>
      <c r="G192" s="11">
        <v>0.0</v>
      </c>
      <c r="H192" s="11">
        <f t="shared" si="1"/>
        <v>0</v>
      </c>
      <c r="I192" s="11">
        <v>0.0</v>
      </c>
      <c r="J192" s="11">
        <v>0.0</v>
      </c>
      <c r="K192" s="11">
        <v>0.0</v>
      </c>
      <c r="L192" s="11">
        <f t="shared" si="2"/>
        <v>0</v>
      </c>
      <c r="M192" s="13" t="str">
        <f t="shared" si="3"/>
        <v/>
      </c>
      <c r="N192" s="13" t="str">
        <f t="shared" si="4"/>
        <v/>
      </c>
    </row>
    <row r="193" ht="15.75" customHeight="1">
      <c r="A193" s="11">
        <v>41201.0</v>
      </c>
      <c r="B193" s="11" t="s">
        <v>252</v>
      </c>
      <c r="C193" s="15" t="str">
        <f>IF(Datos_originales!$E193&lt;1000,"Bosque menor a 1000 ha",Datos_originales!$E193)</f>
        <v>Bosque menor a 1000 ha</v>
      </c>
      <c r="D193" s="11">
        <v>0.0</v>
      </c>
      <c r="E193" s="11">
        <v>0.0</v>
      </c>
      <c r="F193" s="11">
        <v>0.0</v>
      </c>
      <c r="G193" s="11">
        <v>0.0</v>
      </c>
      <c r="H193" s="11">
        <f t="shared" si="1"/>
        <v>0</v>
      </c>
      <c r="I193" s="11">
        <v>0.0</v>
      </c>
      <c r="J193" s="11">
        <v>0.0</v>
      </c>
      <c r="K193" s="11">
        <v>0.0</v>
      </c>
      <c r="L193" s="11">
        <f t="shared" si="2"/>
        <v>0</v>
      </c>
      <c r="M193" s="13" t="str">
        <f t="shared" si="3"/>
        <v/>
      </c>
      <c r="N193" s="13" t="str">
        <f t="shared" si="4"/>
        <v/>
      </c>
    </row>
    <row r="194" ht="15.75" customHeight="1">
      <c r="A194" s="11">
        <v>41202.0</v>
      </c>
      <c r="B194" s="11" t="s">
        <v>253</v>
      </c>
      <c r="C194" s="12" t="str">
        <f>IF(Datos_originales!$E194&lt;1000,"Bosque menor a 1000 ha",Datos_originales!$E194)</f>
        <v>Bosque menor a 1000 ha</v>
      </c>
      <c r="D194" s="11">
        <v>0.0</v>
      </c>
      <c r="E194" s="11">
        <v>0.0</v>
      </c>
      <c r="F194" s="11">
        <v>0.0</v>
      </c>
      <c r="G194" s="11">
        <v>0.0</v>
      </c>
      <c r="H194" s="11">
        <f t="shared" si="1"/>
        <v>0</v>
      </c>
      <c r="I194" s="11">
        <v>0.0</v>
      </c>
      <c r="J194" s="11">
        <v>0.0</v>
      </c>
      <c r="K194" s="11">
        <v>0.0</v>
      </c>
      <c r="L194" s="11">
        <f t="shared" si="2"/>
        <v>0</v>
      </c>
      <c r="M194" s="13" t="str">
        <f t="shared" si="3"/>
        <v/>
      </c>
      <c r="N194" s="13" t="str">
        <f t="shared" si="4"/>
        <v/>
      </c>
    </row>
    <row r="195" ht="15.75" customHeight="1">
      <c r="A195" s="11">
        <v>41301.0</v>
      </c>
      <c r="B195" s="11" t="s">
        <v>207</v>
      </c>
      <c r="C195" s="15" t="str">
        <f>IF(Datos_originales!$E195&lt;1000,"Bosque menor a 1000 ha",Datos_originales!$E195)</f>
        <v>Bosque menor a 1000 ha</v>
      </c>
      <c r="D195" s="11">
        <v>0.0</v>
      </c>
      <c r="E195" s="11">
        <v>0.0</v>
      </c>
      <c r="F195" s="11">
        <v>0.0</v>
      </c>
      <c r="G195" s="11">
        <v>0.0</v>
      </c>
      <c r="H195" s="11">
        <f t="shared" si="1"/>
        <v>0</v>
      </c>
      <c r="I195" s="11">
        <v>0.0</v>
      </c>
      <c r="J195" s="11">
        <v>0.0</v>
      </c>
      <c r="K195" s="11">
        <v>0.0</v>
      </c>
      <c r="L195" s="11">
        <f t="shared" si="2"/>
        <v>0</v>
      </c>
      <c r="M195" s="13" t="str">
        <f t="shared" si="3"/>
        <v/>
      </c>
      <c r="N195" s="13" t="str">
        <f t="shared" si="4"/>
        <v/>
      </c>
    </row>
    <row r="196" ht="15.75" customHeight="1">
      <c r="A196" s="11">
        <v>41401.0</v>
      </c>
      <c r="B196" s="11" t="s">
        <v>254</v>
      </c>
      <c r="C196" s="12" t="str">
        <f>IF(Datos_originales!$E196&lt;1000,"Bosque menor a 1000 ha",Datos_originales!$E196)</f>
        <v>Bosque menor a 1000 ha</v>
      </c>
      <c r="D196" s="11">
        <v>0.0</v>
      </c>
      <c r="E196" s="11">
        <v>0.0</v>
      </c>
      <c r="F196" s="11">
        <v>0.0</v>
      </c>
      <c r="G196" s="11">
        <v>0.0</v>
      </c>
      <c r="H196" s="11">
        <f t="shared" si="1"/>
        <v>0</v>
      </c>
      <c r="I196" s="11">
        <v>0.0</v>
      </c>
      <c r="J196" s="11">
        <v>0.0</v>
      </c>
      <c r="K196" s="11">
        <v>0.0</v>
      </c>
      <c r="L196" s="11">
        <f t="shared" si="2"/>
        <v>0</v>
      </c>
      <c r="M196" s="13" t="str">
        <f t="shared" si="3"/>
        <v/>
      </c>
      <c r="N196" s="13" t="str">
        <f t="shared" si="4"/>
        <v/>
      </c>
    </row>
    <row r="197" ht="15.75" customHeight="1">
      <c r="A197" s="11">
        <v>41501.0</v>
      </c>
      <c r="B197" s="11" t="s">
        <v>255</v>
      </c>
      <c r="C197" s="15" t="str">
        <f>IF(Datos_originales!$E197&lt;1000,"Bosque menor a 1000 ha",Datos_originales!$E197)</f>
        <v>Bosque menor a 1000 ha</v>
      </c>
      <c r="D197" s="11">
        <v>0.0</v>
      </c>
      <c r="E197" s="11">
        <v>0.0</v>
      </c>
      <c r="F197" s="11">
        <v>0.0</v>
      </c>
      <c r="G197" s="11">
        <v>0.0</v>
      </c>
      <c r="H197" s="11">
        <f t="shared" si="1"/>
        <v>0</v>
      </c>
      <c r="I197" s="11">
        <v>0.0</v>
      </c>
      <c r="J197" s="11">
        <v>0.0</v>
      </c>
      <c r="K197" s="11">
        <v>0.0</v>
      </c>
      <c r="L197" s="11">
        <f t="shared" si="2"/>
        <v>0</v>
      </c>
      <c r="M197" s="13" t="str">
        <f t="shared" si="3"/>
        <v/>
      </c>
      <c r="N197" s="13" t="str">
        <f t="shared" si="4"/>
        <v/>
      </c>
    </row>
    <row r="198" ht="15.75" customHeight="1">
      <c r="A198" s="11">
        <v>41502.0</v>
      </c>
      <c r="B198" s="11" t="s">
        <v>256</v>
      </c>
      <c r="C198" s="12" t="str">
        <f>IF(Datos_originales!$E198&lt;1000,"Bosque menor a 1000 ha",Datos_originales!$E198)</f>
        <v>Bosque menor a 1000 ha</v>
      </c>
      <c r="D198" s="11">
        <v>0.0</v>
      </c>
      <c r="E198" s="11">
        <v>0.0</v>
      </c>
      <c r="F198" s="11">
        <v>0.0</v>
      </c>
      <c r="G198" s="11">
        <v>0.0</v>
      </c>
      <c r="H198" s="11">
        <f t="shared" si="1"/>
        <v>0</v>
      </c>
      <c r="I198" s="11">
        <v>0.0</v>
      </c>
      <c r="J198" s="11">
        <v>0.0</v>
      </c>
      <c r="K198" s="11">
        <v>0.0</v>
      </c>
      <c r="L198" s="11">
        <f t="shared" si="2"/>
        <v>0</v>
      </c>
      <c r="M198" s="13" t="str">
        <f t="shared" si="3"/>
        <v/>
      </c>
      <c r="N198" s="13" t="str">
        <f t="shared" si="4"/>
        <v/>
      </c>
    </row>
    <row r="199" ht="15.75" customHeight="1">
      <c r="A199" s="11">
        <v>41503.0</v>
      </c>
      <c r="B199" s="11" t="s">
        <v>257</v>
      </c>
      <c r="C199" s="15" t="str">
        <f>IF(Datos_originales!$E199&lt;1000,"Bosque menor a 1000 ha",Datos_originales!$E199)</f>
        <v>Bosque menor a 1000 ha</v>
      </c>
      <c r="D199" s="11">
        <v>0.0</v>
      </c>
      <c r="E199" s="11">
        <v>0.0</v>
      </c>
      <c r="F199" s="11">
        <v>0.0</v>
      </c>
      <c r="G199" s="11">
        <v>0.0</v>
      </c>
      <c r="H199" s="11">
        <f t="shared" si="1"/>
        <v>0</v>
      </c>
      <c r="I199" s="11">
        <v>0.0</v>
      </c>
      <c r="J199" s="11">
        <v>0.0</v>
      </c>
      <c r="K199" s="11">
        <v>0.0</v>
      </c>
      <c r="L199" s="11">
        <f t="shared" si="2"/>
        <v>0</v>
      </c>
      <c r="M199" s="13" t="str">
        <f t="shared" si="3"/>
        <v/>
      </c>
      <c r="N199" s="13" t="str">
        <f t="shared" si="4"/>
        <v/>
      </c>
    </row>
    <row r="200" ht="15.75" customHeight="1">
      <c r="A200" s="11">
        <v>41601.0</v>
      </c>
      <c r="B200" s="11" t="s">
        <v>258</v>
      </c>
      <c r="C200" s="12" t="str">
        <f>IF(Datos_originales!$E200&lt;1000,"Bosque menor a 1000 ha",Datos_originales!$E200)</f>
        <v>Bosque menor a 1000 ha</v>
      </c>
      <c r="D200" s="11">
        <v>0.0</v>
      </c>
      <c r="E200" s="11">
        <v>0.0</v>
      </c>
      <c r="F200" s="11">
        <v>0.0</v>
      </c>
      <c r="G200" s="11">
        <v>0.0</v>
      </c>
      <c r="H200" s="11">
        <f t="shared" si="1"/>
        <v>0</v>
      </c>
      <c r="I200" s="11">
        <v>0.0</v>
      </c>
      <c r="J200" s="11">
        <v>0.0</v>
      </c>
      <c r="K200" s="11">
        <v>0.0</v>
      </c>
      <c r="L200" s="11">
        <f t="shared" si="2"/>
        <v>0</v>
      </c>
      <c r="M200" s="13" t="str">
        <f t="shared" si="3"/>
        <v/>
      </c>
      <c r="N200" s="13" t="str">
        <f t="shared" si="4"/>
        <v/>
      </c>
    </row>
    <row r="201" ht="15.75" customHeight="1">
      <c r="A201" s="11">
        <v>50101.0</v>
      </c>
      <c r="B201" s="11" t="s">
        <v>259</v>
      </c>
      <c r="C201" s="15" t="str">
        <f>IF(Datos_originales!$E201&lt;1000,"Bosque menor a 1000 ha",Datos_originales!$E201)</f>
        <v>Bosque menor a 1000 ha</v>
      </c>
      <c r="D201" s="11">
        <v>0.0</v>
      </c>
      <c r="E201" s="11">
        <v>0.0</v>
      </c>
      <c r="F201" s="11">
        <v>0.0</v>
      </c>
      <c r="G201" s="11">
        <v>0.0</v>
      </c>
      <c r="H201" s="11">
        <f t="shared" si="1"/>
        <v>0</v>
      </c>
      <c r="I201" s="11">
        <v>0.0</v>
      </c>
      <c r="J201" s="11">
        <v>0.0</v>
      </c>
      <c r="K201" s="11">
        <v>0.0</v>
      </c>
      <c r="L201" s="11">
        <f t="shared" si="2"/>
        <v>0</v>
      </c>
      <c r="M201" s="13" t="str">
        <f t="shared" si="3"/>
        <v/>
      </c>
      <c r="N201" s="13" t="str">
        <f t="shared" si="4"/>
        <v/>
      </c>
    </row>
    <row r="202" ht="15.75" customHeight="1">
      <c r="A202" s="11">
        <v>50102.0</v>
      </c>
      <c r="B202" s="11" t="s">
        <v>260</v>
      </c>
      <c r="C202" s="12" t="str">
        <f>IF(Datos_originales!$E202&lt;1000,"Bosque menor a 1000 ha",Datos_originales!$E202)</f>
        <v>Bosque menor a 1000 ha</v>
      </c>
      <c r="D202" s="11">
        <v>0.0</v>
      </c>
      <c r="E202" s="11">
        <v>0.0</v>
      </c>
      <c r="F202" s="11">
        <v>0.0</v>
      </c>
      <c r="G202" s="11">
        <v>0.0</v>
      </c>
      <c r="H202" s="11">
        <f t="shared" si="1"/>
        <v>0</v>
      </c>
      <c r="I202" s="11">
        <v>0.0</v>
      </c>
      <c r="J202" s="11">
        <v>0.0</v>
      </c>
      <c r="K202" s="11">
        <v>0.0</v>
      </c>
      <c r="L202" s="11">
        <f t="shared" si="2"/>
        <v>0</v>
      </c>
      <c r="M202" s="13" t="str">
        <f t="shared" si="3"/>
        <v/>
      </c>
      <c r="N202" s="13" t="str">
        <f t="shared" si="4"/>
        <v/>
      </c>
    </row>
    <row r="203" ht="15.75" customHeight="1">
      <c r="A203" s="11">
        <v>50103.0</v>
      </c>
      <c r="B203" s="11" t="s">
        <v>261</v>
      </c>
      <c r="C203" s="15" t="str">
        <f>IF(Datos_originales!$E203&lt;1000,"Bosque menor a 1000 ha",Datos_originales!$E203)</f>
        <v>Bosque menor a 1000 ha</v>
      </c>
      <c r="D203" s="11">
        <v>0.0</v>
      </c>
      <c r="E203" s="11">
        <v>0.0</v>
      </c>
      <c r="F203" s="11">
        <v>0.0</v>
      </c>
      <c r="G203" s="11">
        <v>0.0</v>
      </c>
      <c r="H203" s="11">
        <f t="shared" si="1"/>
        <v>0</v>
      </c>
      <c r="I203" s="11">
        <v>0.0</v>
      </c>
      <c r="J203" s="11">
        <v>0.0</v>
      </c>
      <c r="K203" s="11">
        <v>0.0</v>
      </c>
      <c r="L203" s="11">
        <f t="shared" si="2"/>
        <v>0</v>
      </c>
      <c r="M203" s="13" t="str">
        <f t="shared" si="3"/>
        <v/>
      </c>
      <c r="N203" s="13" t="str">
        <f t="shared" si="4"/>
        <v/>
      </c>
    </row>
    <row r="204" ht="15.75" customHeight="1">
      <c r="A204" s="11">
        <v>50104.0</v>
      </c>
      <c r="B204" s="11" t="s">
        <v>262</v>
      </c>
      <c r="C204" s="12" t="str">
        <f>IF(Datos_originales!$E204&lt;1000,"Bosque menor a 1000 ha",Datos_originales!$E204)</f>
        <v>Bosque menor a 1000 ha</v>
      </c>
      <c r="D204" s="11">
        <v>0.0</v>
      </c>
      <c r="E204" s="11">
        <v>0.0</v>
      </c>
      <c r="F204" s="11">
        <v>0.0</v>
      </c>
      <c r="G204" s="11">
        <v>0.0</v>
      </c>
      <c r="H204" s="11">
        <f t="shared" si="1"/>
        <v>0</v>
      </c>
      <c r="I204" s="11">
        <v>0.0</v>
      </c>
      <c r="J204" s="11">
        <v>0.0</v>
      </c>
      <c r="K204" s="11">
        <v>0.0</v>
      </c>
      <c r="L204" s="11">
        <f t="shared" si="2"/>
        <v>0</v>
      </c>
      <c r="M204" s="13" t="str">
        <f t="shared" si="3"/>
        <v/>
      </c>
      <c r="N204" s="13" t="str">
        <f t="shared" si="4"/>
        <v/>
      </c>
    </row>
    <row r="205" ht="15.75" customHeight="1">
      <c r="A205" s="11">
        <v>50201.0</v>
      </c>
      <c r="B205" s="11" t="s">
        <v>263</v>
      </c>
      <c r="C205" s="15" t="str">
        <f>IF(Datos_originales!$E205&lt;1000,"Bosque menor a 1000 ha",Datos_originales!$E205)</f>
        <v>Bosque menor a 1000 ha</v>
      </c>
      <c r="D205" s="11">
        <v>0.0</v>
      </c>
      <c r="E205" s="11">
        <v>0.0</v>
      </c>
      <c r="F205" s="11">
        <v>0.0</v>
      </c>
      <c r="G205" s="11">
        <v>0.0</v>
      </c>
      <c r="H205" s="11">
        <f t="shared" si="1"/>
        <v>0</v>
      </c>
      <c r="I205" s="11">
        <v>0.0</v>
      </c>
      <c r="J205" s="11">
        <v>0.0</v>
      </c>
      <c r="K205" s="11">
        <v>0.0</v>
      </c>
      <c r="L205" s="11">
        <f t="shared" si="2"/>
        <v>0</v>
      </c>
      <c r="M205" s="13" t="str">
        <f t="shared" si="3"/>
        <v/>
      </c>
      <c r="N205" s="13" t="str">
        <f t="shared" si="4"/>
        <v/>
      </c>
    </row>
    <row r="206" ht="15.75" customHeight="1">
      <c r="A206" s="11">
        <v>50202.0</v>
      </c>
      <c r="B206" s="11" t="s">
        <v>264</v>
      </c>
      <c r="C206" s="12" t="str">
        <f>IF(Datos_originales!$E206&lt;1000,"Bosque menor a 1000 ha",Datos_originales!$E206)</f>
        <v>Bosque menor a 1000 ha</v>
      </c>
      <c r="D206" s="11">
        <v>0.0</v>
      </c>
      <c r="E206" s="11">
        <v>0.0</v>
      </c>
      <c r="F206" s="11">
        <v>0.0</v>
      </c>
      <c r="G206" s="11">
        <v>0.0</v>
      </c>
      <c r="H206" s="11">
        <f t="shared" si="1"/>
        <v>0</v>
      </c>
      <c r="I206" s="11">
        <v>0.0</v>
      </c>
      <c r="J206" s="11">
        <v>0.0</v>
      </c>
      <c r="K206" s="11">
        <v>0.0</v>
      </c>
      <c r="L206" s="11">
        <f t="shared" si="2"/>
        <v>0</v>
      </c>
      <c r="M206" s="13" t="str">
        <f t="shared" si="3"/>
        <v/>
      </c>
      <c r="N206" s="13" t="str">
        <f t="shared" si="4"/>
        <v/>
      </c>
    </row>
    <row r="207" ht="15.75" customHeight="1">
      <c r="A207" s="11">
        <v>50203.0</v>
      </c>
      <c r="B207" s="11" t="s">
        <v>265</v>
      </c>
      <c r="C207" s="15" t="str">
        <f>IF(Datos_originales!$E207&lt;1000,"Bosque menor a 1000 ha",Datos_originales!$E207)</f>
        <v>Bosque menor a 1000 ha</v>
      </c>
      <c r="D207" s="11">
        <v>0.0</v>
      </c>
      <c r="E207" s="11">
        <v>0.0</v>
      </c>
      <c r="F207" s="11">
        <v>0.0</v>
      </c>
      <c r="G207" s="11">
        <v>0.0</v>
      </c>
      <c r="H207" s="11">
        <f t="shared" si="1"/>
        <v>0</v>
      </c>
      <c r="I207" s="11">
        <v>0.0</v>
      </c>
      <c r="J207" s="11">
        <v>0.0</v>
      </c>
      <c r="K207" s="11">
        <v>0.0</v>
      </c>
      <c r="L207" s="11">
        <f t="shared" si="2"/>
        <v>0</v>
      </c>
      <c r="M207" s="13" t="str">
        <f t="shared" si="3"/>
        <v/>
      </c>
      <c r="N207" s="13" t="str">
        <f t="shared" si="4"/>
        <v/>
      </c>
    </row>
    <row r="208" ht="15.75" customHeight="1">
      <c r="A208" s="11">
        <v>50204.0</v>
      </c>
      <c r="B208" s="11" t="s">
        <v>266</v>
      </c>
      <c r="C208" s="12" t="str">
        <f>IF(Datos_originales!$E208&lt;1000,"Bosque menor a 1000 ha",Datos_originales!$E208)</f>
        <v>Bosque menor a 1000 ha</v>
      </c>
      <c r="D208" s="11">
        <v>0.0</v>
      </c>
      <c r="E208" s="11">
        <v>0.0</v>
      </c>
      <c r="F208" s="11">
        <v>0.0</v>
      </c>
      <c r="G208" s="11">
        <v>0.0</v>
      </c>
      <c r="H208" s="11">
        <f t="shared" si="1"/>
        <v>0</v>
      </c>
      <c r="I208" s="11">
        <v>0.0</v>
      </c>
      <c r="J208" s="11">
        <v>0.0</v>
      </c>
      <c r="K208" s="11">
        <v>0.0</v>
      </c>
      <c r="L208" s="11">
        <f t="shared" si="2"/>
        <v>0</v>
      </c>
      <c r="M208" s="13" t="str">
        <f t="shared" si="3"/>
        <v/>
      </c>
      <c r="N208" s="13" t="str">
        <f t="shared" si="4"/>
        <v/>
      </c>
    </row>
    <row r="209" ht="15.75" customHeight="1">
      <c r="A209" s="11">
        <v>50301.0</v>
      </c>
      <c r="B209" s="11" t="s">
        <v>267</v>
      </c>
      <c r="C209" s="15">
        <f>IF(Datos_originales!$E209&lt;1000,"Bosque menor a 1000 ha",Datos_originales!$E209)</f>
        <v>1696.68</v>
      </c>
      <c r="D209" s="11">
        <v>1696.68</v>
      </c>
      <c r="E209" s="11">
        <v>5.58</v>
      </c>
      <c r="F209" s="11">
        <v>2.7</v>
      </c>
      <c r="G209" s="11">
        <v>29.43</v>
      </c>
      <c r="H209" s="11">
        <f t="shared" si="1"/>
        <v>12.57</v>
      </c>
      <c r="I209" s="11">
        <v>0.72</v>
      </c>
      <c r="J209" s="11">
        <v>1.44</v>
      </c>
      <c r="K209" s="11">
        <v>234.63</v>
      </c>
      <c r="L209" s="11">
        <f t="shared" si="2"/>
        <v>78.93</v>
      </c>
      <c r="M209" s="13">
        <f t="shared" si="3"/>
        <v>0.740858618</v>
      </c>
      <c r="N209" s="13">
        <f t="shared" si="4"/>
        <v>4.65202631</v>
      </c>
    </row>
    <row r="210" ht="15.75" customHeight="1">
      <c r="A210" s="11">
        <v>50302.0</v>
      </c>
      <c r="B210" s="11" t="s">
        <v>268</v>
      </c>
      <c r="C210" s="12" t="str">
        <f>IF(Datos_originales!$E210&lt;1000,"Bosque menor a 1000 ha",Datos_originales!$E210)</f>
        <v>Bosque menor a 1000 ha</v>
      </c>
      <c r="D210" s="11">
        <v>0.0</v>
      </c>
      <c r="E210" s="11">
        <v>0.0</v>
      </c>
      <c r="F210" s="11">
        <v>0.0</v>
      </c>
      <c r="G210" s="11">
        <v>0.0</v>
      </c>
      <c r="H210" s="11">
        <f t="shared" si="1"/>
        <v>0</v>
      </c>
      <c r="I210" s="11">
        <v>0.0</v>
      </c>
      <c r="J210" s="11">
        <v>0.0</v>
      </c>
      <c r="K210" s="11">
        <v>0.0</v>
      </c>
      <c r="L210" s="11">
        <f t="shared" si="2"/>
        <v>0</v>
      </c>
      <c r="M210" s="13" t="str">
        <f t="shared" si="3"/>
        <v/>
      </c>
      <c r="N210" s="13" t="str">
        <f t="shared" si="4"/>
        <v/>
      </c>
    </row>
    <row r="211" ht="15.75" customHeight="1">
      <c r="A211" s="11">
        <v>50303.0</v>
      </c>
      <c r="B211" s="11" t="s">
        <v>269</v>
      </c>
      <c r="C211" s="15" t="str">
        <f>IF(Datos_originales!$E211&lt;1000,"Bosque menor a 1000 ha",Datos_originales!$E211)</f>
        <v>Bosque menor a 1000 ha</v>
      </c>
      <c r="D211" s="11">
        <v>0.0</v>
      </c>
      <c r="E211" s="11">
        <v>0.0</v>
      </c>
      <c r="F211" s="11">
        <v>0.0</v>
      </c>
      <c r="G211" s="11">
        <v>0.0</v>
      </c>
      <c r="H211" s="11">
        <f t="shared" si="1"/>
        <v>0</v>
      </c>
      <c r="I211" s="11">
        <v>0.0</v>
      </c>
      <c r="J211" s="11">
        <v>0.0</v>
      </c>
      <c r="K211" s="11">
        <v>0.0</v>
      </c>
      <c r="L211" s="11">
        <f t="shared" si="2"/>
        <v>0</v>
      </c>
      <c r="M211" s="13" t="str">
        <f t="shared" si="3"/>
        <v/>
      </c>
      <c r="N211" s="13" t="str">
        <f t="shared" si="4"/>
        <v/>
      </c>
    </row>
    <row r="212" ht="15.75" customHeight="1">
      <c r="A212" s="11">
        <v>50401.0</v>
      </c>
      <c r="B212" s="11" t="s">
        <v>270</v>
      </c>
      <c r="C212" s="12">
        <f>IF(Datos_originales!$E212&lt;1000,"Bosque menor a 1000 ha",Datos_originales!$E212)</f>
        <v>1334.79</v>
      </c>
      <c r="D212" s="11">
        <v>1334.79</v>
      </c>
      <c r="E212" s="11">
        <v>6.48</v>
      </c>
      <c r="F212" s="11">
        <v>3.69</v>
      </c>
      <c r="G212" s="11">
        <v>24.66</v>
      </c>
      <c r="H212" s="11">
        <f t="shared" si="1"/>
        <v>11.61</v>
      </c>
      <c r="I212" s="11">
        <v>0.8999999999999999</v>
      </c>
      <c r="J212" s="11">
        <v>4.77</v>
      </c>
      <c r="K212" s="11">
        <v>0.0</v>
      </c>
      <c r="L212" s="11">
        <f t="shared" si="2"/>
        <v>1.89</v>
      </c>
      <c r="M212" s="13">
        <f t="shared" si="3"/>
        <v>0.8697997438</v>
      </c>
      <c r="N212" s="13">
        <f t="shared" si="4"/>
        <v>0.1415953071</v>
      </c>
    </row>
    <row r="213" ht="15.75" customHeight="1">
      <c r="A213" s="11">
        <v>50402.0</v>
      </c>
      <c r="B213" s="11" t="s">
        <v>271</v>
      </c>
      <c r="C213" s="15">
        <f>IF(Datos_originales!$E213&lt;1000,"Bosque menor a 1000 ha",Datos_originales!$E213)</f>
        <v>7140.42</v>
      </c>
      <c r="D213" s="11">
        <v>7140.42</v>
      </c>
      <c r="E213" s="11">
        <v>17.1</v>
      </c>
      <c r="F213" s="11">
        <v>9.54</v>
      </c>
      <c r="G213" s="11">
        <v>116.46</v>
      </c>
      <c r="H213" s="11">
        <f t="shared" si="1"/>
        <v>47.7</v>
      </c>
      <c r="I213" s="11">
        <v>3.87</v>
      </c>
      <c r="J213" s="11">
        <v>67.59</v>
      </c>
      <c r="K213" s="11">
        <v>53.55</v>
      </c>
      <c r="L213" s="11">
        <f t="shared" si="2"/>
        <v>41.67</v>
      </c>
      <c r="M213" s="13">
        <f t="shared" si="3"/>
        <v>0.6680279311</v>
      </c>
      <c r="N213" s="13">
        <f t="shared" si="4"/>
        <v>0.5835791172</v>
      </c>
    </row>
    <row r="214" ht="15.75" customHeight="1">
      <c r="A214" s="11">
        <v>50403.0</v>
      </c>
      <c r="B214" s="11" t="s">
        <v>272</v>
      </c>
      <c r="C214" s="12" t="str">
        <f>IF(Datos_originales!$E214&lt;1000,"Bosque menor a 1000 ha",Datos_originales!$E214)</f>
        <v>Bosque menor a 1000 ha</v>
      </c>
      <c r="D214" s="11">
        <v>492.66</v>
      </c>
      <c r="E214" s="11">
        <v>4.68</v>
      </c>
      <c r="F214" s="11">
        <v>3.69</v>
      </c>
      <c r="G214" s="11">
        <v>12.24</v>
      </c>
      <c r="H214" s="11">
        <f t="shared" si="1"/>
        <v>6.87</v>
      </c>
      <c r="I214" s="11">
        <v>0.27</v>
      </c>
      <c r="J214" s="11">
        <v>3.42</v>
      </c>
      <c r="K214" s="11">
        <v>2.43</v>
      </c>
      <c r="L214" s="11">
        <f t="shared" si="2"/>
        <v>2.04</v>
      </c>
      <c r="M214" s="13" t="str">
        <f t="shared" si="3"/>
        <v/>
      </c>
      <c r="N214" s="13" t="str">
        <f t="shared" si="4"/>
        <v/>
      </c>
    </row>
    <row r="215" ht="15.75" customHeight="1">
      <c r="A215" s="11">
        <v>50404.0</v>
      </c>
      <c r="B215" s="11" t="s">
        <v>273</v>
      </c>
      <c r="C215" s="15" t="str">
        <f>IF(Datos_originales!$E215&lt;1000,"Bosque menor a 1000 ha",Datos_originales!$E215)</f>
        <v>Bosque menor a 1000 ha</v>
      </c>
      <c r="D215" s="11">
        <v>0.0</v>
      </c>
      <c r="E215" s="11">
        <v>0.0</v>
      </c>
      <c r="F215" s="11">
        <v>0.0</v>
      </c>
      <c r="G215" s="11">
        <v>0.0</v>
      </c>
      <c r="H215" s="11">
        <f t="shared" si="1"/>
        <v>0</v>
      </c>
      <c r="I215" s="11">
        <v>0.0</v>
      </c>
      <c r="J215" s="11">
        <v>0.0</v>
      </c>
      <c r="K215" s="11">
        <v>0.0</v>
      </c>
      <c r="L215" s="11">
        <f t="shared" si="2"/>
        <v>0</v>
      </c>
      <c r="M215" s="13" t="str">
        <f t="shared" si="3"/>
        <v/>
      </c>
      <c r="N215" s="13" t="str">
        <f t="shared" si="4"/>
        <v/>
      </c>
    </row>
    <row r="216" ht="15.75" customHeight="1">
      <c r="A216" s="11">
        <v>50405.0</v>
      </c>
      <c r="B216" s="11" t="s">
        <v>274</v>
      </c>
      <c r="C216" s="12" t="str">
        <f>IF(Datos_originales!$E216&lt;1000,"Bosque menor a 1000 ha",Datos_originales!$E216)</f>
        <v>Bosque menor a 1000 ha</v>
      </c>
      <c r="D216" s="11">
        <v>0.0</v>
      </c>
      <c r="E216" s="11">
        <v>0.0</v>
      </c>
      <c r="F216" s="11">
        <v>0.0</v>
      </c>
      <c r="G216" s="11">
        <v>0.0</v>
      </c>
      <c r="H216" s="11">
        <f t="shared" si="1"/>
        <v>0</v>
      </c>
      <c r="I216" s="11">
        <v>0.0</v>
      </c>
      <c r="J216" s="11">
        <v>0.0</v>
      </c>
      <c r="K216" s="11">
        <v>0.0</v>
      </c>
      <c r="L216" s="11">
        <f t="shared" si="2"/>
        <v>0</v>
      </c>
      <c r="M216" s="13" t="str">
        <f t="shared" si="3"/>
        <v/>
      </c>
      <c r="N216" s="13" t="str">
        <f t="shared" si="4"/>
        <v/>
      </c>
    </row>
    <row r="217" ht="15.75" customHeight="1">
      <c r="A217" s="11">
        <v>50501.0</v>
      </c>
      <c r="B217" s="11" t="s">
        <v>275</v>
      </c>
      <c r="C217" s="15">
        <f>IF(Datos_originales!$E217&lt;1000,"Bosque menor a 1000 ha",Datos_originales!$E217)</f>
        <v>12536.73</v>
      </c>
      <c r="D217" s="11">
        <v>12536.73</v>
      </c>
      <c r="E217" s="11">
        <v>62.55</v>
      </c>
      <c r="F217" s="11">
        <v>45.72</v>
      </c>
      <c r="G217" s="11">
        <v>197.28</v>
      </c>
      <c r="H217" s="11">
        <f t="shared" si="1"/>
        <v>101.85</v>
      </c>
      <c r="I217" s="11">
        <v>4.140000000000001</v>
      </c>
      <c r="J217" s="11">
        <v>105.84</v>
      </c>
      <c r="K217" s="11">
        <v>0.9</v>
      </c>
      <c r="L217" s="11">
        <f t="shared" si="2"/>
        <v>36.96</v>
      </c>
      <c r="M217" s="13">
        <f t="shared" si="3"/>
        <v>0.8124128062</v>
      </c>
      <c r="N217" s="13">
        <f t="shared" si="4"/>
        <v>0.2948137194</v>
      </c>
    </row>
    <row r="218" ht="15.75" customHeight="1">
      <c r="A218" s="11">
        <v>50502.0</v>
      </c>
      <c r="B218" s="11" t="s">
        <v>276</v>
      </c>
      <c r="C218" s="12">
        <f>IF(Datos_originales!$E218&lt;1000,"Bosque menor a 1000 ha",Datos_originales!$E218)</f>
        <v>17932.41</v>
      </c>
      <c r="D218" s="11">
        <v>17932.41</v>
      </c>
      <c r="E218" s="11">
        <v>34.47</v>
      </c>
      <c r="F218" s="11">
        <v>28.62</v>
      </c>
      <c r="G218" s="11">
        <v>166.5</v>
      </c>
      <c r="H218" s="11">
        <f t="shared" si="1"/>
        <v>76.53</v>
      </c>
      <c r="I218" s="11">
        <v>5.85</v>
      </c>
      <c r="J218" s="11">
        <v>70.74000000000001</v>
      </c>
      <c r="K218" s="11">
        <v>4.68</v>
      </c>
      <c r="L218" s="11">
        <f t="shared" si="2"/>
        <v>27.09</v>
      </c>
      <c r="M218" s="13">
        <f t="shared" si="3"/>
        <v>0.426769185</v>
      </c>
      <c r="N218" s="13">
        <f t="shared" si="4"/>
        <v>0.1510672576</v>
      </c>
    </row>
    <row r="219" ht="15.75" customHeight="1">
      <c r="A219" s="11">
        <v>50601.0</v>
      </c>
      <c r="B219" s="11" t="s">
        <v>277</v>
      </c>
      <c r="C219" s="15" t="str">
        <f>IF(Datos_originales!$E219&lt;1000,"Bosque menor a 1000 ha",Datos_originales!$E219)</f>
        <v>Bosque menor a 1000 ha</v>
      </c>
      <c r="D219" s="11">
        <v>0.0</v>
      </c>
      <c r="E219" s="11">
        <v>0.0</v>
      </c>
      <c r="F219" s="11">
        <v>0.0</v>
      </c>
      <c r="G219" s="11">
        <v>0.0</v>
      </c>
      <c r="H219" s="11">
        <f t="shared" si="1"/>
        <v>0</v>
      </c>
      <c r="I219" s="11">
        <v>0.0</v>
      </c>
      <c r="J219" s="11">
        <v>0.0</v>
      </c>
      <c r="K219" s="11">
        <v>0.0</v>
      </c>
      <c r="L219" s="11">
        <f t="shared" si="2"/>
        <v>0</v>
      </c>
      <c r="M219" s="13" t="str">
        <f t="shared" si="3"/>
        <v/>
      </c>
      <c r="N219" s="13" t="str">
        <f t="shared" si="4"/>
        <v/>
      </c>
    </row>
    <row r="220" ht="15.75" customHeight="1">
      <c r="A220" s="11">
        <v>50602.0</v>
      </c>
      <c r="B220" s="11" t="s">
        <v>278</v>
      </c>
      <c r="C220" s="12" t="str">
        <f>IF(Datos_originales!$E220&lt;1000,"Bosque menor a 1000 ha",Datos_originales!$E220)</f>
        <v>Bosque menor a 1000 ha</v>
      </c>
      <c r="D220" s="11">
        <v>0.0</v>
      </c>
      <c r="E220" s="11">
        <v>0.0</v>
      </c>
      <c r="F220" s="11">
        <v>0.0</v>
      </c>
      <c r="G220" s="11">
        <v>0.0</v>
      </c>
      <c r="H220" s="11">
        <f t="shared" si="1"/>
        <v>0</v>
      </c>
      <c r="I220" s="11">
        <v>0.0</v>
      </c>
      <c r="J220" s="11">
        <v>0.0</v>
      </c>
      <c r="K220" s="11">
        <v>0.0</v>
      </c>
      <c r="L220" s="11">
        <f t="shared" si="2"/>
        <v>0</v>
      </c>
      <c r="M220" s="13" t="str">
        <f t="shared" si="3"/>
        <v/>
      </c>
      <c r="N220" s="13" t="str">
        <f t="shared" si="4"/>
        <v/>
      </c>
    </row>
    <row r="221" ht="15.75" customHeight="1">
      <c r="A221" s="11">
        <v>50701.0</v>
      </c>
      <c r="B221" s="11" t="s">
        <v>279</v>
      </c>
      <c r="C221" s="15" t="str">
        <f>IF(Datos_originales!$E221&lt;1000,"Bosque menor a 1000 ha",Datos_originales!$E221)</f>
        <v>Bosque menor a 1000 ha</v>
      </c>
      <c r="D221" s="11">
        <v>0.0</v>
      </c>
      <c r="E221" s="11">
        <v>0.0</v>
      </c>
      <c r="F221" s="11">
        <v>0.0</v>
      </c>
      <c r="G221" s="11">
        <v>0.0</v>
      </c>
      <c r="H221" s="11">
        <f t="shared" si="1"/>
        <v>0</v>
      </c>
      <c r="I221" s="11">
        <v>0.0</v>
      </c>
      <c r="J221" s="11">
        <v>0.0</v>
      </c>
      <c r="K221" s="11">
        <v>0.0</v>
      </c>
      <c r="L221" s="11">
        <f t="shared" si="2"/>
        <v>0</v>
      </c>
      <c r="M221" s="13" t="str">
        <f t="shared" si="3"/>
        <v/>
      </c>
      <c r="N221" s="13" t="str">
        <f t="shared" si="4"/>
        <v/>
      </c>
    </row>
    <row r="222" ht="15.75" customHeight="1">
      <c r="A222" s="11">
        <v>50702.0</v>
      </c>
      <c r="B222" s="11" t="s">
        <v>280</v>
      </c>
      <c r="C222" s="12" t="str">
        <f>IF(Datos_originales!$E222&lt;1000,"Bosque menor a 1000 ha",Datos_originales!$E222)</f>
        <v>Bosque menor a 1000 ha</v>
      </c>
      <c r="D222" s="11">
        <v>0.0</v>
      </c>
      <c r="E222" s="11">
        <v>0.0</v>
      </c>
      <c r="F222" s="11">
        <v>0.0</v>
      </c>
      <c r="G222" s="11">
        <v>0.0</v>
      </c>
      <c r="H222" s="11">
        <f t="shared" si="1"/>
        <v>0</v>
      </c>
      <c r="I222" s="11">
        <v>0.0</v>
      </c>
      <c r="J222" s="11">
        <v>0.0</v>
      </c>
      <c r="K222" s="11">
        <v>0.0</v>
      </c>
      <c r="L222" s="11">
        <f t="shared" si="2"/>
        <v>0</v>
      </c>
      <c r="M222" s="13" t="str">
        <f t="shared" si="3"/>
        <v/>
      </c>
      <c r="N222" s="13" t="str">
        <f t="shared" si="4"/>
        <v/>
      </c>
    </row>
    <row r="223" ht="15.75" customHeight="1">
      <c r="A223" s="11">
        <v>50801.0</v>
      </c>
      <c r="B223" s="11" t="s">
        <v>281</v>
      </c>
      <c r="C223" s="15" t="str">
        <f>IF(Datos_originales!$E223&lt;1000,"Bosque menor a 1000 ha",Datos_originales!$E223)</f>
        <v>Bosque menor a 1000 ha</v>
      </c>
      <c r="D223" s="11">
        <v>0.0</v>
      </c>
      <c r="E223" s="11">
        <v>0.0</v>
      </c>
      <c r="F223" s="11">
        <v>0.0</v>
      </c>
      <c r="G223" s="11">
        <v>0.0</v>
      </c>
      <c r="H223" s="11">
        <f t="shared" si="1"/>
        <v>0</v>
      </c>
      <c r="I223" s="11">
        <v>0.0</v>
      </c>
      <c r="J223" s="11">
        <v>0.0</v>
      </c>
      <c r="K223" s="11">
        <v>0.0</v>
      </c>
      <c r="L223" s="11">
        <f t="shared" si="2"/>
        <v>0</v>
      </c>
      <c r="M223" s="13" t="str">
        <f t="shared" si="3"/>
        <v/>
      </c>
      <c r="N223" s="13" t="str">
        <f t="shared" si="4"/>
        <v/>
      </c>
    </row>
    <row r="224" ht="15.75" customHeight="1">
      <c r="A224" s="11">
        <v>50802.0</v>
      </c>
      <c r="B224" s="11" t="s">
        <v>282</v>
      </c>
      <c r="C224" s="12" t="str">
        <f>IF(Datos_originales!$E224&lt;1000,"Bosque menor a 1000 ha",Datos_originales!$E224)</f>
        <v>Bosque menor a 1000 ha</v>
      </c>
      <c r="D224" s="11">
        <v>0.0</v>
      </c>
      <c r="E224" s="11">
        <v>0.0</v>
      </c>
      <c r="F224" s="11">
        <v>0.0</v>
      </c>
      <c r="G224" s="11">
        <v>0.0</v>
      </c>
      <c r="H224" s="11">
        <f t="shared" si="1"/>
        <v>0</v>
      </c>
      <c r="I224" s="11">
        <v>0.0</v>
      </c>
      <c r="J224" s="11">
        <v>0.0</v>
      </c>
      <c r="K224" s="11">
        <v>0.0</v>
      </c>
      <c r="L224" s="11">
        <f t="shared" si="2"/>
        <v>0</v>
      </c>
      <c r="M224" s="13" t="str">
        <f t="shared" si="3"/>
        <v/>
      </c>
      <c r="N224" s="13" t="str">
        <f t="shared" si="4"/>
        <v/>
      </c>
    </row>
    <row r="225" ht="15.75" customHeight="1">
      <c r="A225" s="11">
        <v>50901.0</v>
      </c>
      <c r="B225" s="11" t="s">
        <v>283</v>
      </c>
      <c r="C225" s="15" t="str">
        <f>IF(Datos_originales!$E225&lt;1000,"Bosque menor a 1000 ha",Datos_originales!$E225)</f>
        <v>Bosque menor a 1000 ha</v>
      </c>
      <c r="D225" s="11">
        <v>0.0</v>
      </c>
      <c r="E225" s="11">
        <v>0.0</v>
      </c>
      <c r="F225" s="11">
        <v>0.0</v>
      </c>
      <c r="G225" s="11">
        <v>0.0</v>
      </c>
      <c r="H225" s="11">
        <f t="shared" si="1"/>
        <v>0</v>
      </c>
      <c r="I225" s="11">
        <v>0.0</v>
      </c>
      <c r="J225" s="11">
        <v>0.0</v>
      </c>
      <c r="K225" s="11">
        <v>0.0</v>
      </c>
      <c r="L225" s="11">
        <f t="shared" si="2"/>
        <v>0</v>
      </c>
      <c r="M225" s="13" t="str">
        <f t="shared" si="3"/>
        <v/>
      </c>
      <c r="N225" s="13" t="str">
        <f t="shared" si="4"/>
        <v/>
      </c>
    </row>
    <row r="226" ht="15.75" customHeight="1">
      <c r="A226" s="11">
        <v>50902.0</v>
      </c>
      <c r="B226" s="11" t="s">
        <v>284</v>
      </c>
      <c r="C226" s="12" t="str">
        <f>IF(Datos_originales!$E226&lt;1000,"Bosque menor a 1000 ha",Datos_originales!$E226)</f>
        <v>Bosque menor a 1000 ha</v>
      </c>
      <c r="D226" s="11">
        <v>0.0</v>
      </c>
      <c r="E226" s="11">
        <v>0.0</v>
      </c>
      <c r="F226" s="11">
        <v>0.0</v>
      </c>
      <c r="G226" s="11">
        <v>0.0</v>
      </c>
      <c r="H226" s="11">
        <f t="shared" si="1"/>
        <v>0</v>
      </c>
      <c r="I226" s="11">
        <v>0.0</v>
      </c>
      <c r="J226" s="11">
        <v>0.0</v>
      </c>
      <c r="K226" s="11">
        <v>0.0</v>
      </c>
      <c r="L226" s="11">
        <f t="shared" si="2"/>
        <v>0</v>
      </c>
      <c r="M226" s="13" t="str">
        <f t="shared" si="3"/>
        <v/>
      </c>
      <c r="N226" s="13" t="str">
        <f t="shared" si="4"/>
        <v/>
      </c>
    </row>
    <row r="227" ht="15.75" customHeight="1">
      <c r="A227" s="11">
        <v>51001.0</v>
      </c>
      <c r="B227" s="11" t="s">
        <v>285</v>
      </c>
      <c r="C227" s="15" t="str">
        <f>IF(Datos_originales!$E227&lt;1000,"Bosque menor a 1000 ha",Datos_originales!$E227)</f>
        <v>Bosque menor a 1000 ha</v>
      </c>
      <c r="D227" s="11">
        <v>0.0</v>
      </c>
      <c r="E227" s="11">
        <v>0.0</v>
      </c>
      <c r="F227" s="11">
        <v>0.0</v>
      </c>
      <c r="G227" s="11">
        <v>0.0</v>
      </c>
      <c r="H227" s="11">
        <f t="shared" si="1"/>
        <v>0</v>
      </c>
      <c r="I227" s="11">
        <v>0.0</v>
      </c>
      <c r="J227" s="11">
        <v>0.0</v>
      </c>
      <c r="K227" s="11">
        <v>0.0</v>
      </c>
      <c r="L227" s="11">
        <f t="shared" si="2"/>
        <v>0</v>
      </c>
      <c r="M227" s="13" t="str">
        <f t="shared" si="3"/>
        <v/>
      </c>
      <c r="N227" s="13" t="str">
        <f t="shared" si="4"/>
        <v/>
      </c>
    </row>
    <row r="228" ht="15.75" customHeight="1">
      <c r="A228" s="11">
        <v>51002.0</v>
      </c>
      <c r="B228" s="11" t="s">
        <v>286</v>
      </c>
      <c r="C228" s="12" t="str">
        <f>IF(Datos_originales!$E228&lt;1000,"Bosque menor a 1000 ha",Datos_originales!$E228)</f>
        <v>Bosque menor a 1000 ha</v>
      </c>
      <c r="D228" s="11">
        <v>0.0</v>
      </c>
      <c r="E228" s="11">
        <v>0.0</v>
      </c>
      <c r="F228" s="11">
        <v>0.0</v>
      </c>
      <c r="G228" s="11">
        <v>0.0</v>
      </c>
      <c r="H228" s="11">
        <f t="shared" si="1"/>
        <v>0</v>
      </c>
      <c r="I228" s="11">
        <v>0.0</v>
      </c>
      <c r="J228" s="11">
        <v>0.0</v>
      </c>
      <c r="K228" s="11">
        <v>0.0</v>
      </c>
      <c r="L228" s="11">
        <f t="shared" si="2"/>
        <v>0</v>
      </c>
      <c r="M228" s="13" t="str">
        <f t="shared" si="3"/>
        <v/>
      </c>
      <c r="N228" s="13" t="str">
        <f t="shared" si="4"/>
        <v/>
      </c>
    </row>
    <row r="229" ht="15.75" customHeight="1">
      <c r="A229" s="11">
        <v>51003.0</v>
      </c>
      <c r="B229" s="11" t="s">
        <v>287</v>
      </c>
      <c r="C229" s="15" t="str">
        <f>IF(Datos_originales!$E229&lt;1000,"Bosque menor a 1000 ha",Datos_originales!$E229)</f>
        <v>Bosque menor a 1000 ha</v>
      </c>
      <c r="D229" s="11">
        <v>0.0</v>
      </c>
      <c r="E229" s="11">
        <v>0.0</v>
      </c>
      <c r="F229" s="11">
        <v>0.0</v>
      </c>
      <c r="G229" s="11">
        <v>0.0</v>
      </c>
      <c r="H229" s="11">
        <f t="shared" si="1"/>
        <v>0</v>
      </c>
      <c r="I229" s="11">
        <v>0.0</v>
      </c>
      <c r="J229" s="11">
        <v>0.0</v>
      </c>
      <c r="K229" s="11">
        <v>0.0</v>
      </c>
      <c r="L229" s="11">
        <f t="shared" si="2"/>
        <v>0</v>
      </c>
      <c r="M229" s="13" t="str">
        <f t="shared" si="3"/>
        <v/>
      </c>
      <c r="N229" s="13" t="str">
        <f t="shared" si="4"/>
        <v/>
      </c>
    </row>
    <row r="230" ht="15.75" customHeight="1">
      <c r="A230" s="11">
        <v>51101.0</v>
      </c>
      <c r="B230" s="11" t="s">
        <v>288</v>
      </c>
      <c r="C230" s="12" t="str">
        <f>IF(Datos_originales!$E230&lt;1000,"Bosque menor a 1000 ha",Datos_originales!$E230)</f>
        <v>Bosque menor a 1000 ha</v>
      </c>
      <c r="D230" s="11">
        <v>0.0</v>
      </c>
      <c r="E230" s="11">
        <v>0.0</v>
      </c>
      <c r="F230" s="11">
        <v>0.0</v>
      </c>
      <c r="G230" s="11">
        <v>0.0</v>
      </c>
      <c r="H230" s="11">
        <f t="shared" si="1"/>
        <v>0</v>
      </c>
      <c r="I230" s="11">
        <v>0.0</v>
      </c>
      <c r="J230" s="11">
        <v>0.0</v>
      </c>
      <c r="K230" s="11">
        <v>0.0</v>
      </c>
      <c r="L230" s="11">
        <f t="shared" si="2"/>
        <v>0</v>
      </c>
      <c r="M230" s="13" t="str">
        <f t="shared" si="3"/>
        <v/>
      </c>
      <c r="N230" s="13" t="str">
        <f t="shared" si="4"/>
        <v/>
      </c>
    </row>
    <row r="231" ht="15.75" customHeight="1">
      <c r="A231" s="11">
        <v>51102.0</v>
      </c>
      <c r="B231" s="11" t="s">
        <v>289</v>
      </c>
      <c r="C231" s="15" t="str">
        <f>IF(Datos_originales!$E231&lt;1000,"Bosque menor a 1000 ha",Datos_originales!$E231)</f>
        <v>Bosque menor a 1000 ha</v>
      </c>
      <c r="D231" s="11">
        <v>0.0</v>
      </c>
      <c r="E231" s="11">
        <v>0.0</v>
      </c>
      <c r="F231" s="11">
        <v>0.0</v>
      </c>
      <c r="G231" s="11">
        <v>0.0</v>
      </c>
      <c r="H231" s="11">
        <f t="shared" si="1"/>
        <v>0</v>
      </c>
      <c r="I231" s="11">
        <v>0.0</v>
      </c>
      <c r="J231" s="11">
        <v>0.0</v>
      </c>
      <c r="K231" s="11">
        <v>0.0</v>
      </c>
      <c r="L231" s="11">
        <f t="shared" si="2"/>
        <v>0</v>
      </c>
      <c r="M231" s="13" t="str">
        <f t="shared" si="3"/>
        <v/>
      </c>
      <c r="N231" s="13" t="str">
        <f t="shared" si="4"/>
        <v/>
      </c>
    </row>
    <row r="232" ht="15.75" customHeight="1">
      <c r="A232" s="11">
        <v>51103.0</v>
      </c>
      <c r="B232" s="11" t="s">
        <v>290</v>
      </c>
      <c r="C232" s="12" t="str">
        <f>IF(Datos_originales!$E232&lt;1000,"Bosque menor a 1000 ha",Datos_originales!$E232)</f>
        <v>Bosque menor a 1000 ha</v>
      </c>
      <c r="D232" s="11">
        <v>445.41</v>
      </c>
      <c r="E232" s="11">
        <v>1.62</v>
      </c>
      <c r="F232" s="11">
        <v>1.98</v>
      </c>
      <c r="G232" s="11">
        <v>8.55</v>
      </c>
      <c r="H232" s="11">
        <f t="shared" si="1"/>
        <v>4.05</v>
      </c>
      <c r="I232" s="11">
        <v>0.09</v>
      </c>
      <c r="J232" s="11">
        <v>1.98</v>
      </c>
      <c r="K232" s="11">
        <v>143.82</v>
      </c>
      <c r="L232" s="11">
        <f t="shared" si="2"/>
        <v>48.63</v>
      </c>
      <c r="M232" s="13" t="str">
        <f t="shared" si="3"/>
        <v/>
      </c>
      <c r="N232" s="13" t="str">
        <f t="shared" si="4"/>
        <v/>
      </c>
    </row>
    <row r="233" ht="15.75" customHeight="1">
      <c r="A233" s="11">
        <v>51201.0</v>
      </c>
      <c r="B233" s="11" t="s">
        <v>291</v>
      </c>
      <c r="C233" s="15" t="str">
        <f>IF(Datos_originales!$E233&lt;1000,"Bosque menor a 1000 ha",Datos_originales!$E233)</f>
        <v>Bosque menor a 1000 ha</v>
      </c>
      <c r="D233" s="11">
        <v>0.0</v>
      </c>
      <c r="E233" s="11">
        <v>0.0</v>
      </c>
      <c r="F233" s="11">
        <v>0.0</v>
      </c>
      <c r="G233" s="11">
        <v>0.0</v>
      </c>
      <c r="H233" s="11">
        <f t="shared" si="1"/>
        <v>0</v>
      </c>
      <c r="I233" s="11">
        <v>0.0</v>
      </c>
      <c r="J233" s="11">
        <v>0.0</v>
      </c>
      <c r="K233" s="11">
        <v>0.0</v>
      </c>
      <c r="L233" s="11">
        <f t="shared" si="2"/>
        <v>0</v>
      </c>
      <c r="M233" s="13" t="str">
        <f t="shared" si="3"/>
        <v/>
      </c>
      <c r="N233" s="13" t="str">
        <f t="shared" si="4"/>
        <v/>
      </c>
    </row>
    <row r="234" ht="15.75" customHeight="1">
      <c r="A234" s="11">
        <v>51202.0</v>
      </c>
      <c r="B234" s="11" t="s">
        <v>292</v>
      </c>
      <c r="C234" s="12" t="str">
        <f>IF(Datos_originales!$E234&lt;1000,"Bosque menor a 1000 ha",Datos_originales!$E234)</f>
        <v>Bosque menor a 1000 ha</v>
      </c>
      <c r="D234" s="11">
        <v>0.0</v>
      </c>
      <c r="E234" s="11">
        <v>0.0</v>
      </c>
      <c r="F234" s="11">
        <v>0.0</v>
      </c>
      <c r="G234" s="11">
        <v>0.0</v>
      </c>
      <c r="H234" s="11">
        <f t="shared" si="1"/>
        <v>0</v>
      </c>
      <c r="I234" s="11">
        <v>0.0</v>
      </c>
      <c r="J234" s="11">
        <v>0.0</v>
      </c>
      <c r="K234" s="11">
        <v>0.0</v>
      </c>
      <c r="L234" s="11">
        <f t="shared" si="2"/>
        <v>0</v>
      </c>
      <c r="M234" s="13" t="str">
        <f t="shared" si="3"/>
        <v/>
      </c>
      <c r="N234" s="13" t="str">
        <f t="shared" si="4"/>
        <v/>
      </c>
    </row>
    <row r="235" ht="15.75" customHeight="1">
      <c r="A235" s="11">
        <v>51203.0</v>
      </c>
      <c r="B235" s="11" t="s">
        <v>293</v>
      </c>
      <c r="C235" s="15" t="str">
        <f>IF(Datos_originales!$E235&lt;1000,"Bosque menor a 1000 ha",Datos_originales!$E235)</f>
        <v>Bosque menor a 1000 ha</v>
      </c>
      <c r="D235" s="11">
        <v>0.0</v>
      </c>
      <c r="E235" s="11">
        <v>0.0</v>
      </c>
      <c r="F235" s="11">
        <v>0.0</v>
      </c>
      <c r="G235" s="11">
        <v>0.0</v>
      </c>
      <c r="H235" s="11">
        <f t="shared" si="1"/>
        <v>0</v>
      </c>
      <c r="I235" s="11">
        <v>0.0</v>
      </c>
      <c r="J235" s="11">
        <v>0.0</v>
      </c>
      <c r="K235" s="11">
        <v>0.0</v>
      </c>
      <c r="L235" s="11">
        <f t="shared" si="2"/>
        <v>0</v>
      </c>
      <c r="M235" s="13" t="str">
        <f t="shared" si="3"/>
        <v/>
      </c>
      <c r="N235" s="13" t="str">
        <f t="shared" si="4"/>
        <v/>
      </c>
    </row>
    <row r="236" ht="15.75" customHeight="1">
      <c r="A236" s="11">
        <v>51204.0</v>
      </c>
      <c r="B236" s="11" t="s">
        <v>294</v>
      </c>
      <c r="C236" s="12" t="str">
        <f>IF(Datos_originales!$E236&lt;1000,"Bosque menor a 1000 ha",Datos_originales!$E236)</f>
        <v>Bosque menor a 1000 ha</v>
      </c>
      <c r="D236" s="11">
        <v>0.0</v>
      </c>
      <c r="E236" s="11">
        <v>0.0</v>
      </c>
      <c r="F236" s="11">
        <v>0.0</v>
      </c>
      <c r="G236" s="11">
        <v>0.0</v>
      </c>
      <c r="H236" s="11">
        <f t="shared" si="1"/>
        <v>0</v>
      </c>
      <c r="I236" s="11">
        <v>0.0</v>
      </c>
      <c r="J236" s="11">
        <v>0.0</v>
      </c>
      <c r="K236" s="11">
        <v>0.0</v>
      </c>
      <c r="L236" s="11">
        <f t="shared" si="2"/>
        <v>0</v>
      </c>
      <c r="M236" s="13" t="str">
        <f t="shared" si="3"/>
        <v/>
      </c>
      <c r="N236" s="13" t="str">
        <f t="shared" si="4"/>
        <v/>
      </c>
    </row>
    <row r="237" ht="15.75" customHeight="1">
      <c r="A237" s="11">
        <v>51301.0</v>
      </c>
      <c r="B237" s="11" t="s">
        <v>295</v>
      </c>
      <c r="C237" s="15" t="str">
        <f>IF(Datos_originales!$E237&lt;1000,"Bosque menor a 1000 ha",Datos_originales!$E237)</f>
        <v>Bosque menor a 1000 ha</v>
      </c>
      <c r="D237" s="11">
        <v>561.78</v>
      </c>
      <c r="E237" s="11">
        <v>0.81</v>
      </c>
      <c r="F237" s="11">
        <v>0.27</v>
      </c>
      <c r="G237" s="11">
        <v>14.31</v>
      </c>
      <c r="H237" s="11">
        <f t="shared" si="1"/>
        <v>5.13</v>
      </c>
      <c r="I237" s="11">
        <v>0.0</v>
      </c>
      <c r="J237" s="11">
        <v>0.81</v>
      </c>
      <c r="K237" s="11">
        <v>0.0</v>
      </c>
      <c r="L237" s="11">
        <f t="shared" si="2"/>
        <v>0.27</v>
      </c>
      <c r="M237" s="13" t="str">
        <f t="shared" si="3"/>
        <v/>
      </c>
      <c r="N237" s="13" t="str">
        <f t="shared" si="4"/>
        <v/>
      </c>
    </row>
    <row r="238" ht="15.75" customHeight="1">
      <c r="A238" s="11">
        <v>51302.0</v>
      </c>
      <c r="B238" s="11" t="s">
        <v>296</v>
      </c>
      <c r="C238" s="12" t="str">
        <f>IF(Datos_originales!$E238&lt;1000,"Bosque menor a 1000 ha",Datos_originales!$E238)</f>
        <v>Bosque menor a 1000 ha</v>
      </c>
      <c r="D238" s="11">
        <v>749.16</v>
      </c>
      <c r="E238" s="11">
        <v>5.58</v>
      </c>
      <c r="F238" s="11">
        <v>2.16</v>
      </c>
      <c r="G238" s="11">
        <v>16.29</v>
      </c>
      <c r="H238" s="11">
        <f t="shared" si="1"/>
        <v>8.01</v>
      </c>
      <c r="I238" s="11">
        <v>1.53</v>
      </c>
      <c r="J238" s="11">
        <v>6.390000000000001</v>
      </c>
      <c r="K238" s="11">
        <v>0.0</v>
      </c>
      <c r="L238" s="11">
        <f t="shared" si="2"/>
        <v>2.64</v>
      </c>
      <c r="M238" s="13" t="str">
        <f t="shared" si="3"/>
        <v/>
      </c>
      <c r="N238" s="13" t="str">
        <f t="shared" si="4"/>
        <v/>
      </c>
    </row>
    <row r="239" ht="15.75" customHeight="1">
      <c r="A239" s="11">
        <v>51401.0</v>
      </c>
      <c r="B239" s="11" t="s">
        <v>297</v>
      </c>
      <c r="C239" s="15" t="str">
        <f>IF(Datos_originales!$E239&lt;1000,"Bosque menor a 1000 ha",Datos_originales!$E239)</f>
        <v>Bosque menor a 1000 ha</v>
      </c>
      <c r="D239" s="11">
        <v>0.0</v>
      </c>
      <c r="E239" s="11">
        <v>0.0</v>
      </c>
      <c r="F239" s="11">
        <v>0.0</v>
      </c>
      <c r="G239" s="11">
        <v>0.0</v>
      </c>
      <c r="H239" s="11">
        <f t="shared" si="1"/>
        <v>0</v>
      </c>
      <c r="I239" s="11">
        <v>0.0</v>
      </c>
      <c r="J239" s="11">
        <v>0.0</v>
      </c>
      <c r="K239" s="11">
        <v>0.0</v>
      </c>
      <c r="L239" s="11">
        <f t="shared" si="2"/>
        <v>0</v>
      </c>
      <c r="M239" s="13" t="str">
        <f t="shared" si="3"/>
        <v/>
      </c>
      <c r="N239" s="13" t="str">
        <f t="shared" si="4"/>
        <v/>
      </c>
    </row>
    <row r="240" ht="15.75" customHeight="1">
      <c r="A240" s="11">
        <v>51402.0</v>
      </c>
      <c r="B240" s="11" t="s">
        <v>298</v>
      </c>
      <c r="C240" s="12" t="str">
        <f>IF(Datos_originales!$E240&lt;1000,"Bosque menor a 1000 ha",Datos_originales!$E240)</f>
        <v>Bosque menor a 1000 ha</v>
      </c>
      <c r="D240" s="11">
        <v>0.0</v>
      </c>
      <c r="E240" s="11">
        <v>0.0</v>
      </c>
      <c r="F240" s="11">
        <v>0.0</v>
      </c>
      <c r="G240" s="11">
        <v>0.0</v>
      </c>
      <c r="H240" s="11">
        <f t="shared" si="1"/>
        <v>0</v>
      </c>
      <c r="I240" s="11">
        <v>0.0</v>
      </c>
      <c r="J240" s="11">
        <v>0.0</v>
      </c>
      <c r="K240" s="11">
        <v>0.0</v>
      </c>
      <c r="L240" s="11">
        <f t="shared" si="2"/>
        <v>0</v>
      </c>
      <c r="M240" s="13" t="str">
        <f t="shared" si="3"/>
        <v/>
      </c>
      <c r="N240" s="13" t="str">
        <f t="shared" si="4"/>
        <v/>
      </c>
    </row>
    <row r="241" ht="15.75" customHeight="1">
      <c r="A241" s="11">
        <v>51501.0</v>
      </c>
      <c r="B241" s="11" t="s">
        <v>299</v>
      </c>
      <c r="C241" s="15" t="str">
        <f>IF(Datos_originales!$E241&lt;1000,"Bosque menor a 1000 ha",Datos_originales!$E241)</f>
        <v>Bosque menor a 1000 ha</v>
      </c>
      <c r="D241" s="11">
        <v>0.0</v>
      </c>
      <c r="E241" s="11">
        <v>0.0</v>
      </c>
      <c r="F241" s="11">
        <v>0.0</v>
      </c>
      <c r="G241" s="11">
        <v>0.0</v>
      </c>
      <c r="H241" s="11">
        <f t="shared" si="1"/>
        <v>0</v>
      </c>
      <c r="I241" s="11">
        <v>0.0</v>
      </c>
      <c r="J241" s="11">
        <v>0.0</v>
      </c>
      <c r="K241" s="11">
        <v>0.0</v>
      </c>
      <c r="L241" s="11">
        <f t="shared" si="2"/>
        <v>0</v>
      </c>
      <c r="M241" s="13" t="str">
        <f t="shared" si="3"/>
        <v/>
      </c>
      <c r="N241" s="13" t="str">
        <f t="shared" si="4"/>
        <v/>
      </c>
    </row>
    <row r="242" ht="15.75" customHeight="1">
      <c r="A242" s="11">
        <v>51601.0</v>
      </c>
      <c r="B242" s="11" t="s">
        <v>300</v>
      </c>
      <c r="C242" s="12" t="str">
        <f>IF(Datos_originales!$E242&lt;1000,"Bosque menor a 1000 ha",Datos_originales!$E242)</f>
        <v>Bosque menor a 1000 ha</v>
      </c>
      <c r="D242" s="11">
        <v>0.0</v>
      </c>
      <c r="E242" s="11">
        <v>0.0</v>
      </c>
      <c r="F242" s="11">
        <v>0.0</v>
      </c>
      <c r="G242" s="11">
        <v>0.0</v>
      </c>
      <c r="H242" s="11">
        <f t="shared" si="1"/>
        <v>0</v>
      </c>
      <c r="I242" s="11">
        <v>0.0</v>
      </c>
      <c r="J242" s="11">
        <v>0.0</v>
      </c>
      <c r="K242" s="11">
        <v>0.0</v>
      </c>
      <c r="L242" s="11">
        <f t="shared" si="2"/>
        <v>0</v>
      </c>
      <c r="M242" s="13" t="str">
        <f t="shared" si="3"/>
        <v/>
      </c>
      <c r="N242" s="13" t="str">
        <f t="shared" si="4"/>
        <v/>
      </c>
    </row>
    <row r="243" ht="15.75" customHeight="1">
      <c r="A243" s="11">
        <v>60101.0</v>
      </c>
      <c r="B243" s="11" t="s">
        <v>301</v>
      </c>
      <c r="C243" s="15">
        <f>IF(Datos_originales!$E243&lt;1000,"Bosque menor a 1000 ha",Datos_originales!$E243)</f>
        <v>64428.84</v>
      </c>
      <c r="D243" s="11">
        <v>64428.84</v>
      </c>
      <c r="E243" s="11">
        <v>107.82</v>
      </c>
      <c r="F243" s="11">
        <v>158.85</v>
      </c>
      <c r="G243" s="11">
        <v>378.45</v>
      </c>
      <c r="H243" s="11">
        <f t="shared" si="1"/>
        <v>215.04</v>
      </c>
      <c r="I243" s="11">
        <v>34.11</v>
      </c>
      <c r="J243" s="11">
        <v>71.55</v>
      </c>
      <c r="K243" s="11">
        <v>877.5899999999999</v>
      </c>
      <c r="L243" s="11">
        <f t="shared" si="2"/>
        <v>327.75</v>
      </c>
      <c r="M243" s="13">
        <f t="shared" si="3"/>
        <v>0.3337635754</v>
      </c>
      <c r="N243" s="13">
        <f t="shared" si="4"/>
        <v>0.508700762</v>
      </c>
    </row>
    <row r="244" ht="15.75" customHeight="1">
      <c r="A244" s="11">
        <v>60201.0</v>
      </c>
      <c r="B244" s="11" t="s">
        <v>302</v>
      </c>
      <c r="C244" s="12">
        <f>IF(Datos_originales!$E244&lt;1000,"Bosque menor a 1000 ha",Datos_originales!$E244)</f>
        <v>331244.28</v>
      </c>
      <c r="D244" s="11">
        <v>331244.28</v>
      </c>
      <c r="E244" s="11">
        <v>513.36</v>
      </c>
      <c r="F244" s="11">
        <v>974.61</v>
      </c>
      <c r="G244" s="11">
        <v>830.16</v>
      </c>
      <c r="H244" s="11">
        <f t="shared" si="1"/>
        <v>772.71</v>
      </c>
      <c r="I244" s="11">
        <v>305.28</v>
      </c>
      <c r="J244" s="11">
        <v>1320.12</v>
      </c>
      <c r="K244" s="11">
        <v>1276.47</v>
      </c>
      <c r="L244" s="11">
        <f t="shared" si="2"/>
        <v>967.29</v>
      </c>
      <c r="M244" s="13">
        <f t="shared" si="3"/>
        <v>0.2332749716</v>
      </c>
      <c r="N244" s="13">
        <f t="shared" si="4"/>
        <v>0.292017118</v>
      </c>
    </row>
    <row r="245" ht="15.75" customHeight="1">
      <c r="A245" s="11">
        <v>60202.0</v>
      </c>
      <c r="B245" s="11" t="s">
        <v>303</v>
      </c>
      <c r="C245" s="15">
        <f>IF(Datos_originales!$E245&lt;1000,"Bosque menor a 1000 ha",Datos_originales!$E245)</f>
        <v>25936.92</v>
      </c>
      <c r="D245" s="11">
        <v>25936.92</v>
      </c>
      <c r="E245" s="11">
        <v>120.96</v>
      </c>
      <c r="F245" s="11">
        <v>412.92</v>
      </c>
      <c r="G245" s="11">
        <v>137.43</v>
      </c>
      <c r="H245" s="11">
        <f t="shared" si="1"/>
        <v>223.77</v>
      </c>
      <c r="I245" s="11">
        <v>233.46</v>
      </c>
      <c r="J245" s="11">
        <v>484.92</v>
      </c>
      <c r="K245" s="11">
        <v>429.48</v>
      </c>
      <c r="L245" s="11">
        <f t="shared" si="2"/>
        <v>382.62</v>
      </c>
      <c r="M245" s="13">
        <f t="shared" si="3"/>
        <v>0.8627470031</v>
      </c>
      <c r="N245" s="13">
        <f t="shared" si="4"/>
        <v>1.475194433</v>
      </c>
    </row>
    <row r="246" ht="15.75" customHeight="1">
      <c r="A246" s="11">
        <v>60301.0</v>
      </c>
      <c r="B246" s="11" t="s">
        <v>304</v>
      </c>
      <c r="C246" s="12">
        <f>IF(Datos_originales!$E246&lt;1000,"Bosque menor a 1000 ha",Datos_originales!$E246)</f>
        <v>305201.25</v>
      </c>
      <c r="D246" s="11">
        <v>305201.25</v>
      </c>
      <c r="E246" s="11">
        <v>5157.18</v>
      </c>
      <c r="F246" s="11">
        <v>5613.21</v>
      </c>
      <c r="G246" s="11">
        <v>2244.96</v>
      </c>
      <c r="H246" s="11">
        <f t="shared" si="1"/>
        <v>4338.45</v>
      </c>
      <c r="I246" s="11">
        <v>9489.24</v>
      </c>
      <c r="J246" s="11">
        <v>10318.32</v>
      </c>
      <c r="K246" s="11">
        <v>5043.15</v>
      </c>
      <c r="L246" s="11">
        <f t="shared" si="2"/>
        <v>8283.57</v>
      </c>
      <c r="M246" s="13">
        <f t="shared" si="3"/>
        <v>1.421504663</v>
      </c>
      <c r="N246" s="13">
        <f t="shared" si="4"/>
        <v>2.714133707</v>
      </c>
    </row>
    <row r="247" ht="15.75" customHeight="1">
      <c r="A247" s="11">
        <v>60302.0</v>
      </c>
      <c r="B247" s="11" t="s">
        <v>305</v>
      </c>
      <c r="C247" s="15">
        <f>IF(Datos_originales!$E247&lt;1000,"Bosque menor a 1000 ha",Datos_originales!$E247)</f>
        <v>274668.57</v>
      </c>
      <c r="D247" s="11">
        <v>274668.57</v>
      </c>
      <c r="E247" s="11">
        <v>1160.28</v>
      </c>
      <c r="F247" s="11">
        <v>1541.25</v>
      </c>
      <c r="G247" s="11">
        <v>1084.32</v>
      </c>
      <c r="H247" s="11">
        <f t="shared" si="1"/>
        <v>1261.95</v>
      </c>
      <c r="I247" s="11">
        <v>334.62</v>
      </c>
      <c r="J247" s="11">
        <v>2550.33</v>
      </c>
      <c r="K247" s="11">
        <v>1624.41</v>
      </c>
      <c r="L247" s="11">
        <f t="shared" si="2"/>
        <v>1503.12</v>
      </c>
      <c r="M247" s="13">
        <f t="shared" si="3"/>
        <v>0.4594446318</v>
      </c>
      <c r="N247" s="13">
        <f t="shared" si="4"/>
        <v>0.547248635</v>
      </c>
    </row>
    <row r="248" ht="15.75" customHeight="1">
      <c r="A248" s="11">
        <v>60303.0</v>
      </c>
      <c r="B248" s="11" t="s">
        <v>306</v>
      </c>
      <c r="C248" s="12">
        <f>IF(Datos_originales!$E248&lt;1000,"Bosque menor a 1000 ha",Datos_originales!$E248)</f>
        <v>966590.19</v>
      </c>
      <c r="D248" s="11">
        <v>966590.19</v>
      </c>
      <c r="E248" s="11">
        <v>2158.2</v>
      </c>
      <c r="F248" s="11">
        <v>3347.64</v>
      </c>
      <c r="G248" s="11">
        <v>4150.08</v>
      </c>
      <c r="H248" s="11">
        <f t="shared" si="1"/>
        <v>3218.64</v>
      </c>
      <c r="I248" s="11">
        <v>4530.690000000001</v>
      </c>
      <c r="J248" s="11">
        <v>24164.82</v>
      </c>
      <c r="K248" s="11">
        <v>4737.78</v>
      </c>
      <c r="L248" s="11">
        <f t="shared" si="2"/>
        <v>11144.43</v>
      </c>
      <c r="M248" s="13">
        <f t="shared" si="3"/>
        <v>0.3329891027</v>
      </c>
      <c r="N248" s="13">
        <f t="shared" si="4"/>
        <v>1.152963284</v>
      </c>
    </row>
    <row r="249" ht="15.75" customHeight="1">
      <c r="A249" s="11">
        <v>60401.0</v>
      </c>
      <c r="B249" s="11" t="s">
        <v>307</v>
      </c>
      <c r="C249" s="15">
        <f>IF(Datos_originales!$E249&lt;1000,"Bosque menor a 1000 ha",Datos_originales!$E249)</f>
        <v>12931.2</v>
      </c>
      <c r="D249" s="11">
        <v>12931.2</v>
      </c>
      <c r="E249" s="11">
        <v>48.06</v>
      </c>
      <c r="F249" s="11">
        <v>75.42</v>
      </c>
      <c r="G249" s="11">
        <v>205.56</v>
      </c>
      <c r="H249" s="11">
        <f t="shared" si="1"/>
        <v>109.68</v>
      </c>
      <c r="I249" s="11">
        <v>5.58</v>
      </c>
      <c r="J249" s="11">
        <v>18.09</v>
      </c>
      <c r="K249" s="11">
        <v>459.09</v>
      </c>
      <c r="L249" s="11">
        <f t="shared" si="2"/>
        <v>160.92</v>
      </c>
      <c r="M249" s="13">
        <f t="shared" si="3"/>
        <v>0.8481811433</v>
      </c>
      <c r="N249" s="13">
        <f t="shared" si="4"/>
        <v>1.244432071</v>
      </c>
    </row>
    <row r="250" ht="15.75" customHeight="1">
      <c r="A250" s="11">
        <v>60402.0</v>
      </c>
      <c r="B250" s="11" t="s">
        <v>308</v>
      </c>
      <c r="C250" s="12" t="str">
        <f>IF(Datos_originales!$E250&lt;1000,"Bosque menor a 1000 ha",Datos_originales!$E250)</f>
        <v>Bosque menor a 1000 ha</v>
      </c>
      <c r="D250" s="11">
        <v>0.0</v>
      </c>
      <c r="E250" s="11">
        <v>0.0</v>
      </c>
      <c r="F250" s="11">
        <v>0.0</v>
      </c>
      <c r="G250" s="11">
        <v>0.0</v>
      </c>
      <c r="H250" s="11">
        <f t="shared" si="1"/>
        <v>0</v>
      </c>
      <c r="I250" s="11">
        <v>0.0</v>
      </c>
      <c r="J250" s="11">
        <v>0.0</v>
      </c>
      <c r="K250" s="11">
        <v>0.0</v>
      </c>
      <c r="L250" s="11">
        <f t="shared" si="2"/>
        <v>0</v>
      </c>
      <c r="M250" s="13" t="str">
        <f t="shared" si="3"/>
        <v/>
      </c>
      <c r="N250" s="13" t="str">
        <f t="shared" si="4"/>
        <v/>
      </c>
    </row>
    <row r="251" ht="15.75" customHeight="1">
      <c r="A251" s="11">
        <v>60501.0</v>
      </c>
      <c r="B251" s="11" t="s">
        <v>309</v>
      </c>
      <c r="C251" s="15">
        <f>IF(Datos_originales!$E251&lt;1000,"Bosque menor a 1000 ha",Datos_originales!$E251)</f>
        <v>58561.11</v>
      </c>
      <c r="D251" s="11">
        <v>58561.11</v>
      </c>
      <c r="E251" s="11">
        <v>94.05</v>
      </c>
      <c r="F251" s="11">
        <v>131.58</v>
      </c>
      <c r="G251" s="11">
        <v>450.81</v>
      </c>
      <c r="H251" s="11">
        <f t="shared" si="1"/>
        <v>225.48</v>
      </c>
      <c r="I251" s="11">
        <v>15.75</v>
      </c>
      <c r="J251" s="11">
        <v>224.55</v>
      </c>
      <c r="K251" s="11">
        <v>420.75</v>
      </c>
      <c r="L251" s="11">
        <f t="shared" si="2"/>
        <v>220.35</v>
      </c>
      <c r="M251" s="13">
        <f t="shared" si="3"/>
        <v>0.3850336853</v>
      </c>
      <c r="N251" s="13">
        <f t="shared" si="4"/>
        <v>0.3762736055</v>
      </c>
    </row>
    <row r="252" ht="15.75" customHeight="1">
      <c r="A252" s="11">
        <v>60502.0</v>
      </c>
      <c r="B252" s="11" t="s">
        <v>310</v>
      </c>
      <c r="C252" s="12" t="str">
        <f>IF(Datos_originales!$E252&lt;1000,"Bosque menor a 1000 ha",Datos_originales!$E252)</f>
        <v>Bosque menor a 1000 ha</v>
      </c>
      <c r="D252" s="11">
        <v>559.35</v>
      </c>
      <c r="E252" s="11">
        <v>2.25</v>
      </c>
      <c r="F252" s="11">
        <v>4.86</v>
      </c>
      <c r="G252" s="11">
        <v>17.37</v>
      </c>
      <c r="H252" s="11">
        <f t="shared" si="1"/>
        <v>8.16</v>
      </c>
      <c r="I252" s="11">
        <v>0.54</v>
      </c>
      <c r="J252" s="11">
        <v>1.35</v>
      </c>
      <c r="K252" s="11">
        <v>105.75</v>
      </c>
      <c r="L252" s="11">
        <f t="shared" si="2"/>
        <v>35.88</v>
      </c>
      <c r="M252" s="13" t="str">
        <f t="shared" si="3"/>
        <v/>
      </c>
      <c r="N252" s="13" t="str">
        <f t="shared" si="4"/>
        <v/>
      </c>
    </row>
    <row r="253" ht="15.75" customHeight="1">
      <c r="A253" s="11">
        <v>60601.0</v>
      </c>
      <c r="B253" s="11" t="s">
        <v>212</v>
      </c>
      <c r="C253" s="15">
        <f>IF(Datos_originales!$E253&lt;1000,"Bosque menor a 1000 ha",Datos_originales!$E253)</f>
        <v>553532.13</v>
      </c>
      <c r="D253" s="11">
        <v>553532.13</v>
      </c>
      <c r="E253" s="11">
        <v>476.73</v>
      </c>
      <c r="F253" s="11">
        <v>567.72</v>
      </c>
      <c r="G253" s="11">
        <v>987.48</v>
      </c>
      <c r="H253" s="11">
        <f t="shared" si="1"/>
        <v>677.31</v>
      </c>
      <c r="I253" s="11">
        <v>2190.96</v>
      </c>
      <c r="J253" s="11">
        <v>5424.030000000001</v>
      </c>
      <c r="K253" s="11">
        <v>2494.98</v>
      </c>
      <c r="L253" s="11">
        <f t="shared" si="2"/>
        <v>3369.99</v>
      </c>
      <c r="M253" s="13">
        <f t="shared" si="3"/>
        <v>0.1223614608</v>
      </c>
      <c r="N253" s="13">
        <f t="shared" si="4"/>
        <v>0.6088156075</v>
      </c>
    </row>
    <row r="254" ht="15.75" customHeight="1">
      <c r="A254" s="11">
        <v>70101.0</v>
      </c>
      <c r="B254" s="11" t="s">
        <v>312</v>
      </c>
      <c r="C254" s="12">
        <f>IF(Datos_originales!$E254&lt;1000,"Bosque menor a 1000 ha",Datos_originales!$E254)</f>
        <v>23281.02</v>
      </c>
      <c r="D254" s="11">
        <v>23281.02</v>
      </c>
      <c r="E254" s="11">
        <v>2459.43</v>
      </c>
      <c r="F254" s="11">
        <v>1786.23</v>
      </c>
      <c r="G254" s="11">
        <v>1160.28</v>
      </c>
      <c r="H254" s="11">
        <f t="shared" si="1"/>
        <v>1801.98</v>
      </c>
      <c r="I254" s="11">
        <v>396.27</v>
      </c>
      <c r="J254" s="11">
        <v>1354.05</v>
      </c>
      <c r="K254" s="11">
        <v>980.01</v>
      </c>
      <c r="L254" s="11">
        <f t="shared" si="2"/>
        <v>910.11</v>
      </c>
      <c r="M254" s="13">
        <f t="shared" si="3"/>
        <v>7.740124788</v>
      </c>
      <c r="N254" s="13">
        <f t="shared" si="4"/>
        <v>3.909235936</v>
      </c>
    </row>
    <row r="255" ht="15.75" customHeight="1">
      <c r="A255" s="11">
        <v>70102.0</v>
      </c>
      <c r="B255" s="11" t="s">
        <v>313</v>
      </c>
      <c r="C255" s="15">
        <f>IF(Datos_originales!$E255&lt;1000,"Bosque menor a 1000 ha",Datos_originales!$E255)</f>
        <v>10462.59</v>
      </c>
      <c r="D255" s="11">
        <v>10462.59</v>
      </c>
      <c r="E255" s="11">
        <v>687.3299999999999</v>
      </c>
      <c r="F255" s="11">
        <v>673.02</v>
      </c>
      <c r="G255" s="11">
        <v>567.45</v>
      </c>
      <c r="H255" s="11">
        <f t="shared" si="1"/>
        <v>642.6</v>
      </c>
      <c r="I255" s="11">
        <v>35.73</v>
      </c>
      <c r="J255" s="11">
        <v>743.5799999999999</v>
      </c>
      <c r="K255" s="11">
        <v>700.29</v>
      </c>
      <c r="L255" s="11">
        <f t="shared" si="2"/>
        <v>493.2</v>
      </c>
      <c r="M255" s="13">
        <f t="shared" si="3"/>
        <v>6.14188265</v>
      </c>
      <c r="N255" s="13">
        <f t="shared" si="4"/>
        <v>4.713937945</v>
      </c>
    </row>
    <row r="256" ht="15.75" customHeight="1">
      <c r="A256" s="11">
        <v>70103.0</v>
      </c>
      <c r="B256" s="11" t="s">
        <v>314</v>
      </c>
      <c r="C256" s="12">
        <f>IF(Datos_originales!$E256&lt;1000,"Bosque menor a 1000 ha",Datos_originales!$E256)</f>
        <v>58007.79</v>
      </c>
      <c r="D256" s="11">
        <v>58007.79</v>
      </c>
      <c r="E256" s="11">
        <v>2234.7</v>
      </c>
      <c r="F256" s="11">
        <v>1665.45</v>
      </c>
      <c r="G256" s="11">
        <v>1302.84</v>
      </c>
      <c r="H256" s="11">
        <f t="shared" si="1"/>
        <v>1734.33</v>
      </c>
      <c r="I256" s="11">
        <v>189.99</v>
      </c>
      <c r="J256" s="11">
        <v>2249.28</v>
      </c>
      <c r="K256" s="11">
        <v>769.86</v>
      </c>
      <c r="L256" s="11">
        <f t="shared" si="2"/>
        <v>1069.71</v>
      </c>
      <c r="M256" s="13">
        <f t="shared" si="3"/>
        <v>2.989822574</v>
      </c>
      <c r="N256" s="13">
        <f t="shared" si="4"/>
        <v>1.844079907</v>
      </c>
    </row>
    <row r="257" ht="15.75" customHeight="1">
      <c r="A257" s="11">
        <v>70104.0</v>
      </c>
      <c r="B257" s="11" t="s">
        <v>315</v>
      </c>
      <c r="C257" s="15">
        <f>IF(Datos_originales!$E257&lt;1000,"Bosque menor a 1000 ha",Datos_originales!$E257)</f>
        <v>44732.52</v>
      </c>
      <c r="D257" s="11">
        <v>44732.52</v>
      </c>
      <c r="E257" s="11">
        <v>2218.86</v>
      </c>
      <c r="F257" s="11">
        <v>1681.56</v>
      </c>
      <c r="G257" s="11">
        <v>1497.24</v>
      </c>
      <c r="H257" s="11">
        <f t="shared" si="1"/>
        <v>1799.22</v>
      </c>
      <c r="I257" s="11">
        <v>239.13</v>
      </c>
      <c r="J257" s="11">
        <v>2746.62</v>
      </c>
      <c r="K257" s="11">
        <v>846.0</v>
      </c>
      <c r="L257" s="11">
        <f t="shared" si="2"/>
        <v>1277.25</v>
      </c>
      <c r="M257" s="13">
        <f t="shared" si="3"/>
        <v>4.022174472</v>
      </c>
      <c r="N257" s="13">
        <f t="shared" si="4"/>
        <v>2.855305268</v>
      </c>
    </row>
    <row r="258" ht="15.75" customHeight="1">
      <c r="A258" s="11">
        <v>70105.0</v>
      </c>
      <c r="B258" s="11" t="s">
        <v>316</v>
      </c>
      <c r="C258" s="12">
        <f>IF(Datos_originales!$E258&lt;1000,"Bosque menor a 1000 ha",Datos_originales!$E258)</f>
        <v>75341.79</v>
      </c>
      <c r="D258" s="11">
        <v>75341.79000000001</v>
      </c>
      <c r="E258" s="11">
        <v>1694.79</v>
      </c>
      <c r="F258" s="11">
        <v>1557.72</v>
      </c>
      <c r="G258" s="11">
        <v>1064.25</v>
      </c>
      <c r="H258" s="11">
        <f t="shared" si="1"/>
        <v>1438.92</v>
      </c>
      <c r="I258" s="11">
        <v>446.49</v>
      </c>
      <c r="J258" s="11">
        <v>2285.82</v>
      </c>
      <c r="K258" s="11">
        <v>754.83</v>
      </c>
      <c r="L258" s="11">
        <f t="shared" si="2"/>
        <v>1162.38</v>
      </c>
      <c r="M258" s="13">
        <f t="shared" si="3"/>
        <v>1.909856402</v>
      </c>
      <c r="N258" s="13">
        <f t="shared" si="4"/>
        <v>1.54280911</v>
      </c>
    </row>
    <row r="259" ht="15.75" customHeight="1">
      <c r="A259" s="11">
        <v>70201.0</v>
      </c>
      <c r="B259" s="11" t="s">
        <v>317</v>
      </c>
      <c r="C259" s="15">
        <f>IF(Datos_originales!$E259&lt;1000,"Bosque menor a 1000 ha",Datos_originales!$E259)</f>
        <v>17938.17</v>
      </c>
      <c r="D259" s="11">
        <v>17938.17</v>
      </c>
      <c r="E259" s="11">
        <v>1336.77</v>
      </c>
      <c r="F259" s="11">
        <v>901.98</v>
      </c>
      <c r="G259" s="11">
        <v>633.0600000000001</v>
      </c>
      <c r="H259" s="11">
        <f t="shared" si="1"/>
        <v>957.27</v>
      </c>
      <c r="I259" s="11">
        <v>107.55</v>
      </c>
      <c r="J259" s="11">
        <v>806.49</v>
      </c>
      <c r="K259" s="11">
        <v>623.79</v>
      </c>
      <c r="L259" s="11">
        <f t="shared" si="2"/>
        <v>512.61</v>
      </c>
      <c r="M259" s="13">
        <f t="shared" si="3"/>
        <v>5.336497536</v>
      </c>
      <c r="N259" s="13">
        <f t="shared" si="4"/>
        <v>2.857649359</v>
      </c>
    </row>
    <row r="260" ht="15.75" customHeight="1">
      <c r="A260" s="11">
        <v>70202.0</v>
      </c>
      <c r="B260" s="11" t="s">
        <v>318</v>
      </c>
      <c r="C260" s="12">
        <f>IF(Datos_originales!$E260&lt;1000,"Bosque menor a 1000 ha",Datos_originales!$E260)</f>
        <v>11630.88</v>
      </c>
      <c r="D260" s="11">
        <v>11630.88</v>
      </c>
      <c r="E260" s="11">
        <v>1007.55</v>
      </c>
      <c r="F260" s="11">
        <v>1106.64</v>
      </c>
      <c r="G260" s="11">
        <v>692.64</v>
      </c>
      <c r="H260" s="11">
        <f t="shared" si="1"/>
        <v>935.61</v>
      </c>
      <c r="I260" s="11">
        <v>229.23</v>
      </c>
      <c r="J260" s="11">
        <v>700.47</v>
      </c>
      <c r="K260" s="11">
        <v>528.84</v>
      </c>
      <c r="L260" s="11">
        <f t="shared" si="2"/>
        <v>486.18</v>
      </c>
      <c r="M260" s="13">
        <f t="shared" si="3"/>
        <v>8.044189262</v>
      </c>
      <c r="N260" s="13">
        <f t="shared" si="4"/>
        <v>4.180079237</v>
      </c>
    </row>
    <row r="261" ht="15.75" customHeight="1">
      <c r="A261" s="11">
        <v>70301.0</v>
      </c>
      <c r="B261" s="11" t="s">
        <v>319</v>
      </c>
      <c r="C261" s="15">
        <f>IF(Datos_originales!$E261&lt;1000,"Bosque menor a 1000 ha",Datos_originales!$E261)</f>
        <v>3857761.35</v>
      </c>
      <c r="D261" s="11">
        <v>3857761.35</v>
      </c>
      <c r="E261" s="11">
        <v>25819.92</v>
      </c>
      <c r="F261" s="11">
        <v>19086.21</v>
      </c>
      <c r="G261" s="11">
        <v>15192.81</v>
      </c>
      <c r="H261" s="11">
        <f t="shared" si="1"/>
        <v>20032.98</v>
      </c>
      <c r="I261" s="11">
        <v>53663.22</v>
      </c>
      <c r="J261" s="11">
        <v>53224.74</v>
      </c>
      <c r="K261" s="11">
        <v>45511.92</v>
      </c>
      <c r="L261" s="11">
        <f t="shared" si="2"/>
        <v>50799.96</v>
      </c>
      <c r="M261" s="13">
        <f t="shared" si="3"/>
        <v>0.5192902874</v>
      </c>
      <c r="N261" s="13">
        <f t="shared" si="4"/>
        <v>1.316824847</v>
      </c>
    </row>
    <row r="262" ht="15.75" customHeight="1">
      <c r="A262" s="11">
        <v>70302.0</v>
      </c>
      <c r="B262" s="11" t="s">
        <v>320</v>
      </c>
      <c r="C262" s="12">
        <f>IF(Datos_originales!$E262&lt;1000,"Bosque menor a 1000 ha",Datos_originales!$E262)</f>
        <v>845629.56</v>
      </c>
      <c r="D262" s="11">
        <v>845629.56</v>
      </c>
      <c r="E262" s="11">
        <v>3969.0</v>
      </c>
      <c r="F262" s="11">
        <v>3997.35</v>
      </c>
      <c r="G262" s="11">
        <v>2954.7</v>
      </c>
      <c r="H262" s="11">
        <f t="shared" si="1"/>
        <v>3640.35</v>
      </c>
      <c r="I262" s="11">
        <v>15178.14</v>
      </c>
      <c r="J262" s="11">
        <v>21341.61</v>
      </c>
      <c r="K262" s="11">
        <v>12826.8</v>
      </c>
      <c r="L262" s="11">
        <f t="shared" si="2"/>
        <v>16448.85</v>
      </c>
      <c r="M262" s="13">
        <f t="shared" si="3"/>
        <v>0.4304899181</v>
      </c>
      <c r="N262" s="13">
        <f t="shared" si="4"/>
        <v>1.945160243</v>
      </c>
    </row>
    <row r="263" ht="15.75" customHeight="1">
      <c r="A263" s="11">
        <v>70303.0</v>
      </c>
      <c r="B263" s="11" t="s">
        <v>321</v>
      </c>
      <c r="C263" s="15">
        <f>IF(Datos_originales!$E263&lt;1000,"Bosque menor a 1000 ha",Datos_originales!$E263)</f>
        <v>851393.34</v>
      </c>
      <c r="D263" s="11">
        <v>851393.3400000001</v>
      </c>
      <c r="E263" s="11">
        <v>2091.51</v>
      </c>
      <c r="F263" s="11">
        <v>2731.86</v>
      </c>
      <c r="G263" s="11">
        <v>2410.02</v>
      </c>
      <c r="H263" s="11">
        <f t="shared" si="1"/>
        <v>2411.13</v>
      </c>
      <c r="I263" s="11">
        <v>12900.42</v>
      </c>
      <c r="J263" s="11">
        <v>10013.67</v>
      </c>
      <c r="K263" s="11">
        <v>13080.78</v>
      </c>
      <c r="L263" s="11">
        <f t="shared" si="2"/>
        <v>11998.29</v>
      </c>
      <c r="M263" s="13">
        <f t="shared" si="3"/>
        <v>0.2831981279</v>
      </c>
      <c r="N263" s="13">
        <f t="shared" si="4"/>
        <v>1.409253448</v>
      </c>
    </row>
    <row r="264" ht="15.75" customHeight="1">
      <c r="A264" s="11">
        <v>70401.0</v>
      </c>
      <c r="B264" s="11" t="s">
        <v>322</v>
      </c>
      <c r="C264" s="12">
        <f>IF(Datos_originales!$E264&lt;1000,"Bosque menor a 1000 ha",Datos_originales!$E264)</f>
        <v>224255.07</v>
      </c>
      <c r="D264" s="11">
        <v>224255.07</v>
      </c>
      <c r="E264" s="11">
        <v>2939.49</v>
      </c>
      <c r="F264" s="11">
        <v>1943.55</v>
      </c>
      <c r="G264" s="11">
        <v>1448.55</v>
      </c>
      <c r="H264" s="11">
        <f t="shared" si="1"/>
        <v>2110.53</v>
      </c>
      <c r="I264" s="11">
        <v>425.52</v>
      </c>
      <c r="J264" s="11">
        <v>3885.3</v>
      </c>
      <c r="K264" s="11">
        <v>1256.58</v>
      </c>
      <c r="L264" s="11">
        <f t="shared" si="2"/>
        <v>1855.8</v>
      </c>
      <c r="M264" s="13">
        <f t="shared" si="3"/>
        <v>0.941129224</v>
      </c>
      <c r="N264" s="13">
        <f t="shared" si="4"/>
        <v>0.8275398188</v>
      </c>
    </row>
    <row r="265" ht="15.75" customHeight="1">
      <c r="A265" s="11">
        <v>70402.0</v>
      </c>
      <c r="B265" s="11" t="s">
        <v>323</v>
      </c>
      <c r="C265" s="15">
        <f>IF(Datos_originales!$E265&lt;1000,"Bosque menor a 1000 ha",Datos_originales!$E265)</f>
        <v>43491.24</v>
      </c>
      <c r="D265" s="11">
        <v>43491.24</v>
      </c>
      <c r="E265" s="11">
        <v>1853.01</v>
      </c>
      <c r="F265" s="11">
        <v>1087.56</v>
      </c>
      <c r="G265" s="11">
        <v>981.45</v>
      </c>
      <c r="H265" s="11">
        <f t="shared" si="1"/>
        <v>1307.34</v>
      </c>
      <c r="I265" s="11">
        <v>300.24</v>
      </c>
      <c r="J265" s="11">
        <v>2344.32</v>
      </c>
      <c r="K265" s="11">
        <v>1198.8</v>
      </c>
      <c r="L265" s="11">
        <f t="shared" si="2"/>
        <v>1281.12</v>
      </c>
      <c r="M265" s="13">
        <f t="shared" si="3"/>
        <v>3.005984653</v>
      </c>
      <c r="N265" s="13">
        <f t="shared" si="4"/>
        <v>2.945696651</v>
      </c>
    </row>
    <row r="266" ht="15.75" customHeight="1">
      <c r="A266" s="11">
        <v>70403.0</v>
      </c>
      <c r="B266" s="11" t="s">
        <v>324</v>
      </c>
      <c r="C266" s="12">
        <f>IF(Datos_originales!$E266&lt;1000,"Bosque menor a 1000 ha",Datos_originales!$E266)</f>
        <v>704387.7</v>
      </c>
      <c r="D266" s="11">
        <v>704387.7</v>
      </c>
      <c r="E266" s="11">
        <v>26292.42</v>
      </c>
      <c r="F266" s="11">
        <v>9811.439999999999</v>
      </c>
      <c r="G266" s="11">
        <v>8741.16</v>
      </c>
      <c r="H266" s="11">
        <f t="shared" si="1"/>
        <v>14948.34</v>
      </c>
      <c r="I266" s="11">
        <v>2963.52</v>
      </c>
      <c r="J266" s="11">
        <v>14889.87</v>
      </c>
      <c r="K266" s="11">
        <v>10208.88</v>
      </c>
      <c r="L266" s="11">
        <f t="shared" si="2"/>
        <v>9354.09</v>
      </c>
      <c r="M266" s="13">
        <f t="shared" si="3"/>
        <v>2.122175046</v>
      </c>
      <c r="N266" s="13">
        <f t="shared" si="4"/>
        <v>1.327974637</v>
      </c>
    </row>
    <row r="267" ht="15.75" customHeight="1">
      <c r="A267" s="11">
        <v>70404.0</v>
      </c>
      <c r="B267" s="11" t="s">
        <v>325</v>
      </c>
      <c r="C267" s="15">
        <f>IF(Datos_originales!$E267&lt;1000,"Bosque menor a 1000 ha",Datos_originales!$E267)</f>
        <v>66738.78</v>
      </c>
      <c r="D267" s="11">
        <v>66738.78</v>
      </c>
      <c r="E267" s="11">
        <v>2733.12</v>
      </c>
      <c r="F267" s="11">
        <v>2135.34</v>
      </c>
      <c r="G267" s="11">
        <v>1440.9</v>
      </c>
      <c r="H267" s="11">
        <f t="shared" si="1"/>
        <v>2103.12</v>
      </c>
      <c r="I267" s="11">
        <v>404.55</v>
      </c>
      <c r="J267" s="11">
        <v>1871.55</v>
      </c>
      <c r="K267" s="11">
        <v>3160.44</v>
      </c>
      <c r="L267" s="11">
        <f t="shared" si="2"/>
        <v>1812.18</v>
      </c>
      <c r="M267" s="13">
        <f t="shared" si="3"/>
        <v>3.15127127</v>
      </c>
      <c r="N267" s="13">
        <f t="shared" si="4"/>
        <v>2.715332824</v>
      </c>
    </row>
    <row r="268" ht="15.75" customHeight="1">
      <c r="A268" s="11">
        <v>70501.0</v>
      </c>
      <c r="B268" s="11" t="s">
        <v>326</v>
      </c>
      <c r="C268" s="12">
        <f>IF(Datos_originales!$E268&lt;1000,"Bosque menor a 1000 ha",Datos_originales!$E268)</f>
        <v>1537017.93</v>
      </c>
      <c r="D268" s="11">
        <v>1537017.93</v>
      </c>
      <c r="E268" s="11">
        <v>5717.07</v>
      </c>
      <c r="F268" s="11">
        <v>8434.619999999999</v>
      </c>
      <c r="G268" s="11">
        <v>10016.1</v>
      </c>
      <c r="H268" s="11">
        <f t="shared" si="1"/>
        <v>8055.93</v>
      </c>
      <c r="I268" s="11">
        <v>17625.6</v>
      </c>
      <c r="J268" s="11">
        <v>22902.39</v>
      </c>
      <c r="K268" s="11">
        <v>49189.41</v>
      </c>
      <c r="L268" s="11">
        <f t="shared" si="2"/>
        <v>29905.8</v>
      </c>
      <c r="M268" s="13">
        <f t="shared" si="3"/>
        <v>0.5241272625</v>
      </c>
      <c r="N268" s="13">
        <f t="shared" si="4"/>
        <v>1.945702741</v>
      </c>
    </row>
    <row r="269" ht="15.75" customHeight="1">
      <c r="A269" s="11">
        <v>70502.0</v>
      </c>
      <c r="B269" s="11" t="s">
        <v>327</v>
      </c>
      <c r="C269" s="15">
        <f>IF(Datos_originales!$E269&lt;1000,"Bosque menor a 1000 ha",Datos_originales!$E269)</f>
        <v>707981.4</v>
      </c>
      <c r="D269" s="11">
        <v>707981.4</v>
      </c>
      <c r="E269" s="11">
        <v>26173.17</v>
      </c>
      <c r="F269" s="11">
        <v>21198.87</v>
      </c>
      <c r="G269" s="11">
        <v>27307.8</v>
      </c>
      <c r="H269" s="11">
        <f t="shared" si="1"/>
        <v>24893.28</v>
      </c>
      <c r="I269" s="11">
        <v>17122.68</v>
      </c>
      <c r="J269" s="11">
        <v>20419.83</v>
      </c>
      <c r="K269" s="11">
        <v>16542.81</v>
      </c>
      <c r="L269" s="11">
        <f t="shared" si="2"/>
        <v>18028.44</v>
      </c>
      <c r="M269" s="13">
        <f t="shared" si="3"/>
        <v>3.516092372</v>
      </c>
      <c r="N269" s="13">
        <f t="shared" si="4"/>
        <v>2.546456729</v>
      </c>
    </row>
    <row r="270" ht="15.75" customHeight="1">
      <c r="A270" s="11">
        <v>70503.0</v>
      </c>
      <c r="B270" s="11" t="s">
        <v>328</v>
      </c>
      <c r="C270" s="12">
        <f>IF(Datos_originales!$E270&lt;1000,"Bosque menor a 1000 ha",Datos_originales!$E270)</f>
        <v>688852.98</v>
      </c>
      <c r="D270" s="11">
        <v>688852.98</v>
      </c>
      <c r="E270" s="11">
        <v>724.59</v>
      </c>
      <c r="F270" s="11">
        <v>985.23</v>
      </c>
      <c r="G270" s="11">
        <v>861.21</v>
      </c>
      <c r="H270" s="11">
        <f t="shared" si="1"/>
        <v>857.01</v>
      </c>
      <c r="I270" s="11">
        <v>5756.94</v>
      </c>
      <c r="J270" s="11">
        <v>6082.92</v>
      </c>
      <c r="K270" s="11">
        <v>33431.13</v>
      </c>
      <c r="L270" s="11">
        <f t="shared" si="2"/>
        <v>15090.33</v>
      </c>
      <c r="M270" s="13">
        <f t="shared" si="3"/>
        <v>0.1244111625</v>
      </c>
      <c r="N270" s="13">
        <f t="shared" si="4"/>
        <v>2.190645963</v>
      </c>
    </row>
    <row r="271" ht="15.75" customHeight="1">
      <c r="A271" s="11">
        <v>70601.0</v>
      </c>
      <c r="B271" s="11" t="s">
        <v>329</v>
      </c>
      <c r="C271" s="15">
        <f>IF(Datos_originales!$E271&lt;1000,"Bosque menor a 1000 ha",Datos_originales!$E271)</f>
        <v>37691.46</v>
      </c>
      <c r="D271" s="11">
        <v>37691.46</v>
      </c>
      <c r="E271" s="11">
        <v>2725.11</v>
      </c>
      <c r="F271" s="11">
        <v>1324.26</v>
      </c>
      <c r="G271" s="11">
        <v>949.59</v>
      </c>
      <c r="H271" s="11">
        <f t="shared" si="1"/>
        <v>1666.32</v>
      </c>
      <c r="I271" s="11">
        <v>154.89</v>
      </c>
      <c r="J271" s="11">
        <v>1691.19</v>
      </c>
      <c r="K271" s="11">
        <v>1113.21</v>
      </c>
      <c r="L271" s="11">
        <f t="shared" si="2"/>
        <v>986.43</v>
      </c>
      <c r="M271" s="13">
        <f t="shared" si="3"/>
        <v>4.420948406</v>
      </c>
      <c r="N271" s="13">
        <f t="shared" si="4"/>
        <v>2.617118042</v>
      </c>
    </row>
    <row r="272" ht="15.75" customHeight="1">
      <c r="A272" s="11">
        <v>70602.0</v>
      </c>
      <c r="B272" s="11" t="s">
        <v>330</v>
      </c>
      <c r="C272" s="12">
        <f>IF(Datos_originales!$E272&lt;1000,"Bosque menor a 1000 ha",Datos_originales!$E272)</f>
        <v>189111.87</v>
      </c>
      <c r="D272" s="11">
        <v>189111.87</v>
      </c>
      <c r="E272" s="11">
        <v>9718.65</v>
      </c>
      <c r="F272" s="11">
        <v>9067.05</v>
      </c>
      <c r="G272" s="11">
        <v>5380.47</v>
      </c>
      <c r="H272" s="11">
        <f t="shared" si="1"/>
        <v>8055.39</v>
      </c>
      <c r="I272" s="11">
        <v>2672.19</v>
      </c>
      <c r="J272" s="11">
        <v>8844.84</v>
      </c>
      <c r="K272" s="11">
        <v>10313.28</v>
      </c>
      <c r="L272" s="11">
        <f t="shared" si="2"/>
        <v>7276.77</v>
      </c>
      <c r="M272" s="13">
        <f t="shared" si="3"/>
        <v>4.25958984</v>
      </c>
      <c r="N272" s="13">
        <f t="shared" si="4"/>
        <v>3.847865287</v>
      </c>
    </row>
    <row r="273" ht="15.75" customHeight="1">
      <c r="A273" s="11">
        <v>70603.0</v>
      </c>
      <c r="B273" s="11" t="s">
        <v>331</v>
      </c>
      <c r="C273" s="15">
        <f>IF(Datos_originales!$E273&lt;1000,"Bosque menor a 1000 ha",Datos_originales!$E273)</f>
        <v>7991.91</v>
      </c>
      <c r="D273" s="11">
        <v>7991.91</v>
      </c>
      <c r="E273" s="11">
        <v>241.11</v>
      </c>
      <c r="F273" s="11">
        <v>149.94</v>
      </c>
      <c r="G273" s="11">
        <v>205.56</v>
      </c>
      <c r="H273" s="11">
        <f t="shared" si="1"/>
        <v>198.87</v>
      </c>
      <c r="I273" s="11">
        <v>27.36</v>
      </c>
      <c r="J273" s="11">
        <v>452.34</v>
      </c>
      <c r="K273" s="11">
        <v>463.95</v>
      </c>
      <c r="L273" s="11">
        <f t="shared" si="2"/>
        <v>314.55</v>
      </c>
      <c r="M273" s="13">
        <f t="shared" si="3"/>
        <v>2.488391386</v>
      </c>
      <c r="N273" s="13">
        <f t="shared" si="4"/>
        <v>3.935855134</v>
      </c>
    </row>
    <row r="274" ht="15.75" customHeight="1">
      <c r="A274" s="11">
        <v>70701.0</v>
      </c>
      <c r="B274" s="11" t="s">
        <v>332</v>
      </c>
      <c r="C274" s="12">
        <f>IF(Datos_originales!$E274&lt;1000,"Bosque menor a 1000 ha",Datos_originales!$E274)</f>
        <v>95083.29</v>
      </c>
      <c r="D274" s="11">
        <v>95083.29</v>
      </c>
      <c r="E274" s="11">
        <v>744.03</v>
      </c>
      <c r="F274" s="11">
        <v>704.88</v>
      </c>
      <c r="G274" s="11">
        <v>604.8</v>
      </c>
      <c r="H274" s="11">
        <f t="shared" si="1"/>
        <v>684.57</v>
      </c>
      <c r="I274" s="11">
        <v>234.27</v>
      </c>
      <c r="J274" s="11">
        <v>731.6999999999999</v>
      </c>
      <c r="K274" s="11">
        <v>264.06</v>
      </c>
      <c r="L274" s="11">
        <f t="shared" si="2"/>
        <v>410.01</v>
      </c>
      <c r="M274" s="13">
        <f t="shared" si="3"/>
        <v>0.7199687768</v>
      </c>
      <c r="N274" s="13">
        <f t="shared" si="4"/>
        <v>0.4312114148</v>
      </c>
    </row>
    <row r="275" ht="15.75" customHeight="1">
      <c r="A275" s="11">
        <v>70702.0</v>
      </c>
      <c r="B275" s="11" t="s">
        <v>333</v>
      </c>
      <c r="C275" s="15">
        <f>IF(Datos_originales!$E275&lt;1000,"Bosque menor a 1000 ha",Datos_originales!$E275)</f>
        <v>6326742.87</v>
      </c>
      <c r="D275" s="11">
        <v>6326742.87</v>
      </c>
      <c r="E275" s="11">
        <v>19657.71</v>
      </c>
      <c r="F275" s="11">
        <v>14750.19</v>
      </c>
      <c r="G275" s="11">
        <v>16189.2</v>
      </c>
      <c r="H275" s="11">
        <f t="shared" si="1"/>
        <v>16865.7</v>
      </c>
      <c r="I275" s="11">
        <v>31498.74</v>
      </c>
      <c r="J275" s="11">
        <v>22288.41</v>
      </c>
      <c r="K275" s="11">
        <v>124829.1</v>
      </c>
      <c r="L275" s="11">
        <f t="shared" si="2"/>
        <v>59538.75</v>
      </c>
      <c r="M275" s="13">
        <f t="shared" si="3"/>
        <v>0.2665779272</v>
      </c>
      <c r="N275" s="13">
        <f t="shared" si="4"/>
        <v>0.9410647978</v>
      </c>
    </row>
    <row r="276" ht="15.75" customHeight="1">
      <c r="A276" s="11">
        <v>70703.0</v>
      </c>
      <c r="B276" s="11" t="s">
        <v>334</v>
      </c>
      <c r="C276" s="12">
        <f>IF(Datos_originales!$E276&lt;1000,"Bosque menor a 1000 ha",Datos_originales!$E276)</f>
        <v>296407.53</v>
      </c>
      <c r="D276" s="11">
        <v>296407.53</v>
      </c>
      <c r="E276" s="11">
        <v>6353.82</v>
      </c>
      <c r="F276" s="11">
        <v>5191.65</v>
      </c>
      <c r="G276" s="11">
        <v>5211.27</v>
      </c>
      <c r="H276" s="11">
        <f t="shared" si="1"/>
        <v>5585.58</v>
      </c>
      <c r="I276" s="11">
        <v>3291.84</v>
      </c>
      <c r="J276" s="11">
        <v>5694.75</v>
      </c>
      <c r="K276" s="11">
        <v>5455.89</v>
      </c>
      <c r="L276" s="11">
        <f t="shared" si="2"/>
        <v>4814.16</v>
      </c>
      <c r="M276" s="13">
        <f t="shared" si="3"/>
        <v>1.884425811</v>
      </c>
      <c r="N276" s="13">
        <f t="shared" si="4"/>
        <v>1.624169265</v>
      </c>
    </row>
    <row r="277" ht="15.75" customHeight="1">
      <c r="A277" s="11">
        <v>70704.0</v>
      </c>
      <c r="B277" s="11" t="s">
        <v>335</v>
      </c>
      <c r="C277" s="15">
        <f>IF(Datos_originales!$E277&lt;1000,"Bosque menor a 1000 ha",Datos_originales!$E277)</f>
        <v>71029.44</v>
      </c>
      <c r="D277" s="11">
        <v>71029.44</v>
      </c>
      <c r="E277" s="11">
        <v>144.72</v>
      </c>
      <c r="F277" s="11">
        <v>124.02</v>
      </c>
      <c r="G277" s="11">
        <v>405.63</v>
      </c>
      <c r="H277" s="11">
        <f t="shared" si="1"/>
        <v>224.79</v>
      </c>
      <c r="I277" s="11">
        <v>85.32000000000001</v>
      </c>
      <c r="J277" s="11">
        <v>632.4300000000001</v>
      </c>
      <c r="K277" s="11">
        <v>80.82000000000001</v>
      </c>
      <c r="L277" s="11">
        <f t="shared" si="2"/>
        <v>266.19</v>
      </c>
      <c r="M277" s="13">
        <f t="shared" si="3"/>
        <v>0.3164744084</v>
      </c>
      <c r="N277" s="13">
        <f t="shared" si="4"/>
        <v>0.3747600995</v>
      </c>
    </row>
    <row r="278" ht="15.75" customHeight="1">
      <c r="A278" s="11">
        <v>70705.0</v>
      </c>
      <c r="B278" s="11" t="s">
        <v>336</v>
      </c>
      <c r="C278" s="12">
        <f>IF(Datos_originales!$E278&lt;1000,"Bosque menor a 1000 ha",Datos_originales!$E278)</f>
        <v>244483.65</v>
      </c>
      <c r="D278" s="11">
        <v>244483.65</v>
      </c>
      <c r="E278" s="11">
        <v>3554.01</v>
      </c>
      <c r="F278" s="11">
        <v>2156.67</v>
      </c>
      <c r="G278" s="11">
        <v>1584.09</v>
      </c>
      <c r="H278" s="11">
        <f t="shared" si="1"/>
        <v>2431.59</v>
      </c>
      <c r="I278" s="11">
        <v>1509.93</v>
      </c>
      <c r="J278" s="11">
        <v>2467.8</v>
      </c>
      <c r="K278" s="11">
        <v>1229.76</v>
      </c>
      <c r="L278" s="11">
        <f t="shared" si="2"/>
        <v>1735.83</v>
      </c>
      <c r="M278" s="13">
        <f t="shared" si="3"/>
        <v>0.9945818463</v>
      </c>
      <c r="N278" s="13">
        <f t="shared" si="4"/>
        <v>0.7099983987</v>
      </c>
    </row>
    <row r="279" ht="15.75" customHeight="1">
      <c r="A279" s="11">
        <v>70706.0</v>
      </c>
      <c r="B279" s="11" t="s">
        <v>337</v>
      </c>
      <c r="C279" s="15">
        <f>IF(Datos_originales!$E279&lt;1000,"Bosque menor a 1000 ha",Datos_originales!$E279)</f>
        <v>87469.74</v>
      </c>
      <c r="D279" s="11">
        <v>87469.74</v>
      </c>
      <c r="E279" s="11">
        <v>477.45</v>
      </c>
      <c r="F279" s="11">
        <v>537.57</v>
      </c>
      <c r="G279" s="11">
        <v>809.46</v>
      </c>
      <c r="H279" s="11">
        <f t="shared" si="1"/>
        <v>608.16</v>
      </c>
      <c r="I279" s="11">
        <v>222.21</v>
      </c>
      <c r="J279" s="11">
        <v>1170.81</v>
      </c>
      <c r="K279" s="11">
        <v>424.8</v>
      </c>
      <c r="L279" s="11">
        <f t="shared" si="2"/>
        <v>605.94</v>
      </c>
      <c r="M279" s="13">
        <f t="shared" si="3"/>
        <v>0.6952804478</v>
      </c>
      <c r="N279" s="13">
        <f t="shared" si="4"/>
        <v>0.6927424273</v>
      </c>
    </row>
    <row r="280" ht="15.75" customHeight="1">
      <c r="A280" s="11">
        <v>70707.0</v>
      </c>
      <c r="B280" s="11" t="s">
        <v>338</v>
      </c>
      <c r="C280" s="12">
        <f>IF(Datos_originales!$E280&lt;1000,"Bosque menor a 1000 ha",Datos_originales!$E280)</f>
        <v>147199.14</v>
      </c>
      <c r="D280" s="11">
        <v>147199.14</v>
      </c>
      <c r="E280" s="11">
        <v>82.35</v>
      </c>
      <c r="F280" s="11">
        <v>100.35</v>
      </c>
      <c r="G280" s="11">
        <v>344.97</v>
      </c>
      <c r="H280" s="11">
        <f t="shared" si="1"/>
        <v>175.89</v>
      </c>
      <c r="I280" s="11">
        <v>2029.41</v>
      </c>
      <c r="J280" s="11">
        <v>2905.65</v>
      </c>
      <c r="K280" s="11">
        <v>638.5500000000001</v>
      </c>
      <c r="L280" s="11">
        <f t="shared" si="2"/>
        <v>1857.87</v>
      </c>
      <c r="M280" s="13">
        <f t="shared" si="3"/>
        <v>0.1194911872</v>
      </c>
      <c r="N280" s="13">
        <f t="shared" si="4"/>
        <v>1.26214732</v>
      </c>
    </row>
    <row r="281" ht="15.75" customHeight="1">
      <c r="A281" s="11">
        <v>70801.0</v>
      </c>
      <c r="B281" s="11" t="s">
        <v>339</v>
      </c>
      <c r="C281" s="15">
        <f>IF(Datos_originales!$E281&lt;1000,"Bosque menor a 1000 ha",Datos_originales!$E281)</f>
        <v>269921.7</v>
      </c>
      <c r="D281" s="11">
        <v>269921.7</v>
      </c>
      <c r="E281" s="11">
        <v>726.12</v>
      </c>
      <c r="F281" s="11">
        <v>1041.12</v>
      </c>
      <c r="G281" s="11">
        <v>1511.01</v>
      </c>
      <c r="H281" s="11">
        <f t="shared" si="1"/>
        <v>1092.75</v>
      </c>
      <c r="I281" s="11">
        <v>670.6800000000001</v>
      </c>
      <c r="J281" s="11">
        <v>2835.45</v>
      </c>
      <c r="K281" s="11">
        <v>1157.76</v>
      </c>
      <c r="L281" s="11">
        <f t="shared" si="2"/>
        <v>1554.63</v>
      </c>
      <c r="M281" s="13">
        <f t="shared" si="3"/>
        <v>0.4048396257</v>
      </c>
      <c r="N281" s="13">
        <f t="shared" si="4"/>
        <v>0.5759559161</v>
      </c>
    </row>
    <row r="282" ht="15.75" customHeight="1">
      <c r="A282" s="11">
        <v>70802.0</v>
      </c>
      <c r="B282" s="11" t="s">
        <v>340</v>
      </c>
      <c r="C282" s="12">
        <f>IF(Datos_originales!$E282&lt;1000,"Bosque menor a 1000 ha",Datos_originales!$E282)</f>
        <v>24363.9</v>
      </c>
      <c r="D282" s="11">
        <v>24363.9</v>
      </c>
      <c r="E282" s="11">
        <v>108.81</v>
      </c>
      <c r="F282" s="11">
        <v>111.96</v>
      </c>
      <c r="G282" s="11">
        <v>193.05</v>
      </c>
      <c r="H282" s="11">
        <f t="shared" si="1"/>
        <v>137.94</v>
      </c>
      <c r="I282" s="11">
        <v>157.77</v>
      </c>
      <c r="J282" s="11">
        <v>269.28</v>
      </c>
      <c r="K282" s="11">
        <v>48.69</v>
      </c>
      <c r="L282" s="11">
        <f t="shared" si="2"/>
        <v>158.58</v>
      </c>
      <c r="M282" s="13">
        <f t="shared" si="3"/>
        <v>0.5661655154</v>
      </c>
      <c r="N282" s="13">
        <f t="shared" si="4"/>
        <v>0.6508810166</v>
      </c>
    </row>
    <row r="283" ht="15.75" customHeight="1">
      <c r="A283" s="11">
        <v>70803.0</v>
      </c>
      <c r="B283" s="11" t="s">
        <v>341</v>
      </c>
      <c r="C283" s="15">
        <f>IF(Datos_originales!$E283&lt;1000,"Bosque menor a 1000 ha",Datos_originales!$E283)</f>
        <v>40236.75</v>
      </c>
      <c r="D283" s="11">
        <v>40236.75</v>
      </c>
      <c r="E283" s="11">
        <v>46.26</v>
      </c>
      <c r="F283" s="11">
        <v>46.98</v>
      </c>
      <c r="G283" s="11">
        <v>928.4399999999999</v>
      </c>
      <c r="H283" s="11">
        <f t="shared" si="1"/>
        <v>340.56</v>
      </c>
      <c r="I283" s="11">
        <v>330.3</v>
      </c>
      <c r="J283" s="11">
        <v>468.36</v>
      </c>
      <c r="K283" s="11">
        <v>102.51</v>
      </c>
      <c r="L283" s="11">
        <f t="shared" si="2"/>
        <v>300.39</v>
      </c>
      <c r="M283" s="13">
        <f t="shared" si="3"/>
        <v>0.8463904267</v>
      </c>
      <c r="N283" s="13">
        <f t="shared" si="4"/>
        <v>0.7465563198</v>
      </c>
    </row>
    <row r="284" ht="15.75" customHeight="1">
      <c r="A284" s="11">
        <v>70804.0</v>
      </c>
      <c r="B284" s="11" t="s">
        <v>342</v>
      </c>
      <c r="C284" s="12">
        <f>IF(Datos_originales!$E284&lt;1000,"Bosque menor a 1000 ha",Datos_originales!$E284)</f>
        <v>102421.89</v>
      </c>
      <c r="D284" s="11">
        <v>102421.89</v>
      </c>
      <c r="E284" s="11">
        <v>317.16</v>
      </c>
      <c r="F284" s="11">
        <v>358.92</v>
      </c>
      <c r="G284" s="11">
        <v>362.34</v>
      </c>
      <c r="H284" s="11">
        <f t="shared" si="1"/>
        <v>346.14</v>
      </c>
      <c r="I284" s="11">
        <v>147.87</v>
      </c>
      <c r="J284" s="11">
        <v>622.1700000000001</v>
      </c>
      <c r="K284" s="11">
        <v>679.77</v>
      </c>
      <c r="L284" s="11">
        <f t="shared" si="2"/>
        <v>483.27</v>
      </c>
      <c r="M284" s="13">
        <f t="shared" si="3"/>
        <v>0.3379550992</v>
      </c>
      <c r="N284" s="13">
        <f t="shared" si="4"/>
        <v>0.4718424938</v>
      </c>
    </row>
    <row r="285" ht="15.75" customHeight="1">
      <c r="A285" s="11">
        <v>70805.0</v>
      </c>
      <c r="B285" s="11" t="s">
        <v>343</v>
      </c>
      <c r="C285" s="15">
        <f>IF(Datos_originales!$E285&lt;1000,"Bosque menor a 1000 ha",Datos_originales!$E285)</f>
        <v>44864.64</v>
      </c>
      <c r="D285" s="11">
        <v>44864.64</v>
      </c>
      <c r="E285" s="11">
        <v>158.85</v>
      </c>
      <c r="F285" s="11">
        <v>183.69</v>
      </c>
      <c r="G285" s="11">
        <v>497.7</v>
      </c>
      <c r="H285" s="11">
        <f t="shared" si="1"/>
        <v>280.08</v>
      </c>
      <c r="I285" s="11">
        <v>213.3</v>
      </c>
      <c r="J285" s="11">
        <v>541.98</v>
      </c>
      <c r="K285" s="11">
        <v>199.53</v>
      </c>
      <c r="L285" s="11">
        <f t="shared" si="2"/>
        <v>318.27</v>
      </c>
      <c r="M285" s="13">
        <f t="shared" si="3"/>
        <v>0.6242778277</v>
      </c>
      <c r="N285" s="13">
        <f t="shared" si="4"/>
        <v>0.7094005435</v>
      </c>
    </row>
    <row r="286" ht="15.75" customHeight="1">
      <c r="A286" s="11">
        <v>70901.0</v>
      </c>
      <c r="B286" s="11" t="s">
        <v>344</v>
      </c>
      <c r="C286" s="12">
        <f>IF(Datos_originales!$E286&lt;1000,"Bosque menor a 1000 ha",Datos_originales!$E286)</f>
        <v>167194.08</v>
      </c>
      <c r="D286" s="11">
        <v>167194.08</v>
      </c>
      <c r="E286" s="11">
        <v>352.62</v>
      </c>
      <c r="F286" s="11">
        <v>480.87</v>
      </c>
      <c r="G286" s="11">
        <v>530.19</v>
      </c>
      <c r="H286" s="11">
        <f t="shared" si="1"/>
        <v>454.56</v>
      </c>
      <c r="I286" s="11">
        <v>393.48</v>
      </c>
      <c r="J286" s="11">
        <v>662.4</v>
      </c>
      <c r="K286" s="11">
        <v>457.65</v>
      </c>
      <c r="L286" s="11">
        <f t="shared" si="2"/>
        <v>504.51</v>
      </c>
      <c r="M286" s="13">
        <f t="shared" si="3"/>
        <v>0.2718756549</v>
      </c>
      <c r="N286" s="13">
        <f t="shared" si="4"/>
        <v>0.3017511146</v>
      </c>
    </row>
    <row r="287" ht="15.75" customHeight="1">
      <c r="A287" s="11">
        <v>70902.0</v>
      </c>
      <c r="B287" s="11" t="s">
        <v>345</v>
      </c>
      <c r="C287" s="15">
        <f>IF(Datos_originales!$E287&lt;1000,"Bosque menor a 1000 ha",Datos_originales!$E287)</f>
        <v>75895.11</v>
      </c>
      <c r="D287" s="11">
        <v>75895.11</v>
      </c>
      <c r="E287" s="11">
        <v>474.48</v>
      </c>
      <c r="F287" s="11">
        <v>352.8</v>
      </c>
      <c r="G287" s="11">
        <v>671.49</v>
      </c>
      <c r="H287" s="11">
        <f t="shared" si="1"/>
        <v>499.59</v>
      </c>
      <c r="I287" s="11">
        <v>284.04</v>
      </c>
      <c r="J287" s="11">
        <v>616.59</v>
      </c>
      <c r="K287" s="11">
        <v>461.25</v>
      </c>
      <c r="L287" s="11">
        <f t="shared" si="2"/>
        <v>453.96</v>
      </c>
      <c r="M287" s="13">
        <f t="shared" si="3"/>
        <v>0.6582637538</v>
      </c>
      <c r="N287" s="13">
        <f t="shared" si="4"/>
        <v>0.5981413032</v>
      </c>
    </row>
    <row r="288" ht="15.75" customHeight="1">
      <c r="A288" s="11">
        <v>70903.0</v>
      </c>
      <c r="B288" s="11" t="s">
        <v>346</v>
      </c>
      <c r="C288" s="12">
        <f>IF(Datos_originales!$E288&lt;1000,"Bosque menor a 1000 ha",Datos_originales!$E288)</f>
        <v>64372.41</v>
      </c>
      <c r="D288" s="11">
        <v>64372.41</v>
      </c>
      <c r="E288" s="11">
        <v>361.89</v>
      </c>
      <c r="F288" s="11">
        <v>200.43</v>
      </c>
      <c r="G288" s="11">
        <v>294.75</v>
      </c>
      <c r="H288" s="11">
        <f t="shared" si="1"/>
        <v>285.69</v>
      </c>
      <c r="I288" s="11">
        <v>234.81</v>
      </c>
      <c r="J288" s="11">
        <v>477.18</v>
      </c>
      <c r="K288" s="11">
        <v>458.1899999999999</v>
      </c>
      <c r="L288" s="11">
        <f t="shared" si="2"/>
        <v>390.06</v>
      </c>
      <c r="M288" s="13">
        <f t="shared" si="3"/>
        <v>0.443808147</v>
      </c>
      <c r="N288" s="13">
        <f t="shared" si="4"/>
        <v>0.6059428255</v>
      </c>
    </row>
    <row r="289" ht="15.75" customHeight="1">
      <c r="A289" s="11">
        <v>70904.0</v>
      </c>
      <c r="B289" s="11" t="s">
        <v>347</v>
      </c>
      <c r="C289" s="15">
        <f>IF(Datos_originales!$E289&lt;1000,"Bosque menor a 1000 ha",Datos_originales!$E289)</f>
        <v>22582.71</v>
      </c>
      <c r="D289" s="11">
        <v>22582.71</v>
      </c>
      <c r="E289" s="11">
        <v>104.22</v>
      </c>
      <c r="F289" s="11">
        <v>96.66</v>
      </c>
      <c r="G289" s="11">
        <v>194.13</v>
      </c>
      <c r="H289" s="11">
        <f t="shared" si="1"/>
        <v>131.67</v>
      </c>
      <c r="I289" s="11">
        <v>151.47</v>
      </c>
      <c r="J289" s="11">
        <v>171.72</v>
      </c>
      <c r="K289" s="11">
        <v>71.28</v>
      </c>
      <c r="L289" s="11">
        <f t="shared" si="2"/>
        <v>131.49</v>
      </c>
      <c r="M289" s="13">
        <f t="shared" si="3"/>
        <v>0.5830566836</v>
      </c>
      <c r="N289" s="13">
        <f t="shared" si="4"/>
        <v>0.5822596137</v>
      </c>
    </row>
    <row r="290" ht="15.75" customHeight="1">
      <c r="A290" s="11">
        <v>71001.0</v>
      </c>
      <c r="B290" s="11" t="s">
        <v>348</v>
      </c>
      <c r="C290" s="12">
        <f>IF(Datos_originales!$E290&lt;1000,"Bosque menor a 1000 ha",Datos_originales!$E290)</f>
        <v>3696.57</v>
      </c>
      <c r="D290" s="11">
        <v>3696.57</v>
      </c>
      <c r="E290" s="11">
        <v>292.23</v>
      </c>
      <c r="F290" s="11">
        <v>189.27</v>
      </c>
      <c r="G290" s="11">
        <v>137.79</v>
      </c>
      <c r="H290" s="11">
        <f t="shared" si="1"/>
        <v>206.43</v>
      </c>
      <c r="I290" s="11">
        <v>6.48</v>
      </c>
      <c r="J290" s="11">
        <v>158.04</v>
      </c>
      <c r="K290" s="11">
        <v>151.2</v>
      </c>
      <c r="L290" s="11">
        <f t="shared" si="2"/>
        <v>105.24</v>
      </c>
      <c r="M290" s="13">
        <f t="shared" si="3"/>
        <v>5.584366047</v>
      </c>
      <c r="N290" s="13">
        <f t="shared" si="4"/>
        <v>2.846963536</v>
      </c>
    </row>
    <row r="291" ht="15.75" customHeight="1">
      <c r="A291" s="11">
        <v>71002.0</v>
      </c>
      <c r="B291" s="11" t="s">
        <v>349</v>
      </c>
      <c r="C291" s="15">
        <f>IF(Datos_originales!$E291&lt;1000,"Bosque menor a 1000 ha",Datos_originales!$E291)</f>
        <v>3788.19</v>
      </c>
      <c r="D291" s="11">
        <v>3788.19</v>
      </c>
      <c r="E291" s="11">
        <v>503.28</v>
      </c>
      <c r="F291" s="11">
        <v>181.62</v>
      </c>
      <c r="G291" s="11">
        <v>122.94</v>
      </c>
      <c r="H291" s="11">
        <f t="shared" si="1"/>
        <v>269.28</v>
      </c>
      <c r="I291" s="11">
        <v>29.7</v>
      </c>
      <c r="J291" s="11">
        <v>205.29</v>
      </c>
      <c r="K291" s="11">
        <v>293.22</v>
      </c>
      <c r="L291" s="11">
        <f t="shared" si="2"/>
        <v>176.07</v>
      </c>
      <c r="M291" s="13">
        <f t="shared" si="3"/>
        <v>7.108407973</v>
      </c>
      <c r="N291" s="13">
        <f t="shared" si="4"/>
        <v>4.647866131</v>
      </c>
    </row>
    <row r="292" ht="15.75" customHeight="1">
      <c r="A292" s="11">
        <v>71003.0</v>
      </c>
      <c r="B292" s="11" t="s">
        <v>350</v>
      </c>
      <c r="C292" s="12">
        <f>IF(Datos_originales!$E292&lt;1000,"Bosque menor a 1000 ha",Datos_originales!$E292)</f>
        <v>3309.57</v>
      </c>
      <c r="D292" s="11">
        <v>3309.57</v>
      </c>
      <c r="E292" s="11">
        <v>443.07</v>
      </c>
      <c r="F292" s="11">
        <v>328.77</v>
      </c>
      <c r="G292" s="11">
        <v>141.12</v>
      </c>
      <c r="H292" s="11">
        <f t="shared" si="1"/>
        <v>304.32</v>
      </c>
      <c r="I292" s="11">
        <v>45.72</v>
      </c>
      <c r="J292" s="11">
        <v>300.6</v>
      </c>
      <c r="K292" s="11">
        <v>294.84</v>
      </c>
      <c r="L292" s="11">
        <f t="shared" si="2"/>
        <v>213.72</v>
      </c>
      <c r="M292" s="13">
        <f t="shared" si="3"/>
        <v>9.19515224</v>
      </c>
      <c r="N292" s="13">
        <f t="shared" si="4"/>
        <v>6.457636491</v>
      </c>
    </row>
    <row r="293" ht="15.75" customHeight="1">
      <c r="A293" s="11">
        <v>71004.0</v>
      </c>
      <c r="B293" s="11" t="s">
        <v>351</v>
      </c>
      <c r="C293" s="15">
        <f>IF(Datos_originales!$E293&lt;1000,"Bosque menor a 1000 ha",Datos_originales!$E293)</f>
        <v>4884.21</v>
      </c>
      <c r="D293" s="11">
        <v>4884.21</v>
      </c>
      <c r="E293" s="11">
        <v>525.6</v>
      </c>
      <c r="F293" s="11">
        <v>356.67</v>
      </c>
      <c r="G293" s="11">
        <v>193.23</v>
      </c>
      <c r="H293" s="11">
        <f t="shared" si="1"/>
        <v>358.5</v>
      </c>
      <c r="I293" s="11">
        <v>133.47</v>
      </c>
      <c r="J293" s="11">
        <v>457.11</v>
      </c>
      <c r="K293" s="11">
        <v>167.49</v>
      </c>
      <c r="L293" s="11">
        <f t="shared" si="2"/>
        <v>252.69</v>
      </c>
      <c r="M293" s="13">
        <f t="shared" si="3"/>
        <v>7.339979239</v>
      </c>
      <c r="N293" s="13">
        <f t="shared" si="4"/>
        <v>5.173610471</v>
      </c>
    </row>
    <row r="294" ht="15.75" customHeight="1">
      <c r="A294" s="11">
        <v>71005.0</v>
      </c>
      <c r="B294" s="11" t="s">
        <v>275</v>
      </c>
      <c r="C294" s="12">
        <f>IF(Datos_originales!$E294&lt;1000,"Bosque menor a 1000 ha",Datos_originales!$E294)</f>
        <v>48195.36</v>
      </c>
      <c r="D294" s="11">
        <v>48195.36</v>
      </c>
      <c r="E294" s="11">
        <v>3596.58</v>
      </c>
      <c r="F294" s="11">
        <v>2199.51</v>
      </c>
      <c r="G294" s="11">
        <v>1057.23</v>
      </c>
      <c r="H294" s="11">
        <f t="shared" si="1"/>
        <v>2284.44</v>
      </c>
      <c r="I294" s="11">
        <v>672.3</v>
      </c>
      <c r="J294" s="11">
        <v>1230.21</v>
      </c>
      <c r="K294" s="11">
        <v>2080.53</v>
      </c>
      <c r="L294" s="11">
        <f t="shared" si="2"/>
        <v>1327.68</v>
      </c>
      <c r="M294" s="13">
        <f t="shared" si="3"/>
        <v>4.739958369</v>
      </c>
      <c r="N294" s="13">
        <f t="shared" si="4"/>
        <v>2.754788013</v>
      </c>
    </row>
    <row r="295" ht="15.75" customHeight="1">
      <c r="A295" s="11">
        <v>71101.0</v>
      </c>
      <c r="B295" s="11" t="s">
        <v>352</v>
      </c>
      <c r="C295" s="15">
        <f>IF(Datos_originales!$E295&lt;1000,"Bosque menor a 1000 ha",Datos_originales!$E295)</f>
        <v>2713543.38</v>
      </c>
      <c r="D295" s="11">
        <v>2713543.38</v>
      </c>
      <c r="E295" s="11">
        <v>8116.11</v>
      </c>
      <c r="F295" s="11">
        <v>8115.389999999999</v>
      </c>
      <c r="G295" s="11">
        <v>8620.2</v>
      </c>
      <c r="H295" s="11">
        <f t="shared" si="1"/>
        <v>8283.9</v>
      </c>
      <c r="I295" s="11">
        <v>21125.34</v>
      </c>
      <c r="J295" s="11">
        <v>31114.89</v>
      </c>
      <c r="K295" s="11">
        <v>24791.67</v>
      </c>
      <c r="L295" s="11">
        <f t="shared" si="2"/>
        <v>25677.3</v>
      </c>
      <c r="M295" s="13">
        <f t="shared" si="3"/>
        <v>0.3052798072</v>
      </c>
      <c r="N295" s="13">
        <f t="shared" si="4"/>
        <v>0.9462645849</v>
      </c>
    </row>
    <row r="296" ht="15.75" customHeight="1">
      <c r="A296" s="11">
        <v>71102.0</v>
      </c>
      <c r="B296" s="11" t="s">
        <v>353</v>
      </c>
      <c r="C296" s="12">
        <f>IF(Datos_originales!$E296&lt;1000,"Bosque menor a 1000 ha",Datos_originales!$E296)</f>
        <v>144437.94</v>
      </c>
      <c r="D296" s="11">
        <v>144437.94</v>
      </c>
      <c r="E296" s="11">
        <v>2414.61</v>
      </c>
      <c r="F296" s="11">
        <v>2028.15</v>
      </c>
      <c r="G296" s="11">
        <v>2257.83</v>
      </c>
      <c r="H296" s="11">
        <f t="shared" si="1"/>
        <v>2233.53</v>
      </c>
      <c r="I296" s="11">
        <v>2735.1</v>
      </c>
      <c r="J296" s="11">
        <v>5414.4</v>
      </c>
      <c r="K296" s="11">
        <v>2750.04</v>
      </c>
      <c r="L296" s="11">
        <f t="shared" si="2"/>
        <v>3633.18</v>
      </c>
      <c r="M296" s="13">
        <f t="shared" si="3"/>
        <v>1.546359634</v>
      </c>
      <c r="N296" s="13">
        <f t="shared" si="4"/>
        <v>2.515391732</v>
      </c>
    </row>
    <row r="297" ht="15.75" customHeight="1">
      <c r="A297" s="11">
        <v>71103.0</v>
      </c>
      <c r="B297" s="11" t="s">
        <v>354</v>
      </c>
      <c r="C297" s="15">
        <f>IF(Datos_originales!$E297&lt;1000,"Bosque menor a 1000 ha",Datos_originales!$E297)</f>
        <v>33668.82</v>
      </c>
      <c r="D297" s="11">
        <v>33668.82</v>
      </c>
      <c r="E297" s="11">
        <v>444.42</v>
      </c>
      <c r="F297" s="11">
        <v>538.02</v>
      </c>
      <c r="G297" s="11">
        <v>722.52</v>
      </c>
      <c r="H297" s="11">
        <f t="shared" si="1"/>
        <v>568.32</v>
      </c>
      <c r="I297" s="11">
        <v>715.59</v>
      </c>
      <c r="J297" s="11">
        <v>1435.05</v>
      </c>
      <c r="K297" s="11">
        <v>687.24</v>
      </c>
      <c r="L297" s="11">
        <f t="shared" si="2"/>
        <v>945.96</v>
      </c>
      <c r="M297" s="13">
        <f t="shared" si="3"/>
        <v>1.687971245</v>
      </c>
      <c r="N297" s="13">
        <f t="shared" si="4"/>
        <v>2.809602475</v>
      </c>
    </row>
    <row r="298" ht="15.75" customHeight="1">
      <c r="A298" s="11">
        <v>71104.0</v>
      </c>
      <c r="B298" s="11" t="s">
        <v>355</v>
      </c>
      <c r="C298" s="12">
        <f>IF(Datos_originales!$E298&lt;1000,"Bosque menor a 1000 ha",Datos_originales!$E298)</f>
        <v>119226.78</v>
      </c>
      <c r="D298" s="11">
        <v>119226.78</v>
      </c>
      <c r="E298" s="11">
        <v>21680.82</v>
      </c>
      <c r="F298" s="11">
        <v>9136.53</v>
      </c>
      <c r="G298" s="11">
        <v>8329.95</v>
      </c>
      <c r="H298" s="11">
        <f t="shared" si="1"/>
        <v>13049.1</v>
      </c>
      <c r="I298" s="11">
        <v>3190.23</v>
      </c>
      <c r="J298" s="11">
        <v>6556.68</v>
      </c>
      <c r="K298" s="11">
        <v>3736.44</v>
      </c>
      <c r="L298" s="11">
        <f t="shared" si="2"/>
        <v>4494.45</v>
      </c>
      <c r="M298" s="13">
        <f t="shared" si="3"/>
        <v>10.94477264</v>
      </c>
      <c r="N298" s="13">
        <f t="shared" si="4"/>
        <v>3.769664835</v>
      </c>
    </row>
    <row r="299" ht="15.75" customHeight="1">
      <c r="A299" s="11">
        <v>71105.0</v>
      </c>
      <c r="B299" s="11" t="s">
        <v>356</v>
      </c>
      <c r="C299" s="15">
        <f>IF(Datos_originales!$E299&lt;1000,"Bosque menor a 1000 ha",Datos_originales!$E299)</f>
        <v>168209.19</v>
      </c>
      <c r="D299" s="11">
        <v>168209.19</v>
      </c>
      <c r="E299" s="11">
        <v>758.25</v>
      </c>
      <c r="F299" s="11">
        <v>1137.69</v>
      </c>
      <c r="G299" s="11">
        <v>2150.1</v>
      </c>
      <c r="H299" s="11">
        <f t="shared" si="1"/>
        <v>1348.68</v>
      </c>
      <c r="I299" s="11">
        <v>721.62</v>
      </c>
      <c r="J299" s="11">
        <v>2098.98</v>
      </c>
      <c r="K299" s="11">
        <v>1157.31</v>
      </c>
      <c r="L299" s="11">
        <f t="shared" si="2"/>
        <v>1325.97</v>
      </c>
      <c r="M299" s="13">
        <f t="shared" si="3"/>
        <v>0.8017873459</v>
      </c>
      <c r="N299" s="13">
        <f t="shared" si="4"/>
        <v>0.7882862999</v>
      </c>
    </row>
    <row r="300" ht="15.75" customHeight="1">
      <c r="A300" s="11">
        <v>71106.0</v>
      </c>
      <c r="B300" s="11" t="s">
        <v>357</v>
      </c>
      <c r="C300" s="12">
        <f>IF(Datos_originales!$E300&lt;1000,"Bosque menor a 1000 ha",Datos_originales!$E300)</f>
        <v>123518.34</v>
      </c>
      <c r="D300" s="11">
        <v>123518.34</v>
      </c>
      <c r="E300" s="11">
        <v>6287.49</v>
      </c>
      <c r="F300" s="11">
        <v>5668.29</v>
      </c>
      <c r="G300" s="11">
        <v>7055.55</v>
      </c>
      <c r="H300" s="11">
        <f t="shared" si="1"/>
        <v>6337.11</v>
      </c>
      <c r="I300" s="11">
        <v>3865.14</v>
      </c>
      <c r="J300" s="11">
        <v>4085.46</v>
      </c>
      <c r="K300" s="11">
        <v>2783.34</v>
      </c>
      <c r="L300" s="11">
        <f t="shared" si="2"/>
        <v>3577.98</v>
      </c>
      <c r="M300" s="13">
        <f t="shared" si="3"/>
        <v>5.130501268</v>
      </c>
      <c r="N300" s="13">
        <f t="shared" si="4"/>
        <v>2.896719629</v>
      </c>
    </row>
    <row r="301" ht="15.75" customHeight="1">
      <c r="A301" s="11">
        <v>71201.0</v>
      </c>
      <c r="B301" s="11" t="s">
        <v>358</v>
      </c>
      <c r="C301" s="15">
        <f>IF(Datos_originales!$E301&lt;1000,"Bosque menor a 1000 ha",Datos_originales!$E301)</f>
        <v>1780795.71</v>
      </c>
      <c r="D301" s="11">
        <v>1780795.71</v>
      </c>
      <c r="E301" s="11">
        <v>1861.11</v>
      </c>
      <c r="F301" s="11">
        <v>1580.85</v>
      </c>
      <c r="G301" s="11">
        <v>3711.69</v>
      </c>
      <c r="H301" s="11">
        <f t="shared" si="1"/>
        <v>2384.55</v>
      </c>
      <c r="I301" s="11">
        <v>4317.57</v>
      </c>
      <c r="J301" s="11">
        <v>6201.27</v>
      </c>
      <c r="K301" s="11">
        <v>6397.74</v>
      </c>
      <c r="L301" s="11">
        <f t="shared" si="2"/>
        <v>5638.86</v>
      </c>
      <c r="M301" s="13">
        <f t="shared" si="3"/>
        <v>0.1339036245</v>
      </c>
      <c r="N301" s="13">
        <f t="shared" si="4"/>
        <v>0.3166483369</v>
      </c>
    </row>
    <row r="302" ht="15.75" customHeight="1">
      <c r="A302" s="11">
        <v>71301.0</v>
      </c>
      <c r="B302" s="11" t="s">
        <v>359</v>
      </c>
      <c r="C302" s="12">
        <f>IF(Datos_originales!$E302&lt;1000,"Bosque menor a 1000 ha",Datos_originales!$E302)</f>
        <v>254941.2</v>
      </c>
      <c r="D302" s="11">
        <v>254941.2</v>
      </c>
      <c r="E302" s="11">
        <v>712.8</v>
      </c>
      <c r="F302" s="11">
        <v>754.8299999999999</v>
      </c>
      <c r="G302" s="11">
        <v>1662.84</v>
      </c>
      <c r="H302" s="11">
        <f t="shared" si="1"/>
        <v>1043.49</v>
      </c>
      <c r="I302" s="11">
        <v>848.61</v>
      </c>
      <c r="J302" s="11">
        <v>1421.64</v>
      </c>
      <c r="K302" s="11">
        <v>646.29</v>
      </c>
      <c r="L302" s="11">
        <f t="shared" si="2"/>
        <v>972.18</v>
      </c>
      <c r="M302" s="13">
        <f t="shared" si="3"/>
        <v>0.4093061459</v>
      </c>
      <c r="N302" s="13">
        <f t="shared" si="4"/>
        <v>0.3813349902</v>
      </c>
    </row>
    <row r="303" ht="15.75" customHeight="1">
      <c r="A303" s="11">
        <v>71302.0</v>
      </c>
      <c r="B303" s="11" t="s">
        <v>360</v>
      </c>
      <c r="C303" s="15">
        <f>IF(Datos_originales!$E303&lt;1000,"Bosque menor a 1000 ha",Datos_originales!$E303)</f>
        <v>21281.67</v>
      </c>
      <c r="D303" s="11">
        <v>21281.67</v>
      </c>
      <c r="E303" s="11">
        <v>39.96</v>
      </c>
      <c r="F303" s="11">
        <v>32.58</v>
      </c>
      <c r="G303" s="11">
        <v>170.01</v>
      </c>
      <c r="H303" s="11">
        <f t="shared" si="1"/>
        <v>80.85</v>
      </c>
      <c r="I303" s="11">
        <v>73.71</v>
      </c>
      <c r="J303" s="11">
        <v>254.43</v>
      </c>
      <c r="K303" s="11">
        <v>146.88</v>
      </c>
      <c r="L303" s="11">
        <f t="shared" si="2"/>
        <v>158.34</v>
      </c>
      <c r="M303" s="13">
        <f t="shared" si="3"/>
        <v>0.3799043966</v>
      </c>
      <c r="N303" s="13">
        <f t="shared" si="4"/>
        <v>0.7440205585</v>
      </c>
    </row>
    <row r="304" ht="15.75" customHeight="1">
      <c r="A304" s="11">
        <v>71401.0</v>
      </c>
      <c r="B304" s="11" t="s">
        <v>361</v>
      </c>
      <c r="C304" s="12">
        <f>IF(Datos_originales!$E304&lt;1000,"Bosque menor a 1000 ha",Datos_originales!$E304)</f>
        <v>959463.72</v>
      </c>
      <c r="D304" s="11">
        <v>959463.72</v>
      </c>
      <c r="E304" s="11">
        <v>2914.74</v>
      </c>
      <c r="F304" s="11">
        <v>3950.46</v>
      </c>
      <c r="G304" s="11">
        <v>3979.71</v>
      </c>
      <c r="H304" s="11">
        <f t="shared" si="1"/>
        <v>3614.97</v>
      </c>
      <c r="I304" s="11">
        <v>2815.83</v>
      </c>
      <c r="J304" s="11">
        <v>2310.84</v>
      </c>
      <c r="K304" s="11">
        <v>5229.0</v>
      </c>
      <c r="L304" s="11">
        <f t="shared" si="2"/>
        <v>3451.89</v>
      </c>
      <c r="M304" s="13">
        <f t="shared" si="3"/>
        <v>0.3767698481</v>
      </c>
      <c r="N304" s="13">
        <f t="shared" si="4"/>
        <v>0.3597728531</v>
      </c>
    </row>
    <row r="305" ht="15.75" customHeight="1">
      <c r="A305" s="11">
        <v>71402.0</v>
      </c>
      <c r="B305" s="11" t="s">
        <v>362</v>
      </c>
      <c r="C305" s="15">
        <f>IF(Datos_originales!$E305&lt;1000,"Bosque menor a 1000 ha",Datos_originales!$E305)</f>
        <v>102474.54</v>
      </c>
      <c r="D305" s="11">
        <v>102474.54</v>
      </c>
      <c r="E305" s="11">
        <v>366.12</v>
      </c>
      <c r="F305" s="11">
        <v>228.87</v>
      </c>
      <c r="G305" s="11">
        <v>225.9</v>
      </c>
      <c r="H305" s="11">
        <f t="shared" si="1"/>
        <v>273.63</v>
      </c>
      <c r="I305" s="11">
        <v>80.01</v>
      </c>
      <c r="J305" s="11">
        <v>174.69</v>
      </c>
      <c r="K305" s="11">
        <v>269.01</v>
      </c>
      <c r="L305" s="11">
        <f t="shared" si="2"/>
        <v>174.57</v>
      </c>
      <c r="M305" s="13">
        <f t="shared" si="3"/>
        <v>0.2670224233</v>
      </c>
      <c r="N305" s="13">
        <f t="shared" si="4"/>
        <v>0.1703545095</v>
      </c>
    </row>
    <row r="306" ht="15.75" customHeight="1">
      <c r="A306" s="11">
        <v>71403.0</v>
      </c>
      <c r="B306" s="11" t="s">
        <v>363</v>
      </c>
      <c r="C306" s="12">
        <f>IF(Datos_originales!$E306&lt;1000,"Bosque menor a 1000 ha",Datos_originales!$E306)</f>
        <v>858557.52</v>
      </c>
      <c r="D306" s="11">
        <v>858557.52</v>
      </c>
      <c r="E306" s="11">
        <v>4557.6</v>
      </c>
      <c r="F306" s="11">
        <v>2531.34</v>
      </c>
      <c r="G306" s="11">
        <v>2362.05</v>
      </c>
      <c r="H306" s="11">
        <f t="shared" si="1"/>
        <v>3150.33</v>
      </c>
      <c r="I306" s="11">
        <v>11805.12</v>
      </c>
      <c r="J306" s="11">
        <v>3964.14</v>
      </c>
      <c r="K306" s="11">
        <v>13583.25</v>
      </c>
      <c r="L306" s="11">
        <f t="shared" si="2"/>
        <v>9784.17</v>
      </c>
      <c r="M306" s="13">
        <f t="shared" si="3"/>
        <v>0.3669328993</v>
      </c>
      <c r="N306" s="13">
        <f t="shared" si="4"/>
        <v>1.139605649</v>
      </c>
    </row>
    <row r="307" ht="15.75" customHeight="1">
      <c r="A307" s="11">
        <v>71501.0</v>
      </c>
      <c r="B307" s="11" t="s">
        <v>364</v>
      </c>
      <c r="C307" s="15">
        <f>IF(Datos_originales!$E307&lt;1000,"Bosque menor a 1000 ha",Datos_originales!$E307)</f>
        <v>707265.36</v>
      </c>
      <c r="D307" s="11">
        <v>707265.36</v>
      </c>
      <c r="E307" s="11">
        <v>9355.77</v>
      </c>
      <c r="F307" s="11">
        <v>7587.45</v>
      </c>
      <c r="G307" s="11">
        <v>14311.8</v>
      </c>
      <c r="H307" s="11">
        <f t="shared" si="1"/>
        <v>10418.34</v>
      </c>
      <c r="I307" s="11">
        <v>11047.41</v>
      </c>
      <c r="J307" s="11">
        <v>17998.38</v>
      </c>
      <c r="K307" s="11">
        <v>29664.45</v>
      </c>
      <c r="L307" s="11">
        <f t="shared" si="2"/>
        <v>19570.08</v>
      </c>
      <c r="M307" s="13">
        <f t="shared" si="3"/>
        <v>1.473045421</v>
      </c>
      <c r="N307" s="13">
        <f t="shared" si="4"/>
        <v>2.767006714</v>
      </c>
    </row>
    <row r="308" ht="15.75" customHeight="1">
      <c r="A308" s="11">
        <v>71502.0</v>
      </c>
      <c r="B308" s="11" t="s">
        <v>365</v>
      </c>
      <c r="C308" s="12">
        <f>IF(Datos_originales!$E308&lt;1000,"Bosque menor a 1000 ha",Datos_originales!$E308)</f>
        <v>1533241.71</v>
      </c>
      <c r="D308" s="11">
        <v>1533241.71</v>
      </c>
      <c r="E308" s="11">
        <v>5737.68</v>
      </c>
      <c r="F308" s="11">
        <v>4284.81</v>
      </c>
      <c r="G308" s="11">
        <v>3578.22</v>
      </c>
      <c r="H308" s="11">
        <f t="shared" si="1"/>
        <v>4533.57</v>
      </c>
      <c r="I308" s="11">
        <v>1343.43</v>
      </c>
      <c r="J308" s="11">
        <v>4910.76</v>
      </c>
      <c r="K308" s="11">
        <v>10967.31</v>
      </c>
      <c r="L308" s="11">
        <f t="shared" si="2"/>
        <v>5740.5</v>
      </c>
      <c r="M308" s="13">
        <f t="shared" si="3"/>
        <v>0.2956852772</v>
      </c>
      <c r="N308" s="13">
        <f t="shared" si="4"/>
        <v>0.374402807</v>
      </c>
    </row>
    <row r="309" ht="15.75" customHeight="1">
      <c r="A309" s="11">
        <v>71503.0</v>
      </c>
      <c r="B309" s="11" t="s">
        <v>310</v>
      </c>
      <c r="C309" s="15">
        <f>IF(Datos_originales!$E309&lt;1000,"Bosque menor a 1000 ha",Datos_originales!$E309)</f>
        <v>510386.49</v>
      </c>
      <c r="D309" s="11">
        <v>510386.49</v>
      </c>
      <c r="E309" s="11">
        <v>23825.52</v>
      </c>
      <c r="F309" s="11">
        <v>13485.96</v>
      </c>
      <c r="G309" s="11">
        <v>14507.01</v>
      </c>
      <c r="H309" s="11">
        <f t="shared" si="1"/>
        <v>17272.83</v>
      </c>
      <c r="I309" s="11">
        <v>11948.13</v>
      </c>
      <c r="J309" s="11">
        <v>16453.53</v>
      </c>
      <c r="K309" s="11">
        <v>20580.3</v>
      </c>
      <c r="L309" s="11">
        <f t="shared" si="2"/>
        <v>16327.32</v>
      </c>
      <c r="M309" s="13">
        <f t="shared" si="3"/>
        <v>3.384264736</v>
      </c>
      <c r="N309" s="13">
        <f t="shared" si="4"/>
        <v>3.199011008</v>
      </c>
    </row>
    <row r="310" ht="15.75" customHeight="1">
      <c r="A310" s="11">
        <v>80101.0</v>
      </c>
      <c r="B310" s="11" t="s">
        <v>367</v>
      </c>
      <c r="C310" s="12">
        <f>IF(Datos_originales!$E310&lt;1000,"Bosque menor a 1000 ha",Datos_originales!$E310)</f>
        <v>60176.43</v>
      </c>
      <c r="D310" s="11">
        <v>60176.43</v>
      </c>
      <c r="E310" s="11">
        <v>923.49</v>
      </c>
      <c r="F310" s="11">
        <v>576.0</v>
      </c>
      <c r="G310" s="11">
        <v>782.73</v>
      </c>
      <c r="H310" s="11">
        <f t="shared" si="1"/>
        <v>760.74</v>
      </c>
      <c r="I310" s="11">
        <v>609.03</v>
      </c>
      <c r="J310" s="11">
        <v>780.03</v>
      </c>
      <c r="K310" s="11">
        <v>2544.75</v>
      </c>
      <c r="L310" s="11">
        <f t="shared" si="2"/>
        <v>1311.27</v>
      </c>
      <c r="M310" s="13">
        <f t="shared" si="3"/>
        <v>1.264182671</v>
      </c>
      <c r="N310" s="13">
        <f t="shared" si="4"/>
        <v>2.179042525</v>
      </c>
    </row>
    <row r="311" ht="15.75" customHeight="1">
      <c r="A311" s="11">
        <v>80102.0</v>
      </c>
      <c r="B311" s="11" t="s">
        <v>353</v>
      </c>
      <c r="C311" s="15">
        <f>IF(Datos_originales!$E311&lt;1000,"Bosque menor a 1000 ha",Datos_originales!$E311)</f>
        <v>334434.24</v>
      </c>
      <c r="D311" s="11">
        <v>334434.24</v>
      </c>
      <c r="E311" s="11">
        <v>7365.690000000001</v>
      </c>
      <c r="F311" s="11">
        <v>2780.91</v>
      </c>
      <c r="G311" s="11">
        <v>3033.45</v>
      </c>
      <c r="H311" s="11">
        <f t="shared" si="1"/>
        <v>4393.35</v>
      </c>
      <c r="I311" s="11">
        <v>2290.05</v>
      </c>
      <c r="J311" s="11">
        <v>5715.18</v>
      </c>
      <c r="K311" s="11">
        <v>14024.7</v>
      </c>
      <c r="L311" s="11">
        <f t="shared" si="2"/>
        <v>7343.31</v>
      </c>
      <c r="M311" s="13">
        <f t="shared" si="3"/>
        <v>1.313666328</v>
      </c>
      <c r="N311" s="13">
        <f t="shared" si="4"/>
        <v>2.195741082</v>
      </c>
    </row>
    <row r="312" ht="15.75" customHeight="1">
      <c r="A312" s="11">
        <v>80201.0</v>
      </c>
      <c r="B312" s="11" t="s">
        <v>368</v>
      </c>
      <c r="C312" s="12">
        <f>IF(Datos_originales!$E312&lt;1000,"Bosque menor a 1000 ha",Datos_originales!$E312)</f>
        <v>1063728</v>
      </c>
      <c r="D312" s="11">
        <v>1063728.0</v>
      </c>
      <c r="E312" s="11">
        <v>6211.98</v>
      </c>
      <c r="F312" s="11">
        <v>3331.26</v>
      </c>
      <c r="G312" s="11">
        <v>5851.89</v>
      </c>
      <c r="H312" s="11">
        <f t="shared" si="1"/>
        <v>5131.71</v>
      </c>
      <c r="I312" s="11">
        <v>1397.43</v>
      </c>
      <c r="J312" s="11">
        <v>2820.15</v>
      </c>
      <c r="K312" s="11">
        <v>2405.25</v>
      </c>
      <c r="L312" s="11">
        <f t="shared" si="2"/>
        <v>2207.61</v>
      </c>
      <c r="M312" s="13">
        <f t="shared" si="3"/>
        <v>0.4824268986</v>
      </c>
      <c r="N312" s="13">
        <f t="shared" si="4"/>
        <v>0.207535197</v>
      </c>
    </row>
    <row r="313" ht="15.75" customHeight="1">
      <c r="A313" s="11">
        <v>80202.0</v>
      </c>
      <c r="B313" s="11" t="s">
        <v>369</v>
      </c>
      <c r="C313" s="15">
        <f>IF(Datos_originales!$E313&lt;1000,"Bosque menor a 1000 ha",Datos_originales!$E313)</f>
        <v>491534.73</v>
      </c>
      <c r="D313" s="11">
        <v>491534.73</v>
      </c>
      <c r="E313" s="11">
        <v>7356.24</v>
      </c>
      <c r="F313" s="11">
        <v>3266.19</v>
      </c>
      <c r="G313" s="11">
        <v>9524.34</v>
      </c>
      <c r="H313" s="11">
        <f t="shared" si="1"/>
        <v>6715.59</v>
      </c>
      <c r="I313" s="11">
        <v>599.76</v>
      </c>
      <c r="J313" s="11">
        <v>1899.72</v>
      </c>
      <c r="K313" s="11">
        <v>1936.62</v>
      </c>
      <c r="L313" s="11">
        <f t="shared" si="2"/>
        <v>1478.7</v>
      </c>
      <c r="M313" s="13">
        <f t="shared" si="3"/>
        <v>1.366249339</v>
      </c>
      <c r="N313" s="13">
        <f t="shared" si="4"/>
        <v>0.3008332697</v>
      </c>
    </row>
    <row r="314" ht="15.75" customHeight="1">
      <c r="A314" s="11">
        <v>80301.0</v>
      </c>
      <c r="B314" s="11" t="s">
        <v>370</v>
      </c>
      <c r="C314" s="12">
        <f>IF(Datos_originales!$E314&lt;1000,"Bosque menor a 1000 ha",Datos_originales!$E314)</f>
        <v>603961.47</v>
      </c>
      <c r="D314" s="11">
        <v>603961.47</v>
      </c>
      <c r="E314" s="11">
        <v>9737.01</v>
      </c>
      <c r="F314" s="11">
        <v>3540.78</v>
      </c>
      <c r="G314" s="11">
        <v>4527.360000000001</v>
      </c>
      <c r="H314" s="11">
        <f t="shared" si="1"/>
        <v>5935.05</v>
      </c>
      <c r="I314" s="11">
        <v>2584.08</v>
      </c>
      <c r="J314" s="11">
        <v>1852.92</v>
      </c>
      <c r="K314" s="11">
        <v>14850.81</v>
      </c>
      <c r="L314" s="11">
        <f t="shared" si="2"/>
        <v>6429.27</v>
      </c>
      <c r="M314" s="13">
        <f t="shared" si="3"/>
        <v>0.9826868591</v>
      </c>
      <c r="N314" s="13">
        <f t="shared" si="4"/>
        <v>1.064516582</v>
      </c>
    </row>
    <row r="315" ht="15.75" customHeight="1">
      <c r="A315" s="11">
        <v>80302.0</v>
      </c>
      <c r="B315" s="11" t="s">
        <v>371</v>
      </c>
      <c r="C315" s="15">
        <f>IF(Datos_originales!$E315&lt;1000,"Bosque menor a 1000 ha",Datos_originales!$E315)</f>
        <v>558977.13</v>
      </c>
      <c r="D315" s="11">
        <v>558977.13</v>
      </c>
      <c r="E315" s="11">
        <v>4325.58</v>
      </c>
      <c r="F315" s="11">
        <v>3793.14</v>
      </c>
      <c r="G315" s="11">
        <v>5846.49</v>
      </c>
      <c r="H315" s="11">
        <f t="shared" si="1"/>
        <v>4655.07</v>
      </c>
      <c r="I315" s="11">
        <v>1588.86</v>
      </c>
      <c r="J315" s="11">
        <v>3449.79</v>
      </c>
      <c r="K315" s="11">
        <v>6747.48</v>
      </c>
      <c r="L315" s="11">
        <f t="shared" si="2"/>
        <v>3928.71</v>
      </c>
      <c r="M315" s="13">
        <f t="shared" si="3"/>
        <v>0.8327836239</v>
      </c>
      <c r="N315" s="13">
        <f t="shared" si="4"/>
        <v>0.7028391305</v>
      </c>
    </row>
    <row r="316" ht="15.75" customHeight="1">
      <c r="A316" s="11">
        <v>80303.0</v>
      </c>
      <c r="B316" s="11" t="s">
        <v>372</v>
      </c>
      <c r="C316" s="12">
        <f>IF(Datos_originales!$E316&lt;1000,"Bosque menor a 1000 ha",Datos_originales!$E316)</f>
        <v>201943.35</v>
      </c>
      <c r="D316" s="11">
        <v>201943.35</v>
      </c>
      <c r="E316" s="11">
        <v>1146.06</v>
      </c>
      <c r="F316" s="11">
        <v>578.97</v>
      </c>
      <c r="G316" s="11">
        <v>1156.14</v>
      </c>
      <c r="H316" s="11">
        <f t="shared" si="1"/>
        <v>960.39</v>
      </c>
      <c r="I316" s="11">
        <v>1116.09</v>
      </c>
      <c r="J316" s="11">
        <v>615.4200000000001</v>
      </c>
      <c r="K316" s="11">
        <v>4005.45</v>
      </c>
      <c r="L316" s="11">
        <f t="shared" si="2"/>
        <v>1912.32</v>
      </c>
      <c r="M316" s="13">
        <f t="shared" si="3"/>
        <v>0.4755739667</v>
      </c>
      <c r="N316" s="13">
        <f t="shared" si="4"/>
        <v>0.9469586396</v>
      </c>
    </row>
    <row r="317" ht="15.75" customHeight="1">
      <c r="A317" s="11">
        <v>80304.0</v>
      </c>
      <c r="B317" s="11" t="s">
        <v>373</v>
      </c>
      <c r="C317" s="15">
        <f>IF(Datos_originales!$E317&lt;1000,"Bosque menor a 1000 ha",Datos_originales!$E317)</f>
        <v>206885.16</v>
      </c>
      <c r="D317" s="11">
        <v>206885.16</v>
      </c>
      <c r="E317" s="11">
        <v>1865.79</v>
      </c>
      <c r="F317" s="11">
        <v>2359.62</v>
      </c>
      <c r="G317" s="11">
        <v>6890.76</v>
      </c>
      <c r="H317" s="11">
        <f t="shared" si="1"/>
        <v>3705.39</v>
      </c>
      <c r="I317" s="11">
        <v>774.36</v>
      </c>
      <c r="J317" s="11">
        <v>2184.03</v>
      </c>
      <c r="K317" s="11">
        <v>2426.58</v>
      </c>
      <c r="L317" s="11">
        <f t="shared" si="2"/>
        <v>1794.99</v>
      </c>
      <c r="M317" s="13">
        <f t="shared" si="3"/>
        <v>1.791037115</v>
      </c>
      <c r="N317" s="13">
        <f t="shared" si="4"/>
        <v>0.8676262715</v>
      </c>
    </row>
    <row r="318" ht="15.75" customHeight="1">
      <c r="A318" s="11">
        <v>80401.0</v>
      </c>
      <c r="B318" s="11" t="s">
        <v>374</v>
      </c>
      <c r="C318" s="12">
        <f>IF(Datos_originales!$E318&lt;1000,"Bosque menor a 1000 ha",Datos_originales!$E318)</f>
        <v>453998.25</v>
      </c>
      <c r="D318" s="11">
        <v>453998.25</v>
      </c>
      <c r="E318" s="11">
        <v>11979.45</v>
      </c>
      <c r="F318" s="11">
        <v>4686.57</v>
      </c>
      <c r="G318" s="11">
        <v>8220.06</v>
      </c>
      <c r="H318" s="11">
        <f t="shared" si="1"/>
        <v>8295.36</v>
      </c>
      <c r="I318" s="11">
        <v>2391.39</v>
      </c>
      <c r="J318" s="11">
        <v>1475.91</v>
      </c>
      <c r="K318" s="11">
        <v>7290.809999999999</v>
      </c>
      <c r="L318" s="11">
        <f t="shared" si="2"/>
        <v>3719.37</v>
      </c>
      <c r="M318" s="13">
        <f t="shared" si="3"/>
        <v>1.827178849</v>
      </c>
      <c r="N318" s="13">
        <f t="shared" si="4"/>
        <v>0.8192476513</v>
      </c>
    </row>
    <row r="319" ht="15.75" customHeight="1">
      <c r="A319" s="11">
        <v>80402.0</v>
      </c>
      <c r="B319" s="11" t="s">
        <v>375</v>
      </c>
      <c r="C319" s="15">
        <f>IF(Datos_originales!$E319&lt;1000,"Bosque menor a 1000 ha",Datos_originales!$E319)</f>
        <v>554632.11</v>
      </c>
      <c r="D319" s="11">
        <v>554632.11</v>
      </c>
      <c r="E319" s="11">
        <v>4398.57</v>
      </c>
      <c r="F319" s="11">
        <v>2054.43</v>
      </c>
      <c r="G319" s="11">
        <v>5584.41</v>
      </c>
      <c r="H319" s="11">
        <f t="shared" si="1"/>
        <v>4012.47</v>
      </c>
      <c r="I319" s="11">
        <v>1602.63</v>
      </c>
      <c r="J319" s="11">
        <v>1440.63</v>
      </c>
      <c r="K319" s="11">
        <v>6385.77</v>
      </c>
      <c r="L319" s="11">
        <f t="shared" si="2"/>
        <v>3143.01</v>
      </c>
      <c r="M319" s="13">
        <f t="shared" si="3"/>
        <v>0.7234471152</v>
      </c>
      <c r="N319" s="13">
        <f t="shared" si="4"/>
        <v>0.5666837429</v>
      </c>
    </row>
    <row r="320" ht="15.75" customHeight="1">
      <c r="A320" s="11">
        <v>80501.0</v>
      </c>
      <c r="B320" s="11" t="s">
        <v>376</v>
      </c>
      <c r="C320" s="12">
        <f>IF(Datos_originales!$E320&lt;1000,"Bosque menor a 1000 ha",Datos_originales!$E320)</f>
        <v>1079191.8</v>
      </c>
      <c r="D320" s="11">
        <v>1079191.8</v>
      </c>
      <c r="E320" s="11">
        <v>10452.42</v>
      </c>
      <c r="F320" s="11">
        <v>5697.27</v>
      </c>
      <c r="G320" s="11">
        <v>7201.35</v>
      </c>
      <c r="H320" s="11">
        <f t="shared" si="1"/>
        <v>7783.68</v>
      </c>
      <c r="I320" s="11">
        <v>3260.34</v>
      </c>
      <c r="J320" s="11">
        <v>4909.5</v>
      </c>
      <c r="K320" s="11">
        <v>12492.09</v>
      </c>
      <c r="L320" s="11">
        <f t="shared" si="2"/>
        <v>6887.31</v>
      </c>
      <c r="M320" s="13">
        <f t="shared" si="3"/>
        <v>0.7212508472</v>
      </c>
      <c r="N320" s="13">
        <f t="shared" si="4"/>
        <v>0.6381914688</v>
      </c>
    </row>
    <row r="321" ht="15.75" customHeight="1">
      <c r="A321" s="11">
        <v>80601.0</v>
      </c>
      <c r="B321" s="11" t="s">
        <v>377</v>
      </c>
      <c r="C321" s="15">
        <f>IF(Datos_originales!$E321&lt;1000,"Bosque menor a 1000 ha",Datos_originales!$E321)</f>
        <v>267892.65</v>
      </c>
      <c r="D321" s="11">
        <v>267892.65</v>
      </c>
      <c r="E321" s="11">
        <v>8147.16</v>
      </c>
      <c r="F321" s="11">
        <v>2517.39</v>
      </c>
      <c r="G321" s="11">
        <v>3193.2</v>
      </c>
      <c r="H321" s="11">
        <f t="shared" si="1"/>
        <v>4619.25</v>
      </c>
      <c r="I321" s="11">
        <v>540.36</v>
      </c>
      <c r="J321" s="11">
        <v>1326.96</v>
      </c>
      <c r="K321" s="11">
        <v>10383.84</v>
      </c>
      <c r="L321" s="11">
        <f t="shared" si="2"/>
        <v>4083.72</v>
      </c>
      <c r="M321" s="13">
        <f t="shared" si="3"/>
        <v>1.724291428</v>
      </c>
      <c r="N321" s="13">
        <f t="shared" si="4"/>
        <v>1.524386727</v>
      </c>
    </row>
    <row r="322" ht="15.75" customHeight="1">
      <c r="A322" s="11">
        <v>80602.0</v>
      </c>
      <c r="B322" s="11" t="s">
        <v>378</v>
      </c>
      <c r="C322" s="12">
        <f>IF(Datos_originales!$E322&lt;1000,"Bosque menor a 1000 ha",Datos_originales!$E322)</f>
        <v>485036.55</v>
      </c>
      <c r="D322" s="11">
        <v>485036.55</v>
      </c>
      <c r="E322" s="11">
        <v>8475.21</v>
      </c>
      <c r="F322" s="11">
        <v>4002.03</v>
      </c>
      <c r="G322" s="11">
        <v>7084.62</v>
      </c>
      <c r="H322" s="11">
        <f t="shared" si="1"/>
        <v>6520.62</v>
      </c>
      <c r="I322" s="11">
        <v>6141.33</v>
      </c>
      <c r="J322" s="11">
        <v>8202.06</v>
      </c>
      <c r="K322" s="11">
        <v>21828.15</v>
      </c>
      <c r="L322" s="11">
        <f t="shared" si="2"/>
        <v>12057.18</v>
      </c>
      <c r="M322" s="13">
        <f t="shared" si="3"/>
        <v>1.34435642</v>
      </c>
      <c r="N322" s="13">
        <f t="shared" si="4"/>
        <v>2.485829161</v>
      </c>
    </row>
    <row r="323" ht="15.75" customHeight="1">
      <c r="A323" s="11">
        <v>80701.0</v>
      </c>
      <c r="B323" s="11" t="s">
        <v>379</v>
      </c>
      <c r="C323" s="15">
        <f>IF(Datos_originales!$E323&lt;1000,"Bosque menor a 1000 ha",Datos_originales!$E323)</f>
        <v>265375.17</v>
      </c>
      <c r="D323" s="11">
        <v>265375.17</v>
      </c>
      <c r="E323" s="11">
        <v>4831.83</v>
      </c>
      <c r="F323" s="11">
        <v>2160.63</v>
      </c>
      <c r="G323" s="11">
        <v>4587.93</v>
      </c>
      <c r="H323" s="11">
        <f t="shared" si="1"/>
        <v>3860.13</v>
      </c>
      <c r="I323" s="11">
        <v>560.97</v>
      </c>
      <c r="J323" s="11">
        <v>992.97</v>
      </c>
      <c r="K323" s="11">
        <v>7752.42</v>
      </c>
      <c r="L323" s="11">
        <f t="shared" si="2"/>
        <v>3102.12</v>
      </c>
      <c r="M323" s="13">
        <f t="shared" si="3"/>
        <v>1.45459351</v>
      </c>
      <c r="N323" s="13">
        <f t="shared" si="4"/>
        <v>1.168956387</v>
      </c>
    </row>
    <row r="324" ht="15.75" customHeight="1">
      <c r="A324" s="11">
        <v>80702.0</v>
      </c>
      <c r="B324" s="11" t="s">
        <v>354</v>
      </c>
      <c r="C324" s="12">
        <f>IF(Datos_originales!$E324&lt;1000,"Bosque menor a 1000 ha",Datos_originales!$E324)</f>
        <v>80279.91</v>
      </c>
      <c r="D324" s="11">
        <v>80279.91</v>
      </c>
      <c r="E324" s="11">
        <v>2648.07</v>
      </c>
      <c r="F324" s="11">
        <v>1004.31</v>
      </c>
      <c r="G324" s="11">
        <v>1420.02</v>
      </c>
      <c r="H324" s="11">
        <f t="shared" si="1"/>
        <v>1690.8</v>
      </c>
      <c r="I324" s="11">
        <v>202.14</v>
      </c>
      <c r="J324" s="11">
        <v>836.73</v>
      </c>
      <c r="K324" s="11">
        <v>6733.62</v>
      </c>
      <c r="L324" s="11">
        <f t="shared" si="2"/>
        <v>2590.83</v>
      </c>
      <c r="M324" s="13">
        <f t="shared" si="3"/>
        <v>2.106130911</v>
      </c>
      <c r="N324" s="13">
        <f t="shared" si="4"/>
        <v>3.22724577</v>
      </c>
    </row>
    <row r="325" ht="15.75" customHeight="1">
      <c r="A325" s="11">
        <v>80703.0</v>
      </c>
      <c r="B325" s="11" t="s">
        <v>380</v>
      </c>
      <c r="C325" s="15">
        <f>IF(Datos_originales!$E325&lt;1000,"Bosque menor a 1000 ha",Datos_originales!$E325)</f>
        <v>85748.4</v>
      </c>
      <c r="D325" s="11">
        <v>85748.40000000001</v>
      </c>
      <c r="E325" s="11">
        <v>1965.6</v>
      </c>
      <c r="F325" s="11">
        <v>1055.97</v>
      </c>
      <c r="G325" s="11">
        <v>3889.71</v>
      </c>
      <c r="H325" s="11">
        <f t="shared" si="1"/>
        <v>2303.76</v>
      </c>
      <c r="I325" s="11">
        <v>273.24</v>
      </c>
      <c r="J325" s="11">
        <v>410.67</v>
      </c>
      <c r="K325" s="11">
        <v>1529.28</v>
      </c>
      <c r="L325" s="11">
        <f t="shared" si="2"/>
        <v>737.73</v>
      </c>
      <c r="M325" s="13">
        <f t="shared" si="3"/>
        <v>2.686650713</v>
      </c>
      <c r="N325" s="13">
        <f t="shared" si="4"/>
        <v>0.8603425837</v>
      </c>
    </row>
    <row r="326" ht="15.75" customHeight="1">
      <c r="A326" s="11">
        <v>80801.0</v>
      </c>
      <c r="B326" s="11" t="s">
        <v>381</v>
      </c>
      <c r="C326" s="12">
        <f>IF(Datos_originales!$E326&lt;1000,"Bosque menor a 1000 ha",Datos_originales!$E326)</f>
        <v>762624.45</v>
      </c>
      <c r="D326" s="11">
        <v>762624.45</v>
      </c>
      <c r="E326" s="11">
        <v>7223.76</v>
      </c>
      <c r="F326" s="11">
        <v>2466.27</v>
      </c>
      <c r="G326" s="11">
        <v>3128.31</v>
      </c>
      <c r="H326" s="11">
        <f t="shared" si="1"/>
        <v>4272.78</v>
      </c>
      <c r="I326" s="11">
        <v>1069.92</v>
      </c>
      <c r="J326" s="11">
        <v>2182.59</v>
      </c>
      <c r="K326" s="11">
        <v>16606.71</v>
      </c>
      <c r="L326" s="11">
        <f t="shared" si="2"/>
        <v>6619.74</v>
      </c>
      <c r="M326" s="13">
        <f t="shared" si="3"/>
        <v>0.5602731462</v>
      </c>
      <c r="N326" s="13">
        <f t="shared" si="4"/>
        <v>0.8680209505</v>
      </c>
    </row>
    <row r="327" ht="15.75" customHeight="1">
      <c r="A327" s="11">
        <v>80802.0</v>
      </c>
      <c r="B327" s="11" t="s">
        <v>382</v>
      </c>
      <c r="C327" s="15">
        <f>IF(Datos_originales!$E327&lt;1000,"Bosque menor a 1000 ha",Datos_originales!$E327)</f>
        <v>1158756.84</v>
      </c>
      <c r="D327" s="11">
        <v>1158756.84</v>
      </c>
      <c r="E327" s="11">
        <v>8257.68</v>
      </c>
      <c r="F327" s="11">
        <v>3152.34</v>
      </c>
      <c r="G327" s="11">
        <v>2736.9</v>
      </c>
      <c r="H327" s="11">
        <f t="shared" si="1"/>
        <v>4715.64</v>
      </c>
      <c r="I327" s="11">
        <v>2014.02</v>
      </c>
      <c r="J327" s="11">
        <v>2198.7</v>
      </c>
      <c r="K327" s="11">
        <v>20389.95</v>
      </c>
      <c r="L327" s="11">
        <f t="shared" si="2"/>
        <v>8200.89</v>
      </c>
      <c r="M327" s="13">
        <f t="shared" si="3"/>
        <v>0.4069568211</v>
      </c>
      <c r="N327" s="13">
        <f t="shared" si="4"/>
        <v>0.7077317447</v>
      </c>
    </row>
    <row r="328" ht="15.75" customHeight="1">
      <c r="A328" s="11">
        <v>80803.0</v>
      </c>
      <c r="B328" s="11" t="s">
        <v>383</v>
      </c>
      <c r="C328" s="12">
        <f>IF(Datos_originales!$E328&lt;1000,"Bosque menor a 1000 ha",Datos_originales!$E328)</f>
        <v>116038.53</v>
      </c>
      <c r="D328" s="11">
        <v>116038.53</v>
      </c>
      <c r="E328" s="11">
        <v>5345.28</v>
      </c>
      <c r="F328" s="11">
        <v>2118.87</v>
      </c>
      <c r="G328" s="11">
        <v>1430.55</v>
      </c>
      <c r="H328" s="11">
        <f t="shared" si="1"/>
        <v>2964.9</v>
      </c>
      <c r="I328" s="11">
        <v>343.89</v>
      </c>
      <c r="J328" s="11">
        <v>615.87</v>
      </c>
      <c r="K328" s="11">
        <v>5136.75</v>
      </c>
      <c r="L328" s="11">
        <f t="shared" si="2"/>
        <v>2032.17</v>
      </c>
      <c r="M328" s="13">
        <f t="shared" si="3"/>
        <v>2.555099586</v>
      </c>
      <c r="N328" s="13">
        <f t="shared" si="4"/>
        <v>1.75128899</v>
      </c>
    </row>
    <row r="329" ht="15.75" customHeight="1">
      <c r="A329" s="11">
        <v>80901.0</v>
      </c>
      <c r="B329" s="11" t="s">
        <v>384</v>
      </c>
      <c r="C329" s="15">
        <f>IF(Datos_originales!$E329&lt;1000,"Bosque menor a 1000 ha",Datos_originales!$E329)</f>
        <v>531983.97</v>
      </c>
      <c r="D329" s="11">
        <v>531983.97</v>
      </c>
      <c r="E329" s="11">
        <v>6079.32</v>
      </c>
      <c r="F329" s="11">
        <v>1829.97</v>
      </c>
      <c r="G329" s="11">
        <v>2131.83</v>
      </c>
      <c r="H329" s="11">
        <f t="shared" si="1"/>
        <v>3347.04</v>
      </c>
      <c r="I329" s="11">
        <v>780.12</v>
      </c>
      <c r="J329" s="11">
        <v>252.9</v>
      </c>
      <c r="K329" s="11">
        <v>3450.06</v>
      </c>
      <c r="L329" s="11">
        <f t="shared" si="2"/>
        <v>1494.36</v>
      </c>
      <c r="M329" s="13">
        <f t="shared" si="3"/>
        <v>0.6291618148</v>
      </c>
      <c r="N329" s="13">
        <f t="shared" si="4"/>
        <v>0.2809032009</v>
      </c>
    </row>
    <row r="330" ht="15.75" customHeight="1">
      <c r="A330" s="11">
        <v>90101.0</v>
      </c>
      <c r="B330" s="11" t="s">
        <v>386</v>
      </c>
      <c r="C330" s="12">
        <f>IF(Datos_originales!$E330&lt;1000,"Bosque menor a 1000 ha",Datos_originales!$E330)</f>
        <v>23278.41</v>
      </c>
      <c r="D330" s="11">
        <v>23278.41</v>
      </c>
      <c r="E330" s="11">
        <v>493.74</v>
      </c>
      <c r="F330" s="11">
        <v>431.82</v>
      </c>
      <c r="G330" s="11">
        <v>409.95</v>
      </c>
      <c r="H330" s="11">
        <f t="shared" si="1"/>
        <v>445.17</v>
      </c>
      <c r="I330" s="11">
        <v>41.67</v>
      </c>
      <c r="J330" s="11">
        <v>677.97</v>
      </c>
      <c r="K330" s="11">
        <v>558.45</v>
      </c>
      <c r="L330" s="11">
        <f t="shared" si="2"/>
        <v>426.03</v>
      </c>
      <c r="M330" s="13">
        <f t="shared" si="3"/>
        <v>1.912372881</v>
      </c>
      <c r="N330" s="13">
        <f t="shared" si="4"/>
        <v>1.830150771</v>
      </c>
    </row>
    <row r="331" ht="15.75" customHeight="1">
      <c r="A331" s="11">
        <v>90102.0</v>
      </c>
      <c r="B331" s="11" t="s">
        <v>387</v>
      </c>
      <c r="C331" s="15">
        <f>IF(Datos_originales!$E331&lt;1000,"Bosque menor a 1000 ha",Datos_originales!$E331)</f>
        <v>76866.75</v>
      </c>
      <c r="D331" s="11">
        <v>76866.75</v>
      </c>
      <c r="E331" s="11">
        <v>690.39</v>
      </c>
      <c r="F331" s="11">
        <v>593.8199999999999</v>
      </c>
      <c r="G331" s="11">
        <v>662.58</v>
      </c>
      <c r="H331" s="11">
        <f t="shared" si="1"/>
        <v>648.93</v>
      </c>
      <c r="I331" s="11">
        <v>94.23</v>
      </c>
      <c r="J331" s="11">
        <v>705.51</v>
      </c>
      <c r="K331" s="11">
        <v>779.76</v>
      </c>
      <c r="L331" s="11">
        <f t="shared" si="2"/>
        <v>526.5</v>
      </c>
      <c r="M331" s="13">
        <f t="shared" si="3"/>
        <v>0.8442271854</v>
      </c>
      <c r="N331" s="13">
        <f t="shared" si="4"/>
        <v>0.6849515558</v>
      </c>
    </row>
    <row r="332" ht="15.75" customHeight="1">
      <c r="A332" s="11">
        <v>90103.0</v>
      </c>
      <c r="B332" s="11" t="s">
        <v>388</v>
      </c>
      <c r="C332" s="12">
        <f>IF(Datos_originales!$E332&lt;1000,"Bosque menor a 1000 ha",Datos_originales!$E332)</f>
        <v>232518.15</v>
      </c>
      <c r="D332" s="11">
        <v>232518.15</v>
      </c>
      <c r="E332" s="11">
        <v>856.53</v>
      </c>
      <c r="F332" s="11">
        <v>858.87</v>
      </c>
      <c r="G332" s="11">
        <v>858.96</v>
      </c>
      <c r="H332" s="11">
        <f t="shared" si="1"/>
        <v>858.12</v>
      </c>
      <c r="I332" s="11">
        <v>374.58</v>
      </c>
      <c r="J332" s="11">
        <v>781.2</v>
      </c>
      <c r="K332" s="11">
        <v>1393.47</v>
      </c>
      <c r="L332" s="11">
        <f t="shared" si="2"/>
        <v>849.75</v>
      </c>
      <c r="M332" s="13">
        <f t="shared" si="3"/>
        <v>0.3690550609</v>
      </c>
      <c r="N332" s="13">
        <f t="shared" si="4"/>
        <v>0.3654553419</v>
      </c>
    </row>
    <row r="333" ht="15.75" customHeight="1">
      <c r="A333" s="11">
        <v>90104.0</v>
      </c>
      <c r="B333" s="11" t="s">
        <v>389</v>
      </c>
      <c r="C333" s="15">
        <f>IF(Datos_originales!$E333&lt;1000,"Bosque menor a 1000 ha",Datos_originales!$E333)</f>
        <v>481176.99</v>
      </c>
      <c r="D333" s="11">
        <v>481176.99</v>
      </c>
      <c r="E333" s="11">
        <v>1575.63</v>
      </c>
      <c r="F333" s="11">
        <v>2038.23</v>
      </c>
      <c r="G333" s="11">
        <v>1196.55</v>
      </c>
      <c r="H333" s="11">
        <f t="shared" si="1"/>
        <v>1603.47</v>
      </c>
      <c r="I333" s="11">
        <v>655.9200000000001</v>
      </c>
      <c r="J333" s="11">
        <v>2310.12</v>
      </c>
      <c r="K333" s="11">
        <v>2428.92</v>
      </c>
      <c r="L333" s="11">
        <f t="shared" si="2"/>
        <v>1798.32</v>
      </c>
      <c r="M333" s="13">
        <f t="shared" si="3"/>
        <v>0.3332391268</v>
      </c>
      <c r="N333" s="13">
        <f t="shared" si="4"/>
        <v>0.3737335819</v>
      </c>
    </row>
    <row r="334" ht="15.75" customHeight="1">
      <c r="A334" s="11">
        <v>90201.0</v>
      </c>
      <c r="B334" s="11" t="s">
        <v>390</v>
      </c>
      <c r="C334" s="12">
        <f>IF(Datos_originales!$E334&lt;1000,"Bosque menor a 1000 ha",Datos_originales!$E334)</f>
        <v>493769.52</v>
      </c>
      <c r="D334" s="11">
        <v>493769.52</v>
      </c>
      <c r="E334" s="11">
        <v>2741.13</v>
      </c>
      <c r="F334" s="11">
        <v>1685.88</v>
      </c>
      <c r="G334" s="11">
        <v>1121.58</v>
      </c>
      <c r="H334" s="11">
        <f t="shared" si="1"/>
        <v>1849.53</v>
      </c>
      <c r="I334" s="11">
        <v>216.18</v>
      </c>
      <c r="J334" s="11">
        <v>623.4300000000001</v>
      </c>
      <c r="K334" s="11">
        <v>627.9300000000001</v>
      </c>
      <c r="L334" s="11">
        <f t="shared" si="2"/>
        <v>489.18</v>
      </c>
      <c r="M334" s="13">
        <f t="shared" si="3"/>
        <v>0.374573546</v>
      </c>
      <c r="N334" s="13">
        <f t="shared" si="4"/>
        <v>0.09907051371</v>
      </c>
    </row>
    <row r="335" ht="15.75" customHeight="1">
      <c r="A335" s="11">
        <v>90202.0</v>
      </c>
      <c r="B335" s="11" t="s">
        <v>275</v>
      </c>
      <c r="C335" s="15">
        <f>IF(Datos_originales!$E335&lt;1000,"Bosque menor a 1000 ha",Datos_originales!$E335)</f>
        <v>240183.99</v>
      </c>
      <c r="D335" s="11">
        <v>240183.99</v>
      </c>
      <c r="E335" s="11">
        <v>1624.5</v>
      </c>
      <c r="F335" s="11">
        <v>1045.62</v>
      </c>
      <c r="G335" s="11">
        <v>1617.93</v>
      </c>
      <c r="H335" s="11">
        <f t="shared" si="1"/>
        <v>1429.35</v>
      </c>
      <c r="I335" s="11">
        <v>254.88</v>
      </c>
      <c r="J335" s="11">
        <v>944.1</v>
      </c>
      <c r="K335" s="11">
        <v>621.1800000000001</v>
      </c>
      <c r="L335" s="11">
        <f t="shared" si="2"/>
        <v>606.72</v>
      </c>
      <c r="M335" s="13">
        <f t="shared" si="3"/>
        <v>0.5951062767</v>
      </c>
      <c r="N335" s="13">
        <f t="shared" si="4"/>
        <v>0.2526063457</v>
      </c>
    </row>
    <row r="336" ht="15.75" customHeight="1">
      <c r="A336" s="11">
        <v>90203.0</v>
      </c>
      <c r="B336" s="11" t="s">
        <v>391</v>
      </c>
      <c r="C336" s="12">
        <f>IF(Datos_originales!$E336&lt;1000,"Bosque menor a 1000 ha",Datos_originales!$E336)</f>
        <v>1144670.4</v>
      </c>
      <c r="D336" s="11">
        <v>1144670.4</v>
      </c>
      <c r="E336" s="11">
        <v>2373.12</v>
      </c>
      <c r="F336" s="11">
        <v>1731.6</v>
      </c>
      <c r="G336" s="11">
        <v>1939.59</v>
      </c>
      <c r="H336" s="11">
        <f t="shared" si="1"/>
        <v>2014.77</v>
      </c>
      <c r="I336" s="11">
        <v>598.05</v>
      </c>
      <c r="J336" s="11">
        <v>2015.55</v>
      </c>
      <c r="K336" s="11">
        <v>2797.47</v>
      </c>
      <c r="L336" s="11">
        <f t="shared" si="2"/>
        <v>1803.69</v>
      </c>
      <c r="M336" s="13">
        <f t="shared" si="3"/>
        <v>0.1760131126</v>
      </c>
      <c r="N336" s="13">
        <f t="shared" si="4"/>
        <v>0.1575728699</v>
      </c>
    </row>
    <row r="337" ht="15.75" customHeight="1">
      <c r="A337" s="11">
        <v>90301.0</v>
      </c>
      <c r="B337" s="11" t="s">
        <v>392</v>
      </c>
      <c r="C337" s="15">
        <f>IF(Datos_originales!$E337&lt;1000,"Bosque menor a 1000 ha",Datos_originales!$E337)</f>
        <v>109327.14</v>
      </c>
      <c r="D337" s="11">
        <v>109327.14</v>
      </c>
      <c r="E337" s="11">
        <v>1185.21</v>
      </c>
      <c r="F337" s="11">
        <v>558.18</v>
      </c>
      <c r="G337" s="11">
        <v>1971.99</v>
      </c>
      <c r="H337" s="11">
        <f t="shared" si="1"/>
        <v>1238.46</v>
      </c>
      <c r="I337" s="11">
        <v>231.12</v>
      </c>
      <c r="J337" s="11">
        <v>547.74</v>
      </c>
      <c r="K337" s="11">
        <v>597.51</v>
      </c>
      <c r="L337" s="11">
        <f t="shared" si="2"/>
        <v>458.79</v>
      </c>
      <c r="M337" s="13">
        <f t="shared" si="3"/>
        <v>1.132801974</v>
      </c>
      <c r="N337" s="13">
        <f t="shared" si="4"/>
        <v>0.4196487716</v>
      </c>
    </row>
    <row r="338" ht="15.75" customHeight="1">
      <c r="A338" s="11">
        <v>90302.0</v>
      </c>
      <c r="B338" s="11" t="s">
        <v>309</v>
      </c>
      <c r="C338" s="12">
        <f>IF(Datos_originales!$E338&lt;1000,"Bosque menor a 1000 ha",Datos_originales!$E338)</f>
        <v>286931.43</v>
      </c>
      <c r="D338" s="11">
        <v>286931.43</v>
      </c>
      <c r="E338" s="11">
        <v>1417.59</v>
      </c>
      <c r="F338" s="11">
        <v>926.1899999999999</v>
      </c>
      <c r="G338" s="11">
        <v>2246.04</v>
      </c>
      <c r="H338" s="11">
        <f t="shared" si="1"/>
        <v>1529.94</v>
      </c>
      <c r="I338" s="11">
        <v>270.36</v>
      </c>
      <c r="J338" s="11">
        <v>738.36</v>
      </c>
      <c r="K338" s="11">
        <v>528.9300000000001</v>
      </c>
      <c r="L338" s="11">
        <f t="shared" si="2"/>
        <v>512.55</v>
      </c>
      <c r="M338" s="13">
        <f t="shared" si="3"/>
        <v>0.5332075332</v>
      </c>
      <c r="N338" s="13">
        <f t="shared" si="4"/>
        <v>0.1786315288</v>
      </c>
    </row>
    <row r="339" ht="15.75" customHeight="1">
      <c r="A339" s="11">
        <v>90303.0</v>
      </c>
      <c r="B339" s="11" t="s">
        <v>393</v>
      </c>
      <c r="C339" s="15">
        <f>IF(Datos_originales!$E339&lt;1000,"Bosque menor a 1000 ha",Datos_originales!$E339)</f>
        <v>717293.34</v>
      </c>
      <c r="D339" s="11">
        <v>717293.34</v>
      </c>
      <c r="E339" s="11">
        <v>1169.82</v>
      </c>
      <c r="F339" s="11">
        <v>959.6700000000001</v>
      </c>
      <c r="G339" s="11">
        <v>955.62</v>
      </c>
      <c r="H339" s="11">
        <f t="shared" si="1"/>
        <v>1028.37</v>
      </c>
      <c r="I339" s="11">
        <v>371.7</v>
      </c>
      <c r="J339" s="11">
        <v>553.32</v>
      </c>
      <c r="K339" s="11">
        <v>765.45</v>
      </c>
      <c r="L339" s="11">
        <f t="shared" si="2"/>
        <v>563.49</v>
      </c>
      <c r="M339" s="13">
        <f t="shared" si="3"/>
        <v>0.1433681233</v>
      </c>
      <c r="N339" s="13">
        <f t="shared" si="4"/>
        <v>0.07855781848</v>
      </c>
    </row>
    <row r="340" ht="15.75" customHeight="1">
      <c r="A340" s="11">
        <v>90401.0</v>
      </c>
      <c r="B340" s="11" t="s">
        <v>372</v>
      </c>
      <c r="C340" s="12">
        <f>IF(Datos_originales!$E340&lt;1000,"Bosque menor a 1000 ha",Datos_originales!$E340)</f>
        <v>434458.62</v>
      </c>
      <c r="D340" s="11">
        <v>434458.62</v>
      </c>
      <c r="E340" s="11">
        <v>540.8100000000001</v>
      </c>
      <c r="F340" s="11">
        <v>742.6800000000001</v>
      </c>
      <c r="G340" s="11">
        <v>483.12</v>
      </c>
      <c r="H340" s="11">
        <f t="shared" si="1"/>
        <v>588.87</v>
      </c>
      <c r="I340" s="11">
        <v>218.88</v>
      </c>
      <c r="J340" s="11">
        <v>445.23</v>
      </c>
      <c r="K340" s="11">
        <v>420.39</v>
      </c>
      <c r="L340" s="11">
        <f t="shared" si="2"/>
        <v>361.5</v>
      </c>
      <c r="M340" s="13">
        <f t="shared" si="3"/>
        <v>0.1355411017</v>
      </c>
      <c r="N340" s="13">
        <f t="shared" si="4"/>
        <v>0.0832070037</v>
      </c>
    </row>
    <row r="341" ht="15.75" customHeight="1">
      <c r="A341" s="11">
        <v>90402.0</v>
      </c>
      <c r="B341" s="11" t="s">
        <v>394</v>
      </c>
      <c r="C341" s="15">
        <f>IF(Datos_originales!$E341&lt;1000,"Bosque menor a 1000 ha",Datos_originales!$E341)</f>
        <v>538625.16</v>
      </c>
      <c r="D341" s="11">
        <v>538625.16</v>
      </c>
      <c r="E341" s="11">
        <v>497.97</v>
      </c>
      <c r="F341" s="11">
        <v>356.31</v>
      </c>
      <c r="G341" s="11">
        <v>479.7</v>
      </c>
      <c r="H341" s="11">
        <f t="shared" si="1"/>
        <v>444.66</v>
      </c>
      <c r="I341" s="11">
        <v>306.63</v>
      </c>
      <c r="J341" s="11">
        <v>246.69</v>
      </c>
      <c r="K341" s="11">
        <v>267.3</v>
      </c>
      <c r="L341" s="11">
        <f t="shared" si="2"/>
        <v>273.54</v>
      </c>
      <c r="M341" s="13">
        <f t="shared" si="3"/>
        <v>0.08255462853</v>
      </c>
      <c r="N341" s="13">
        <f t="shared" si="4"/>
        <v>0.05078485379</v>
      </c>
    </row>
    <row r="342" ht="15.75" customHeight="1">
      <c r="A342" s="11">
        <v>90501.0</v>
      </c>
      <c r="B342" s="11" t="s">
        <v>395</v>
      </c>
      <c r="C342" s="12">
        <f>IF(Datos_originales!$E342&lt;1000,"Bosque menor a 1000 ha",Datos_originales!$E342)</f>
        <v>359182.98</v>
      </c>
      <c r="D342" s="11">
        <v>359182.98</v>
      </c>
      <c r="E342" s="11">
        <v>195.03</v>
      </c>
      <c r="F342" s="11">
        <v>179.82</v>
      </c>
      <c r="G342" s="11">
        <v>1107.63</v>
      </c>
      <c r="H342" s="11">
        <f t="shared" si="1"/>
        <v>494.16</v>
      </c>
      <c r="I342" s="11">
        <v>39.51000000000001</v>
      </c>
      <c r="J342" s="11">
        <v>229.86</v>
      </c>
      <c r="K342" s="11">
        <v>232.11</v>
      </c>
      <c r="L342" s="11">
        <f t="shared" si="2"/>
        <v>167.16</v>
      </c>
      <c r="M342" s="13">
        <f t="shared" si="3"/>
        <v>0.137578902</v>
      </c>
      <c r="N342" s="13">
        <f t="shared" si="4"/>
        <v>0.04653895349</v>
      </c>
    </row>
    <row r="343" ht="15.75" customHeight="1">
      <c r="A343" s="11">
        <v>90502.0</v>
      </c>
      <c r="B343" s="11" t="s">
        <v>396</v>
      </c>
      <c r="C343" s="15">
        <f>IF(Datos_originales!$E343&lt;1000,"Bosque menor a 1000 ha",Datos_originales!$E343)</f>
        <v>273027.06</v>
      </c>
      <c r="D343" s="11">
        <v>273027.06</v>
      </c>
      <c r="E343" s="11">
        <v>417.6</v>
      </c>
      <c r="F343" s="11">
        <v>245.97</v>
      </c>
      <c r="G343" s="11">
        <v>509.4</v>
      </c>
      <c r="H343" s="11">
        <f t="shared" si="1"/>
        <v>390.99</v>
      </c>
      <c r="I343" s="11">
        <v>88.74000000000001</v>
      </c>
      <c r="J343" s="11">
        <v>489.51</v>
      </c>
      <c r="K343" s="11">
        <v>148.95</v>
      </c>
      <c r="L343" s="11">
        <f t="shared" si="2"/>
        <v>242.4</v>
      </c>
      <c r="M343" s="13">
        <f t="shared" si="3"/>
        <v>0.1432055856</v>
      </c>
      <c r="N343" s="13">
        <f t="shared" si="4"/>
        <v>0.0887824086</v>
      </c>
    </row>
    <row r="344" ht="15.75" customHeight="1">
      <c r="A344" s="11">
        <v>90503.0</v>
      </c>
      <c r="B344" s="11" t="s">
        <v>397</v>
      </c>
      <c r="C344" s="12">
        <f>IF(Datos_originales!$E344&lt;1000,"Bosque menor a 1000 ha",Datos_originales!$E344)</f>
        <v>662358.15</v>
      </c>
      <c r="D344" s="11">
        <v>662358.15</v>
      </c>
      <c r="E344" s="11">
        <v>112.95</v>
      </c>
      <c r="F344" s="11">
        <v>74.43</v>
      </c>
      <c r="G344" s="11">
        <v>119.61</v>
      </c>
      <c r="H344" s="11">
        <f t="shared" si="1"/>
        <v>102.33</v>
      </c>
      <c r="I344" s="11">
        <v>48.06</v>
      </c>
      <c r="J344" s="11">
        <v>145.35</v>
      </c>
      <c r="K344" s="11">
        <v>151.38</v>
      </c>
      <c r="L344" s="11">
        <f t="shared" si="2"/>
        <v>114.93</v>
      </c>
      <c r="M344" s="13">
        <f t="shared" si="3"/>
        <v>0.01544934564</v>
      </c>
      <c r="N344" s="13">
        <f t="shared" si="4"/>
        <v>0.01735163974</v>
      </c>
    </row>
    <row r="345" ht="15.75" customHeight="1"/>
    <row r="346" ht="15.75" customHeight="1">
      <c r="L346" s="17" t="s">
        <v>406</v>
      </c>
      <c r="M346" s="18">
        <f>AVERAGE(M2:M344)</f>
        <v>1.173562553</v>
      </c>
      <c r="O346" s="19">
        <f>+M346+M347</f>
        <v>2.571567363</v>
      </c>
    </row>
    <row r="347" ht="15.75" customHeight="1">
      <c r="L347" s="17" t="s">
        <v>407</v>
      </c>
      <c r="M347" s="18">
        <f>+STDEVA(M2:M344)</f>
        <v>1.39800481</v>
      </c>
      <c r="O347" s="19">
        <f>+M346-M347</f>
        <v>-0.2244422567</v>
      </c>
    </row>
    <row r="348" ht="15.75" customHeight="1">
      <c r="L348" s="17" t="s">
        <v>408</v>
      </c>
      <c r="M348" s="18">
        <f>MIN(M2:M344)</f>
        <v>0.01544934564</v>
      </c>
    </row>
    <row r="349" ht="15.75" customHeight="1">
      <c r="L349" s="17" t="s">
        <v>409</v>
      </c>
      <c r="M349" s="18">
        <f>MAX(M2:M344)</f>
        <v>10.94477264</v>
      </c>
    </row>
    <row r="350" ht="15.75" customHeight="1">
      <c r="L350" s="17" t="s">
        <v>410</v>
      </c>
      <c r="M350" s="17">
        <v>343.0</v>
      </c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1.13"/>
    <col customWidth="1" min="3" max="4" width="42.38"/>
    <col customWidth="1" min="5" max="26" width="10.63"/>
  </cols>
  <sheetData>
    <row r="1">
      <c r="A1" s="20" t="s">
        <v>398</v>
      </c>
      <c r="B1" s="21" t="s">
        <v>2</v>
      </c>
      <c r="C1" s="21" t="s">
        <v>401</v>
      </c>
      <c r="D1" s="22" t="s">
        <v>402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3">
        <v>10101.0</v>
      </c>
      <c r="B2" s="17" t="s">
        <v>60</v>
      </c>
      <c r="C2" s="24">
        <v>0.5362604636188022</v>
      </c>
      <c r="D2" s="25">
        <v>1.068161086069972</v>
      </c>
    </row>
    <row r="3">
      <c r="A3" s="23">
        <v>10102.0</v>
      </c>
      <c r="B3" s="17" t="s">
        <v>61</v>
      </c>
      <c r="C3" s="24">
        <v>0.8428513277302876</v>
      </c>
      <c r="D3" s="25">
        <v>0.304096927902689</v>
      </c>
    </row>
    <row r="4">
      <c r="A4" s="23">
        <v>10103.0</v>
      </c>
      <c r="B4" s="17" t="s">
        <v>62</v>
      </c>
      <c r="C4" s="24">
        <v>0.4551093067839479</v>
      </c>
      <c r="D4" s="25">
        <v>0.09297808340870543</v>
      </c>
    </row>
    <row r="5">
      <c r="A5" s="23">
        <v>10201.0</v>
      </c>
      <c r="B5" s="17" t="s">
        <v>63</v>
      </c>
      <c r="C5" s="24">
        <v>0.23778567729388442</v>
      </c>
      <c r="D5" s="25">
        <v>0.3553501937429943</v>
      </c>
    </row>
    <row r="6">
      <c r="A6" s="23">
        <v>10202.0</v>
      </c>
      <c r="B6" s="17" t="s">
        <v>64</v>
      </c>
      <c r="C6" s="24">
        <v>0.40475044425675166</v>
      </c>
      <c r="D6" s="25">
        <v>0.33436564374089917</v>
      </c>
    </row>
    <row r="7">
      <c r="A7" s="23">
        <v>10301.0</v>
      </c>
      <c r="B7" s="17" t="s">
        <v>65</v>
      </c>
      <c r="C7" s="24">
        <v>0.563910974869879</v>
      </c>
      <c r="D7" s="25">
        <v>0.15710317080180092</v>
      </c>
    </row>
    <row r="8">
      <c r="A8" s="23">
        <v>10302.0</v>
      </c>
      <c r="B8" s="17" t="s">
        <v>66</v>
      </c>
      <c r="C8" s="24">
        <v>0.4088935247056437</v>
      </c>
      <c r="D8" s="25">
        <v>0.05677064658778534</v>
      </c>
    </row>
    <row r="9">
      <c r="A9" s="23">
        <v>10303.0</v>
      </c>
      <c r="B9" s="17" t="s">
        <v>67</v>
      </c>
      <c r="C9" s="24">
        <v>0.3437018846596113</v>
      </c>
      <c r="D9" s="25">
        <v>0.2247169112631312</v>
      </c>
    </row>
    <row r="10">
      <c r="A10" s="23">
        <v>10304.0</v>
      </c>
      <c r="B10" s="17" t="s">
        <v>68</v>
      </c>
      <c r="C10" s="24">
        <v>0.7036471162940559</v>
      </c>
      <c r="D10" s="25">
        <v>0.06028291395133715</v>
      </c>
    </row>
    <row r="11">
      <c r="A11" s="23">
        <v>10401.0</v>
      </c>
      <c r="B11" s="17" t="s">
        <v>69</v>
      </c>
      <c r="C11" s="24">
        <v>0.31768442444417355</v>
      </c>
      <c r="D11" s="25">
        <v>0.47438046555050434</v>
      </c>
    </row>
    <row r="12">
      <c r="A12" s="23">
        <v>10402.0</v>
      </c>
      <c r="B12" s="17" t="s">
        <v>70</v>
      </c>
      <c r="C12" s="24">
        <v>0.49419932032440167</v>
      </c>
      <c r="D12" s="25">
        <v>0.29080848530400194</v>
      </c>
    </row>
    <row r="13">
      <c r="A13" s="23">
        <v>10403.0</v>
      </c>
      <c r="B13" s="17" t="s">
        <v>71</v>
      </c>
      <c r="C13" s="24">
        <v>0.43736672905813934</v>
      </c>
      <c r="D13" s="25">
        <v>0.8976604450591718</v>
      </c>
    </row>
    <row r="14">
      <c r="A14" s="23">
        <v>10404.0</v>
      </c>
      <c r="B14" s="17" t="s">
        <v>72</v>
      </c>
      <c r="C14" s="24">
        <v>0.3525174342861522</v>
      </c>
      <c r="D14" s="25">
        <v>0.41601436344328513</v>
      </c>
    </row>
    <row r="15">
      <c r="A15" s="23">
        <v>10405.0</v>
      </c>
      <c r="B15" s="17" t="s">
        <v>73</v>
      </c>
      <c r="C15" s="24">
        <v>0.39239950046254574</v>
      </c>
      <c r="D15" s="25">
        <v>0.37117575360788707</v>
      </c>
    </row>
    <row r="16">
      <c r="A16" s="23">
        <v>10501.0</v>
      </c>
      <c r="B16" s="17" t="s">
        <v>74</v>
      </c>
      <c r="C16" s="24">
        <v>0.4572580068223762</v>
      </c>
      <c r="D16" s="25">
        <v>0.6132509090367745</v>
      </c>
    </row>
    <row r="17">
      <c r="A17" s="23">
        <v>10502.0</v>
      </c>
      <c r="B17" s="17" t="s">
        <v>75</v>
      </c>
      <c r="C17" s="24">
        <v>0.18203425801165019</v>
      </c>
      <c r="D17" s="25">
        <v>0.67781243464338</v>
      </c>
    </row>
    <row r="18">
      <c r="A18" s="23">
        <v>10601.0</v>
      </c>
      <c r="B18" s="17" t="s">
        <v>76</v>
      </c>
      <c r="C18" s="24">
        <v>0.6895200783545542</v>
      </c>
      <c r="D18" s="25">
        <v>0.13907933398628794</v>
      </c>
    </row>
    <row r="19">
      <c r="A19" s="23">
        <v>10602.0</v>
      </c>
      <c r="B19" s="17" t="s">
        <v>77</v>
      </c>
      <c r="C19" s="24"/>
      <c r="D19" s="25"/>
    </row>
    <row r="20">
      <c r="A20" s="23">
        <v>10701.0</v>
      </c>
      <c r="B20" s="17" t="s">
        <v>78</v>
      </c>
      <c r="C20" s="24"/>
      <c r="D20" s="25"/>
    </row>
    <row r="21" ht="15.75" customHeight="1">
      <c r="A21" s="23">
        <v>10702.0</v>
      </c>
      <c r="B21" s="17" t="s">
        <v>79</v>
      </c>
      <c r="C21" s="24">
        <v>0.29974939349668345</v>
      </c>
      <c r="D21" s="25">
        <v>0.703640205851636</v>
      </c>
    </row>
    <row r="22" ht="15.75" customHeight="1">
      <c r="A22" s="23">
        <v>10703.0</v>
      </c>
      <c r="B22" s="17" t="s">
        <v>80</v>
      </c>
      <c r="C22" s="24">
        <v>0.30463167565863813</v>
      </c>
      <c r="D22" s="25">
        <v>0.8228017172486021</v>
      </c>
    </row>
    <row r="23" ht="15.75" customHeight="1">
      <c r="A23" s="23">
        <v>10704.0</v>
      </c>
      <c r="B23" s="17" t="s">
        <v>81</v>
      </c>
      <c r="C23" s="24">
        <v>0.3985944448168756</v>
      </c>
      <c r="D23" s="25">
        <v>0.13686844986704208</v>
      </c>
    </row>
    <row r="24" ht="15.75" customHeight="1">
      <c r="A24" s="23">
        <v>10801.0</v>
      </c>
      <c r="B24" s="17" t="s">
        <v>82</v>
      </c>
      <c r="C24" s="24">
        <v>0.5743715568165233</v>
      </c>
      <c r="D24" s="25">
        <v>0.5919229716053092</v>
      </c>
    </row>
    <row r="25" ht="15.75" customHeight="1">
      <c r="A25" s="23">
        <v>10901.0</v>
      </c>
      <c r="B25" s="17" t="s">
        <v>83</v>
      </c>
      <c r="C25" s="24"/>
      <c r="D25" s="25"/>
    </row>
    <row r="26" ht="15.75" customHeight="1">
      <c r="A26" s="23">
        <v>10902.0</v>
      </c>
      <c r="B26" s="17" t="s">
        <v>84</v>
      </c>
      <c r="C26" s="24">
        <v>0.2697263552922031</v>
      </c>
      <c r="D26" s="25">
        <v>0.5425688502693593</v>
      </c>
    </row>
    <row r="27" ht="15.75" customHeight="1">
      <c r="A27" s="23">
        <v>10903.0</v>
      </c>
      <c r="B27" s="17" t="s">
        <v>85</v>
      </c>
      <c r="C27" s="24"/>
      <c r="D27" s="25"/>
    </row>
    <row r="28" ht="15.75" customHeight="1">
      <c r="A28" s="23">
        <v>11001.0</v>
      </c>
      <c r="B28" s="17" t="s">
        <v>86</v>
      </c>
      <c r="C28" s="24">
        <v>0.2862443177758493</v>
      </c>
      <c r="D28" s="25">
        <v>0.38343090144891945</v>
      </c>
    </row>
    <row r="29" ht="15.75" customHeight="1">
      <c r="A29" s="23">
        <v>11002.0</v>
      </c>
      <c r="B29" s="17" t="s">
        <v>87</v>
      </c>
      <c r="C29" s="24">
        <v>0.07797083075387042</v>
      </c>
      <c r="D29" s="25">
        <v>0.14501833117708768</v>
      </c>
    </row>
    <row r="30" ht="15.75" customHeight="1">
      <c r="A30" s="23">
        <v>11003.0</v>
      </c>
      <c r="B30" s="17" t="s">
        <v>88</v>
      </c>
      <c r="C30" s="24">
        <v>0.10887430129394277</v>
      </c>
      <c r="D30" s="25">
        <v>0.7183205079578739</v>
      </c>
    </row>
    <row r="31" ht="15.75" customHeight="1">
      <c r="A31" s="23">
        <v>20101.0</v>
      </c>
      <c r="B31" s="17" t="s">
        <v>90</v>
      </c>
      <c r="C31" s="24">
        <v>0.10885265901063974</v>
      </c>
      <c r="D31" s="25">
        <v>0.3753633657989361</v>
      </c>
    </row>
    <row r="32" ht="15.75" customHeight="1">
      <c r="A32" s="23">
        <v>20102.0</v>
      </c>
      <c r="B32" s="17" t="s">
        <v>91</v>
      </c>
      <c r="C32" s="24">
        <v>1.579551489609566</v>
      </c>
      <c r="D32" s="25">
        <v>5.86078703465762</v>
      </c>
    </row>
    <row r="33" ht="15.75" customHeight="1">
      <c r="A33" s="23">
        <v>20103.0</v>
      </c>
      <c r="B33" s="17" t="s">
        <v>92</v>
      </c>
      <c r="C33" s="24"/>
      <c r="D33" s="25"/>
    </row>
    <row r="34" ht="15.75" customHeight="1">
      <c r="A34" s="23">
        <v>20104.0</v>
      </c>
      <c r="B34" s="17" t="s">
        <v>93</v>
      </c>
      <c r="C34" s="24"/>
      <c r="D34" s="25"/>
    </row>
    <row r="35" ht="15.75" customHeight="1">
      <c r="A35" s="23">
        <v>20105.0</v>
      </c>
      <c r="B35" s="17" t="s">
        <v>94</v>
      </c>
      <c r="C35" s="24"/>
      <c r="D35" s="25"/>
    </row>
    <row r="36" ht="15.75" customHeight="1">
      <c r="A36" s="23">
        <v>20201.0</v>
      </c>
      <c r="B36" s="17" t="s">
        <v>95</v>
      </c>
      <c r="C36" s="24"/>
      <c r="D36" s="25"/>
    </row>
    <row r="37" ht="15.75" customHeight="1">
      <c r="A37" s="23">
        <v>20202.0</v>
      </c>
      <c r="B37" s="17" t="s">
        <v>96</v>
      </c>
      <c r="C37" s="24"/>
      <c r="D37" s="25"/>
    </row>
    <row r="38" ht="15.75" customHeight="1">
      <c r="A38" s="23">
        <v>20203.0</v>
      </c>
      <c r="B38" s="17" t="s">
        <v>97</v>
      </c>
      <c r="C38" s="24"/>
      <c r="D38" s="25"/>
    </row>
    <row r="39" ht="15.75" customHeight="1">
      <c r="A39" s="23">
        <v>20204.0</v>
      </c>
      <c r="B39" s="17" t="s">
        <v>98</v>
      </c>
      <c r="C39" s="24"/>
      <c r="D39" s="25"/>
    </row>
    <row r="40" ht="15.75" customHeight="1">
      <c r="A40" s="23">
        <v>20205.0</v>
      </c>
      <c r="B40" s="17" t="s">
        <v>99</v>
      </c>
      <c r="C40" s="24"/>
      <c r="D40" s="25"/>
    </row>
    <row r="41" ht="15.75" customHeight="1">
      <c r="A41" s="23">
        <v>20206.0</v>
      </c>
      <c r="B41" s="17" t="s">
        <v>100</v>
      </c>
      <c r="C41" s="24"/>
      <c r="D41" s="25"/>
    </row>
    <row r="42" ht="15.75" customHeight="1">
      <c r="A42" s="23">
        <v>20301.0</v>
      </c>
      <c r="B42" s="17" t="s">
        <v>101</v>
      </c>
      <c r="C42" s="24"/>
      <c r="D42" s="25"/>
    </row>
    <row r="43" ht="15.75" customHeight="1">
      <c r="A43" s="23">
        <v>20302.0</v>
      </c>
      <c r="B43" s="17" t="s">
        <v>102</v>
      </c>
      <c r="C43" s="24"/>
      <c r="D43" s="25"/>
    </row>
    <row r="44" ht="15.75" customHeight="1">
      <c r="A44" s="23">
        <v>20303.0</v>
      </c>
      <c r="B44" s="17" t="s">
        <v>103</v>
      </c>
      <c r="C44" s="24"/>
      <c r="D44" s="25"/>
    </row>
    <row r="45" ht="15.75" customHeight="1">
      <c r="A45" s="23">
        <v>20304.0</v>
      </c>
      <c r="B45" s="17" t="s">
        <v>104</v>
      </c>
      <c r="C45" s="24"/>
      <c r="D45" s="25"/>
    </row>
    <row r="46" ht="15.75" customHeight="1">
      <c r="A46" s="23">
        <v>20305.0</v>
      </c>
      <c r="B46" s="17" t="s">
        <v>105</v>
      </c>
      <c r="C46" s="24"/>
      <c r="D46" s="25"/>
    </row>
    <row r="47" ht="15.75" customHeight="1">
      <c r="A47" s="23">
        <v>20306.0</v>
      </c>
      <c r="B47" s="17" t="s">
        <v>106</v>
      </c>
      <c r="C47" s="24"/>
      <c r="D47" s="25"/>
    </row>
    <row r="48" ht="15.75" customHeight="1">
      <c r="A48" s="23">
        <v>20307.0</v>
      </c>
      <c r="B48" s="17" t="s">
        <v>107</v>
      </c>
      <c r="C48" s="24"/>
      <c r="D48" s="25"/>
    </row>
    <row r="49" ht="15.75" customHeight="1">
      <c r="A49" s="23">
        <v>20308.0</v>
      </c>
      <c r="B49" s="17" t="s">
        <v>108</v>
      </c>
      <c r="C49" s="24"/>
      <c r="D49" s="25"/>
    </row>
    <row r="50" ht="15.75" customHeight="1">
      <c r="A50" s="23">
        <v>20401.0</v>
      </c>
      <c r="B50" s="17" t="s">
        <v>109</v>
      </c>
      <c r="C50" s="24"/>
      <c r="D50" s="25"/>
    </row>
    <row r="51" ht="15.75" customHeight="1">
      <c r="A51" s="23">
        <v>20402.0</v>
      </c>
      <c r="B51" s="17" t="s">
        <v>110</v>
      </c>
      <c r="C51" s="24">
        <v>1.1071178995707298</v>
      </c>
      <c r="D51" s="25">
        <v>0.6728561445542576</v>
      </c>
    </row>
    <row r="52" ht="15.75" customHeight="1">
      <c r="A52" s="23">
        <v>20403.0</v>
      </c>
      <c r="B52" s="17" t="s">
        <v>111</v>
      </c>
      <c r="C52" s="24"/>
      <c r="D52" s="25"/>
    </row>
    <row r="53" ht="15.75" customHeight="1">
      <c r="A53" s="23">
        <v>20404.0</v>
      </c>
      <c r="B53" s="17" t="s">
        <v>112</v>
      </c>
      <c r="C53" s="24"/>
      <c r="D53" s="25"/>
    </row>
    <row r="54" ht="15.75" customHeight="1">
      <c r="A54" s="23">
        <v>20405.0</v>
      </c>
      <c r="B54" s="17" t="s">
        <v>113</v>
      </c>
      <c r="C54" s="24"/>
      <c r="D54" s="25"/>
    </row>
    <row r="55" ht="15.75" customHeight="1">
      <c r="A55" s="23">
        <v>20501.0</v>
      </c>
      <c r="B55" s="17" t="s">
        <v>114</v>
      </c>
      <c r="C55" s="24">
        <v>0.5664562538221545</v>
      </c>
      <c r="D55" s="25">
        <v>1.1458689635871762</v>
      </c>
    </row>
    <row r="56" ht="15.75" customHeight="1">
      <c r="A56" s="23">
        <v>20502.0</v>
      </c>
      <c r="B56" s="17" t="s">
        <v>115</v>
      </c>
      <c r="C56" s="24">
        <v>0.30421203944830877</v>
      </c>
      <c r="D56" s="25">
        <v>0.7039365595133305</v>
      </c>
    </row>
    <row r="57" ht="15.75" customHeight="1">
      <c r="A57" s="23">
        <v>20503.0</v>
      </c>
      <c r="B57" s="17" t="s">
        <v>116</v>
      </c>
      <c r="C57" s="24">
        <v>1.0282689109851697</v>
      </c>
      <c r="D57" s="25">
        <v>1.2522482777344146</v>
      </c>
    </row>
    <row r="58" ht="15.75" customHeight="1">
      <c r="A58" s="23">
        <v>20601.0</v>
      </c>
      <c r="B58" s="17" t="s">
        <v>117</v>
      </c>
      <c r="C58" s="24">
        <v>0.3752790989151456</v>
      </c>
      <c r="D58" s="25">
        <v>0.7030387542850501</v>
      </c>
    </row>
    <row r="59" ht="15.75" customHeight="1">
      <c r="A59" s="23">
        <v>20602.0</v>
      </c>
      <c r="B59" s="17" t="s">
        <v>118</v>
      </c>
      <c r="C59" s="24">
        <v>0.22102849697254603</v>
      </c>
      <c r="D59" s="25">
        <v>0.8843160351679002</v>
      </c>
    </row>
    <row r="60" ht="15.75" customHeight="1">
      <c r="A60" s="23">
        <v>20603.0</v>
      </c>
      <c r="B60" s="17" t="s">
        <v>119</v>
      </c>
      <c r="C60" s="24">
        <v>0.28849351886809416</v>
      </c>
      <c r="D60" s="25">
        <v>0.7655893245599841</v>
      </c>
    </row>
    <row r="61" ht="15.75" customHeight="1">
      <c r="A61" s="23">
        <v>20604.0</v>
      </c>
      <c r="B61" s="17" t="s">
        <v>120</v>
      </c>
      <c r="C61" s="24"/>
      <c r="D61" s="25"/>
    </row>
    <row r="62" ht="15.75" customHeight="1">
      <c r="A62" s="23">
        <v>20605.0</v>
      </c>
      <c r="B62" s="17" t="s">
        <v>121</v>
      </c>
      <c r="C62" s="24"/>
      <c r="D62" s="25"/>
    </row>
    <row r="63" ht="15.75" customHeight="1">
      <c r="A63" s="23">
        <v>20606.0</v>
      </c>
      <c r="B63" s="17" t="s">
        <v>122</v>
      </c>
      <c r="C63" s="24">
        <v>0.45251262858320385</v>
      </c>
      <c r="D63" s="25">
        <v>1.1754189570767406</v>
      </c>
    </row>
    <row r="64" ht="15.75" customHeight="1">
      <c r="A64" s="23">
        <v>20607.0</v>
      </c>
      <c r="B64" s="17" t="s">
        <v>123</v>
      </c>
      <c r="C64" s="24">
        <v>0.33548387661121265</v>
      </c>
      <c r="D64" s="25">
        <v>1.285427434144259</v>
      </c>
    </row>
    <row r="65" ht="15.75" customHeight="1">
      <c r="A65" s="23">
        <v>20608.0</v>
      </c>
      <c r="B65" s="17" t="s">
        <v>124</v>
      </c>
      <c r="C65" s="24">
        <v>0.6820822026907036</v>
      </c>
      <c r="D65" s="25">
        <v>1.7069623185817253</v>
      </c>
    </row>
    <row r="66" ht="15.75" customHeight="1">
      <c r="A66" s="23">
        <v>20701.0</v>
      </c>
      <c r="B66" s="17" t="s">
        <v>125</v>
      </c>
      <c r="C66" s="24">
        <v>0.2870843366702653</v>
      </c>
      <c r="D66" s="25">
        <v>0.2050851911380631</v>
      </c>
    </row>
    <row r="67" ht="15.75" customHeight="1">
      <c r="A67" s="23">
        <v>20702.0</v>
      </c>
      <c r="B67" s="17" t="s">
        <v>126</v>
      </c>
      <c r="C67" s="24">
        <v>0.646020220416923</v>
      </c>
      <c r="D67" s="25">
        <v>0.1709975210418547</v>
      </c>
    </row>
    <row r="68" ht="15.75" customHeight="1">
      <c r="A68" s="23">
        <v>20801.0</v>
      </c>
      <c r="B68" s="17" t="s">
        <v>127</v>
      </c>
      <c r="C68" s="24"/>
      <c r="D68" s="25"/>
    </row>
    <row r="69" ht="15.75" customHeight="1">
      <c r="A69" s="23">
        <v>20802.0</v>
      </c>
      <c r="B69" s="17" t="s">
        <v>128</v>
      </c>
      <c r="C69" s="24"/>
      <c r="D69" s="25"/>
    </row>
    <row r="70" ht="15.75" customHeight="1">
      <c r="A70" s="23">
        <v>20803.0</v>
      </c>
      <c r="B70" s="17" t="s">
        <v>129</v>
      </c>
      <c r="C70" s="24"/>
      <c r="D70" s="25"/>
    </row>
    <row r="71" ht="15.75" customHeight="1">
      <c r="A71" s="23">
        <v>20804.0</v>
      </c>
      <c r="B71" s="17" t="s">
        <v>130</v>
      </c>
      <c r="C71" s="24"/>
      <c r="D71" s="25"/>
    </row>
    <row r="72" ht="15.75" customHeight="1">
      <c r="A72" s="23">
        <v>20805.0</v>
      </c>
      <c r="B72" s="17" t="s">
        <v>131</v>
      </c>
      <c r="C72" s="24"/>
      <c r="D72" s="25"/>
    </row>
    <row r="73" ht="15.75" customHeight="1">
      <c r="A73" s="23">
        <v>20806.0</v>
      </c>
      <c r="B73" s="17" t="s">
        <v>132</v>
      </c>
      <c r="C73" s="24"/>
      <c r="D73" s="25"/>
    </row>
    <row r="74" ht="15.75" customHeight="1">
      <c r="A74" s="23">
        <v>20807.0</v>
      </c>
      <c r="B74" s="17" t="s">
        <v>133</v>
      </c>
      <c r="C74" s="24"/>
      <c r="D74" s="25"/>
    </row>
    <row r="75" ht="15.75" customHeight="1">
      <c r="A75" s="23">
        <v>20901.0</v>
      </c>
      <c r="B75" s="17" t="s">
        <v>134</v>
      </c>
      <c r="C75" s="24"/>
      <c r="D75" s="25"/>
    </row>
    <row r="76" ht="15.75" customHeight="1">
      <c r="A76" s="23">
        <v>20902.0</v>
      </c>
      <c r="B76" s="17" t="s">
        <v>135</v>
      </c>
      <c r="C76" s="24"/>
      <c r="D76" s="25"/>
    </row>
    <row r="77" ht="15.75" customHeight="1">
      <c r="A77" s="23">
        <v>20903.0</v>
      </c>
      <c r="B77" s="17" t="s">
        <v>136</v>
      </c>
      <c r="C77" s="24"/>
      <c r="D77" s="25"/>
    </row>
    <row r="78" ht="15.75" customHeight="1">
      <c r="A78" s="23">
        <v>20904.0</v>
      </c>
      <c r="B78" s="17" t="s">
        <v>137</v>
      </c>
      <c r="C78" s="24"/>
      <c r="D78" s="25"/>
    </row>
    <row r="79" ht="15.75" customHeight="1">
      <c r="A79" s="23">
        <v>20905.0</v>
      </c>
      <c r="B79" s="17" t="s">
        <v>138</v>
      </c>
      <c r="C79" s="24">
        <v>1.7395988898208572</v>
      </c>
      <c r="D79" s="25">
        <v>3.395320608552744</v>
      </c>
    </row>
    <row r="80" ht="15.75" customHeight="1">
      <c r="A80" s="23">
        <v>21001.0</v>
      </c>
      <c r="B80" s="17" t="s">
        <v>139</v>
      </c>
      <c r="C80" s="24">
        <v>0.2333078203874877</v>
      </c>
      <c r="D80" s="25">
        <v>1.0271621878226675</v>
      </c>
    </row>
    <row r="81" ht="15.75" customHeight="1">
      <c r="A81" s="23">
        <v>21002.0</v>
      </c>
      <c r="B81" s="17" t="s">
        <v>140</v>
      </c>
      <c r="C81" s="24">
        <v>0.5071883172837081</v>
      </c>
      <c r="D81" s="25">
        <v>1.241767323265154</v>
      </c>
    </row>
    <row r="82" ht="15.75" customHeight="1">
      <c r="A82" s="23">
        <v>21003.0</v>
      </c>
      <c r="B82" s="17" t="s">
        <v>141</v>
      </c>
      <c r="C82" s="24">
        <v>0.3689855389098956</v>
      </c>
      <c r="D82" s="25">
        <v>1.3456856608616603</v>
      </c>
    </row>
    <row r="83" ht="15.75" customHeight="1">
      <c r="A83" s="23">
        <v>21004.0</v>
      </c>
      <c r="B83" s="17" t="s">
        <v>142</v>
      </c>
      <c r="C83" s="24"/>
      <c r="D83" s="25"/>
    </row>
    <row r="84" ht="15.75" customHeight="1">
      <c r="A84" s="23">
        <v>21005.0</v>
      </c>
      <c r="B84" s="17" t="s">
        <v>143</v>
      </c>
      <c r="C84" s="24">
        <v>0.8132592135062795</v>
      </c>
      <c r="D84" s="25">
        <v>3.2135749090659527</v>
      </c>
    </row>
    <row r="85" ht="15.75" customHeight="1">
      <c r="A85" s="23">
        <v>21006.0</v>
      </c>
      <c r="B85" s="17" t="s">
        <v>144</v>
      </c>
      <c r="C85" s="24">
        <v>0.2085476132762939</v>
      </c>
      <c r="D85" s="25">
        <v>0.7876766922383163</v>
      </c>
    </row>
    <row r="86" ht="15.75" customHeight="1">
      <c r="A86" s="23">
        <v>21101.0</v>
      </c>
      <c r="B86" s="17" t="s">
        <v>145</v>
      </c>
      <c r="C86" s="24">
        <v>0.3543726259802596</v>
      </c>
      <c r="D86" s="25">
        <v>2.377777039501474</v>
      </c>
    </row>
    <row r="87" ht="15.75" customHeight="1">
      <c r="A87" s="23">
        <v>21102.0</v>
      </c>
      <c r="B87" s="17" t="s">
        <v>146</v>
      </c>
      <c r="C87" s="24">
        <v>0.30553137681350556</v>
      </c>
      <c r="D87" s="25">
        <v>1.4501650149188834</v>
      </c>
    </row>
    <row r="88" ht="15.75" customHeight="1">
      <c r="A88" s="23">
        <v>21103.0</v>
      </c>
      <c r="B88" s="17" t="s">
        <v>147</v>
      </c>
      <c r="C88" s="24">
        <v>0.30592781589833784</v>
      </c>
      <c r="D88" s="25">
        <v>0.8199360895736829</v>
      </c>
    </row>
    <row r="89" ht="15.75" customHeight="1">
      <c r="A89" s="23">
        <v>21104.0</v>
      </c>
      <c r="B89" s="17" t="s">
        <v>148</v>
      </c>
      <c r="C89" s="24">
        <v>0.5680940519979533</v>
      </c>
      <c r="D89" s="25">
        <v>0.9590751613299184</v>
      </c>
    </row>
    <row r="90" ht="15.75" customHeight="1">
      <c r="A90" s="23">
        <v>21105.0</v>
      </c>
      <c r="B90" s="17" t="s">
        <v>149</v>
      </c>
      <c r="C90" s="24">
        <v>0.2784470250528445</v>
      </c>
      <c r="D90" s="25">
        <v>0.9967673822251713</v>
      </c>
    </row>
    <row r="91" ht="15.75" customHeight="1">
      <c r="A91" s="23">
        <v>21201.0</v>
      </c>
      <c r="B91" s="17" t="s">
        <v>150</v>
      </c>
      <c r="C91" s="24"/>
      <c r="D91" s="25"/>
    </row>
    <row r="92" ht="15.75" customHeight="1">
      <c r="A92" s="23">
        <v>21202.0</v>
      </c>
      <c r="B92" s="17" t="s">
        <v>151</v>
      </c>
      <c r="C92" s="24"/>
      <c r="D92" s="25"/>
    </row>
    <row r="93" ht="15.75" customHeight="1">
      <c r="A93" s="23">
        <v>21203.0</v>
      </c>
      <c r="B93" s="17" t="s">
        <v>152</v>
      </c>
      <c r="C93" s="24"/>
      <c r="D93" s="25"/>
    </row>
    <row r="94" ht="15.75" customHeight="1">
      <c r="A94" s="23">
        <v>21204.0</v>
      </c>
      <c r="B94" s="17" t="s">
        <v>153</v>
      </c>
      <c r="C94" s="24"/>
      <c r="D94" s="25"/>
    </row>
    <row r="95" ht="15.75" customHeight="1">
      <c r="A95" s="23">
        <v>21301.0</v>
      </c>
      <c r="B95" s="17" t="s">
        <v>154</v>
      </c>
      <c r="C95" s="24"/>
      <c r="D95" s="25"/>
    </row>
    <row r="96" ht="15.75" customHeight="1">
      <c r="A96" s="23">
        <v>21302.0</v>
      </c>
      <c r="B96" s="17" t="s">
        <v>155</v>
      </c>
      <c r="C96" s="24"/>
      <c r="D96" s="25"/>
    </row>
    <row r="97" ht="15.75" customHeight="1">
      <c r="A97" s="23">
        <v>21303.0</v>
      </c>
      <c r="B97" s="17" t="s">
        <v>156</v>
      </c>
      <c r="C97" s="24"/>
      <c r="D97" s="25"/>
    </row>
    <row r="98" ht="15.75" customHeight="1">
      <c r="A98" s="23">
        <v>21304.0</v>
      </c>
      <c r="B98" s="17" t="s">
        <v>157</v>
      </c>
      <c r="C98" s="24"/>
      <c r="D98" s="25"/>
    </row>
    <row r="99" ht="15.75" customHeight="1">
      <c r="A99" s="23">
        <v>21305.0</v>
      </c>
      <c r="B99" s="17" t="s">
        <v>158</v>
      </c>
      <c r="C99" s="24"/>
      <c r="D99" s="25"/>
    </row>
    <row r="100" ht="15.75" customHeight="1">
      <c r="A100" s="23">
        <v>21306.0</v>
      </c>
      <c r="B100" s="17" t="s">
        <v>159</v>
      </c>
      <c r="C100" s="24"/>
      <c r="D100" s="25"/>
    </row>
    <row r="101" ht="15.75" customHeight="1">
      <c r="A101" s="23">
        <v>21307.0</v>
      </c>
      <c r="B101" s="17" t="s">
        <v>160</v>
      </c>
      <c r="C101" s="24"/>
      <c r="D101" s="25"/>
    </row>
    <row r="102" ht="15.75" customHeight="1">
      <c r="A102" s="23">
        <v>21401.0</v>
      </c>
      <c r="B102" s="17" t="s">
        <v>161</v>
      </c>
      <c r="C102" s="24">
        <v>0.1417183457390871</v>
      </c>
      <c r="D102" s="25">
        <v>0.8616315008355335</v>
      </c>
    </row>
    <row r="103" ht="15.75" customHeight="1">
      <c r="A103" s="23">
        <v>21402.0</v>
      </c>
      <c r="B103" s="17" t="s">
        <v>162</v>
      </c>
      <c r="C103" s="24">
        <v>0.1516433001347884</v>
      </c>
      <c r="D103" s="25">
        <v>0.7561412752715635</v>
      </c>
    </row>
    <row r="104" ht="15.75" customHeight="1">
      <c r="A104" s="23">
        <v>21501.0</v>
      </c>
      <c r="B104" s="17" t="s">
        <v>163</v>
      </c>
      <c r="C104" s="24">
        <v>0.26673635721669414</v>
      </c>
      <c r="D104" s="25">
        <v>0.3036693168241661</v>
      </c>
    </row>
    <row r="105" ht="15.75" customHeight="1">
      <c r="A105" s="23">
        <v>21502.0</v>
      </c>
      <c r="B105" s="17" t="s">
        <v>164</v>
      </c>
      <c r="C105" s="24">
        <v>0.9874479640878595</v>
      </c>
      <c r="D105" s="25">
        <v>0.756021217515775</v>
      </c>
    </row>
    <row r="106" ht="15.75" customHeight="1">
      <c r="A106" s="23">
        <v>21601.0</v>
      </c>
      <c r="B106" s="17" t="s">
        <v>165</v>
      </c>
      <c r="C106" s="24">
        <v>0.3172109783988753</v>
      </c>
      <c r="D106" s="25">
        <v>0.28551755111336735</v>
      </c>
    </row>
    <row r="107" ht="15.75" customHeight="1">
      <c r="A107" s="23">
        <v>21602.0</v>
      </c>
      <c r="B107" s="17" t="s">
        <v>166</v>
      </c>
      <c r="C107" s="24">
        <v>0.9281585697411918</v>
      </c>
      <c r="D107" s="25">
        <v>0.17717484746189166</v>
      </c>
    </row>
    <row r="108" ht="15.75" customHeight="1">
      <c r="A108" s="23">
        <v>21701.0</v>
      </c>
      <c r="B108" s="17" t="s">
        <v>167</v>
      </c>
      <c r="C108" s="24"/>
      <c r="D108" s="25"/>
    </row>
    <row r="109" ht="15.75" customHeight="1">
      <c r="A109" s="23">
        <v>21702.0</v>
      </c>
      <c r="B109" s="17" t="s">
        <v>168</v>
      </c>
      <c r="C109" s="24"/>
      <c r="D109" s="25"/>
    </row>
    <row r="110" ht="15.75" customHeight="1">
      <c r="A110" s="23">
        <v>21703.0</v>
      </c>
      <c r="B110" s="17" t="s">
        <v>169</v>
      </c>
      <c r="C110" s="24"/>
      <c r="D110" s="25"/>
    </row>
    <row r="111" ht="15.75" customHeight="1">
      <c r="A111" s="23">
        <v>21801.0</v>
      </c>
      <c r="B111" s="17" t="s">
        <v>170</v>
      </c>
      <c r="C111" s="24"/>
      <c r="D111" s="25"/>
    </row>
    <row r="112" ht="15.75" customHeight="1">
      <c r="A112" s="23">
        <v>21802.0</v>
      </c>
      <c r="B112" s="17" t="s">
        <v>171</v>
      </c>
      <c r="C112" s="24"/>
      <c r="D112" s="25"/>
    </row>
    <row r="113" ht="15.75" customHeight="1">
      <c r="A113" s="23">
        <v>21803.0</v>
      </c>
      <c r="B113" s="17" t="s">
        <v>172</v>
      </c>
      <c r="C113" s="24"/>
      <c r="D113" s="25"/>
    </row>
    <row r="114" ht="15.75" customHeight="1">
      <c r="A114" s="23">
        <v>21901.0</v>
      </c>
      <c r="B114" s="17" t="s">
        <v>173</v>
      </c>
      <c r="C114" s="24"/>
      <c r="D114" s="25"/>
    </row>
    <row r="115" ht="15.75" customHeight="1">
      <c r="A115" s="23">
        <v>21902.0</v>
      </c>
      <c r="B115" s="17" t="s">
        <v>174</v>
      </c>
      <c r="C115" s="24"/>
      <c r="D115" s="25"/>
    </row>
    <row r="116" ht="15.75" customHeight="1">
      <c r="A116" s="23">
        <v>22001.0</v>
      </c>
      <c r="B116" s="17" t="s">
        <v>175</v>
      </c>
      <c r="C116" s="24">
        <v>0.3376964229634417</v>
      </c>
      <c r="D116" s="25">
        <v>1.716083426931316</v>
      </c>
    </row>
    <row r="117" ht="15.75" customHeight="1">
      <c r="A117" s="23">
        <v>22002.0</v>
      </c>
      <c r="B117" s="17" t="s">
        <v>176</v>
      </c>
      <c r="C117" s="24">
        <v>0.8866926082424185</v>
      </c>
      <c r="D117" s="25">
        <v>1.8283558929551913</v>
      </c>
    </row>
    <row r="118" ht="15.75" customHeight="1">
      <c r="A118" s="23">
        <v>30101.0</v>
      </c>
      <c r="B118" s="17" t="s">
        <v>177</v>
      </c>
      <c r="C118" s="24">
        <v>0.7951211980855334</v>
      </c>
      <c r="D118" s="25">
        <v>3.938937779836343</v>
      </c>
    </row>
    <row r="119" ht="15.75" customHeight="1">
      <c r="A119" s="23">
        <v>30201.0</v>
      </c>
      <c r="B119" s="17" t="s">
        <v>178</v>
      </c>
      <c r="C119" s="24">
        <v>0.4382532842213912</v>
      </c>
      <c r="D119" s="25">
        <v>0.03283755610331394</v>
      </c>
    </row>
    <row r="120" ht="15.75" customHeight="1">
      <c r="A120" s="23">
        <v>30202.0</v>
      </c>
      <c r="B120" s="17" t="s">
        <v>179</v>
      </c>
      <c r="C120" s="24">
        <v>0.5970320829817939</v>
      </c>
      <c r="D120" s="25">
        <v>0.21385917482135636</v>
      </c>
    </row>
    <row r="121" ht="15.75" customHeight="1">
      <c r="A121" s="23">
        <v>30203.0</v>
      </c>
      <c r="B121" s="17" t="s">
        <v>180</v>
      </c>
      <c r="C121" s="24">
        <v>0.4203545419216274</v>
      </c>
      <c r="D121" s="25">
        <v>0.2168459152254347</v>
      </c>
    </row>
    <row r="122" ht="15.75" customHeight="1">
      <c r="A122" s="23">
        <v>30301.0</v>
      </c>
      <c r="B122" s="17" t="s">
        <v>181</v>
      </c>
      <c r="C122" s="24">
        <v>0.643291189461198</v>
      </c>
      <c r="D122" s="25">
        <v>0.8832265229753601</v>
      </c>
    </row>
    <row r="123" ht="15.75" customHeight="1">
      <c r="A123" s="23">
        <v>30302.0</v>
      </c>
      <c r="B123" s="17" t="s">
        <v>182</v>
      </c>
      <c r="C123" s="24">
        <v>0.7065514189405495</v>
      </c>
      <c r="D123" s="25">
        <v>0.7491102197615956</v>
      </c>
    </row>
    <row r="124" ht="15.75" customHeight="1">
      <c r="A124" s="23">
        <v>30303.0</v>
      </c>
      <c r="B124" s="17" t="s">
        <v>183</v>
      </c>
      <c r="C124" s="24">
        <v>0.14109420862015665</v>
      </c>
      <c r="D124" s="25">
        <v>0.31069729542704627</v>
      </c>
    </row>
    <row r="125" ht="15.75" customHeight="1">
      <c r="A125" s="23">
        <v>30401.0</v>
      </c>
      <c r="B125" s="17" t="s">
        <v>184</v>
      </c>
      <c r="C125" s="24"/>
      <c r="D125" s="25"/>
    </row>
    <row r="126" ht="15.75" customHeight="1">
      <c r="A126" s="23">
        <v>30402.0</v>
      </c>
      <c r="B126" s="17" t="s">
        <v>185</v>
      </c>
      <c r="C126" s="24">
        <v>0.9344650913818152</v>
      </c>
      <c r="D126" s="25">
        <v>0.24776324845147973</v>
      </c>
    </row>
    <row r="127" ht="15.75" customHeight="1">
      <c r="A127" s="23">
        <v>30403.0</v>
      </c>
      <c r="B127" s="17" t="s">
        <v>186</v>
      </c>
      <c r="C127" s="24"/>
      <c r="D127" s="25"/>
    </row>
    <row r="128" ht="15.75" customHeight="1">
      <c r="A128" s="23">
        <v>30404.0</v>
      </c>
      <c r="B128" s="17" t="s">
        <v>187</v>
      </c>
      <c r="C128" s="24"/>
      <c r="D128" s="25"/>
    </row>
    <row r="129" ht="15.75" customHeight="1">
      <c r="A129" s="23">
        <v>30501.0</v>
      </c>
      <c r="B129" s="17" t="s">
        <v>188</v>
      </c>
      <c r="C129" s="24"/>
      <c r="D129" s="25"/>
    </row>
    <row r="130" ht="15.75" customHeight="1">
      <c r="A130" s="23">
        <v>30502.0</v>
      </c>
      <c r="B130" s="17" t="s">
        <v>189</v>
      </c>
      <c r="C130" s="24"/>
      <c r="D130" s="25"/>
    </row>
    <row r="131" ht="15.75" customHeight="1">
      <c r="A131" s="23">
        <v>30601.0</v>
      </c>
      <c r="B131" s="17" t="s">
        <v>190</v>
      </c>
      <c r="C131" s="24"/>
      <c r="D131" s="25"/>
    </row>
    <row r="132" ht="15.75" customHeight="1">
      <c r="A132" s="23">
        <v>30602.0</v>
      </c>
      <c r="B132" s="17" t="s">
        <v>191</v>
      </c>
      <c r="C132" s="24"/>
      <c r="D132" s="25"/>
    </row>
    <row r="133" ht="15.75" customHeight="1">
      <c r="A133" s="23">
        <v>30701.0</v>
      </c>
      <c r="B133" s="17" t="s">
        <v>192</v>
      </c>
      <c r="C133" s="24"/>
      <c r="D133" s="25"/>
    </row>
    <row r="134" ht="15.75" customHeight="1">
      <c r="A134" s="23">
        <v>30702.0</v>
      </c>
      <c r="B134" s="17" t="s">
        <v>193</v>
      </c>
      <c r="C134" s="24">
        <v>0.851468664526103</v>
      </c>
      <c r="D134" s="25">
        <v>0.44238316089903684</v>
      </c>
    </row>
    <row r="135" ht="15.75" customHeight="1">
      <c r="A135" s="23">
        <v>30703.0</v>
      </c>
      <c r="B135" s="17" t="s">
        <v>194</v>
      </c>
      <c r="C135" s="24"/>
      <c r="D135" s="25"/>
    </row>
    <row r="136" ht="15.75" customHeight="1">
      <c r="A136" s="23">
        <v>30801.0</v>
      </c>
      <c r="B136" s="17" t="s">
        <v>195</v>
      </c>
      <c r="C136" s="24"/>
      <c r="D136" s="25"/>
    </row>
    <row r="137" ht="15.75" customHeight="1">
      <c r="A137" s="23">
        <v>30802.0</v>
      </c>
      <c r="B137" s="17" t="s">
        <v>196</v>
      </c>
      <c r="C137" s="24"/>
      <c r="D137" s="25"/>
    </row>
    <row r="138" ht="15.75" customHeight="1">
      <c r="A138" s="23">
        <v>30803.0</v>
      </c>
      <c r="B138" s="17" t="s">
        <v>197</v>
      </c>
      <c r="C138" s="24"/>
      <c r="D138" s="25"/>
    </row>
    <row r="139" ht="15.75" customHeight="1">
      <c r="A139" s="23">
        <v>30901.0</v>
      </c>
      <c r="B139" s="17" t="s">
        <v>198</v>
      </c>
      <c r="C139" s="24">
        <v>0.8849916778305525</v>
      </c>
      <c r="D139" s="25">
        <v>6.891162262006252</v>
      </c>
    </row>
    <row r="140" ht="15.75" customHeight="1">
      <c r="A140" s="23">
        <v>30902.0</v>
      </c>
      <c r="B140" s="17" t="s">
        <v>199</v>
      </c>
      <c r="C140" s="24">
        <v>0.5904416212946159</v>
      </c>
      <c r="D140" s="25">
        <v>4.0677555958862675</v>
      </c>
    </row>
    <row r="141" ht="15.75" customHeight="1">
      <c r="A141" s="23">
        <v>30903.0</v>
      </c>
      <c r="B141" s="17" t="s">
        <v>200</v>
      </c>
      <c r="C141" s="24">
        <v>1.086229946524064</v>
      </c>
      <c r="D141" s="25">
        <v>12.650401069518717</v>
      </c>
    </row>
    <row r="142" ht="15.75" customHeight="1">
      <c r="A142" s="23">
        <v>30904.0</v>
      </c>
      <c r="B142" s="17" t="s">
        <v>201</v>
      </c>
      <c r="C142" s="24">
        <v>0.7998234872304045</v>
      </c>
      <c r="D142" s="25">
        <v>5.694375494143822</v>
      </c>
    </row>
    <row r="143" ht="15.75" customHeight="1">
      <c r="A143" s="23">
        <v>30905.0</v>
      </c>
      <c r="B143" s="17" t="s">
        <v>202</v>
      </c>
      <c r="C143" s="24"/>
      <c r="D143" s="25"/>
    </row>
    <row r="144" ht="15.75" customHeight="1">
      <c r="A144" s="23">
        <v>31001.0</v>
      </c>
      <c r="B144" s="17" t="s">
        <v>203</v>
      </c>
      <c r="C144" s="24">
        <v>1.371290035418679</v>
      </c>
      <c r="D144" s="25">
        <v>4.905581756539197</v>
      </c>
    </row>
    <row r="145" ht="15.75" customHeight="1">
      <c r="A145" s="23">
        <v>31002.0</v>
      </c>
      <c r="B145" s="17" t="s">
        <v>204</v>
      </c>
      <c r="C145" s="24">
        <v>0.8940641818135034</v>
      </c>
      <c r="D145" s="25">
        <v>1.719841415934809</v>
      </c>
    </row>
    <row r="146" ht="15.75" customHeight="1">
      <c r="A146" s="23">
        <v>31003.0</v>
      </c>
      <c r="B146" s="17" t="s">
        <v>205</v>
      </c>
      <c r="C146" s="24">
        <v>0.9246326701731657</v>
      </c>
      <c r="D146" s="25">
        <v>1.076207100354194</v>
      </c>
    </row>
    <row r="147" ht="15.75" customHeight="1">
      <c r="A147" s="23">
        <v>31101.0</v>
      </c>
      <c r="B147" s="17" t="s">
        <v>206</v>
      </c>
      <c r="C147" s="24"/>
      <c r="D147" s="25"/>
    </row>
    <row r="148" ht="15.75" customHeight="1">
      <c r="A148" s="23">
        <v>31201.0</v>
      </c>
      <c r="B148" s="17" t="s">
        <v>207</v>
      </c>
      <c r="C148" s="24">
        <v>0.41614125264041396</v>
      </c>
      <c r="D148" s="25">
        <v>0.3532383518212351</v>
      </c>
    </row>
    <row r="149" ht="15.75" customHeight="1">
      <c r="A149" s="23">
        <v>31202.0</v>
      </c>
      <c r="B149" s="17" t="s">
        <v>208</v>
      </c>
      <c r="C149" s="24">
        <v>0.2837879941214699</v>
      </c>
      <c r="D149" s="25">
        <v>0.19989677150720106</v>
      </c>
    </row>
    <row r="150" ht="15.75" customHeight="1">
      <c r="A150" s="23">
        <v>31203.0</v>
      </c>
      <c r="B150" s="17" t="s">
        <v>209</v>
      </c>
      <c r="C150" s="24">
        <v>0.6927548889423606</v>
      </c>
      <c r="D150" s="25">
        <v>1.228659614350602</v>
      </c>
    </row>
    <row r="151" ht="15.75" customHeight="1">
      <c r="A151" s="23">
        <v>31204.0</v>
      </c>
      <c r="B151" s="17" t="s">
        <v>210</v>
      </c>
      <c r="C151" s="24">
        <v>1.517472399288673</v>
      </c>
      <c r="D151" s="25">
        <v>1.287016834554487</v>
      </c>
    </row>
    <row r="152" ht="15.75" customHeight="1">
      <c r="A152" s="23">
        <v>31205.0</v>
      </c>
      <c r="B152" s="17" t="s">
        <v>211</v>
      </c>
      <c r="C152" s="24">
        <v>1.8304131569971307</v>
      </c>
      <c r="D152" s="25">
        <v>1.7950399182744472</v>
      </c>
    </row>
    <row r="153" ht="15.75" customHeight="1">
      <c r="A153" s="23">
        <v>31206.0</v>
      </c>
      <c r="B153" s="17" t="s">
        <v>212</v>
      </c>
      <c r="C153" s="24">
        <v>1.1792738707983055</v>
      </c>
      <c r="D153" s="25">
        <v>1.205720165667147</v>
      </c>
    </row>
    <row r="154" ht="15.75" customHeight="1">
      <c r="A154" s="23">
        <v>31301.0</v>
      </c>
      <c r="B154" s="17" t="s">
        <v>213</v>
      </c>
      <c r="C154" s="24">
        <v>0.5394718540743537</v>
      </c>
      <c r="D154" s="25">
        <v>0.15448963776899077</v>
      </c>
    </row>
    <row r="155" ht="15.75" customHeight="1">
      <c r="A155" s="23">
        <v>31302.0</v>
      </c>
      <c r="B155" s="17" t="s">
        <v>214</v>
      </c>
      <c r="C155" s="24">
        <v>0.7493030103686997</v>
      </c>
      <c r="D155" s="25">
        <v>0.25937411897378065</v>
      </c>
    </row>
    <row r="156" ht="15.75" customHeight="1">
      <c r="A156" s="23">
        <v>31303.0</v>
      </c>
      <c r="B156" s="17" t="s">
        <v>215</v>
      </c>
      <c r="C156" s="24"/>
      <c r="D156" s="25"/>
    </row>
    <row r="157" ht="15.75" customHeight="1">
      <c r="A157" s="23">
        <v>31304.0</v>
      </c>
      <c r="B157" s="17" t="s">
        <v>216</v>
      </c>
      <c r="C157" s="24">
        <v>0.365546980996742</v>
      </c>
      <c r="D157" s="25">
        <v>0.0809446033570406</v>
      </c>
    </row>
    <row r="158" ht="15.75" customHeight="1">
      <c r="A158" s="23">
        <v>31401.0</v>
      </c>
      <c r="B158" s="17" t="s">
        <v>217</v>
      </c>
      <c r="C158" s="24"/>
      <c r="D158" s="25"/>
    </row>
    <row r="159" ht="15.75" customHeight="1">
      <c r="A159" s="23">
        <v>31402.0</v>
      </c>
      <c r="B159" s="17" t="s">
        <v>218</v>
      </c>
      <c r="C159" s="24"/>
      <c r="D159" s="25"/>
    </row>
    <row r="160" ht="15.75" customHeight="1">
      <c r="A160" s="23">
        <v>31403.0</v>
      </c>
      <c r="B160" s="17" t="s">
        <v>219</v>
      </c>
      <c r="C160" s="24"/>
      <c r="D160" s="25"/>
    </row>
    <row r="161" ht="15.75" customHeight="1">
      <c r="A161" s="23">
        <v>31404.0</v>
      </c>
      <c r="B161" s="17" t="s">
        <v>220</v>
      </c>
      <c r="C161" s="24"/>
      <c r="D161" s="25"/>
    </row>
    <row r="162" ht="15.75" customHeight="1">
      <c r="A162" s="23">
        <v>31405.0</v>
      </c>
      <c r="B162" s="17" t="s">
        <v>221</v>
      </c>
      <c r="C162" s="24"/>
      <c r="D162" s="25"/>
    </row>
    <row r="163" ht="15.75" customHeight="1">
      <c r="A163" s="23">
        <v>31501.0</v>
      </c>
      <c r="B163" s="17" t="s">
        <v>222</v>
      </c>
      <c r="C163" s="24"/>
      <c r="D163" s="25"/>
    </row>
    <row r="164" ht="15.75" customHeight="1">
      <c r="A164" s="23">
        <v>31601.0</v>
      </c>
      <c r="B164" s="17" t="s">
        <v>223</v>
      </c>
      <c r="C164" s="24">
        <v>0.3422768518360885</v>
      </c>
      <c r="D164" s="25">
        <v>0.32230148056089936</v>
      </c>
    </row>
    <row r="165" ht="15.75" customHeight="1">
      <c r="A165" s="23">
        <v>31602.0</v>
      </c>
      <c r="B165" s="17" t="s">
        <v>224</v>
      </c>
      <c r="C165" s="24">
        <v>1.288364535095936</v>
      </c>
      <c r="D165" s="25">
        <v>1.4726286440536347</v>
      </c>
    </row>
    <row r="166" ht="15.75" customHeight="1">
      <c r="A166" s="23">
        <v>40101.0</v>
      </c>
      <c r="B166" s="17" t="s">
        <v>225</v>
      </c>
      <c r="C166" s="24"/>
      <c r="D166" s="25"/>
    </row>
    <row r="167" ht="15.75" customHeight="1">
      <c r="A167" s="23">
        <v>40102.0</v>
      </c>
      <c r="B167" s="17" t="s">
        <v>226</v>
      </c>
      <c r="C167" s="24"/>
      <c r="D167" s="25"/>
    </row>
    <row r="168" ht="15.75" customHeight="1">
      <c r="A168" s="23">
        <v>40103.0</v>
      </c>
      <c r="B168" s="17" t="s">
        <v>227</v>
      </c>
      <c r="C168" s="24"/>
      <c r="D168" s="25"/>
    </row>
    <row r="169" ht="15.75" customHeight="1">
      <c r="A169" s="23">
        <v>40104.0</v>
      </c>
      <c r="B169" s="17" t="s">
        <v>228</v>
      </c>
      <c r="C169" s="24"/>
      <c r="D169" s="25"/>
    </row>
    <row r="170" ht="15.75" customHeight="1">
      <c r="A170" s="23">
        <v>40201.0</v>
      </c>
      <c r="B170" s="17" t="s">
        <v>229</v>
      </c>
      <c r="C170" s="24"/>
      <c r="D170" s="25"/>
    </row>
    <row r="171" ht="15.75" customHeight="1">
      <c r="A171" s="23">
        <v>40202.0</v>
      </c>
      <c r="B171" s="17" t="s">
        <v>230</v>
      </c>
      <c r="C171" s="24"/>
      <c r="D171" s="25"/>
    </row>
    <row r="172" ht="15.75" customHeight="1">
      <c r="A172" s="23">
        <v>40301.0</v>
      </c>
      <c r="B172" s="17" t="s">
        <v>231</v>
      </c>
      <c r="C172" s="24"/>
      <c r="D172" s="25"/>
    </row>
    <row r="173" ht="15.75" customHeight="1">
      <c r="A173" s="23">
        <v>40302.0</v>
      </c>
      <c r="B173" s="17" t="s">
        <v>232</v>
      </c>
      <c r="C173" s="24"/>
      <c r="D173" s="25"/>
    </row>
    <row r="174" ht="15.75" customHeight="1">
      <c r="A174" s="23">
        <v>40401.0</v>
      </c>
      <c r="B174" s="17" t="s">
        <v>233</v>
      </c>
      <c r="C174" s="24"/>
      <c r="D174" s="25"/>
    </row>
    <row r="175" ht="15.75" customHeight="1">
      <c r="A175" s="23">
        <v>40402.0</v>
      </c>
      <c r="B175" s="17" t="s">
        <v>234</v>
      </c>
      <c r="C175" s="24"/>
      <c r="D175" s="25"/>
    </row>
    <row r="176" ht="15.75" customHeight="1">
      <c r="A176" s="23">
        <v>40501.0</v>
      </c>
      <c r="B176" s="17" t="s">
        <v>235</v>
      </c>
      <c r="C176" s="24"/>
      <c r="D176" s="25"/>
    </row>
    <row r="177" ht="15.75" customHeight="1">
      <c r="A177" s="23">
        <v>40502.0</v>
      </c>
      <c r="B177" s="17" t="s">
        <v>236</v>
      </c>
      <c r="C177" s="24"/>
      <c r="D177" s="25"/>
    </row>
    <row r="178" ht="15.75" customHeight="1">
      <c r="A178" s="23">
        <v>40503.0</v>
      </c>
      <c r="B178" s="17" t="s">
        <v>237</v>
      </c>
      <c r="C178" s="24"/>
      <c r="D178" s="25"/>
    </row>
    <row r="179" ht="15.75" customHeight="1">
      <c r="A179" s="23">
        <v>40504.0</v>
      </c>
      <c r="B179" s="17" t="s">
        <v>238</v>
      </c>
      <c r="C179" s="24"/>
      <c r="D179" s="25"/>
    </row>
    <row r="180" ht="15.75" customHeight="1">
      <c r="A180" s="23">
        <v>40505.0</v>
      </c>
      <c r="B180" s="17" t="s">
        <v>239</v>
      </c>
      <c r="C180" s="24"/>
      <c r="D180" s="25"/>
    </row>
    <row r="181" ht="15.75" customHeight="1">
      <c r="A181" s="23">
        <v>40601.0</v>
      </c>
      <c r="B181" s="17" t="s">
        <v>240</v>
      </c>
      <c r="C181" s="24"/>
      <c r="D181" s="25"/>
    </row>
    <row r="182" ht="15.75" customHeight="1">
      <c r="A182" s="23">
        <v>40602.0</v>
      </c>
      <c r="B182" s="17" t="s">
        <v>241</v>
      </c>
      <c r="C182" s="24"/>
      <c r="D182" s="25"/>
    </row>
    <row r="183" ht="15.75" customHeight="1">
      <c r="A183" s="23">
        <v>40603.0</v>
      </c>
      <c r="B183" s="17" t="s">
        <v>242</v>
      </c>
      <c r="C183" s="24"/>
      <c r="D183" s="25"/>
    </row>
    <row r="184" ht="15.75" customHeight="1">
      <c r="A184" s="23">
        <v>40701.0</v>
      </c>
      <c r="B184" s="17" t="s">
        <v>243</v>
      </c>
      <c r="C184" s="24"/>
      <c r="D184" s="25"/>
    </row>
    <row r="185" ht="15.75" customHeight="1">
      <c r="A185" s="23">
        <v>40702.0</v>
      </c>
      <c r="B185" s="17" t="s">
        <v>244</v>
      </c>
      <c r="C185" s="24"/>
      <c r="D185" s="25"/>
    </row>
    <row r="186" ht="15.75" customHeight="1">
      <c r="A186" s="23">
        <v>40801.0</v>
      </c>
      <c r="B186" s="17" t="s">
        <v>245</v>
      </c>
      <c r="C186" s="24"/>
      <c r="D186" s="25"/>
    </row>
    <row r="187" ht="15.75" customHeight="1">
      <c r="A187" s="23">
        <v>40802.0</v>
      </c>
      <c r="B187" s="17" t="s">
        <v>246</v>
      </c>
      <c r="C187" s="24"/>
      <c r="D187" s="25"/>
    </row>
    <row r="188" ht="15.75" customHeight="1">
      <c r="A188" s="23">
        <v>40901.0</v>
      </c>
      <c r="B188" s="17" t="s">
        <v>247</v>
      </c>
      <c r="C188" s="24"/>
      <c r="D188" s="25"/>
    </row>
    <row r="189" ht="15.75" customHeight="1">
      <c r="A189" s="23">
        <v>40902.0</v>
      </c>
      <c r="B189" s="17" t="s">
        <v>248</v>
      </c>
      <c r="C189" s="24"/>
      <c r="D189" s="25"/>
    </row>
    <row r="190" ht="15.75" customHeight="1">
      <c r="A190" s="23">
        <v>40903.0</v>
      </c>
      <c r="B190" s="17" t="s">
        <v>249</v>
      </c>
      <c r="C190" s="24"/>
      <c r="D190" s="25"/>
    </row>
    <row r="191" ht="15.75" customHeight="1">
      <c r="A191" s="23">
        <v>41001.0</v>
      </c>
      <c r="B191" s="17" t="s">
        <v>250</v>
      </c>
      <c r="C191" s="24"/>
      <c r="D191" s="25"/>
    </row>
    <row r="192" ht="15.75" customHeight="1">
      <c r="A192" s="23">
        <v>41101.0</v>
      </c>
      <c r="B192" s="17" t="s">
        <v>251</v>
      </c>
      <c r="C192" s="24"/>
      <c r="D192" s="25"/>
    </row>
    <row r="193" ht="15.75" customHeight="1">
      <c r="A193" s="23">
        <v>41201.0</v>
      </c>
      <c r="B193" s="17" t="s">
        <v>252</v>
      </c>
      <c r="C193" s="24"/>
      <c r="D193" s="25"/>
    </row>
    <row r="194" ht="15.75" customHeight="1">
      <c r="A194" s="23">
        <v>41202.0</v>
      </c>
      <c r="B194" s="17" t="s">
        <v>253</v>
      </c>
      <c r="C194" s="24"/>
      <c r="D194" s="25"/>
    </row>
    <row r="195" ht="15.75" customHeight="1">
      <c r="A195" s="23">
        <v>41301.0</v>
      </c>
      <c r="B195" s="17" t="s">
        <v>207</v>
      </c>
      <c r="C195" s="24"/>
      <c r="D195" s="25"/>
    </row>
    <row r="196" ht="15.75" customHeight="1">
      <c r="A196" s="23">
        <v>41401.0</v>
      </c>
      <c r="B196" s="17" t="s">
        <v>254</v>
      </c>
      <c r="C196" s="24"/>
      <c r="D196" s="25"/>
    </row>
    <row r="197" ht="15.75" customHeight="1">
      <c r="A197" s="23">
        <v>41501.0</v>
      </c>
      <c r="B197" s="17" t="s">
        <v>255</v>
      </c>
      <c r="C197" s="24"/>
      <c r="D197" s="25"/>
    </row>
    <row r="198" ht="15.75" customHeight="1">
      <c r="A198" s="23">
        <v>41502.0</v>
      </c>
      <c r="B198" s="17" t="s">
        <v>256</v>
      </c>
      <c r="C198" s="24"/>
      <c r="D198" s="25"/>
    </row>
    <row r="199" ht="15.75" customHeight="1">
      <c r="A199" s="23">
        <v>41503.0</v>
      </c>
      <c r="B199" s="17" t="s">
        <v>257</v>
      </c>
      <c r="C199" s="24"/>
      <c r="D199" s="25"/>
    </row>
    <row r="200" ht="15.75" customHeight="1">
      <c r="A200" s="23">
        <v>41601.0</v>
      </c>
      <c r="B200" s="17" t="s">
        <v>258</v>
      </c>
      <c r="C200" s="24"/>
      <c r="D200" s="25"/>
    </row>
    <row r="201" ht="15.75" customHeight="1">
      <c r="A201" s="23">
        <v>50101.0</v>
      </c>
      <c r="B201" s="17" t="s">
        <v>259</v>
      </c>
      <c r="C201" s="24"/>
      <c r="D201" s="25"/>
    </row>
    <row r="202" ht="15.75" customHeight="1">
      <c r="A202" s="23">
        <v>50102.0</v>
      </c>
      <c r="B202" s="17" t="s">
        <v>260</v>
      </c>
      <c r="C202" s="24"/>
      <c r="D202" s="25"/>
    </row>
    <row r="203" ht="15.75" customHeight="1">
      <c r="A203" s="23">
        <v>50103.0</v>
      </c>
      <c r="B203" s="17" t="s">
        <v>261</v>
      </c>
      <c r="C203" s="24"/>
      <c r="D203" s="25"/>
    </row>
    <row r="204" ht="15.75" customHeight="1">
      <c r="A204" s="23">
        <v>50104.0</v>
      </c>
      <c r="B204" s="17" t="s">
        <v>262</v>
      </c>
      <c r="C204" s="24"/>
      <c r="D204" s="25"/>
    </row>
    <row r="205" ht="15.75" customHeight="1">
      <c r="A205" s="23">
        <v>50201.0</v>
      </c>
      <c r="B205" s="17" t="s">
        <v>263</v>
      </c>
      <c r="C205" s="24"/>
      <c r="D205" s="25"/>
    </row>
    <row r="206" ht="15.75" customHeight="1">
      <c r="A206" s="23">
        <v>50202.0</v>
      </c>
      <c r="B206" s="17" t="s">
        <v>264</v>
      </c>
      <c r="C206" s="24"/>
      <c r="D206" s="25"/>
    </row>
    <row r="207" ht="15.75" customHeight="1">
      <c r="A207" s="23">
        <v>50203.0</v>
      </c>
      <c r="B207" s="17" t="s">
        <v>265</v>
      </c>
      <c r="C207" s="24"/>
      <c r="D207" s="25"/>
    </row>
    <row r="208" ht="15.75" customHeight="1">
      <c r="A208" s="23">
        <v>50204.0</v>
      </c>
      <c r="B208" s="17" t="s">
        <v>266</v>
      </c>
      <c r="C208" s="24"/>
      <c r="D208" s="25"/>
    </row>
    <row r="209" ht="15.75" customHeight="1">
      <c r="A209" s="23">
        <v>50301.0</v>
      </c>
      <c r="B209" s="17" t="s">
        <v>267</v>
      </c>
      <c r="C209" s="24">
        <v>0.7408586180069312</v>
      </c>
      <c r="D209" s="25">
        <v>4.652026310205813</v>
      </c>
    </row>
    <row r="210" ht="15.75" customHeight="1">
      <c r="A210" s="23">
        <v>50302.0</v>
      </c>
      <c r="B210" s="17" t="s">
        <v>268</v>
      </c>
      <c r="C210" s="24"/>
      <c r="D210" s="25"/>
    </row>
    <row r="211" ht="15.75" customHeight="1">
      <c r="A211" s="23">
        <v>50303.0</v>
      </c>
      <c r="B211" s="17" t="s">
        <v>269</v>
      </c>
      <c r="C211" s="24"/>
      <c r="D211" s="25"/>
    </row>
    <row r="212" ht="15.75" customHeight="1">
      <c r="A212" s="23">
        <v>50401.0</v>
      </c>
      <c r="B212" s="17" t="s">
        <v>270</v>
      </c>
      <c r="C212" s="24">
        <v>0.8697997437799204</v>
      </c>
      <c r="D212" s="25">
        <v>0.1415953071269638</v>
      </c>
    </row>
    <row r="213" ht="15.75" customHeight="1">
      <c r="A213" s="23">
        <v>50402.0</v>
      </c>
      <c r="B213" s="17" t="s">
        <v>271</v>
      </c>
      <c r="C213" s="24">
        <v>0.6680279311301015</v>
      </c>
      <c r="D213" s="25">
        <v>0.583579117194787</v>
      </c>
    </row>
    <row r="214" ht="15.75" customHeight="1">
      <c r="A214" s="23">
        <v>50403.0</v>
      </c>
      <c r="B214" s="17" t="s">
        <v>272</v>
      </c>
      <c r="C214" s="24"/>
      <c r="D214" s="25"/>
    </row>
    <row r="215" ht="15.75" customHeight="1">
      <c r="A215" s="23">
        <v>50404.0</v>
      </c>
      <c r="B215" s="17" t="s">
        <v>273</v>
      </c>
      <c r="C215" s="24"/>
      <c r="D215" s="25"/>
    </row>
    <row r="216" ht="15.75" customHeight="1">
      <c r="A216" s="23">
        <v>50405.0</v>
      </c>
      <c r="B216" s="17" t="s">
        <v>274</v>
      </c>
      <c r="C216" s="24"/>
      <c r="D216" s="25"/>
    </row>
    <row r="217" ht="15.75" customHeight="1">
      <c r="A217" s="23">
        <v>50501.0</v>
      </c>
      <c r="B217" s="17" t="s">
        <v>275</v>
      </c>
      <c r="C217" s="24">
        <v>0.8124128062102319</v>
      </c>
      <c r="D217" s="25">
        <v>0.294813719367012</v>
      </c>
    </row>
    <row r="218" ht="15.75" customHeight="1">
      <c r="A218" s="23">
        <v>50502.0</v>
      </c>
      <c r="B218" s="17" t="s">
        <v>276</v>
      </c>
      <c r="C218" s="24">
        <v>0.4267691849561771</v>
      </c>
      <c r="D218" s="25">
        <v>0.15106725755210818</v>
      </c>
    </row>
    <row r="219" ht="15.75" customHeight="1">
      <c r="A219" s="23">
        <v>50601.0</v>
      </c>
      <c r="B219" s="17" t="s">
        <v>277</v>
      </c>
      <c r="C219" s="24"/>
      <c r="D219" s="25"/>
    </row>
    <row r="220" ht="15.75" customHeight="1">
      <c r="A220" s="23">
        <v>50602.0</v>
      </c>
      <c r="B220" s="17" t="s">
        <v>278</v>
      </c>
      <c r="C220" s="24"/>
      <c r="D220" s="25"/>
    </row>
    <row r="221" ht="15.75" customHeight="1">
      <c r="A221" s="23">
        <v>50701.0</v>
      </c>
      <c r="B221" s="17" t="s">
        <v>279</v>
      </c>
      <c r="C221" s="24"/>
      <c r="D221" s="25"/>
    </row>
    <row r="222" ht="15.75" customHeight="1">
      <c r="A222" s="23">
        <v>50702.0</v>
      </c>
      <c r="B222" s="17" t="s">
        <v>280</v>
      </c>
      <c r="C222" s="24"/>
      <c r="D222" s="25"/>
    </row>
    <row r="223" ht="15.75" customHeight="1">
      <c r="A223" s="23">
        <v>50801.0</v>
      </c>
      <c r="B223" s="17" t="s">
        <v>281</v>
      </c>
      <c r="C223" s="24"/>
      <c r="D223" s="25"/>
    </row>
    <row r="224" ht="15.75" customHeight="1">
      <c r="A224" s="23">
        <v>50802.0</v>
      </c>
      <c r="B224" s="17" t="s">
        <v>282</v>
      </c>
      <c r="C224" s="24"/>
      <c r="D224" s="25"/>
    </row>
    <row r="225" ht="15.75" customHeight="1">
      <c r="A225" s="23">
        <v>50901.0</v>
      </c>
      <c r="B225" s="17" t="s">
        <v>283</v>
      </c>
      <c r="C225" s="24"/>
      <c r="D225" s="25"/>
    </row>
    <row r="226" ht="15.75" customHeight="1">
      <c r="A226" s="23">
        <v>50902.0</v>
      </c>
      <c r="B226" s="17" t="s">
        <v>284</v>
      </c>
      <c r="C226" s="24"/>
      <c r="D226" s="25"/>
    </row>
    <row r="227" ht="15.75" customHeight="1">
      <c r="A227" s="23">
        <v>51001.0</v>
      </c>
      <c r="B227" s="17" t="s">
        <v>285</v>
      </c>
      <c r="C227" s="24"/>
      <c r="D227" s="25"/>
    </row>
    <row r="228" ht="15.75" customHeight="1">
      <c r="A228" s="23">
        <v>51002.0</v>
      </c>
      <c r="B228" s="17" t="s">
        <v>286</v>
      </c>
      <c r="C228" s="24"/>
      <c r="D228" s="25"/>
    </row>
    <row r="229" ht="15.75" customHeight="1">
      <c r="A229" s="23">
        <v>51003.0</v>
      </c>
      <c r="B229" s="17" t="s">
        <v>287</v>
      </c>
      <c r="C229" s="24"/>
      <c r="D229" s="25"/>
    </row>
    <row r="230" ht="15.75" customHeight="1">
      <c r="A230" s="23">
        <v>51101.0</v>
      </c>
      <c r="B230" s="17" t="s">
        <v>288</v>
      </c>
      <c r="C230" s="24"/>
      <c r="D230" s="25"/>
    </row>
    <row r="231" ht="15.75" customHeight="1">
      <c r="A231" s="23">
        <v>51102.0</v>
      </c>
      <c r="B231" s="17" t="s">
        <v>289</v>
      </c>
      <c r="C231" s="24"/>
      <c r="D231" s="25"/>
    </row>
    <row r="232" ht="15.75" customHeight="1">
      <c r="A232" s="23">
        <v>51103.0</v>
      </c>
      <c r="B232" s="17" t="s">
        <v>290</v>
      </c>
      <c r="C232" s="24"/>
      <c r="D232" s="25"/>
    </row>
    <row r="233" ht="15.75" customHeight="1">
      <c r="A233" s="23">
        <v>51201.0</v>
      </c>
      <c r="B233" s="17" t="s">
        <v>291</v>
      </c>
      <c r="C233" s="24"/>
      <c r="D233" s="25"/>
    </row>
    <row r="234" ht="15.75" customHeight="1">
      <c r="A234" s="23">
        <v>51202.0</v>
      </c>
      <c r="B234" s="17" t="s">
        <v>292</v>
      </c>
      <c r="C234" s="24"/>
      <c r="D234" s="25"/>
    </row>
    <row r="235" ht="15.75" customHeight="1">
      <c r="A235" s="23">
        <v>51203.0</v>
      </c>
      <c r="B235" s="17" t="s">
        <v>293</v>
      </c>
      <c r="C235" s="24"/>
      <c r="D235" s="25"/>
    </row>
    <row r="236" ht="15.75" customHeight="1">
      <c r="A236" s="23">
        <v>51204.0</v>
      </c>
      <c r="B236" s="17" t="s">
        <v>294</v>
      </c>
      <c r="C236" s="24"/>
      <c r="D236" s="25"/>
    </row>
    <row r="237" ht="15.75" customHeight="1">
      <c r="A237" s="23">
        <v>51301.0</v>
      </c>
      <c r="B237" s="17" t="s">
        <v>295</v>
      </c>
      <c r="C237" s="24"/>
      <c r="D237" s="25"/>
    </row>
    <row r="238" ht="15.75" customHeight="1">
      <c r="A238" s="23">
        <v>51302.0</v>
      </c>
      <c r="B238" s="17" t="s">
        <v>296</v>
      </c>
      <c r="C238" s="24"/>
      <c r="D238" s="25"/>
    </row>
    <row r="239" ht="15.75" customHeight="1">
      <c r="A239" s="23">
        <v>51401.0</v>
      </c>
      <c r="B239" s="17" t="s">
        <v>297</v>
      </c>
      <c r="C239" s="24"/>
      <c r="D239" s="25"/>
    </row>
    <row r="240" ht="15.75" customHeight="1">
      <c r="A240" s="23">
        <v>51402.0</v>
      </c>
      <c r="B240" s="17" t="s">
        <v>298</v>
      </c>
      <c r="C240" s="24"/>
      <c r="D240" s="25"/>
    </row>
    <row r="241" ht="15.75" customHeight="1">
      <c r="A241" s="23">
        <v>51501.0</v>
      </c>
      <c r="B241" s="17" t="s">
        <v>299</v>
      </c>
      <c r="C241" s="24"/>
      <c r="D241" s="25"/>
    </row>
    <row r="242" ht="15.75" customHeight="1">
      <c r="A242" s="23">
        <v>51601.0</v>
      </c>
      <c r="B242" s="17" t="s">
        <v>300</v>
      </c>
      <c r="C242" s="24"/>
      <c r="D242" s="25"/>
    </row>
    <row r="243" ht="15.75" customHeight="1">
      <c r="A243" s="23">
        <v>60101.0</v>
      </c>
      <c r="B243" s="17" t="s">
        <v>301</v>
      </c>
      <c r="C243" s="24">
        <v>0.33376357544230184</v>
      </c>
      <c r="D243" s="25">
        <v>0.5087007619569124</v>
      </c>
    </row>
    <row r="244" ht="15.75" customHeight="1">
      <c r="A244" s="23">
        <v>60201.0</v>
      </c>
      <c r="B244" s="17" t="s">
        <v>302</v>
      </c>
      <c r="C244" s="24">
        <v>0.23327497157082985</v>
      </c>
      <c r="D244" s="25">
        <v>0.2920171180012527</v>
      </c>
    </row>
    <row r="245" ht="15.75" customHeight="1">
      <c r="A245" s="23">
        <v>60202.0</v>
      </c>
      <c r="B245" s="17" t="s">
        <v>303</v>
      </c>
      <c r="C245" s="24">
        <v>0.8627470031137082</v>
      </c>
      <c r="D245" s="25">
        <v>1.4751944332634719</v>
      </c>
    </row>
    <row r="246" ht="15.75" customHeight="1">
      <c r="A246" s="23">
        <v>60301.0</v>
      </c>
      <c r="B246" s="17" t="s">
        <v>304</v>
      </c>
      <c r="C246" s="24">
        <v>1.4215046629068524</v>
      </c>
      <c r="D246" s="25">
        <v>2.71413370685736</v>
      </c>
    </row>
    <row r="247" ht="15.75" customHeight="1">
      <c r="A247" s="23">
        <v>60302.0</v>
      </c>
      <c r="B247" s="17" t="s">
        <v>305</v>
      </c>
      <c r="C247" s="24">
        <v>0.4594446317611075</v>
      </c>
      <c r="D247" s="25">
        <v>0.5472486349639494</v>
      </c>
    </row>
    <row r="248" ht="15.75" customHeight="1">
      <c r="A248" s="23">
        <v>60303.0</v>
      </c>
      <c r="B248" s="17" t="s">
        <v>306</v>
      </c>
      <c r="C248" s="24">
        <v>0.33298910265166254</v>
      </c>
      <c r="D248" s="25">
        <v>1.1529632842642445</v>
      </c>
    </row>
    <row r="249" ht="15.75" customHeight="1">
      <c r="A249" s="23">
        <v>60401.0</v>
      </c>
      <c r="B249" s="17" t="s">
        <v>307</v>
      </c>
      <c r="C249" s="24">
        <v>0.8481811432813661</v>
      </c>
      <c r="D249" s="25">
        <v>1.2444320712694876</v>
      </c>
    </row>
    <row r="250" ht="15.75" customHeight="1">
      <c r="A250" s="23">
        <v>60402.0</v>
      </c>
      <c r="B250" s="17" t="s">
        <v>308</v>
      </c>
      <c r="C250" s="24"/>
      <c r="D250" s="25"/>
    </row>
    <row r="251" ht="15.75" customHeight="1">
      <c r="A251" s="23">
        <v>60501.0</v>
      </c>
      <c r="B251" s="17" t="s">
        <v>309</v>
      </c>
      <c r="C251" s="24">
        <v>0.3850336853246122</v>
      </c>
      <c r="D251" s="25">
        <v>0.3762736054695684</v>
      </c>
    </row>
    <row r="252" ht="15.75" customHeight="1">
      <c r="A252" s="23">
        <v>60502.0</v>
      </c>
      <c r="B252" s="17" t="s">
        <v>310</v>
      </c>
      <c r="C252" s="24"/>
      <c r="D252" s="25"/>
    </row>
    <row r="253" ht="15.75" customHeight="1">
      <c r="A253" s="23">
        <v>60601.0</v>
      </c>
      <c r="B253" s="17" t="s">
        <v>212</v>
      </c>
      <c r="C253" s="24">
        <v>0.1223614607520615</v>
      </c>
      <c r="D253" s="25">
        <v>0.6088156075059274</v>
      </c>
    </row>
    <row r="254" ht="15.75" customHeight="1">
      <c r="A254" s="23">
        <v>70101.0</v>
      </c>
      <c r="B254" s="17" t="s">
        <v>312</v>
      </c>
      <c r="C254" s="24">
        <v>7.740124788346901</v>
      </c>
      <c r="D254" s="25">
        <v>3.9092359355389066</v>
      </c>
    </row>
    <row r="255" ht="15.75" customHeight="1">
      <c r="A255" s="23">
        <v>70102.0</v>
      </c>
      <c r="B255" s="17" t="s">
        <v>313</v>
      </c>
      <c r="C255" s="24">
        <v>6.141882650471824</v>
      </c>
      <c r="D255" s="25">
        <v>4.713937944619831</v>
      </c>
    </row>
    <row r="256" ht="15.75" customHeight="1">
      <c r="A256" s="23">
        <v>70103.0</v>
      </c>
      <c r="B256" s="17" t="s">
        <v>314</v>
      </c>
      <c r="C256" s="24">
        <v>2.98982257383017</v>
      </c>
      <c r="D256" s="25">
        <v>1.8440799071986715</v>
      </c>
    </row>
    <row r="257" ht="15.75" customHeight="1">
      <c r="A257" s="23">
        <v>70104.0</v>
      </c>
      <c r="B257" s="17" t="s">
        <v>315</v>
      </c>
      <c r="C257" s="24">
        <v>4.0221744717266095</v>
      </c>
      <c r="D257" s="25">
        <v>2.8553052678454067</v>
      </c>
    </row>
    <row r="258" ht="15.75" customHeight="1">
      <c r="A258" s="23">
        <v>70105.0</v>
      </c>
      <c r="B258" s="17" t="s">
        <v>316</v>
      </c>
      <c r="C258" s="24">
        <v>1.909856402402969</v>
      </c>
      <c r="D258" s="25">
        <v>1.5428091103224386</v>
      </c>
    </row>
    <row r="259" ht="15.75" customHeight="1">
      <c r="A259" s="23">
        <v>70201.0</v>
      </c>
      <c r="B259" s="17" t="s">
        <v>317</v>
      </c>
      <c r="C259" s="24">
        <v>5.3364975357018025</v>
      </c>
      <c r="D259" s="25">
        <v>2.85764935888109</v>
      </c>
    </row>
    <row r="260" ht="15.75" customHeight="1">
      <c r="A260" s="23">
        <v>70202.0</v>
      </c>
      <c r="B260" s="17" t="s">
        <v>318</v>
      </c>
      <c r="C260" s="24">
        <v>8.04418926168957</v>
      </c>
      <c r="D260" s="25">
        <v>4.180079237340597</v>
      </c>
    </row>
    <row r="261" ht="15.75" customHeight="1">
      <c r="A261" s="23">
        <v>70301.0</v>
      </c>
      <c r="B261" s="17" t="s">
        <v>319</v>
      </c>
      <c r="C261" s="24">
        <v>0.5192902873579777</v>
      </c>
      <c r="D261" s="25">
        <v>1.3168248471357618</v>
      </c>
    </row>
    <row r="262" ht="15.75" customHeight="1">
      <c r="A262" s="23">
        <v>70302.0</v>
      </c>
      <c r="B262" s="17" t="s">
        <v>320</v>
      </c>
      <c r="C262" s="24">
        <v>0.4304899180676702</v>
      </c>
      <c r="D262" s="25">
        <v>1.945160242506187</v>
      </c>
    </row>
    <row r="263" ht="15.75" customHeight="1">
      <c r="A263" s="23">
        <v>70303.0</v>
      </c>
      <c r="B263" s="17" t="s">
        <v>321</v>
      </c>
      <c r="C263" s="24">
        <v>0.28319812790642696</v>
      </c>
      <c r="D263" s="25">
        <v>1.409253448000897</v>
      </c>
    </row>
    <row r="264" ht="15.75" customHeight="1">
      <c r="A264" s="23">
        <v>70401.0</v>
      </c>
      <c r="B264" s="17" t="s">
        <v>322</v>
      </c>
      <c r="C264" s="24">
        <v>0.9411292239680468</v>
      </c>
      <c r="D264" s="25">
        <v>0.8275398188321896</v>
      </c>
    </row>
    <row r="265" ht="15.75" customHeight="1">
      <c r="A265" s="23">
        <v>70402.0</v>
      </c>
      <c r="B265" s="17" t="s">
        <v>323</v>
      </c>
      <c r="C265" s="24">
        <v>3.005984653461249</v>
      </c>
      <c r="D265" s="25">
        <v>2.9456966506358526</v>
      </c>
    </row>
    <row r="266" ht="15.75" customHeight="1">
      <c r="A266" s="23">
        <v>70403.0</v>
      </c>
      <c r="B266" s="17" t="s">
        <v>324</v>
      </c>
      <c r="C266" s="24">
        <v>2.122175046497831</v>
      </c>
      <c r="D266" s="25">
        <v>1.327974636695104</v>
      </c>
    </row>
    <row r="267" ht="15.75" customHeight="1">
      <c r="A267" s="23">
        <v>70404.0</v>
      </c>
      <c r="B267" s="17" t="s">
        <v>325</v>
      </c>
      <c r="C267" s="24">
        <v>3.1512712698673853</v>
      </c>
      <c r="D267" s="25">
        <v>2.715332824483756</v>
      </c>
    </row>
    <row r="268" ht="15.75" customHeight="1">
      <c r="A268" s="23">
        <v>70501.0</v>
      </c>
      <c r="B268" s="17" t="s">
        <v>326</v>
      </c>
      <c r="C268" s="24">
        <v>0.524127262458155</v>
      </c>
      <c r="D268" s="25">
        <v>1.9457027414117416</v>
      </c>
    </row>
    <row r="269" ht="15.75" customHeight="1">
      <c r="A269" s="23">
        <v>70502.0</v>
      </c>
      <c r="B269" s="17" t="s">
        <v>327</v>
      </c>
      <c r="C269" s="24">
        <v>3.5160923719182455</v>
      </c>
      <c r="D269" s="25">
        <v>2.5464567289479643</v>
      </c>
    </row>
    <row r="270" ht="15.75" customHeight="1">
      <c r="A270" s="23">
        <v>70503.0</v>
      </c>
      <c r="B270" s="17" t="s">
        <v>328</v>
      </c>
      <c r="C270" s="24">
        <v>0.12441116245152924</v>
      </c>
      <c r="D270" s="25">
        <v>2.19064596338104</v>
      </c>
    </row>
    <row r="271" ht="15.75" customHeight="1">
      <c r="A271" s="23">
        <v>70601.0</v>
      </c>
      <c r="B271" s="17" t="s">
        <v>329</v>
      </c>
      <c r="C271" s="24">
        <v>4.420948405819249</v>
      </c>
      <c r="D271" s="25">
        <v>2.617118042124131</v>
      </c>
    </row>
    <row r="272" ht="15.75" customHeight="1">
      <c r="A272" s="23">
        <v>70602.0</v>
      </c>
      <c r="B272" s="17" t="s">
        <v>330</v>
      </c>
      <c r="C272" s="24">
        <v>4.25958983960129</v>
      </c>
      <c r="D272" s="25">
        <v>3.847865287356103</v>
      </c>
    </row>
    <row r="273" ht="15.75" customHeight="1">
      <c r="A273" s="23">
        <v>70603.0</v>
      </c>
      <c r="B273" s="17" t="s">
        <v>331</v>
      </c>
      <c r="C273" s="24">
        <v>2.488391385788879</v>
      </c>
      <c r="D273" s="25">
        <v>3.9358551335037557</v>
      </c>
    </row>
    <row r="274" ht="15.75" customHeight="1">
      <c r="A274" s="23">
        <v>70701.0</v>
      </c>
      <c r="B274" s="17" t="s">
        <v>332</v>
      </c>
      <c r="C274" s="24">
        <v>0.7199687768481718</v>
      </c>
      <c r="D274" s="25">
        <v>0.4312114147501628</v>
      </c>
    </row>
    <row r="275" ht="15.75" customHeight="1">
      <c r="A275" s="23">
        <v>70702.0</v>
      </c>
      <c r="B275" s="17" t="s">
        <v>333</v>
      </c>
      <c r="C275" s="24">
        <v>0.26657792716649475</v>
      </c>
      <c r="D275" s="25">
        <v>0.941064797849134</v>
      </c>
    </row>
    <row r="276" ht="15.75" customHeight="1">
      <c r="A276" s="23">
        <v>70703.0</v>
      </c>
      <c r="B276" s="17" t="s">
        <v>334</v>
      </c>
      <c r="C276" s="24">
        <v>1.8844258106398302</v>
      </c>
      <c r="D276" s="25">
        <v>1.6241692645257693</v>
      </c>
    </row>
    <row r="277" ht="15.75" customHeight="1">
      <c r="A277" s="23">
        <v>70704.0</v>
      </c>
      <c r="B277" s="17" t="s">
        <v>335</v>
      </c>
      <c r="C277" s="24">
        <v>0.31647440835799917</v>
      </c>
      <c r="D277" s="25">
        <v>0.3747600994742462</v>
      </c>
    </row>
    <row r="278" ht="15.75" customHeight="1">
      <c r="A278" s="23">
        <v>70705.0</v>
      </c>
      <c r="B278" s="17" t="s">
        <v>336</v>
      </c>
      <c r="C278" s="24">
        <v>0.9945818462707016</v>
      </c>
      <c r="D278" s="25">
        <v>0.7099983986659232</v>
      </c>
    </row>
    <row r="279" ht="15.75" customHeight="1">
      <c r="A279" s="23">
        <v>70706.0</v>
      </c>
      <c r="B279" s="17" t="s">
        <v>337</v>
      </c>
      <c r="C279" s="24">
        <v>0.6952804478440201</v>
      </c>
      <c r="D279" s="25">
        <v>0.6927424272668466</v>
      </c>
    </row>
    <row r="280" ht="15.75" customHeight="1">
      <c r="A280" s="23">
        <v>70707.0</v>
      </c>
      <c r="B280" s="17" t="s">
        <v>338</v>
      </c>
      <c r="C280" s="24">
        <v>0.11949118724470809</v>
      </c>
      <c r="D280" s="25">
        <v>1.2621473196106987</v>
      </c>
    </row>
    <row r="281" ht="15.75" customHeight="1">
      <c r="A281" s="23">
        <v>70801.0</v>
      </c>
      <c r="B281" s="17" t="s">
        <v>339</v>
      </c>
      <c r="C281" s="24">
        <v>0.4048396257136792</v>
      </c>
      <c r="D281" s="25">
        <v>0.5759559161045593</v>
      </c>
    </row>
    <row r="282" ht="15.75" customHeight="1">
      <c r="A282" s="23">
        <v>70802.0</v>
      </c>
      <c r="B282" s="17" t="s">
        <v>340</v>
      </c>
      <c r="C282" s="24">
        <v>0.5661655153731545</v>
      </c>
      <c r="D282" s="25">
        <v>0.6508810165860145</v>
      </c>
    </row>
    <row r="283" ht="15.75" customHeight="1">
      <c r="A283" s="23">
        <v>70803.0</v>
      </c>
      <c r="B283" s="17" t="s">
        <v>341</v>
      </c>
      <c r="C283" s="24">
        <v>0.8463904266621931</v>
      </c>
      <c r="D283" s="25">
        <v>0.7465563197822888</v>
      </c>
    </row>
    <row r="284" ht="15.75" customHeight="1">
      <c r="A284" s="23">
        <v>70804.0</v>
      </c>
      <c r="B284" s="17" t="s">
        <v>342</v>
      </c>
      <c r="C284" s="24">
        <v>0.33795509924685047</v>
      </c>
      <c r="D284" s="25">
        <v>0.47184249382627097</v>
      </c>
    </row>
    <row r="285" ht="15.75" customHeight="1">
      <c r="A285" s="23">
        <v>70805.0</v>
      </c>
      <c r="B285" s="17" t="s">
        <v>343</v>
      </c>
      <c r="C285" s="24">
        <v>0.6242778277057388</v>
      </c>
      <c r="D285" s="25">
        <v>0.7094005435015192</v>
      </c>
    </row>
    <row r="286" ht="15.75" customHeight="1">
      <c r="A286" s="23">
        <v>70901.0</v>
      </c>
      <c r="B286" s="17" t="s">
        <v>344</v>
      </c>
      <c r="C286" s="24">
        <v>0.27187565492749505</v>
      </c>
      <c r="D286" s="25">
        <v>0.301751114632767</v>
      </c>
    </row>
    <row r="287" ht="15.75" customHeight="1">
      <c r="A287" s="23">
        <v>70902.0</v>
      </c>
      <c r="B287" s="17" t="s">
        <v>345</v>
      </c>
      <c r="C287" s="24">
        <v>0.6582637537517239</v>
      </c>
      <c r="D287" s="25">
        <v>0.5981413031748686</v>
      </c>
    </row>
    <row r="288" ht="15.75" customHeight="1">
      <c r="A288" s="23">
        <v>70903.0</v>
      </c>
      <c r="B288" s="17" t="s">
        <v>346</v>
      </c>
      <c r="C288" s="24">
        <v>0.44380814699962295</v>
      </c>
      <c r="D288" s="25">
        <v>0.6059428255055231</v>
      </c>
    </row>
    <row r="289" ht="15.75" customHeight="1">
      <c r="A289" s="23">
        <v>70904.0</v>
      </c>
      <c r="B289" s="17" t="s">
        <v>347</v>
      </c>
      <c r="C289" s="24">
        <v>0.5830566836309725</v>
      </c>
      <c r="D289" s="25">
        <v>0.5822596136601852</v>
      </c>
    </row>
    <row r="290" ht="15.75" customHeight="1">
      <c r="A290" s="23">
        <v>71001.0</v>
      </c>
      <c r="B290" s="17" t="s">
        <v>348</v>
      </c>
      <c r="C290" s="24">
        <v>5.584366047443981</v>
      </c>
      <c r="D290" s="25">
        <v>2.84696353646759</v>
      </c>
    </row>
    <row r="291" ht="15.75" customHeight="1">
      <c r="A291" s="23">
        <v>71002.0</v>
      </c>
      <c r="B291" s="17" t="s">
        <v>349</v>
      </c>
      <c r="C291" s="24">
        <v>7.108407973200921</v>
      </c>
      <c r="D291" s="25">
        <v>4.647866131318652</v>
      </c>
    </row>
    <row r="292" ht="15.75" customHeight="1">
      <c r="A292" s="23">
        <v>71003.0</v>
      </c>
      <c r="B292" s="17" t="s">
        <v>350</v>
      </c>
      <c r="C292" s="24">
        <v>9.19515224032125</v>
      </c>
      <c r="D292" s="25">
        <v>6.457636490541067</v>
      </c>
    </row>
    <row r="293" ht="15.75" customHeight="1">
      <c r="A293" s="23">
        <v>71004.0</v>
      </c>
      <c r="B293" s="17" t="s">
        <v>351</v>
      </c>
      <c r="C293" s="24">
        <v>7.339979239221901</v>
      </c>
      <c r="D293" s="25">
        <v>5.173610471294232</v>
      </c>
    </row>
    <row r="294" ht="15.75" customHeight="1">
      <c r="A294" s="23">
        <v>71005.0</v>
      </c>
      <c r="B294" s="17" t="s">
        <v>275</v>
      </c>
      <c r="C294" s="24">
        <v>4.739958369436394</v>
      </c>
      <c r="D294" s="25">
        <v>2.754788012787953</v>
      </c>
    </row>
    <row r="295" ht="15.75" customHeight="1">
      <c r="A295" s="23">
        <v>71101.0</v>
      </c>
      <c r="B295" s="17" t="s">
        <v>352</v>
      </c>
      <c r="C295" s="24">
        <v>0.30527980724597814</v>
      </c>
      <c r="D295" s="25">
        <v>0.946264584869102</v>
      </c>
    </row>
    <row r="296" ht="15.75" customHeight="1">
      <c r="A296" s="23">
        <v>71102.0</v>
      </c>
      <c r="B296" s="17" t="s">
        <v>353</v>
      </c>
      <c r="C296" s="24">
        <v>1.546359633763816</v>
      </c>
      <c r="D296" s="25">
        <v>2.5153917315630507</v>
      </c>
    </row>
    <row r="297" ht="15.75" customHeight="1">
      <c r="A297" s="23">
        <v>71103.0</v>
      </c>
      <c r="B297" s="17" t="s">
        <v>354</v>
      </c>
      <c r="C297" s="24">
        <v>1.6879712446114834</v>
      </c>
      <c r="D297" s="25">
        <v>2.8096024749308115</v>
      </c>
    </row>
    <row r="298" ht="15.75" customHeight="1">
      <c r="A298" s="23">
        <v>71104.0</v>
      </c>
      <c r="B298" s="17" t="s">
        <v>355</v>
      </c>
      <c r="C298" s="24">
        <v>10.944772642522091</v>
      </c>
      <c r="D298" s="25">
        <v>3.7696648353666853</v>
      </c>
    </row>
    <row r="299" ht="15.75" customHeight="1">
      <c r="A299" s="23">
        <v>71105.0</v>
      </c>
      <c r="B299" s="17" t="s">
        <v>356</v>
      </c>
      <c r="C299" s="24">
        <v>0.8017873458638022</v>
      </c>
      <c r="D299" s="25">
        <v>0.7882862999340285</v>
      </c>
    </row>
    <row r="300" ht="15.75" customHeight="1">
      <c r="A300" s="23">
        <v>71106.0</v>
      </c>
      <c r="B300" s="17" t="s">
        <v>357</v>
      </c>
      <c r="C300" s="24">
        <v>5.130501268070798</v>
      </c>
      <c r="D300" s="25">
        <v>2.8967196288421624</v>
      </c>
    </row>
    <row r="301" ht="15.75" customHeight="1">
      <c r="A301" s="23">
        <v>71201.0</v>
      </c>
      <c r="B301" s="17" t="s">
        <v>358</v>
      </c>
      <c r="C301" s="24">
        <v>0.13390362446459397</v>
      </c>
      <c r="D301" s="25">
        <v>0.3166483369392214</v>
      </c>
    </row>
    <row r="302" ht="15.75" customHeight="1">
      <c r="A302" s="23">
        <v>71301.0</v>
      </c>
      <c r="B302" s="17" t="s">
        <v>359</v>
      </c>
      <c r="C302" s="24">
        <v>0.4093061458877576</v>
      </c>
      <c r="D302" s="25">
        <v>0.3813349901859722</v>
      </c>
    </row>
    <row r="303" ht="15.75" customHeight="1">
      <c r="A303" s="23">
        <v>71302.0</v>
      </c>
      <c r="B303" s="17" t="s">
        <v>360</v>
      </c>
      <c r="C303" s="24">
        <v>0.3799043966004548</v>
      </c>
      <c r="D303" s="25">
        <v>0.7440205585369947</v>
      </c>
    </row>
    <row r="304" ht="15.75" customHeight="1">
      <c r="A304" s="23">
        <v>71401.0</v>
      </c>
      <c r="B304" s="17" t="s">
        <v>361</v>
      </c>
      <c r="C304" s="24">
        <v>0.3767698480563705</v>
      </c>
      <c r="D304" s="25">
        <v>0.3597728531100686</v>
      </c>
    </row>
    <row r="305" ht="15.75" customHeight="1">
      <c r="A305" s="23">
        <v>71402.0</v>
      </c>
      <c r="B305" s="17" t="s">
        <v>362</v>
      </c>
      <c r="C305" s="24">
        <v>0.2670224233258329</v>
      </c>
      <c r="D305" s="25">
        <v>0.17035450952012082</v>
      </c>
    </row>
    <row r="306" ht="15.75" customHeight="1">
      <c r="A306" s="23">
        <v>71403.0</v>
      </c>
      <c r="B306" s="17" t="s">
        <v>363</v>
      </c>
      <c r="C306" s="24">
        <v>0.3669328992657359</v>
      </c>
      <c r="D306" s="25">
        <v>1.1396056492522482</v>
      </c>
    </row>
    <row r="307" ht="15.75" customHeight="1">
      <c r="A307" s="23">
        <v>71501.0</v>
      </c>
      <c r="B307" s="17" t="s">
        <v>364</v>
      </c>
      <c r="C307" s="24">
        <v>1.4730454210283959</v>
      </c>
      <c r="D307" s="25">
        <v>2.7670067144246966</v>
      </c>
    </row>
    <row r="308" ht="15.75" customHeight="1">
      <c r="A308" s="23">
        <v>71502.0</v>
      </c>
      <c r="B308" s="17" t="s">
        <v>365</v>
      </c>
      <c r="C308" s="24">
        <v>0.2956852771765517</v>
      </c>
      <c r="D308" s="25">
        <v>0.37440280697816397</v>
      </c>
    </row>
    <row r="309" ht="15.75" customHeight="1">
      <c r="A309" s="23">
        <v>71503.0</v>
      </c>
      <c r="B309" s="17" t="s">
        <v>310</v>
      </c>
      <c r="C309" s="24">
        <v>3.384264736317766</v>
      </c>
      <c r="D309" s="25">
        <v>3.1990110083047063</v>
      </c>
    </row>
    <row r="310" ht="15.75" customHeight="1">
      <c r="A310" s="23">
        <v>80101.0</v>
      </c>
      <c r="B310" s="17" t="s">
        <v>367</v>
      </c>
      <c r="C310" s="24">
        <v>1.2641826708563473</v>
      </c>
      <c r="D310" s="25">
        <v>2.1790425254539025</v>
      </c>
    </row>
    <row r="311" ht="15.75" customHeight="1">
      <c r="A311" s="23">
        <v>80102.0</v>
      </c>
      <c r="B311" s="17" t="s">
        <v>353</v>
      </c>
      <c r="C311" s="24">
        <v>1.3136663279453686</v>
      </c>
      <c r="D311" s="25">
        <v>2.1957410820136123</v>
      </c>
    </row>
    <row r="312" ht="15.75" customHeight="1">
      <c r="A312" s="23">
        <v>80201.0</v>
      </c>
      <c r="B312" s="17" t="s">
        <v>368</v>
      </c>
      <c r="C312" s="24">
        <v>0.48242689860565857</v>
      </c>
      <c r="D312" s="25">
        <v>0.20753519696764589</v>
      </c>
    </row>
    <row r="313" ht="15.75" customHeight="1">
      <c r="A313" s="23">
        <v>80202.0</v>
      </c>
      <c r="B313" s="17" t="s">
        <v>369</v>
      </c>
      <c r="C313" s="24">
        <v>1.3662493390853583</v>
      </c>
      <c r="D313" s="25">
        <v>0.30083326970608976</v>
      </c>
    </row>
    <row r="314" ht="15.75" customHeight="1">
      <c r="A314" s="23">
        <v>80301.0</v>
      </c>
      <c r="B314" s="17" t="s">
        <v>370</v>
      </c>
      <c r="C314" s="24">
        <v>0.9826868591468261</v>
      </c>
      <c r="D314" s="25">
        <v>1.0645165824899394</v>
      </c>
    </row>
    <row r="315" ht="15.75" customHeight="1">
      <c r="A315" s="23">
        <v>80302.0</v>
      </c>
      <c r="B315" s="17" t="s">
        <v>371</v>
      </c>
      <c r="C315" s="24">
        <v>0.8327836239024663</v>
      </c>
      <c r="D315" s="25">
        <v>0.7028391304667508</v>
      </c>
    </row>
    <row r="316" ht="15.75" customHeight="1">
      <c r="A316" s="23">
        <v>80303.0</v>
      </c>
      <c r="B316" s="17" t="s">
        <v>372</v>
      </c>
      <c r="C316" s="24">
        <v>0.47557396665946167</v>
      </c>
      <c r="D316" s="25">
        <v>0.9469586396382946</v>
      </c>
    </row>
    <row r="317" ht="15.75" customHeight="1">
      <c r="A317" s="23">
        <v>80304.0</v>
      </c>
      <c r="B317" s="17" t="s">
        <v>373</v>
      </c>
      <c r="C317" s="24">
        <v>1.7910371145035247</v>
      </c>
      <c r="D317" s="25">
        <v>0.867626271502509</v>
      </c>
    </row>
    <row r="318" ht="15.75" customHeight="1">
      <c r="A318" s="23">
        <v>80401.0</v>
      </c>
      <c r="B318" s="17" t="s">
        <v>374</v>
      </c>
      <c r="C318" s="24">
        <v>1.8271788492576788</v>
      </c>
      <c r="D318" s="25">
        <v>0.8192476512849994</v>
      </c>
    </row>
    <row r="319" ht="15.75" customHeight="1">
      <c r="A319" s="23">
        <v>80402.0</v>
      </c>
      <c r="B319" s="17" t="s">
        <v>375</v>
      </c>
      <c r="C319" s="24">
        <v>0.7234471152418492</v>
      </c>
      <c r="D319" s="25">
        <v>0.566683742850734</v>
      </c>
    </row>
    <row r="320" ht="15.75" customHeight="1">
      <c r="A320" s="23">
        <v>80501.0</v>
      </c>
      <c r="B320" s="17" t="s">
        <v>376</v>
      </c>
      <c r="C320" s="24">
        <v>0.7212508471617372</v>
      </c>
      <c r="D320" s="25">
        <v>0.6381914688380694</v>
      </c>
    </row>
    <row r="321" ht="15.75" customHeight="1">
      <c r="A321" s="23">
        <v>80601.0</v>
      </c>
      <c r="B321" s="17" t="s">
        <v>377</v>
      </c>
      <c r="C321" s="24">
        <v>1.7242914279283137</v>
      </c>
      <c r="D321" s="25">
        <v>1.5243867272954297</v>
      </c>
    </row>
    <row r="322" ht="15.75" customHeight="1">
      <c r="A322" s="23">
        <v>80602.0</v>
      </c>
      <c r="B322" s="17" t="s">
        <v>378</v>
      </c>
      <c r="C322" s="24">
        <v>1.3443564201501927</v>
      </c>
      <c r="D322" s="25">
        <v>2.4858291607096414</v>
      </c>
    </row>
    <row r="323" ht="15.75" customHeight="1">
      <c r="A323" s="23">
        <v>80701.0</v>
      </c>
      <c r="B323" s="17" t="s">
        <v>379</v>
      </c>
      <c r="C323" s="24">
        <v>1.4545935100107519</v>
      </c>
      <c r="D323" s="25">
        <v>1.1689563872912452</v>
      </c>
    </row>
    <row r="324" ht="15.75" customHeight="1">
      <c r="A324" s="23">
        <v>80702.0</v>
      </c>
      <c r="B324" s="17" t="s">
        <v>354</v>
      </c>
      <c r="C324" s="24">
        <v>2.1061309112080466</v>
      </c>
      <c r="D324" s="25">
        <v>3.2272457704548994</v>
      </c>
    </row>
    <row r="325" ht="15.75" customHeight="1">
      <c r="A325" s="23">
        <v>80703.0</v>
      </c>
      <c r="B325" s="17" t="s">
        <v>380</v>
      </c>
      <c r="C325" s="24">
        <v>2.686650713016219</v>
      </c>
      <c r="D325" s="25">
        <v>0.8603425836517066</v>
      </c>
    </row>
    <row r="326" ht="15.75" customHeight="1">
      <c r="A326" s="23">
        <v>80801.0</v>
      </c>
      <c r="B326" s="17" t="s">
        <v>381</v>
      </c>
      <c r="C326" s="24">
        <v>0.5602731462386238</v>
      </c>
      <c r="D326" s="25">
        <v>0.8680209505478091</v>
      </c>
    </row>
    <row r="327" ht="15.75" customHeight="1">
      <c r="A327" s="23">
        <v>80802.0</v>
      </c>
      <c r="B327" s="17" t="s">
        <v>382</v>
      </c>
      <c r="C327" s="24">
        <v>0.4069568210704155</v>
      </c>
      <c r="D327" s="25">
        <v>0.707731744651449</v>
      </c>
    </row>
    <row r="328" ht="15.75" customHeight="1">
      <c r="A328" s="23">
        <v>80803.0</v>
      </c>
      <c r="B328" s="17" t="s">
        <v>383</v>
      </c>
      <c r="C328" s="24">
        <v>2.5550995863184407</v>
      </c>
      <c r="D328" s="25">
        <v>1.7512889899587665</v>
      </c>
    </row>
    <row r="329" ht="15.75" customHeight="1">
      <c r="A329" s="23">
        <v>80901.0</v>
      </c>
      <c r="B329" s="17" t="s">
        <v>384</v>
      </c>
      <c r="C329" s="24">
        <v>0.6291618147817498</v>
      </c>
      <c r="D329" s="25">
        <v>0.2809032008990797</v>
      </c>
    </row>
    <row r="330" ht="15.75" customHeight="1">
      <c r="A330" s="23">
        <v>90101.0</v>
      </c>
      <c r="B330" s="17" t="s">
        <v>386</v>
      </c>
      <c r="C330" s="24">
        <v>1.9123728811375005</v>
      </c>
      <c r="D330" s="25">
        <v>1.8301507706067557</v>
      </c>
    </row>
    <row r="331" ht="15.75" customHeight="1">
      <c r="A331" s="23">
        <v>90102.0</v>
      </c>
      <c r="B331" s="17" t="s">
        <v>387</v>
      </c>
      <c r="C331" s="24">
        <v>0.8442271853564772</v>
      </c>
      <c r="D331" s="25">
        <v>0.6849515557767175</v>
      </c>
    </row>
    <row r="332" ht="15.75" customHeight="1">
      <c r="A332" s="23">
        <v>90103.0</v>
      </c>
      <c r="B332" s="17" t="s">
        <v>388</v>
      </c>
      <c r="C332" s="24">
        <v>0.3690550608629907</v>
      </c>
      <c r="D332" s="25">
        <v>0.36545534187331186</v>
      </c>
    </row>
    <row r="333" ht="15.75" customHeight="1">
      <c r="A333" s="23">
        <v>90104.0</v>
      </c>
      <c r="B333" s="17" t="s">
        <v>389</v>
      </c>
      <c r="C333" s="24">
        <v>0.3332391268335587</v>
      </c>
      <c r="D333" s="25">
        <v>0.3737335818988352</v>
      </c>
    </row>
    <row r="334" ht="15.75" customHeight="1">
      <c r="A334" s="23">
        <v>90201.0</v>
      </c>
      <c r="B334" s="17" t="s">
        <v>390</v>
      </c>
      <c r="C334" s="24">
        <v>0.3745735459734331</v>
      </c>
      <c r="D334" s="25">
        <v>0.0990705137085011</v>
      </c>
    </row>
    <row r="335" ht="15.75" customHeight="1">
      <c r="A335" s="23">
        <v>90202.0</v>
      </c>
      <c r="B335" s="17" t="s">
        <v>275</v>
      </c>
      <c r="C335" s="24">
        <v>0.5951062766506627</v>
      </c>
      <c r="D335" s="25">
        <v>0.25260634566025825</v>
      </c>
    </row>
    <row r="336" ht="15.75" customHeight="1">
      <c r="A336" s="23">
        <v>90203.0</v>
      </c>
      <c r="B336" s="17" t="s">
        <v>391</v>
      </c>
      <c r="C336" s="24">
        <v>0.17601311259555588</v>
      </c>
      <c r="D336" s="25">
        <v>0.15757286988464103</v>
      </c>
    </row>
    <row r="337" ht="15.75" customHeight="1">
      <c r="A337" s="23">
        <v>90301.0</v>
      </c>
      <c r="B337" s="17" t="s">
        <v>392</v>
      </c>
      <c r="C337" s="24">
        <v>1.1328019739654764</v>
      </c>
      <c r="D337" s="25">
        <v>0.41964877156760894</v>
      </c>
    </row>
    <row r="338" ht="15.75" customHeight="1">
      <c r="A338" s="23">
        <v>90302.0</v>
      </c>
      <c r="B338" s="17" t="s">
        <v>309</v>
      </c>
      <c r="C338" s="24">
        <v>0.5332075332423499</v>
      </c>
      <c r="D338" s="25">
        <v>0.17863152879417918</v>
      </c>
    </row>
    <row r="339" ht="15.75" customHeight="1">
      <c r="A339" s="23">
        <v>90303.0</v>
      </c>
      <c r="B339" s="17" t="s">
        <v>393</v>
      </c>
      <c r="C339" s="24">
        <v>0.14336812328412252</v>
      </c>
      <c r="D339" s="25">
        <v>0.07855781847911762</v>
      </c>
    </row>
    <row r="340" ht="15.75" customHeight="1">
      <c r="A340" s="23">
        <v>90401.0</v>
      </c>
      <c r="B340" s="17" t="s">
        <v>372</v>
      </c>
      <c r="C340" s="24">
        <v>0.13554110170492187</v>
      </c>
      <c r="D340" s="25">
        <v>0.083207003695772</v>
      </c>
    </row>
    <row r="341" ht="15.75" customHeight="1">
      <c r="A341" s="23">
        <v>90402.0</v>
      </c>
      <c r="B341" s="17" t="s">
        <v>394</v>
      </c>
      <c r="C341" s="24">
        <v>0.08255462852867845</v>
      </c>
      <c r="D341" s="25">
        <v>0.05078485379331332</v>
      </c>
    </row>
    <row r="342" ht="15.75" customHeight="1">
      <c r="A342" s="23">
        <v>90501.0</v>
      </c>
      <c r="B342" s="17" t="s">
        <v>395</v>
      </c>
      <c r="C342" s="24">
        <v>0.137578901984721</v>
      </c>
      <c r="D342" s="25">
        <v>0.04653895348827498</v>
      </c>
    </row>
    <row r="343" ht="15.75" customHeight="1">
      <c r="A343" s="23">
        <v>90502.0</v>
      </c>
      <c r="B343" s="17" t="s">
        <v>396</v>
      </c>
      <c r="C343" s="24">
        <v>0.14320558555624488</v>
      </c>
      <c r="D343" s="25">
        <v>0.0887824086008178</v>
      </c>
    </row>
    <row r="344" ht="15.75" customHeight="1">
      <c r="A344" s="26">
        <v>90503.0</v>
      </c>
      <c r="B344" s="27" t="s">
        <v>397</v>
      </c>
      <c r="C344" s="28">
        <v>0.015449345644799568</v>
      </c>
      <c r="D344" s="29">
        <v>0.017351639743543576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30" t="s">
        <v>398</v>
      </c>
      <c r="B1" s="30" t="s">
        <v>2</v>
      </c>
      <c r="C1" s="30" t="s">
        <v>399</v>
      </c>
      <c r="D1" s="30" t="s">
        <v>400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>
        <v>10101.0</v>
      </c>
      <c r="B2" s="17" t="s">
        <v>60</v>
      </c>
      <c r="C2" s="31">
        <v>95.94</v>
      </c>
      <c r="D2" s="31">
        <v>191.1</v>
      </c>
    </row>
    <row r="3">
      <c r="A3" s="17">
        <v>10102.0</v>
      </c>
      <c r="B3" s="17" t="s">
        <v>61</v>
      </c>
      <c r="C3" s="31">
        <v>10.56</v>
      </c>
      <c r="D3" s="31">
        <v>3.81</v>
      </c>
    </row>
    <row r="4">
      <c r="A4" s="17">
        <v>10103.0</v>
      </c>
      <c r="B4" s="17" t="s">
        <v>62</v>
      </c>
      <c r="C4" s="31">
        <v>118.64999999999999</v>
      </c>
      <c r="D4" s="31">
        <v>24.240000000000006</v>
      </c>
    </row>
    <row r="5">
      <c r="A5" s="17">
        <v>10201.0</v>
      </c>
      <c r="B5" s="17" t="s">
        <v>63</v>
      </c>
      <c r="C5" s="31">
        <v>222.87</v>
      </c>
      <c r="D5" s="31">
        <v>333.06</v>
      </c>
    </row>
    <row r="6">
      <c r="A6" s="17">
        <v>10202.0</v>
      </c>
      <c r="B6" s="17" t="s">
        <v>64</v>
      </c>
      <c r="C6" s="31">
        <v>160.44</v>
      </c>
      <c r="D6" s="31">
        <v>132.54</v>
      </c>
    </row>
    <row r="7">
      <c r="A7" s="17">
        <v>10301.0</v>
      </c>
      <c r="B7" s="17" t="s">
        <v>65</v>
      </c>
      <c r="C7" s="31">
        <v>52.98</v>
      </c>
      <c r="D7" s="31">
        <v>14.76</v>
      </c>
    </row>
    <row r="8">
      <c r="A8" s="17">
        <v>10302.0</v>
      </c>
      <c r="B8" s="17" t="s">
        <v>66</v>
      </c>
      <c r="C8" s="31">
        <v>135.48</v>
      </c>
      <c r="D8" s="31">
        <v>18.81</v>
      </c>
    </row>
    <row r="9">
      <c r="A9" s="17">
        <v>10303.0</v>
      </c>
      <c r="B9" s="17" t="s">
        <v>67</v>
      </c>
      <c r="C9" s="31">
        <v>105.80999999999999</v>
      </c>
      <c r="D9" s="31">
        <v>69.17999999999999</v>
      </c>
    </row>
    <row r="10">
      <c r="A10" s="17">
        <v>10304.0</v>
      </c>
      <c r="B10" s="17" t="s">
        <v>68</v>
      </c>
      <c r="C10" s="31">
        <v>20.31</v>
      </c>
      <c r="D10" s="31">
        <v>1.7400000000000002</v>
      </c>
    </row>
    <row r="11">
      <c r="A11" s="17">
        <v>10401.0</v>
      </c>
      <c r="B11" s="17" t="s">
        <v>69</v>
      </c>
      <c r="C11" s="31">
        <v>373.02</v>
      </c>
      <c r="D11" s="31">
        <v>557.01</v>
      </c>
    </row>
    <row r="12">
      <c r="A12" s="17">
        <v>10402.0</v>
      </c>
      <c r="B12" s="17" t="s">
        <v>70</v>
      </c>
      <c r="C12" s="31">
        <v>110.07000000000001</v>
      </c>
      <c r="D12" s="31">
        <v>64.77</v>
      </c>
    </row>
    <row r="13">
      <c r="A13" s="17">
        <v>10403.0</v>
      </c>
      <c r="B13" s="17" t="s">
        <v>71</v>
      </c>
      <c r="C13" s="31">
        <v>104.73</v>
      </c>
      <c r="D13" s="31">
        <v>214.95000000000002</v>
      </c>
    </row>
    <row r="14">
      <c r="A14" s="17">
        <v>10404.0</v>
      </c>
      <c r="B14" s="17" t="s">
        <v>72</v>
      </c>
      <c r="C14" s="31">
        <v>28.98</v>
      </c>
      <c r="D14" s="31">
        <v>34.2</v>
      </c>
    </row>
    <row r="15">
      <c r="A15" s="17">
        <v>10405.0</v>
      </c>
      <c r="B15" s="17" t="s">
        <v>73</v>
      </c>
      <c r="C15" s="31">
        <v>196.35</v>
      </c>
      <c r="D15" s="31">
        <v>185.73000000000002</v>
      </c>
    </row>
    <row r="16">
      <c r="A16" s="17">
        <v>10501.0</v>
      </c>
      <c r="B16" s="17" t="s">
        <v>74</v>
      </c>
      <c r="C16" s="31">
        <v>1326.8999999999999</v>
      </c>
      <c r="D16" s="31">
        <v>1779.57</v>
      </c>
    </row>
    <row r="17">
      <c r="A17" s="17">
        <v>10502.0</v>
      </c>
      <c r="B17" s="17" t="s">
        <v>75</v>
      </c>
      <c r="C17" s="31">
        <v>509.7</v>
      </c>
      <c r="D17" s="31">
        <v>1897.89</v>
      </c>
    </row>
    <row r="18">
      <c r="A18" s="17">
        <v>10601.0</v>
      </c>
      <c r="B18" s="17" t="s">
        <v>76</v>
      </c>
      <c r="C18" s="31">
        <v>31.679999999999996</v>
      </c>
      <c r="D18" s="31">
        <v>6.39</v>
      </c>
    </row>
    <row r="19">
      <c r="A19" s="17">
        <v>10602.0</v>
      </c>
      <c r="B19" s="17" t="s">
        <v>77</v>
      </c>
      <c r="C19" s="31">
        <v>5.699999999999999</v>
      </c>
      <c r="D19" s="31">
        <v>0.3</v>
      </c>
    </row>
    <row r="20">
      <c r="A20" s="17">
        <v>10701.0</v>
      </c>
      <c r="B20" s="17" t="s">
        <v>78</v>
      </c>
      <c r="C20" s="31">
        <v>0.0</v>
      </c>
      <c r="D20" s="31">
        <v>0.0</v>
      </c>
    </row>
    <row r="21" ht="15.75" customHeight="1">
      <c r="A21" s="17">
        <v>10702.0</v>
      </c>
      <c r="B21" s="17" t="s">
        <v>79</v>
      </c>
      <c r="C21" s="31">
        <v>121.32000000000001</v>
      </c>
      <c r="D21" s="31">
        <v>284.79</v>
      </c>
    </row>
    <row r="22" ht="15.75" customHeight="1">
      <c r="A22" s="17">
        <v>10703.0</v>
      </c>
      <c r="B22" s="17" t="s">
        <v>80</v>
      </c>
      <c r="C22" s="31">
        <v>163.53</v>
      </c>
      <c r="D22" s="31">
        <v>441.69000000000005</v>
      </c>
    </row>
    <row r="23" ht="15.75" customHeight="1">
      <c r="A23" s="17">
        <v>10704.0</v>
      </c>
      <c r="B23" s="17" t="s">
        <v>81</v>
      </c>
      <c r="C23" s="31">
        <v>42.81</v>
      </c>
      <c r="D23" s="31">
        <v>14.700000000000001</v>
      </c>
    </row>
    <row r="24" ht="15.75" customHeight="1">
      <c r="A24" s="17">
        <v>10801.0</v>
      </c>
      <c r="B24" s="17" t="s">
        <v>82</v>
      </c>
      <c r="C24" s="31">
        <v>571.38</v>
      </c>
      <c r="D24" s="31">
        <v>588.84</v>
      </c>
    </row>
    <row r="25" ht="15.75" customHeight="1">
      <c r="A25" s="17">
        <v>10901.0</v>
      </c>
      <c r="B25" s="17" t="s">
        <v>83</v>
      </c>
      <c r="C25" s="31">
        <v>0.0</v>
      </c>
      <c r="D25" s="31">
        <v>0.0</v>
      </c>
    </row>
    <row r="26" ht="15.75" customHeight="1">
      <c r="A26" s="17">
        <v>10902.0</v>
      </c>
      <c r="B26" s="17" t="s">
        <v>84</v>
      </c>
      <c r="C26" s="31">
        <v>628.41</v>
      </c>
      <c r="D26" s="31">
        <v>1264.08</v>
      </c>
    </row>
    <row r="27" ht="15.75" customHeight="1">
      <c r="A27" s="17">
        <v>10903.0</v>
      </c>
      <c r="B27" s="17" t="s">
        <v>85</v>
      </c>
      <c r="C27" s="31">
        <v>0.0</v>
      </c>
      <c r="D27" s="31">
        <v>0.0</v>
      </c>
    </row>
    <row r="28" ht="15.75" customHeight="1">
      <c r="A28" s="17">
        <v>11001.0</v>
      </c>
      <c r="B28" s="17" t="s">
        <v>86</v>
      </c>
      <c r="C28" s="31">
        <v>990.3299999999999</v>
      </c>
      <c r="D28" s="31">
        <v>1326.57</v>
      </c>
    </row>
    <row r="29" ht="15.75" customHeight="1">
      <c r="A29" s="17">
        <v>11002.0</v>
      </c>
      <c r="B29" s="17" t="s">
        <v>87</v>
      </c>
      <c r="C29" s="31">
        <v>94.64999999999999</v>
      </c>
      <c r="D29" s="31">
        <v>176.04</v>
      </c>
    </row>
    <row r="30" ht="15.75" customHeight="1">
      <c r="A30" s="17">
        <v>11003.0</v>
      </c>
      <c r="B30" s="17" t="s">
        <v>88</v>
      </c>
      <c r="C30" s="31">
        <v>833.94</v>
      </c>
      <c r="D30" s="31">
        <v>5502.089999999999</v>
      </c>
    </row>
    <row r="31" ht="15.75" customHeight="1">
      <c r="A31" s="17">
        <v>20101.0</v>
      </c>
      <c r="B31" s="17" t="s">
        <v>90</v>
      </c>
      <c r="C31" s="31">
        <v>96.15000000000002</v>
      </c>
      <c r="D31" s="31">
        <v>331.56</v>
      </c>
    </row>
    <row r="32" ht="15.75" customHeight="1">
      <c r="A32" s="17">
        <v>20102.0</v>
      </c>
      <c r="B32" s="17" t="s">
        <v>91</v>
      </c>
      <c r="C32" s="31">
        <v>27.659999999999997</v>
      </c>
      <c r="D32" s="31">
        <v>102.63</v>
      </c>
    </row>
    <row r="33" ht="15.75" customHeight="1">
      <c r="A33" s="17">
        <v>20103.0</v>
      </c>
      <c r="B33" s="17" t="s">
        <v>92</v>
      </c>
      <c r="C33" s="31">
        <v>0.0</v>
      </c>
      <c r="D33" s="31">
        <v>0.0</v>
      </c>
    </row>
    <row r="34" ht="15.75" customHeight="1">
      <c r="A34" s="17">
        <v>20104.0</v>
      </c>
      <c r="B34" s="17" t="s">
        <v>93</v>
      </c>
      <c r="C34" s="31">
        <v>0.0</v>
      </c>
      <c r="D34" s="31">
        <v>0.0</v>
      </c>
    </row>
    <row r="35" ht="15.75" customHeight="1">
      <c r="A35" s="17">
        <v>20105.0</v>
      </c>
      <c r="B35" s="17" t="s">
        <v>94</v>
      </c>
      <c r="C35" s="31">
        <v>0.0</v>
      </c>
      <c r="D35" s="31">
        <v>0.0</v>
      </c>
    </row>
    <row r="36" ht="15.75" customHeight="1">
      <c r="A36" s="17">
        <v>20201.0</v>
      </c>
      <c r="B36" s="17" t="s">
        <v>95</v>
      </c>
      <c r="C36" s="31">
        <v>0.0</v>
      </c>
      <c r="D36" s="31">
        <v>0.0</v>
      </c>
    </row>
    <row r="37" ht="15.75" customHeight="1">
      <c r="A37" s="17">
        <v>20202.0</v>
      </c>
      <c r="B37" s="17" t="s">
        <v>96</v>
      </c>
      <c r="C37" s="31">
        <v>0.0</v>
      </c>
      <c r="D37" s="31">
        <v>0.0</v>
      </c>
    </row>
    <row r="38" ht="15.75" customHeight="1">
      <c r="A38" s="17">
        <v>20203.0</v>
      </c>
      <c r="B38" s="17" t="s">
        <v>97</v>
      </c>
      <c r="C38" s="31">
        <v>0.0</v>
      </c>
      <c r="D38" s="31">
        <v>0.0</v>
      </c>
    </row>
    <row r="39" ht="15.75" customHeight="1">
      <c r="A39" s="17">
        <v>20204.0</v>
      </c>
      <c r="B39" s="17" t="s">
        <v>98</v>
      </c>
      <c r="C39" s="31">
        <v>0.0</v>
      </c>
      <c r="D39" s="31">
        <v>0.0</v>
      </c>
    </row>
    <row r="40" ht="15.75" customHeight="1">
      <c r="A40" s="17">
        <v>20205.0</v>
      </c>
      <c r="B40" s="17" t="s">
        <v>99</v>
      </c>
      <c r="C40" s="31">
        <v>0.0</v>
      </c>
      <c r="D40" s="31">
        <v>0.0</v>
      </c>
    </row>
    <row r="41" ht="15.75" customHeight="1">
      <c r="A41" s="17">
        <v>20206.0</v>
      </c>
      <c r="B41" s="17" t="s">
        <v>100</v>
      </c>
      <c r="C41" s="31">
        <v>0.0</v>
      </c>
      <c r="D41" s="31">
        <v>0.0</v>
      </c>
    </row>
    <row r="42" ht="15.75" customHeight="1">
      <c r="A42" s="17">
        <v>20301.0</v>
      </c>
      <c r="B42" s="17" t="s">
        <v>101</v>
      </c>
      <c r="C42" s="31">
        <v>0.0</v>
      </c>
      <c r="D42" s="31">
        <v>0.0</v>
      </c>
    </row>
    <row r="43" ht="15.75" customHeight="1">
      <c r="A43" s="17">
        <v>20302.0</v>
      </c>
      <c r="B43" s="17" t="s">
        <v>102</v>
      </c>
      <c r="C43" s="31">
        <v>0.0</v>
      </c>
      <c r="D43" s="31">
        <v>0.0</v>
      </c>
    </row>
    <row r="44" ht="15.75" customHeight="1">
      <c r="A44" s="17">
        <v>20303.0</v>
      </c>
      <c r="B44" s="17" t="s">
        <v>103</v>
      </c>
      <c r="C44" s="31">
        <v>0.0</v>
      </c>
      <c r="D44" s="31">
        <v>0.0</v>
      </c>
    </row>
    <row r="45" ht="15.75" customHeight="1">
      <c r="A45" s="17">
        <v>20304.0</v>
      </c>
      <c r="B45" s="17" t="s">
        <v>104</v>
      </c>
      <c r="C45" s="31">
        <v>0.0</v>
      </c>
      <c r="D45" s="31">
        <v>0.0</v>
      </c>
    </row>
    <row r="46" ht="15.75" customHeight="1">
      <c r="A46" s="17">
        <v>20305.0</v>
      </c>
      <c r="B46" s="17" t="s">
        <v>105</v>
      </c>
      <c r="C46" s="31">
        <v>0.0</v>
      </c>
      <c r="D46" s="31">
        <v>0.0</v>
      </c>
    </row>
    <row r="47" ht="15.75" customHeight="1">
      <c r="A47" s="17">
        <v>20306.0</v>
      </c>
      <c r="B47" s="17" t="s">
        <v>106</v>
      </c>
      <c r="C47" s="31">
        <v>0.0</v>
      </c>
      <c r="D47" s="31">
        <v>0.0</v>
      </c>
    </row>
    <row r="48" ht="15.75" customHeight="1">
      <c r="A48" s="17">
        <v>20307.0</v>
      </c>
      <c r="B48" s="17" t="s">
        <v>107</v>
      </c>
      <c r="C48" s="31">
        <v>0.0</v>
      </c>
      <c r="D48" s="31">
        <v>0.0</v>
      </c>
    </row>
    <row r="49" ht="15.75" customHeight="1">
      <c r="A49" s="17">
        <v>20308.0</v>
      </c>
      <c r="B49" s="17" t="s">
        <v>108</v>
      </c>
      <c r="C49" s="31">
        <v>0.0</v>
      </c>
      <c r="D49" s="31">
        <v>0.0</v>
      </c>
    </row>
    <row r="50" ht="15.75" customHeight="1">
      <c r="A50" s="17">
        <v>20401.0</v>
      </c>
      <c r="B50" s="17" t="s">
        <v>109</v>
      </c>
      <c r="C50" s="31">
        <v>0.0</v>
      </c>
      <c r="D50" s="31">
        <v>0.0</v>
      </c>
    </row>
    <row r="51" ht="15.75" customHeight="1">
      <c r="A51" s="17">
        <v>20402.0</v>
      </c>
      <c r="B51" s="17" t="s">
        <v>110</v>
      </c>
      <c r="C51" s="31">
        <v>33.27</v>
      </c>
      <c r="D51" s="31">
        <v>20.219999999999995</v>
      </c>
    </row>
    <row r="52" ht="15.75" customHeight="1">
      <c r="A52" s="17">
        <v>20403.0</v>
      </c>
      <c r="B52" s="17" t="s">
        <v>111</v>
      </c>
      <c r="C52" s="31">
        <v>0.0</v>
      </c>
      <c r="D52" s="31">
        <v>0.0</v>
      </c>
    </row>
    <row r="53" ht="15.75" customHeight="1">
      <c r="A53" s="17">
        <v>20404.0</v>
      </c>
      <c r="B53" s="17" t="s">
        <v>112</v>
      </c>
      <c r="C53" s="31">
        <v>0.0</v>
      </c>
      <c r="D53" s="31">
        <v>0.0</v>
      </c>
    </row>
    <row r="54" ht="15.75" customHeight="1">
      <c r="A54" s="17">
        <v>20405.0</v>
      </c>
      <c r="B54" s="17" t="s">
        <v>113</v>
      </c>
      <c r="C54" s="31">
        <v>0.0</v>
      </c>
      <c r="D54" s="31">
        <v>0.0</v>
      </c>
    </row>
    <row r="55" ht="15.75" customHeight="1">
      <c r="A55" s="17">
        <v>20501.0</v>
      </c>
      <c r="B55" s="17" t="s">
        <v>114</v>
      </c>
      <c r="C55" s="31">
        <v>32.79</v>
      </c>
      <c r="D55" s="31">
        <v>66.33</v>
      </c>
    </row>
    <row r="56" ht="15.75" customHeight="1">
      <c r="A56" s="17">
        <v>20502.0</v>
      </c>
      <c r="B56" s="17" t="s">
        <v>115</v>
      </c>
      <c r="C56" s="31">
        <v>104.82000000000001</v>
      </c>
      <c r="D56" s="31">
        <v>242.55000000000004</v>
      </c>
    </row>
    <row r="57" ht="15.75" customHeight="1">
      <c r="A57" s="17">
        <v>20503.0</v>
      </c>
      <c r="B57" s="17" t="s">
        <v>116</v>
      </c>
      <c r="C57" s="31">
        <v>54.53999999999999</v>
      </c>
      <c r="D57" s="31">
        <v>66.42</v>
      </c>
    </row>
    <row r="58" ht="15.75" customHeight="1">
      <c r="A58" s="17">
        <v>20601.0</v>
      </c>
      <c r="B58" s="17" t="s">
        <v>117</v>
      </c>
      <c r="C58" s="31">
        <v>217.01999999999998</v>
      </c>
      <c r="D58" s="31">
        <v>406.55999999999995</v>
      </c>
    </row>
    <row r="59" ht="15.75" customHeight="1">
      <c r="A59" s="17">
        <v>20602.0</v>
      </c>
      <c r="B59" s="17" t="s">
        <v>118</v>
      </c>
      <c r="C59" s="31">
        <v>590.73</v>
      </c>
      <c r="D59" s="31">
        <v>2363.46</v>
      </c>
    </row>
    <row r="60" ht="15.75" customHeight="1">
      <c r="A60" s="17">
        <v>20603.0</v>
      </c>
      <c r="B60" s="17" t="s">
        <v>119</v>
      </c>
      <c r="C60" s="31">
        <v>154.05</v>
      </c>
      <c r="D60" s="31">
        <v>408.81</v>
      </c>
    </row>
    <row r="61" ht="15.75" customHeight="1">
      <c r="A61" s="17">
        <v>20604.0</v>
      </c>
      <c r="B61" s="17" t="s">
        <v>120</v>
      </c>
      <c r="C61" s="31">
        <v>9.75</v>
      </c>
      <c r="D61" s="31">
        <v>21.87</v>
      </c>
    </row>
    <row r="62" ht="15.75" customHeight="1">
      <c r="A62" s="17">
        <v>20605.0</v>
      </c>
      <c r="B62" s="17" t="s">
        <v>121</v>
      </c>
      <c r="C62" s="31">
        <v>4.260000000000001</v>
      </c>
      <c r="D62" s="31">
        <v>0.6</v>
      </c>
    </row>
    <row r="63" ht="15.75" customHeight="1">
      <c r="A63" s="17">
        <v>20606.0</v>
      </c>
      <c r="B63" s="17" t="s">
        <v>122</v>
      </c>
      <c r="C63" s="31">
        <v>97.5</v>
      </c>
      <c r="D63" s="31">
        <v>253.26000000000002</v>
      </c>
    </row>
    <row r="64" ht="15.75" customHeight="1">
      <c r="A64" s="17">
        <v>20607.0</v>
      </c>
      <c r="B64" s="17" t="s">
        <v>123</v>
      </c>
      <c r="C64" s="31">
        <v>460.23</v>
      </c>
      <c r="D64" s="31">
        <v>1763.3999999999999</v>
      </c>
    </row>
    <row r="65" ht="15.75" customHeight="1">
      <c r="A65" s="17">
        <v>20608.0</v>
      </c>
      <c r="B65" s="17" t="s">
        <v>124</v>
      </c>
      <c r="C65" s="31">
        <v>838.6199999999999</v>
      </c>
      <c r="D65" s="31">
        <v>2098.7099999999996</v>
      </c>
    </row>
    <row r="66" ht="15.75" customHeight="1">
      <c r="A66" s="17">
        <v>20701.0</v>
      </c>
      <c r="B66" s="17" t="s">
        <v>125</v>
      </c>
      <c r="C66" s="31">
        <v>3599.76</v>
      </c>
      <c r="D66" s="31">
        <v>2571.5699999999997</v>
      </c>
    </row>
    <row r="67" ht="15.75" customHeight="1">
      <c r="A67" s="17">
        <v>20702.0</v>
      </c>
      <c r="B67" s="17" t="s">
        <v>126</v>
      </c>
      <c r="C67" s="31">
        <v>363.93</v>
      </c>
      <c r="D67" s="31">
        <v>96.33</v>
      </c>
    </row>
    <row r="68" ht="15.75" customHeight="1">
      <c r="A68" s="17">
        <v>20801.0</v>
      </c>
      <c r="B68" s="17" t="s">
        <v>127</v>
      </c>
      <c r="C68" s="31">
        <v>0.0</v>
      </c>
      <c r="D68" s="31">
        <v>0.0</v>
      </c>
    </row>
    <row r="69" ht="15.75" customHeight="1">
      <c r="A69" s="17">
        <v>20802.0</v>
      </c>
      <c r="B69" s="17" t="s">
        <v>128</v>
      </c>
      <c r="C69" s="31">
        <v>0.0</v>
      </c>
      <c r="D69" s="31">
        <v>0.0</v>
      </c>
    </row>
    <row r="70" ht="15.75" customHeight="1">
      <c r="A70" s="17">
        <v>20803.0</v>
      </c>
      <c r="B70" s="17" t="s">
        <v>129</v>
      </c>
      <c r="C70" s="31">
        <v>0.0</v>
      </c>
      <c r="D70" s="31">
        <v>0.0</v>
      </c>
    </row>
    <row r="71" ht="15.75" customHeight="1">
      <c r="A71" s="17">
        <v>20804.0</v>
      </c>
      <c r="B71" s="17" t="s">
        <v>130</v>
      </c>
      <c r="C71" s="31">
        <v>0.0</v>
      </c>
      <c r="D71" s="31">
        <v>0.0</v>
      </c>
    </row>
    <row r="72" ht="15.75" customHeight="1">
      <c r="A72" s="17">
        <v>20805.0</v>
      </c>
      <c r="B72" s="17" t="s">
        <v>131</v>
      </c>
      <c r="C72" s="31">
        <v>0.0</v>
      </c>
      <c r="D72" s="31">
        <v>0.0</v>
      </c>
    </row>
    <row r="73" ht="15.75" customHeight="1">
      <c r="A73" s="17">
        <v>20806.0</v>
      </c>
      <c r="B73" s="17" t="s">
        <v>132</v>
      </c>
      <c r="C73" s="31">
        <v>0.0</v>
      </c>
      <c r="D73" s="31">
        <v>0.0</v>
      </c>
    </row>
    <row r="74" ht="15.75" customHeight="1">
      <c r="A74" s="17">
        <v>20807.0</v>
      </c>
      <c r="B74" s="17" t="s">
        <v>133</v>
      </c>
      <c r="C74" s="31">
        <v>0.0</v>
      </c>
      <c r="D74" s="31">
        <v>0.0</v>
      </c>
    </row>
    <row r="75" ht="15.75" customHeight="1">
      <c r="A75" s="17">
        <v>20901.0</v>
      </c>
      <c r="B75" s="17" t="s">
        <v>134</v>
      </c>
      <c r="C75" s="31">
        <v>3.27</v>
      </c>
      <c r="D75" s="31">
        <v>9.99</v>
      </c>
    </row>
    <row r="76" ht="15.75" customHeight="1">
      <c r="A76" s="17">
        <v>20902.0</v>
      </c>
      <c r="B76" s="17" t="s">
        <v>135</v>
      </c>
      <c r="C76" s="31">
        <v>8.28</v>
      </c>
      <c r="D76" s="31">
        <v>32.699999999999996</v>
      </c>
    </row>
    <row r="77" ht="15.75" customHeight="1">
      <c r="A77" s="17">
        <v>20903.0</v>
      </c>
      <c r="B77" s="17" t="s">
        <v>136</v>
      </c>
      <c r="C77" s="31">
        <v>0.0</v>
      </c>
      <c r="D77" s="31">
        <v>0.0</v>
      </c>
    </row>
    <row r="78" ht="15.75" customHeight="1">
      <c r="A78" s="17">
        <v>20904.0</v>
      </c>
      <c r="B78" s="17" t="s">
        <v>137</v>
      </c>
      <c r="C78" s="31">
        <v>0.0</v>
      </c>
      <c r="D78" s="31">
        <v>0.0</v>
      </c>
    </row>
    <row r="79" ht="15.75" customHeight="1">
      <c r="A79" s="17">
        <v>20905.0</v>
      </c>
      <c r="B79" s="17" t="s">
        <v>138</v>
      </c>
      <c r="C79" s="31">
        <v>76.52999999999999</v>
      </c>
      <c r="D79" s="31">
        <v>149.37</v>
      </c>
    </row>
    <row r="80" ht="15.75" customHeight="1">
      <c r="A80" s="17">
        <v>21001.0</v>
      </c>
      <c r="B80" s="17" t="s">
        <v>139</v>
      </c>
      <c r="C80" s="31">
        <v>407.67</v>
      </c>
      <c r="D80" s="31">
        <v>1794.8100000000002</v>
      </c>
    </row>
    <row r="81" ht="15.75" customHeight="1">
      <c r="A81" s="17">
        <v>21002.0</v>
      </c>
      <c r="B81" s="17" t="s">
        <v>140</v>
      </c>
      <c r="C81" s="31">
        <v>120.78000000000002</v>
      </c>
      <c r="D81" s="31">
        <v>295.71000000000004</v>
      </c>
    </row>
    <row r="82" ht="15.75" customHeight="1">
      <c r="A82" s="17">
        <v>21003.0</v>
      </c>
      <c r="B82" s="17" t="s">
        <v>141</v>
      </c>
      <c r="C82" s="31">
        <v>173.28</v>
      </c>
      <c r="D82" s="31">
        <v>631.9499999999999</v>
      </c>
    </row>
    <row r="83" ht="15.75" customHeight="1">
      <c r="A83" s="17">
        <v>21004.0</v>
      </c>
      <c r="B83" s="17" t="s">
        <v>142</v>
      </c>
      <c r="C83" s="31">
        <v>7.079999999999999</v>
      </c>
      <c r="D83" s="31">
        <v>4.59</v>
      </c>
    </row>
    <row r="84" ht="15.75" customHeight="1">
      <c r="A84" s="17">
        <v>21005.0</v>
      </c>
      <c r="B84" s="17" t="s">
        <v>143</v>
      </c>
      <c r="C84" s="31">
        <v>14.219999999999999</v>
      </c>
      <c r="D84" s="31">
        <v>56.19</v>
      </c>
    </row>
    <row r="85" ht="15.75" customHeight="1">
      <c r="A85" s="17">
        <v>21006.0</v>
      </c>
      <c r="B85" s="17" t="s">
        <v>144</v>
      </c>
      <c r="C85" s="31">
        <v>28.649999999999995</v>
      </c>
      <c r="D85" s="31">
        <v>108.21</v>
      </c>
    </row>
    <row r="86" ht="15.75" customHeight="1">
      <c r="A86" s="17">
        <v>21101.0</v>
      </c>
      <c r="B86" s="17" t="s">
        <v>145</v>
      </c>
      <c r="C86" s="31">
        <v>67.2</v>
      </c>
      <c r="D86" s="31">
        <v>450.90000000000003</v>
      </c>
    </row>
    <row r="87" ht="15.75" customHeight="1">
      <c r="A87" s="17">
        <v>21102.0</v>
      </c>
      <c r="B87" s="17" t="s">
        <v>146</v>
      </c>
      <c r="C87" s="31">
        <v>229.35</v>
      </c>
      <c r="D87" s="31">
        <v>1088.5800000000002</v>
      </c>
    </row>
    <row r="88" ht="15.75" customHeight="1">
      <c r="A88" s="17">
        <v>21103.0</v>
      </c>
      <c r="B88" s="17" t="s">
        <v>147</v>
      </c>
      <c r="C88" s="31">
        <v>66.69</v>
      </c>
      <c r="D88" s="31">
        <v>178.74</v>
      </c>
    </row>
    <row r="89" ht="15.75" customHeight="1">
      <c r="A89" s="17">
        <v>21104.0</v>
      </c>
      <c r="B89" s="17" t="s">
        <v>148</v>
      </c>
      <c r="C89" s="31">
        <v>1977.1499999999999</v>
      </c>
      <c r="D89" s="31">
        <v>3337.8899999999994</v>
      </c>
    </row>
    <row r="90" ht="15.75" customHeight="1">
      <c r="A90" s="17">
        <v>21105.0</v>
      </c>
      <c r="B90" s="17" t="s">
        <v>149</v>
      </c>
      <c r="C90" s="31">
        <v>734.9699999999999</v>
      </c>
      <c r="D90" s="31">
        <v>2631.0</v>
      </c>
    </row>
    <row r="91" ht="15.75" customHeight="1">
      <c r="A91" s="17">
        <v>21201.0</v>
      </c>
      <c r="B91" s="17" t="s">
        <v>150</v>
      </c>
      <c r="C91" s="31">
        <v>0.0</v>
      </c>
      <c r="D91" s="31">
        <v>0.0</v>
      </c>
    </row>
    <row r="92" ht="15.75" customHeight="1">
      <c r="A92" s="17">
        <v>21202.0</v>
      </c>
      <c r="B92" s="17" t="s">
        <v>151</v>
      </c>
      <c r="C92" s="31">
        <v>0.0</v>
      </c>
      <c r="D92" s="31">
        <v>0.0</v>
      </c>
    </row>
    <row r="93" ht="15.75" customHeight="1">
      <c r="A93" s="17">
        <v>21203.0</v>
      </c>
      <c r="B93" s="17" t="s">
        <v>152</v>
      </c>
      <c r="C93" s="31">
        <v>0.0</v>
      </c>
      <c r="D93" s="31">
        <v>0.0</v>
      </c>
    </row>
    <row r="94" ht="15.75" customHeight="1">
      <c r="A94" s="17">
        <v>21204.0</v>
      </c>
      <c r="B94" s="17" t="s">
        <v>153</v>
      </c>
      <c r="C94" s="31">
        <v>0.0</v>
      </c>
      <c r="D94" s="31">
        <v>0.0</v>
      </c>
    </row>
    <row r="95" ht="15.75" customHeight="1">
      <c r="A95" s="17">
        <v>21301.0</v>
      </c>
      <c r="B95" s="17" t="s">
        <v>154</v>
      </c>
      <c r="C95" s="31">
        <v>0.0</v>
      </c>
      <c r="D95" s="31">
        <v>0.0</v>
      </c>
    </row>
    <row r="96" ht="15.75" customHeight="1">
      <c r="A96" s="17">
        <v>21302.0</v>
      </c>
      <c r="B96" s="17" t="s">
        <v>155</v>
      </c>
      <c r="C96" s="31">
        <v>0.0</v>
      </c>
      <c r="D96" s="31">
        <v>0.0</v>
      </c>
    </row>
    <row r="97" ht="15.75" customHeight="1">
      <c r="A97" s="17">
        <v>21303.0</v>
      </c>
      <c r="B97" s="17" t="s">
        <v>156</v>
      </c>
      <c r="C97" s="31">
        <v>0.0</v>
      </c>
      <c r="D97" s="31">
        <v>0.0</v>
      </c>
    </row>
    <row r="98" ht="15.75" customHeight="1">
      <c r="A98" s="17">
        <v>21304.0</v>
      </c>
      <c r="B98" s="17" t="s">
        <v>157</v>
      </c>
      <c r="C98" s="31">
        <v>0.0</v>
      </c>
      <c r="D98" s="31">
        <v>0.0</v>
      </c>
    </row>
    <row r="99" ht="15.75" customHeight="1">
      <c r="A99" s="17">
        <v>21305.0</v>
      </c>
      <c r="B99" s="17" t="s">
        <v>158</v>
      </c>
      <c r="C99" s="31">
        <v>0.0</v>
      </c>
      <c r="D99" s="31">
        <v>0.0</v>
      </c>
    </row>
    <row r="100" ht="15.75" customHeight="1">
      <c r="A100" s="17">
        <v>21306.0</v>
      </c>
      <c r="B100" s="17" t="s">
        <v>159</v>
      </c>
      <c r="C100" s="31">
        <v>0.0</v>
      </c>
      <c r="D100" s="31">
        <v>0.0</v>
      </c>
    </row>
    <row r="101" ht="15.75" customHeight="1">
      <c r="A101" s="17">
        <v>21307.0</v>
      </c>
      <c r="B101" s="17" t="s">
        <v>160</v>
      </c>
      <c r="C101" s="31">
        <v>0.0</v>
      </c>
      <c r="D101" s="31">
        <v>0.0</v>
      </c>
    </row>
    <row r="102" ht="15.75" customHeight="1">
      <c r="A102" s="17">
        <v>21401.0</v>
      </c>
      <c r="B102" s="17" t="s">
        <v>161</v>
      </c>
      <c r="C102" s="31">
        <v>137.82000000000002</v>
      </c>
      <c r="D102" s="31">
        <v>837.93</v>
      </c>
    </row>
    <row r="103" ht="15.75" customHeight="1">
      <c r="A103" s="17">
        <v>21402.0</v>
      </c>
      <c r="B103" s="17" t="s">
        <v>162</v>
      </c>
      <c r="C103" s="31">
        <v>89.88</v>
      </c>
      <c r="D103" s="31">
        <v>448.17</v>
      </c>
    </row>
    <row r="104" ht="15.75" customHeight="1">
      <c r="A104" s="17">
        <v>21501.0</v>
      </c>
      <c r="B104" s="17" t="s">
        <v>163</v>
      </c>
      <c r="C104" s="31">
        <v>7390.02</v>
      </c>
      <c r="D104" s="31">
        <v>8413.26</v>
      </c>
    </row>
    <row r="105" ht="15.75" customHeight="1">
      <c r="A105" s="17">
        <v>21502.0</v>
      </c>
      <c r="B105" s="17" t="s">
        <v>164</v>
      </c>
      <c r="C105" s="31">
        <v>2615.8799999999997</v>
      </c>
      <c r="D105" s="31">
        <v>2002.8000000000002</v>
      </c>
    </row>
    <row r="106" ht="15.75" customHeight="1">
      <c r="A106" s="17">
        <v>21601.0</v>
      </c>
      <c r="B106" s="17" t="s">
        <v>165</v>
      </c>
      <c r="C106" s="31">
        <v>447.09</v>
      </c>
      <c r="D106" s="31">
        <v>402.42</v>
      </c>
    </row>
    <row r="107" ht="15.75" customHeight="1">
      <c r="A107" s="17">
        <v>21602.0</v>
      </c>
      <c r="B107" s="17" t="s">
        <v>166</v>
      </c>
      <c r="C107" s="31">
        <v>79.67999999999999</v>
      </c>
      <c r="D107" s="31">
        <v>15.209999999999999</v>
      </c>
    </row>
    <row r="108" ht="15.75" customHeight="1">
      <c r="A108" s="17">
        <v>21701.0</v>
      </c>
      <c r="B108" s="17" t="s">
        <v>167</v>
      </c>
      <c r="C108" s="31">
        <v>0.0</v>
      </c>
      <c r="D108" s="31">
        <v>0.0</v>
      </c>
    </row>
    <row r="109" ht="15.75" customHeight="1">
      <c r="A109" s="17">
        <v>21702.0</v>
      </c>
      <c r="B109" s="17" t="s">
        <v>168</v>
      </c>
      <c r="C109" s="31">
        <v>0.0</v>
      </c>
      <c r="D109" s="31">
        <v>0.0</v>
      </c>
    </row>
    <row r="110" ht="15.75" customHeight="1">
      <c r="A110" s="17">
        <v>21703.0</v>
      </c>
      <c r="B110" s="17" t="s">
        <v>169</v>
      </c>
      <c r="C110" s="31">
        <v>0.0</v>
      </c>
      <c r="D110" s="31">
        <v>0.0</v>
      </c>
    </row>
    <row r="111" ht="15.75" customHeight="1">
      <c r="A111" s="17">
        <v>21801.0</v>
      </c>
      <c r="B111" s="17" t="s">
        <v>170</v>
      </c>
      <c r="C111" s="31">
        <v>0.0</v>
      </c>
      <c r="D111" s="31">
        <v>0.0</v>
      </c>
    </row>
    <row r="112" ht="15.75" customHeight="1">
      <c r="A112" s="17">
        <v>21802.0</v>
      </c>
      <c r="B112" s="17" t="s">
        <v>171</v>
      </c>
      <c r="C112" s="31">
        <v>0.0</v>
      </c>
      <c r="D112" s="31">
        <v>0.0</v>
      </c>
    </row>
    <row r="113" ht="15.75" customHeight="1">
      <c r="A113" s="17">
        <v>21803.0</v>
      </c>
      <c r="B113" s="17" t="s">
        <v>172</v>
      </c>
      <c r="C113" s="31">
        <v>0.0</v>
      </c>
      <c r="D113" s="31">
        <v>0.0</v>
      </c>
    </row>
    <row r="114" ht="15.75" customHeight="1">
      <c r="A114" s="17">
        <v>21901.0</v>
      </c>
      <c r="B114" s="17" t="s">
        <v>173</v>
      </c>
      <c r="C114" s="31">
        <v>0.0</v>
      </c>
      <c r="D114" s="31">
        <v>0.0</v>
      </c>
    </row>
    <row r="115" ht="15.75" customHeight="1">
      <c r="A115" s="17">
        <v>21902.0</v>
      </c>
      <c r="B115" s="17" t="s">
        <v>174</v>
      </c>
      <c r="C115" s="31">
        <v>0.0</v>
      </c>
      <c r="D115" s="31">
        <v>0.0</v>
      </c>
    </row>
    <row r="116" ht="15.75" customHeight="1">
      <c r="A116" s="17">
        <v>22001.0</v>
      </c>
      <c r="B116" s="17" t="s">
        <v>175</v>
      </c>
      <c r="C116" s="31">
        <v>476.78999999999996</v>
      </c>
      <c r="D116" s="31">
        <v>2422.92</v>
      </c>
    </row>
    <row r="117" ht="15.75" customHeight="1">
      <c r="A117" s="17">
        <v>22002.0</v>
      </c>
      <c r="B117" s="17" t="s">
        <v>176</v>
      </c>
      <c r="C117" s="31">
        <v>835.71</v>
      </c>
      <c r="D117" s="31">
        <v>1723.2300000000002</v>
      </c>
    </row>
    <row r="118" ht="15.75" customHeight="1">
      <c r="A118" s="17">
        <v>30101.0</v>
      </c>
      <c r="B118" s="17" t="s">
        <v>177</v>
      </c>
      <c r="C118" s="31">
        <v>12.36</v>
      </c>
      <c r="D118" s="31">
        <v>61.23</v>
      </c>
    </row>
    <row r="119" ht="15.75" customHeight="1">
      <c r="A119" s="17">
        <v>30201.0</v>
      </c>
      <c r="B119" s="17" t="s">
        <v>178</v>
      </c>
      <c r="C119" s="31">
        <v>282.27</v>
      </c>
      <c r="D119" s="31">
        <v>21.15</v>
      </c>
    </row>
    <row r="120" ht="15.75" customHeight="1">
      <c r="A120" s="17">
        <v>30202.0</v>
      </c>
      <c r="B120" s="17" t="s">
        <v>179</v>
      </c>
      <c r="C120" s="31">
        <v>436.26</v>
      </c>
      <c r="D120" s="31">
        <v>156.27</v>
      </c>
    </row>
    <row r="121" ht="15.75" customHeight="1">
      <c r="A121" s="17">
        <v>30203.0</v>
      </c>
      <c r="B121" s="17" t="s">
        <v>180</v>
      </c>
      <c r="C121" s="31">
        <v>54.84</v>
      </c>
      <c r="D121" s="31">
        <v>28.290000000000003</v>
      </c>
    </row>
    <row r="122" ht="15.75" customHeight="1">
      <c r="A122" s="17">
        <v>30301.0</v>
      </c>
      <c r="B122" s="17" t="s">
        <v>181</v>
      </c>
      <c r="C122" s="31">
        <v>143.01</v>
      </c>
      <c r="D122" s="31">
        <v>196.35</v>
      </c>
    </row>
    <row r="123" ht="15.75" customHeight="1">
      <c r="A123" s="17">
        <v>30302.0</v>
      </c>
      <c r="B123" s="17" t="s">
        <v>182</v>
      </c>
      <c r="C123" s="31">
        <v>56.279999999999994</v>
      </c>
      <c r="D123" s="31">
        <v>59.67000000000001</v>
      </c>
    </row>
    <row r="124" ht="15.75" customHeight="1">
      <c r="A124" s="17">
        <v>30303.0</v>
      </c>
      <c r="B124" s="17" t="s">
        <v>183</v>
      </c>
      <c r="C124" s="31">
        <v>744.3000000000001</v>
      </c>
      <c r="D124" s="31">
        <v>1638.99</v>
      </c>
    </row>
    <row r="125" ht="15.75" customHeight="1">
      <c r="A125" s="17">
        <v>30401.0</v>
      </c>
      <c r="B125" s="17" t="s">
        <v>184</v>
      </c>
      <c r="C125" s="31">
        <v>4.35</v>
      </c>
      <c r="D125" s="31">
        <v>1.4400000000000002</v>
      </c>
    </row>
    <row r="126" ht="15.75" customHeight="1">
      <c r="A126" s="17">
        <v>30402.0</v>
      </c>
      <c r="B126" s="17" t="s">
        <v>185</v>
      </c>
      <c r="C126" s="31">
        <v>18.33</v>
      </c>
      <c r="D126" s="31">
        <v>4.86</v>
      </c>
    </row>
    <row r="127" ht="15.75" customHeight="1">
      <c r="A127" s="17">
        <v>30403.0</v>
      </c>
      <c r="B127" s="17" t="s">
        <v>186</v>
      </c>
      <c r="C127" s="31">
        <v>0.0</v>
      </c>
      <c r="D127" s="31">
        <v>0.0</v>
      </c>
    </row>
    <row r="128" ht="15.75" customHeight="1">
      <c r="A128" s="17">
        <v>30404.0</v>
      </c>
      <c r="B128" s="17" t="s">
        <v>187</v>
      </c>
      <c r="C128" s="31">
        <v>0.0</v>
      </c>
      <c r="D128" s="31">
        <v>0.0</v>
      </c>
    </row>
    <row r="129" ht="15.75" customHeight="1">
      <c r="A129" s="17">
        <v>30501.0</v>
      </c>
      <c r="B129" s="17" t="s">
        <v>188</v>
      </c>
      <c r="C129" s="31">
        <v>3.33</v>
      </c>
      <c r="D129" s="31">
        <v>12.749999999999998</v>
      </c>
    </row>
    <row r="130" ht="15.75" customHeight="1">
      <c r="A130" s="17">
        <v>30502.0</v>
      </c>
      <c r="B130" s="17" t="s">
        <v>189</v>
      </c>
      <c r="C130" s="31">
        <v>3.2399999999999998</v>
      </c>
      <c r="D130" s="31">
        <v>22.38</v>
      </c>
    </row>
    <row r="131" ht="15.75" customHeight="1">
      <c r="A131" s="17">
        <v>30601.0</v>
      </c>
      <c r="B131" s="17" t="s">
        <v>190</v>
      </c>
      <c r="C131" s="31">
        <v>0.0</v>
      </c>
      <c r="D131" s="31">
        <v>0.0</v>
      </c>
    </row>
    <row r="132" ht="15.75" customHeight="1">
      <c r="A132" s="17">
        <v>30602.0</v>
      </c>
      <c r="B132" s="17" t="s">
        <v>191</v>
      </c>
      <c r="C132" s="31">
        <v>0.0</v>
      </c>
      <c r="D132" s="31">
        <v>0.0</v>
      </c>
    </row>
    <row r="133" ht="15.75" customHeight="1">
      <c r="A133" s="17">
        <v>30701.0</v>
      </c>
      <c r="B133" s="17" t="s">
        <v>192</v>
      </c>
      <c r="C133" s="31">
        <v>5.16</v>
      </c>
      <c r="D133" s="31">
        <v>14.37</v>
      </c>
    </row>
    <row r="134" ht="15.75" customHeight="1">
      <c r="A134" s="17">
        <v>30702.0</v>
      </c>
      <c r="B134" s="17" t="s">
        <v>193</v>
      </c>
      <c r="C134" s="31">
        <v>10.74</v>
      </c>
      <c r="D134" s="31">
        <v>5.580000000000001</v>
      </c>
    </row>
    <row r="135" ht="15.75" customHeight="1">
      <c r="A135" s="17">
        <v>30703.0</v>
      </c>
      <c r="B135" s="17" t="s">
        <v>194</v>
      </c>
      <c r="C135" s="31">
        <v>0.0</v>
      </c>
      <c r="D135" s="31">
        <v>0.0</v>
      </c>
    </row>
    <row r="136" ht="15.75" customHeight="1">
      <c r="A136" s="17">
        <v>30801.0</v>
      </c>
      <c r="B136" s="17" t="s">
        <v>195</v>
      </c>
      <c r="C136" s="31">
        <v>0.0</v>
      </c>
      <c r="D136" s="31">
        <v>0.0</v>
      </c>
    </row>
    <row r="137" ht="15.75" customHeight="1">
      <c r="A137" s="17">
        <v>30802.0</v>
      </c>
      <c r="B137" s="17" t="s">
        <v>196</v>
      </c>
      <c r="C137" s="31">
        <v>0.0</v>
      </c>
      <c r="D137" s="31">
        <v>0.0</v>
      </c>
    </row>
    <row r="138" ht="15.75" customHeight="1">
      <c r="A138" s="17">
        <v>30803.0</v>
      </c>
      <c r="B138" s="17" t="s">
        <v>197</v>
      </c>
      <c r="C138" s="31">
        <v>0.0</v>
      </c>
      <c r="D138" s="31">
        <v>0.0</v>
      </c>
    </row>
    <row r="139" ht="15.75" customHeight="1">
      <c r="A139" s="17">
        <v>30901.0</v>
      </c>
      <c r="B139" s="17" t="s">
        <v>198</v>
      </c>
      <c r="C139" s="31">
        <v>13.08</v>
      </c>
      <c r="D139" s="31">
        <v>101.85000000000001</v>
      </c>
    </row>
    <row r="140" ht="15.75" customHeight="1">
      <c r="A140" s="17">
        <v>30902.0</v>
      </c>
      <c r="B140" s="17" t="s">
        <v>199</v>
      </c>
      <c r="C140" s="31">
        <v>7.32</v>
      </c>
      <c r="D140" s="31">
        <v>50.43</v>
      </c>
    </row>
    <row r="141" ht="15.75" customHeight="1">
      <c r="A141" s="17">
        <v>30903.0</v>
      </c>
      <c r="B141" s="17" t="s">
        <v>200</v>
      </c>
      <c r="C141" s="31">
        <v>11.699999999999998</v>
      </c>
      <c r="D141" s="31">
        <v>136.26</v>
      </c>
    </row>
    <row r="142" ht="15.75" customHeight="1">
      <c r="A142" s="17">
        <v>30904.0</v>
      </c>
      <c r="B142" s="17" t="s">
        <v>201</v>
      </c>
      <c r="C142" s="31">
        <v>13.050000000000002</v>
      </c>
      <c r="D142" s="31">
        <v>92.91000000000001</v>
      </c>
    </row>
    <row r="143" ht="15.75" customHeight="1">
      <c r="A143" s="17">
        <v>30905.0</v>
      </c>
      <c r="B143" s="17" t="s">
        <v>202</v>
      </c>
      <c r="C143" s="31">
        <v>3.09</v>
      </c>
      <c r="D143" s="31">
        <v>54.57</v>
      </c>
    </row>
    <row r="144" ht="15.75" customHeight="1">
      <c r="A144" s="17">
        <v>31001.0</v>
      </c>
      <c r="B144" s="17" t="s">
        <v>203</v>
      </c>
      <c r="C144" s="31">
        <v>21.72</v>
      </c>
      <c r="D144" s="31">
        <v>77.7</v>
      </c>
    </row>
    <row r="145" ht="15.75" customHeight="1">
      <c r="A145" s="17">
        <v>31002.0</v>
      </c>
      <c r="B145" s="17" t="s">
        <v>204</v>
      </c>
      <c r="C145" s="31">
        <v>135.51</v>
      </c>
      <c r="D145" s="31">
        <v>260.67</v>
      </c>
    </row>
    <row r="146" ht="15.75" customHeight="1">
      <c r="A146" s="17">
        <v>31003.0</v>
      </c>
      <c r="B146" s="17" t="s">
        <v>205</v>
      </c>
      <c r="C146" s="31">
        <v>7553.009999999999</v>
      </c>
      <c r="D146" s="31">
        <v>8791.17</v>
      </c>
    </row>
    <row r="147" ht="15.75" customHeight="1">
      <c r="A147" s="17">
        <v>31101.0</v>
      </c>
      <c r="B147" s="17" t="s">
        <v>206</v>
      </c>
      <c r="C147" s="31">
        <v>9.540000000000001</v>
      </c>
      <c r="D147" s="31">
        <v>5.37</v>
      </c>
    </row>
    <row r="148" ht="15.75" customHeight="1">
      <c r="A148" s="17">
        <v>31201.0</v>
      </c>
      <c r="B148" s="17" t="s">
        <v>207</v>
      </c>
      <c r="C148" s="31">
        <v>467.79</v>
      </c>
      <c r="D148" s="31">
        <v>397.08</v>
      </c>
    </row>
    <row r="149" ht="15.75" customHeight="1">
      <c r="A149" s="17">
        <v>31202.0</v>
      </c>
      <c r="B149" s="17" t="s">
        <v>208</v>
      </c>
      <c r="C149" s="31">
        <v>471.09</v>
      </c>
      <c r="D149" s="31">
        <v>331.83</v>
      </c>
    </row>
    <row r="150" ht="15.75" customHeight="1">
      <c r="A150" s="17">
        <v>31203.0</v>
      </c>
      <c r="B150" s="17" t="s">
        <v>209</v>
      </c>
      <c r="C150" s="31">
        <v>69.96</v>
      </c>
      <c r="D150" s="31">
        <v>124.08</v>
      </c>
    </row>
    <row r="151" ht="15.75" customHeight="1">
      <c r="A151" s="17">
        <v>31204.0</v>
      </c>
      <c r="B151" s="17" t="s">
        <v>210</v>
      </c>
      <c r="C151" s="31">
        <v>3142.86</v>
      </c>
      <c r="D151" s="31">
        <v>2665.56</v>
      </c>
    </row>
    <row r="152" ht="15.75" customHeight="1">
      <c r="A152" s="17">
        <v>31205.0</v>
      </c>
      <c r="B152" s="17" t="s">
        <v>211</v>
      </c>
      <c r="C152" s="31">
        <v>2258.7000000000003</v>
      </c>
      <c r="D152" s="31">
        <v>2215.0499999999997</v>
      </c>
    </row>
    <row r="153" ht="15.75" customHeight="1">
      <c r="A153" s="17">
        <v>31206.0</v>
      </c>
      <c r="B153" s="17" t="s">
        <v>212</v>
      </c>
      <c r="C153" s="31">
        <v>2022.6599999999999</v>
      </c>
      <c r="D153" s="31">
        <v>2068.02</v>
      </c>
    </row>
    <row r="154" ht="15.75" customHeight="1">
      <c r="A154" s="17">
        <v>31301.0</v>
      </c>
      <c r="B154" s="17" t="s">
        <v>213</v>
      </c>
      <c r="C154" s="31">
        <v>97.74000000000001</v>
      </c>
      <c r="D154" s="31">
        <v>27.99</v>
      </c>
    </row>
    <row r="155" ht="15.75" customHeight="1">
      <c r="A155" s="17">
        <v>31302.0</v>
      </c>
      <c r="B155" s="17" t="s">
        <v>214</v>
      </c>
      <c r="C155" s="31">
        <v>35.88</v>
      </c>
      <c r="D155" s="31">
        <v>12.42</v>
      </c>
    </row>
    <row r="156" ht="15.75" customHeight="1">
      <c r="A156" s="17">
        <v>31303.0</v>
      </c>
      <c r="B156" s="17" t="s">
        <v>215</v>
      </c>
      <c r="C156" s="31">
        <v>5.7</v>
      </c>
      <c r="D156" s="31">
        <v>10.41</v>
      </c>
    </row>
    <row r="157" ht="15.75" customHeight="1">
      <c r="A157" s="17">
        <v>31304.0</v>
      </c>
      <c r="B157" s="17" t="s">
        <v>216</v>
      </c>
      <c r="C157" s="31">
        <v>38.07</v>
      </c>
      <c r="D157" s="31">
        <v>8.43</v>
      </c>
    </row>
    <row r="158" ht="15.75" customHeight="1">
      <c r="A158" s="17">
        <v>31401.0</v>
      </c>
      <c r="B158" s="17" t="s">
        <v>217</v>
      </c>
      <c r="C158" s="31">
        <v>0.0</v>
      </c>
      <c r="D158" s="31">
        <v>0.0</v>
      </c>
    </row>
    <row r="159" ht="15.75" customHeight="1">
      <c r="A159" s="17">
        <v>31402.0</v>
      </c>
      <c r="B159" s="17" t="s">
        <v>218</v>
      </c>
      <c r="C159" s="31">
        <v>0.0</v>
      </c>
      <c r="D159" s="31">
        <v>0.0</v>
      </c>
    </row>
    <row r="160" ht="15.75" customHeight="1">
      <c r="A160" s="17">
        <v>31403.0</v>
      </c>
      <c r="B160" s="17" t="s">
        <v>219</v>
      </c>
      <c r="C160" s="31">
        <v>5.01</v>
      </c>
      <c r="D160" s="31">
        <v>13.650000000000004</v>
      </c>
    </row>
    <row r="161" ht="15.75" customHeight="1">
      <c r="A161" s="17">
        <v>31404.0</v>
      </c>
      <c r="B161" s="17" t="s">
        <v>220</v>
      </c>
      <c r="C161" s="31">
        <v>0.0</v>
      </c>
      <c r="D161" s="31">
        <v>0.0</v>
      </c>
    </row>
    <row r="162" ht="15.75" customHeight="1">
      <c r="A162" s="17">
        <v>31405.0</v>
      </c>
      <c r="B162" s="17" t="s">
        <v>221</v>
      </c>
      <c r="C162" s="31">
        <v>0.0</v>
      </c>
      <c r="D162" s="31">
        <v>0.0</v>
      </c>
    </row>
    <row r="163" ht="15.75" customHeight="1">
      <c r="A163" s="17">
        <v>31501.0</v>
      </c>
      <c r="B163" s="17" t="s">
        <v>222</v>
      </c>
      <c r="C163" s="31">
        <v>0.0</v>
      </c>
      <c r="D163" s="31">
        <v>0.0</v>
      </c>
    </row>
    <row r="164" ht="15.75" customHeight="1">
      <c r="A164" s="17">
        <v>31601.0</v>
      </c>
      <c r="B164" s="17" t="s">
        <v>223</v>
      </c>
      <c r="C164" s="31">
        <v>361.89000000000004</v>
      </c>
      <c r="D164" s="31">
        <v>340.77000000000004</v>
      </c>
    </row>
    <row r="165" ht="15.75" customHeight="1">
      <c r="A165" s="17">
        <v>31602.0</v>
      </c>
      <c r="B165" s="17" t="s">
        <v>224</v>
      </c>
      <c r="C165" s="31">
        <v>703.11</v>
      </c>
      <c r="D165" s="31">
        <v>803.6700000000001</v>
      </c>
    </row>
    <row r="166" ht="15.75" customHeight="1">
      <c r="A166" s="17">
        <v>40101.0</v>
      </c>
      <c r="B166" s="17" t="s">
        <v>225</v>
      </c>
      <c r="C166" s="31">
        <v>0.0</v>
      </c>
      <c r="D166" s="31">
        <v>0.0</v>
      </c>
    </row>
    <row r="167" ht="15.75" customHeight="1">
      <c r="A167" s="17">
        <v>40102.0</v>
      </c>
      <c r="B167" s="17" t="s">
        <v>226</v>
      </c>
      <c r="C167" s="31">
        <v>0.0</v>
      </c>
      <c r="D167" s="31">
        <v>0.0</v>
      </c>
    </row>
    <row r="168" ht="15.75" customHeight="1">
      <c r="A168" s="17">
        <v>40103.0</v>
      </c>
      <c r="B168" s="17" t="s">
        <v>227</v>
      </c>
      <c r="C168" s="31">
        <v>0.0</v>
      </c>
      <c r="D168" s="31">
        <v>0.0</v>
      </c>
    </row>
    <row r="169" ht="15.75" customHeight="1">
      <c r="A169" s="17">
        <v>40104.0</v>
      </c>
      <c r="B169" s="17" t="s">
        <v>228</v>
      </c>
      <c r="C169" s="31">
        <v>0.0</v>
      </c>
      <c r="D169" s="31">
        <v>0.0</v>
      </c>
    </row>
    <row r="170" ht="15.75" customHeight="1">
      <c r="A170" s="17">
        <v>40201.0</v>
      </c>
      <c r="B170" s="17" t="s">
        <v>229</v>
      </c>
      <c r="C170" s="31">
        <v>0.0</v>
      </c>
      <c r="D170" s="31">
        <v>0.0</v>
      </c>
    </row>
    <row r="171" ht="15.75" customHeight="1">
      <c r="A171" s="17">
        <v>40202.0</v>
      </c>
      <c r="B171" s="17" t="s">
        <v>230</v>
      </c>
      <c r="C171" s="31">
        <v>0.0</v>
      </c>
      <c r="D171" s="31">
        <v>0.0</v>
      </c>
    </row>
    <row r="172" ht="15.75" customHeight="1">
      <c r="A172" s="17">
        <v>40301.0</v>
      </c>
      <c r="B172" s="17" t="s">
        <v>231</v>
      </c>
      <c r="C172" s="31">
        <v>0.0</v>
      </c>
      <c r="D172" s="31">
        <v>0.0</v>
      </c>
    </row>
    <row r="173" ht="15.75" customHeight="1">
      <c r="A173" s="17">
        <v>40302.0</v>
      </c>
      <c r="B173" s="17" t="s">
        <v>232</v>
      </c>
      <c r="C173" s="31">
        <v>0.0</v>
      </c>
      <c r="D173" s="31">
        <v>0.0</v>
      </c>
    </row>
    <row r="174" ht="15.75" customHeight="1">
      <c r="A174" s="17">
        <v>40401.0</v>
      </c>
      <c r="B174" s="17" t="s">
        <v>233</v>
      </c>
      <c r="C174" s="31">
        <v>0.0</v>
      </c>
      <c r="D174" s="31">
        <v>0.0</v>
      </c>
    </row>
    <row r="175" ht="15.75" customHeight="1">
      <c r="A175" s="17">
        <v>40402.0</v>
      </c>
      <c r="B175" s="17" t="s">
        <v>234</v>
      </c>
      <c r="C175" s="31">
        <v>0.0</v>
      </c>
      <c r="D175" s="31">
        <v>0.0</v>
      </c>
    </row>
    <row r="176" ht="15.75" customHeight="1">
      <c r="A176" s="17">
        <v>40501.0</v>
      </c>
      <c r="B176" s="17" t="s">
        <v>235</v>
      </c>
      <c r="C176" s="31">
        <v>0.0</v>
      </c>
      <c r="D176" s="31">
        <v>0.0</v>
      </c>
    </row>
    <row r="177" ht="15.75" customHeight="1">
      <c r="A177" s="17">
        <v>40502.0</v>
      </c>
      <c r="B177" s="17" t="s">
        <v>236</v>
      </c>
      <c r="C177" s="31">
        <v>0.0</v>
      </c>
      <c r="D177" s="31">
        <v>0.0</v>
      </c>
    </row>
    <row r="178" ht="15.75" customHeight="1">
      <c r="A178" s="17">
        <v>40503.0</v>
      </c>
      <c r="B178" s="17" t="s">
        <v>237</v>
      </c>
      <c r="C178" s="31">
        <v>0.0</v>
      </c>
      <c r="D178" s="31">
        <v>0.0</v>
      </c>
    </row>
    <row r="179" ht="15.75" customHeight="1">
      <c r="A179" s="17">
        <v>40504.0</v>
      </c>
      <c r="B179" s="17" t="s">
        <v>238</v>
      </c>
      <c r="C179" s="31">
        <v>0.0</v>
      </c>
      <c r="D179" s="31">
        <v>0.0</v>
      </c>
    </row>
    <row r="180" ht="15.75" customHeight="1">
      <c r="A180" s="17">
        <v>40505.0</v>
      </c>
      <c r="B180" s="17" t="s">
        <v>239</v>
      </c>
      <c r="C180" s="31">
        <v>0.0</v>
      </c>
      <c r="D180" s="31">
        <v>0.0</v>
      </c>
    </row>
    <row r="181" ht="15.75" customHeight="1">
      <c r="A181" s="17">
        <v>40601.0</v>
      </c>
      <c r="B181" s="17" t="s">
        <v>240</v>
      </c>
      <c r="C181" s="31">
        <v>0.0</v>
      </c>
      <c r="D181" s="31">
        <v>0.0</v>
      </c>
    </row>
    <row r="182" ht="15.75" customHeight="1">
      <c r="A182" s="17">
        <v>40602.0</v>
      </c>
      <c r="B182" s="17" t="s">
        <v>241</v>
      </c>
      <c r="C182" s="31">
        <v>0.0</v>
      </c>
      <c r="D182" s="31">
        <v>0.0</v>
      </c>
    </row>
    <row r="183" ht="15.75" customHeight="1">
      <c r="A183" s="17">
        <v>40603.0</v>
      </c>
      <c r="B183" s="17" t="s">
        <v>242</v>
      </c>
      <c r="C183" s="31">
        <v>0.0</v>
      </c>
      <c r="D183" s="31">
        <v>0.0</v>
      </c>
    </row>
    <row r="184" ht="15.75" customHeight="1">
      <c r="A184" s="17">
        <v>40701.0</v>
      </c>
      <c r="B184" s="17" t="s">
        <v>243</v>
      </c>
      <c r="C184" s="31">
        <v>0.0</v>
      </c>
      <c r="D184" s="31">
        <v>0.0</v>
      </c>
    </row>
    <row r="185" ht="15.75" customHeight="1">
      <c r="A185" s="17">
        <v>40702.0</v>
      </c>
      <c r="B185" s="17" t="s">
        <v>244</v>
      </c>
      <c r="C185" s="31">
        <v>0.0</v>
      </c>
      <c r="D185" s="31">
        <v>0.0</v>
      </c>
    </row>
    <row r="186" ht="15.75" customHeight="1">
      <c r="A186" s="17">
        <v>40801.0</v>
      </c>
      <c r="B186" s="17" t="s">
        <v>245</v>
      </c>
      <c r="C186" s="31">
        <v>0.0</v>
      </c>
      <c r="D186" s="31">
        <v>0.0</v>
      </c>
    </row>
    <row r="187" ht="15.75" customHeight="1">
      <c r="A187" s="17">
        <v>40802.0</v>
      </c>
      <c r="B187" s="17" t="s">
        <v>246</v>
      </c>
      <c r="C187" s="31">
        <v>0.0</v>
      </c>
      <c r="D187" s="31">
        <v>0.0</v>
      </c>
    </row>
    <row r="188" ht="15.75" customHeight="1">
      <c r="A188" s="17">
        <v>40901.0</v>
      </c>
      <c r="B188" s="17" t="s">
        <v>247</v>
      </c>
      <c r="C188" s="31">
        <v>0.0</v>
      </c>
      <c r="D188" s="31">
        <v>0.0</v>
      </c>
    </row>
    <row r="189" ht="15.75" customHeight="1">
      <c r="A189" s="17">
        <v>40902.0</v>
      </c>
      <c r="B189" s="17" t="s">
        <v>248</v>
      </c>
      <c r="C189" s="31">
        <v>0.0</v>
      </c>
      <c r="D189" s="31">
        <v>0.0</v>
      </c>
    </row>
    <row r="190" ht="15.75" customHeight="1">
      <c r="A190" s="17">
        <v>40903.0</v>
      </c>
      <c r="B190" s="17" t="s">
        <v>249</v>
      </c>
      <c r="C190" s="31">
        <v>0.0</v>
      </c>
      <c r="D190" s="31">
        <v>0.0</v>
      </c>
    </row>
    <row r="191" ht="15.75" customHeight="1">
      <c r="A191" s="17">
        <v>41001.0</v>
      </c>
      <c r="B191" s="17" t="s">
        <v>250</v>
      </c>
      <c r="C191" s="31">
        <v>0.0</v>
      </c>
      <c r="D191" s="31">
        <v>0.0</v>
      </c>
    </row>
    <row r="192" ht="15.75" customHeight="1">
      <c r="A192" s="17">
        <v>41101.0</v>
      </c>
      <c r="B192" s="17" t="s">
        <v>251</v>
      </c>
      <c r="C192" s="31">
        <v>0.0</v>
      </c>
      <c r="D192" s="31">
        <v>0.0</v>
      </c>
    </row>
    <row r="193" ht="15.75" customHeight="1">
      <c r="A193" s="17">
        <v>41201.0</v>
      </c>
      <c r="B193" s="17" t="s">
        <v>252</v>
      </c>
      <c r="C193" s="31">
        <v>0.0</v>
      </c>
      <c r="D193" s="31">
        <v>0.0</v>
      </c>
    </row>
    <row r="194" ht="15.75" customHeight="1">
      <c r="A194" s="17">
        <v>41202.0</v>
      </c>
      <c r="B194" s="17" t="s">
        <v>253</v>
      </c>
      <c r="C194" s="31">
        <v>0.0</v>
      </c>
      <c r="D194" s="31">
        <v>0.0</v>
      </c>
    </row>
    <row r="195" ht="15.75" customHeight="1">
      <c r="A195" s="17">
        <v>41301.0</v>
      </c>
      <c r="B195" s="17" t="s">
        <v>207</v>
      </c>
      <c r="C195" s="31">
        <v>0.0</v>
      </c>
      <c r="D195" s="31">
        <v>0.0</v>
      </c>
    </row>
    <row r="196" ht="15.75" customHeight="1">
      <c r="A196" s="17">
        <v>41401.0</v>
      </c>
      <c r="B196" s="17" t="s">
        <v>254</v>
      </c>
      <c r="C196" s="31">
        <v>0.0</v>
      </c>
      <c r="D196" s="31">
        <v>0.0</v>
      </c>
    </row>
    <row r="197" ht="15.75" customHeight="1">
      <c r="A197" s="17">
        <v>41501.0</v>
      </c>
      <c r="B197" s="17" t="s">
        <v>255</v>
      </c>
      <c r="C197" s="31">
        <v>0.0</v>
      </c>
      <c r="D197" s="31">
        <v>0.0</v>
      </c>
    </row>
    <row r="198" ht="15.75" customHeight="1">
      <c r="A198" s="17">
        <v>41502.0</v>
      </c>
      <c r="B198" s="17" t="s">
        <v>256</v>
      </c>
      <c r="C198" s="31">
        <v>0.0</v>
      </c>
      <c r="D198" s="31">
        <v>0.0</v>
      </c>
    </row>
    <row r="199" ht="15.75" customHeight="1">
      <c r="A199" s="17">
        <v>41503.0</v>
      </c>
      <c r="B199" s="17" t="s">
        <v>257</v>
      </c>
      <c r="C199" s="31">
        <v>0.0</v>
      </c>
      <c r="D199" s="31">
        <v>0.0</v>
      </c>
    </row>
    <row r="200" ht="15.75" customHeight="1">
      <c r="A200" s="17">
        <v>41601.0</v>
      </c>
      <c r="B200" s="17" t="s">
        <v>258</v>
      </c>
      <c r="C200" s="31">
        <v>0.0</v>
      </c>
      <c r="D200" s="31">
        <v>0.0</v>
      </c>
    </row>
    <row r="201" ht="15.75" customHeight="1">
      <c r="A201" s="17">
        <v>50101.0</v>
      </c>
      <c r="B201" s="17" t="s">
        <v>259</v>
      </c>
      <c r="C201" s="31">
        <v>0.0</v>
      </c>
      <c r="D201" s="31">
        <v>0.0</v>
      </c>
    </row>
    <row r="202" ht="15.75" customHeight="1">
      <c r="A202" s="17">
        <v>50102.0</v>
      </c>
      <c r="B202" s="17" t="s">
        <v>260</v>
      </c>
      <c r="C202" s="31">
        <v>0.0</v>
      </c>
      <c r="D202" s="31">
        <v>0.0</v>
      </c>
    </row>
    <row r="203" ht="15.75" customHeight="1">
      <c r="A203" s="17">
        <v>50103.0</v>
      </c>
      <c r="B203" s="17" t="s">
        <v>261</v>
      </c>
      <c r="C203" s="31">
        <v>0.0</v>
      </c>
      <c r="D203" s="31">
        <v>0.0</v>
      </c>
    </row>
    <row r="204" ht="15.75" customHeight="1">
      <c r="A204" s="17">
        <v>50104.0</v>
      </c>
      <c r="B204" s="17" t="s">
        <v>262</v>
      </c>
      <c r="C204" s="31">
        <v>0.0</v>
      </c>
      <c r="D204" s="31">
        <v>0.0</v>
      </c>
    </row>
    <row r="205" ht="15.75" customHeight="1">
      <c r="A205" s="17">
        <v>50201.0</v>
      </c>
      <c r="B205" s="17" t="s">
        <v>263</v>
      </c>
      <c r="C205" s="31">
        <v>0.0</v>
      </c>
      <c r="D205" s="31">
        <v>0.0</v>
      </c>
    </row>
    <row r="206" ht="15.75" customHeight="1">
      <c r="A206" s="17">
        <v>50202.0</v>
      </c>
      <c r="B206" s="17" t="s">
        <v>264</v>
      </c>
      <c r="C206" s="31">
        <v>0.0</v>
      </c>
      <c r="D206" s="31">
        <v>0.0</v>
      </c>
    </row>
    <row r="207" ht="15.75" customHeight="1">
      <c r="A207" s="17">
        <v>50203.0</v>
      </c>
      <c r="B207" s="17" t="s">
        <v>265</v>
      </c>
      <c r="C207" s="31">
        <v>0.0</v>
      </c>
      <c r="D207" s="31">
        <v>0.0</v>
      </c>
    </row>
    <row r="208" ht="15.75" customHeight="1">
      <c r="A208" s="17">
        <v>50204.0</v>
      </c>
      <c r="B208" s="17" t="s">
        <v>266</v>
      </c>
      <c r="C208" s="31">
        <v>0.0</v>
      </c>
      <c r="D208" s="31">
        <v>0.0</v>
      </c>
    </row>
    <row r="209" ht="15.75" customHeight="1">
      <c r="A209" s="17">
        <v>50301.0</v>
      </c>
      <c r="B209" s="17" t="s">
        <v>267</v>
      </c>
      <c r="C209" s="31">
        <v>12.57</v>
      </c>
      <c r="D209" s="31">
        <v>78.92999999999999</v>
      </c>
    </row>
    <row r="210" ht="15.75" customHeight="1">
      <c r="A210" s="17">
        <v>50302.0</v>
      </c>
      <c r="B210" s="17" t="s">
        <v>268</v>
      </c>
      <c r="C210" s="31">
        <v>0.0</v>
      </c>
      <c r="D210" s="31">
        <v>0.0</v>
      </c>
    </row>
    <row r="211" ht="15.75" customHeight="1">
      <c r="A211" s="17">
        <v>50303.0</v>
      </c>
      <c r="B211" s="17" t="s">
        <v>269</v>
      </c>
      <c r="C211" s="31">
        <v>0.0</v>
      </c>
      <c r="D211" s="31">
        <v>0.0</v>
      </c>
    </row>
    <row r="212" ht="15.75" customHeight="1">
      <c r="A212" s="17">
        <v>50401.0</v>
      </c>
      <c r="B212" s="17" t="s">
        <v>270</v>
      </c>
      <c r="C212" s="31">
        <v>11.61</v>
      </c>
      <c r="D212" s="31">
        <v>1.89</v>
      </c>
    </row>
    <row r="213" ht="15.75" customHeight="1">
      <c r="A213" s="17">
        <v>50402.0</v>
      </c>
      <c r="B213" s="17" t="s">
        <v>271</v>
      </c>
      <c r="C213" s="31">
        <v>47.699999999999996</v>
      </c>
      <c r="D213" s="31">
        <v>41.67</v>
      </c>
    </row>
    <row r="214" ht="15.75" customHeight="1">
      <c r="A214" s="17">
        <v>50403.0</v>
      </c>
      <c r="B214" s="17" t="s">
        <v>272</v>
      </c>
      <c r="C214" s="31">
        <v>6.87</v>
      </c>
      <c r="D214" s="31">
        <v>2.04</v>
      </c>
    </row>
    <row r="215" ht="15.75" customHeight="1">
      <c r="A215" s="17">
        <v>50404.0</v>
      </c>
      <c r="B215" s="17" t="s">
        <v>273</v>
      </c>
      <c r="C215" s="31">
        <v>0.0</v>
      </c>
      <c r="D215" s="31">
        <v>0.0</v>
      </c>
    </row>
    <row r="216" ht="15.75" customHeight="1">
      <c r="A216" s="17">
        <v>50405.0</v>
      </c>
      <c r="B216" s="17" t="s">
        <v>274</v>
      </c>
      <c r="C216" s="31">
        <v>0.0</v>
      </c>
      <c r="D216" s="31">
        <v>0.0</v>
      </c>
    </row>
    <row r="217" ht="15.75" customHeight="1">
      <c r="A217" s="17">
        <v>50501.0</v>
      </c>
      <c r="B217" s="17" t="s">
        <v>275</v>
      </c>
      <c r="C217" s="31">
        <v>101.85000000000001</v>
      </c>
      <c r="D217" s="31">
        <v>36.96</v>
      </c>
    </row>
    <row r="218" ht="15.75" customHeight="1">
      <c r="A218" s="17">
        <v>50502.0</v>
      </c>
      <c r="B218" s="17" t="s">
        <v>276</v>
      </c>
      <c r="C218" s="31">
        <v>76.53</v>
      </c>
      <c r="D218" s="31">
        <v>27.090000000000003</v>
      </c>
    </row>
    <row r="219" ht="15.75" customHeight="1">
      <c r="A219" s="17">
        <v>50601.0</v>
      </c>
      <c r="B219" s="17" t="s">
        <v>277</v>
      </c>
      <c r="C219" s="31">
        <v>0.0</v>
      </c>
      <c r="D219" s="31">
        <v>0.0</v>
      </c>
    </row>
    <row r="220" ht="15.75" customHeight="1">
      <c r="A220" s="17">
        <v>50602.0</v>
      </c>
      <c r="B220" s="17" t="s">
        <v>278</v>
      </c>
      <c r="C220" s="31">
        <v>0.0</v>
      </c>
      <c r="D220" s="31">
        <v>0.0</v>
      </c>
    </row>
    <row r="221" ht="15.75" customHeight="1">
      <c r="A221" s="17">
        <v>50701.0</v>
      </c>
      <c r="B221" s="17" t="s">
        <v>279</v>
      </c>
      <c r="C221" s="31">
        <v>0.0</v>
      </c>
      <c r="D221" s="31">
        <v>0.0</v>
      </c>
    </row>
    <row r="222" ht="15.75" customHeight="1">
      <c r="A222" s="17">
        <v>50702.0</v>
      </c>
      <c r="B222" s="17" t="s">
        <v>280</v>
      </c>
      <c r="C222" s="31">
        <v>0.0</v>
      </c>
      <c r="D222" s="31">
        <v>0.0</v>
      </c>
    </row>
    <row r="223" ht="15.75" customHeight="1">
      <c r="A223" s="17">
        <v>50801.0</v>
      </c>
      <c r="B223" s="17" t="s">
        <v>281</v>
      </c>
      <c r="C223" s="31">
        <v>0.0</v>
      </c>
      <c r="D223" s="31">
        <v>0.0</v>
      </c>
    </row>
    <row r="224" ht="15.75" customHeight="1">
      <c r="A224" s="17">
        <v>50802.0</v>
      </c>
      <c r="B224" s="17" t="s">
        <v>282</v>
      </c>
      <c r="C224" s="31">
        <v>0.0</v>
      </c>
      <c r="D224" s="31">
        <v>0.0</v>
      </c>
    </row>
    <row r="225" ht="15.75" customHeight="1">
      <c r="A225" s="17">
        <v>50901.0</v>
      </c>
      <c r="B225" s="17" t="s">
        <v>283</v>
      </c>
      <c r="C225" s="31">
        <v>0.0</v>
      </c>
      <c r="D225" s="31">
        <v>0.0</v>
      </c>
    </row>
    <row r="226" ht="15.75" customHeight="1">
      <c r="A226" s="17">
        <v>50902.0</v>
      </c>
      <c r="B226" s="17" t="s">
        <v>284</v>
      </c>
      <c r="C226" s="31">
        <v>0.0</v>
      </c>
      <c r="D226" s="31">
        <v>0.0</v>
      </c>
    </row>
    <row r="227" ht="15.75" customHeight="1">
      <c r="A227" s="17">
        <v>51001.0</v>
      </c>
      <c r="B227" s="17" t="s">
        <v>285</v>
      </c>
      <c r="C227" s="31">
        <v>0.0</v>
      </c>
      <c r="D227" s="31">
        <v>0.0</v>
      </c>
    </row>
    <row r="228" ht="15.75" customHeight="1">
      <c r="A228" s="17">
        <v>51002.0</v>
      </c>
      <c r="B228" s="17" t="s">
        <v>286</v>
      </c>
      <c r="C228" s="31">
        <v>0.0</v>
      </c>
      <c r="D228" s="31">
        <v>0.0</v>
      </c>
    </row>
    <row r="229" ht="15.75" customHeight="1">
      <c r="A229" s="17">
        <v>51003.0</v>
      </c>
      <c r="B229" s="17" t="s">
        <v>287</v>
      </c>
      <c r="C229" s="31">
        <v>0.0</v>
      </c>
      <c r="D229" s="31">
        <v>0.0</v>
      </c>
    </row>
    <row r="230" ht="15.75" customHeight="1">
      <c r="A230" s="17">
        <v>51101.0</v>
      </c>
      <c r="B230" s="17" t="s">
        <v>288</v>
      </c>
      <c r="C230" s="31">
        <v>0.0</v>
      </c>
      <c r="D230" s="31">
        <v>0.0</v>
      </c>
    </row>
    <row r="231" ht="15.75" customHeight="1">
      <c r="A231" s="17">
        <v>51102.0</v>
      </c>
      <c r="B231" s="17" t="s">
        <v>289</v>
      </c>
      <c r="C231" s="31">
        <v>0.0</v>
      </c>
      <c r="D231" s="31">
        <v>0.0</v>
      </c>
    </row>
    <row r="232" ht="15.75" customHeight="1">
      <c r="A232" s="17">
        <v>51103.0</v>
      </c>
      <c r="B232" s="17" t="s">
        <v>290</v>
      </c>
      <c r="C232" s="31">
        <v>4.05</v>
      </c>
      <c r="D232" s="31">
        <v>48.629999999999995</v>
      </c>
    </row>
    <row r="233" ht="15.75" customHeight="1">
      <c r="A233" s="17">
        <v>51201.0</v>
      </c>
      <c r="B233" s="17" t="s">
        <v>291</v>
      </c>
      <c r="C233" s="31">
        <v>0.0</v>
      </c>
      <c r="D233" s="31">
        <v>0.0</v>
      </c>
    </row>
    <row r="234" ht="15.75" customHeight="1">
      <c r="A234" s="17">
        <v>51202.0</v>
      </c>
      <c r="B234" s="17" t="s">
        <v>292</v>
      </c>
      <c r="C234" s="31">
        <v>0.0</v>
      </c>
      <c r="D234" s="31">
        <v>0.0</v>
      </c>
    </row>
    <row r="235" ht="15.75" customHeight="1">
      <c r="A235" s="17">
        <v>51203.0</v>
      </c>
      <c r="B235" s="17" t="s">
        <v>293</v>
      </c>
      <c r="C235" s="31">
        <v>0.0</v>
      </c>
      <c r="D235" s="31">
        <v>0.0</v>
      </c>
    </row>
    <row r="236" ht="15.75" customHeight="1">
      <c r="A236" s="17">
        <v>51204.0</v>
      </c>
      <c r="B236" s="17" t="s">
        <v>294</v>
      </c>
      <c r="C236" s="31">
        <v>0.0</v>
      </c>
      <c r="D236" s="31">
        <v>0.0</v>
      </c>
    </row>
    <row r="237" ht="15.75" customHeight="1">
      <c r="A237" s="17">
        <v>51301.0</v>
      </c>
      <c r="B237" s="17" t="s">
        <v>295</v>
      </c>
      <c r="C237" s="31">
        <v>5.13</v>
      </c>
      <c r="D237" s="31">
        <v>0.27</v>
      </c>
    </row>
    <row r="238" ht="15.75" customHeight="1">
      <c r="A238" s="17">
        <v>51302.0</v>
      </c>
      <c r="B238" s="17" t="s">
        <v>296</v>
      </c>
      <c r="C238" s="31">
        <v>8.01</v>
      </c>
      <c r="D238" s="31">
        <v>2.64</v>
      </c>
    </row>
    <row r="239" ht="15.75" customHeight="1">
      <c r="A239" s="17">
        <v>51401.0</v>
      </c>
      <c r="B239" s="17" t="s">
        <v>297</v>
      </c>
      <c r="C239" s="31">
        <v>0.0</v>
      </c>
      <c r="D239" s="31">
        <v>0.0</v>
      </c>
    </row>
    <row r="240" ht="15.75" customHeight="1">
      <c r="A240" s="17">
        <v>51402.0</v>
      </c>
      <c r="B240" s="17" t="s">
        <v>298</v>
      </c>
      <c r="C240" s="31">
        <v>0.0</v>
      </c>
      <c r="D240" s="31">
        <v>0.0</v>
      </c>
    </row>
    <row r="241" ht="15.75" customHeight="1">
      <c r="A241" s="17">
        <v>51501.0</v>
      </c>
      <c r="B241" s="17" t="s">
        <v>299</v>
      </c>
      <c r="C241" s="31">
        <v>0.0</v>
      </c>
      <c r="D241" s="31">
        <v>0.0</v>
      </c>
    </row>
    <row r="242" ht="15.75" customHeight="1">
      <c r="A242" s="17">
        <v>51601.0</v>
      </c>
      <c r="B242" s="17" t="s">
        <v>300</v>
      </c>
      <c r="C242" s="31">
        <v>0.0</v>
      </c>
      <c r="D242" s="31">
        <v>0.0</v>
      </c>
    </row>
    <row r="243" ht="15.75" customHeight="1">
      <c r="A243" s="17">
        <v>60101.0</v>
      </c>
      <c r="B243" s="17" t="s">
        <v>301</v>
      </c>
      <c r="C243" s="31">
        <v>215.03999999999996</v>
      </c>
      <c r="D243" s="31">
        <v>327.74999999999994</v>
      </c>
    </row>
    <row r="244" ht="15.75" customHeight="1">
      <c r="A244" s="17">
        <v>60201.0</v>
      </c>
      <c r="B244" s="17" t="s">
        <v>302</v>
      </c>
      <c r="C244" s="31">
        <v>772.71</v>
      </c>
      <c r="D244" s="31">
        <v>967.29</v>
      </c>
    </row>
    <row r="245" ht="15.75" customHeight="1">
      <c r="A245" s="17">
        <v>60202.0</v>
      </c>
      <c r="B245" s="17" t="s">
        <v>303</v>
      </c>
      <c r="C245" s="31">
        <v>223.76999999999998</v>
      </c>
      <c r="D245" s="31">
        <v>382.62000000000006</v>
      </c>
    </row>
    <row r="246" ht="15.75" customHeight="1">
      <c r="A246" s="17">
        <v>60301.0</v>
      </c>
      <c r="B246" s="17" t="s">
        <v>304</v>
      </c>
      <c r="C246" s="31">
        <v>4338.45</v>
      </c>
      <c r="D246" s="31">
        <v>8283.57</v>
      </c>
    </row>
    <row r="247" ht="15.75" customHeight="1">
      <c r="A247" s="17">
        <v>60302.0</v>
      </c>
      <c r="B247" s="17" t="s">
        <v>305</v>
      </c>
      <c r="C247" s="31">
        <v>1261.9499999999998</v>
      </c>
      <c r="D247" s="31">
        <v>1503.12</v>
      </c>
    </row>
    <row r="248" ht="15.75" customHeight="1">
      <c r="A248" s="17">
        <v>60303.0</v>
      </c>
      <c r="B248" s="17" t="s">
        <v>306</v>
      </c>
      <c r="C248" s="31">
        <v>3218.64</v>
      </c>
      <c r="D248" s="31">
        <v>11144.43</v>
      </c>
    </row>
    <row r="249" ht="15.75" customHeight="1">
      <c r="A249" s="17">
        <v>60401.0</v>
      </c>
      <c r="B249" s="17" t="s">
        <v>307</v>
      </c>
      <c r="C249" s="31">
        <v>109.68</v>
      </c>
      <c r="D249" s="31">
        <v>160.92</v>
      </c>
    </row>
    <row r="250" ht="15.75" customHeight="1">
      <c r="A250" s="17">
        <v>60402.0</v>
      </c>
      <c r="B250" s="17" t="s">
        <v>308</v>
      </c>
      <c r="C250" s="31">
        <v>0.0</v>
      </c>
      <c r="D250" s="31">
        <v>0.0</v>
      </c>
    </row>
    <row r="251" ht="15.75" customHeight="1">
      <c r="A251" s="17">
        <v>60501.0</v>
      </c>
      <c r="B251" s="17" t="s">
        <v>309</v>
      </c>
      <c r="C251" s="31">
        <v>225.48000000000002</v>
      </c>
      <c r="D251" s="31">
        <v>220.35</v>
      </c>
    </row>
    <row r="252" ht="15.75" customHeight="1">
      <c r="A252" s="17">
        <v>60502.0</v>
      </c>
      <c r="B252" s="17" t="s">
        <v>310</v>
      </c>
      <c r="C252" s="31">
        <v>8.16</v>
      </c>
      <c r="D252" s="31">
        <v>35.88</v>
      </c>
    </row>
    <row r="253" ht="15.75" customHeight="1">
      <c r="A253" s="17">
        <v>60601.0</v>
      </c>
      <c r="B253" s="17" t="s">
        <v>212</v>
      </c>
      <c r="C253" s="31">
        <v>677.3100000000001</v>
      </c>
      <c r="D253" s="31">
        <v>3369.9900000000002</v>
      </c>
    </row>
    <row r="254" ht="15.75" customHeight="1">
      <c r="A254" s="17">
        <v>70101.0</v>
      </c>
      <c r="B254" s="17" t="s">
        <v>312</v>
      </c>
      <c r="C254" s="31">
        <v>1801.9799999999998</v>
      </c>
      <c r="D254" s="31">
        <v>910.11</v>
      </c>
    </row>
    <row r="255" ht="15.75" customHeight="1">
      <c r="A255" s="17">
        <v>70102.0</v>
      </c>
      <c r="B255" s="17" t="s">
        <v>313</v>
      </c>
      <c r="C255" s="31">
        <v>642.6</v>
      </c>
      <c r="D255" s="31">
        <v>493.2</v>
      </c>
    </row>
    <row r="256" ht="15.75" customHeight="1">
      <c r="A256" s="17">
        <v>70103.0</v>
      </c>
      <c r="B256" s="17" t="s">
        <v>314</v>
      </c>
      <c r="C256" s="31">
        <v>1734.33</v>
      </c>
      <c r="D256" s="31">
        <v>1069.7100000000003</v>
      </c>
    </row>
    <row r="257" ht="15.75" customHeight="1">
      <c r="A257" s="17">
        <v>70104.0</v>
      </c>
      <c r="B257" s="17" t="s">
        <v>315</v>
      </c>
      <c r="C257" s="31">
        <v>1799.22</v>
      </c>
      <c r="D257" s="31">
        <v>1277.25</v>
      </c>
    </row>
    <row r="258" ht="15.75" customHeight="1">
      <c r="A258" s="17">
        <v>70105.0</v>
      </c>
      <c r="B258" s="17" t="s">
        <v>316</v>
      </c>
      <c r="C258" s="31">
        <v>1438.92</v>
      </c>
      <c r="D258" s="31">
        <v>1162.38</v>
      </c>
    </row>
    <row r="259" ht="15.75" customHeight="1">
      <c r="A259" s="17">
        <v>70201.0</v>
      </c>
      <c r="B259" s="17" t="s">
        <v>317</v>
      </c>
      <c r="C259" s="31">
        <v>957.27</v>
      </c>
      <c r="D259" s="31">
        <v>512.61</v>
      </c>
    </row>
    <row r="260" ht="15.75" customHeight="1">
      <c r="A260" s="17">
        <v>70202.0</v>
      </c>
      <c r="B260" s="17" t="s">
        <v>318</v>
      </c>
      <c r="C260" s="31">
        <v>935.61</v>
      </c>
      <c r="D260" s="31">
        <v>486.18</v>
      </c>
    </row>
    <row r="261" ht="15.75" customHeight="1">
      <c r="A261" s="17">
        <v>70301.0</v>
      </c>
      <c r="B261" s="17" t="s">
        <v>319</v>
      </c>
      <c r="C261" s="31">
        <v>20032.98</v>
      </c>
      <c r="D261" s="31">
        <v>50799.96</v>
      </c>
    </row>
    <row r="262" ht="15.75" customHeight="1">
      <c r="A262" s="17">
        <v>70302.0</v>
      </c>
      <c r="B262" s="17" t="s">
        <v>320</v>
      </c>
      <c r="C262" s="31">
        <v>3640.35</v>
      </c>
      <c r="D262" s="31">
        <v>16448.850000000002</v>
      </c>
    </row>
    <row r="263" ht="15.75" customHeight="1">
      <c r="A263" s="17">
        <v>70303.0</v>
      </c>
      <c r="B263" s="17" t="s">
        <v>321</v>
      </c>
      <c r="C263" s="31">
        <v>2411.1300000000006</v>
      </c>
      <c r="D263" s="31">
        <v>11998.29</v>
      </c>
    </row>
    <row r="264" ht="15.75" customHeight="1">
      <c r="A264" s="17">
        <v>70401.0</v>
      </c>
      <c r="B264" s="17" t="s">
        <v>322</v>
      </c>
      <c r="C264" s="31">
        <v>2110.53</v>
      </c>
      <c r="D264" s="31">
        <v>1855.8</v>
      </c>
    </row>
    <row r="265" ht="15.75" customHeight="1">
      <c r="A265" s="17">
        <v>70402.0</v>
      </c>
      <c r="B265" s="17" t="s">
        <v>323</v>
      </c>
      <c r="C265" s="31">
        <v>1307.34</v>
      </c>
      <c r="D265" s="31">
        <v>1281.1200000000001</v>
      </c>
    </row>
    <row r="266" ht="15.75" customHeight="1">
      <c r="A266" s="17">
        <v>70403.0</v>
      </c>
      <c r="B266" s="17" t="s">
        <v>324</v>
      </c>
      <c r="C266" s="31">
        <v>14948.340000000002</v>
      </c>
      <c r="D266" s="31">
        <v>9354.089999999998</v>
      </c>
    </row>
    <row r="267" ht="15.75" customHeight="1">
      <c r="A267" s="17">
        <v>70404.0</v>
      </c>
      <c r="B267" s="17" t="s">
        <v>325</v>
      </c>
      <c r="C267" s="31">
        <v>2103.1200000000003</v>
      </c>
      <c r="D267" s="31">
        <v>1812.18</v>
      </c>
    </row>
    <row r="268" ht="15.75" customHeight="1">
      <c r="A268" s="17">
        <v>70501.0</v>
      </c>
      <c r="B268" s="17" t="s">
        <v>326</v>
      </c>
      <c r="C268" s="31">
        <v>8055.93</v>
      </c>
      <c r="D268" s="31">
        <v>29905.8</v>
      </c>
    </row>
    <row r="269" ht="15.75" customHeight="1">
      <c r="A269" s="17">
        <v>70502.0</v>
      </c>
      <c r="B269" s="17" t="s">
        <v>327</v>
      </c>
      <c r="C269" s="31">
        <v>24893.28</v>
      </c>
      <c r="D269" s="31">
        <v>18028.440000000002</v>
      </c>
    </row>
    <row r="270" ht="15.75" customHeight="1">
      <c r="A270" s="17">
        <v>70503.0</v>
      </c>
      <c r="B270" s="17" t="s">
        <v>328</v>
      </c>
      <c r="C270" s="31">
        <v>857.0100000000001</v>
      </c>
      <c r="D270" s="31">
        <v>15090.33</v>
      </c>
    </row>
    <row r="271" ht="15.75" customHeight="1">
      <c r="A271" s="17">
        <v>70601.0</v>
      </c>
      <c r="B271" s="17" t="s">
        <v>329</v>
      </c>
      <c r="C271" s="31">
        <v>1666.32</v>
      </c>
      <c r="D271" s="31">
        <v>986.43</v>
      </c>
    </row>
    <row r="272" ht="15.75" customHeight="1">
      <c r="A272" s="17">
        <v>70602.0</v>
      </c>
      <c r="B272" s="17" t="s">
        <v>330</v>
      </c>
      <c r="C272" s="31">
        <v>8055.389999999999</v>
      </c>
      <c r="D272" s="31">
        <v>7276.77</v>
      </c>
    </row>
    <row r="273" ht="15.75" customHeight="1">
      <c r="A273" s="17">
        <v>70603.0</v>
      </c>
      <c r="B273" s="17" t="s">
        <v>331</v>
      </c>
      <c r="C273" s="31">
        <v>198.87</v>
      </c>
      <c r="D273" s="31">
        <v>314.55</v>
      </c>
    </row>
    <row r="274" ht="15.75" customHeight="1">
      <c r="A274" s="17">
        <v>70701.0</v>
      </c>
      <c r="B274" s="17" t="s">
        <v>332</v>
      </c>
      <c r="C274" s="31">
        <v>684.57</v>
      </c>
      <c r="D274" s="31">
        <v>410.01</v>
      </c>
    </row>
    <row r="275" ht="15.75" customHeight="1">
      <c r="A275" s="17">
        <v>70702.0</v>
      </c>
      <c r="B275" s="17" t="s">
        <v>333</v>
      </c>
      <c r="C275" s="31">
        <v>16865.7</v>
      </c>
      <c r="D275" s="31">
        <v>59538.75</v>
      </c>
    </row>
    <row r="276" ht="15.75" customHeight="1">
      <c r="A276" s="17">
        <v>70703.0</v>
      </c>
      <c r="B276" s="17" t="s">
        <v>334</v>
      </c>
      <c r="C276" s="31">
        <v>5585.579999999999</v>
      </c>
      <c r="D276" s="31">
        <v>4814.16</v>
      </c>
    </row>
    <row r="277" ht="15.75" customHeight="1">
      <c r="A277" s="17">
        <v>70704.0</v>
      </c>
      <c r="B277" s="17" t="s">
        <v>335</v>
      </c>
      <c r="C277" s="31">
        <v>224.79</v>
      </c>
      <c r="D277" s="31">
        <v>266.19000000000005</v>
      </c>
    </row>
    <row r="278" ht="15.75" customHeight="1">
      <c r="A278" s="17">
        <v>70705.0</v>
      </c>
      <c r="B278" s="17" t="s">
        <v>336</v>
      </c>
      <c r="C278" s="31">
        <v>2431.59</v>
      </c>
      <c r="D278" s="31">
        <v>1735.8300000000002</v>
      </c>
    </row>
    <row r="279" ht="15.75" customHeight="1">
      <c r="A279" s="17">
        <v>70706.0</v>
      </c>
      <c r="B279" s="17" t="s">
        <v>337</v>
      </c>
      <c r="C279" s="31">
        <v>608.16</v>
      </c>
      <c r="D279" s="31">
        <v>605.9399999999999</v>
      </c>
    </row>
    <row r="280" ht="15.75" customHeight="1">
      <c r="A280" s="17">
        <v>70707.0</v>
      </c>
      <c r="B280" s="17" t="s">
        <v>338</v>
      </c>
      <c r="C280" s="31">
        <v>175.89000000000001</v>
      </c>
      <c r="D280" s="31">
        <v>1857.8700000000001</v>
      </c>
    </row>
    <row r="281" ht="15.75" customHeight="1">
      <c r="A281" s="17">
        <v>70801.0</v>
      </c>
      <c r="B281" s="17" t="s">
        <v>339</v>
      </c>
      <c r="C281" s="31">
        <v>1092.75</v>
      </c>
      <c r="D281" s="31">
        <v>1554.63</v>
      </c>
    </row>
    <row r="282" ht="15.75" customHeight="1">
      <c r="A282" s="17">
        <v>70802.0</v>
      </c>
      <c r="B282" s="17" t="s">
        <v>340</v>
      </c>
      <c r="C282" s="31">
        <v>137.94</v>
      </c>
      <c r="D282" s="31">
        <v>158.57999999999998</v>
      </c>
    </row>
    <row r="283" ht="15.75" customHeight="1">
      <c r="A283" s="17">
        <v>70803.0</v>
      </c>
      <c r="B283" s="17" t="s">
        <v>341</v>
      </c>
      <c r="C283" s="31">
        <v>340.56</v>
      </c>
      <c r="D283" s="31">
        <v>300.39000000000004</v>
      </c>
    </row>
    <row r="284" ht="15.75" customHeight="1">
      <c r="A284" s="17">
        <v>70804.0</v>
      </c>
      <c r="B284" s="17" t="s">
        <v>342</v>
      </c>
      <c r="C284" s="31">
        <v>346.14000000000004</v>
      </c>
      <c r="D284" s="31">
        <v>483.27</v>
      </c>
    </row>
    <row r="285" ht="15.75" customHeight="1">
      <c r="A285" s="17">
        <v>70805.0</v>
      </c>
      <c r="B285" s="17" t="s">
        <v>343</v>
      </c>
      <c r="C285" s="31">
        <v>280.08</v>
      </c>
      <c r="D285" s="31">
        <v>318.27</v>
      </c>
    </row>
    <row r="286" ht="15.75" customHeight="1">
      <c r="A286" s="17">
        <v>70901.0</v>
      </c>
      <c r="B286" s="17" t="s">
        <v>344</v>
      </c>
      <c r="C286" s="31">
        <v>454.56</v>
      </c>
      <c r="D286" s="31">
        <v>504.51000000000005</v>
      </c>
    </row>
    <row r="287" ht="15.75" customHeight="1">
      <c r="A287" s="17">
        <v>70902.0</v>
      </c>
      <c r="B287" s="17" t="s">
        <v>345</v>
      </c>
      <c r="C287" s="31">
        <v>499.59</v>
      </c>
      <c r="D287" s="31">
        <v>453.96000000000004</v>
      </c>
    </row>
    <row r="288" ht="15.75" customHeight="1">
      <c r="A288" s="17">
        <v>70903.0</v>
      </c>
      <c r="B288" s="17" t="s">
        <v>346</v>
      </c>
      <c r="C288" s="31">
        <v>285.69</v>
      </c>
      <c r="D288" s="31">
        <v>390.05999999999995</v>
      </c>
    </row>
    <row r="289" ht="15.75" customHeight="1">
      <c r="A289" s="17">
        <v>70904.0</v>
      </c>
      <c r="B289" s="17" t="s">
        <v>347</v>
      </c>
      <c r="C289" s="31">
        <v>131.67</v>
      </c>
      <c r="D289" s="31">
        <v>131.49</v>
      </c>
    </row>
    <row r="290" ht="15.75" customHeight="1">
      <c r="A290" s="17">
        <v>71001.0</v>
      </c>
      <c r="B290" s="17" t="s">
        <v>348</v>
      </c>
      <c r="C290" s="31">
        <v>206.42999999999998</v>
      </c>
      <c r="D290" s="31">
        <v>105.24</v>
      </c>
    </row>
    <row r="291" ht="15.75" customHeight="1">
      <c r="A291" s="17">
        <v>71002.0</v>
      </c>
      <c r="B291" s="17" t="s">
        <v>349</v>
      </c>
      <c r="C291" s="31">
        <v>269.28</v>
      </c>
      <c r="D291" s="31">
        <v>176.07000000000002</v>
      </c>
    </row>
    <row r="292" ht="15.75" customHeight="1">
      <c r="A292" s="17">
        <v>71003.0</v>
      </c>
      <c r="B292" s="17" t="s">
        <v>350</v>
      </c>
      <c r="C292" s="31">
        <v>304.32</v>
      </c>
      <c r="D292" s="31">
        <v>213.72000000000003</v>
      </c>
    </row>
    <row r="293" ht="15.75" customHeight="1">
      <c r="A293" s="17">
        <v>71004.0</v>
      </c>
      <c r="B293" s="17" t="s">
        <v>351</v>
      </c>
      <c r="C293" s="31">
        <v>358.5</v>
      </c>
      <c r="D293" s="31">
        <v>252.69000000000003</v>
      </c>
    </row>
    <row r="294" ht="15.75" customHeight="1">
      <c r="A294" s="17">
        <v>71005.0</v>
      </c>
      <c r="B294" s="17" t="s">
        <v>275</v>
      </c>
      <c r="C294" s="31">
        <v>2284.44</v>
      </c>
      <c r="D294" s="31">
        <v>1327.68</v>
      </c>
    </row>
    <row r="295" ht="15.75" customHeight="1">
      <c r="A295" s="17">
        <v>71101.0</v>
      </c>
      <c r="B295" s="17" t="s">
        <v>352</v>
      </c>
      <c r="C295" s="31">
        <v>8283.9</v>
      </c>
      <c r="D295" s="31">
        <v>25677.3</v>
      </c>
    </row>
    <row r="296" ht="15.75" customHeight="1">
      <c r="A296" s="17">
        <v>71102.0</v>
      </c>
      <c r="B296" s="17" t="s">
        <v>353</v>
      </c>
      <c r="C296" s="31">
        <v>2233.53</v>
      </c>
      <c r="D296" s="31">
        <v>3633.1800000000003</v>
      </c>
    </row>
    <row r="297" ht="15.75" customHeight="1">
      <c r="A297" s="17">
        <v>71103.0</v>
      </c>
      <c r="B297" s="17" t="s">
        <v>354</v>
      </c>
      <c r="C297" s="31">
        <v>568.32</v>
      </c>
      <c r="D297" s="31">
        <v>945.96</v>
      </c>
    </row>
    <row r="298" ht="15.75" customHeight="1">
      <c r="A298" s="17">
        <v>71104.0</v>
      </c>
      <c r="B298" s="17" t="s">
        <v>355</v>
      </c>
      <c r="C298" s="31">
        <v>13049.1</v>
      </c>
      <c r="D298" s="31">
        <v>4494.45</v>
      </c>
    </row>
    <row r="299" ht="15.75" customHeight="1">
      <c r="A299" s="17">
        <v>71105.0</v>
      </c>
      <c r="B299" s="17" t="s">
        <v>356</v>
      </c>
      <c r="C299" s="31">
        <v>1348.68</v>
      </c>
      <c r="D299" s="31">
        <v>1325.97</v>
      </c>
    </row>
    <row r="300" ht="15.75" customHeight="1">
      <c r="A300" s="17">
        <v>71106.0</v>
      </c>
      <c r="B300" s="17" t="s">
        <v>357</v>
      </c>
      <c r="C300" s="31">
        <v>6337.11</v>
      </c>
      <c r="D300" s="31">
        <v>3577.98</v>
      </c>
    </row>
    <row r="301" ht="15.75" customHeight="1">
      <c r="A301" s="17">
        <v>71201.0</v>
      </c>
      <c r="B301" s="17" t="s">
        <v>358</v>
      </c>
      <c r="C301" s="31">
        <v>2384.5499999999997</v>
      </c>
      <c r="D301" s="31">
        <v>5638.860000000001</v>
      </c>
    </row>
    <row r="302" ht="15.75" customHeight="1">
      <c r="A302" s="17">
        <v>71301.0</v>
      </c>
      <c r="B302" s="17" t="s">
        <v>359</v>
      </c>
      <c r="C302" s="31">
        <v>1043.49</v>
      </c>
      <c r="D302" s="31">
        <v>972.18</v>
      </c>
    </row>
    <row r="303" ht="15.75" customHeight="1">
      <c r="A303" s="17">
        <v>71302.0</v>
      </c>
      <c r="B303" s="17" t="s">
        <v>360</v>
      </c>
      <c r="C303" s="31">
        <v>80.85</v>
      </c>
      <c r="D303" s="31">
        <v>158.34</v>
      </c>
    </row>
    <row r="304" ht="15.75" customHeight="1">
      <c r="A304" s="17">
        <v>71401.0</v>
      </c>
      <c r="B304" s="17" t="s">
        <v>361</v>
      </c>
      <c r="C304" s="31">
        <v>3614.97</v>
      </c>
      <c r="D304" s="31">
        <v>3451.89</v>
      </c>
    </row>
    <row r="305" ht="15.75" customHeight="1">
      <c r="A305" s="17">
        <v>71402.0</v>
      </c>
      <c r="B305" s="17" t="s">
        <v>362</v>
      </c>
      <c r="C305" s="31">
        <v>273.63</v>
      </c>
      <c r="D305" s="31">
        <v>174.57000000000002</v>
      </c>
    </row>
    <row r="306" ht="15.75" customHeight="1">
      <c r="A306" s="17">
        <v>71403.0</v>
      </c>
      <c r="B306" s="17" t="s">
        <v>363</v>
      </c>
      <c r="C306" s="31">
        <v>3150.3300000000004</v>
      </c>
      <c r="D306" s="31">
        <v>9784.17</v>
      </c>
    </row>
    <row r="307" ht="15.75" customHeight="1">
      <c r="A307" s="17">
        <v>71501.0</v>
      </c>
      <c r="B307" s="17" t="s">
        <v>364</v>
      </c>
      <c r="C307" s="31">
        <v>10418.34</v>
      </c>
      <c r="D307" s="31">
        <v>19570.08</v>
      </c>
    </row>
    <row r="308" ht="15.75" customHeight="1">
      <c r="A308" s="17">
        <v>71502.0</v>
      </c>
      <c r="B308" s="17" t="s">
        <v>365</v>
      </c>
      <c r="C308" s="31">
        <v>4533.570000000001</v>
      </c>
      <c r="D308" s="31">
        <v>5740.5</v>
      </c>
    </row>
    <row r="309" ht="15.75" customHeight="1">
      <c r="A309" s="17">
        <v>71503.0</v>
      </c>
      <c r="B309" s="17" t="s">
        <v>310</v>
      </c>
      <c r="C309" s="31">
        <v>17272.829999999998</v>
      </c>
      <c r="D309" s="31">
        <v>16327.319999999998</v>
      </c>
    </row>
    <row r="310" ht="15.75" customHeight="1">
      <c r="A310" s="17">
        <v>80101.0</v>
      </c>
      <c r="B310" s="17" t="s">
        <v>367</v>
      </c>
      <c r="C310" s="31">
        <v>760.7400000000001</v>
      </c>
      <c r="D310" s="31">
        <v>1311.27</v>
      </c>
    </row>
    <row r="311" ht="15.75" customHeight="1">
      <c r="A311" s="17">
        <v>80102.0</v>
      </c>
      <c r="B311" s="17" t="s">
        <v>353</v>
      </c>
      <c r="C311" s="31">
        <v>4393.350000000001</v>
      </c>
      <c r="D311" s="31">
        <v>7343.31</v>
      </c>
    </row>
    <row r="312" ht="15.75" customHeight="1">
      <c r="A312" s="17">
        <v>80201.0</v>
      </c>
      <c r="B312" s="17" t="s">
        <v>368</v>
      </c>
      <c r="C312" s="31">
        <v>5131.71</v>
      </c>
      <c r="D312" s="31">
        <v>2207.61</v>
      </c>
    </row>
    <row r="313" ht="15.75" customHeight="1">
      <c r="A313" s="17">
        <v>80202.0</v>
      </c>
      <c r="B313" s="17" t="s">
        <v>369</v>
      </c>
      <c r="C313" s="31">
        <v>6715.59</v>
      </c>
      <c r="D313" s="31">
        <v>1478.7</v>
      </c>
    </row>
    <row r="314" ht="15.75" customHeight="1">
      <c r="A314" s="17">
        <v>80301.0</v>
      </c>
      <c r="B314" s="17" t="s">
        <v>370</v>
      </c>
      <c r="C314" s="31">
        <v>5935.05</v>
      </c>
      <c r="D314" s="31">
        <v>6429.2699999999995</v>
      </c>
    </row>
    <row r="315" ht="15.75" customHeight="1">
      <c r="A315" s="17">
        <v>80302.0</v>
      </c>
      <c r="B315" s="17" t="s">
        <v>371</v>
      </c>
      <c r="C315" s="31">
        <v>4655.07</v>
      </c>
      <c r="D315" s="31">
        <v>3928.7099999999996</v>
      </c>
    </row>
    <row r="316" ht="15.75" customHeight="1">
      <c r="A316" s="17">
        <v>80303.0</v>
      </c>
      <c r="B316" s="17" t="s">
        <v>372</v>
      </c>
      <c r="C316" s="31">
        <v>960.39</v>
      </c>
      <c r="D316" s="31">
        <v>1912.32</v>
      </c>
    </row>
    <row r="317" ht="15.75" customHeight="1">
      <c r="A317" s="17">
        <v>80304.0</v>
      </c>
      <c r="B317" s="17" t="s">
        <v>373</v>
      </c>
      <c r="C317" s="31">
        <v>3705.39</v>
      </c>
      <c r="D317" s="31">
        <v>1794.99</v>
      </c>
    </row>
    <row r="318" ht="15.75" customHeight="1">
      <c r="A318" s="17">
        <v>80401.0</v>
      </c>
      <c r="B318" s="17" t="s">
        <v>374</v>
      </c>
      <c r="C318" s="31">
        <v>8295.36</v>
      </c>
      <c r="D318" s="31">
        <v>3719.3699999999994</v>
      </c>
    </row>
    <row r="319" ht="15.75" customHeight="1">
      <c r="A319" s="17">
        <v>80402.0</v>
      </c>
      <c r="B319" s="17" t="s">
        <v>375</v>
      </c>
      <c r="C319" s="31">
        <v>4012.47</v>
      </c>
      <c r="D319" s="31">
        <v>3143.01</v>
      </c>
    </row>
    <row r="320" ht="15.75" customHeight="1">
      <c r="A320" s="17">
        <v>80501.0</v>
      </c>
      <c r="B320" s="17" t="s">
        <v>376</v>
      </c>
      <c r="C320" s="31">
        <v>7783.68</v>
      </c>
      <c r="D320" s="31">
        <v>6887.31</v>
      </c>
    </row>
    <row r="321" ht="15.75" customHeight="1">
      <c r="A321" s="17">
        <v>80601.0</v>
      </c>
      <c r="B321" s="17" t="s">
        <v>377</v>
      </c>
      <c r="C321" s="31">
        <v>4619.25</v>
      </c>
      <c r="D321" s="31">
        <v>4083.72</v>
      </c>
    </row>
    <row r="322" ht="15.75" customHeight="1">
      <c r="A322" s="17">
        <v>80602.0</v>
      </c>
      <c r="B322" s="17" t="s">
        <v>378</v>
      </c>
      <c r="C322" s="31">
        <v>6520.62</v>
      </c>
      <c r="D322" s="31">
        <v>12057.18</v>
      </c>
    </row>
    <row r="323" ht="15.75" customHeight="1">
      <c r="A323" s="17">
        <v>80701.0</v>
      </c>
      <c r="B323" s="17" t="s">
        <v>379</v>
      </c>
      <c r="C323" s="31">
        <v>3860.1299999999997</v>
      </c>
      <c r="D323" s="31">
        <v>3102.1200000000003</v>
      </c>
    </row>
    <row r="324" ht="15.75" customHeight="1">
      <c r="A324" s="17">
        <v>80702.0</v>
      </c>
      <c r="B324" s="17" t="s">
        <v>354</v>
      </c>
      <c r="C324" s="31">
        <v>1690.8</v>
      </c>
      <c r="D324" s="31">
        <v>2590.83</v>
      </c>
    </row>
    <row r="325" ht="15.75" customHeight="1">
      <c r="A325" s="17">
        <v>80703.0</v>
      </c>
      <c r="B325" s="17" t="s">
        <v>380</v>
      </c>
      <c r="C325" s="31">
        <v>2303.7599999999998</v>
      </c>
      <c r="D325" s="31">
        <v>737.73</v>
      </c>
    </row>
    <row r="326" ht="15.75" customHeight="1">
      <c r="A326" s="17">
        <v>80801.0</v>
      </c>
      <c r="B326" s="17" t="s">
        <v>381</v>
      </c>
      <c r="C326" s="31">
        <v>4272.78</v>
      </c>
      <c r="D326" s="31">
        <v>6619.740000000001</v>
      </c>
    </row>
    <row r="327" ht="15.75" customHeight="1">
      <c r="A327" s="17">
        <v>80802.0</v>
      </c>
      <c r="B327" s="17" t="s">
        <v>382</v>
      </c>
      <c r="C327" s="31">
        <v>4715.64</v>
      </c>
      <c r="D327" s="31">
        <v>8200.89</v>
      </c>
    </row>
    <row r="328" ht="15.75" customHeight="1">
      <c r="A328" s="17">
        <v>80803.0</v>
      </c>
      <c r="B328" s="17" t="s">
        <v>383</v>
      </c>
      <c r="C328" s="31">
        <v>2964.8999999999996</v>
      </c>
      <c r="D328" s="31">
        <v>2032.17</v>
      </c>
    </row>
    <row r="329" ht="15.75" customHeight="1">
      <c r="A329" s="17">
        <v>80901.0</v>
      </c>
      <c r="B329" s="17" t="s">
        <v>384</v>
      </c>
      <c r="C329" s="31">
        <v>3347.0399999999995</v>
      </c>
      <c r="D329" s="31">
        <v>1494.36</v>
      </c>
    </row>
    <row r="330" ht="15.75" customHeight="1">
      <c r="A330" s="17">
        <v>90101.0</v>
      </c>
      <c r="B330" s="17" t="s">
        <v>386</v>
      </c>
      <c r="C330" s="31">
        <v>445.17</v>
      </c>
      <c r="D330" s="31">
        <v>426.03000000000003</v>
      </c>
    </row>
    <row r="331" ht="15.75" customHeight="1">
      <c r="A331" s="17">
        <v>90102.0</v>
      </c>
      <c r="B331" s="17" t="s">
        <v>387</v>
      </c>
      <c r="C331" s="31">
        <v>648.93</v>
      </c>
      <c r="D331" s="31">
        <v>526.5</v>
      </c>
    </row>
    <row r="332" ht="15.75" customHeight="1">
      <c r="A332" s="17">
        <v>90103.0</v>
      </c>
      <c r="B332" s="17" t="s">
        <v>388</v>
      </c>
      <c r="C332" s="31">
        <v>858.12</v>
      </c>
      <c r="D332" s="31">
        <v>849.75</v>
      </c>
    </row>
    <row r="333" ht="15.75" customHeight="1">
      <c r="A333" s="17">
        <v>90104.0</v>
      </c>
      <c r="B333" s="17" t="s">
        <v>389</v>
      </c>
      <c r="C333" s="31">
        <v>1603.47</v>
      </c>
      <c r="D333" s="31">
        <v>1798.32</v>
      </c>
    </row>
    <row r="334" ht="15.75" customHeight="1">
      <c r="A334" s="17">
        <v>90201.0</v>
      </c>
      <c r="B334" s="17" t="s">
        <v>390</v>
      </c>
      <c r="C334" s="31">
        <v>1849.53</v>
      </c>
      <c r="D334" s="31">
        <v>489.18000000000006</v>
      </c>
    </row>
    <row r="335" ht="15.75" customHeight="1">
      <c r="A335" s="17">
        <v>90202.0</v>
      </c>
      <c r="B335" s="17" t="s">
        <v>275</v>
      </c>
      <c r="C335" s="31">
        <v>1429.3500000000001</v>
      </c>
      <c r="D335" s="31">
        <v>606.72</v>
      </c>
    </row>
    <row r="336" ht="15.75" customHeight="1">
      <c r="A336" s="17">
        <v>90203.0</v>
      </c>
      <c r="B336" s="17" t="s">
        <v>391</v>
      </c>
      <c r="C336" s="31">
        <v>2014.7699999999998</v>
      </c>
      <c r="D336" s="31">
        <v>1803.6899999999998</v>
      </c>
    </row>
    <row r="337" ht="15.75" customHeight="1">
      <c r="A337" s="17">
        <v>90301.0</v>
      </c>
      <c r="B337" s="17" t="s">
        <v>392</v>
      </c>
      <c r="C337" s="31">
        <v>1238.46</v>
      </c>
      <c r="D337" s="31">
        <v>458.78999999999996</v>
      </c>
    </row>
    <row r="338" ht="15.75" customHeight="1">
      <c r="A338" s="17">
        <v>90302.0</v>
      </c>
      <c r="B338" s="17" t="s">
        <v>309</v>
      </c>
      <c r="C338" s="31">
        <v>1529.9399999999998</v>
      </c>
      <c r="D338" s="31">
        <v>512.5500000000001</v>
      </c>
    </row>
    <row r="339" ht="15.75" customHeight="1">
      <c r="A339" s="17">
        <v>90303.0</v>
      </c>
      <c r="B339" s="17" t="s">
        <v>393</v>
      </c>
      <c r="C339" s="31">
        <v>1028.37</v>
      </c>
      <c r="D339" s="31">
        <v>563.49</v>
      </c>
    </row>
    <row r="340" ht="15.75" customHeight="1">
      <c r="A340" s="17">
        <v>90401.0</v>
      </c>
      <c r="B340" s="17" t="s">
        <v>372</v>
      </c>
      <c r="C340" s="31">
        <v>588.87</v>
      </c>
      <c r="D340" s="31">
        <v>361.5</v>
      </c>
    </row>
    <row r="341" ht="15.75" customHeight="1">
      <c r="A341" s="17">
        <v>90402.0</v>
      </c>
      <c r="B341" s="17" t="s">
        <v>394</v>
      </c>
      <c r="C341" s="31">
        <v>444.66</v>
      </c>
      <c r="D341" s="31">
        <v>273.53999999999996</v>
      </c>
    </row>
    <row r="342" ht="15.75" customHeight="1">
      <c r="A342" s="17">
        <v>90501.0</v>
      </c>
      <c r="B342" s="17" t="s">
        <v>395</v>
      </c>
      <c r="C342" s="31">
        <v>494.16</v>
      </c>
      <c r="D342" s="31">
        <v>167.16</v>
      </c>
    </row>
    <row r="343" ht="15.75" customHeight="1">
      <c r="A343" s="17">
        <v>90502.0</v>
      </c>
      <c r="B343" s="17" t="s">
        <v>396</v>
      </c>
      <c r="C343" s="31">
        <v>390.99</v>
      </c>
      <c r="D343" s="31">
        <v>242.4</v>
      </c>
    </row>
    <row r="344" ht="15.75" customHeight="1">
      <c r="A344" s="17">
        <v>90503.0</v>
      </c>
      <c r="B344" s="17" t="s">
        <v>397</v>
      </c>
      <c r="C344" s="31">
        <v>102.33</v>
      </c>
      <c r="D344" s="31">
        <v>114.92999999999999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30" t="s">
        <v>411</v>
      </c>
      <c r="B1" s="30" t="s">
        <v>1</v>
      </c>
      <c r="C1" s="30" t="s">
        <v>401</v>
      </c>
      <c r="D1" s="30" t="s">
        <v>402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>
        <v>1.0</v>
      </c>
      <c r="B2" s="17" t="s">
        <v>59</v>
      </c>
      <c r="C2" s="24">
        <v>0.2591610468445673</v>
      </c>
      <c r="D2" s="24">
        <v>0.5556276310421868</v>
      </c>
    </row>
    <row r="3">
      <c r="A3" s="17">
        <v>2.0</v>
      </c>
      <c r="B3" s="17" t="s">
        <v>89</v>
      </c>
      <c r="C3" s="24">
        <v>0.3393059694337072</v>
      </c>
      <c r="D3" s="24">
        <v>0.5664437746251317</v>
      </c>
    </row>
    <row r="4">
      <c r="A4" s="17">
        <v>3.0</v>
      </c>
      <c r="B4" s="17" t="s">
        <v>177</v>
      </c>
      <c r="C4" s="24">
        <v>0.7566568300629282</v>
      </c>
      <c r="D4" s="24">
        <v>0.8192532919558306</v>
      </c>
    </row>
    <row r="5">
      <c r="A5" s="17">
        <v>4.0</v>
      </c>
      <c r="B5" s="17" t="s">
        <v>225</v>
      </c>
      <c r="C5" s="24">
        <v>0.0</v>
      </c>
      <c r="D5" s="24">
        <v>0.0</v>
      </c>
    </row>
    <row r="6">
      <c r="A6" s="17">
        <v>5.0</v>
      </c>
      <c r="B6" s="17" t="s">
        <v>259</v>
      </c>
      <c r="C6" s="24">
        <v>0.6395890514441114</v>
      </c>
      <c r="D6" s="24">
        <v>0.5598502589412366</v>
      </c>
    </row>
    <row r="7">
      <c r="A7" s="17">
        <v>6.0</v>
      </c>
      <c r="B7" s="17" t="s">
        <v>301</v>
      </c>
      <c r="C7" s="24">
        <v>0.42608577249460544</v>
      </c>
      <c r="D7" s="24">
        <v>1.0177117544722158</v>
      </c>
    </row>
    <row r="8">
      <c r="A8" s="17">
        <v>7.0</v>
      </c>
      <c r="B8" s="17" t="s">
        <v>311</v>
      </c>
      <c r="C8" s="24">
        <v>0.7372618720934113</v>
      </c>
      <c r="D8" s="24">
        <v>1.2354516056379632</v>
      </c>
    </row>
    <row r="9">
      <c r="A9" s="17">
        <v>8.0</v>
      </c>
      <c r="B9" s="17" t="s">
        <v>366</v>
      </c>
      <c r="C9" s="24">
        <v>0.9253644903252584</v>
      </c>
      <c r="D9" s="24">
        <v>0.8658857810002746</v>
      </c>
    </row>
    <row r="10">
      <c r="A10" s="17">
        <v>9.0</v>
      </c>
      <c r="B10" s="17" t="s">
        <v>385</v>
      </c>
      <c r="C10" s="24">
        <v>0.24148701876134296</v>
      </c>
      <c r="D10" s="24">
        <v>0.15138380734268936</v>
      </c>
    </row>
    <row r="11">
      <c r="A11" s="17">
        <v>10.0</v>
      </c>
      <c r="B11" s="17" t="s">
        <v>405</v>
      </c>
      <c r="C11" s="24">
        <v>0.5702727482749457</v>
      </c>
      <c r="D11" s="24">
        <v>1.353486017397889</v>
      </c>
    </row>
    <row r="12">
      <c r="A12" s="17">
        <v>11.0</v>
      </c>
      <c r="B12" s="17" t="s">
        <v>404</v>
      </c>
      <c r="C12" s="24">
        <v>0.6346302076760435</v>
      </c>
      <c r="D12" s="24">
        <v>0.9258669059466129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30" t="s">
        <v>411</v>
      </c>
      <c r="B1" s="30" t="s">
        <v>1</v>
      </c>
      <c r="C1" s="30" t="s">
        <v>399</v>
      </c>
      <c r="D1" s="30" t="s">
        <v>400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>
        <v>1.0</v>
      </c>
      <c r="B2" s="17" t="s">
        <v>59</v>
      </c>
      <c r="C2" s="32">
        <v>7056.539999999999</v>
      </c>
      <c r="D2" s="32">
        <v>15128.850000000002</v>
      </c>
    </row>
    <row r="3">
      <c r="A3" s="17">
        <v>2.0</v>
      </c>
      <c r="B3" s="17" t="s">
        <v>89</v>
      </c>
      <c r="C3" s="32">
        <v>22673.07</v>
      </c>
      <c r="D3" s="32">
        <v>37850.85</v>
      </c>
    </row>
    <row r="4">
      <c r="A4" s="17">
        <v>3.0</v>
      </c>
      <c r="B4" s="17" t="s">
        <v>177</v>
      </c>
      <c r="C4" s="32">
        <v>19222.950000000004</v>
      </c>
      <c r="D4" s="32">
        <v>20813.22</v>
      </c>
      <c r="F4" s="16"/>
      <c r="G4" s="16"/>
    </row>
    <row r="5">
      <c r="A5" s="17">
        <v>4.0</v>
      </c>
      <c r="B5" s="17" t="s">
        <v>225</v>
      </c>
      <c r="C5" s="32">
        <v>0.0</v>
      </c>
      <c r="D5" s="32">
        <v>0.0</v>
      </c>
    </row>
    <row r="6">
      <c r="A6" s="17">
        <v>5.0</v>
      </c>
      <c r="B6" s="17" t="s">
        <v>259</v>
      </c>
      <c r="C6" s="32">
        <v>274.32</v>
      </c>
      <c r="D6" s="32">
        <v>240.12</v>
      </c>
    </row>
    <row r="7">
      <c r="A7" s="17">
        <v>6.0</v>
      </c>
      <c r="B7" s="17" t="s">
        <v>301</v>
      </c>
      <c r="C7" s="32">
        <v>11051.189999999999</v>
      </c>
      <c r="D7" s="32">
        <v>26395.92</v>
      </c>
    </row>
    <row r="8">
      <c r="A8" s="17">
        <v>7.0</v>
      </c>
      <c r="B8" s="17" t="s">
        <v>311</v>
      </c>
      <c r="C8" s="32">
        <v>207751.94999999992</v>
      </c>
      <c r="D8" s="32">
        <v>348136.1099999999</v>
      </c>
    </row>
    <row r="9">
      <c r="A9" s="17">
        <v>8.0</v>
      </c>
      <c r="B9" s="17" t="s">
        <v>366</v>
      </c>
      <c r="C9" s="32">
        <v>86643.71999999999</v>
      </c>
      <c r="D9" s="32">
        <v>81074.61</v>
      </c>
    </row>
    <row r="10">
      <c r="A10" s="17">
        <v>9.0</v>
      </c>
      <c r="B10" s="17" t="s">
        <v>385</v>
      </c>
      <c r="C10" s="32">
        <v>14667.12</v>
      </c>
      <c r="D10" s="32">
        <v>9194.550000000001</v>
      </c>
    </row>
    <row r="11">
      <c r="A11" s="17">
        <v>10.0</v>
      </c>
      <c r="B11" s="17" t="s">
        <v>405</v>
      </c>
      <c r="C11" s="32">
        <v>8819.039999999999</v>
      </c>
      <c r="D11" s="32">
        <v>20931.12</v>
      </c>
    </row>
    <row r="12">
      <c r="A12" s="17">
        <v>11.0</v>
      </c>
      <c r="B12" s="17" t="s">
        <v>404</v>
      </c>
      <c r="C12" s="32">
        <v>369340.85999999987</v>
      </c>
      <c r="D12" s="32">
        <v>538834.23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30.75" customHeight="1">
      <c r="A1" s="33" t="s">
        <v>412</v>
      </c>
      <c r="B1" s="33" t="s">
        <v>413</v>
      </c>
      <c r="C1" s="34" t="s">
        <v>414</v>
      </c>
      <c r="D1" s="34" t="s">
        <v>415</v>
      </c>
      <c r="E1" s="35" t="s">
        <v>416</v>
      </c>
      <c r="F1" s="35" t="s">
        <v>417</v>
      </c>
      <c r="G1" s="36" t="s">
        <v>418</v>
      </c>
      <c r="H1" s="36" t="s">
        <v>419</v>
      </c>
      <c r="I1" s="37" t="s">
        <v>420</v>
      </c>
      <c r="J1" s="37" t="s">
        <v>421</v>
      </c>
      <c r="K1" s="38" t="s">
        <v>422</v>
      </c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17">
        <v>15.0</v>
      </c>
      <c r="B2" s="17" t="s">
        <v>423</v>
      </c>
      <c r="C2" s="17">
        <v>0.0</v>
      </c>
      <c r="D2" s="40">
        <v>0.05</v>
      </c>
      <c r="E2" s="40">
        <v>0.05</v>
      </c>
      <c r="F2" s="40">
        <v>0.5</v>
      </c>
      <c r="G2" s="40">
        <v>0.5</v>
      </c>
      <c r="H2" s="40">
        <v>2.0</v>
      </c>
      <c r="I2" s="40">
        <v>2.0</v>
      </c>
      <c r="J2" s="17">
        <v>100.0</v>
      </c>
      <c r="K2" s="41" t="s">
        <v>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2026-04-06T19:31:42Z</dcterms:created>
  <dc:creator>Karina</dc:creator>
</cp:coreProperties>
</file>